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R" sheetId="1" r:id="rId4"/>
    <sheet state="visible" name="Ingest Template" sheetId="2" r:id="rId5"/>
    <sheet state="visible" name="Twitter Episodic Keyword Method" sheetId="3" r:id="rId6"/>
    <sheet state="visible" name="TV Brand sets" sheetId="4" r:id="rId7"/>
    <sheet state="visible" name="Conglomerate Brand Sets" sheetId="5" r:id="rId8"/>
    <sheet state="visible" name="Enterprise URL Manager Mapping" sheetId="6" r:id="rId9"/>
    <sheet state="visible" name="DropdownLists" sheetId="7" r:id="rId10"/>
  </sheets>
  <definedNames>
    <definedName hidden="1" localSheetId="0" name="_xlnm._FilterDatabase">BDR!$A$1:$AM$1008</definedName>
    <definedName hidden="1" localSheetId="6" name="_xlnm._FilterDatabase">DropdownLists!$A$1:$I$230</definedName>
    <definedName hidden="1" localSheetId="0" name="Z_B1A88EF9_4837_43CC_BFC1_5257EDC0A89A_.wvu.FilterData">BDR!$D$1:$D$1008</definedName>
  </definedNames>
  <calcPr/>
  <customWorkbookViews>
    <customWorkbookView activeSheetId="0" maximized="1" windowHeight="0" windowWidth="0" guid="{B1A88EF9-4837-43CC-BFC1-5257EDC0A89A}"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tc={00911280-218f-459c-ab6f-9540a716a656}</author>
    <author>tc={082a38f0-a4f1-45ef-889f-66f715fabc65}</author>
    <author>tc={1f8ab01e-4bd7-489e-9b41-d9f54904785e}</author>
    <author>tc={4a26d7a0-512e-4f21-a39a-2b9e97a88160}</author>
    <author>tc={8467d146-d748-484b-bbb6-39c68df2dc89}</author>
    <author>tc={aea4a5a8-30e7-4f1a-a7f0-4a8000af2c8f}</author>
    <author>tc={b68ec82c-898f-430b-97bd-f85e24b9bf0c}</author>
    <author>tc={e466d258-fc40-45de-91ed-fa7823471da2}</author>
    <author>tc={e63c4c36-68bf-4655-bc6b-54dcba0eae50}</author>
    <author>tc={fc198bd6-cfa9-4059-b9f3-0dd4f615a708}</author>
  </authors>
  <commentList>
    <comment authorId="0" ref="A1">
      <text>
        <t xml:space="preserve">blank for new brands</t>
      </text>
    </comment>
    <comment authorId="0" ref="AG1">
      <text>
        <t xml:space="preserve">Type in #hashtags here</t>
      </text>
    </comment>
    <comment authorId="0" ref="AI1">
      <text>
        <t xml:space="preserve">No longer applicable</t>
      </text>
    </comment>
    <comment authorId="0" ref="D1">
      <text>
        <t xml:space="preserve">Merges multiple brand sets into one cell. Drop Down available</t>
      </text>
    </comment>
    <comment authorId="0" ref="AJ1">
      <text>
        <t xml:space="preserve">Switch to the "Twitter Episodic Keyword Template" tab on this sheet to populate the twitter keyword string.</t>
      </text>
    </comment>
    <comment authorId="0" ref="E1">
      <text>
        <t xml:space="preserve">Merges multiple brand sets into one cell. Drop Down available</t>
      </text>
    </comment>
    <comment authorId="0" ref="AK1">
      <text>
        <t xml:space="preserve">Automatically Populate for brands. This would only have to be populated to create a custom unofficial search term/s</t>
      </text>
    </comment>
    <comment authorId="0" ref="F1">
      <text>
        <t xml:space="preserve">Auto-populates based on genre</t>
      </text>
    </comment>
    <comment authorId="0" ref="G1">
      <text>
        <t xml:space="preserve">optional</t>
      </text>
    </comment>
    <comment authorId="0" ref="J1">
      <text>
        <t xml:space="preserve">Populates based on DAR vs Non-DAR &amp; Network</t>
      </text>
    </comment>
    <comment authorId="0" ref="K1">
      <text>
        <t xml:space="preserve">Merges multiple brand sets into one cell. Drop Down available</t>
      </text>
    </comment>
    <comment authorId="0" ref="L1">
      <text>
        <t xml:space="preserve">t vs f. defaults t</t>
      </text>
    </comment>
    <comment authorId="0" ref="M1">
      <text>
        <t xml:space="preserve">Auto-format</t>
      </text>
    </comment>
    <comment authorId="0" ref="R1">
      <text>
        <t xml:space="preserve">DropDown</t>
      </text>
    </comment>
    <comment authorId="0" ref="S1">
      <text>
        <t xml:space="preserve">defaults F</t>
      </text>
    </comment>
    <comment authorId="0" ref="U1">
      <text>
        <t xml:space="preserve">Insert the full URL of the Twitter account handle (i.e. http:@twittername).</t>
      </text>
    </comment>
    <comment authorId="0" ref="V1">
      <text>
        <t xml:space="preserve">Only insert the IG handle without the @ 
(i.e. the show Taskmaster, or @taskmaster, would be ingested as "taskmaster")</t>
      </text>
    </comment>
    <comment authorId="0" ref="AA1">
      <text>
        <t xml:space="preserve">Boards automatically add based on the user</t>
      </text>
    </comment>
    <comment authorId="1" xr:uid="{00911280-218f-459c-ab6f-9540a716a656}" ref="A1">
      <text>
        <t xml:space="preserve">[Threaded comment]
 Your version of Excel allows you to read this threaded comment; however, any edits to it will get removed if the file is opened in a newer version of Excel. Learn more: https://go.microsoft.com/fwlink/?linkid=870924
Comment:
	Strip so you can add full URL in ingest template tab
</t>
      </text>
    </comment>
    <comment authorId="2" xr:uid="{082a38f0-a4f1-45ef-889f-66f715fabc65}" ref="A1">
      <text>
        <t xml:space="preserve">[Threaded comment]
 Your version of Excel allows you to read this threaded comment; however, any edits to it will get removed if the file is opened in a newer version of Excel. Learn more: https://go.microsoft.com/fwlink/?linkid=870924
Comment:
	Only populates if daypart exists
</t>
      </text>
    </comment>
    <comment authorId="3" xr:uid="{1f8ab01e-4bd7-489e-9b41-d9f54904785e}" ref="A1">
      <text>
        <t xml:space="preserve">[Threaded comment]
 Your version of Excel allows you to read this threaded comment; however, any edits to it will get removed if the file is opened in a newer version of Excel. Learn more: https://go.microsoft.com/fwlink/?linkid=870924
Comment:
	Fix Keyword Formula - Auto populates with dates for Episodic
</t>
      </text>
    </comment>
    <comment authorId="4" xr:uid="{4a26d7a0-512e-4f21-a39a-2b9e97a88160}" ref="A1">
      <text>
        <t xml:space="preserve">[Threaded comment]
 Your version of Excel allows you to read this threaded comment; however, any edits to it will get removed if the file is opened in a newer version of Excel. Learn more: https://go.microsoft.com/fwlink/?linkid=870924
Comment:
	If title is not blank, auto add first run
</t>
      </text>
    </comment>
    <comment authorId="5" xr:uid="{8467d146-d748-484b-bbb6-39c68df2dc89}" ref="A1">
      <text>
        <t xml:space="preserve">[Threaded comment]
 Your version of Excel allows you to read this threaded comment; however, any edits to it will get removed if the file is opened in a newer version of Excel. Learn more: https://go.microsoft.com/fwlink/?linkid=870924
Comment:
	If you add animaiton, action &amp; sci fi, primary genre doesn't populate
</t>
      </text>
    </comment>
    <comment authorId="6" xr:uid="{aea4a5a8-30e7-4f1a-a7f0-4a8000af2c8f}" ref="T1">
      <text>
        <t xml:space="preserve">[Threaded comment]
 Your version of Excel allows you to read this threaded comment; however, any edits to it will get removed if the file is opened in a newer version of Excel. Learn more: https://go.microsoft.com/fwlink/?linkid=870924
Comment:
	Investigate whether it would be possible to automate the attribution windows for Live Events. E.g. The Grammys
</t>
      </text>
    </comment>
    <comment authorId="7" xr:uid="{b68ec82c-898f-430b-97bd-f85e24b9bf0c}" ref="A1">
      <text>
        <t xml:space="preserve">[Threaded comment]
 Your version of Excel allows you to read this threaded comment; however, any edits to it will get removed if the file is opened in a newer version of Excel. Learn more: https://go.microsoft.com/fwlink/?linkid=870924
Comment:
	Auto populate based on title name
</t>
      </text>
    </comment>
    <comment authorId="8" xr:uid="{e466d258-fc40-45de-91ed-fa7823471da2}" ref="A1">
      <text>
        <t xml:space="preserve">[Threaded comment]
 Your version of Excel allows you to read this threaded comment; however, any edits to it will get removed if the file is opened in a newer version of Excel. Learn more: https://go.microsoft.com/fwlink/?linkid=870924
Comment:
	@christopher.philipps@listenfirstmedia.com Do you currently use this worksheet/tab for anything?
Assigned to 
Reply:
	Good to remove.
Reply:
	Great, thanks!
</t>
      </text>
    </comment>
    <comment authorId="9" xr:uid="{e63c4c36-68bf-4655-bc6b-54dcba0eae50}" ref="A1">
      <text>
        <t xml:space="preserve">[Threaded comment]
 Your version of Excel allows you to read this threaded comment; however, any edits to it will get removed if the file is opened in a newer version of Excel. Learn more: https://go.microsoft.com/fwlink/?linkid=870924
Comment:
	Add Twitter keyword modification formats into this template
</t>
      </text>
    </comment>
    <comment authorId="10" xr:uid="{fc198bd6-cfa9-4059-b9f3-0dd4f615a708}" ref="A1">
      <text>
        <t xml:space="preserve">[Threaded comment]
 Your version of Excel allows you to read this threaded comment; however, any edits to it will get removed if the file is opened in a newer version of Excel. Learn more: https://go.microsoft.com/fwlink/?linkid=870924
Comment:
	If title is not blank, auto add English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tc={21572f26-4811-4b58-9c35-a536e3b3a66a}</author>
  </authors>
  <commentList>
    <comment authorId="0" ref="A1">
      <text>
        <t xml:space="preserve">If you assign this to "Standard" it will automatically attach " - DAR" on the BrandDef tab. So, do NOT manually add it to the "Title" name on this sheet. </t>
      </text>
    </comment>
    <comment authorId="0" ref="G1">
      <text>
        <t xml:space="preserve">This will autopopulate as English until otherwise specified. Double check on Metacritic to see if it is a foreign title. </t>
      </text>
    </comment>
    <comment authorId="0" ref="X1">
      <text>
        <t xml:space="preserve">Double check on BrandDef sheet to see if Instagram string is stripped of everything besides the unique instagram handle (no @'s, no "https://")</t>
      </text>
    </comment>
    <comment authorId="0" ref="M1">
      <text>
        <t xml:space="preserve">1. Check to see if it's episodic or episodic +
2. If episodic +, is it the correct subscriber group? (aka |DAR|DAR ending or |TV Ops|TV Ops)</t>
      </text>
    </comment>
    <comment authorId="0" ref="O1">
      <text>
        <t xml:space="preserve">Twitter Hashtag #3</t>
      </text>
    </comment>
    <comment authorId="0" ref="P1">
      <text>
        <t xml:space="preserve">Twitter Hashtag #3</t>
      </text>
    </comment>
    <comment authorId="1" xr:uid="{21572f26-4811-4b58-9c35-a536e3b3a66a}" ref="K1">
      <text>
        <t xml:space="preserve">[Threaded comment]
 Your version of Excel allows you to read this threaded comment; however, any edits to it will get removed if the file is opened in a newer version of Excel. Learn more: https://go.microsoft.com/fwlink/?linkid=870924
Comment:
	Auto populate once brand sets are consolidated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tc={21ef1bdc-4daa-4ad2-8ebd-347406ff8574}</author>
  </authors>
  <commentList>
    <comment authorId="0" xr:uid="{21ef1bdc-4daa-4ad2-8ebd-347406ff8574}" ref="B65">
      <text>
        <t xml:space="preserve">[Threaded comment]
 Your version of Excel allows you to read this threaded comment; however, any edits to it will get removed if the file is opened in a newer version of Excel. Learn more: https://go.microsoft.com/fwlink/?linkid=870924
Comment:
	Remove [DAS] TWDC Total Social Roll-Up temporarily
</t>
      </text>
    </comment>
  </commentList>
</comments>
</file>

<file path=xl/sharedStrings.xml><?xml version="1.0" encoding="utf-8"?>
<sst xmlns="http://schemas.openxmlformats.org/spreadsheetml/2006/main" count="5966" uniqueCount="1347">
  <si>
    <t>Twitter Episodic Keyword Methodology</t>
  </si>
  <si>
    <t>Perspective</t>
  </si>
  <si>
    <t>brand_id</t>
  </si>
  <si>
    <t>Episodic</t>
  </si>
  <si>
    <t>title</t>
  </si>
  <si>
    <t>Episodic +</t>
  </si>
  <si>
    <t>title_category</t>
  </si>
  <si>
    <t>title_sub_category</t>
  </si>
  <si>
    <t>Enter Network Below:</t>
  </si>
  <si>
    <t>genre</t>
  </si>
  <si>
    <t>primary_genre</t>
  </si>
  <si>
    <t>rovi_id</t>
  </si>
  <si>
    <t>ticker_symbol</t>
  </si>
  <si>
    <t>title_content_windows</t>
  </si>
  <si>
    <t>companies</t>
  </si>
  <si>
    <t>brand_set</t>
  </si>
  <si>
    <t>active</t>
  </si>
  <si>
    <t>released_on</t>
  </si>
  <si>
    <t>box_office</t>
  </si>
  <si>
    <t>street_date</t>
  </si>
  <si>
    <t>gross_screen</t>
  </si>
  <si>
    <t>opening_weekend_box_office</t>
  </si>
  <si>
    <t>network</t>
  </si>
  <si>
    <t>Program Type</t>
  </si>
  <si>
    <t>brand_listing_hidden</t>
  </si>
  <si>
    <t>facebook_page</t>
  </si>
  <si>
    <t>twitter_handle</t>
  </si>
  <si>
    <t>1. Default:</t>
  </si>
  <si>
    <t>instagram_user</t>
  </si>
  <si>
    <t>youtube_channel_username</t>
  </si>
  <si>
    <t>(“title name”)(“Network/Studio Name” OR Network/Studio Handle OR Network/Studio Hashtag OR “Year of release" OR "All New" OR Episode OR Watch OR tv OR Show OR Series OR season OR binge OR Stream OR Film OR Movie OR Premiere OR Screening OR Feature OR Trailer OR Teaser OR theater OR release)</t>
  </si>
  <si>
    <t>tiktok_user</t>
  </si>
  <si>
    <t>tumblr_page</t>
  </si>
  <si>
    <t>pinterest_user_username</t>
  </si>
  <si>
    <t>pinterest_board</t>
  </si>
  <si>
    <t>wikipedia_page</t>
  </si>
  <si>
    <t>rottentomatoes</t>
  </si>
  <si>
    <t>imdb_id</t>
  </si>
  <si>
    <t>metacritic</t>
  </si>
  <si>
    <t>facebook_search_terms</t>
  </si>
  <si>
    <t>Release Date</t>
  </si>
  <si>
    <t>twitter_search_terms</t>
  </si>
  <si>
    <t>Title</t>
  </si>
  <si>
    <t>instagram_search_terms</t>
  </si>
  <si>
    <t>Network</t>
  </si>
  <si>
    <t>tumblr_search_terms</t>
  </si>
  <si>
    <t>Daypart</t>
  </si>
  <si>
    <t>twitter_search_term_keywords</t>
  </si>
  <si>
    <t>2. Tier 1 Modification (If the default keyword fails the 75% test)</t>
  </si>
  <si>
    <t>youtube_search_terms</t>
  </si>
  <si>
    <t>(“title name”)(“Network/Studio Name” OR Network/Studio Handle OR Network/Studio Hashtag)</t>
  </si>
  <si>
    <t>reddit_search_terms</t>
  </si>
  <si>
    <t>url_managers</t>
  </si>
  <si>
    <t>2. Tier 2 Modification (If Tier 1 modification fails the 75% test)</t>
  </si>
  <si>
    <t>(“title name”)(“Network/Studio Name”)(network/Studio Handle OR Network/Studio Hashtag)</t>
  </si>
  <si>
    <t>Language Type</t>
  </si>
  <si>
    <t>Genre 1</t>
  </si>
  <si>
    <t>4. Use Human Judgement</t>
  </si>
  <si>
    <t>Genre 2</t>
  </si>
  <si>
    <t>Genre 3</t>
  </si>
  <si>
    <t>TV Brand Sets</t>
  </si>
  <si>
    <t>Conglomerate Brand Sets</t>
  </si>
  <si>
    <t>Twitter Keyword (Search String)</t>
  </si>
  <si>
    <t>Twitter Hashtag 1</t>
  </si>
  <si>
    <t># 2</t>
  </si>
  <si>
    <t># 3</t>
  </si>
  <si>
    <t>Reddit Keyword (Search String)</t>
  </si>
  <si>
    <t>Wikipedia</t>
  </si>
  <si>
    <t>IMDB (URL)</t>
  </si>
  <si>
    <t>Rotten Tomatoes</t>
  </si>
  <si>
    <t>Series &amp; Mini-Series (exclude news &amp; sports)</t>
  </si>
  <si>
    <t>TV Movie</t>
  </si>
  <si>
    <t>Special/Live Event/News/Sports series</t>
  </si>
  <si>
    <t>Metacritic</t>
  </si>
  <si>
    <t>Facebook Page (URL)</t>
  </si>
  <si>
    <t>Twitter Page (URL)</t>
  </si>
  <si>
    <t>.</t>
  </si>
  <si>
    <t>Instagram Account (URL)</t>
  </si>
  <si>
    <t>YouTube (Brand)</t>
  </si>
  <si>
    <t>TikTok</t>
  </si>
  <si>
    <t>Tumblr</t>
  </si>
  <si>
    <t>Pinterest User (Handle)</t>
  </si>
  <si>
    <t>URL Manager</t>
  </si>
  <si>
    <t>TV Shows</t>
  </si>
  <si>
    <t>LF // TV Universe</t>
  </si>
  <si>
    <t>Brand Sets</t>
  </si>
  <si>
    <t>LF // TV // Episodic Plus</t>
  </si>
  <si>
    <t>A&amp;E</t>
  </si>
  <si>
    <t>A+E &gt; TV Roll-up
A+E &gt; TV + Publishing Roll-up
A+E &gt; Film + TV + Publishing Roll-up</t>
  </si>
  <si>
    <t>LF // TV // Episodic</t>
  </si>
  <si>
    <t>ABC</t>
  </si>
  <si>
    <t>LF // Film - Majors + Independents</t>
  </si>
  <si>
    <t>The Walt Disney Company &gt; Overall Roll-up
The Walt Disney Company &gt; TV Roll-up
The Walt Disney Company &gt; TV Broadcast Roll-up
The Walt Disney Company &gt; TV + Publishing Roll-up
The Walt Disney Company &gt; Film + TV + Publishing Roll-up</t>
  </si>
  <si>
    <t>Acorn TV</t>
  </si>
  <si>
    <t>Acorn TV Network</t>
  </si>
  <si>
    <t>t</t>
  </si>
  <si>
    <t>Adult Swim</t>
  </si>
  <si>
    <t>WarnerMedia &gt; Overall Roll-up
WarnerMedia &gt; TV Roll-up
WarnerMedia &gt; TV Cable Roll-up
WarnerMedia &gt; TV + Publishing Roll-up
WarnerMedia &gt; Film + TV + Publishing Roll-up
AT&amp;T Overall Roll-Up</t>
  </si>
  <si>
    <t>ALLBLK</t>
  </si>
  <si>
    <t>ALLBLK TV Network</t>
  </si>
  <si>
    <t>Amazon Prime Video</t>
  </si>
  <si>
    <t>f</t>
  </si>
  <si>
    <r>
      <rPr>
        <rFont val="arial, sans, sans-serif"/>
      </rPr>
      <t xml:space="preserve">Amazon Prime Video TV Network
</t>
    </r>
    <r>
      <rPr>
        <rFont val="arial, sans, sans-serif"/>
        <color rgb="FF0000FF"/>
      </rPr>
      <t>Amazon Prime Video - Emerging Titles
PV Monthly - Emerging Titles</t>
    </r>
  </si>
  <si>
    <t>AMC</t>
  </si>
  <si>
    <t>AMCN &gt; TV Roll-up
AMCN &gt; TV + Publishing Roll-up
AMCN &gt; Film + TV + Publishing Roll-up
AMCN + BBCA Roll-Up
AMC TV Network</t>
  </si>
  <si>
    <t>AMC - Episodic Only
(Series &amp; Mini-Series)</t>
  </si>
  <si>
    <t>AMCN &gt; TV Roll-up
AMCN &gt; TV + Publishing Roll-up
AMCN &gt; Film + TV + Publishing Roll-up
AMC [Custom]-- Episodic Network Roll-Up</t>
  </si>
  <si>
    <t>American Heroes Channel</t>
  </si>
  <si>
    <t>Discovery &gt; TV Roll-up
Discovery &gt; TV + Publishing Roll-up
Discovery &gt; Film + TV + Publishing Roll-up</t>
  </si>
  <si>
    <t>Animal Planet</t>
  </si>
  <si>
    <t>Apple TV+</t>
  </si>
  <si>
    <t>Audience Network</t>
  </si>
  <si>
    <t>AT&amp;T &gt; TV + Publishing Roll-up
AT&amp;T &gt; Film + TV + Publishing Roll-up
AT&amp;T Communications Roll-up
AT&amp;T Overall Roll-Up</t>
  </si>
  <si>
    <t>BabyTV</t>
  </si>
  <si>
    <t>The Walt Disney Company &gt; Overall Roll-up
The Walt Disney Company &gt; TV Roll-up
The Walt Disney Company &gt; TV Cable Roll-up
The Walt Disney Company &gt; TV + Publishing Roll-up
The Walt Disney Company &gt; Film + TV + Publishing Roll-up</t>
  </si>
  <si>
    <t>BBC America</t>
  </si>
  <si>
    <t>AMCN + BBCA Roll-Up
BBC America TV Network</t>
  </si>
  <si>
    <t>BET</t>
  </si>
  <si>
    <t>Paramount &gt; Overall Roll-up
Paramount &gt; TV Roll-up
Paramount &gt; TV Cable Roll-up
Paramount &gt; TV + Publishing Roll-up
Paramount &gt; Film + TV + Publishing Roll-up</t>
  </si>
  <si>
    <t>Boomerang</t>
  </si>
  <si>
    <t>Bravo</t>
  </si>
  <si>
    <t>NBCUniversal &gt; Overall Roll-up
NBCUniversal &gt; TV Roll-up
NBCUniversal &gt; TV Cable Roll-up
NBCUniversal &gt; TV + Publishing Roll-up
NBCUniversal &gt; Film + TV + Publishing Roll-up</t>
  </si>
  <si>
    <t>Cartoon Network</t>
  </si>
  <si>
    <t>CBS</t>
  </si>
  <si>
    <t>Paramount &gt; Overall Roll-up
Paramount &gt; TV Roll-up
Paramount &gt; TV Broadcast Roll-up
Paramount &gt; TV + Publishing Roll-up
Paramount &gt; Film + TV + Publishing Roll-up</t>
  </si>
  <si>
    <t>CBS All Access</t>
  </si>
  <si>
    <t>Centric</t>
  </si>
  <si>
    <t>Chiller</t>
  </si>
  <si>
    <t>Cinemax</t>
  </si>
  <si>
    <t xml:space="preserve">WarnerMedia &gt; Overall Roll-up
WarnerMedia &gt; TV Roll-up
WarnerMedia &gt; TV Cable Roll-up
WarnerMedia &gt; TV + Publishing Roll-up
WarnerMedia &gt; Film + TV + Publishing Roll-up
AT&amp;T Overall Roll-Up
</t>
  </si>
  <si>
    <t>CMT</t>
  </si>
  <si>
    <t>CNBC</t>
  </si>
  <si>
    <t>CNN</t>
  </si>
  <si>
    <t>CNN en Espanol</t>
  </si>
  <si>
    <t>CNN International</t>
  </si>
  <si>
    <t>Comedy Central</t>
  </si>
  <si>
    <t>Cooking Channel</t>
  </si>
  <si>
    <t>Crackle</t>
  </si>
  <si>
    <t>Crime &amp; Investigation Network</t>
  </si>
  <si>
    <t>Destination America</t>
  </si>
  <si>
    <t xml:space="preserve">Discovery </t>
  </si>
  <si>
    <t>Discovery en Español</t>
  </si>
  <si>
    <t>Discovery Familia</t>
  </si>
  <si>
    <t>Discovery Family</t>
  </si>
  <si>
    <t>Discovery Life</t>
  </si>
  <si>
    <t>Discovery+</t>
  </si>
  <si>
    <t>Disney Channel</t>
  </si>
  <si>
    <t>The Walt Disney Company &gt; Overall Roll-up
The Walt Disney Company &gt; TV Roll-up
The Walt Disney Company &gt; TV Cable Roll-up
The Walt Disney Company &gt; TV + Publishing Roll-up
The Walt Disney Company &gt; Film + TV + Publishing Roll-up
[DATG Ad Sales] DCWW Roll-up</t>
  </si>
  <si>
    <t>Disney Junior</t>
  </si>
  <si>
    <t>The Walt Disney Company &gt; Overall Roll-up
The Walt Disney Company &gt; TV Roll-up
The Walt Disney Company &gt; TV Cable Roll-up
The Walt Disney Company &gt; TV + Publishing Roll-up
The Walt Disney Company &gt; Film + TV + Publishing Roll-up
[DATG Ad Sales] DCWW Roll-up</t>
  </si>
  <si>
    <t>Disney XD</t>
  </si>
  <si>
    <t>Disney+</t>
  </si>
  <si>
    <t>Disney+ - Emerging Titles
PV Monthly - Emerging Titles</t>
  </si>
  <si>
    <t>DIY Network</t>
  </si>
  <si>
    <t>E!</t>
  </si>
  <si>
    <t>ESPN</t>
  </si>
  <si>
    <t>The Walt Disney Company &gt; TV Roll-up
The Walt Disney Company &gt; TV + Publishing Roll-up
The Walt Disney Company &gt; Film + TV + Publishing Roll-up
[DATG Ad Sales] ESPN Roll-up</t>
  </si>
  <si>
    <t>ESPN Classic</t>
  </si>
  <si>
    <t>ESPN Deportes</t>
  </si>
  <si>
    <t>ESPN2</t>
  </si>
  <si>
    <t>ESPNews</t>
  </si>
  <si>
    <t>ESPNU</t>
  </si>
  <si>
    <t>Flix</t>
  </si>
  <si>
    <t>Food Network</t>
  </si>
  <si>
    <t>FOX</t>
  </si>
  <si>
    <t>Fox Corporation &gt; Overall Roll-up
Fox Corporation &gt; TV Roll-up
Fox Corporation &gt; TV Broadcast Roll-up
Fox Corporation &gt; TV + Publishing Roll-up
Fox Corporation &gt; Film + TV + Publishing Roll-up</t>
  </si>
  <si>
    <t>Fox Business</t>
  </si>
  <si>
    <t>Fox Corporation &gt; Overall Roll-up
Fox Corporation &gt; TV Roll-up
Fox Corporation &gt; TV Cable Roll-up
Fox Corporation &gt; TV + Publishing Roll-up
Fox Corporation &gt; Film + TV + Publishing Roll-up</t>
  </si>
  <si>
    <t>Fox College Sports</t>
  </si>
  <si>
    <t>Fox Deportes</t>
  </si>
  <si>
    <t>Fox News</t>
  </si>
  <si>
    <t>Fox Soccer</t>
  </si>
  <si>
    <t>Fox Sports 1</t>
  </si>
  <si>
    <t>Fox Sports 2</t>
  </si>
  <si>
    <t>Fox Sports Regional Networks</t>
  </si>
  <si>
    <t>Freeform</t>
  </si>
  <si>
    <t xml:space="preserve">The Walt Disney Company &gt; Overall Roll-up
The Walt Disney Company &gt; TV Roll-up
The Walt Disney Company &gt; TV Cable Roll-up
The Walt Disney Company &gt; TV + Publishing Roll-up
The Walt Disney Company &gt; Film + TV + Publishing Roll-up
[DATG Ad Sales] DCWW Roll-up
</t>
  </si>
  <si>
    <t>FX</t>
  </si>
  <si>
    <t>The Walt Disney Company &gt; Overall Roll-up
The Walt Disney Company &gt; TV Roll-up
The Walt Disney Company &gt; TV Cable Roll-up
The Walt Disney Company &gt; TV + Publishing Roll-up
The Walt Disney Company &gt; Film + TV + Publishing Roll-up
FX All Brands Roll-Up</t>
  </si>
  <si>
    <t>FX Movie</t>
  </si>
  <si>
    <t>FXX</t>
  </si>
  <si>
    <t>FYI</t>
  </si>
  <si>
    <t>Golf Channel</t>
  </si>
  <si>
    <t>Great American Country</t>
  </si>
  <si>
    <t>HBO</t>
  </si>
  <si>
    <t>HBO Latino</t>
  </si>
  <si>
    <t>HBO Max</t>
  </si>
  <si>
    <r>
      <rPr>
        <rFont val="arial, sans, sans-serif"/>
      </rPr>
      <t xml:space="preserve">WarnerMedia &gt; Overall Roll-up
WarnerMedia &gt; TV Roll-up
WarnerMedia &gt; TV Cable Roll-up
WarnerMedia &gt; TV + Publishing Roll-up
WarnerMedia &gt; Film + TV + Publishing Roll-up
AT&amp;T Overall Roll-Up
</t>
    </r>
    <r>
      <rPr>
        <rFont val="arial, sans, sans-serif"/>
        <color rgb="FF0000FF"/>
      </rPr>
      <t>HBO Max - Emerging Titles
PV Monthly - Emerging Titles</t>
    </r>
  </si>
  <si>
    <t>HGTV</t>
  </si>
  <si>
    <t>History</t>
  </si>
  <si>
    <t>HLN</t>
  </si>
  <si>
    <t>Hulu</t>
  </si>
  <si>
    <r>
      <rPr>
        <rFont val="arial, sans, sans-serif"/>
      </rPr>
      <t xml:space="preserve">Originals (Operated by Hulu)
</t>
    </r>
    <r>
      <rPr>
        <rFont val="arial, sans, sans-serif"/>
        <color rgb="FF0000FF"/>
      </rPr>
      <t>Hulu - Emerging Titles
PV Monthly - Emerging Titles</t>
    </r>
  </si>
  <si>
    <t>IFC</t>
  </si>
  <si>
    <t>AMCN &gt; TV Roll-up
AMCN &gt; TV + Publishing Roll-up
AMCN &gt; Film + TV + Publishing Roll-up
AMCN + BBCA Roll-Up
IFC TV Network</t>
  </si>
  <si>
    <t>Investigation Discovery</t>
  </si>
  <si>
    <t>Lifetime</t>
  </si>
  <si>
    <t>Lifetime Movies</t>
  </si>
  <si>
    <t>Logo TV</t>
  </si>
  <si>
    <t>LOL Network</t>
  </si>
  <si>
    <t>MS Now</t>
  </si>
  <si>
    <t>MTV</t>
  </si>
  <si>
    <t>MTV Classic</t>
  </si>
  <si>
    <t>MTV Live</t>
  </si>
  <si>
    <t>MTV Tres</t>
  </si>
  <si>
    <t>MTV2</t>
  </si>
  <si>
    <t>MTVU</t>
  </si>
  <si>
    <t>MyNetworkTV</t>
  </si>
  <si>
    <t>Nat Geo Mundo</t>
  </si>
  <si>
    <t>Nat Geo Wild</t>
  </si>
  <si>
    <t>National Geographic</t>
  </si>
  <si>
    <t>NBC</t>
  </si>
  <si>
    <t>NBCUniversal &gt; Overall Roll-up
NBCUniversal &gt; TV Roll-up
NBCUniversal &gt; TV Broadcast Roll-up
NBCUniversal &gt; TV + Publishing Roll-up
NBCUniversal &gt; Film + TV + Publishing Roll-up</t>
  </si>
  <si>
    <t>NBC Peacock</t>
  </si>
  <si>
    <t>NBCUniversal &gt; Overall Roll-up
NBCUniversal &gt; TV Roll-up
NBCUniversal &gt; TV + Publishing Roll-up
NBCUniversal &gt; Film + TV + Publishing Roll-up</t>
  </si>
  <si>
    <t>NBC Sports Network (NBCSN)</t>
  </si>
  <si>
    <t>NBC Universo</t>
  </si>
  <si>
    <t>Netflix</t>
  </si>
  <si>
    <t>Netflix - Emerging Titles
PV Monthly - Emerging Titles</t>
  </si>
  <si>
    <t>Nick at Nite</t>
  </si>
  <si>
    <t>Nick Jr.</t>
  </si>
  <si>
    <t>Nickelodeon</t>
  </si>
  <si>
    <t>NickMusic</t>
  </si>
  <si>
    <t>Nicktoons</t>
  </si>
  <si>
    <t>OWN</t>
  </si>
  <si>
    <t>Oxygen</t>
  </si>
  <si>
    <t>Paramount Network</t>
  </si>
  <si>
    <t xml:space="preserve">Paramount &gt; Overall Roll-up
Paramount &gt; TV Roll-up
Paramount &gt; TV Cable Roll-up
Paramount &gt; TV + Publishing Roll-up
Paramount &gt; Film + TV + Publishing Roll-up
</t>
  </si>
  <si>
    <t>Science Channel</t>
  </si>
  <si>
    <t>SEC Network</t>
  </si>
  <si>
    <t>Showtime</t>
  </si>
  <si>
    <t>Shudder</t>
  </si>
  <si>
    <t>Shudder TV Network</t>
  </si>
  <si>
    <t>Smithsonian Channel</t>
  </si>
  <si>
    <t>Spectrum</t>
  </si>
  <si>
    <t>Starz</t>
  </si>
  <si>
    <t>Sundance Now</t>
  </si>
  <si>
    <t xml:space="preserve">
Sundance Now TV Network</t>
  </si>
  <si>
    <t>SundanceTV</t>
  </si>
  <si>
    <t>AMCN &gt; TV Roll-up
AMCN &gt; TV + Publishing Roll-up
AMCN &gt; Film + TV + Publishing Roll-up
AMCN + BBCA Roll-Up
Sundance TV Network</t>
  </si>
  <si>
    <t>SundanceTV - Episodic Only
(Series &amp; Mini-Series)</t>
  </si>
  <si>
    <t>AMCN &gt; TV Roll-up
AMCN &gt; TV + Publishing Roll-up
AMCN &gt; Film + TV + Publishing Roll-up
SUNDANCETV [Custom] Episodic Network Roll-Up</t>
  </si>
  <si>
    <t>Syfy</t>
  </si>
  <si>
    <t>TBS</t>
  </si>
  <si>
    <t>TeenNick</t>
  </si>
  <si>
    <t>Telemundo</t>
  </si>
  <si>
    <t>The Movie Channel</t>
  </si>
  <si>
    <t>The Travel Channel</t>
  </si>
  <si>
    <t>The Weather Channel</t>
  </si>
  <si>
    <t>TLC</t>
  </si>
  <si>
    <t>TNT</t>
  </si>
  <si>
    <t>truTV</t>
  </si>
  <si>
    <t>Turner Classic Movies</t>
  </si>
  <si>
    <t>Turner Sports</t>
  </si>
  <si>
    <t>TV Land</t>
  </si>
  <si>
    <t>Universal HD</t>
  </si>
  <si>
    <t>Universal Kids</t>
  </si>
  <si>
    <t>USA Network</t>
  </si>
  <si>
    <t>Velocity</t>
  </si>
  <si>
    <t>VH1</t>
  </si>
  <si>
    <t>WE tv</t>
  </si>
  <si>
    <t>AMCN &gt; TV Roll-up
AMCN &gt; TV + Publishing Roll-up
AMCN &gt; Film + TV + Publishing Roll-up
AMCN + BBCA Roll-Up
WE tv Network</t>
  </si>
  <si>
    <t>YouTube Premium</t>
  </si>
  <si>
    <t>https://docs.google.com/spreadsheets/d/1AAey3TzFsPA-MkFPbl3F4HUzbMUV_I-5Cg_irPoyJMU/edit#gid=360161018</t>
  </si>
  <si>
    <t>Subscribers</t>
  </si>
  <si>
    <t>Companies</t>
  </si>
  <si>
    <t>Network Type</t>
  </si>
  <si>
    <t>Ticker Symbol</t>
  </si>
  <si>
    <t>YouTube (Company)</t>
  </si>
  <si>
    <t>Twitter Keyword String</t>
  </si>
  <si>
    <t>Title Sub Categories</t>
  </si>
  <si>
    <t>Daypart Times</t>
  </si>
  <si>
    <t>Genres</t>
  </si>
  <si>
    <t>List of Regular Genres
(in Order of Operation)</t>
  </si>
  <si>
    <t>Mapped Primary Genre</t>
  </si>
  <si>
    <t>COPS Proposed Primary Genres</t>
  </si>
  <si>
    <t>Reddit Keyword String</t>
  </si>
  <si>
    <t>A+E Networks</t>
  </si>
  <si>
    <t>A&amp;E Television Networks</t>
  </si>
  <si>
    <t>Network - Ad Supported Cable</t>
  </si>
  <si>
    <t>https://www.youtube.com/user/AETV</t>
  </si>
  <si>
    <t>"A&amp;E" OR @AETV OR #AETV</t>
  </si>
  <si>
    <t>Daypart - Early Morning</t>
  </si>
  <si>
    <t>Daypart - Early Morning (5:00am-9:00am)</t>
  </si>
  <si>
    <t>Action</t>
  </si>
  <si>
    <t>Customized List of WorldQuant Tracked Russell 3000 Brands</t>
  </si>
  <si>
    <t>Game Show</t>
  </si>
  <si>
    <t>"A&amp;E" | @AETV | #AETV</t>
  </si>
  <si>
    <t>American Broadcasting Company</t>
  </si>
  <si>
    <t>Network - Broadcast</t>
  </si>
  <si>
    <t>DIS</t>
  </si>
  <si>
    <t>https://www.youtube.com/user/ABCNetwork</t>
  </si>
  <si>
    <t>"ABC" OR @ABCNetwork OR #ABC OR #ABCNetwork</t>
  </si>
  <si>
    <t>Daypart - Daytime</t>
  </si>
  <si>
    <t>Daypart - Daytime (9:00am-3:00pm)</t>
  </si>
  <si>
    <t>Adventure</t>
  </si>
  <si>
    <t>Miscellaneous</t>
  </si>
  <si>
    <t>Sport</t>
  </si>
  <si>
    <t>"ABC" | @ABCNetwork | #ABC | #ABCNetwork</t>
  </si>
  <si>
    <t>Operations - Core Title</t>
  </si>
  <si>
    <t>ABCd</t>
  </si>
  <si>
    <t>Network - Streaming</t>
  </si>
  <si>
    <t>https://www.youtube.com/channel/UCrv0IvSihq8SiaHG3GJtDFw</t>
  </si>
  <si>
    <t>Daypart - Early Fringe</t>
  </si>
  <si>
    <t>Daypart - Early Fringe (3:00pm-5:00pm)</t>
  </si>
  <si>
    <t>Animation</t>
  </si>
  <si>
    <t>Competitive View</t>
  </si>
  <si>
    <t>News</t>
  </si>
  <si>
    <t>T</t>
  </si>
  <si>
    <t>https://www.youtube.com/user/adultswim</t>
  </si>
  <si>
    <t>"Adult Swim" OR @adultswim OR #AdultSwim</t>
  </si>
  <si>
    <t>Daypart - Early News</t>
  </si>
  <si>
    <t>Daypart - Early News (5:00pm-7:00pm)</t>
  </si>
  <si>
    <t>Biography</t>
  </si>
  <si>
    <t>CNN Espanol Network Roll-up</t>
  </si>
  <si>
    <t>Talk Show</t>
  </si>
  <si>
    <t>"Adult Swim" | @adultswim | #AdultSwim</t>
  </si>
  <si>
    <t>Al Jazeera America</t>
  </si>
  <si>
    <t>https://www.youtube.com/user/AlJazeeraAmerica</t>
  </si>
  <si>
    <t>Daypart - Prime Access</t>
  </si>
  <si>
    <t>Daypart - Prime Access (7:00pm-8:00pm)</t>
  </si>
  <si>
    <t>Comedy</t>
  </si>
  <si>
    <t>CSN Bay Area Network Roll-up</t>
  </si>
  <si>
    <t>Family</t>
  </si>
  <si>
    <t>AMZN</t>
  </si>
  <si>
    <t>https://www.youtube.com/user/amazonstudios
https://www.youtube.com/@AmazonMGMStudios</t>
  </si>
  <si>
    <t>"prime video" or "amazon studios" or "amazon mgm studios" or @primevideo or @amazonmgmstudio or @primemovies OR #primevideo or #amazonmgmstudios or #primemovies or #amazonstudios</t>
  </si>
  <si>
    <t>Daypart - Prime Time</t>
  </si>
  <si>
    <t>Daypart - Prime Time (8:00pm-11:00pm (M-Sat) / 7:00pm-11:00pm (Sun))</t>
  </si>
  <si>
    <t>Crime</t>
  </si>
  <si>
    <t>CSN Chicago Network Roll-up</t>
  </si>
  <si>
    <t>Documentary</t>
  </si>
  <si>
    <t>https://www.youtube.com/user/amazonstudios</t>
  </si>
  <si>
    <t>"prime video" | "amazon studios" | "amazon mgm studios" | @primevideo | @amazonmgmstudio | @primemovies | #primevideo | #amazonmgmstudios | #primemovies | #amazonstudios</t>
  </si>
  <si>
    <t>AMCX</t>
  </si>
  <si>
    <t>https://www.youtube.com/channel/UCmxURUIJXKnoC7_i1fPhs7Q</t>
  </si>
  <si>
    <t>"AMC" OR @AMC_TV OR #AMCTV</t>
  </si>
  <si>
    <t>Daypart - Late News</t>
  </si>
  <si>
    <t>Daypart - Late News (11:00pm-11:30pm)</t>
  </si>
  <si>
    <t>CSN Mid-Atlantic Network Roll-up</t>
  </si>
  <si>
    <t>Reality</t>
  </si>
  <si>
    <t>"AMC" | @AMC_TV | #AMCTV</t>
  </si>
  <si>
    <t>Warner Bros.</t>
  </si>
  <si>
    <t>DISCB</t>
  </si>
  <si>
    <t>https://www.youtube.com/user/MilitaryChannel</t>
  </si>
  <si>
    <t>"American Heroes Channel" OR @ahc_tv OR #AHCTV OR #AmericanHeroesChannel</t>
  </si>
  <si>
    <t>Daypart - Late Fringe</t>
  </si>
  <si>
    <t>Daypart - Late Fringe (11:30pm-2:00am)</t>
  </si>
  <si>
    <t>Drama</t>
  </si>
  <si>
    <t>CSN NE Network Roll-up</t>
  </si>
  <si>
    <t>"American Heroes Channel" | @ahc_tv | #AHCTV | #AmericanHeroesChannel</t>
  </si>
  <si>
    <t>https://www.youtube.com/user/AnimalPlanetTV</t>
  </si>
  <si>
    <t>"Animal Planet" OR @AnimalPlanet OR #AnimalPlanet</t>
  </si>
  <si>
    <t>Daypart - Post Late Fringe</t>
  </si>
  <si>
    <t>Daypart - Post Late Fringe (2:00am-5:00am)</t>
  </si>
  <si>
    <t>CSN Philadelphia Network Roll-up</t>
  </si>
  <si>
    <t>"Animal Planet" | @AnimalPlanet | #AnimalPlanet</t>
  </si>
  <si>
    <t>AOL</t>
  </si>
  <si>
    <t>https://www.youtube.com/user/aolonoriginals</t>
  </si>
  <si>
    <t>Daypart - Other</t>
  </si>
  <si>
    <t>Fantasy</t>
  </si>
  <si>
    <t>Discovery en Espanol Network Roll-up</t>
  </si>
  <si>
    <t>Business</t>
  </si>
  <si>
    <t>Apple Services</t>
  </si>
  <si>
    <t>AAPL</t>
  </si>
  <si>
    <t>https://www.youtube.com/channel/UC1Myj674wRVXB9I4c6Hm5zA</t>
  </si>
  <si>
    <t>"Apple TV+" OR "Apple TV" OR @AppleTV OR #AppleTVPlus OR #AppleTV</t>
  </si>
  <si>
    <t>Program Type - Series</t>
  </si>
  <si>
    <t>Film Noir</t>
  </si>
  <si>
    <t>Discovery Max Network Roll-up</t>
  </si>
  <si>
    <t>Childrens</t>
  </si>
  <si>
    <t>"Apple TV+" | "Apple TV" | @AppleTV | #AppleTVPlus | #AppleTV</t>
  </si>
  <si>
    <t>https://www.youtube.com/user/AudienceDIRECTV</t>
  </si>
  <si>
    <t>"Audience Network" OR #AudienceNetwork</t>
  </si>
  <si>
    <t>Program Type - Mini-Series</t>
  </si>
  <si>
    <t>Encore Espanol Network Roll-up</t>
  </si>
  <si>
    <t>Education</t>
  </si>
  <si>
    <t>"Audience Network" | #AudienceNetwork</t>
  </si>
  <si>
    <t>AXS TV</t>
  </si>
  <si>
    <t>https://www.youtube.com/channel/UC63mcQWLH1qw9Jg2ED1Y8WA</t>
  </si>
  <si>
    <t>"AXS TV" OR @AXSTV OR #AXSTV</t>
  </si>
  <si>
    <t>Program Type - Special</t>
  </si>
  <si>
    <t>PBS Kids Network Roll-up</t>
  </si>
  <si>
    <t>Music</t>
  </si>
  <si>
    <t>"AXS TV" | @AXSTV | #AXSTV</t>
  </si>
  <si>
    <t>Azteca</t>
  </si>
  <si>
    <t>https://www.youtube.com/user/AzAmerica</t>
  </si>
  <si>
    <t>Program Type - TV Movie</t>
  </si>
  <si>
    <t>Horror</t>
  </si>
  <si>
    <t>Pivot Network Roll-up</t>
  </si>
  <si>
    <t>Awards</t>
  </si>
  <si>
    <t>https://www.youtube.com/user/BBCAmericaTV</t>
  </si>
  <si>
    <t>"BBC America" OR @BBCAMERICA OR #BBCAmerica</t>
  </si>
  <si>
    <t>Program Type - Live Event</t>
  </si>
  <si>
    <t>Azteca Network Roll-up</t>
  </si>
  <si>
    <t>"BBC America" | @BBCAMERICA | #BBCAmerica</t>
  </si>
  <si>
    <t>beIN Espanol</t>
  </si>
  <si>
    <t>https://www.youtube.com/user/BeINsportUSA</t>
  </si>
  <si>
    <t>Program Type - Block</t>
  </si>
  <si>
    <t>Musical</t>
  </si>
  <si>
    <t>beIN Espanol Network Roll-up</t>
  </si>
  <si>
    <t>Viacom</t>
  </si>
  <si>
    <t>VIA</t>
  </si>
  <si>
    <t>https://www.youtube.com/user/BETNetworks</t>
  </si>
  <si>
    <t>"BET" OR @BET OR #BET OR #BETNetwork</t>
  </si>
  <si>
    <t>Mystery</t>
  </si>
  <si>
    <t>beIN Sports Network Roll-up</t>
  </si>
  <si>
    <t>Religion</t>
  </si>
  <si>
    <t>"BET" | @BET | #BET | #BETNetwork</t>
  </si>
  <si>
    <t>BET Her</t>
  </si>
  <si>
    <t>https://www.youtube.com/channel/UCoRPneJymvaGJZAFSg8vDlg</t>
  </si>
  <si>
    <t>"BET Her" OR @BETherTV OR #BETherTV OR #BETher</t>
  </si>
  <si>
    <t>Network - Premium Cable</t>
  </si>
  <si>
    <t>SEC Network Roll-up</t>
  </si>
  <si>
    <t>Cooking</t>
  </si>
  <si>
    <t>"BET Her" | @BETherTV | #BETherTV | #BETher</t>
  </si>
  <si>
    <t>BET+</t>
  </si>
  <si>
    <t>"BET+" OR #BETPlus OR @betplus</t>
  </si>
  <si>
    <t>Sky Atlantic Network Roll-up</t>
  </si>
  <si>
    <t>"BET+" | #BETPlus</t>
  </si>
  <si>
    <t>Big Ten Network</t>
  </si>
  <si>
    <t>https://www.youtube.com/user/bigtennetwork</t>
  </si>
  <si>
    <t>Romance</t>
  </si>
  <si>
    <t>ESPN Deportes Network Roll-up</t>
  </si>
  <si>
    <t>Bloomberg TV</t>
  </si>
  <si>
    <t>https://www.youtube.com/user/Bloomberg</t>
  </si>
  <si>
    <t>Language Type - English</t>
  </si>
  <si>
    <t>Sci Fi</t>
  </si>
  <si>
    <t>Estrella TV Network Roll-up</t>
  </si>
  <si>
    <t>Bounce TV</t>
  </si>
  <si>
    <t>https://www.youtube.com/user/BounceTVOurWay</t>
  </si>
  <si>
    <t>"Bounce TV" OR @bouncetv OR #BounceTV OR #Bounce</t>
  </si>
  <si>
    <t>Language Type - Other</t>
  </si>
  <si>
    <t>Short</t>
  </si>
  <si>
    <t>FOX Deportes Network Roll-up</t>
  </si>
  <si>
    <t>"Bounce TV" | @bouncetv | #BounceTV | #Bounce</t>
  </si>
  <si>
    <t>NBCU Research - Entertainment Networks</t>
  </si>
  <si>
    <t>Bravo!</t>
  </si>
  <si>
    <t>CMCSA</t>
  </si>
  <si>
    <t>https://www.youtube.com/user/VideoByBravo</t>
  </si>
  <si>
    <t>"Bravo" OR @BravoTV OR #BravoTV OR #Bravo</t>
  </si>
  <si>
    <t>Fox Play Network Roll-up</t>
  </si>
  <si>
    <t>"Bravo" | @BravoTV | #BravoTV | #Bravo</t>
  </si>
  <si>
    <t>BYUtv</t>
  </si>
  <si>
    <t>https://www.youtube.com/user/BYUTelevision</t>
  </si>
  <si>
    <t>"BYUtv" OR @byutv OR #BYUtv</t>
  </si>
  <si>
    <t>Fox Sports 2 Network Roll-up</t>
  </si>
  <si>
    <t>"BYUtv" | @byutv | #BYUtv</t>
  </si>
  <si>
    <t>Canal Sur TV</t>
  </si>
  <si>
    <t>https://www.youtube.com/user/canalsur</t>
  </si>
  <si>
    <t>Thriller</t>
  </si>
  <si>
    <t>Fox Sports 1 Network Roll-up</t>
  </si>
  <si>
    <t>https://www.youtube.com/user/cartoonnetwork</t>
  </si>
  <si>
    <t>"Cartoon Network" OR @cartoonnetwork OR #cartoonnetwork</t>
  </si>
  <si>
    <t>War</t>
  </si>
  <si>
    <t>Telecinco Network Roll-up</t>
  </si>
  <si>
    <t>"Cartoon Network" | @cartoonnetwork | #cartoonnetwork</t>
  </si>
  <si>
    <t>https://www.youtube.com/user/CBS</t>
  </si>
  <si>
    <t>"CBS" OR @CBS OR #CBS</t>
  </si>
  <si>
    <t>Western</t>
  </si>
  <si>
    <t>TeleFutura Network Roll-up</t>
  </si>
  <si>
    <t>"CBS" | @CBS | #CBS</t>
  </si>
  <si>
    <t>https://www.youtube.com/channel/UCrRttZIypNTA1Mrfwo745Sg</t>
  </si>
  <si>
    <t>"CBS All Access" OR #CBSAllAccess</t>
  </si>
  <si>
    <t>Kids</t>
  </si>
  <si>
    <t>Unimas Network Roll-up</t>
  </si>
  <si>
    <t>"CBS All Access" | #CBSAllAccess</t>
  </si>
  <si>
    <t>https://www.youtube.com/user/chiller/</t>
  </si>
  <si>
    <t>Reality Competition</t>
  </si>
  <si>
    <t>MundoMax Network Roll-up</t>
  </si>
  <si>
    <t>https://www.youtube.com/user/Cinemax</t>
  </si>
  <si>
    <t>"Cinemax" OR @Cinemax OR #Cinemax</t>
  </si>
  <si>
    <t>Nat Geo Mundo Network Roll-up</t>
  </si>
  <si>
    <t>"Cinemax" | @Cinemax | #Cinemax</t>
  </si>
  <si>
    <t>Cloo</t>
  </si>
  <si>
    <t>https://www.youtube.com/user/ClooTV</t>
  </si>
  <si>
    <t>Variety</t>
  </si>
  <si>
    <t>NBC Deportes Network Roll-up</t>
  </si>
  <si>
    <t>N/A</t>
  </si>
  <si>
    <t>https://www.youtube.com/user/cmtvideo</t>
  </si>
  <si>
    <t>"CMT" OR @CMT OR #CMT OR #countrymusictelevision OR #CMTmusicchannel OR #CMTmusic</t>
  </si>
  <si>
    <t>NBC Sports Network Network Roll-up</t>
  </si>
  <si>
    <t>"CMT" | @CMT | #CMT | #countrymusictelevision | #CMTmusicchannel | #CMTmusic</t>
  </si>
  <si>
    <t>https://www.youtube.com/user/CNBCtv</t>
  </si>
  <si>
    <t>"CNBC" OR @CNBC OR #cnbc</t>
  </si>
  <si>
    <t>Comedy Drama</t>
  </si>
  <si>
    <t>NBC Universo Network Roll-up</t>
  </si>
  <si>
    <t>"CNBC" | @CNBC | #cnbc</t>
  </si>
  <si>
    <t>CNBC World</t>
  </si>
  <si>
    <t>"CNBC World" OR #cnbcworld</t>
  </si>
  <si>
    <t>Univision Network Roll-up</t>
  </si>
  <si>
    <t>"CNBC World" | #cnbcworld</t>
  </si>
  <si>
    <t>https://www.youtube.com/user/CNN</t>
  </si>
  <si>
    <t>"CNN" OR @CNN OR #cnn</t>
  </si>
  <si>
    <t>Univision tlnovelas Network Roll-up</t>
  </si>
  <si>
    <t>"CNN" | @CNN | #cnn</t>
  </si>
  <si>
    <t>CNN Espanol</t>
  </si>
  <si>
    <t>https://www.youtube.com/user/cnnenespanolcom</t>
  </si>
  <si>
    <t>Yahoo! Screen Network Roll-up</t>
  </si>
  <si>
    <t>https://www.youtube.com/user/comedycentral</t>
  </si>
  <si>
    <t>"Comedy Central" OR @ComedyCentral OR #comedycentral</t>
  </si>
  <si>
    <t>History Channel en Espanol Network Roll-up</t>
  </si>
  <si>
    <t>"Comedy Central" | @ComedyCentral | #comedycentral</t>
  </si>
  <si>
    <t>https://www.youtube.com/user/CookingChannel</t>
  </si>
  <si>
    <t>"Cooking Channel" OR @CookingChannel OR #cookingchannel</t>
  </si>
  <si>
    <t>HBO Latino Network Roll-up</t>
  </si>
  <si>
    <t>"Cooking Channel" | @CookingChannel | #cookingchannel</t>
  </si>
  <si>
    <t>https://www.youtube.com/user/Crackle</t>
  </si>
  <si>
    <t>"Crackle" OR @Crackle_TV OR #crackletv OR #sonycrackle</t>
  </si>
  <si>
    <t>Golf Channel Network Roll-up</t>
  </si>
  <si>
    <t>"Crackle" | @Crackle_TV | #crackletv | #sonycrackle</t>
  </si>
  <si>
    <t>Crime &amp; Investigation</t>
  </si>
  <si>
    <t>https://www.youtube.com/user/CrimeandInvestigat</t>
  </si>
  <si>
    <t>Go90 Network Roll-up</t>
  </si>
  <si>
    <t>CSPAN</t>
  </si>
  <si>
    <t>https://www.youtube.com/user/CSPAN</t>
  </si>
  <si>
    <t>"CSPAN" OR @cspan OR #cspan</t>
  </si>
  <si>
    <t>Galavision Network Roll-up</t>
  </si>
  <si>
    <t>"CSPAN" | @cspan | #cspan</t>
  </si>
  <si>
    <t>CSPAN 2</t>
  </si>
  <si>
    <t>TBS Roll-Up - No Conan</t>
  </si>
  <si>
    <t>https://www.youtube.com/user/DestinationAmerica</t>
  </si>
  <si>
    <t>"Destination America" OR @DestAmerica OR #destinationamerica</t>
  </si>
  <si>
    <t>TBS Roll-Up No Sports</t>
  </si>
  <si>
    <t>"Destination America" | @DestAmerica | #destinationamerica</t>
  </si>
  <si>
    <t>DIRECTV</t>
  </si>
  <si>
    <t>https://www.youtube.com/user/DIRECTV</t>
  </si>
  <si>
    <t>TNT Roll-Up No Sports</t>
  </si>
  <si>
    <t>Discovery Communications</t>
  </si>
  <si>
    <t>Discovery</t>
  </si>
  <si>
    <t>https://www.youtube.com/user/DiscoveryNetworks</t>
  </si>
  <si>
    <t>"Discovery Channel" OR @Discovery OR #discoverychannel</t>
  </si>
  <si>
    <t>TBS Roll-Up No Sports/Conan</t>
  </si>
  <si>
    <t>Discovery Channel</t>
  </si>
  <si>
    <t>"Discovery Channel" | @Discovery | #discoverychannel</t>
  </si>
  <si>
    <t>Discovery en Espanol</t>
  </si>
  <si>
    <t>https://www.youtube.com/user/SUD</t>
  </si>
  <si>
    <t>LF // TV Universe // Episodic Plus</t>
  </si>
  <si>
    <t>LF // TV Universe // Episodic</t>
  </si>
  <si>
    <t>"Discovery Family" OR @discoveryfamily OR #discoveryfamily</t>
  </si>
  <si>
    <t>A&amp;E-- Episodic Network Roll-Up</t>
  </si>
  <si>
    <t>"Discovery Family" | @discoveryfamily | #discoveryfamily</t>
  </si>
  <si>
    <t>https://www.youtube.com/user/DiscoveryHealth</t>
  </si>
  <si>
    <t>"Discovery Life" OR @disclifechannel OR #discoverylife</t>
  </si>
  <si>
    <t>ABC-- Episodic Network Roll-Up</t>
  </si>
  <si>
    <t>"Discovery Life" | @disclifechannel | #discoverylife</t>
  </si>
  <si>
    <t>Disney Ad Sales</t>
  </si>
  <si>
    <t>http://www.youtube.com/user/disneychannel</t>
  </si>
  <si>
    <t>"Disney Channel" OR @DisneyChannel OR #DisneyChannel</t>
  </si>
  <si>
    <t>Amazon Prime Video-- Episodic Network Roll-Up</t>
  </si>
  <si>
    <t>"Disney Channel" | @DisneyChannel | #DisneyChannel</t>
  </si>
  <si>
    <t>https://www.youtube.com/user/disneyjunior</t>
  </si>
  <si>
    <t>"Disney Junior" OR @DisneyJunior OR #DisneyJunior</t>
  </si>
  <si>
    <t>AMC-- Episodic Network Roll-Up</t>
  </si>
  <si>
    <t>"Disney Junior" | @DisneyJunior | #DisneyJunior</t>
  </si>
  <si>
    <t>https://www.youtube.com/user/disneyxd</t>
  </si>
  <si>
    <t>"Disney XD" OR @DisneyXD OR #DisneyXD</t>
  </si>
  <si>
    <t>American Heroes Channel-- Episodic Network Roll-Up</t>
  </si>
  <si>
    <t>"Disney XD" | @DisneyXD | #DisneyXD</t>
  </si>
  <si>
    <t>https://www.youtube.com/channel/UCIrgJInjLS2BhlHOMDW7v0g</t>
  </si>
  <si>
    <t>"Disney+" OR "Disney Plus" OR @DisneyPlus OR #DisneyPlus</t>
  </si>
  <si>
    <t>Animal Planet-- Episodic Network Roll-Up</t>
  </si>
  <si>
    <t>https://www.youtube.com/user/disneysshows</t>
  </si>
  <si>
    <t>"Disney+" | "Disney Plus" | @DisneyPlus | #DisneyPlus</t>
  </si>
  <si>
    <t>DIY</t>
  </si>
  <si>
    <t>https://www.youtube.com/user/DIYNetwork</t>
  </si>
  <si>
    <t>Aspire-- Episodic Network Roll-Up</t>
  </si>
  <si>
    <t>E! Entertainment</t>
  </si>
  <si>
    <t>E! Entertainment Television</t>
  </si>
  <si>
    <t>https://www.youtube.com/user/EEntertainment</t>
  </si>
  <si>
    <t>"E! Entertainment" OR #Eentertainment OR @eentertainment</t>
  </si>
  <si>
    <t>Audience Network-- Episodic Network Roll-Up</t>
  </si>
  <si>
    <t>"E! Entertainment" | #Eentertainment | @eentertainment</t>
  </si>
  <si>
    <t>Encore</t>
  </si>
  <si>
    <t>AWE-- Episodic Network Roll-Up</t>
  </si>
  <si>
    <t>Encore Español</t>
  </si>
  <si>
    <t>BBC America-- Episodic Network Roll-Up</t>
  </si>
  <si>
    <t>MGM Studios</t>
  </si>
  <si>
    <t>Metro-Goldwyn-Mayer</t>
  </si>
  <si>
    <t>MGM+</t>
  </si>
  <si>
    <t>https://www.youtube.com/user/EPIXHD</t>
  </si>
  <si>
    <t>"MGM+" OR @mgmplus OR #mgmplus</t>
  </si>
  <si>
    <t>BET-- Episodic Network Roll-Up</t>
  </si>
  <si>
    <t>"MGM+"</t>
  </si>
  <si>
    <t>https://www.youtube.com/user/ESPN</t>
  </si>
  <si>
    <t>"ESPN" OR @ESPN OR #ESPN</t>
  </si>
  <si>
    <t>Bounce TV-- Episodic Network Roll-Up</t>
  </si>
  <si>
    <t>"ESPN"</t>
  </si>
  <si>
    <t>Bravo-- Episodic Network Roll-Up</t>
  </si>
  <si>
    <t>https://www.youtube.com/user/espndeportesoficial</t>
  </si>
  <si>
    <t>BYUtv-- Episodic Network Roll-Up</t>
  </si>
  <si>
    <t>ESPN News</t>
  </si>
  <si>
    <t>Cartoon Network-- Episodic Network Roll-Up</t>
  </si>
  <si>
    <t>"ESPN2" OR #ESPN2</t>
  </si>
  <si>
    <t>CBS-- Episodic Network Roll-Up</t>
  </si>
  <si>
    <t>"ESPN2" | #ESPN2</t>
  </si>
  <si>
    <t>https://www.youtube.com/user/espnu</t>
  </si>
  <si>
    <t>"ESPNU" OR @ESPNU OR #ESPNU</t>
  </si>
  <si>
    <t>Bet Her-- Episodic Network Roll-Up</t>
  </si>
  <si>
    <t>"ESPNU" | @ESPNU | #ESPNU</t>
  </si>
  <si>
    <t>Esquire</t>
  </si>
  <si>
    <t>https://www.youtube.com/user/G4TV</t>
  </si>
  <si>
    <t>Chiller-- Episodic Network Roll-Up</t>
  </si>
  <si>
    <t>Estrella TV</t>
  </si>
  <si>
    <t>https://www.youtube.com/user/canalestrellatv</t>
  </si>
  <si>
    <t>Cinemax-- Episodic Network Roll-Up</t>
  </si>
  <si>
    <t>EVINE Live</t>
  </si>
  <si>
    <t>https://www.youtube.com/user/evinelive</t>
  </si>
  <si>
    <t>CMT-- Episodic Network Roll-Up</t>
  </si>
  <si>
    <t>EWTN</t>
  </si>
  <si>
    <t>https://www.youtube.com/user/EWTN</t>
  </si>
  <si>
    <t>Comedy Central-- Episodic Network Roll-Up</t>
  </si>
  <si>
    <t>https://www.youtube.com/user/FoodNetworkTV</t>
  </si>
  <si>
    <t>"Food Network" OR @FoodNetwork OR #foodnetwork</t>
  </si>
  <si>
    <t>Cooking Channel-- Episodic Network Roll-Up</t>
  </si>
  <si>
    <t>"Food Network" | @FoodNetwork | #foodnetwork</t>
  </si>
  <si>
    <t>FOXA</t>
  </si>
  <si>
    <t>https://www.youtube.com/user/FoxBroadcasting</t>
  </si>
  <si>
    <t>"FOX" OR @FoxTV OR #FOXTV OR #FOX</t>
  </si>
  <si>
    <t>Crackle-- Episodic Network Roll-Up</t>
  </si>
  <si>
    <t>"FOX" | @FoxTV | #FOXTV | #FOX</t>
  </si>
  <si>
    <t>FOX Business</t>
  </si>
  <si>
    <t>https://www.youtube.com/user/FoxBusinessNetwork</t>
  </si>
  <si>
    <t>"FOX Business" OR @FoxBusiness OR #FoxBusiness OR #foxbusinessnetwork</t>
  </si>
  <si>
    <t>Destination America-- Episodic Network Roll-Up</t>
  </si>
  <si>
    <t>"FOX Business" | @FoxBusiness | #FoxBusiness | #foxbusinessnetwork</t>
  </si>
  <si>
    <t>https://www.youtube.com/user/FOXDeportesUS</t>
  </si>
  <si>
    <t>Discovery Channel-- Episodic Network Roll-Up</t>
  </si>
  <si>
    <t>FOX News</t>
  </si>
  <si>
    <t>https://www.youtube.com/user/FoxNewsChannel</t>
  </si>
  <si>
    <t>"FOX News" OR @FoxNews OR #FoxNews</t>
  </si>
  <si>
    <t>Discovery Family-- Episodic Network Roll-Up</t>
  </si>
  <si>
    <t>"FOX News" | @FoxNews | #FoxNews</t>
  </si>
  <si>
    <t>https://www.youtube.com/user/FoxSports</t>
  </si>
  <si>
    <t>Discovery Life-- Episodic Network Roll-Up</t>
  </si>
  <si>
    <t>FOX Sports 1</t>
  </si>
  <si>
    <t>"FOX Sports 1" OR @FS1 OR #FS1 OR #foxsports1</t>
  </si>
  <si>
    <t>Disney Channel-- Episodic Network Roll-Up</t>
  </si>
  <si>
    <t>"FOX Sports 1" | @FS1 | #FS1 | #foxsports1</t>
  </si>
  <si>
    <t>FOX Sports 2</t>
  </si>
  <si>
    <t>"FOX Sports 2" OR #FS2 OR #FoxSports2</t>
  </si>
  <si>
    <t>Disney Junior-- Episodic Network Roll-Up</t>
  </si>
  <si>
    <t>"FOX Sports 2" | #FS2 | #FoxSports2</t>
  </si>
  <si>
    <t>Fox Sports Sun</t>
  </si>
  <si>
    <t>https://www.youtube.com/user/SunSportsFOXSportsFL</t>
  </si>
  <si>
    <t>Disney XD-- Episodic Network Roll-Up</t>
  </si>
  <si>
    <t>https://www.youtube.com/channel/UCQ8RapbM0DvGham-zDZEeFA</t>
  </si>
  <si>
    <t>"Freeform" OR @FreeformTV OR #Freeform OR #freeformtv</t>
  </si>
  <si>
    <t>DIY Network-- Episodic Network Roll-Up</t>
  </si>
  <si>
    <t>"Freeform" | @FreeformTV | #Freeform | #freeformtv</t>
  </si>
  <si>
    <t>Fuse</t>
  </si>
  <si>
    <t>https://www.youtube.com/user/fuse</t>
  </si>
  <si>
    <t>"Fuse TV" OR "Fuse network" OR "on Fuse" OR @fusetv OR #fusetv OR #FuseNetwork OR #Fuse</t>
  </si>
  <si>
    <t>E! Network-- Episodic Network Roll-Up</t>
  </si>
  <si>
    <t>"Fuse TV" | "Fuse network" | "on Fuse" | @fusetv | #fusetv | #FuseNetwork | #Fuse</t>
  </si>
  <si>
    <t>Fusion</t>
  </si>
  <si>
    <t>"Fusion TV" OR "Fusion network" OR "on Fusion" OR @fusiontv OR #fusiontv OR #FusionNetwork OR #Fusion</t>
  </si>
  <si>
    <t>Encore-- Episodic Network Roll-Up</t>
  </si>
  <si>
    <t>"Fusion TV" | "Fusion network" | "on Fusion" | @fusiontv | #fusiontv | #FusionNetwork | #Fusion</t>
  </si>
  <si>
    <t>FX Network</t>
  </si>
  <si>
    <t>https://www.youtube.com/user/FXNetworks</t>
  </si>
  <si>
    <t>"FX" OR @FXNetworks OR #FX OR #FXNetwork</t>
  </si>
  <si>
    <t>Esquire TV-- Episodic Network Roll-Up</t>
  </si>
  <si>
    <t>"FX" | @FXNetworks | #FX | #FXNetwork</t>
  </si>
  <si>
    <t>Food Network-- Episodic Network Roll-Up</t>
  </si>
  <si>
    <t>https://www.youtube.com/user/FXXNetwork</t>
  </si>
  <si>
    <t>"FXX" OR @FXX OR #FXX OR #fxxnetwork</t>
  </si>
  <si>
    <t>FOX-- Episodic Network Roll-Up</t>
  </si>
  <si>
    <t>"FXX" | @FXX | #FXX | #fxxnetwork</t>
  </si>
  <si>
    <t>https://www.youtube.com/user/fyi</t>
  </si>
  <si>
    <t>"FYI TV" OR "FYI Network" OR "on FYI" OR @FYI OR #fyitv OR #FYInetwork</t>
  </si>
  <si>
    <t>Freeform-- Episodic Network Roll-Up</t>
  </si>
  <si>
    <t>"FYI TV" | "FYI Network" | "on FYI" | @FYI | #fyitv | #FYInetwork</t>
  </si>
  <si>
    <t>G4</t>
  </si>
  <si>
    <t>Fuse-- Episodic Network Roll-Up</t>
  </si>
  <si>
    <t>Galavision</t>
  </si>
  <si>
    <t>Fusion-- Episodic Network Roll-Up</t>
  </si>
  <si>
    <t>GMA Pinoy TV</t>
  </si>
  <si>
    <t>https://www.youtube.com/user/GMAPinoyTVOnline</t>
  </si>
  <si>
    <t>FX-- Episodic Network Roll-Up</t>
  </si>
  <si>
    <t>Go90</t>
  </si>
  <si>
    <t>https://www.youtube.com/channel/UCa9gVui7SBECUX61bN1i2bg</t>
  </si>
  <si>
    <t>FXX-- Episodic Network Roll-Up</t>
  </si>
  <si>
    <t>https://www.youtube.com/user/GolfChannel</t>
  </si>
  <si>
    <t>"Golf Channel" OR @GolfChannel OR #GolfChannel</t>
  </si>
  <si>
    <t>FYI-- Episodic Network Roll-Up</t>
  </si>
  <si>
    <t>"Golf Channel" | @GolfChannel | #GolfChannel</t>
  </si>
  <si>
    <t>Great American Family</t>
  </si>
  <si>
    <t>https://www.youtube.com/channel/UCjIRUzJ-6-4nyX3GIsfwOOg</t>
  </si>
  <si>
    <t>"Great American Family" OR "on GAF" OR @GAfamilyTV OR #greatamericanfamilychannel OR #GAFTV</t>
  </si>
  <si>
    <t>GAC-- Episodic Network Roll-Up</t>
  </si>
  <si>
    <t>"Great American Family" | "on GAF" | @GAfamilyTV | #greatamericanfamilychannel | #GAFTV</t>
  </si>
  <si>
    <t>Game Show Network</t>
  </si>
  <si>
    <t>GSN</t>
  </si>
  <si>
    <t>https://www.youtube.com/user/GSNVideos</t>
  </si>
  <si>
    <t>"Game Show Network" OR "GSN" OR @GameShowNetwork OR #gameshownetwork OR #GSN</t>
  </si>
  <si>
    <t>GSN-- Episodic Network Roll-Up</t>
  </si>
  <si>
    <t>"Game Show Network" | "GSN" | @GameShowNetwork | #gameshownetwork | #GSN</t>
  </si>
  <si>
    <t>H2</t>
  </si>
  <si>
    <t>https://www.youtube.com/user/historychannel</t>
  </si>
  <si>
    <t>Hallmark Channel-- Episodic Network Roll-Up</t>
  </si>
  <si>
    <t>Crown Media</t>
  </si>
  <si>
    <t>Hallmark Channel</t>
  </si>
  <si>
    <t>https://www.youtube.com/user/HallmarkChannelUSA</t>
  </si>
  <si>
    <t>"Hallmark Channel" OR "on Hallmark" OR @hallmarkchannel OR #hallmarkchannel</t>
  </si>
  <si>
    <t>HBO-- Episodic Network Roll-Up</t>
  </si>
  <si>
    <t>"Hallmark Channel" | "on Hallmark" | @hallmarkchannel | #hallmarkchannel</t>
  </si>
  <si>
    <t>Hallmark Movies &amp; Mysteries</t>
  </si>
  <si>
    <t>https://www.youtube.com/user/HallmarkMovMysteries</t>
  </si>
  <si>
    <t>"Hallmark Movies &amp; Mysteries" OR "Hallmark Movies and Mysteries" OR @hallmarkmovie OR #hallmarkmoviechannel OR #hallmarkmoviesandmysteries OR #HallmarkMovies OR #HallmarkMysteries</t>
  </si>
  <si>
    <t>HGTV-- Episodic Network Roll-Up</t>
  </si>
  <si>
    <t>"Hallmark Movies &amp; Mysteries" | "Hallmark Movies and Mysteries" | @hallmarkmovie | #hallmarkmoviechannel | #hallmarkmoviesandmysteries | #HallmarkMovies | #HallmarkMysteries</t>
  </si>
  <si>
    <t>https://www.youtube.com/user/HBO</t>
  </si>
  <si>
    <t>"HBO" OR @HBO OR #HBO OR #HBOFamily</t>
  </si>
  <si>
    <t>HISTORY-- Episodic Network Roll-Up</t>
  </si>
  <si>
    <t>"HBO" | @HBO | #HBO | #HBOFamily</t>
  </si>
  <si>
    <t>https://www.youtube.com/user/HBOLatino</t>
  </si>
  <si>
    <t>Hulu-- Episodic Network Roll-Up</t>
  </si>
  <si>
    <t>https://www.youtube.com/channel/UCx-KWLTKlB83hDI6UKECtJQ</t>
  </si>
  <si>
    <t>"Max" OR @StreamOnMax OR #streamonmax OR #MaxFamily</t>
  </si>
  <si>
    <t>IFC-- Episodic Network Roll-Up</t>
  </si>
  <si>
    <t>Max</t>
  </si>
  <si>
    <t>"Max" | @streamonmax | #streamonmax | #MaxFamily</t>
  </si>
  <si>
    <t>HDNet Movies</t>
  </si>
  <si>
    <t>Investigation Discovery-- Episodic Network Roll-Up</t>
  </si>
  <si>
    <t>https://www.youtube.com/user/HGTV</t>
  </si>
  <si>
    <t>"HGTV" OR @hgtv OR #hgtv</t>
  </si>
  <si>
    <t>Lifetime-- Episodic Network Roll-Up</t>
  </si>
  <si>
    <t>"HGTV" | @hgtv | #hgtv</t>
  </si>
  <si>
    <t>"History Channel" OR "History Network" OR @HISTORY OR #historychannel OR #historytv</t>
  </si>
  <si>
    <t>Logo TV-- Episodic Network Roll-Up</t>
  </si>
  <si>
    <t>HISTORY</t>
  </si>
  <si>
    <t>"History Channel" | "History Network" | @HISTORY | #historychannel | #historytv</t>
  </si>
  <si>
    <t>History Channel en Espanol</t>
  </si>
  <si>
    <t>MTV-- Episodic Network Roll-Up</t>
  </si>
  <si>
    <t>HITN TV</t>
  </si>
  <si>
    <t>https://www.youtube.com/user/HITNTelevision</t>
  </si>
  <si>
    <t>MTV2-- Episodic Network Roll-Up</t>
  </si>
  <si>
    <t>https://www.youtube.com/user/HLN</t>
  </si>
  <si>
    <t>"HLN" OR @HLNTV OR #HLN OR #HLNTV</t>
  </si>
  <si>
    <t>Nat Geo Wild-- Episodic Network Roll-Up</t>
  </si>
  <si>
    <t>"HLN" | @HLNTV | #HLN | #HLNTV</t>
  </si>
  <si>
    <t>HRTV</t>
  </si>
  <si>
    <t>National Geographic-- Episodic Network Roll-Up</t>
  </si>
  <si>
    <t>HSN</t>
  </si>
  <si>
    <t>https://www.youtube.com/user/HSN</t>
  </si>
  <si>
    <t>NBC-- Episodic Network Roll-Up</t>
  </si>
  <si>
    <t>Hub Network</t>
  </si>
  <si>
    <t>https://www.youtube.com/user/HUBTVNETWORK</t>
  </si>
  <si>
    <t>Netflix-- Episodic Network Roll-Up</t>
  </si>
  <si>
    <t>https://www.youtube.com/user/huluDotCom</t>
  </si>
  <si>
    <t>"hulu" OR @hulu OR #hulu OR #hulutv</t>
  </si>
  <si>
    <t>Nick Jr.-- Episodic Network Roll-Up</t>
  </si>
  <si>
    <t>"hulu" | @hulu | #hulu | #hulutv</t>
  </si>
  <si>
    <t>https://www.youtube.com/user/ifc</t>
  </si>
  <si>
    <t>"IFC" OR @IFC OR #IFC OR #ifctv</t>
  </si>
  <si>
    <t>Nickelodeon-- Episodic Network Roll-Up</t>
  </si>
  <si>
    <t>"IFC" | @IFC | #IFC | #ifctv</t>
  </si>
  <si>
    <t>INSP</t>
  </si>
  <si>
    <t>https://www.youtube.com/user/inspnetwork</t>
  </si>
  <si>
    <t>Nicktoons-- Episodic Network Roll-Up</t>
  </si>
  <si>
    <t>https://www.youtube.com/user/DiscoveryID</t>
  </si>
  <si>
    <t>"Investigation Discovery" OR @DiscoveryID OR #investigationdiscovery</t>
  </si>
  <si>
    <t>Ovation-- Episodic Network Roll-Up</t>
  </si>
  <si>
    <t>"Investigation Discovery" | @DiscoveryID | #investigationdiscovery</t>
  </si>
  <si>
    <t>ION</t>
  </si>
  <si>
    <t>OWN-- Episodic Network Roll-Up</t>
  </si>
  <si>
    <t>ION Life</t>
  </si>
  <si>
    <t>Oxygen-- Episodic Network Roll-Up</t>
  </si>
  <si>
    <t>Jewelry Television</t>
  </si>
  <si>
    <t>https://www.youtube.com/user/jewelrytelevision</t>
  </si>
  <si>
    <t>PBS-- Episodic Network Roll-Up</t>
  </si>
  <si>
    <t>https://www.youtube.com/user/Lifetime</t>
  </si>
  <si>
    <t>"lifetime" OR @lifetimetv OR #Lifetime OR #lifetimetv OR #LifetimeChannel OR #LifetimeNetwork</t>
  </si>
  <si>
    <t>POP-- Episodic Network Roll-Up</t>
  </si>
  <si>
    <t>"lifetime" | @lifetimetv | #Lifetime | #lifetimetv | #LifetimeChannel | #LifetimeNetwork</t>
  </si>
  <si>
    <t>https://www.youtube.com/user/lmn</t>
  </si>
  <si>
    <t>"Lifetime Movies" OR @LMN OR #LMN OR #lifetimemovies OR #lifetimemovienetwork</t>
  </si>
  <si>
    <t>Reelz-- Episodic Network Roll-Up</t>
  </si>
  <si>
    <t>"Lifetime Movies" | @LMN | #LMN | #lifetimemovies | #lifetimemovienetwork</t>
  </si>
  <si>
    <t>https://www.youtube.com/user/LogoTV</t>
  </si>
  <si>
    <t>"Logo" OR @LogoTV OR #logotv OR #Logo</t>
  </si>
  <si>
    <t>RFD-- Episodic Network Roll-Up</t>
  </si>
  <si>
    <t>"Logo" | @LogoTV | #logotv | #Logo</t>
  </si>
  <si>
    <t>https://www.youtube.com/channel/UCLRmIdRJgLfmdpJufmBhBuA</t>
  </si>
  <si>
    <t>"LOL Network" OR @LOLNetwork OR #laughoutloudnetwork OR #LOLNetwork</t>
  </si>
  <si>
    <t>Science Channel-- Episodic Network Roll-Up</t>
  </si>
  <si>
    <t>"LOL Network" | @LOLNetwork | #laughoutloudnetwork | #LOLNetwork</t>
  </si>
  <si>
    <t>MeTV</t>
  </si>
  <si>
    <t>Seeso-- Episodic Network Roll-Up</t>
  </si>
  <si>
    <t>MLB Network</t>
  </si>
  <si>
    <t>https://www.youtube.com/user/MLBNetworkClips</t>
  </si>
  <si>
    <t>Showtime-- Episodic Network Roll-Up</t>
  </si>
  <si>
    <t>MotorTrend</t>
  </si>
  <si>
    <t>https://www.youtube.com/user/velocity</t>
  </si>
  <si>
    <t>"MotorTrend TV" OR "MotorTrend Network" OR "MotorTrend Channel" OR "Motor Trend TV" OR "Motor Trend Network" OR "Motor Trend Channel" @MotorTrendTV OR #MotorTrendTV OR #MotorTrendNetwork OR #MotorTrendChannel</t>
  </si>
  <si>
    <t>Paramount Network-- Episodic Network Roll-Up</t>
  </si>
  <si>
    <t>"MotorTrend TV" | "MotorTrend Network" | "MotorTrend Channel" | "Motor Trend TV" | "Motor Trend Network" | "Motor Trend Channel" @MotorTrendTV | #MotorTrendTV | #MotorTrendNetwork | #MotorTrendChannel</t>
  </si>
  <si>
    <t>https://www.youtube.com/user/msnbcleanforward</t>
  </si>
  <si>
    <t>"MS Now" OR @MSNOWNews OR #msnow</t>
  </si>
  <si>
    <t>Sportsman Channel-- Episodic Network Roll-Up</t>
  </si>
  <si>
    <t>"MSNBC" | @MSNBC | #msnbc</t>
  </si>
  <si>
    <t>https://www.youtube.com/user/MTV</t>
  </si>
  <si>
    <t>"MTV" OR @MTV OR #mtv</t>
  </si>
  <si>
    <t>Universal Kids-- Episodic Network Roll-Up</t>
  </si>
  <si>
    <t>"MTV" | @MTV | #mtv</t>
  </si>
  <si>
    <t>Starz-- Episodic Network Roll-Up</t>
  </si>
  <si>
    <t>https://www.youtube.com/user/MTV2</t>
  </si>
  <si>
    <t>"MTV2" OR @MTV2 OR #MTV2</t>
  </si>
  <si>
    <t>SundanceTV-- Episodic Network Roll-Up</t>
  </si>
  <si>
    <t>"MTV2" | @MTV2 | #MTV2</t>
  </si>
  <si>
    <t>MundoMax</t>
  </si>
  <si>
    <t>https://www.youtube.com/user/CanalMundoFox</t>
  </si>
  <si>
    <t>Syfy-- Episodic Network Roll-Up</t>
  </si>
  <si>
    <t>https://www.youtube.com/user/mynetworktv</t>
  </si>
  <si>
    <t>TBS-- Episodic Network Roll-Up</t>
  </si>
  <si>
    <t>Univision-- Episodic Network Roll-Up</t>
  </si>
  <si>
    <t>https://www.youtube.com/user/NatGeoWild</t>
  </si>
  <si>
    <t>"Nat Geo Wild" OR @natgeowild OR #NatGeoWild</t>
  </si>
  <si>
    <t>The CW-- Episodic Network Roll-Up</t>
  </si>
  <si>
    <t>"Nat Geo Wild" | @natgeowild | #NatGeoWild</t>
  </si>
  <si>
    <t>https://www.youtube.com/user/NationalGeographic</t>
  </si>
  <si>
    <t>"National Geographic Channel" OR "Nat Geo" OR "NatGeo" OR @NatGeoTV OR #NationalGeographicChannel OR #NatGeoTV OR #NatGeo</t>
  </si>
  <si>
    <t>The Travel Channel-- Episodic Network Roll-Up</t>
  </si>
  <si>
    <t>"National Geographic Channel" | "Nat Geo" | "NatGeo" | @NatGeoTV | #NationalGeographicChannel | #NatGeoTV | #NatGeo</t>
  </si>
  <si>
    <t>NBA TV</t>
  </si>
  <si>
    <t>"NBA TV" OR "NBA Network" OR "NBA Channel" OR @NBATV OR #NBATV OR #NBANetwork OR #NBAChannel</t>
  </si>
  <si>
    <t>TLC-- Episodic Network Roll-Up</t>
  </si>
  <si>
    <t>"NBA TV" | "NBA Network" | "NBA Channel" | @NBATV | #NBATV | #NBANetwork | #NBAChannel</t>
  </si>
  <si>
    <t>NBC Entertainment</t>
  </si>
  <si>
    <t>https://www.youtube.com/user/NBC</t>
  </si>
  <si>
    <t>"NBC" OR @nbc OR #NBC OR #NBCNetwork</t>
  </si>
  <si>
    <t>TNT-- Episodic Network Roll-Up</t>
  </si>
  <si>
    <t>"NBC" | @nbc | #NBC | #NBCNetwork</t>
  </si>
  <si>
    <t>Peacock Publicity</t>
  </si>
  <si>
    <t>https://www.youtube.com/channel/UCPgMAS8woHJ_o_OZdTR7kcQ</t>
  </si>
  <si>
    <t>"Peacock" OR @PeacockTV OR #Peacock OR #PeacockTV OR #NBCPeacock OR #PeacockStreaming</t>
  </si>
  <si>
    <t>truTV-- Episodic Network Roll-Up</t>
  </si>
  <si>
    <t>"Peacock" | @PeacockTV | #Peacock | #PeacockTV | #NBCPeacock | #PeacockStreaming</t>
  </si>
  <si>
    <t>NBC Sports</t>
  </si>
  <si>
    <t>NBC Sports Network</t>
  </si>
  <si>
    <t>https://www.youtube.com/user/NBCSportsNetwork</t>
  </si>
  <si>
    <t>"NBC Sports" OR @NBCSports OR #NBCSports OR #NBCSportsNetwork</t>
  </si>
  <si>
    <t>TV Land-- Episodic Network Roll-Up</t>
  </si>
  <si>
    <t>"NBC Sports" | @NBCSports | #NBCSports | #NBCSportsNetwork</t>
  </si>
  <si>
    <t>https://www.youtube.com/user/mun2tv</t>
  </si>
  <si>
    <t>"NBC Universo" OR @NBCUniverso OR #NBCUniverso</t>
  </si>
  <si>
    <t>USA Network-- Episodic Network Roll-Up</t>
  </si>
  <si>
    <t>"NBC Universo" | @NBCUniverso | #NBCUniverso</t>
  </si>
  <si>
    <t>NFLX</t>
  </si>
  <si>
    <t>https://www.youtube.com/user/NewOnNetflix</t>
  </si>
  <si>
    <t>"Netflix" OR @netflix OR #Netflix OR #NowonNetflix</t>
  </si>
  <si>
    <t>MotorTrend-- Episodic Network Roll-Up</t>
  </si>
  <si>
    <t>"Netflix" | @netflix | #Netflix | #NowonNetflix</t>
  </si>
  <si>
    <t>NFL Network</t>
  </si>
  <si>
    <t>"NFL Network" OR "NFL Channel" OR "NFL TV" OR @nflnetwork OR #NFLNetwork OR #NFLChannel OR #NFLTV</t>
  </si>
  <si>
    <t>VH1-- Episodic Network Roll-Up</t>
  </si>
  <si>
    <t>"NFL Network" | "NFL Channel" | "NFL TV" | @nflnetwork | #NFLNetwork | #NFLChannel | #NFLTV</t>
  </si>
  <si>
    <t>NHL Network</t>
  </si>
  <si>
    <t>"NHL Network" OR "NHL Channel" OR "NHL TV" OR @NHLNetwork OR #NHLNetwork OR #NHLChannel OR #NHLTV</t>
  </si>
  <si>
    <t>Viceland-- Episodic Network Roll-Up</t>
  </si>
  <si>
    <t>"NHL Network" | "NHL Channel" | "NHL TV" | @NHLNetwork | #NHLNetwork | #NHLChannel | #NHLTV</t>
  </si>
  <si>
    <t>WE tv-- Episodic Network Roll-Up</t>
  </si>
  <si>
    <t>https://www.youtube.com/user/Nickelodeon</t>
  </si>
  <si>
    <t>"Nick Jr." OR @nickjr OR #NickJr OR #NickJunior</t>
  </si>
  <si>
    <t>Weather Channel-- Episodic Network Roll-Up</t>
  </si>
  <si>
    <t>"Nick Jr." | @nickjr | #NickJr | #NickJunior</t>
  </si>
  <si>
    <t>"Nickelodeon" OR "on Nick" OR @Nickelodeon OR #Nickelodeon OR #NickTV</t>
  </si>
  <si>
    <t>WGN America-- Episodic Network Roll-Up</t>
  </si>
  <si>
    <t>"Nickelodeon" | "on Nick" | @Nickelodeon | #Nickelodeon | #NickTV</t>
  </si>
  <si>
    <t>"Nicktoons" OR "Nick Toons" OR #Nicktoons</t>
  </si>
  <si>
    <t>WGN America -- Episodic + Roll-Up</t>
  </si>
  <si>
    <t>"Nicktoons" | "Nick Toons" | #Nicktoons</t>
  </si>
  <si>
    <t>Nuvo TV</t>
  </si>
  <si>
    <t>https://www.youtube.com/user/mynuvoTV</t>
  </si>
  <si>
    <t>Weather Channel -- Episodic + Roll-Up</t>
  </si>
  <si>
    <t>Outdoor Channel</t>
  </si>
  <si>
    <t>https://www.youtube.com/user/OutdoorChannel</t>
  </si>
  <si>
    <t>WE tv -- Episodic + Roll-Up</t>
  </si>
  <si>
    <t>Ovation</t>
  </si>
  <si>
    <t>https://www.youtube.com/user/OvationTV/</t>
  </si>
  <si>
    <t>"Ovation" OR @ovationtv OR #Ovation OR #OvationTV</t>
  </si>
  <si>
    <t>Viceland -- Episodic + Roll-Up</t>
  </si>
  <si>
    <t>"Ovation" | @ovationtv | #Ovation | #OvationTV</t>
  </si>
  <si>
    <t>https://www.youtube.com/user/OWN</t>
  </si>
  <si>
    <t>"OWN" OR @OWNTV OR #OWN OR #OWNTV</t>
  </si>
  <si>
    <t>VH1 -- Episodic + Roll-Up</t>
  </si>
  <si>
    <t>"OWN" | @OWNTV | #OWN | #OWNTV</t>
  </si>
  <si>
    <t>Bravo! &amp; Oxygen</t>
  </si>
  <si>
    <t>Oxygen Media</t>
  </si>
  <si>
    <t>https://www.youtube.com/channel/UCi1chiZPrJZjk7iwi093kfQ</t>
  </si>
  <si>
    <t>"Oxygen" OR @oxygen OR #Oxygen OR #oxygennetwork</t>
  </si>
  <si>
    <t>MotorTrend -- Episodic + Roll-Up</t>
  </si>
  <si>
    <t>"Oxygen" | @oxygen | #Oxygen | #oxygennetwork</t>
  </si>
  <si>
    <t>https://www.youtube.com/channel/UCgChUBhjz676-JXJNF_yjig</t>
  </si>
  <si>
    <t>"Paramount Network" OR @paramountnet OR #ParamountNetwork</t>
  </si>
  <si>
    <t>USA Network -- Episodic + Roll-Up</t>
  </si>
  <si>
    <t>https://www.youtube.com/channel/UCoBSi6AOGXWb_NBIGNHP9Qw</t>
  </si>
  <si>
    <t>"Paramount Network" | @paramountnet | #ParamountNetwork</t>
  </si>
  <si>
    <t>PBS</t>
  </si>
  <si>
    <t>https://www.youtube.com/user/PBS</t>
  </si>
  <si>
    <t>"PBS" OR @PBS OR #pbs</t>
  </si>
  <si>
    <t>TV Land -- Episodic + Roll-Up</t>
  </si>
  <si>
    <t>"PBS" | @PBS | #pbs</t>
  </si>
  <si>
    <t>PBS Kids</t>
  </si>
  <si>
    <t>https://www.youtube.com/channel/UCrNnk0wFBnCS1awGjq_ijGQ</t>
  </si>
  <si>
    <t>"PBS Kids" OR @PBSKIDS OR #pbskids</t>
  </si>
  <si>
    <t>truTV -- Episodic + Roll-Up</t>
  </si>
  <si>
    <t>"PBS Kids" | @PBSKIDS | #pbskids</t>
  </si>
  <si>
    <t>Pivot</t>
  </si>
  <si>
    <t>https://www.youtube.com/user/PivotTVnetwork</t>
  </si>
  <si>
    <t>TNT -- Episodic + Roll-Up</t>
  </si>
  <si>
    <t>Pop</t>
  </si>
  <si>
    <t>https://www.youtube.com/user/PopTVVideo</t>
  </si>
  <si>
    <t>"POP" OR @PopTV OR #poptv</t>
  </si>
  <si>
    <t>TLC -- Episodic + Roll-Up</t>
  </si>
  <si>
    <t>"POP" | @PopTV | #poptv</t>
  </si>
  <si>
    <t>Qubo</t>
  </si>
  <si>
    <t>The Travel Channel -- Episodic + Roll-Up</t>
  </si>
  <si>
    <t>Quibi</t>
  </si>
  <si>
    <t>https://www.youtube.com/channel/UCR4sKQm7_z8IrZ79O7v10ng</t>
  </si>
  <si>
    <t>"Quibi" OR @Quibi OR #quibi</t>
  </si>
  <si>
    <t>The CW -- Episodic + Roll-Up</t>
  </si>
  <si>
    <t>"Quibi" | @Quibi | #quibi</t>
  </si>
  <si>
    <t>QVC</t>
  </si>
  <si>
    <t>https://www.youtube.com/user/QVC</t>
  </si>
  <si>
    <t>Univision -- Episodic + Roll-Up</t>
  </si>
  <si>
    <t>Reelz</t>
  </si>
  <si>
    <t>https://www.youtube.com/user/ReelzChannel</t>
  </si>
  <si>
    <t>"Reelz" OR @ReelzChannel OR #Reelz OR #reelzchannel</t>
  </si>
  <si>
    <t>Tennis Channel -- Episodic + Roll-Up</t>
  </si>
  <si>
    <t>"Reelz" | @ReelzChannel | #Reelz | #reelzchannel</t>
  </si>
  <si>
    <t>RFD</t>
  </si>
  <si>
    <t>https://www.youtube.com/user/RFDTVnetwork</t>
  </si>
  <si>
    <t>"RFDTV" OR @OfficialRFDTV OR #rfdtv</t>
  </si>
  <si>
    <t>TBS -- Episodic + Roll-Up</t>
  </si>
  <si>
    <t>"RFDTV" | @OfficialRFDTV | #rfdtv</t>
  </si>
  <si>
    <t>https://www.youtube.com/user/ScienceChannel</t>
  </si>
  <si>
    <t>"Science Channel" OR @ScienceChannel OR #ScienceChannel</t>
  </si>
  <si>
    <t>Syfy -- Episodic + Roll-Up</t>
  </si>
  <si>
    <t>"Science Channel" | @ScienceChannel | #ScienceChannel</t>
  </si>
  <si>
    <t>Seeso</t>
  </si>
  <si>
    <t>https://www.youtube.com/channel/UCkZuX6LeBpmdVLO_oUaorOA</t>
  </si>
  <si>
    <t>SundanceTV -- Episodic + Roll-Up</t>
  </si>
  <si>
    <t>ShopHQ</t>
  </si>
  <si>
    <t>Starz -- Episodic + Roll-Up</t>
  </si>
  <si>
    <t>https://www.youtube.com/user/SHOWTIME</t>
  </si>
  <si>
    <t>"Showtime" OR @Showtime OR #Showtime OR #showtimenetwork OR #showtimetv</t>
  </si>
  <si>
    <t>Universal Kids -- Episodic + Roll-Up</t>
  </si>
  <si>
    <t>"Showtime" | @Showtime | #Showtime | #showtimenetwork | #showtimetv</t>
  </si>
  <si>
    <t>Soapnet</t>
  </si>
  <si>
    <t>Sportsman Channel -- Episodic + Roll-Up</t>
  </si>
  <si>
    <t>https://www.youtube.com/channel/UC4jymRcKY80F1UKZakZAjhw</t>
  </si>
  <si>
    <t>"Spectrum" OR @getspectrum OR #Spectrum</t>
  </si>
  <si>
    <t>Paramount Network -- Episodic + Roll-Up</t>
  </si>
  <si>
    <t>"Spectrum" | @getspectrum | #Spectrum</t>
  </si>
  <si>
    <t>Sportsman Channel</t>
  </si>
  <si>
    <t>https://www.youtube.com/user/TheSportsmanChannel</t>
  </si>
  <si>
    <t>Showtime -- Episodic + Roll-Up</t>
  </si>
  <si>
    <t>Starz Entertainment</t>
  </si>
  <si>
    <t>LGF.A</t>
  </si>
  <si>
    <t>https://www.youtube.com/user/Starz</t>
  </si>
  <si>
    <t>"Starz" OR @STARZ OR #Starz OR #StarzNetwork OR #StarzTV</t>
  </si>
  <si>
    <t>Seeso -- Episodic + Roll-Up</t>
  </si>
  <si>
    <t>"Starz" | @STARZ | #Starz | #StarzNetwork | #StarzTV</t>
  </si>
  <si>
    <t>Sundance NOW</t>
  </si>
  <si>
    <t>https://www.youtube.com/user/SundanceNow</t>
  </si>
  <si>
    <t>"Sundance Now" OR @sundance_now OR #SundanceNow</t>
  </si>
  <si>
    <t>SEC Network -- Episodic + Roll-Up</t>
  </si>
  <si>
    <t>"Sundance Now" | @sundance_now | #SundanceNow</t>
  </si>
  <si>
    <t>Sundance Channel</t>
  </si>
  <si>
    <t>https://www.youtube.com/user/sundancechannel</t>
  </si>
  <si>
    <t>"SundanceTV" OR @SundanceTV OR #SundanceTV</t>
  </si>
  <si>
    <t>Science Channel -- Episodic + Roll-Up</t>
  </si>
  <si>
    <t>"SundanceTV" | @SundanceTV | #SundanceTV</t>
  </si>
  <si>
    <t>https://www.youtube.com/user/syfy</t>
  </si>
  <si>
    <t>"Syfy" OR @SYFY OR #Syfy</t>
  </si>
  <si>
    <t>RFD -- Episodic + Roll-Up</t>
  </si>
  <si>
    <t>"Syfy" | @SYFY | #Syfy</t>
  </si>
  <si>
    <t>Turner</t>
  </si>
  <si>
    <t>Turner Broadcasting System</t>
  </si>
  <si>
    <t>https://www.youtube.com/user/TBS</t>
  </si>
  <si>
    <t>"TBS" OR @TBSNetwork OR #TBS OR #TBSNetwork</t>
  </si>
  <si>
    <t>Reelz -- Episodic + Roll-Up</t>
  </si>
  <si>
    <t>"TBS" | @TBSNetwork | #TBS | #TBSNetwork</t>
  </si>
  <si>
    <t>"TeenNick" OR "on Teen Nick" OR @teennick OR #TeenNick</t>
  </si>
  <si>
    <t>POP -- Episodic + Roll-Up</t>
  </si>
  <si>
    <t>"TeenNick" | "on Teen Nick" | @teennick | #TeenNick</t>
  </si>
  <si>
    <t>Telehit</t>
  </si>
  <si>
    <t>https://www.youtube.com/user/TelehitCanal</t>
  </si>
  <si>
    <t>PBS -- Episodic + Roll-Up</t>
  </si>
  <si>
    <t>https://www.youtube.com/user/telemundotv</t>
  </si>
  <si>
    <t>"Telemundo" OR @Telemundo OR #Telemundo</t>
  </si>
  <si>
    <t>Oxygen -- Episodic + Roll-Up</t>
  </si>
  <si>
    <t>"Telemundo" | @Telemundo | #Telemundo</t>
  </si>
  <si>
    <t>Tennis Channel</t>
  </si>
  <si>
    <t>https://www.youtube.com/user/TennisChannel</t>
  </si>
  <si>
    <t>OWN -- Episodic + Roll-Up</t>
  </si>
  <si>
    <t>The Church Channel</t>
  </si>
  <si>
    <t>Ovation -- Episodic + Roll-Up</t>
  </si>
  <si>
    <t>NewsNation</t>
  </si>
  <si>
    <t>The CW</t>
  </si>
  <si>
    <t>https://www.youtube.com/user/CWtelevision</t>
  </si>
  <si>
    <t>"The CW" OR @TheCW OR #TheCW</t>
  </si>
  <si>
    <t>Nicktoons -- Episodic + Roll-Up</t>
  </si>
  <si>
    <t>"The CW" | @TheCW | #TheCW</t>
  </si>
  <si>
    <t>https://www.youtube.com/user/TravelChannelTV</t>
  </si>
  <si>
    <t>"The Travel Channel" OR @travelchannel OR #thetravelchannel OR #travelchannel</t>
  </si>
  <si>
    <t>Nickelodeon -- Episodic + Roll-Up</t>
  </si>
  <si>
    <t>"The Travel Channel" | @travelchannel | #thetravelchannel | #travelchannel</t>
  </si>
  <si>
    <t>https://www.youtube.com/user/TheWeatherChannel</t>
  </si>
  <si>
    <t>"The Weather Channel" OR @weatherchannel OR #theweatherchannel OR #weatherchannel</t>
  </si>
  <si>
    <t>Nick Jr. -- Episodic + Roll-Up</t>
  </si>
  <si>
    <t>"The Weather Channel" | @weatherchannel | #theweatherchannel | #weatherchannel</t>
  </si>
  <si>
    <t>https://www.youtube.com/user/TLC</t>
  </si>
  <si>
    <t>"TLC" OR @TLC OR #TLC OR #TLCNetwork</t>
  </si>
  <si>
    <t>NFL Network -- Episodic + Roll-Up</t>
  </si>
  <si>
    <t>"TLC" | @TLC | #TLC | #TLCNetwork</t>
  </si>
  <si>
    <t>Turner Network Television</t>
  </si>
  <si>
    <t>https://www.youtube.com/user/tntweknowdrama</t>
  </si>
  <si>
    <t>"TNT" OR @tntdrama OR #TNT OR #TNTNetwork OR #TNTDrama</t>
  </si>
  <si>
    <t>Netflix -- Episodic + Roll-Up</t>
  </si>
  <si>
    <t>"TNT" | @tntdrama | #TNT | #TNTNetwork | #TNTDrama</t>
  </si>
  <si>
    <t>https://www.youtube.com/user/truTVnetwork</t>
  </si>
  <si>
    <t>"truTV" OR @truTV OR #trutv</t>
  </si>
  <si>
    <t>NESN -- Episodic + Roll-Up</t>
  </si>
  <si>
    <t>"truTV" | @truTV | #trutv</t>
  </si>
  <si>
    <t>https://www.youtube.com/user/TurnerClassicMovies</t>
  </si>
  <si>
    <t>NBC Sports Network -- Episodic + Roll-Up</t>
  </si>
  <si>
    <t>https://www.youtube.com/user/tvland</t>
  </si>
  <si>
    <t>"TV Land" OR @tvland OR #tvland</t>
  </si>
  <si>
    <t>NBC -- Episodic + Roll-Up</t>
  </si>
  <si>
    <t>"TV Land" | @tvland | #tvland</t>
  </si>
  <si>
    <t>TV One</t>
  </si>
  <si>
    <t>https://www.youtube.com/user/TVOneOnline</t>
  </si>
  <si>
    <t>"TV One" OR @tvonetv OR #TVOne</t>
  </si>
  <si>
    <t>NBA TV -- Episodic + Roll-Up</t>
  </si>
  <si>
    <t>"TV One" | @tvonetv | #TVOne</t>
  </si>
  <si>
    <t>TVG Network</t>
  </si>
  <si>
    <t>https://www.youtube.com/user/tvgnetwork</t>
  </si>
  <si>
    <t>National Geographic -- Episodic + Roll-Up</t>
  </si>
  <si>
    <t>TVG2</t>
  </si>
  <si>
    <t>Nat Geo Wild -- Episodic + Roll-Up</t>
  </si>
  <si>
    <t>UniMas</t>
  </si>
  <si>
    <t>https://www.youtube.com/user/UnimasOficial</t>
  </si>
  <si>
    <t>"UniMas" OR @UniMas OR #unimas</t>
  </si>
  <si>
    <t>MTV2 -- Episodic + Roll-Up</t>
  </si>
  <si>
    <t>"UniMas" | @UniMas | #unimas</t>
  </si>
  <si>
    <t>MTV -- Episodic + Roll-Up</t>
  </si>
  <si>
    <t>https://www.youtube.com/channel/UCZ6jURNr1WQZCNHF0ao-c0g</t>
  </si>
  <si>
    <t>"Universal Kids" OR @UniversalKids OR #universalkids</t>
  </si>
  <si>
    <t>MS Now -- Episodic + Roll-Up</t>
  </si>
  <si>
    <t>"Universal Kids" | @UniversalKids | #universalkids</t>
  </si>
  <si>
    <t>Univision</t>
  </si>
  <si>
    <t>https://www.youtube.com/user/Univision</t>
  </si>
  <si>
    <t>"Univision" OR @Univision OR #Univision</t>
  </si>
  <si>
    <t>Logo TV -- Episodic + Roll-Up</t>
  </si>
  <si>
    <t>"Univision" | @Univision | #Univision</t>
  </si>
  <si>
    <t>Univision tlnovelas</t>
  </si>
  <si>
    <t>Lifetime Movies -- Episodic + Roll-Up</t>
  </si>
  <si>
    <t>https://www.youtube.com/user/usanetwork</t>
  </si>
  <si>
    <t>"USA Network" OR "on USA" OR @USA_Network OR #usanetwork</t>
  </si>
  <si>
    <t>Lifetime -- Episodic + Roll-Up</t>
  </si>
  <si>
    <t>"USA Network" | "on USA" | @USA_Network | #usanetwork</t>
  </si>
  <si>
    <t>https://www.youtube.com/user/VH1</t>
  </si>
  <si>
    <t>"VH1" OR @VH1 OR #VH1</t>
  </si>
  <si>
    <t>Investigation Discovery -- Episodic + Roll-Up</t>
  </si>
  <si>
    <t>"VH1" | @VH1 | #VH1</t>
  </si>
  <si>
    <t>VH1 Classic</t>
  </si>
  <si>
    <t>IFC -- Episodic + Roll-Up</t>
  </si>
  <si>
    <t>Vice</t>
  </si>
  <si>
    <t>https://www.youtube.com/channel/UCWF0PiUvUi3Jma2oFgaiX2w</t>
  </si>
  <si>
    <t>"Viceland" OR "on Vice" OR @VICETV OR #Viceland OR #ViceTV</t>
  </si>
  <si>
    <t>Hulu -- Episodic + Roll-Up</t>
  </si>
  <si>
    <t>Viceland</t>
  </si>
  <si>
    <t>"Viceland" | "on Vice" | @VICETV | #Viceland | #ViceTV</t>
  </si>
  <si>
    <t>Vimeo</t>
  </si>
  <si>
    <t>HLN -- Episodic + Roll-Up</t>
  </si>
  <si>
    <t>Vme TV</t>
  </si>
  <si>
    <t>https://www.youtube.com/user/vmetv</t>
  </si>
  <si>
    <t>HISTORY -- Episodic + Roll-Up</t>
  </si>
  <si>
    <t>Women's Entertainment Television</t>
  </si>
  <si>
    <t>https://www.youtube.com/user/WE</t>
  </si>
  <si>
    <t>"WE tv" OR @WEtv OR #wetv OR #wetvnetwork</t>
  </si>
  <si>
    <t>HGTV -- Episodic + Roll-Up</t>
  </si>
  <si>
    <t>"WE tv" | @WEtv | #wetv | #wetvnetwork</t>
  </si>
  <si>
    <t>WGN America</t>
  </si>
  <si>
    <t>https://www.youtube.com/channel/UCpkc-7PmOe70xubLvpX2NAg</t>
  </si>
  <si>
    <t>"WGN America" OR #WGNAmerica</t>
  </si>
  <si>
    <t>HBO -- Episodic + Roll-Up</t>
  </si>
  <si>
    <t>"WGN America" | #WGNAmerica</t>
  </si>
  <si>
    <t>World Fishing Network</t>
  </si>
  <si>
    <t>https://www.youtube.com/user/WFNvideos</t>
  </si>
  <si>
    <t>Hallmark Movies &amp; Mysteries -- Episodic + Roll-Up</t>
  </si>
  <si>
    <t>Xbox Live</t>
  </si>
  <si>
    <t>Hallmark Channel -- Episodic + Roll-Up</t>
  </si>
  <si>
    <t>Yahoo! Screen</t>
  </si>
  <si>
    <t>GSN -- Episodic + Roll-Up</t>
  </si>
  <si>
    <t>https://www.youtube.com/channel/UCqVDpXKLmKeBU_yyt_QkItQ</t>
  </si>
  <si>
    <t>"YouTube Premium" OR #YouTubePremium</t>
  </si>
  <si>
    <t>Golf Channel -- Episodic + Roll-Up</t>
  </si>
  <si>
    <t>"YouTube Premium" | #YouTubePremium</t>
  </si>
  <si>
    <t>Freevee</t>
  </si>
  <si>
    <t>https://www.youtube.com/channel/UCO1jiCx1gffcg4XgrZx8cLA</t>
  </si>
  <si>
    <t>"Freevee" OR "Amazon Freevee" OR @IMDbTV OR @AmazonFreevee OR #IMDbTV</t>
  </si>
  <si>
    <t>GAC -- Episodic + Roll-Up</t>
  </si>
  <si>
    <t>"Freevee" | "Amazon Freevee" | @IMDbTV | @AmazonFreevee | #IMDbTV</t>
  </si>
  <si>
    <t>ESPN+</t>
  </si>
  <si>
    <t>"ESPN+" OR "ESPN Plus" OR #ESPN+ OR #ESPNPlus</t>
  </si>
  <si>
    <t>FYI -- Episodic + Roll-Up</t>
  </si>
  <si>
    <t>"ESPN+" | "ESPN Plus" | #ESPN+ | #ESPNPlus</t>
  </si>
  <si>
    <t>https://www.youtube.com/channel/UCQ9U250Y8D-ZJHIAMH9L9SQ</t>
  </si>
  <si>
    <t>"Discovery+" OR "Discovery Plus" OR @DiscoveryPlus OR #discoveryplus</t>
  </si>
  <si>
    <t>FXX -- Episodic + Roll-Up</t>
  </si>
  <si>
    <t>"Discovery+" | "Discovery Plus" | @DiscoveryPlus | #discoveryplus</t>
  </si>
  <si>
    <t>https://www.youtube.com/user/UrbanMovieChannel</t>
  </si>
  <si>
    <t>"urban movie channel" OR "ALLBLK" OR @watchallblk OR #ALLBLK OR #UrbanMovieChannel</t>
  </si>
  <si>
    <t>FX -- Episodic + Roll-Up</t>
  </si>
  <si>
    <t>"urban movie channel" | "ALLBLK" | @watchallblk | #ALLBLK | #UrbanMovieChannel</t>
  </si>
  <si>
    <t>Roku, Inc.</t>
  </si>
  <si>
    <t>https://www.youtube.com/channel/UCFQO_SIhc5hNuvB88uIYo7Q</t>
  </si>
  <si>
    <t>"Roku" OR @Roku OR #Roku</t>
  </si>
  <si>
    <t>Fusion -- Episodic + Roll-Up</t>
  </si>
  <si>
    <t>"Roku" | @Roku | #Roku</t>
  </si>
  <si>
    <t>Pantaya</t>
  </si>
  <si>
    <t>https://www.youtube.com/channel/UCJZjAH9MSgob_qhMOakW7jA</t>
  </si>
  <si>
    <t>Fuse -- Episodic + Roll-Up</t>
  </si>
  <si>
    <t>https://www.youtube.com/user/acorntv</t>
  </si>
  <si>
    <t>"Acorn TV" OR @AcornTV OR #AcornTV</t>
  </si>
  <si>
    <t>Freeform -- Episodic + Roll-Up</t>
  </si>
  <si>
    <t>"Acorn TV" | @AcornTV | #AcornTV</t>
  </si>
  <si>
    <t>Paramount+</t>
  </si>
  <si>
    <t>"Paramount+" OR "Paramount Plus" OR @paramountplus OR #ParamountPlus</t>
  </si>
  <si>
    <t>Fox Sports Net -- Episodic + Roll-Up</t>
  </si>
  <si>
    <t>"Paramount+" | "Paramount Plus" | @paramountplus | #ParamountPlus</t>
  </si>
  <si>
    <t>Amazon Prime Video ROW</t>
  </si>
  <si>
    <t>https://www.youtube.com/channel/UCQJWtTnAHhEG5w4uN0udnUQ</t>
  </si>
  <si>
    <t>"Amazon Prime Video ROW" OR "APV ROW" OR #Amazonprimevideorow</t>
  </si>
  <si>
    <t>Fox Sports 2 -- Episodic + Roll-Up</t>
  </si>
  <si>
    <t>"Amazon Prime Video ROW" | "APV ROW" | #Amazonprimevideorow</t>
  </si>
  <si>
    <t>https://www.youtube.com/channel/UCcCCIrXmIJOYamxWqeJzI2Q</t>
  </si>
  <si>
    <t>"Shudder" OR @Shudder OR #Shudder</t>
  </si>
  <si>
    <t>Fox Sports 1 -- Episodic + Roll-Up</t>
  </si>
  <si>
    <t>"Shudder" | @Shudder | #Shudder</t>
  </si>
  <si>
    <t>Syndication</t>
  </si>
  <si>
    <t>FOX NEWS -- Episodic + Roll-Up</t>
  </si>
  <si>
    <t>BritBox</t>
  </si>
  <si>
    <t>https://www.youtube.com/channel/UC0yD7rYO26CAbkOx4rJkCzg</t>
  </si>
  <si>
    <t>"BritBox" | #BritBox | @BritBox_US</t>
  </si>
  <si>
    <t>"BritBox" OR #BritBox OR @BritBox_US</t>
  </si>
  <si>
    <t>FOX Business -- Episodic + Roll-Up</t>
  </si>
  <si>
    <t>Crunchyroll</t>
  </si>
  <si>
    <t>https://www.youtube.com/channel/UC6pGDc4bFGD1_36IKv3FnYg</t>
  </si>
  <si>
    <t>"Crunchyroll" | #Crunchyroll | @Crunchyroll</t>
  </si>
  <si>
    <t>"Crunchyroll" OR #Crunchyroll OR @Crunchyroll</t>
  </si>
  <si>
    <t>FOX -- Episodic + Roll-Up</t>
  </si>
  <si>
    <t>Sony Pictures Television</t>
  </si>
  <si>
    <t>Sony Television</t>
  </si>
  <si>
    <t>https://www.youtube.com/channel/UCeDnHAtv092zrrVIai87N4Q</t>
  </si>
  <si>
    <t>"Sony Pictures Television" OR #SPTV OR @SPTV</t>
  </si>
  <si>
    <t>Food Network -- Episodic + Roll-Up</t>
  </si>
  <si>
    <t>"Sony Pictures Television" | "SPTV"</t>
  </si>
  <si>
    <t>Sony Home Entertainment</t>
  </si>
  <si>
    <t>Sony Pictures Home Entertainment</t>
  </si>
  <si>
    <t>https://www.youtube.com/channel/UCqH2YMSzMaGN92Vc3VkhWnQ</t>
  </si>
  <si>
    <t>"Sony Pics at Home" OR #SonyPicsatHome OR @sonypicsathome</t>
  </si>
  <si>
    <t>Esquire TV -- Episodic + Roll-Up</t>
  </si>
  <si>
    <t>"Sony Pics at Home" | #SonyPicsatHome | @sonypicsathome</t>
  </si>
  <si>
    <t>Tubi</t>
  </si>
  <si>
    <t>https://www.youtube.com/channel/UCNDsk0uhSlG1-br1Ex2Rgfg</t>
  </si>
  <si>
    <t>"Tubi" OR #Tubi OR @tubi</t>
  </si>
  <si>
    <t>ESPN Classic -- Episodic + Roll-Up</t>
  </si>
  <si>
    <t>UPtv</t>
  </si>
  <si>
    <t>https://www.youtube.com/channel/UCABKxHOFB4UTlqLwGckA17A</t>
  </si>
  <si>
    <t>"UPtv" OR #UPtv OR @UPtv</t>
  </si>
  <si>
    <t>ESPN 2 -- Episodic + Roll-Up</t>
  </si>
  <si>
    <t>Warner Media Global Insights</t>
  </si>
  <si>
    <t>Warner Bros. TV</t>
  </si>
  <si>
    <t>Magnolia Network</t>
  </si>
  <si>
    <t>https://www.youtube.com/@magnolianetwork</t>
  </si>
  <si>
    <t>"Magnolia Network" OR #MagnoliaNetwork OR @magnolianetwork</t>
  </si>
  <si>
    <t>ESPN -- Episodic + Roll-Up</t>
  </si>
  <si>
    <t>Paramount Home Entertainment</t>
  </si>
  <si>
    <t>https://www.youtube.com/channel/UCWqPRUsJlZaDp-PVbqEch9g</t>
  </si>
  <si>
    <t>"Smithsonian Channel" OR #SmithsonianChannel OR @SmithsonianChan</t>
  </si>
  <si>
    <t>Encore -- Episodic + Roll-Up</t>
  </si>
  <si>
    <t>Court TV</t>
  </si>
  <si>
    <t>https://www.youtube.com/@courttv</t>
  </si>
  <si>
    <t>"Court TV" OR #CourtTV OR @CourtTV</t>
  </si>
  <si>
    <t>E! Network-- Episodic + Roll-Up</t>
  </si>
  <si>
    <t>HIDIVE</t>
  </si>
  <si>
    <t>https://www.youtube.com/@HIDIVE</t>
  </si>
  <si>
    <t>"HIDIVE" OR #HIDIVE OR @HIDIVEofficial</t>
  </si>
  <si>
    <t>DIY Network -- Episodic + Roll-Up</t>
  </si>
  <si>
    <t>WOW Presents Plus</t>
  </si>
  <si>
    <t>https://www.youtube.com/user/WOWPresents</t>
  </si>
  <si>
    <t>"WOW Presents Plus" OR #WowPresentsPlus OR @worldofwonder</t>
  </si>
  <si>
    <t>Disney XD -- Episodic + Roll-Up</t>
  </si>
  <si>
    <t>IndiePix</t>
  </si>
  <si>
    <t>https://www.youtube.com/@indiepixfilms</t>
  </si>
  <si>
    <t>"IndiePix" OR #IndiePix OR @IndiePixFilms</t>
  </si>
  <si>
    <t>Disney Junior -- Episodic + Roll-Up</t>
  </si>
  <si>
    <t>https://www.youtube.com/user/GreatAmericanCountry</t>
  </si>
  <si>
    <t>Disney Channel -- Episodic + Roll-Up</t>
  </si>
  <si>
    <t>Film Movement+</t>
  </si>
  <si>
    <t>https://www.youtube.com/user/filmmovement</t>
  </si>
  <si>
    <t>Discovery Life -- Episodic + Roll-Up</t>
  </si>
  <si>
    <t>nWave</t>
  </si>
  <si>
    <t>https://www.youtube.com/@nWaveStudios</t>
  </si>
  <si>
    <t>Discovery Family -- Episodic + Roll-Up</t>
  </si>
  <si>
    <t>Fallen Media</t>
  </si>
  <si>
    <t>Discovery Channel -- Episodic + Roll-Up</t>
  </si>
  <si>
    <t>MHz Choice</t>
  </si>
  <si>
    <t>https://www.youtube.com/@MHzChoice</t>
  </si>
  <si>
    <t>"MHz Choice" OR #MHzChoice OR @MHzChoice</t>
  </si>
  <si>
    <t>Destination America -- Episodic + Roll-Up</t>
  </si>
  <si>
    <t>CSN Philadelphia -- Episodic + Roll-Up</t>
  </si>
  <si>
    <t>CSN NE -- Episodic + Roll-Up</t>
  </si>
  <si>
    <t>CSN Mid-Atlantic -- Episodic + Roll-Up</t>
  </si>
  <si>
    <t>CSN Chicago -- Episodic + Roll-Up</t>
  </si>
  <si>
    <t>CSN -- Episodic + Roll-Up</t>
  </si>
  <si>
    <t>Crackle -- Episodic + Roll-Up</t>
  </si>
  <si>
    <t>Cooking Channel -- Episodic + Roll-Up</t>
  </si>
  <si>
    <t>Comedy Central -- Episodic + Roll-Up</t>
  </si>
  <si>
    <t>CNN -- Episodic + Roll-Up</t>
  </si>
  <si>
    <t>CNBC World -- Episodic + Roll-Up</t>
  </si>
  <si>
    <t>CNBC -- Episodic + Roll-Up</t>
  </si>
  <si>
    <t>CMT -- Episodic + Roll-Up</t>
  </si>
  <si>
    <t>Cinemax -- Episodic + Roll-Up</t>
  </si>
  <si>
    <t>Chiller -- Episodic + Roll-Up</t>
  </si>
  <si>
    <t>BET Her -- Episodic + Roll-Up</t>
  </si>
  <si>
    <t>CBS -- Episodic + Roll-Up</t>
  </si>
  <si>
    <t>Cartoon Network -- Episodic + Roll-Up</t>
  </si>
  <si>
    <t>BYUtv -- Episodic + Roll-Up</t>
  </si>
  <si>
    <t>Bravo -- Episodic + Roll-Up</t>
  </si>
  <si>
    <t>Bounce TV -- Episodic + Roll-Up</t>
  </si>
  <si>
    <t>BET -- Episodic + Roll-Up</t>
  </si>
  <si>
    <t>BBC America -- Episodic + Roll-Up</t>
  </si>
  <si>
    <t>AWE -- Episodic + Roll-Up</t>
  </si>
  <si>
    <t>Audience Network -- Episodic + Roll-Up</t>
  </si>
  <si>
    <t>Aspire -- Episodic + Roll-Up</t>
  </si>
  <si>
    <t>Animal Planet -- Episodic + Roll-Up</t>
  </si>
  <si>
    <t>American Heroes Channel -- Episodic + Roll-Up</t>
  </si>
  <si>
    <t>AMC -- Episodic + Roll-Up</t>
  </si>
  <si>
    <t>Amazon Prime Video -- Episodic + Roll-Up</t>
  </si>
  <si>
    <t>ABC -- Episodic + Roll-Up</t>
  </si>
  <si>
    <t>A&amp;E -- Episodic + Roll-Up</t>
  </si>
  <si>
    <t>Big Ten Network -- Episodic + Roll-Up</t>
  </si>
  <si>
    <t>Episodic Network Roll-Ups 2016-2017</t>
  </si>
  <si>
    <t>Episodic+ Network Roll-Ups 2016-2017</t>
  </si>
  <si>
    <t>Adult Swim-- Episodic Roll-Up</t>
  </si>
  <si>
    <t>Adult Swim -- Episodic+ Network Roll-Up</t>
  </si>
  <si>
    <t>Lifetime Movies-- Episodic Network Roll-Up</t>
  </si>
  <si>
    <t>Telemundo-- Episodic Network Roll-Up</t>
  </si>
  <si>
    <t>Telemundo -- Episodic + Roll-Up</t>
  </si>
  <si>
    <t>Boomerang-- Episodic Network Roll-Up</t>
  </si>
  <si>
    <t>Boomerang -- Episodic + Roll-Up</t>
  </si>
  <si>
    <t>CBS Sports Episodic+ Roll-Up</t>
  </si>
  <si>
    <t>World Fishing Network -- Episodic + Roll-Up</t>
  </si>
  <si>
    <t>CSPAN -- Episodic + Roll-Up</t>
  </si>
  <si>
    <t>CBS Corporation &gt; Overall Roll-up</t>
  </si>
  <si>
    <t>CBS Corporation &gt; TV Roll-up</t>
  </si>
  <si>
    <t>CBS Corporation &gt; TV Cable Roll-up</t>
  </si>
  <si>
    <t>Viacom &gt; Overall Roll-up</t>
  </si>
  <si>
    <t>Viacom &gt; TV Roll-up</t>
  </si>
  <si>
    <t>Viacom &gt; TV Cable Roll-up</t>
  </si>
  <si>
    <t>Fox Corporation &gt; Overall Roll-up</t>
  </si>
  <si>
    <t>Fox Corporation &gt; TV Roll-up</t>
  </si>
  <si>
    <t>Fox Corporation &gt; TV Cable Roll-up</t>
  </si>
  <si>
    <t>The Walt Disney Company &gt; Overall Roll-up</t>
  </si>
  <si>
    <t>Time Warner &gt; Overall Roll-up</t>
  </si>
  <si>
    <t>NBCUniversal &gt; Overall Roll-up</t>
  </si>
  <si>
    <t>The Walt Disney Company &gt; TV Roll-up</t>
  </si>
  <si>
    <t>Time Warner &gt; TV Roll-up</t>
  </si>
  <si>
    <t>NBCUniversal &gt; TV Roll-up</t>
  </si>
  <si>
    <t>The Walt Disney Company &gt; TV Cable Roll-up</t>
  </si>
  <si>
    <t>Time Warner &gt; TV Cable Roll-up</t>
  </si>
  <si>
    <t>NBCUniversal &gt; TV Cable Roll-up</t>
  </si>
  <si>
    <t>CNN-- Episodic Network Roll-Up</t>
  </si>
  <si>
    <t>CNBC-- Episodic Network Roll-Up</t>
  </si>
  <si>
    <t>MS Now-- Episodic Network Roll-Up</t>
  </si>
  <si>
    <t>HLN-- Episodic Network Roll-Up</t>
  </si>
  <si>
    <t>AOL-- Episodic Network Roll-Up</t>
  </si>
  <si>
    <t>AOL -- Episodic + Roll-Up</t>
  </si>
  <si>
    <t>AMCN &gt; TV Roll-Up</t>
  </si>
  <si>
    <t>Discovery &gt; TV Roll-up</t>
  </si>
  <si>
    <t>Scripps &gt; TV Roll-up</t>
  </si>
  <si>
    <t>A+E &gt; TV Roll-up</t>
  </si>
  <si>
    <t>NBC Universo-- Episodic Network Roll-Up</t>
  </si>
  <si>
    <t>NBC Universo -- Episodic + Roll-Up</t>
  </si>
  <si>
    <t>LF // TV Episodic // English Language</t>
  </si>
  <si>
    <t>AXS TV-- Episodic Network Roll-Up</t>
  </si>
  <si>
    <t>AXS TV -- Episodic + Roll-Up</t>
  </si>
  <si>
    <t>TV One-- Episodic Network Roll-Up</t>
  </si>
  <si>
    <t>TV One -- Episodic + Roll-Up</t>
  </si>
  <si>
    <t>YouTube Premium -- Episodic + Roll-Up 2018</t>
  </si>
  <si>
    <t>YouTube Premium-- Episodic Network Roll-Up 2018</t>
  </si>
  <si>
    <t>Epix-- Episodic Network Roll-Up 2018</t>
  </si>
  <si>
    <t>Epix -- Episodic + Roll-Up 2018</t>
  </si>
  <si>
    <t>CBS Corporation &gt; TV Broadcast Roll-up</t>
  </si>
  <si>
    <t>Fox Corporation &gt; TV Broadcast Roll-up</t>
  </si>
  <si>
    <t>The Walt Disney Company &gt; TV Broadcast Roll-up</t>
  </si>
  <si>
    <t>NBCUniversal &gt; TV Broadcast Roll-up</t>
  </si>
  <si>
    <t>LOL Network -- Episodic + Roll-Up 2018</t>
  </si>
  <si>
    <t>LOL Network -- Episodic Network Roll-Up 2018</t>
  </si>
  <si>
    <t>CBS All Access -- Episodic + Roll-Up 2018</t>
  </si>
  <si>
    <t>CBS All Access-- Episodic Network Roll-Up 2018</t>
  </si>
  <si>
    <t>Apple TV+ -- Episodic + Roll-Up 2018</t>
  </si>
  <si>
    <t>Apple TV+-- Episodic Network Roll-Up 2018</t>
  </si>
  <si>
    <t>[DATG Ad Sales] DCWW Roll-up</t>
  </si>
  <si>
    <t>[DATG Ad Sales] ESPN Roll-up</t>
  </si>
  <si>
    <t>PBS Kids-- Episodic Network Roll-Up</t>
  </si>
  <si>
    <t>PBS Kids -- Episodic + Roll-Up</t>
  </si>
  <si>
    <t>Spectrum-- Episodic Network Roll-Up 2018</t>
  </si>
  <si>
    <t>Spectrum -- Episodic + Roll-Up 2018</t>
  </si>
  <si>
    <t>Spectrum-- Episodic Network Roll-Up [Beta]</t>
  </si>
  <si>
    <t>Spectrum -- Episodic + Roll-Up [Beta]</t>
  </si>
  <si>
    <t>Disney+ -- Episodic + Roll-Up 2018</t>
  </si>
  <si>
    <t>Disney+-- Episodic Network Roll-Up 2018</t>
  </si>
  <si>
    <t>CBS Corporation &gt; TV + Publishing Roll-up</t>
  </si>
  <si>
    <t>Viacom &gt; TV + Publishing Roll-up</t>
  </si>
  <si>
    <t>Fox Corporation &gt; TV + Publishing Roll-up</t>
  </si>
  <si>
    <t>The Walt Disney Company &gt; TV + Publishing Roll-up</t>
  </si>
  <si>
    <t>NBCUniversal &gt; TV + Publishing Roll-up</t>
  </si>
  <si>
    <t>A+E &gt; TV + Publishing Roll-up</t>
  </si>
  <si>
    <t>AMCN &gt; TV + Publishing Roll-up</t>
  </si>
  <si>
    <t>Discovery &gt; TV + Publishing Roll-up</t>
  </si>
  <si>
    <t>AT&amp;T &gt; TV + Publishing Roll-up</t>
  </si>
  <si>
    <t>Warner Media &gt; TV + Publishing Roll-up</t>
  </si>
  <si>
    <t>Group Nine &gt; TV + Publishing Roll-up</t>
  </si>
  <si>
    <t>Buzzfeed &gt; TV + Publishing Roll-up</t>
  </si>
  <si>
    <t>Advance Publications &gt; TV + Publishing Roll-up</t>
  </si>
  <si>
    <t>First Media &gt; TV + Publishing Roll-up</t>
  </si>
  <si>
    <t>Axel Springer SE &gt; TV + Publishing Roll-up</t>
  </si>
  <si>
    <t>Complex Media &gt; TV + Publishing Roll-up</t>
  </si>
  <si>
    <t>Vice Media &gt; TV + Publishing Roll-up</t>
  </si>
  <si>
    <t>Ziff Davis, LLC &gt; TV + Publishing Roll-up</t>
  </si>
  <si>
    <t>Viacom &gt; Film + TV + Publishing Roll-up</t>
  </si>
  <si>
    <t>Fox Corporation &gt; Film + TV + Publishing Roll-up</t>
  </si>
  <si>
    <t>The Walt Disney Company &gt; Film + TV + Publishing Roll-up</t>
  </si>
  <si>
    <t>NBCUniversal &gt; Film + TV + Publishing Roll-up</t>
  </si>
  <si>
    <t>Warner Media &gt; Film + TV + Publishing Roll-up</t>
  </si>
  <si>
    <t>Hallmark Movies &amp; Mysteries-- Episodic Network Roll-Up</t>
  </si>
  <si>
    <t>NBC Peacock -- Episodic + Roll-Up 2019</t>
  </si>
  <si>
    <t>NBC Peacock-- Episodic Network Roll-Up 2019</t>
  </si>
  <si>
    <t>Discovery+ -- Episodic + Roll-Up 2019</t>
  </si>
  <si>
    <t>Discovery+-- Episodic Network Roll-Up 2019</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</si>
</sst>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quot;-&quot;mm&quot;-&quot;dd"/>
    <numFmt numFmtId="165" formatCode="mmmm d, yyyy h:mm"/>
    <numFmt numFmtId="166" formatCode="mmmm dd, yyyy h:mm"/>
  </numFmts>
  <fonts count="56">
    <font>
      <sz val="10.0"/>
      <color rgb="FF000000"/>
      <name val="Arial"/>
    </font>
    <font>
      <name val="Arial"/>
    </font>
    <font>
      <b/>
      <name val="Arial"/>
    </font>
    <font>
      <b/>
      <sz val="18.0"/>
      <name val="Arial"/>
    </font>
    <font>
      <b/>
    </font>
    <font>
      <b/>
      <sz val="12.0"/>
      <color rgb="FF000000"/>
      <name val="Calibri"/>
    </font>
    <font>
      <b/>
      <i/>
      <name val="Arial"/>
    </font>
    <font>
      <color rgb="FF000000"/>
      <name val="Arial"/>
    </font>
    <font>
      <sz val="14.0"/>
      <name val="Arial"/>
    </font>
    <font>
      <b/>
      <color rgb="FF000000"/>
      <name val="Arial"/>
    </font>
    <font>
      <i/>
      <name val="Arial"/>
    </font>
    <font>
      <color rgb="FF000000"/>
    </font>
    <font/>
    <font>
      <sz val="11.0"/>
      <name val="Arial"/>
    </font>
    <font>
      <sz val="11.0"/>
      <color rgb="FF000000"/>
      <name val="Arial"/>
    </font>
    <font>
      <sz val="12.0"/>
      <color rgb="FF000000"/>
      <name val="Calibri"/>
    </font>
    <font>
      <color rgb="FF0000FF"/>
      <name val="Arial"/>
    </font>
    <font>
      <b/>
      <u/>
      <color rgb="FF0000FF"/>
      <name val="Arial"/>
    </font>
    <font>
      <b/>
      <sz val="9.0"/>
      <name val="Arial"/>
    </font>
    <font>
      <sz val="9.0"/>
      <name val="Arial"/>
    </font>
    <font>
      <u/>
      <sz val="9.0"/>
      <color rgb="FF1155CC"/>
      <name val="Arial"/>
    </font>
    <font>
      <sz val="9.0"/>
      <color rgb="FF323537"/>
      <name val="Arial"/>
    </font>
    <font>
      <u/>
      <sz val="9.0"/>
      <color rgb="FF1155CC"/>
      <name val="Arial"/>
    </font>
    <font>
      <u/>
      <sz val="9.0"/>
      <color rgb="FF1155CC"/>
      <name val="Arial"/>
    </font>
    <font>
      <u/>
      <sz val="9.0"/>
      <color rgb="FF0000FF"/>
      <name val="Arial"/>
    </font>
    <font>
      <u/>
      <sz val="9.0"/>
      <color rgb="FF1155CC"/>
      <name val="Arial"/>
    </font>
    <font>
      <u/>
      <sz val="9.0"/>
      <color rgb="FF0000FF"/>
      <name val="Arial"/>
    </font>
    <font>
      <u/>
      <sz val="9.0"/>
      <color rgb="FF0000FF"/>
      <name val="Arial"/>
    </font>
    <font>
      <u/>
      <sz val="9.0"/>
      <color rgb="FF0000FF"/>
      <name val="Arial"/>
    </font>
    <font>
      <u/>
      <sz val="9.0"/>
      <color rgb="FF1155CC"/>
      <name val="Arial"/>
    </font>
    <font>
      <u/>
      <sz val="9.0"/>
      <color rgb="FF1155CC"/>
      <name val="Arial"/>
    </font>
    <font>
      <sz val="9.0"/>
      <color rgb="FF323537"/>
      <name val="Helvetica"/>
    </font>
    <font>
      <color rgb="FF000000"/>
      <name val="'News Cycle'"/>
    </font>
    <font>
      <u/>
      <sz val="9.0"/>
      <color rgb="FF0000FF"/>
      <name val="Arial"/>
    </font>
    <font>
      <u/>
      <sz val="9.0"/>
      <color rgb="FF1155CC"/>
      <name val="Arial"/>
    </font>
    <font>
      <u/>
      <sz val="9.0"/>
      <color rgb="FF0000FF"/>
      <name val="Arial"/>
    </font>
    <font>
      <u/>
      <sz val="9.0"/>
      <color rgb="FF0000FF"/>
      <name val="Arial"/>
    </font>
    <font>
      <u/>
      <sz val="9.0"/>
      <color rgb="FF1155CC"/>
      <name val="Arial"/>
    </font>
    <font>
      <u/>
      <sz val="9.0"/>
      <color rgb="FF1155CC"/>
      <name val="Arial"/>
    </font>
    <font>
      <u/>
      <sz val="9.0"/>
      <color rgb="FF1155CC"/>
      <name val="Arial"/>
    </font>
    <font>
      <u/>
      <sz val="9.0"/>
      <color rgb="FF1155CC"/>
      <name val="Arial"/>
    </font>
    <font>
      <sz val="9.0"/>
      <color rgb="FF000000"/>
      <name val="Arial"/>
    </font>
    <font>
      <u/>
      <sz val="9.0"/>
      <color rgb="FF1155CC"/>
      <name val="Arial"/>
    </font>
    <font>
      <u/>
      <sz val="9.0"/>
      <color rgb="FF1155CC"/>
      <name val="Arial"/>
    </font>
    <font>
      <sz val="9.0"/>
      <color rgb="FF323537"/>
      <name val="&quot;Helvetica Neue&quot;"/>
    </font>
    <font>
      <u/>
      <color rgb="FF0000FF"/>
      <name val="Arial"/>
    </font>
    <font>
      <u/>
      <sz val="9.0"/>
      <color rgb="FF0000FF"/>
      <name val="Arial"/>
    </font>
    <font>
      <u/>
      <color rgb="FF0000FF"/>
      <name val="Arial"/>
    </font>
    <font>
      <u/>
      <color rgb="FF0000FF"/>
      <name val="Arial"/>
    </font>
    <font>
      <u/>
      <color rgb="FF0000FF"/>
      <name val="Arial"/>
    </font>
    <font>
      <u/>
      <color rgb="FF467886"/>
      <name val="Arial"/>
    </font>
    <font>
      <u/>
      <color rgb="FF0000FF"/>
      <name val="Arial"/>
    </font>
    <font>
      <u/>
      <color rgb="FF1155CC"/>
      <name val="Arial"/>
    </font>
    <font>
      <u/>
      <sz val="9.0"/>
      <color rgb="FF1155CC"/>
      <name val="Arial"/>
    </font>
    <font>
      <sz val="11.0"/>
      <color rgb="FF172B4D"/>
      <name val="Arial"/>
    </font>
    <font>
      <color rgb="FF333333"/>
      <name val="Arial"/>
    </font>
  </fonts>
  <fills count="31">
    <fill>
      <patternFill patternType="none"/>
    </fill>
    <fill>
      <patternFill patternType="lightGray"/>
    </fill>
    <fill>
      <patternFill patternType="solid">
        <fgColor rgb="FFB7B7B7"/>
        <bgColor rgb="FFB7B7B7"/>
      </patternFill>
    </fill>
    <fill>
      <patternFill patternType="solid">
        <fgColor rgb="FFC9DAF8"/>
        <bgColor rgb="FFC9DAF8"/>
      </patternFill>
    </fill>
    <fill>
      <patternFill patternType="solid">
        <fgColor rgb="FFFFE599"/>
        <bgColor rgb="FFFFE599"/>
      </patternFill>
    </fill>
    <fill>
      <patternFill patternType="solid">
        <fgColor rgb="FFB6D7A8"/>
        <bgColor rgb="FFB6D7A8"/>
      </patternFill>
    </fill>
    <fill>
      <patternFill patternType="solid">
        <fgColor rgb="FFEDF7FF"/>
        <bgColor rgb="FFEDF7FF"/>
      </patternFill>
    </fill>
    <fill>
      <patternFill patternType="solid">
        <fgColor rgb="FFD9D9D9"/>
        <bgColor rgb="FFD9D9D9"/>
      </patternFill>
    </fill>
    <fill>
      <patternFill patternType="solid">
        <fgColor rgb="FFFFF8E9"/>
        <bgColor rgb="FFFFF8E9"/>
      </patternFill>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
      <patternFill patternType="solid">
        <fgColor rgb="FFCCCCCC"/>
        <bgColor rgb="FFCCCCCC"/>
      </patternFill>
    </fill>
    <fill>
      <patternFill patternType="solid">
        <fgColor rgb="FFCFE2F3"/>
        <bgColor rgb="FFCFE2F3"/>
      </patternFill>
    </fill>
    <fill>
      <patternFill patternType="solid">
        <fgColor rgb="FFDD7E6B"/>
        <bgColor rgb="FFDD7E6B"/>
      </patternFill>
    </fill>
    <fill>
      <patternFill patternType="solid">
        <fgColor rgb="FFD0E0E3"/>
        <bgColor rgb="FFD0E0E3"/>
      </patternFill>
    </fill>
    <fill>
      <patternFill patternType="solid">
        <fgColor rgb="FFA4C2F4"/>
        <bgColor rgb="FFA4C2F4"/>
      </patternFill>
    </fill>
    <fill>
      <patternFill patternType="solid">
        <fgColor rgb="FFB4A7D6"/>
        <bgColor rgb="FFB4A7D6"/>
      </patternFill>
    </fill>
    <fill>
      <patternFill patternType="solid">
        <fgColor rgb="FFF4CCCC"/>
        <bgColor rgb="FFF4CCCC"/>
      </patternFill>
    </fill>
    <fill>
      <patternFill patternType="solid">
        <fgColor rgb="FFD5A6BD"/>
        <bgColor rgb="FFD5A6BD"/>
      </patternFill>
    </fill>
    <fill>
      <patternFill patternType="solid">
        <fgColor rgb="FFD9D2E9"/>
        <bgColor rgb="FFD9D2E9"/>
      </patternFill>
    </fill>
    <fill>
      <patternFill patternType="solid">
        <fgColor rgb="FF9FC5E8"/>
        <bgColor rgb="FF9FC5E8"/>
      </patternFill>
    </fill>
    <fill>
      <patternFill patternType="solid">
        <fgColor rgb="FFE6B8AF"/>
        <bgColor rgb="FFE6B8AF"/>
      </patternFill>
    </fill>
    <fill>
      <patternFill patternType="solid">
        <fgColor rgb="FFF9CB9C"/>
        <bgColor rgb="FFF9CB9C"/>
      </patternFill>
    </fill>
    <fill>
      <patternFill patternType="solid">
        <fgColor rgb="FFFCE5CD"/>
        <bgColor rgb="FFFCE5CD"/>
      </patternFill>
    </fill>
    <fill>
      <patternFill patternType="solid">
        <fgColor rgb="FFFFF2CC"/>
        <bgColor rgb="FFFFF2CC"/>
      </patternFill>
    </fill>
    <fill>
      <patternFill patternType="solid">
        <fgColor rgb="FFEA9999"/>
        <bgColor rgb="FFEA9999"/>
      </patternFill>
    </fill>
    <fill>
      <patternFill patternType="solid">
        <fgColor rgb="FFA2C4C9"/>
        <bgColor rgb="FFA2C4C9"/>
      </patternFill>
    </fill>
    <fill>
      <patternFill patternType="solid">
        <fgColor rgb="FFEAD1DC"/>
        <bgColor rgb="FFEAD1DC"/>
      </patternFill>
    </fill>
    <fill>
      <patternFill patternType="solid">
        <fgColor rgb="FFF4F5F5"/>
        <bgColor rgb="FFF4F5F5"/>
      </patternFill>
    </fill>
    <fill>
      <patternFill patternType="solid">
        <fgColor rgb="FFEFEFEF"/>
        <bgColor rgb="FFEFEFEF"/>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shrinkToFit="0" vertical="bottom" wrapText="0"/>
    </xf>
    <xf borderId="0" fillId="3" fontId="3" numFmtId="0" xfId="0" applyAlignment="1" applyFill="1" applyFont="1">
      <alignment horizontal="center" readingOrder="0" vertical="center"/>
    </xf>
    <xf borderId="0" fillId="2" fontId="4" numFmtId="0" xfId="0" applyAlignment="1" applyFont="1">
      <alignment readingOrder="0" shrinkToFit="0" wrapText="0"/>
    </xf>
    <xf borderId="0" fillId="4" fontId="3" numFmtId="0" xfId="0" applyAlignment="1" applyFill="1" applyFont="1">
      <alignment horizontal="center" readingOrder="0" shrinkToFit="0" vertical="center" wrapText="0"/>
    </xf>
    <xf borderId="0" fillId="2" fontId="5" numFmtId="0" xfId="0" applyAlignment="1" applyFont="1">
      <alignment readingOrder="0" shrinkToFit="0" vertical="bottom" wrapText="0"/>
    </xf>
    <xf borderId="0" fillId="5" fontId="6" numFmtId="0" xfId="0" applyAlignment="1" applyFill="1" applyFont="1">
      <alignment horizontal="center" readingOrder="0" vertical="bottom"/>
    </xf>
    <xf borderId="0" fillId="0" fontId="1" numFmtId="0" xfId="0" applyAlignment="1" applyFont="1">
      <alignment readingOrder="0" shrinkToFit="0" vertical="bottom" wrapText="0"/>
    </xf>
    <xf borderId="0" fillId="0" fontId="2" numFmtId="0" xfId="0" applyAlignment="1" applyFont="1">
      <alignment horizontal="center" readingOrder="0" shrinkToFit="0" vertical="center" wrapText="1"/>
    </xf>
    <xf borderId="0" fillId="6" fontId="2" numFmtId="0" xfId="0" applyAlignment="1" applyFill="1" applyFont="1">
      <alignment horizontal="center" readingOrder="0" shrinkToFit="0" vertical="center" wrapText="1"/>
    </xf>
    <xf borderId="0" fillId="7" fontId="4" numFmtId="0" xfId="0" applyAlignment="1" applyFill="1" applyFont="1">
      <alignment readingOrder="0" shrinkToFit="0" wrapText="1"/>
    </xf>
    <xf borderId="0" fillId="0" fontId="1" numFmtId="0" xfId="0" applyAlignment="1" applyFont="1">
      <alignment readingOrder="0" vertical="bottom"/>
    </xf>
    <xf borderId="0" fillId="8" fontId="2" numFmtId="0" xfId="0" applyAlignment="1" applyFill="1" applyFont="1">
      <alignment horizontal="center" readingOrder="0" shrinkToFit="0" vertical="center" wrapText="1"/>
    </xf>
    <xf borderId="0" fillId="7" fontId="4" numFmtId="0" xfId="0" applyAlignment="1" applyFont="1">
      <alignment readingOrder="0"/>
    </xf>
    <xf borderId="0" fillId="9" fontId="7" numFmtId="0" xfId="0" applyAlignment="1" applyFill="1" applyFont="1">
      <alignment shrinkToFit="0" vertical="bottom" wrapText="0"/>
    </xf>
    <xf borderId="0" fillId="7" fontId="4" numFmtId="0" xfId="0" applyAlignment="1" applyFont="1">
      <alignment readingOrder="0" shrinkToFit="0" wrapText="0"/>
    </xf>
    <xf borderId="0" fillId="0" fontId="1" numFmtId="0" xfId="0" applyAlignment="1" applyFont="1">
      <alignment shrinkToFit="0" vertical="bottom" wrapText="0"/>
    </xf>
    <xf borderId="0" fillId="0" fontId="4" numFmtId="0" xfId="0" applyAlignment="1" applyFont="1">
      <alignment readingOrder="0" shrinkToFit="0" wrapText="0"/>
    </xf>
    <xf borderId="0" fillId="10" fontId="8" numFmtId="0" xfId="0" applyAlignment="1" applyFill="1" applyFont="1">
      <alignment horizontal="left" readingOrder="0" vertical="bottom"/>
    </xf>
    <xf borderId="0" fillId="2" fontId="9" numFmtId="0" xfId="0" applyAlignment="1" applyFont="1">
      <alignment vertical="bottom"/>
    </xf>
    <xf borderId="0" fillId="0" fontId="10" numFmtId="0" xfId="0" applyAlignment="1" applyFont="1">
      <alignment horizontal="right" readingOrder="0" vertical="bottom"/>
    </xf>
    <xf borderId="0" fillId="9" fontId="11" numFmtId="0" xfId="0" applyAlignment="1" applyFont="1">
      <alignment readingOrder="0" shrinkToFit="0" wrapText="0"/>
    </xf>
    <xf borderId="0" fillId="11" fontId="1" numFmtId="0" xfId="0" applyAlignment="1" applyFill="1" applyFont="1">
      <alignment readingOrder="0" shrinkToFit="0" vertical="bottom" wrapText="0"/>
    </xf>
    <xf borderId="0" fillId="11" fontId="12" numFmtId="164" xfId="0" applyAlignment="1" applyFont="1" applyNumberFormat="1">
      <alignment readingOrder="0" shrinkToFit="0" wrapText="0"/>
    </xf>
    <xf borderId="0" fillId="0" fontId="1" numFmtId="0" xfId="0" applyAlignment="1" applyFont="1">
      <alignment shrinkToFit="0" vertical="bottom" wrapText="0"/>
    </xf>
    <xf borderId="0" fillId="0" fontId="13" numFmtId="0" xfId="0" applyAlignment="1" applyFont="1">
      <alignment horizontal="left" readingOrder="0"/>
    </xf>
    <xf borderId="0" fillId="0" fontId="10" numFmtId="0" xfId="0" applyAlignment="1" applyFont="1">
      <alignment horizontal="right" vertical="bottom"/>
    </xf>
    <xf borderId="1" fillId="12" fontId="2" numFmtId="0" xfId="0" applyAlignment="1" applyBorder="1" applyFill="1" applyFont="1">
      <alignment horizontal="left" vertical="center"/>
    </xf>
    <xf borderId="0" fillId="11" fontId="12" numFmtId="0" xfId="0" applyAlignment="1" applyFont="1">
      <alignment readingOrder="0" shrinkToFit="0" wrapText="0"/>
    </xf>
    <xf borderId="0" fillId="11" fontId="1" numFmtId="0" xfId="0" applyAlignment="1" applyFont="1">
      <alignment shrinkToFit="0" vertical="bottom" wrapText="0"/>
    </xf>
    <xf borderId="0" fillId="12" fontId="2" numFmtId="0" xfId="0" applyAlignment="1" applyFont="1">
      <alignment horizontal="left" readingOrder="0" vertical="center"/>
    </xf>
    <xf borderId="0" fillId="5" fontId="2" numFmtId="0" xfId="0" applyAlignment="1" applyFont="1">
      <alignment horizontal="left" vertical="center"/>
    </xf>
    <xf borderId="0" fillId="0" fontId="1" numFmtId="0" xfId="0" applyAlignment="1" applyFont="1">
      <alignment horizontal="right" vertical="bottom"/>
    </xf>
    <xf borderId="0" fillId="5" fontId="1" numFmtId="0" xfId="0" applyAlignment="1" applyFont="1">
      <alignment horizontal="left" readingOrder="0" vertical="center"/>
    </xf>
    <xf borderId="0" fillId="9" fontId="11" numFmtId="0" xfId="0" applyAlignment="1" applyFont="1">
      <alignment shrinkToFit="0" wrapText="0"/>
    </xf>
    <xf borderId="0" fillId="11" fontId="1" numFmtId="0" xfId="0" applyAlignment="1" applyFont="1">
      <alignment readingOrder="0" shrinkToFit="0" vertical="bottom" wrapText="0"/>
    </xf>
    <xf borderId="0" fillId="13" fontId="2" numFmtId="0" xfId="0" applyAlignment="1" applyFill="1" applyFont="1">
      <alignment horizontal="left" vertical="center"/>
    </xf>
    <xf borderId="0" fillId="0" fontId="1" numFmtId="0" xfId="0" applyAlignment="1" applyFont="1">
      <alignment shrinkToFit="0" vertical="bottom" wrapText="0"/>
    </xf>
    <xf borderId="0" fillId="11" fontId="12" numFmtId="0" xfId="0" applyAlignment="1" applyFont="1">
      <alignment shrinkToFit="0" wrapText="0"/>
    </xf>
    <xf borderId="0" fillId="0" fontId="12" numFmtId="0" xfId="0" applyAlignment="1" applyFont="1">
      <alignment readingOrder="0" shrinkToFit="0" wrapText="0"/>
    </xf>
    <xf borderId="0" fillId="13" fontId="1" numFmtId="0" xfId="0" applyAlignment="1" applyFont="1">
      <alignment horizontal="left" readingOrder="0" vertical="center"/>
    </xf>
    <xf borderId="0" fillId="0" fontId="1" numFmtId="0" xfId="0" applyAlignment="1" applyFont="1">
      <alignment horizontal="left" readingOrder="0" vertical="center"/>
    </xf>
    <xf borderId="0" fillId="0" fontId="13" numFmtId="0" xfId="0" applyAlignment="1" applyFont="1">
      <alignment horizontal="left" shrinkToFit="0" vertical="center" wrapText="1"/>
    </xf>
    <xf borderId="0" fillId="0" fontId="14" numFmtId="0" xfId="0" applyAlignment="1" applyFont="1">
      <alignment horizontal="left" readingOrder="0" vertical="center"/>
    </xf>
    <xf borderId="0" fillId="9" fontId="11" numFmtId="164" xfId="0" applyAlignment="1" applyFont="1" applyNumberFormat="1">
      <alignment shrinkToFit="0" wrapText="0"/>
    </xf>
    <xf borderId="0" fillId="14" fontId="2" numFmtId="0" xfId="0" applyAlignment="1" applyFill="1" applyFont="1">
      <alignment horizontal="left" vertical="center"/>
    </xf>
    <xf borderId="0" fillId="14" fontId="1" numFmtId="0" xfId="0" applyAlignment="1" applyFont="1">
      <alignment horizontal="left" vertical="center"/>
    </xf>
    <xf borderId="0" fillId="15" fontId="2" numFmtId="0" xfId="0" applyAlignment="1" applyFill="1" applyFont="1">
      <alignment horizontal="left" vertical="center"/>
    </xf>
    <xf borderId="0" fillId="15" fontId="1" numFmtId="0" xfId="0" applyAlignment="1" applyFont="1">
      <alignment horizontal="left" readingOrder="0" vertical="center"/>
    </xf>
    <xf borderId="0" fillId="16" fontId="2" numFmtId="0" xfId="0" applyAlignment="1" applyFill="1" applyFont="1">
      <alignment horizontal="left" vertical="center"/>
    </xf>
    <xf borderId="0" fillId="16" fontId="1" numFmtId="0" xfId="0" applyAlignment="1" applyFont="1">
      <alignment horizontal="left" readingOrder="0" vertical="center"/>
    </xf>
    <xf borderId="0" fillId="16" fontId="2" numFmtId="0" xfId="0" applyAlignment="1" applyFont="1">
      <alignment horizontal="left" vertical="center"/>
    </xf>
    <xf borderId="0" fillId="16" fontId="1" numFmtId="0" xfId="0" applyAlignment="1" applyFont="1">
      <alignment horizontal="left" vertical="center"/>
    </xf>
    <xf borderId="0" fillId="17" fontId="2" numFmtId="0" xfId="0" applyAlignment="1" applyFill="1" applyFont="1">
      <alignment horizontal="left" vertical="center"/>
    </xf>
    <xf borderId="0" fillId="17" fontId="1" numFmtId="0" xfId="0" applyAlignment="1" applyFont="1">
      <alignment horizontal="left" vertical="center"/>
    </xf>
    <xf borderId="0" fillId="18" fontId="2" numFmtId="0" xfId="0" applyAlignment="1" applyFill="1" applyFont="1">
      <alignment horizontal="left" vertical="center"/>
    </xf>
    <xf borderId="0" fillId="18" fontId="1" numFmtId="0" xfId="0" applyAlignment="1" applyFont="1">
      <alignment horizontal="left" vertical="center"/>
    </xf>
    <xf borderId="0" fillId="19" fontId="2" numFmtId="0" xfId="0" applyAlignment="1" applyFill="1" applyFont="1">
      <alignment horizontal="left" vertical="center"/>
    </xf>
    <xf borderId="0" fillId="19" fontId="1" numFmtId="0" xfId="0" applyAlignment="1" applyFont="1">
      <alignment horizontal="left" vertical="center"/>
    </xf>
    <xf borderId="0" fillId="20" fontId="2" numFmtId="0" xfId="0" applyAlignment="1" applyFill="1" applyFont="1">
      <alignment horizontal="left" vertical="center"/>
    </xf>
    <xf borderId="0" fillId="20" fontId="1" numFmtId="0" xfId="0" applyAlignment="1" applyFont="1">
      <alignment horizontal="left" readingOrder="0" vertical="center"/>
    </xf>
    <xf borderId="0" fillId="21" fontId="2" numFmtId="0" xfId="0" applyAlignment="1" applyFill="1" applyFont="1">
      <alignment horizontal="left" vertical="center"/>
    </xf>
    <xf borderId="0" fillId="21" fontId="1" numFmtId="0" xfId="0" applyAlignment="1" applyFont="1">
      <alignment horizontal="left" readingOrder="0" vertical="center"/>
    </xf>
    <xf borderId="0" fillId="22" fontId="2" numFmtId="0" xfId="0" applyAlignment="1" applyFill="1" applyFont="1">
      <alignment horizontal="left" vertical="center"/>
    </xf>
    <xf borderId="0" fillId="22" fontId="1" numFmtId="0" xfId="0" applyAlignment="1" applyFont="1">
      <alignment horizontal="left" readingOrder="0" vertical="center"/>
    </xf>
    <xf borderId="0" fillId="23" fontId="2" numFmtId="0" xfId="0" applyAlignment="1" applyFill="1" applyFont="1">
      <alignment horizontal="left" vertical="center"/>
    </xf>
    <xf borderId="0" fillId="23" fontId="1" numFmtId="0" xfId="0" applyAlignment="1" applyFont="1">
      <alignment horizontal="left" vertical="center"/>
    </xf>
    <xf borderId="0" fillId="22" fontId="2" numFmtId="0" xfId="0" applyAlignment="1" applyFont="1">
      <alignment horizontal="left" readingOrder="0" vertical="center"/>
    </xf>
    <xf borderId="0" fillId="24" fontId="2" numFmtId="0" xfId="0" applyAlignment="1" applyFill="1" applyFont="1">
      <alignment horizontal="left" vertical="center"/>
    </xf>
    <xf borderId="0" fillId="24" fontId="1" numFmtId="0" xfId="0" applyAlignment="1" applyFont="1">
      <alignment horizontal="left" readingOrder="0" vertical="center"/>
    </xf>
    <xf borderId="0" fillId="25" fontId="2" numFmtId="0" xfId="0" applyAlignment="1" applyFill="1" applyFont="1">
      <alignment horizontal="left" vertical="center"/>
    </xf>
    <xf borderId="0" fillId="25" fontId="1" numFmtId="0" xfId="0" applyAlignment="1" applyFont="1">
      <alignment horizontal="left" vertical="center"/>
    </xf>
    <xf borderId="1" fillId="26" fontId="2" numFmtId="0" xfId="0" applyAlignment="1" applyBorder="1" applyFill="1" applyFont="1">
      <alignment horizontal="left" vertical="center"/>
    </xf>
    <xf borderId="0" fillId="9" fontId="15" numFmtId="0" xfId="0" applyAlignment="1" applyFont="1">
      <alignment readingOrder="0" shrinkToFit="0" vertical="bottom" wrapText="0"/>
    </xf>
    <xf borderId="0" fillId="26" fontId="1" numFmtId="0" xfId="0" applyAlignment="1" applyFont="1">
      <alignment horizontal="left" readingOrder="0" vertical="center"/>
    </xf>
    <xf borderId="1" fillId="22" fontId="2" numFmtId="0" xfId="0" applyAlignment="1" applyBorder="1" applyFont="1">
      <alignment horizontal="left" vertical="center"/>
    </xf>
    <xf borderId="1" fillId="23" fontId="2" numFmtId="0" xfId="0" applyAlignment="1" applyBorder="1" applyFont="1">
      <alignment horizontal="left" vertical="center"/>
    </xf>
    <xf borderId="0" fillId="10" fontId="2" numFmtId="0" xfId="0" applyAlignment="1" applyFont="1">
      <alignment horizontal="left" vertical="center"/>
    </xf>
    <xf borderId="0" fillId="10" fontId="1" numFmtId="0" xfId="0" applyAlignment="1" applyFont="1">
      <alignment horizontal="left" vertical="center"/>
    </xf>
    <xf borderId="0" fillId="27" fontId="2" numFmtId="0" xfId="0" applyAlignment="1" applyFill="1" applyFont="1">
      <alignment horizontal="left" vertical="center"/>
    </xf>
    <xf borderId="0" fillId="27" fontId="1" numFmtId="0" xfId="0" applyAlignment="1" applyFont="1">
      <alignment horizontal="left" vertical="center"/>
    </xf>
    <xf borderId="1" fillId="17" fontId="2" numFmtId="0" xfId="0" applyAlignment="1" applyBorder="1" applyFont="1">
      <alignment horizontal="left" readingOrder="0" vertical="center"/>
    </xf>
    <xf borderId="1" fillId="17" fontId="2" numFmtId="0" xfId="0" applyAlignment="1" applyBorder="1" applyFont="1">
      <alignment horizontal="left" vertical="center"/>
    </xf>
    <xf borderId="1" fillId="17" fontId="2" numFmtId="0" xfId="0" applyAlignment="1" applyBorder="1" applyFont="1">
      <alignment horizontal="left" vertical="center"/>
    </xf>
    <xf borderId="0" fillId="24" fontId="2" numFmtId="0" xfId="0" applyAlignment="1" applyFont="1">
      <alignment horizontal="left" vertical="center"/>
    </xf>
    <xf borderId="0" fillId="24" fontId="16" numFmtId="0" xfId="0" applyAlignment="1" applyFont="1">
      <alignment horizontal="left" readingOrder="0" vertical="center"/>
    </xf>
    <xf borderId="1" fillId="3" fontId="2" numFmtId="0" xfId="0" applyAlignment="1" applyBorder="1" applyFont="1">
      <alignment horizontal="left" vertical="center"/>
    </xf>
    <xf borderId="0" fillId="3" fontId="1" numFmtId="0" xfId="0" applyAlignment="1" applyFont="1">
      <alignment horizontal="left" readingOrder="0" vertical="center"/>
    </xf>
    <xf borderId="0" fillId="3" fontId="2" numFmtId="0" xfId="0" applyAlignment="1" applyFont="1">
      <alignment horizontal="left" vertical="center"/>
    </xf>
    <xf borderId="1" fillId="10" fontId="2" numFmtId="0" xfId="0" applyAlignment="1" applyBorder="1" applyFont="1">
      <alignment horizontal="left" vertical="center"/>
    </xf>
    <xf borderId="0" fillId="10" fontId="1" numFmtId="0" xfId="0" applyAlignment="1" applyFont="1">
      <alignment horizontal="left" vertical="center"/>
    </xf>
    <xf borderId="1" fillId="16" fontId="2" numFmtId="0" xfId="0" applyAlignment="1" applyBorder="1" applyFont="1">
      <alignment horizontal="left" readingOrder="0" vertical="center"/>
    </xf>
    <xf borderId="0" fillId="16" fontId="2" numFmtId="0" xfId="0" applyAlignment="1" applyFont="1">
      <alignment horizontal="left" readingOrder="0" vertical="center"/>
    </xf>
    <xf borderId="0" fillId="20" fontId="2" numFmtId="0" xfId="0" applyAlignment="1" applyFont="1">
      <alignment horizontal="left" readingOrder="0" vertical="center"/>
    </xf>
    <xf borderId="1" fillId="14" fontId="2" numFmtId="0" xfId="0" applyAlignment="1" applyBorder="1" applyFont="1">
      <alignment horizontal="left" readingOrder="0" vertical="center"/>
    </xf>
    <xf borderId="0" fillId="14" fontId="1" numFmtId="0" xfId="0" applyAlignment="1" applyFont="1">
      <alignment horizontal="left" readingOrder="0" vertical="center"/>
    </xf>
    <xf borderId="0" fillId="26" fontId="2" numFmtId="0" xfId="0" applyAlignment="1" applyFont="1">
      <alignment horizontal="left" vertical="center"/>
    </xf>
    <xf borderId="1" fillId="14" fontId="2" numFmtId="0" xfId="0" applyAlignment="1" applyBorder="1" applyFont="1">
      <alignment horizontal="left" vertical="center"/>
    </xf>
    <xf borderId="0" fillId="14" fontId="2" numFmtId="0" xfId="0" applyAlignment="1" applyFont="1">
      <alignment horizontal="left" readingOrder="0" vertical="center"/>
    </xf>
    <xf borderId="0" fillId="5" fontId="2" numFmtId="0" xfId="0" applyAlignment="1" applyFont="1">
      <alignment horizontal="left" readingOrder="0" vertical="center"/>
    </xf>
    <xf borderId="0" fillId="28" fontId="2" numFmtId="0" xfId="0" applyAlignment="1" applyFill="1" applyFont="1">
      <alignment horizontal="left" vertical="center"/>
    </xf>
    <xf borderId="0" fillId="28" fontId="1" numFmtId="0" xfId="0" applyAlignment="1" applyFont="1">
      <alignment horizontal="left" readingOrder="0" vertical="center"/>
    </xf>
    <xf borderId="0" fillId="22" fontId="1" numFmtId="0" xfId="0" applyAlignment="1" applyFont="1">
      <alignment horizontal="left" vertical="center"/>
    </xf>
    <xf borderId="0" fillId="23" fontId="2" numFmtId="0" xfId="0" applyAlignment="1" applyFont="1">
      <alignment horizontal="left" readingOrder="0" vertical="center"/>
    </xf>
    <xf borderId="1" fillId="20" fontId="2" numFmtId="0" xfId="0" applyAlignment="1" applyBorder="1" applyFont="1">
      <alignment horizontal="left" vertical="center"/>
    </xf>
    <xf borderId="1" fillId="4" fontId="2" numFmtId="0" xfId="0" applyAlignment="1" applyBorder="1" applyFont="1">
      <alignment horizontal="left" vertical="center"/>
    </xf>
    <xf borderId="0" fillId="4" fontId="1" numFmtId="0" xfId="0" applyAlignment="1" applyFont="1">
      <alignment horizontal="left" vertical="center"/>
    </xf>
    <xf borderId="0" fillId="3" fontId="16" numFmtId="0" xfId="0" applyAlignment="1" applyFont="1">
      <alignment horizontal="left" readingOrder="0" vertical="center"/>
    </xf>
    <xf borderId="0" fillId="17" fontId="2" numFmtId="0" xfId="0" applyAlignment="1" applyFont="1">
      <alignment horizontal="left" readingOrder="0" vertical="center"/>
    </xf>
    <xf borderId="0" fillId="17" fontId="2" numFmtId="0" xfId="0" applyAlignment="1" applyFont="1">
      <alignment horizontal="left" vertical="center"/>
    </xf>
    <xf borderId="0" fillId="17" fontId="1" numFmtId="0" xfId="0" applyAlignment="1" applyFont="1">
      <alignment horizontal="left" readingOrder="0" vertical="center"/>
    </xf>
    <xf borderId="0" fillId="22" fontId="2" numFmtId="0" xfId="0" applyAlignment="1" applyFont="1">
      <alignment horizontal="left" vertical="center"/>
    </xf>
    <xf borderId="0" fillId="20" fontId="1" numFmtId="0" xfId="0" applyAlignment="1" applyFont="1">
      <alignment horizontal="left" vertical="center"/>
    </xf>
    <xf borderId="0" fillId="28" fontId="2" numFmtId="0" xfId="0" applyAlignment="1" applyFont="1">
      <alignment horizontal="left" vertical="center"/>
    </xf>
    <xf borderId="0" fillId="4" fontId="2" numFmtId="0" xfId="0" applyAlignment="1" applyFont="1">
      <alignment horizontal="left" vertical="center"/>
    </xf>
    <xf borderId="0" fillId="13" fontId="1" numFmtId="0" xfId="0" applyAlignment="1" applyFont="1">
      <alignment horizontal="left" vertical="center"/>
    </xf>
    <xf borderId="0" fillId="9" fontId="11" numFmtId="0" xfId="0" applyAlignment="1" applyFont="1">
      <alignment shrinkToFit="0" wrapText="1"/>
    </xf>
    <xf borderId="0" fillId="3" fontId="17" numFmtId="0" xfId="0" applyAlignment="1" applyFont="1">
      <alignment readingOrder="0" vertical="bottom"/>
    </xf>
    <xf borderId="0" fillId="0" fontId="18" numFmtId="0" xfId="0" applyAlignment="1" applyFont="1">
      <alignment readingOrder="0" vertical="bottom"/>
    </xf>
    <xf borderId="0" fillId="0" fontId="18" numFmtId="0" xfId="0" applyAlignment="1" applyFont="1">
      <alignment vertical="bottom"/>
    </xf>
    <xf borderId="0" fillId="0" fontId="18" numFmtId="0" xfId="0" applyAlignment="1" applyFont="1">
      <alignment vertical="bottom"/>
    </xf>
    <xf borderId="2" fillId="0" fontId="18" numFmtId="0" xfId="0" applyAlignment="1" applyBorder="1" applyFont="1">
      <alignment shrinkToFit="0" vertical="bottom" wrapText="0"/>
    </xf>
    <xf borderId="0" fillId="0" fontId="18" numFmtId="0" xfId="0" applyAlignment="1" applyFont="1">
      <alignment readingOrder="0" shrinkToFit="0" vertical="bottom" wrapText="0"/>
    </xf>
    <xf borderId="0" fillId="0" fontId="18" numFmtId="0" xfId="0" applyAlignment="1" applyFont="1">
      <alignment vertical="bottom"/>
    </xf>
    <xf borderId="0" fillId="0" fontId="18" numFmtId="0" xfId="0" applyAlignment="1" applyFont="1">
      <alignment readingOrder="0" vertical="bottom"/>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shrinkToFit="0" vertical="bottom" wrapText="0"/>
    </xf>
    <xf borderId="0" fillId="0" fontId="19" numFmtId="0" xfId="0" applyAlignment="1" applyFont="1">
      <alignment vertical="bottom"/>
    </xf>
    <xf borderId="0" fillId="25" fontId="19" numFmtId="0" xfId="0" applyAlignment="1" applyFont="1">
      <alignment vertical="bottom"/>
    </xf>
    <xf borderId="2" fillId="0" fontId="19" numFmtId="0" xfId="0" applyAlignment="1" applyBorder="1" applyFont="1">
      <alignment readingOrder="0" vertical="bottom"/>
    </xf>
    <xf borderId="0" fillId="0" fontId="20" numFmtId="0" xfId="0" applyAlignment="1" applyFont="1">
      <alignment vertical="bottom"/>
    </xf>
    <xf borderId="2" fillId="0" fontId="19" numFmtId="0" xfId="0" applyAlignment="1" applyBorder="1" applyFont="1">
      <alignment shrinkToFit="0" vertical="bottom" wrapText="0"/>
    </xf>
    <xf borderId="2" fillId="0" fontId="19" numFmtId="0" xfId="0" applyAlignment="1" applyBorder="1" applyFont="1">
      <alignment readingOrder="0" shrinkToFit="0" vertical="bottom" wrapText="0"/>
    </xf>
    <xf borderId="0" fillId="0" fontId="19" numFmtId="0" xfId="0" applyAlignment="1" applyFont="1">
      <alignment vertical="bottom"/>
    </xf>
    <xf borderId="0" fillId="0" fontId="19" numFmtId="0" xfId="0" applyAlignment="1" applyFont="1">
      <alignment readingOrder="0" vertical="bottom"/>
    </xf>
    <xf borderId="0" fillId="0" fontId="19" numFmtId="0" xfId="0" applyAlignment="1" applyFont="1">
      <alignment shrinkToFit="0" vertical="bottom" wrapText="0"/>
    </xf>
    <xf borderId="0" fillId="0" fontId="19" numFmtId="0" xfId="0" applyAlignment="1" applyFont="1">
      <alignment readingOrder="0" vertical="bottom"/>
    </xf>
    <xf borderId="0" fillId="11" fontId="19" numFmtId="0" xfId="0" applyAlignment="1" applyFont="1">
      <alignment vertical="bottom"/>
    </xf>
    <xf borderId="0" fillId="25" fontId="19" numFmtId="0" xfId="0" applyAlignment="1" applyFont="1">
      <alignment readingOrder="0" vertical="bottom"/>
    </xf>
    <xf borderId="0" fillId="25" fontId="19" numFmtId="0" xfId="0" applyAlignment="1" applyFont="1">
      <alignment vertical="bottom"/>
    </xf>
    <xf borderId="2" fillId="0" fontId="19" numFmtId="0" xfId="0" applyAlignment="1" applyBorder="1" applyFont="1">
      <alignment shrinkToFit="0" vertical="bottom" wrapText="0"/>
    </xf>
    <xf borderId="0" fillId="25" fontId="19" numFmtId="0" xfId="0" applyAlignment="1" applyFont="1">
      <alignment readingOrder="0" vertical="bottom"/>
    </xf>
    <xf borderId="0" fillId="0" fontId="21" numFmtId="0" xfId="0" applyAlignment="1" applyFont="1">
      <alignment horizontal="left" readingOrder="0"/>
    </xf>
    <xf borderId="0" fillId="0" fontId="19" numFmtId="0" xfId="0" applyAlignment="1" applyFont="1">
      <alignment readingOrder="0"/>
    </xf>
    <xf borderId="0" fillId="0" fontId="22" numFmtId="0" xfId="0" applyAlignment="1" applyFont="1">
      <alignment readingOrder="0" vertical="bottom"/>
    </xf>
    <xf borderId="0" fillId="0" fontId="23" numFmtId="0" xfId="0" applyAlignment="1" applyFont="1">
      <alignment readingOrder="0" vertical="bottom"/>
    </xf>
    <xf borderId="0" fillId="0" fontId="24" numFmtId="0" xfId="0" applyAlignment="1" applyFont="1">
      <alignment readingOrder="0"/>
    </xf>
    <xf borderId="0" fillId="0" fontId="25" numFmtId="0" xfId="0" applyAlignment="1" applyFont="1">
      <alignment shrinkToFit="0" vertical="bottom" wrapText="0"/>
    </xf>
    <xf borderId="0" fillId="0" fontId="19" numFmtId="0" xfId="0" applyAlignment="1" applyFont="1">
      <alignment vertical="bottom"/>
    </xf>
    <xf borderId="0" fillId="11" fontId="26" numFmtId="0" xfId="0" applyAlignment="1" applyFont="1">
      <alignment shrinkToFit="0" vertical="bottom" wrapText="0"/>
    </xf>
    <xf borderId="0" fillId="0" fontId="19" numFmtId="0" xfId="0" applyAlignment="1" applyFont="1">
      <alignment readingOrder="0" vertical="bottom"/>
    </xf>
    <xf borderId="0" fillId="0" fontId="19" numFmtId="0" xfId="0" applyAlignment="1" applyFont="1">
      <alignment readingOrder="0" shrinkToFit="0" vertical="bottom" wrapText="0"/>
    </xf>
    <xf borderId="0" fillId="0" fontId="27" numFmtId="0" xfId="0" applyAlignment="1" applyFont="1">
      <alignment readingOrder="0" vertical="bottom"/>
    </xf>
    <xf borderId="2" fillId="0" fontId="28" numFmtId="0" xfId="0" applyAlignment="1" applyBorder="1" applyFont="1">
      <alignment readingOrder="0" vertical="bottom"/>
    </xf>
    <xf borderId="2" fillId="0" fontId="19" numFmtId="0" xfId="0" applyAlignment="1" applyBorder="1" applyFont="1">
      <alignment shrinkToFit="0" vertical="bottom" wrapText="0"/>
    </xf>
    <xf borderId="2" fillId="0" fontId="29" numFmtId="0" xfId="0" applyAlignment="1" applyBorder="1" applyFont="1">
      <alignment vertical="bottom"/>
    </xf>
    <xf borderId="0" fillId="0" fontId="19" numFmtId="0" xfId="0" applyAlignment="1" applyFont="1">
      <alignment shrinkToFit="0" vertical="bottom" wrapText="0"/>
    </xf>
    <xf borderId="0" fillId="0" fontId="19" numFmtId="0" xfId="0" applyFont="1"/>
    <xf borderId="2" fillId="0" fontId="19" numFmtId="0" xfId="0" applyAlignment="1" applyBorder="1" applyFont="1">
      <alignment vertical="bottom"/>
    </xf>
    <xf borderId="2" fillId="0" fontId="30" numFmtId="0" xfId="0" applyAlignment="1" applyBorder="1" applyFont="1">
      <alignment shrinkToFit="0" vertical="bottom" wrapText="0"/>
    </xf>
    <xf borderId="0" fillId="0" fontId="19" numFmtId="0" xfId="0" applyAlignment="1" applyFont="1">
      <alignment vertical="bottom"/>
    </xf>
    <xf borderId="2" fillId="0" fontId="19" numFmtId="0" xfId="0" applyAlignment="1" applyBorder="1" applyFont="1">
      <alignment vertical="bottom"/>
    </xf>
    <xf borderId="0" fillId="0" fontId="19" numFmtId="0" xfId="0" applyAlignment="1" applyFont="1">
      <alignment readingOrder="0" vertical="bottom"/>
    </xf>
    <xf borderId="2" fillId="11" fontId="31" numFmtId="0" xfId="0" applyAlignment="1" applyBorder="1" applyFont="1">
      <alignment shrinkToFit="0" vertical="bottom" wrapText="0"/>
    </xf>
    <xf borderId="0" fillId="0" fontId="32" numFmtId="0" xfId="0" applyAlignment="1" applyFont="1">
      <alignment readingOrder="0"/>
    </xf>
    <xf borderId="2" fillId="0" fontId="19" numFmtId="0" xfId="0" applyAlignment="1" applyBorder="1" applyFont="1">
      <alignment readingOrder="0" shrinkToFit="0" vertical="bottom" wrapText="0"/>
    </xf>
    <xf borderId="2" fillId="0" fontId="33" numFmtId="0" xfId="0" applyAlignment="1" applyBorder="1" applyFont="1">
      <alignment readingOrder="0"/>
    </xf>
    <xf borderId="2" fillId="0" fontId="1" numFmtId="0" xfId="0" applyAlignment="1" applyBorder="1" applyFont="1">
      <alignment shrinkToFit="0" vertical="bottom" wrapText="0"/>
    </xf>
    <xf borderId="2" fillId="0" fontId="1" numFmtId="0" xfId="0" applyAlignment="1" applyBorder="1" applyFont="1">
      <alignment shrinkToFit="0" vertical="bottom" wrapText="0"/>
    </xf>
    <xf borderId="2" fillId="0" fontId="34" numFmtId="0" xfId="0" applyAlignment="1" applyBorder="1" applyFont="1">
      <alignment readingOrder="0" shrinkToFit="0" vertical="bottom" wrapText="0"/>
    </xf>
    <xf borderId="2" fillId="0" fontId="1" numFmtId="0" xfId="0" applyAlignment="1" applyBorder="1" applyFont="1">
      <alignment readingOrder="0" shrinkToFit="0" vertical="bottom" wrapText="0"/>
    </xf>
    <xf borderId="0" fillId="11" fontId="21" numFmtId="0" xfId="0" applyAlignment="1" applyFont="1">
      <alignment vertical="bottom"/>
    </xf>
    <xf borderId="0" fillId="11" fontId="21" numFmtId="0" xfId="0" applyAlignment="1" applyFont="1">
      <alignment readingOrder="0" vertical="bottom"/>
    </xf>
    <xf borderId="0" fillId="0" fontId="35" numFmtId="0" xfId="0" applyAlignment="1" applyFont="1">
      <alignment readingOrder="0" shrinkToFit="0" vertical="bottom" wrapText="0"/>
    </xf>
    <xf borderId="0" fillId="0" fontId="1" numFmtId="0" xfId="0" applyAlignment="1" applyFont="1">
      <alignment readingOrder="0" shrinkToFit="0" vertical="bottom" wrapText="0"/>
    </xf>
    <xf borderId="2" fillId="0" fontId="36" numFmtId="0" xfId="0" applyAlignment="1" applyBorder="1" applyFont="1">
      <alignment readingOrder="0"/>
    </xf>
    <xf borderId="2" fillId="0" fontId="1" numFmtId="0" xfId="0" applyAlignment="1" applyBorder="1" applyFont="1">
      <alignment vertical="bottom"/>
    </xf>
    <xf borderId="0" fillId="11" fontId="21" numFmtId="0" xfId="0" applyAlignment="1" applyFont="1">
      <alignment readingOrder="0"/>
    </xf>
    <xf borderId="0" fillId="0" fontId="37" numFmtId="0" xfId="0" applyAlignment="1" applyFont="1">
      <alignment readingOrder="0" shrinkToFit="0" vertical="bottom" wrapText="0"/>
    </xf>
    <xf borderId="0" fillId="11" fontId="1" numFmtId="0" xfId="0" applyAlignment="1" applyFont="1">
      <alignment vertical="top"/>
    </xf>
    <xf borderId="0" fillId="11" fontId="1" numFmtId="165" xfId="0" applyAlignment="1" applyFont="1" applyNumberFormat="1">
      <alignment vertical="top"/>
    </xf>
    <xf borderId="0" fillId="11" fontId="1" numFmtId="0" xfId="0" applyAlignment="1" applyFont="1">
      <alignment shrinkToFit="0" vertical="bottom" wrapText="0"/>
    </xf>
    <xf borderId="0" fillId="11" fontId="1" numFmtId="0" xfId="0" applyAlignment="1" applyFont="1">
      <alignment vertical="bottom"/>
    </xf>
    <xf borderId="0" fillId="11" fontId="1" numFmtId="0" xfId="0" applyAlignment="1" applyFont="1">
      <alignment vertical="top"/>
    </xf>
    <xf borderId="0" fillId="29" fontId="1" numFmtId="0" xfId="0" applyAlignment="1" applyFill="1" applyFont="1">
      <alignment vertical="top"/>
    </xf>
    <xf borderId="0" fillId="29" fontId="1" numFmtId="165" xfId="0" applyAlignment="1" applyFont="1" applyNumberFormat="1">
      <alignment vertical="top"/>
    </xf>
    <xf borderId="0" fillId="29" fontId="1" numFmtId="0" xfId="0" applyAlignment="1" applyFont="1">
      <alignment shrinkToFit="0" vertical="bottom" wrapText="0"/>
    </xf>
    <xf borderId="0" fillId="29" fontId="1" numFmtId="0" xfId="0" applyAlignment="1" applyFont="1">
      <alignment vertical="bottom"/>
    </xf>
    <xf borderId="0" fillId="29" fontId="1" numFmtId="0" xfId="0" applyAlignment="1" applyFont="1">
      <alignment vertical="top"/>
    </xf>
    <xf borderId="0" fillId="0" fontId="1" numFmtId="165" xfId="0" applyAlignment="1" applyFont="1" applyNumberFormat="1">
      <alignment vertical="bottom"/>
    </xf>
    <xf borderId="0" fillId="0" fontId="19" numFmtId="0" xfId="0" applyAlignment="1" applyFont="1">
      <alignment shrinkToFit="0" vertical="bottom" wrapText="0"/>
    </xf>
    <xf borderId="0" fillId="0" fontId="19" numFmtId="0" xfId="0" applyAlignment="1" applyFont="1">
      <alignment readingOrder="0"/>
    </xf>
    <xf borderId="2" fillId="0" fontId="38" numFmtId="0" xfId="0" applyAlignment="1" applyBorder="1" applyFont="1">
      <alignment shrinkToFit="0" vertical="bottom" wrapText="0"/>
    </xf>
    <xf borderId="0" fillId="0" fontId="39" numFmtId="0" xfId="0" applyAlignment="1" applyFont="1">
      <alignment readingOrder="0" vertical="bottom"/>
    </xf>
    <xf borderId="1" fillId="0" fontId="40" numFmtId="0" xfId="0" applyAlignment="1" applyBorder="1" applyFont="1">
      <alignment shrinkToFit="0" vertical="bottom" wrapText="0"/>
    </xf>
    <xf borderId="0" fillId="0" fontId="41" numFmtId="0" xfId="0" applyAlignment="1" applyFont="1">
      <alignment readingOrder="0"/>
    </xf>
    <xf borderId="0" fillId="0" fontId="42" numFmtId="0" xfId="0" applyAlignment="1" applyFont="1">
      <alignment vertical="bottom"/>
    </xf>
    <xf borderId="1" fillId="0" fontId="43" numFmtId="0" xfId="0" applyAlignment="1" applyBorder="1" applyFont="1">
      <alignment shrinkToFit="0" vertical="bottom" wrapText="0"/>
    </xf>
    <xf borderId="0" fillId="11" fontId="44" numFmtId="0" xfId="0" applyAlignment="1" applyFont="1">
      <alignment readingOrder="0"/>
    </xf>
    <xf borderId="0" fillId="0" fontId="45" numFmtId="0" xfId="0" applyAlignment="1" applyFont="1">
      <alignment readingOrder="0" shrinkToFit="0" vertical="bottom" wrapText="0"/>
    </xf>
    <xf borderId="0" fillId="0" fontId="46" numFmtId="0" xfId="0" applyAlignment="1" applyFont="1">
      <alignment readingOrder="0" vertical="bottom"/>
    </xf>
    <xf borderId="0" fillId="0" fontId="47" numFmtId="0" xfId="0" applyAlignment="1" applyFont="1">
      <alignment readingOrder="0" shrinkToFit="0" vertical="bottom" wrapText="0"/>
    </xf>
    <xf borderId="0" fillId="0" fontId="48" numFmtId="0" xfId="0" applyAlignment="1" applyFont="1">
      <alignment readingOrder="0" vertical="bottom"/>
    </xf>
    <xf borderId="0" fillId="0" fontId="49" numFmtId="0" xfId="0" applyAlignment="1" applyFont="1">
      <alignment readingOrder="0" vertical="bottom"/>
    </xf>
    <xf borderId="0" fillId="0" fontId="1" numFmtId="0" xfId="0" applyAlignment="1" applyFont="1">
      <alignment vertical="bottom"/>
    </xf>
    <xf borderId="0" fillId="0" fontId="50" numFmtId="0" xfId="0" applyAlignment="1" applyFont="1">
      <alignment vertical="bottom"/>
    </xf>
    <xf borderId="0" fillId="0" fontId="1" numFmtId="0" xfId="0" applyAlignment="1" applyFont="1">
      <alignment vertical="bottom"/>
    </xf>
    <xf borderId="0" fillId="0" fontId="51" numFmtId="0" xfId="0" applyAlignment="1" applyFont="1">
      <alignment vertical="bottom"/>
    </xf>
    <xf borderId="0" fillId="0" fontId="52" numFmtId="0" xfId="0" applyAlignment="1" applyFont="1">
      <alignment vertical="bottom"/>
    </xf>
    <xf borderId="0" fillId="0" fontId="53" numFmtId="0" xfId="0" applyAlignment="1" applyFont="1">
      <alignment vertical="bottom"/>
    </xf>
    <xf borderId="2" fillId="30" fontId="1" numFmtId="0" xfId="0" applyAlignment="1" applyBorder="1" applyFill="1" applyFont="1">
      <alignment shrinkToFit="0" vertical="bottom" wrapText="0"/>
    </xf>
    <xf borderId="2" fillId="30" fontId="1" numFmtId="0" xfId="0" applyAlignment="1" applyBorder="1" applyFont="1">
      <alignment shrinkToFit="0" vertical="bottom" wrapText="0"/>
    </xf>
    <xf borderId="0" fillId="0" fontId="1" numFmtId="165" xfId="0" applyAlignment="1" applyFont="1" applyNumberFormat="1">
      <alignment shrinkToFit="0" vertical="bottom" wrapText="0"/>
    </xf>
    <xf borderId="0" fillId="0" fontId="12" numFmtId="0" xfId="0" applyAlignment="1" applyFont="1">
      <alignment readingOrder="0"/>
    </xf>
    <xf borderId="0" fillId="0" fontId="1" numFmtId="166" xfId="0" applyAlignment="1" applyFont="1" applyNumberFormat="1">
      <alignment shrinkToFit="0" vertical="bottom" wrapText="0"/>
    </xf>
    <xf borderId="0" fillId="11" fontId="44" numFmtId="0" xfId="0" applyAlignment="1" applyFont="1">
      <alignment horizontal="left" readingOrder="0"/>
    </xf>
    <xf borderId="0" fillId="29" fontId="44" numFmtId="0" xfId="0" applyAlignment="1" applyFont="1">
      <alignment horizontal="left" readingOrder="0"/>
    </xf>
    <xf borderId="0" fillId="11" fontId="54" numFmtId="0" xfId="0" applyAlignment="1" applyFont="1">
      <alignment readingOrder="0" vertical="bottom"/>
    </xf>
    <xf borderId="0" fillId="11" fontId="7" numFmtId="0" xfId="0" applyAlignment="1" applyFont="1">
      <alignment horizontal="left" readingOrder="0"/>
    </xf>
    <xf borderId="0" fillId="11" fontId="12" numFmtId="0" xfId="0" applyAlignment="1" applyFont="1">
      <alignment readingOrder="0"/>
    </xf>
    <xf borderId="0" fillId="0" fontId="55" numFmtId="0" xfId="0" applyAlignment="1" applyFont="1">
      <alignment readingOrder="0"/>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Task id="{e924704f-69a9-4f83-9bb4-eeaa49348387}">
    <Anchor>
      <Comment id="{e466d258-fc40-45de-91ed-fa7823471da2}"/>
    </Anchor>
    <History>
      <Event time="2021-08-20T14:17:16.00" id="{d29ebcbe-f07a-4dc5-81a7-452f4426a4f3}">
        <Attribution userId="placeholder@email.com" userName="Philip Cutler" userProvider="google-sheets"/>
        <Anchor>
          <Comment id="{e466d258-fc40-45de-91ed-fa7823471da2}"/>
        </Anchor>
        <Create/>
      </Event>
      <Event time="2021-08-20T14:17:16.00" id="{64922c7c-f01d-4312-a1fc-4f359457fb1b}">
        <Attribution userId="placeholder@email.com" userName="Philip Cutler" userProvider="google-sheets"/>
        <Anchor>
          <Comment id="{e466d258-fc40-45de-91ed-fa7823471da2}"/>
        </Anchor>
        <Assign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ilip Cutler" id="{2bb6c660-4fa3-40dc-ad7b-6b45b0423407}" providerId="google-sheets"/>
  <x18tc:person displayName="Deleted user" id="{75201674-04ca-41a6-b880-0415037b07c3}" providerId="google-sheets"/>
  <x18tc:person displayName="christopher.philipps@listenfirstmedia.com" id="{5b4e34f9-6ebc-4c5b-a7bd-b93893067a0a}" userId="christopher.philipps@listenfirstmedia.com"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0-08-24T15:40:01.00" personId="{2bb6c660-4fa3-40dc-ad7b-6b45b0423407}" id="{00911280-218f-459c-ab6f-9540a716a656}" done="0">
    <x18tc:text xml:space="preserve">Strip so you can add full URL in ingest template tab</x18tc:text>
  </x18tc:threadedComment>
  <x18tc:threadedComment ref="A1" dT="2020-08-25T13:04:03.00" personId="{2bb6c660-4fa3-40dc-ad7b-6b45b0423407}" id="{1f8ab01e-4bd7-489e-9b41-d9f54904785e}" done="1">
    <x18tc:text xml:space="preserve">Fix Keyword Formula - Auto populates with dates for Episodic</x18tc:text>
  </x18tc:threadedComment>
  <x18tc:threadedComment ref="A1" dT="2020-08-24T20:29:46.00" personId="{2bb6c660-4fa3-40dc-ad7b-6b45b0423407}" id="{4a26d7a0-512e-4f21-a39a-2b9e97a88160}" done="1">
    <x18tc:text xml:space="preserve">If title is not blank, auto add first run</x18tc:text>
  </x18tc:threadedComment>
  <x18tc:threadedComment ref="A1" dT="2020-08-24T15:15:39.00" personId="{2bb6c660-4fa3-40dc-ad7b-6b45b0423407}" id="{8467d146-d748-484b-bbb6-39c68df2dc89}" done="0">
    <x18tc:text xml:space="preserve">If you add animaiton, action &amp; sci fi, primary genre doesn't populate</x18tc:text>
  </x18tc:threadedComment>
  <x18tc:threadedComment ref="A1" dT="2020-08-25T20:17:13.00" personId="{2bb6c660-4fa3-40dc-ad7b-6b45b0423407}" id="{082a38f0-a4f1-45ef-889f-66f715fabc65}" done="0">
    <x18tc:text xml:space="preserve">Only populates if daypart exists</x18tc:text>
  </x18tc:threadedComment>
  <x18tc:threadedComment ref="A1" dT="2020-08-24T15:41:39.00" personId="{2bb6c660-4fa3-40dc-ad7b-6b45b0423407}" id="{b68ec82c-898f-430b-97bd-f85e24b9bf0c}" done="1">
    <x18tc:text xml:space="preserve">Auto populate based on title name</x18tc:text>
  </x18tc:threadedComment>
  <x18tc:threadedComment ref="A1" dT="2021-08-20T14:17:16.00" personId="{2bb6c660-4fa3-40dc-ad7b-6b45b0423407}" id="{e466d258-fc40-45de-91ed-fa7823471da2}" done="0">
    <x18tc:text xml:space="preserve">@christopher.philipps@listenfirstmedia.com Do you currently use this worksheet/tab for anything?
Assigned to </x18tc:text>
    <x18tc:mentions>
      <x18tc:mention mentionpersonId="{5b4e34f9-6ebc-4c5b-a7bd-b93893067a0a}" mentionId="{3c2b15dd-ff86-4bdd-8b9f-0b967ed4147d}" startIndex="0" length="42"/>
    </x18tc:mentions>
  </x18tc:threadedComment>
  <x18tc:threadedComment ref="A1" dT="2021-08-20T14:22:57.00" personId="{75201674-04ca-41a6-b880-0415037b07c3}" id="{df2e0fb3-be71-4f81-af8a-4551ff508a86}" parentId="{e466d258-fc40-45de-91ed-fa7823471da2}">
    <x18tc:text xml:space="preserve">Good to remove.</x18tc:text>
  </x18tc:threadedComment>
  <x18tc:threadedComment ref="A1" dT="2021-08-20T15:04:26.00" personId="{2bb6c660-4fa3-40dc-ad7b-6b45b0423407}" id="{d4173236-e17c-4cb4-afb8-43be317c4ce2}" parentId="{e466d258-fc40-45de-91ed-fa7823471da2}">
    <x18tc:text xml:space="preserve">Great, thanks!</x18tc:text>
  </x18tc:threadedComment>
  <x18tc:threadedComment ref="T1" dT="2021-03-22T18:38:26.00" personId="{2bb6c660-4fa3-40dc-ad7b-6b45b0423407}" id="{aea4a5a8-30e7-4f1a-a7f0-4a8000af2c8f}" done="0">
    <x18tc:text xml:space="preserve">Investigate whether it would be possible to automate the attribution windows for Live Events. E.g. The Grammys</x18tc:text>
  </x18tc:threadedComment>
  <x18tc:threadedComment ref="A1" dT="2020-08-24T21:13:22.00" personId="{2bb6c660-4fa3-40dc-ad7b-6b45b0423407}" id="{e63c4c36-68bf-4655-bc6b-54dcba0eae50}" done="0">
    <x18tc:text xml:space="preserve">Add Twitter keyword modification formats into this template</x18tc:text>
  </x18tc:threadedComment>
  <x18tc:threadedComment ref="A1" dT="2020-08-24T20:29:42.00" personId="{2bb6c660-4fa3-40dc-ad7b-6b45b0423407}" id="{fc198bd6-cfa9-4059-b9f3-0dd4f615a708}" done="1">
    <x18tc:text xml:space="preserve">If title is not blank, auto add English</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0-08-24T14:50:58.00" personId="{2bb6c660-4fa3-40dc-ad7b-6b45b0423407}" id="{21572f26-4811-4b58-9c35-a536e3b3a66a}" done="0">
    <x18tc:text xml:space="preserve">Auto populate once brand sets are consolidated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5" dT="2023-02-21T19:37:53.00" personId="{2bb6c660-4fa3-40dc-ad7b-6b45b0423407}" id="{21ef1bdc-4daa-4ad2-8ebd-347406ff8574}" done="0">
    <x18tc:text xml:space="preserve">Remove [DAS] TWDC Total Social Roll-Up temporarily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Aey3TzFsPA-MkFPbl3F4HUzbMUV_I-5Cg_irPoyJMU/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youtube.com/user/CSPAN" TargetMode="External"/><Relationship Id="rId190" Type="http://schemas.openxmlformats.org/officeDocument/2006/relationships/hyperlink" Target="https://www.youtube.com/channel/UC6pGDc4bFGD1_36IKv3FnYg" TargetMode="External"/><Relationship Id="rId42" Type="http://schemas.openxmlformats.org/officeDocument/2006/relationships/hyperlink" Target="https://www.youtube.com/user/DestinationAmerica" TargetMode="External"/><Relationship Id="rId41" Type="http://schemas.openxmlformats.org/officeDocument/2006/relationships/hyperlink" Target="https://www.youtube.com/user/CSPAN" TargetMode="External"/><Relationship Id="rId44" Type="http://schemas.openxmlformats.org/officeDocument/2006/relationships/hyperlink" Target="https://www.youtube.com/user/DiscoveryNetworks" TargetMode="External"/><Relationship Id="rId194" Type="http://schemas.openxmlformats.org/officeDocument/2006/relationships/hyperlink" Target="https://www.youtube.com/channel/UCqH2YMSzMaGN92Vc3VkhWnQ" TargetMode="External"/><Relationship Id="rId43" Type="http://schemas.openxmlformats.org/officeDocument/2006/relationships/hyperlink" Target="https://www.youtube.com/user/DIRECTV" TargetMode="External"/><Relationship Id="rId193" Type="http://schemas.openxmlformats.org/officeDocument/2006/relationships/hyperlink" Target="https://www.youtube.com/channel/UCqH2YMSzMaGN92Vc3VkhWnQ" TargetMode="External"/><Relationship Id="rId46" Type="http://schemas.openxmlformats.org/officeDocument/2006/relationships/hyperlink" Target="https://www.youtube.com/user/SUD" TargetMode="External"/><Relationship Id="rId192" Type="http://schemas.openxmlformats.org/officeDocument/2006/relationships/hyperlink" Target="https://www.youtube.com/channel/UCeDnHAtv092zrrVIai87N4Q" TargetMode="External"/><Relationship Id="rId45" Type="http://schemas.openxmlformats.org/officeDocument/2006/relationships/hyperlink" Target="https://www.youtube.com/user/SUD" TargetMode="External"/><Relationship Id="rId191" Type="http://schemas.openxmlformats.org/officeDocument/2006/relationships/hyperlink" Target="https://www.youtube.com/channel/UCeDnHAtv092zrrVIai87N4Q" TargetMode="External"/><Relationship Id="rId48" Type="http://schemas.openxmlformats.org/officeDocument/2006/relationships/hyperlink" Target="https://www.youtube.com/user/DiscoveryHealth" TargetMode="External"/><Relationship Id="rId187" Type="http://schemas.openxmlformats.org/officeDocument/2006/relationships/hyperlink" Target="https://www.youtube.com/channel/UC0yD7rYO26CAbkOx4rJkCzg" TargetMode="External"/><Relationship Id="rId47" Type="http://schemas.openxmlformats.org/officeDocument/2006/relationships/hyperlink" Target="https://www.youtube.com/user/DiscoveryNetworks" TargetMode="External"/><Relationship Id="rId186" Type="http://schemas.openxmlformats.org/officeDocument/2006/relationships/hyperlink" Target="https://www.youtube.com/channel/UCcCCIrXmIJOYamxWqeJzI2Q" TargetMode="External"/><Relationship Id="rId185" Type="http://schemas.openxmlformats.org/officeDocument/2006/relationships/hyperlink" Target="https://www.youtube.com/channel/UCcCCIrXmIJOYamxWqeJzI2Q" TargetMode="External"/><Relationship Id="rId49" Type="http://schemas.openxmlformats.org/officeDocument/2006/relationships/hyperlink" Target="https://www.youtube.com/user/disneysshows" TargetMode="External"/><Relationship Id="rId184" Type="http://schemas.openxmlformats.org/officeDocument/2006/relationships/hyperlink" Target="https://www.youtube.com/channel/UCQJWtTnAHhEG5w4uN0udnUQ" TargetMode="External"/><Relationship Id="rId189" Type="http://schemas.openxmlformats.org/officeDocument/2006/relationships/hyperlink" Target="https://www.youtube.com/channel/UC6pGDc4bFGD1_36IKv3FnYg" TargetMode="External"/><Relationship Id="rId188" Type="http://schemas.openxmlformats.org/officeDocument/2006/relationships/hyperlink" Target="https://www.youtube.com/channel/UC0yD7rYO26CAbkOx4rJkCzg" TargetMode="External"/><Relationship Id="rId31" Type="http://schemas.openxmlformats.org/officeDocument/2006/relationships/hyperlink" Target="https://www.youtube.com/user/ClooTV" TargetMode="External"/><Relationship Id="rId30" Type="http://schemas.openxmlformats.org/officeDocument/2006/relationships/hyperlink" Target="https://www.youtube.com/user/Cinemax" TargetMode="External"/><Relationship Id="rId33" Type="http://schemas.openxmlformats.org/officeDocument/2006/relationships/hyperlink" Target="https://www.youtube.com/user/CNBCtv" TargetMode="External"/><Relationship Id="rId183" Type="http://schemas.openxmlformats.org/officeDocument/2006/relationships/hyperlink" Target="https://www.youtube.com/channel/UCrRttZIypNTA1Mrfwo745Sg" TargetMode="External"/><Relationship Id="rId32" Type="http://schemas.openxmlformats.org/officeDocument/2006/relationships/hyperlink" Target="https://www.youtube.com/user/cmtvideo" TargetMode="External"/><Relationship Id="rId182" Type="http://schemas.openxmlformats.org/officeDocument/2006/relationships/hyperlink" Target="https://www.youtube.com/user/acorntv" TargetMode="External"/><Relationship Id="rId35" Type="http://schemas.openxmlformats.org/officeDocument/2006/relationships/hyperlink" Target="https://www.youtube.com/user/cnnenespanolcom" TargetMode="External"/><Relationship Id="rId181" Type="http://schemas.openxmlformats.org/officeDocument/2006/relationships/hyperlink" Target="https://www.youtube.com/channel/UCJZjAH9MSgob_qhMOakW7jA" TargetMode="External"/><Relationship Id="rId34" Type="http://schemas.openxmlformats.org/officeDocument/2006/relationships/hyperlink" Target="https://www.youtube.com/user/CNN" TargetMode="External"/><Relationship Id="rId180" Type="http://schemas.openxmlformats.org/officeDocument/2006/relationships/hyperlink" Target="https://www.youtube.com/channel/UCFQO_SIhc5hNuvB88uIYo7Q" TargetMode="External"/><Relationship Id="rId37" Type="http://schemas.openxmlformats.org/officeDocument/2006/relationships/hyperlink" Target="https://www.youtube.com/user/CookingChannel" TargetMode="External"/><Relationship Id="rId176" Type="http://schemas.openxmlformats.org/officeDocument/2006/relationships/hyperlink" Target="https://www.youtube.com/channel/UCO1jiCx1gffcg4XgrZx8cLA" TargetMode="External"/><Relationship Id="rId36" Type="http://schemas.openxmlformats.org/officeDocument/2006/relationships/hyperlink" Target="https://www.youtube.com/user/comedycentral" TargetMode="External"/><Relationship Id="rId175" Type="http://schemas.openxmlformats.org/officeDocument/2006/relationships/hyperlink" Target="https://www.youtube.com/channel/UCqVDpXKLmKeBU_yyt_QkItQ" TargetMode="External"/><Relationship Id="rId39" Type="http://schemas.openxmlformats.org/officeDocument/2006/relationships/hyperlink" Target="https://www.youtube.com/user/CrimeandInvestigat" TargetMode="External"/><Relationship Id="rId174" Type="http://schemas.openxmlformats.org/officeDocument/2006/relationships/hyperlink" Target="https://www.youtube.com/user/WFNvideos" TargetMode="External"/><Relationship Id="rId38" Type="http://schemas.openxmlformats.org/officeDocument/2006/relationships/hyperlink" Target="https://www.youtube.com/user/Crackle" TargetMode="External"/><Relationship Id="rId173" Type="http://schemas.openxmlformats.org/officeDocument/2006/relationships/hyperlink" Target="https://www.youtube.com/channel/UCpkc-7PmOe70xubLvpX2NAg" TargetMode="External"/><Relationship Id="rId179" Type="http://schemas.openxmlformats.org/officeDocument/2006/relationships/hyperlink" Target="https://www.youtube.com/user/UrbanMovieChannel" TargetMode="External"/><Relationship Id="rId178" Type="http://schemas.openxmlformats.org/officeDocument/2006/relationships/hyperlink" Target="https://www.youtube.com/channel/UCQ9U250Y8D-ZJHIAMH9L9SQ" TargetMode="External"/><Relationship Id="rId177" Type="http://schemas.openxmlformats.org/officeDocument/2006/relationships/hyperlink" Target="https://www.youtube.com/user/ESPN" TargetMode="External"/><Relationship Id="rId20" Type="http://schemas.openxmlformats.org/officeDocument/2006/relationships/hyperlink" Target="https://www.youtube.com/user/bigtennetwork" TargetMode="External"/><Relationship Id="rId22" Type="http://schemas.openxmlformats.org/officeDocument/2006/relationships/hyperlink" Target="https://www.youtube.com/user/BounceTVOurWay" TargetMode="External"/><Relationship Id="rId21" Type="http://schemas.openxmlformats.org/officeDocument/2006/relationships/hyperlink" Target="https://www.youtube.com/user/Bloomberg" TargetMode="External"/><Relationship Id="rId24" Type="http://schemas.openxmlformats.org/officeDocument/2006/relationships/hyperlink" Target="https://www.youtube.com/user/BYUTelevision" TargetMode="External"/><Relationship Id="rId23" Type="http://schemas.openxmlformats.org/officeDocument/2006/relationships/hyperlink" Target="https://www.youtube.com/user/VideoByBravo" TargetMode="External"/><Relationship Id="rId26" Type="http://schemas.openxmlformats.org/officeDocument/2006/relationships/hyperlink" Target="https://www.youtube.com/user/cartoonnetwork" TargetMode="External"/><Relationship Id="rId25" Type="http://schemas.openxmlformats.org/officeDocument/2006/relationships/hyperlink" Target="https://www.youtube.com/user/canalsur" TargetMode="External"/><Relationship Id="rId28" Type="http://schemas.openxmlformats.org/officeDocument/2006/relationships/hyperlink" Target="https://www.youtube.com/channel/UCrRttZIypNTA1Mrfwo745Sg" TargetMode="External"/><Relationship Id="rId27" Type="http://schemas.openxmlformats.org/officeDocument/2006/relationships/hyperlink" Target="https://www.youtube.com/user/CBS" TargetMode="External"/><Relationship Id="rId29" Type="http://schemas.openxmlformats.org/officeDocument/2006/relationships/hyperlink" Target="https://www.youtube.com/user/chiller/" TargetMode="External"/><Relationship Id="rId11" Type="http://schemas.openxmlformats.org/officeDocument/2006/relationships/hyperlink" Target="https://www.youtube.com/channel/UC1Myj674wRVXB9I4c6Hm5zA" TargetMode="External"/><Relationship Id="rId10" Type="http://schemas.openxmlformats.org/officeDocument/2006/relationships/hyperlink" Target="https://www.youtube.com/user/aolonoriginals" TargetMode="External"/><Relationship Id="rId13" Type="http://schemas.openxmlformats.org/officeDocument/2006/relationships/hyperlink" Target="https://www.youtube.com/channel/UC63mcQWLH1qw9Jg2ED1Y8WA" TargetMode="External"/><Relationship Id="rId12" Type="http://schemas.openxmlformats.org/officeDocument/2006/relationships/hyperlink" Target="https://www.youtube.com/user/AudienceDIRECTV" TargetMode="External"/><Relationship Id="rId15" Type="http://schemas.openxmlformats.org/officeDocument/2006/relationships/hyperlink" Target="https://www.youtube.com/user/BBCAmericaTV" TargetMode="External"/><Relationship Id="rId198" Type="http://schemas.openxmlformats.org/officeDocument/2006/relationships/hyperlink" Target="https://www.youtube.com/channel/UCABKxHOFB4UTlqLwGckA17A" TargetMode="External"/><Relationship Id="rId14" Type="http://schemas.openxmlformats.org/officeDocument/2006/relationships/hyperlink" Target="https://www.youtube.com/user/AzAmerica" TargetMode="External"/><Relationship Id="rId197" Type="http://schemas.openxmlformats.org/officeDocument/2006/relationships/hyperlink" Target="https://www.youtube.com/channel/UCABKxHOFB4UTlqLwGckA17A" TargetMode="External"/><Relationship Id="rId17" Type="http://schemas.openxmlformats.org/officeDocument/2006/relationships/hyperlink" Target="https://www.youtube.com/user/BETNetworks" TargetMode="External"/><Relationship Id="rId196" Type="http://schemas.openxmlformats.org/officeDocument/2006/relationships/hyperlink" Target="https://www.youtube.com/channel/UCNDsk0uhSlG1-br1Ex2Rgfg" TargetMode="External"/><Relationship Id="rId16" Type="http://schemas.openxmlformats.org/officeDocument/2006/relationships/hyperlink" Target="https://www.youtube.com/user/GolTelevision" TargetMode="External"/><Relationship Id="rId195" Type="http://schemas.openxmlformats.org/officeDocument/2006/relationships/hyperlink" Target="https://www.youtube.com/channel/UCNDsk0uhSlG1-br1Ex2Rgfg" TargetMode="External"/><Relationship Id="rId19" Type="http://schemas.openxmlformats.org/officeDocument/2006/relationships/hyperlink" Target="https://www.youtube.com/user/BETNetworks" TargetMode="External"/><Relationship Id="rId18" Type="http://schemas.openxmlformats.org/officeDocument/2006/relationships/hyperlink" Target="https://www.youtube.com/channel/UCoRPneJymvaGJZAFSg8vDlg" TargetMode="External"/><Relationship Id="rId199" Type="http://schemas.openxmlformats.org/officeDocument/2006/relationships/hyperlink" Target="https://www.youtube.com/@magnolianetwork" TargetMode="External"/><Relationship Id="rId84" Type="http://schemas.openxmlformats.org/officeDocument/2006/relationships/hyperlink" Target="https://www.youtube.com/channel/UCjIRUzJ-6-4nyX3GIsfwOOg" TargetMode="External"/><Relationship Id="rId83" Type="http://schemas.openxmlformats.org/officeDocument/2006/relationships/hyperlink" Target="https://www.youtube.com/user/GolfChannel" TargetMode="External"/><Relationship Id="rId86" Type="http://schemas.openxmlformats.org/officeDocument/2006/relationships/hyperlink" Target="https://www.youtube.com/user/historychannel" TargetMode="External"/><Relationship Id="rId85" Type="http://schemas.openxmlformats.org/officeDocument/2006/relationships/hyperlink" Target="https://www.youtube.com/user/GSNVideos" TargetMode="External"/><Relationship Id="rId88" Type="http://schemas.openxmlformats.org/officeDocument/2006/relationships/hyperlink" Target="https://www.youtube.com/user/HallmarkMovMysteries" TargetMode="External"/><Relationship Id="rId150" Type="http://schemas.openxmlformats.org/officeDocument/2006/relationships/hyperlink" Target="https://www.youtube.com/user/telemundotv" TargetMode="External"/><Relationship Id="rId87" Type="http://schemas.openxmlformats.org/officeDocument/2006/relationships/hyperlink" Target="https://www.youtube.com/user/HallmarkChannelUSA" TargetMode="External"/><Relationship Id="rId89" Type="http://schemas.openxmlformats.org/officeDocument/2006/relationships/hyperlink" Target="https://www.youtube.com/user/HBO" TargetMode="External"/><Relationship Id="rId80" Type="http://schemas.openxmlformats.org/officeDocument/2006/relationships/hyperlink" Target="https://www.youtube.com/user/fyi" TargetMode="External"/><Relationship Id="rId82" Type="http://schemas.openxmlformats.org/officeDocument/2006/relationships/hyperlink" Target="https://www.youtube.com/channel/UCa9gVui7SBECUX61bN1i2bg" TargetMode="External"/><Relationship Id="rId81" Type="http://schemas.openxmlformats.org/officeDocument/2006/relationships/hyperlink" Target="https://www.youtube.com/user/GMAPinoyTVOnline" TargetMode="External"/><Relationship Id="rId1" Type="http://schemas.openxmlformats.org/officeDocument/2006/relationships/hyperlink" Target="https://www.youtube.com/user/AETV" TargetMode="External"/><Relationship Id="rId2" Type="http://schemas.openxmlformats.org/officeDocument/2006/relationships/hyperlink" Target="https://www.youtube.com/user/ABCNetwork" TargetMode="External"/><Relationship Id="rId3" Type="http://schemas.openxmlformats.org/officeDocument/2006/relationships/hyperlink" Target="https://www.youtube.com/channel/UCrv0IvSihq8SiaHG3GJtDFw" TargetMode="External"/><Relationship Id="rId149" Type="http://schemas.openxmlformats.org/officeDocument/2006/relationships/hyperlink" Target="https://www.youtube.com/user/TelehitCanal" TargetMode="External"/><Relationship Id="rId4" Type="http://schemas.openxmlformats.org/officeDocument/2006/relationships/hyperlink" Target="https://www.youtube.com/user/adultswim" TargetMode="External"/><Relationship Id="rId148" Type="http://schemas.openxmlformats.org/officeDocument/2006/relationships/hyperlink" Target="https://www.youtube.com/user/Nickelodeon" TargetMode="External"/><Relationship Id="rId9" Type="http://schemas.openxmlformats.org/officeDocument/2006/relationships/hyperlink" Target="https://www.youtube.com/user/AnimalPlanetTV" TargetMode="External"/><Relationship Id="rId143" Type="http://schemas.openxmlformats.org/officeDocument/2006/relationships/hyperlink" Target="https://www.youtube.com/user/Starz" TargetMode="External"/><Relationship Id="rId142" Type="http://schemas.openxmlformats.org/officeDocument/2006/relationships/hyperlink" Target="https://www.youtube.com/user/TheSportsmanChannel" TargetMode="External"/><Relationship Id="rId141" Type="http://schemas.openxmlformats.org/officeDocument/2006/relationships/hyperlink" Target="https://www.youtube.com/channel/UC4jymRcKY80F1UKZakZAjhw" TargetMode="External"/><Relationship Id="rId140" Type="http://schemas.openxmlformats.org/officeDocument/2006/relationships/hyperlink" Target="https://www.youtube.com/user/SHOWTIME" TargetMode="External"/><Relationship Id="rId5" Type="http://schemas.openxmlformats.org/officeDocument/2006/relationships/hyperlink" Target="https://www.youtube.com/user/AlJazeeraAmerica" TargetMode="External"/><Relationship Id="rId147" Type="http://schemas.openxmlformats.org/officeDocument/2006/relationships/hyperlink" Target="https://www.youtube.com/user/TBS" TargetMode="External"/><Relationship Id="rId6" Type="http://schemas.openxmlformats.org/officeDocument/2006/relationships/hyperlink" Target="https://www.youtube.com/user/amazonstudios" TargetMode="External"/><Relationship Id="rId146" Type="http://schemas.openxmlformats.org/officeDocument/2006/relationships/hyperlink" Target="https://www.youtube.com/user/syfy" TargetMode="External"/><Relationship Id="rId7" Type="http://schemas.openxmlformats.org/officeDocument/2006/relationships/hyperlink" Target="https://www.youtube.com/channel/UCmxURUIJXKnoC7_i1fPhs7Q" TargetMode="External"/><Relationship Id="rId145" Type="http://schemas.openxmlformats.org/officeDocument/2006/relationships/hyperlink" Target="https://www.youtube.com/user/sundancechannel" TargetMode="External"/><Relationship Id="rId8" Type="http://schemas.openxmlformats.org/officeDocument/2006/relationships/hyperlink" Target="https://www.youtube.com/user/MilitaryChannel" TargetMode="External"/><Relationship Id="rId144" Type="http://schemas.openxmlformats.org/officeDocument/2006/relationships/hyperlink" Target="https://www.youtube.com/user/SundanceNow" TargetMode="External"/><Relationship Id="rId73" Type="http://schemas.openxmlformats.org/officeDocument/2006/relationships/hyperlink" Target="https://www.youtube.com/user/FoxSports" TargetMode="External"/><Relationship Id="rId72" Type="http://schemas.openxmlformats.org/officeDocument/2006/relationships/hyperlink" Target="https://www.youtube.com/user/FoxSports" TargetMode="External"/><Relationship Id="rId75" Type="http://schemas.openxmlformats.org/officeDocument/2006/relationships/hyperlink" Target="https://www.youtube.com/channel/UCQ8RapbM0DvGham-zDZEeFA" TargetMode="External"/><Relationship Id="rId74" Type="http://schemas.openxmlformats.org/officeDocument/2006/relationships/hyperlink" Target="https://www.youtube.com/user/SunSportsFOXSportsFL" TargetMode="External"/><Relationship Id="rId77" Type="http://schemas.openxmlformats.org/officeDocument/2006/relationships/hyperlink" Target="https://www.youtube.com/user/FXNetworks" TargetMode="External"/><Relationship Id="rId76" Type="http://schemas.openxmlformats.org/officeDocument/2006/relationships/hyperlink" Target="https://www.youtube.com/user/fuse" TargetMode="External"/><Relationship Id="rId79" Type="http://schemas.openxmlformats.org/officeDocument/2006/relationships/hyperlink" Target="https://www.youtube.com/user/FXXNetwork" TargetMode="External"/><Relationship Id="rId78" Type="http://schemas.openxmlformats.org/officeDocument/2006/relationships/hyperlink" Target="https://www.youtube.com/user/FXNetworks" TargetMode="External"/><Relationship Id="rId71" Type="http://schemas.openxmlformats.org/officeDocument/2006/relationships/hyperlink" Target="https://www.youtube.com/user/FoxSports" TargetMode="External"/><Relationship Id="rId70" Type="http://schemas.openxmlformats.org/officeDocument/2006/relationships/hyperlink" Target="https://www.youtube.com/user/FoxNewsChannel" TargetMode="External"/><Relationship Id="rId139" Type="http://schemas.openxmlformats.org/officeDocument/2006/relationships/hyperlink" Target="https://www.youtube.com/channel/UCkZuX6LeBpmdVLO_oUaorOA" TargetMode="External"/><Relationship Id="rId138" Type="http://schemas.openxmlformats.org/officeDocument/2006/relationships/hyperlink" Target="https://www.youtube.com/user/ScienceChannel" TargetMode="External"/><Relationship Id="rId137" Type="http://schemas.openxmlformats.org/officeDocument/2006/relationships/hyperlink" Target="https://www.youtube.com/user/RFDTVnetwork" TargetMode="External"/><Relationship Id="rId132" Type="http://schemas.openxmlformats.org/officeDocument/2006/relationships/hyperlink" Target="https://www.youtube.com/user/PivotTVnetwork" TargetMode="External"/><Relationship Id="rId131" Type="http://schemas.openxmlformats.org/officeDocument/2006/relationships/hyperlink" Target="https://www.youtube.com/channel/UCrNnk0wFBnCS1awGjq_ijGQ" TargetMode="External"/><Relationship Id="rId130" Type="http://schemas.openxmlformats.org/officeDocument/2006/relationships/hyperlink" Target="https://www.youtube.com/user/PBS" TargetMode="External"/><Relationship Id="rId136" Type="http://schemas.openxmlformats.org/officeDocument/2006/relationships/hyperlink" Target="https://www.youtube.com/user/ReelzChannel" TargetMode="External"/><Relationship Id="rId135" Type="http://schemas.openxmlformats.org/officeDocument/2006/relationships/hyperlink" Target="https://www.youtube.com/user/QVC" TargetMode="External"/><Relationship Id="rId134" Type="http://schemas.openxmlformats.org/officeDocument/2006/relationships/hyperlink" Target="https://www.youtube.com/channel/UCR4sKQm7_z8IrZ79O7v10ng" TargetMode="External"/><Relationship Id="rId133" Type="http://schemas.openxmlformats.org/officeDocument/2006/relationships/hyperlink" Target="https://www.youtube.com/user/PopTVVideo" TargetMode="External"/><Relationship Id="rId62" Type="http://schemas.openxmlformats.org/officeDocument/2006/relationships/hyperlink" Target="https://www.youtube.com/user/G4TV" TargetMode="External"/><Relationship Id="rId61" Type="http://schemas.openxmlformats.org/officeDocument/2006/relationships/hyperlink" Target="https://www.youtube.com/user/espnu" TargetMode="External"/><Relationship Id="rId64" Type="http://schemas.openxmlformats.org/officeDocument/2006/relationships/hyperlink" Target="https://www.youtube.com/user/evinelive" TargetMode="External"/><Relationship Id="rId63" Type="http://schemas.openxmlformats.org/officeDocument/2006/relationships/hyperlink" Target="https://www.youtube.com/user/canalestrellatv" TargetMode="External"/><Relationship Id="rId66" Type="http://schemas.openxmlformats.org/officeDocument/2006/relationships/hyperlink" Target="https://www.youtube.com/user/FoodNetworkTV" TargetMode="External"/><Relationship Id="rId172" Type="http://schemas.openxmlformats.org/officeDocument/2006/relationships/hyperlink" Target="https://www.youtube.com/user/WE" TargetMode="External"/><Relationship Id="rId65" Type="http://schemas.openxmlformats.org/officeDocument/2006/relationships/hyperlink" Target="https://www.youtube.com/user/EWTN" TargetMode="External"/><Relationship Id="rId171" Type="http://schemas.openxmlformats.org/officeDocument/2006/relationships/hyperlink" Target="https://www.youtube.com/user/vmetv" TargetMode="External"/><Relationship Id="rId68" Type="http://schemas.openxmlformats.org/officeDocument/2006/relationships/hyperlink" Target="https://www.youtube.com/user/FoxBusinessNetwork" TargetMode="External"/><Relationship Id="rId170" Type="http://schemas.openxmlformats.org/officeDocument/2006/relationships/hyperlink" Target="https://www.youtube.com/channel/UCWF0PiUvUi3Jma2oFgaiX2w" TargetMode="External"/><Relationship Id="rId67" Type="http://schemas.openxmlformats.org/officeDocument/2006/relationships/hyperlink" Target="https://www.youtube.com/user/FoxBroadcasting" TargetMode="External"/><Relationship Id="rId60" Type="http://schemas.openxmlformats.org/officeDocument/2006/relationships/hyperlink" Target="https://www.youtube.com/user/ESPN" TargetMode="External"/><Relationship Id="rId165" Type="http://schemas.openxmlformats.org/officeDocument/2006/relationships/hyperlink" Target="https://www.youtube.com/user/Univision" TargetMode="External"/><Relationship Id="rId69" Type="http://schemas.openxmlformats.org/officeDocument/2006/relationships/hyperlink" Target="https://www.youtube.com/user/FOXDeportesUS" TargetMode="External"/><Relationship Id="rId164" Type="http://schemas.openxmlformats.org/officeDocument/2006/relationships/hyperlink" Target="https://www.youtube.com/channel/UCZ6jURNr1WQZCNHF0ao-c0g" TargetMode="External"/><Relationship Id="rId163" Type="http://schemas.openxmlformats.org/officeDocument/2006/relationships/hyperlink" Target="https://www.youtube.com/user/UnimasOficial" TargetMode="External"/><Relationship Id="rId162" Type="http://schemas.openxmlformats.org/officeDocument/2006/relationships/hyperlink" Target="https://www.youtube.com/user/tvgnetwork" TargetMode="External"/><Relationship Id="rId169" Type="http://schemas.openxmlformats.org/officeDocument/2006/relationships/hyperlink" Target="https://www.youtube.com/user/VH1" TargetMode="External"/><Relationship Id="rId168" Type="http://schemas.openxmlformats.org/officeDocument/2006/relationships/hyperlink" Target="https://www.youtube.com/user/VH1" TargetMode="External"/><Relationship Id="rId167" Type="http://schemas.openxmlformats.org/officeDocument/2006/relationships/hyperlink" Target="https://www.youtube.com/user/usanetwork" TargetMode="External"/><Relationship Id="rId166" Type="http://schemas.openxmlformats.org/officeDocument/2006/relationships/hyperlink" Target="https://www.youtube.com/user/Univision" TargetMode="External"/><Relationship Id="rId51" Type="http://schemas.openxmlformats.org/officeDocument/2006/relationships/hyperlink" Target="https://www.youtube.com/user/disneyxd" TargetMode="External"/><Relationship Id="rId50" Type="http://schemas.openxmlformats.org/officeDocument/2006/relationships/hyperlink" Target="https://www.youtube.com/user/disneyjunior" TargetMode="External"/><Relationship Id="rId53" Type="http://schemas.openxmlformats.org/officeDocument/2006/relationships/hyperlink" Target="https://www.youtube.com/user/DIYNetwork" TargetMode="External"/><Relationship Id="rId52" Type="http://schemas.openxmlformats.org/officeDocument/2006/relationships/hyperlink" Target="https://www.youtube.com/channel/UCIrgJInjLS2BhlHOMDW7v0g" TargetMode="External"/><Relationship Id="rId55" Type="http://schemas.openxmlformats.org/officeDocument/2006/relationships/hyperlink" Target="https://www.youtube.com/user/EPIXHD" TargetMode="External"/><Relationship Id="rId161" Type="http://schemas.openxmlformats.org/officeDocument/2006/relationships/hyperlink" Target="https://www.youtube.com/user/tvgnetwork" TargetMode="External"/><Relationship Id="rId54" Type="http://schemas.openxmlformats.org/officeDocument/2006/relationships/hyperlink" Target="https://www.youtube.com/user/EEntertainment" TargetMode="External"/><Relationship Id="rId160" Type="http://schemas.openxmlformats.org/officeDocument/2006/relationships/hyperlink" Target="https://www.youtube.com/user/TVOneOnline" TargetMode="External"/><Relationship Id="rId57" Type="http://schemas.openxmlformats.org/officeDocument/2006/relationships/hyperlink" Target="https://www.youtube.com/user/ESPN" TargetMode="External"/><Relationship Id="rId56" Type="http://schemas.openxmlformats.org/officeDocument/2006/relationships/hyperlink" Target="https://www.youtube.com/user/ESPN" TargetMode="External"/><Relationship Id="rId159" Type="http://schemas.openxmlformats.org/officeDocument/2006/relationships/hyperlink" Target="https://www.youtube.com/user/tvland" TargetMode="External"/><Relationship Id="rId59" Type="http://schemas.openxmlformats.org/officeDocument/2006/relationships/hyperlink" Target="https://www.youtube.com/user/ESPN" TargetMode="External"/><Relationship Id="rId154" Type="http://schemas.openxmlformats.org/officeDocument/2006/relationships/hyperlink" Target="https://www.youtube.com/user/TheWeatherChannel" TargetMode="External"/><Relationship Id="rId58" Type="http://schemas.openxmlformats.org/officeDocument/2006/relationships/hyperlink" Target="https://www.youtube.com/user/espndeportesoficial" TargetMode="External"/><Relationship Id="rId153" Type="http://schemas.openxmlformats.org/officeDocument/2006/relationships/hyperlink" Target="https://www.youtube.com/user/TravelChannelTV" TargetMode="External"/><Relationship Id="rId152" Type="http://schemas.openxmlformats.org/officeDocument/2006/relationships/hyperlink" Target="https://www.youtube.com/user/CWtelevision" TargetMode="External"/><Relationship Id="rId151" Type="http://schemas.openxmlformats.org/officeDocument/2006/relationships/hyperlink" Target="https://www.youtube.com/user/TennisChannel" TargetMode="External"/><Relationship Id="rId158" Type="http://schemas.openxmlformats.org/officeDocument/2006/relationships/hyperlink" Target="https://www.youtube.com/user/TurnerClassicMovies" TargetMode="External"/><Relationship Id="rId157" Type="http://schemas.openxmlformats.org/officeDocument/2006/relationships/hyperlink" Target="https://www.youtube.com/user/truTVnetwork" TargetMode="External"/><Relationship Id="rId156" Type="http://schemas.openxmlformats.org/officeDocument/2006/relationships/hyperlink" Target="https://www.youtube.com/user/tntweknowdrama" TargetMode="External"/><Relationship Id="rId155" Type="http://schemas.openxmlformats.org/officeDocument/2006/relationships/hyperlink" Target="https://www.youtube.com/user/TLC" TargetMode="External"/><Relationship Id="rId107" Type="http://schemas.openxmlformats.org/officeDocument/2006/relationships/hyperlink" Target="https://www.youtube.com/user/MLBNetworkClips" TargetMode="External"/><Relationship Id="rId106" Type="http://schemas.openxmlformats.org/officeDocument/2006/relationships/hyperlink" Target="https://www.youtube.com/channel/UCLRmIdRJgLfmdpJufmBhBuA" TargetMode="External"/><Relationship Id="rId105" Type="http://schemas.openxmlformats.org/officeDocument/2006/relationships/hyperlink" Target="https://www.youtube.com/user/LogoTV" TargetMode="External"/><Relationship Id="rId104" Type="http://schemas.openxmlformats.org/officeDocument/2006/relationships/hyperlink" Target="https://www.youtube.com/user/lmn" TargetMode="External"/><Relationship Id="rId109" Type="http://schemas.openxmlformats.org/officeDocument/2006/relationships/hyperlink" Target="https://www.youtube.com/user/msnbcleanforward" TargetMode="External"/><Relationship Id="rId108" Type="http://schemas.openxmlformats.org/officeDocument/2006/relationships/hyperlink" Target="https://www.youtube.com/user/velocity" TargetMode="External"/><Relationship Id="rId103" Type="http://schemas.openxmlformats.org/officeDocument/2006/relationships/hyperlink" Target="https://www.youtube.com/user/Lifetime" TargetMode="External"/><Relationship Id="rId102" Type="http://schemas.openxmlformats.org/officeDocument/2006/relationships/hyperlink" Target="https://www.youtube.com/user/jewelrytelevision" TargetMode="External"/><Relationship Id="rId101" Type="http://schemas.openxmlformats.org/officeDocument/2006/relationships/hyperlink" Target="https://www.youtube.com/user/DiscoveryID" TargetMode="External"/><Relationship Id="rId100" Type="http://schemas.openxmlformats.org/officeDocument/2006/relationships/hyperlink" Target="https://www.youtube.com/user/inspnetwork" TargetMode="External"/><Relationship Id="rId129" Type="http://schemas.openxmlformats.org/officeDocument/2006/relationships/hyperlink" Target="https://www.youtube.com/channel/UCgChUBhjz676-JXJNF_yjig" TargetMode="External"/><Relationship Id="rId128" Type="http://schemas.openxmlformats.org/officeDocument/2006/relationships/hyperlink" Target="https://www.youtube.com/channel/UCi1chiZPrJZjk7iwi093kfQ" TargetMode="External"/><Relationship Id="rId127" Type="http://schemas.openxmlformats.org/officeDocument/2006/relationships/hyperlink" Target="https://www.youtube.com/user/OWN" TargetMode="External"/><Relationship Id="rId126" Type="http://schemas.openxmlformats.org/officeDocument/2006/relationships/hyperlink" Target="https://www.youtube.com/user/OvationTV/" TargetMode="External"/><Relationship Id="rId121" Type="http://schemas.openxmlformats.org/officeDocument/2006/relationships/hyperlink" Target="https://www.youtube.com/user/Nickelodeon" TargetMode="External"/><Relationship Id="rId120" Type="http://schemas.openxmlformats.org/officeDocument/2006/relationships/hyperlink" Target="https://www.youtube.com/user/NewOnNetflix" TargetMode="External"/><Relationship Id="rId125" Type="http://schemas.openxmlformats.org/officeDocument/2006/relationships/hyperlink" Target="https://www.youtube.com/user/OutdoorChannel" TargetMode="External"/><Relationship Id="rId124" Type="http://schemas.openxmlformats.org/officeDocument/2006/relationships/hyperlink" Target="https://www.youtube.com/user/mynuvoTV" TargetMode="External"/><Relationship Id="rId123" Type="http://schemas.openxmlformats.org/officeDocument/2006/relationships/hyperlink" Target="https://www.youtube.com/user/Nickelodeon" TargetMode="External"/><Relationship Id="rId122" Type="http://schemas.openxmlformats.org/officeDocument/2006/relationships/hyperlink" Target="https://www.youtube.com/user/Nickelodeon" TargetMode="External"/><Relationship Id="rId95" Type="http://schemas.openxmlformats.org/officeDocument/2006/relationships/hyperlink" Target="https://www.youtube.com/user/HLN" TargetMode="External"/><Relationship Id="rId94" Type="http://schemas.openxmlformats.org/officeDocument/2006/relationships/hyperlink" Target="https://www.youtube.com/user/HITNTelevision" TargetMode="External"/><Relationship Id="rId97" Type="http://schemas.openxmlformats.org/officeDocument/2006/relationships/hyperlink" Target="https://www.youtube.com/user/HUBTVNETWORK" TargetMode="External"/><Relationship Id="rId96" Type="http://schemas.openxmlformats.org/officeDocument/2006/relationships/hyperlink" Target="https://www.youtube.com/user/HSN" TargetMode="External"/><Relationship Id="rId99" Type="http://schemas.openxmlformats.org/officeDocument/2006/relationships/hyperlink" Target="https://www.youtube.com/user/ifc" TargetMode="External"/><Relationship Id="rId98" Type="http://schemas.openxmlformats.org/officeDocument/2006/relationships/hyperlink" Target="https://www.youtube.com/user/huluDotCom" TargetMode="External"/><Relationship Id="rId91" Type="http://schemas.openxmlformats.org/officeDocument/2006/relationships/hyperlink" Target="https://www.youtube.com/channel/UCx-KWLTKlB83hDI6UKECtJQ" TargetMode="External"/><Relationship Id="rId90" Type="http://schemas.openxmlformats.org/officeDocument/2006/relationships/hyperlink" Target="https://www.youtube.com/user/HBOLatino" TargetMode="External"/><Relationship Id="rId93" Type="http://schemas.openxmlformats.org/officeDocument/2006/relationships/hyperlink" Target="https://www.youtube.com/user/historychannel" TargetMode="External"/><Relationship Id="rId92" Type="http://schemas.openxmlformats.org/officeDocument/2006/relationships/hyperlink" Target="https://www.youtube.com/user/HGTV" TargetMode="External"/><Relationship Id="rId118" Type="http://schemas.openxmlformats.org/officeDocument/2006/relationships/hyperlink" Target="https://www.youtube.com/user/NBCSportsNetwork" TargetMode="External"/><Relationship Id="rId117" Type="http://schemas.openxmlformats.org/officeDocument/2006/relationships/hyperlink" Target="https://www.youtube.com/channel/UCPgMAS8woHJ_o_OZdTR7kcQ" TargetMode="External"/><Relationship Id="rId116" Type="http://schemas.openxmlformats.org/officeDocument/2006/relationships/hyperlink" Target="https://www.youtube.com/user/NBC" TargetMode="External"/><Relationship Id="rId115" Type="http://schemas.openxmlformats.org/officeDocument/2006/relationships/hyperlink" Target="https://www.youtube.com/user/NationalGeographic" TargetMode="External"/><Relationship Id="rId119" Type="http://schemas.openxmlformats.org/officeDocument/2006/relationships/hyperlink" Target="https://www.youtube.com/user/mun2tv" TargetMode="External"/><Relationship Id="rId110" Type="http://schemas.openxmlformats.org/officeDocument/2006/relationships/hyperlink" Target="https://www.youtube.com/user/MTV" TargetMode="External"/><Relationship Id="rId114" Type="http://schemas.openxmlformats.org/officeDocument/2006/relationships/hyperlink" Target="https://www.youtube.com/user/NatGeoWild" TargetMode="External"/><Relationship Id="rId113" Type="http://schemas.openxmlformats.org/officeDocument/2006/relationships/hyperlink" Target="https://www.youtube.com/user/mynetworktv" TargetMode="External"/><Relationship Id="rId112" Type="http://schemas.openxmlformats.org/officeDocument/2006/relationships/hyperlink" Target="https://www.youtube.com/user/CanalMundoFox" TargetMode="External"/><Relationship Id="rId111" Type="http://schemas.openxmlformats.org/officeDocument/2006/relationships/hyperlink" Target="https://www.youtube.com/user/MTV2" TargetMode="External"/><Relationship Id="rId206" Type="http://schemas.openxmlformats.org/officeDocument/2006/relationships/hyperlink" Target="https://www.youtube.com/user/filmmovement" TargetMode="External"/><Relationship Id="rId205" Type="http://schemas.openxmlformats.org/officeDocument/2006/relationships/hyperlink" Target="https://www.youtube.com/user/GreatAmericanCountry" TargetMode="External"/><Relationship Id="rId204" Type="http://schemas.openxmlformats.org/officeDocument/2006/relationships/hyperlink" Target="https://www.youtube.com/@indiepixfilms" TargetMode="External"/><Relationship Id="rId203" Type="http://schemas.openxmlformats.org/officeDocument/2006/relationships/hyperlink" Target="https://www.youtube.com/user/WOWPresents" TargetMode="External"/><Relationship Id="rId209" Type="http://schemas.openxmlformats.org/officeDocument/2006/relationships/drawing" Target="../drawings/drawing7.xml"/><Relationship Id="rId208" Type="http://schemas.openxmlformats.org/officeDocument/2006/relationships/hyperlink" Target="https://www.youtube.com/@MHzChoice" TargetMode="External"/><Relationship Id="rId207" Type="http://schemas.openxmlformats.org/officeDocument/2006/relationships/hyperlink" Target="https://www.youtube.com/@nWaveStudios" TargetMode="External"/><Relationship Id="rId202" Type="http://schemas.openxmlformats.org/officeDocument/2006/relationships/hyperlink" Target="https://www.youtube.com/@HIDIVE" TargetMode="External"/><Relationship Id="rId201" Type="http://schemas.openxmlformats.org/officeDocument/2006/relationships/hyperlink" Target="https://www.youtube.com/@courttv" TargetMode="External"/><Relationship Id="rId200" Type="http://schemas.openxmlformats.org/officeDocument/2006/relationships/hyperlink" Target="https://www.youtube.com/channel/UCWqPRUsJlZaDp-PVbqEch9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25"/>
    <col customWidth="1" min="4" max="4" width="25.0"/>
    <col hidden="1" min="7" max="7" width="12.63"/>
    <col customWidth="1" hidden="1" min="9" max="9" width="18.88"/>
    <col customWidth="1" min="10" max="10" width="30.88"/>
    <col customWidth="1" min="11" max="11" width="41.0"/>
    <col hidden="1" min="14" max="17" width="12.63"/>
    <col customWidth="1" min="23" max="23" width="72.75"/>
    <col customWidth="1" min="24" max="24" width="15.0"/>
    <col customWidth="1" min="26" max="26" width="13.75"/>
    <col customWidth="1" hidden="1" min="32" max="32" width="17.0"/>
    <col customWidth="1" min="33" max="33" width="45.5"/>
    <col hidden="1" min="34" max="34" width="12.63"/>
    <col customWidth="1" min="36" max="36" width="82.88"/>
    <col customWidth="1" min="37" max="37" width="31.25"/>
    <col customWidth="1" min="38" max="38" width="61.75"/>
    <col customWidth="1" min="39" max="39" width="21.5"/>
  </cols>
  <sheetData>
    <row r="1">
      <c r="A1" s="2" t="s">
        <v>2</v>
      </c>
      <c r="B1" s="4" t="s">
        <v>4</v>
      </c>
      <c r="C1" s="4" t="s">
        <v>6</v>
      </c>
      <c r="D1" s="6" t="s">
        <v>7</v>
      </c>
      <c r="E1" s="4" t="s">
        <v>9</v>
      </c>
      <c r="F1" s="4" t="s">
        <v>10</v>
      </c>
      <c r="G1" s="4" t="s">
        <v>11</v>
      </c>
      <c r="H1" s="4" t="s">
        <v>12</v>
      </c>
      <c r="I1" s="4" t="s">
        <v>13</v>
      </c>
      <c r="J1" s="4" t="s">
        <v>14</v>
      </c>
      <c r="K1" s="4" t="s">
        <v>15</v>
      </c>
      <c r="L1" s="4" t="s">
        <v>16</v>
      </c>
      <c r="M1" s="4" t="s">
        <v>17</v>
      </c>
      <c r="N1" s="4" t="s">
        <v>18</v>
      </c>
      <c r="O1" s="4" t="s">
        <v>19</v>
      </c>
      <c r="P1" s="4" t="s">
        <v>20</v>
      </c>
      <c r="Q1" s="4" t="s">
        <v>21</v>
      </c>
      <c r="R1" s="4" t="s">
        <v>22</v>
      </c>
      <c r="S1" s="4" t="s">
        <v>24</v>
      </c>
      <c r="T1" s="4" t="s">
        <v>25</v>
      </c>
      <c r="U1" s="4" t="s">
        <v>26</v>
      </c>
      <c r="V1" s="4" t="s">
        <v>28</v>
      </c>
      <c r="W1" s="4" t="s">
        <v>29</v>
      </c>
      <c r="X1" s="4" t="s">
        <v>31</v>
      </c>
      <c r="Y1" s="4" t="s">
        <v>32</v>
      </c>
      <c r="Z1" s="4" t="s">
        <v>33</v>
      </c>
      <c r="AA1" s="4" t="s">
        <v>34</v>
      </c>
      <c r="AB1" s="4" t="s">
        <v>35</v>
      </c>
      <c r="AC1" s="4" t="s">
        <v>36</v>
      </c>
      <c r="AD1" s="4" t="s">
        <v>37</v>
      </c>
      <c r="AE1" s="4" t="s">
        <v>38</v>
      </c>
      <c r="AF1" s="4" t="s">
        <v>39</v>
      </c>
      <c r="AG1" s="4" t="s">
        <v>41</v>
      </c>
      <c r="AH1" s="4" t="s">
        <v>43</v>
      </c>
      <c r="AI1" s="4" t="s">
        <v>45</v>
      </c>
      <c r="AJ1" s="4" t="s">
        <v>47</v>
      </c>
      <c r="AK1" s="4" t="s">
        <v>49</v>
      </c>
      <c r="AL1" s="4" t="s">
        <v>51</v>
      </c>
      <c r="AM1" s="4" t="s">
        <v>52</v>
      </c>
    </row>
    <row r="2">
      <c r="A2" s="15"/>
      <c r="B2" s="22" t="str">
        <f>'Ingest Template'!C2&amp;IF('Ingest Template'!A2 = "Standard", " - DAR","")</f>
        <v/>
      </c>
      <c r="C2" s="22" t="s">
        <v>83</v>
      </c>
      <c r="D2" s="22" t="str">
        <f t="array" ref="D2">CONCATENATE(INDEX(DropdownLists!$H$2:$H$11,MATCH(1,COUNTIF('Ingest Template'!E2,"*"&amp;DropdownLists!$I$2:$I$11&amp;"*"),0)),CHAR(10),'Ingest Template'!F2,CHAR(10),'Ingest Template'!G2,CHAR(10),VLOOKUP('Ingest Template'!D2,DropdownLists!C:D,2,FALSE))</f>
        <v>#N/A</v>
      </c>
      <c r="E2" s="22" t="str">
        <f>CONCATENATE('Ingest Template'!H2,CHAR(10),'Ingest Template'!I2,CHAR(10),'Ingest Template'!J2,CHAR(10))</f>
        <v>
</v>
      </c>
      <c r="F2" s="35" t="str">
        <f t="array" ref="F2">INDEX(DropdownLists!$O$2:$O$36,MATCH(1,COUNTIF(E2,"*"&amp;DropdownLists!$N$2:$N$36&amp;"*"),0))</f>
        <v/>
      </c>
      <c r="G2" s="35"/>
      <c r="H2" s="22" t="str">
        <f t="array" ref="H2">INDEX(DropdownLists!$E$2:$E$276,MATCH('Ingest Template'!D2,DropdownLists!$C$2:$C$276,0))</f>
        <v>#N/A</v>
      </c>
      <c r="I2" s="22"/>
      <c r="J2" s="22" t="str">
        <f t="array" ref="J2">iF('Ingest Template'!A2="Standard","Pristine Brand",INDEX(DropdownLists!$B$2:$B$246,MATCH('Ingest Template'!D2,DropdownLists!$C$2:$C$246,0)))</f>
        <v>#N/A</v>
      </c>
      <c r="K2" s="22" t="str">
        <f>iF('Ingest Template'!A2="Standard",'Ingest Template'!K2&amp;CHAR(10)&amp;'Ingest Template'!L2,"Competitive View")</f>
        <v>Competitive View</v>
      </c>
      <c r="L2" s="22" t="s">
        <v>95</v>
      </c>
      <c r="M2" s="45" t="str">
        <f>'Ingest Template'!B2</f>
        <v/>
      </c>
      <c r="N2" s="35"/>
      <c r="O2" s="35"/>
      <c r="P2" s="35"/>
      <c r="Q2" s="35"/>
      <c r="R2" s="35" t="str">
        <f>'Ingest Template'!D2</f>
        <v/>
      </c>
      <c r="S2" s="22" t="s">
        <v>101</v>
      </c>
      <c r="T2" s="35" t="str">
        <f>'Ingest Template'!V2</f>
        <v/>
      </c>
      <c r="U2" s="35" t="str">
        <f>'Ingest Template'!W2</f>
        <v/>
      </c>
      <c r="V2" s="35" t="str">
        <f>LOWER(SUBSTITUTE(SUBSTITUTE(SUBSTITUTE(SUBSTITUTE(SUBSTITUTE('Ingest Template'!X2,"https:",""),"www.",""),"/",""),"?hl=en",""),"instagram.com",""))</f>
        <v/>
      </c>
      <c r="W2" s="74" t="str">
        <f t="array" ref="W2">IF(
'Ingest Template'!Y2="",
SUBSTITUTE(
INDEX(DropdownLists!$F$2:$F$277,MATCH('Ingest Template'!D2,DropdownLists!$C$2:$C$277,0)),
CHAR(10),
"|"&amp;'Ingest Template'!C2&amp;CHAR(10)
)&amp;"|"&amp;'Ingest Template'!C2,
SUBSTITUTE(
INDEX(DropdownLists!$F$2:$F$277,MATCH('Ingest Template'!D2,DropdownLists!$C$2:$C$277,0)),
CHAR(10),
"|"&amp;'Ingest Template'!C2&amp;CHAR(10)
)&amp;"|"&amp;'Ingest Template'!C2&amp;CHAR(10)&amp;'Ingest Template'!Y2
)</f>
        <v>#N/A</v>
      </c>
      <c r="X2" s="74" t="str">
        <f>'Ingest Template'!Z2</f>
        <v/>
      </c>
      <c r="Y2" s="35" t="str">
        <f>SUBSTITUTE(SUBSTITUTE(SUBSTITUTE('Ingest Template'!AA2,"http:",""),"https:",""),"/","")</f>
        <v/>
      </c>
      <c r="Z2" s="35" t="str">
        <f t="array" ref="Z2">IF('Ingest Template'!A2="Standard",(IF(ISBLANK('Ingest Template'!AB2),"", 'Ingest Template'!AB2&amp;"|DAR")),(IF(ISBLANK('Ingest Template'!AB2),"", 'Ingest Template'!AB2&amp;"|TV Ops")))</f>
        <v/>
      </c>
      <c r="AA2" s="35"/>
      <c r="AB2" s="35" t="str">
        <f>'Ingest Template'!R2</f>
        <v/>
      </c>
      <c r="AC2" s="35" t="str">
        <f>'Ingest Template'!T2</f>
        <v/>
      </c>
      <c r="AD2" s="35" t="str">
        <f>'Ingest Template'!S2</f>
        <v/>
      </c>
      <c r="AE2" s="35" t="str">
        <f>'Ingest Template'!U2</f>
        <v/>
      </c>
      <c r="AF2" s="22"/>
      <c r="AG2" s="35" t="str">
        <f t="array" ref="AG2">IF('Ingest Template'!A2="Standard",(CONCATENATE(IF(ISBLANK('Ingest Template'!N2),"", 'Ingest Template'!N2&amp;"|DAR"),CHAR(10), IF(ISBLANK('Ingest Template'!O2),"", 'Ingest Template'!O2&amp;"|DAR"),CHAR(10), IF(ISBLANK('Ingest Template'!P2),"", 'Ingest Template'!P2&amp;"|DAR"))),(CONCATENATE(IF(ISBLANK('Ingest Template'!N2),"", 'Ingest Template'!N2&amp;"|TV Ops"),CHAR(10), IF(ISBLANK('Ingest Template'!O2),"", 'Ingest Template'!O2&amp;"|TV Ops"),CHAR(10), IF(ISBLANK('Ingest Template'!P2),"", 'Ingest Template'!P2&amp;"|TV Ops"))))</f>
        <v>
</v>
      </c>
      <c r="AH2" s="35"/>
      <c r="AI2" s="35"/>
      <c r="AJ2" s="117" t="str">
        <f>if('Ingest Template'!A2="Standard",(IF(OR('Ingest Template'!F2 = "Program Type - Special", 'Ingest Template'!F2 = "Program Type - Live Event"),'Ingest Template'!M2&amp; "|DAR|DAR|"&amp;TEXT('Ingest Template'!C2-3, "yyyy-mm-dd")&amp;"|"&amp;TEXT('Ingest Template'!C2+3, "yyyy-mm-dd"),'Ingest Template'!M2&amp; "|DAR|DAR|2021-01-01")),(IF(OR('Ingest Template'!F2 = "Program Type - Special", 'Ingest Template'!F2 = "Program Type - Live Event"),'Ingest Template'!M2&amp; "|Operations - Core Title|Operations - Core Title|"&amp;TEXT('Ingest Template'!C2-3, "yyyy-mm-dd")&amp;"|"&amp;TEXT('Ingest Template'!C2+3, "yyyy-mm-dd"),'Ingest Template'!M2&amp; "|Operations - Core Title|Operations - Core Title")))</f>
        <v>|Operations - Core Title|Operations - Core Title</v>
      </c>
      <c r="AK2" s="35"/>
      <c r="AL2" s="117" t="str">
        <f>if('Ingest Template'!A2="Standard",(IF(OR('Ingest Template'!F2 = "Program Type - Special", 'Ingest Template'!F2 = "Program Type - Live Event"),'Ingest Template'!Q2&amp;"|"&amp;TEXT('Ingest Template'!C2-3, "yyyy-mm-dd")&amp;"|"&amp;TEXT('Ingest Template'!C2+3, "yyyy-mm-dd"),'Ingest Template'!Q2&amp; "|2021-01-01")),(IF(OR('Ingest Template'!F2 = "Program Type - Special", 'Ingest Template'!F2 = "Program Type - Live Event"),'Ingest Template'!Q2&amp; "|"&amp;TEXT('Ingest Template'!C2-3, "yyyy-mm-dd")&amp;"|"&amp;TEXT('Ingest Template'!C2+3, "yyyy-mm-dd"),'Ingest Template'!Q2)))</f>
        <v/>
      </c>
      <c r="AM2" s="35" t="str">
        <f>'Ingest Template'!AC2</f>
        <v/>
      </c>
    </row>
    <row r="3">
      <c r="A3" s="15"/>
      <c r="B3" s="22" t="str">
        <f>'Ingest Template'!C3&amp;IF('Ingest Template'!A3 = "Standard", " - DAR","")</f>
        <v/>
      </c>
      <c r="C3" s="22" t="s">
        <v>83</v>
      </c>
      <c r="D3" s="22" t="str">
        <f t="array" ref="D3">CONCATENATE(INDEX(DropdownLists!$H$2:$H$11,MATCH(1,COUNTIF('Ingest Template'!E3,"*"&amp;DropdownLists!$I$2:$I$11&amp;"*"),0)),CHAR(10),'Ingest Template'!F3,CHAR(10),'Ingest Template'!G3,CHAR(10),VLOOKUP('Ingest Template'!D3,DropdownLists!C:D,2,FALSE))</f>
        <v>#N/A</v>
      </c>
      <c r="E3" s="22" t="str">
        <f>CONCATENATE('Ingest Template'!H3,CHAR(10),'Ingest Template'!I3,CHAR(10),'Ingest Template'!J3,CHAR(10))</f>
        <v>
</v>
      </c>
      <c r="F3" s="35" t="str">
        <f t="array" ref="F3">INDEX(DropdownLists!$O$2:$O$36,MATCH(1,COUNTIF(E3,"*"&amp;DropdownLists!$N$2:$N$36&amp;"*"),0))</f>
        <v/>
      </c>
      <c r="G3" s="35"/>
      <c r="H3" s="22" t="str">
        <f t="array" ref="H3">INDEX(DropdownLists!$E$2:$E$276,MATCH('Ingest Template'!D3,DropdownLists!$C$2:$C$276,0))</f>
        <v>#N/A</v>
      </c>
      <c r="I3" s="22"/>
      <c r="J3" s="22" t="str">
        <f t="array" ref="J3">iF('Ingest Template'!A3="Standard","Pristine Brand",INDEX(DropdownLists!$B$2:$B$246,MATCH('Ingest Template'!D3,DropdownLists!$C$2:$C$246,0)))</f>
        <v>#N/A</v>
      </c>
      <c r="K3" s="22" t="str">
        <f>iF('Ingest Template'!A3="Standard",'Ingest Template'!K3&amp;CHAR(10)&amp;'Ingest Template'!L3,"Competitive View")</f>
        <v>Competitive View</v>
      </c>
      <c r="L3" s="22" t="s">
        <v>95</v>
      </c>
      <c r="M3" s="45" t="str">
        <f>'Ingest Template'!B3</f>
        <v/>
      </c>
      <c r="N3" s="35"/>
      <c r="O3" s="35"/>
      <c r="P3" s="35"/>
      <c r="Q3" s="35"/>
      <c r="R3" s="35" t="str">
        <f>'Ingest Template'!D3</f>
        <v/>
      </c>
      <c r="S3" s="22" t="s">
        <v>101</v>
      </c>
      <c r="T3" s="35" t="str">
        <f>'Ingest Template'!V3</f>
        <v/>
      </c>
      <c r="U3" s="35" t="str">
        <f>'Ingest Template'!W3</f>
        <v/>
      </c>
      <c r="V3" s="35" t="str">
        <f>LOWER(SUBSTITUTE(SUBSTITUTE(SUBSTITUTE(SUBSTITUTE(SUBSTITUTE('Ingest Template'!X3,"https:",""),"www.",""),"/",""),"?hl=en",""),"instagram.com",""))</f>
        <v/>
      </c>
      <c r="W3" s="74" t="str">
        <f t="array" ref="W3">IF(
'Ingest Template'!Y3="",
SUBSTITUTE(
INDEX(DropdownLists!$F$2:$F$277,MATCH('Ingest Template'!D3,DropdownLists!$C$2:$C$277,0)),
CHAR(10),
"|"&amp;'Ingest Template'!C3&amp;CHAR(10)
)&amp;"|"&amp;'Ingest Template'!C3,
SUBSTITUTE(
INDEX(DropdownLists!$F$2:$F$277,MATCH('Ingest Template'!D3,DropdownLists!$C$2:$C$277,0)),
CHAR(10),
"|"&amp;'Ingest Template'!C3&amp;CHAR(10)
)&amp;"|"&amp;'Ingest Template'!C3&amp;CHAR(10)&amp;'Ingest Template'!Y3
)</f>
        <v>#N/A</v>
      </c>
      <c r="X3" s="74" t="str">
        <f>'Ingest Template'!Z3</f>
        <v/>
      </c>
      <c r="Y3" s="35" t="str">
        <f>SUBSTITUTE(SUBSTITUTE(SUBSTITUTE('Ingest Template'!AA3,"http:",""),"https:",""),"/","")</f>
        <v/>
      </c>
      <c r="Z3" s="35" t="str">
        <f t="array" ref="Z3">IF('Ingest Template'!A3="Standard",(IF(ISBLANK('Ingest Template'!AB3),"", 'Ingest Template'!AB3&amp;"|DAR")),(IF(ISBLANK('Ingest Template'!AB3),"", 'Ingest Template'!AB3&amp;"|TV Ops")))</f>
        <v/>
      </c>
      <c r="AA3" s="35"/>
      <c r="AB3" s="35" t="str">
        <f>'Ingest Template'!R3</f>
        <v/>
      </c>
      <c r="AC3" s="35" t="str">
        <f>'Ingest Template'!T3</f>
        <v/>
      </c>
      <c r="AD3" s="35" t="str">
        <f>'Ingest Template'!S3</f>
        <v/>
      </c>
      <c r="AE3" s="35" t="str">
        <f>'Ingest Template'!U3</f>
        <v/>
      </c>
      <c r="AF3" s="22"/>
      <c r="AG3" s="35" t="str">
        <f t="array" ref="AG3">IF('Ingest Template'!A3="Standard",(CONCATENATE(IF(ISBLANK('Ingest Template'!N3),"", 'Ingest Template'!N3&amp;"|DAR"),CHAR(10), IF(ISBLANK('Ingest Template'!O3),"", 'Ingest Template'!O3&amp;"|DAR"),CHAR(10), IF(ISBLANK('Ingest Template'!P3),"", 'Ingest Template'!P3&amp;"|DAR"))),(CONCATENATE(IF(ISBLANK('Ingest Template'!N3),"", 'Ingest Template'!N3&amp;"|TV Ops"),CHAR(10), IF(ISBLANK('Ingest Template'!O3),"", 'Ingest Template'!O3&amp;"|TV Ops"),CHAR(10), IF(ISBLANK('Ingest Template'!P3),"", 'Ingest Template'!P3&amp;"|TV Ops"))))</f>
        <v>
</v>
      </c>
      <c r="AH3" s="35"/>
      <c r="AI3" s="35"/>
      <c r="AJ3" s="117" t="str">
        <f>if('Ingest Template'!A3="Standard",(IF(OR('Ingest Template'!F3 = "Program Type - Special", 'Ingest Template'!F3 = "Program Type - Live Event"),'Ingest Template'!M3&amp; "|DAR|DAR|"&amp;TEXT('Ingest Template'!C3-3, "yyyy-mm-dd")&amp;"|"&amp;TEXT('Ingest Template'!C3+3, "yyyy-mm-dd"),'Ingest Template'!M3&amp; "|DAR|DAR|2021-01-01")),(IF(OR('Ingest Template'!F3 = "Program Type - Special", 'Ingest Template'!F3 = "Program Type - Live Event"),'Ingest Template'!M3&amp; "|Operations - Core Title|Operations - Core Title|"&amp;TEXT('Ingest Template'!C3-3, "yyyy-mm-dd")&amp;"|"&amp;TEXT('Ingest Template'!C3+3, "yyyy-mm-dd"),'Ingest Template'!M3&amp; "|Operations - Core Title|Operations - Core Title")))</f>
        <v>|Operations - Core Title|Operations - Core Title</v>
      </c>
      <c r="AK3" s="35"/>
      <c r="AL3" s="117" t="str">
        <f>if('Ingest Template'!A3="Standard",(IF(OR('Ingest Template'!F3 = "Program Type - Special", 'Ingest Template'!F3 = "Program Type - Live Event"),'Ingest Template'!Q3&amp;"|"&amp;TEXT('Ingest Template'!C3-3, "yyyy-mm-dd")&amp;"|"&amp;TEXT('Ingest Template'!C3+3, "yyyy-mm-dd"),'Ingest Template'!Q3&amp; "|2021-01-01")),(IF(OR('Ingest Template'!F3 = "Program Type - Special", 'Ingest Template'!F3 = "Program Type - Live Event"),'Ingest Template'!Q3&amp; "|"&amp;TEXT('Ingest Template'!C3-3, "yyyy-mm-dd")&amp;"|"&amp;TEXT('Ingest Template'!C3+3, "yyyy-mm-dd"),'Ingest Template'!Q3)))</f>
        <v/>
      </c>
      <c r="AM3" s="35" t="str">
        <f>'Ingest Template'!AC3</f>
        <v/>
      </c>
    </row>
    <row r="4">
      <c r="A4" s="15"/>
      <c r="B4" s="22" t="str">
        <f>'Ingest Template'!C4&amp;IF('Ingest Template'!A4 = "Standard", " - DAR","")</f>
        <v/>
      </c>
      <c r="C4" s="22" t="s">
        <v>83</v>
      </c>
      <c r="D4" s="22" t="str">
        <f t="array" ref="D4">CONCATENATE(INDEX(DropdownLists!$H$2:$H$11,MATCH(1,COUNTIF('Ingest Template'!E4,"*"&amp;DropdownLists!$I$2:$I$11&amp;"*"),0)),CHAR(10),'Ingest Template'!F4,CHAR(10),'Ingest Template'!G4,CHAR(10),VLOOKUP('Ingest Template'!D4,DropdownLists!C:D,2,FALSE))</f>
        <v>#N/A</v>
      </c>
      <c r="E4" s="22" t="str">
        <f>CONCATENATE('Ingest Template'!H4,CHAR(10),'Ingest Template'!I4,CHAR(10),'Ingest Template'!J4,CHAR(10))</f>
        <v>
</v>
      </c>
      <c r="F4" s="35" t="str">
        <f t="array" ref="F4">INDEX(DropdownLists!$O$2:$O$36,MATCH(1,COUNTIF(E4,"*"&amp;DropdownLists!$N$2:$N$36&amp;"*"),0))</f>
        <v/>
      </c>
      <c r="G4" s="35"/>
      <c r="H4" s="22" t="str">
        <f t="array" ref="H4">INDEX(DropdownLists!$E$2:$E$276,MATCH('Ingest Template'!D4,DropdownLists!$C$2:$C$276,0))</f>
        <v>#N/A</v>
      </c>
      <c r="I4" s="22"/>
      <c r="J4" s="22" t="str">
        <f t="array" ref="J4">iF('Ingest Template'!A4="Standard","Pristine Brand",INDEX(DropdownLists!$B$2:$B$246,MATCH('Ingest Template'!D4,DropdownLists!$C$2:$C$246,0)))</f>
        <v>#N/A</v>
      </c>
      <c r="K4" s="22" t="str">
        <f>iF('Ingest Template'!A4="Standard",'Ingest Template'!K4&amp;CHAR(10)&amp;'Ingest Template'!L4,"Competitive View")</f>
        <v>Competitive View</v>
      </c>
      <c r="L4" s="22" t="s">
        <v>95</v>
      </c>
      <c r="M4" s="45" t="str">
        <f>'Ingest Template'!B4</f>
        <v/>
      </c>
      <c r="N4" s="35"/>
      <c r="O4" s="35"/>
      <c r="P4" s="35"/>
      <c r="Q4" s="35"/>
      <c r="R4" s="35" t="str">
        <f>'Ingest Template'!D4</f>
        <v/>
      </c>
      <c r="S4" s="22" t="s">
        <v>101</v>
      </c>
      <c r="T4" s="35" t="str">
        <f>'Ingest Template'!V4</f>
        <v/>
      </c>
      <c r="U4" s="35" t="str">
        <f>'Ingest Template'!W4</f>
        <v/>
      </c>
      <c r="V4" s="35" t="str">
        <f>LOWER(SUBSTITUTE(SUBSTITUTE(SUBSTITUTE(SUBSTITUTE(SUBSTITUTE('Ingest Template'!X4,"https:",""),"www.",""),"/",""),"?hl=en",""),"instagram.com",""))</f>
        <v/>
      </c>
      <c r="W4" s="74" t="str">
        <f t="array" ref="W4">IF(
'Ingest Template'!Y4="",
SUBSTITUTE(
INDEX(DropdownLists!$F$2:$F$277,MATCH('Ingest Template'!D4,DropdownLists!$C$2:$C$277,0)),
CHAR(10),
"|"&amp;'Ingest Template'!C4&amp;CHAR(10)
)&amp;"|"&amp;'Ingest Template'!C4,
SUBSTITUTE(
INDEX(DropdownLists!$F$2:$F$277,MATCH('Ingest Template'!D4,DropdownLists!$C$2:$C$277,0)),
CHAR(10),
"|"&amp;'Ingest Template'!C4&amp;CHAR(10)
)&amp;"|"&amp;'Ingest Template'!C4&amp;CHAR(10)&amp;'Ingest Template'!Y4
)</f>
        <v>#N/A</v>
      </c>
      <c r="X4" s="74" t="str">
        <f>'Ingest Template'!Z4</f>
        <v/>
      </c>
      <c r="Y4" s="35" t="str">
        <f>SUBSTITUTE(SUBSTITUTE(SUBSTITUTE('Ingest Template'!AA4,"http:",""),"https:",""),"/","")</f>
        <v/>
      </c>
      <c r="Z4" s="35" t="str">
        <f t="array" ref="Z4">IF('Ingest Template'!A4="Standard",(IF(ISBLANK('Ingest Template'!AB4),"", 'Ingest Template'!AB4&amp;"|DAR")),(IF(ISBLANK('Ingest Template'!AB4),"", 'Ingest Template'!AB4&amp;"|TV Ops")))</f>
        <v/>
      </c>
      <c r="AA4" s="35"/>
      <c r="AB4" s="35" t="str">
        <f>'Ingest Template'!R4</f>
        <v/>
      </c>
      <c r="AC4" s="35" t="str">
        <f>'Ingest Template'!T4</f>
        <v/>
      </c>
      <c r="AD4" s="35" t="str">
        <f>'Ingest Template'!S4</f>
        <v/>
      </c>
      <c r="AE4" s="35" t="str">
        <f>'Ingest Template'!U4</f>
        <v/>
      </c>
      <c r="AF4" s="22"/>
      <c r="AG4" s="35" t="str">
        <f t="array" ref="AG4">IF('Ingest Template'!A4="Standard",(CONCATENATE(IF(ISBLANK('Ingest Template'!N4),"", 'Ingest Template'!N4&amp;"|DAR"),CHAR(10), IF(ISBLANK('Ingest Template'!O4),"", 'Ingest Template'!O4&amp;"|DAR"),CHAR(10), IF(ISBLANK('Ingest Template'!P4),"", 'Ingest Template'!P4&amp;"|DAR"))),(CONCATENATE(IF(ISBLANK('Ingest Template'!N4),"", 'Ingest Template'!N4&amp;"|TV Ops"),CHAR(10), IF(ISBLANK('Ingest Template'!O4),"", 'Ingest Template'!O4&amp;"|TV Ops"),CHAR(10), IF(ISBLANK('Ingest Template'!P4),"", 'Ingest Template'!P4&amp;"|TV Ops"))))</f>
        <v>
</v>
      </c>
      <c r="AH4" s="35"/>
      <c r="AI4" s="35"/>
      <c r="AJ4" s="117" t="str">
        <f>if('Ingest Template'!A4="Standard",(IF(OR('Ingest Template'!F4 = "Program Type - Special", 'Ingest Template'!F4 = "Program Type - Live Event"),'Ingest Template'!M4&amp; "|DAR|DAR|"&amp;TEXT('Ingest Template'!C4-3, "yyyy-mm-dd")&amp;"|"&amp;TEXT('Ingest Template'!C4+3, "yyyy-mm-dd"),'Ingest Template'!M4&amp; "|DAR|DAR|2021-01-01")),(IF(OR('Ingest Template'!F4 = "Program Type - Special", 'Ingest Template'!F4 = "Program Type - Live Event"),'Ingest Template'!M4&amp; "|Operations - Core Title|Operations - Core Title|"&amp;TEXT('Ingest Template'!C4-3, "yyyy-mm-dd")&amp;"|"&amp;TEXT('Ingest Template'!C4+3, "yyyy-mm-dd"),'Ingest Template'!M4&amp; "|Operations - Core Title|Operations - Core Title")))</f>
        <v>|Operations - Core Title|Operations - Core Title</v>
      </c>
      <c r="AK4" s="35"/>
      <c r="AL4" s="117" t="str">
        <f>if('Ingest Template'!A4="Standard",(IF(OR('Ingest Template'!F4 = "Program Type - Special", 'Ingest Template'!F4 = "Program Type - Live Event"),'Ingest Template'!Q4&amp;"|"&amp;TEXT('Ingest Template'!C4-3, "yyyy-mm-dd")&amp;"|"&amp;TEXT('Ingest Template'!C4+3, "yyyy-mm-dd"),'Ingest Template'!Q4&amp; "|2021-01-01")),(IF(OR('Ingest Template'!F4 = "Program Type - Special", 'Ingest Template'!F4 = "Program Type - Live Event"),'Ingest Template'!Q4&amp; "|"&amp;TEXT('Ingest Template'!C4-3, "yyyy-mm-dd")&amp;"|"&amp;TEXT('Ingest Template'!C4+3, "yyyy-mm-dd"),'Ingest Template'!Q4)))</f>
        <v/>
      </c>
      <c r="AM4" s="35" t="str">
        <f>'Ingest Template'!AC4</f>
        <v/>
      </c>
    </row>
    <row r="5">
      <c r="A5" s="15"/>
      <c r="B5" s="22" t="str">
        <f>'Ingest Template'!C5&amp;IF('Ingest Template'!A5 = "Standard", " - DAR","")</f>
        <v/>
      </c>
      <c r="C5" s="22" t="s">
        <v>83</v>
      </c>
      <c r="D5" s="22" t="str">
        <f t="array" ref="D5">CONCATENATE(INDEX(DropdownLists!$H$2:$H$11,MATCH(1,COUNTIF('Ingest Template'!E5,"*"&amp;DropdownLists!$I$2:$I$11&amp;"*"),0)),CHAR(10),'Ingest Template'!F5,CHAR(10),'Ingest Template'!G5,CHAR(10),VLOOKUP('Ingest Template'!D5,DropdownLists!C:D,2,FALSE))</f>
        <v>#N/A</v>
      </c>
      <c r="E5" s="22" t="str">
        <f>CONCATENATE('Ingest Template'!H5,CHAR(10),'Ingest Template'!I5,CHAR(10),'Ingest Template'!J5,CHAR(10))</f>
        <v>
</v>
      </c>
      <c r="F5" s="35" t="str">
        <f t="array" ref="F5">INDEX(DropdownLists!$O$2:$O$36,MATCH(1,COUNTIF(E5,"*"&amp;DropdownLists!$N$2:$N$36&amp;"*"),0))</f>
        <v/>
      </c>
      <c r="G5" s="35"/>
      <c r="H5" s="22" t="str">
        <f t="array" ref="H5">INDEX(DropdownLists!$E$2:$E$276,MATCH('Ingest Template'!D5,DropdownLists!$C$2:$C$276,0))</f>
        <v>#N/A</v>
      </c>
      <c r="I5" s="22"/>
      <c r="J5" s="22" t="str">
        <f t="array" ref="J5">iF('Ingest Template'!A5="Standard","Pristine Brand",INDEX(DropdownLists!$B$2:$B$246,MATCH('Ingest Template'!D5,DropdownLists!$C$2:$C$246,0)))</f>
        <v>#N/A</v>
      </c>
      <c r="K5" s="22" t="str">
        <f>iF('Ingest Template'!A5="Standard",'Ingest Template'!K5&amp;CHAR(10)&amp;'Ingest Template'!L5,"Competitive View")</f>
        <v>Competitive View</v>
      </c>
      <c r="L5" s="22" t="s">
        <v>95</v>
      </c>
      <c r="M5" s="45" t="str">
        <f>'Ingest Template'!B5</f>
        <v/>
      </c>
      <c r="N5" s="35"/>
      <c r="O5" s="35"/>
      <c r="P5" s="35"/>
      <c r="Q5" s="35"/>
      <c r="R5" s="35" t="str">
        <f>'Ingest Template'!D5</f>
        <v/>
      </c>
      <c r="S5" s="22" t="s">
        <v>101</v>
      </c>
      <c r="T5" s="35" t="str">
        <f>'Ingest Template'!V5</f>
        <v/>
      </c>
      <c r="U5" s="35" t="str">
        <f>'Ingest Template'!W5</f>
        <v/>
      </c>
      <c r="V5" s="35" t="str">
        <f>LOWER(SUBSTITUTE(SUBSTITUTE(SUBSTITUTE(SUBSTITUTE(SUBSTITUTE('Ingest Template'!X5,"https:",""),"www.",""),"/",""),"?hl=en",""),"instagram.com",""))</f>
        <v/>
      </c>
      <c r="W5" s="74" t="str">
        <f t="array" ref="W5">IF(
'Ingest Template'!Y5="",
SUBSTITUTE(
INDEX(DropdownLists!$F$2:$F$277,MATCH('Ingest Template'!D5,DropdownLists!$C$2:$C$277,0)),
CHAR(10),
"|"&amp;'Ingest Template'!C5&amp;CHAR(10)
)&amp;"|"&amp;'Ingest Template'!C5,
SUBSTITUTE(
INDEX(DropdownLists!$F$2:$F$277,MATCH('Ingest Template'!D5,DropdownLists!$C$2:$C$277,0)),
CHAR(10),
"|"&amp;'Ingest Template'!C5&amp;CHAR(10)
)&amp;"|"&amp;'Ingest Template'!C5&amp;CHAR(10)&amp;'Ingest Template'!Y5
)</f>
        <v>#N/A</v>
      </c>
      <c r="X5" s="74" t="str">
        <f>'Ingest Template'!Z5</f>
        <v/>
      </c>
      <c r="Y5" s="35" t="str">
        <f>SUBSTITUTE(SUBSTITUTE(SUBSTITUTE('Ingest Template'!AA5,"http:",""),"https:",""),"/","")</f>
        <v/>
      </c>
      <c r="Z5" s="35" t="str">
        <f t="array" ref="Z5">IF('Ingest Template'!A5="Standard",(IF(ISBLANK('Ingest Template'!AB5),"", 'Ingest Template'!AB5&amp;"|DAR")),(IF(ISBLANK('Ingest Template'!AB5),"", 'Ingest Template'!AB5&amp;"|TV Ops")))</f>
        <v/>
      </c>
      <c r="AA5" s="35"/>
      <c r="AB5" s="35" t="str">
        <f>'Ingest Template'!R5</f>
        <v/>
      </c>
      <c r="AC5" s="35" t="str">
        <f>'Ingest Template'!T5</f>
        <v/>
      </c>
      <c r="AD5" s="35" t="str">
        <f>'Ingest Template'!S5</f>
        <v/>
      </c>
      <c r="AE5" s="35" t="str">
        <f>'Ingest Template'!U5</f>
        <v/>
      </c>
      <c r="AF5" s="22"/>
      <c r="AG5" s="35" t="str">
        <f t="array" ref="AG5">IF('Ingest Template'!A5="Standard",(CONCATENATE(IF(ISBLANK('Ingest Template'!N5),"", 'Ingest Template'!N5&amp;"|DAR"),CHAR(10), IF(ISBLANK('Ingest Template'!O5),"", 'Ingest Template'!O5&amp;"|DAR"),CHAR(10), IF(ISBLANK('Ingest Template'!P5),"", 'Ingest Template'!P5&amp;"|DAR"))),(CONCATENATE(IF(ISBLANK('Ingest Template'!N5),"", 'Ingest Template'!N5&amp;"|TV Ops"),CHAR(10), IF(ISBLANK('Ingest Template'!O5),"", 'Ingest Template'!O5&amp;"|TV Ops"),CHAR(10), IF(ISBLANK('Ingest Template'!P5),"", 'Ingest Template'!P5&amp;"|TV Ops"))))</f>
        <v>
</v>
      </c>
      <c r="AH5" s="35"/>
      <c r="AI5" s="35"/>
      <c r="AJ5" s="117" t="str">
        <f>if('Ingest Template'!A5="Standard",(IF(OR('Ingest Template'!F5 = "Program Type - Special", 'Ingest Template'!F5 = "Program Type - Live Event"),'Ingest Template'!M5&amp; "|DAR|DAR|"&amp;TEXT('Ingest Template'!C5-3, "yyyy-mm-dd")&amp;"|"&amp;TEXT('Ingest Template'!C5+3, "yyyy-mm-dd"),'Ingest Template'!M5&amp; "|DAR|DAR|2021-01-01")),(IF(OR('Ingest Template'!F5 = "Program Type - Special", 'Ingest Template'!F5 = "Program Type - Live Event"),'Ingest Template'!M5&amp; "|Operations - Core Title|Operations - Core Title|"&amp;TEXT('Ingest Template'!C5-3, "yyyy-mm-dd")&amp;"|"&amp;TEXT('Ingest Template'!C5+3, "yyyy-mm-dd"),'Ingest Template'!M5&amp; "|Operations - Core Title|Operations - Core Title")))</f>
        <v>|Operations - Core Title|Operations - Core Title</v>
      </c>
      <c r="AK5" s="35"/>
      <c r="AL5" s="117" t="str">
        <f>if('Ingest Template'!A5="Standard",(IF(OR('Ingest Template'!F5 = "Program Type - Special", 'Ingest Template'!F5 = "Program Type - Live Event"),'Ingest Template'!Q5&amp;"|"&amp;TEXT('Ingest Template'!C5-3, "yyyy-mm-dd")&amp;"|"&amp;TEXT('Ingest Template'!C5+3, "yyyy-mm-dd"),'Ingest Template'!Q5&amp; "|2021-01-01")),(IF(OR('Ingest Template'!F5 = "Program Type - Special", 'Ingest Template'!F5 = "Program Type - Live Event"),'Ingest Template'!Q5&amp; "|"&amp;TEXT('Ingest Template'!C5-3, "yyyy-mm-dd")&amp;"|"&amp;TEXT('Ingest Template'!C5+3, "yyyy-mm-dd"),'Ingest Template'!Q5)))</f>
        <v/>
      </c>
      <c r="AM5" s="35" t="str">
        <f>'Ingest Template'!AC5</f>
        <v/>
      </c>
    </row>
    <row r="6">
      <c r="A6" s="15"/>
      <c r="B6" s="22" t="str">
        <f>'Ingest Template'!C6&amp;IF('Ingest Template'!A6 = "Standard", " - DAR","")</f>
        <v/>
      </c>
      <c r="C6" s="22" t="s">
        <v>83</v>
      </c>
      <c r="D6" s="22" t="str">
        <f t="array" ref="D6">CONCATENATE(INDEX(DropdownLists!$H$2:$H$11,MATCH(1,COUNTIF('Ingest Template'!E6,"*"&amp;DropdownLists!$I$2:$I$11&amp;"*"),0)),CHAR(10),'Ingest Template'!F6,CHAR(10),'Ingest Template'!G6,CHAR(10),VLOOKUP('Ingest Template'!D6,DropdownLists!C:D,2,FALSE))</f>
        <v>#N/A</v>
      </c>
      <c r="E6" s="22" t="str">
        <f>CONCATENATE('Ingest Template'!H6,CHAR(10),'Ingest Template'!I6,CHAR(10),'Ingest Template'!J6,CHAR(10))</f>
        <v>
</v>
      </c>
      <c r="F6" s="35" t="str">
        <f t="array" ref="F6">INDEX(DropdownLists!$O$2:$O$36,MATCH(1,COUNTIF(E6,"*"&amp;DropdownLists!$N$2:$N$36&amp;"*"),0))</f>
        <v/>
      </c>
      <c r="G6" s="35"/>
      <c r="H6" s="22" t="str">
        <f t="array" ref="H6">INDEX(DropdownLists!$E$2:$E$276,MATCH('Ingest Template'!D6,DropdownLists!$C$2:$C$276,0))</f>
        <v>#N/A</v>
      </c>
      <c r="I6" s="22"/>
      <c r="J6" s="22" t="str">
        <f t="array" ref="J6">iF('Ingest Template'!A6="Standard","Pristine Brand",INDEX(DropdownLists!$B$2:$B$246,MATCH('Ingest Template'!D6,DropdownLists!$C$2:$C$246,0)))</f>
        <v>#N/A</v>
      </c>
      <c r="K6" s="22" t="str">
        <f>iF('Ingest Template'!A6="Standard",'Ingest Template'!K6&amp;CHAR(10)&amp;'Ingest Template'!L6,"Competitive View")</f>
        <v>Competitive View</v>
      </c>
      <c r="L6" s="22" t="s">
        <v>95</v>
      </c>
      <c r="M6" s="45" t="str">
        <f>'Ingest Template'!B6</f>
        <v/>
      </c>
      <c r="N6" s="35"/>
      <c r="O6" s="35"/>
      <c r="P6" s="35"/>
      <c r="Q6" s="35"/>
      <c r="R6" s="35" t="str">
        <f>'Ingest Template'!D6</f>
        <v/>
      </c>
      <c r="S6" s="22" t="s">
        <v>101</v>
      </c>
      <c r="T6" s="35" t="str">
        <f>'Ingest Template'!V6</f>
        <v/>
      </c>
      <c r="U6" s="35" t="str">
        <f>'Ingest Template'!W6</f>
        <v/>
      </c>
      <c r="V6" s="35" t="str">
        <f>LOWER(SUBSTITUTE(SUBSTITUTE(SUBSTITUTE(SUBSTITUTE(SUBSTITUTE('Ingest Template'!X6,"https:",""),"www.",""),"/",""),"?hl=en",""),"instagram.com",""))</f>
        <v/>
      </c>
      <c r="W6" s="74" t="str">
        <f t="array" ref="W6">IF(
'Ingest Template'!Y6="",
SUBSTITUTE(
INDEX(DropdownLists!$F$2:$F$277,MATCH('Ingest Template'!D6,DropdownLists!$C$2:$C$277,0)),
CHAR(10),
"|"&amp;'Ingest Template'!C6&amp;CHAR(10)
)&amp;"|"&amp;'Ingest Template'!C6,
SUBSTITUTE(
INDEX(DropdownLists!$F$2:$F$277,MATCH('Ingest Template'!D6,DropdownLists!$C$2:$C$277,0)),
CHAR(10),
"|"&amp;'Ingest Template'!C6&amp;CHAR(10)
)&amp;"|"&amp;'Ingest Template'!C6&amp;CHAR(10)&amp;'Ingest Template'!Y6
)</f>
        <v>#N/A</v>
      </c>
      <c r="X6" s="74" t="str">
        <f>'Ingest Template'!Z6</f>
        <v/>
      </c>
      <c r="Y6" s="35" t="str">
        <f>SUBSTITUTE(SUBSTITUTE(SUBSTITUTE('Ingest Template'!AA6,"http:",""),"https:",""),"/","")</f>
        <v/>
      </c>
      <c r="Z6" s="35" t="str">
        <f t="array" ref="Z6">IF('Ingest Template'!A6="Standard",(IF(ISBLANK('Ingest Template'!AB6),"", 'Ingest Template'!AB6&amp;"|DAR")),(IF(ISBLANK('Ingest Template'!AB6),"", 'Ingest Template'!AB6&amp;"|TV Ops")))</f>
        <v/>
      </c>
      <c r="AA6" s="35"/>
      <c r="AB6" s="35" t="str">
        <f>'Ingest Template'!R6</f>
        <v/>
      </c>
      <c r="AC6" s="35" t="str">
        <f>'Ingest Template'!T6</f>
        <v/>
      </c>
      <c r="AD6" s="35" t="str">
        <f>'Ingest Template'!S6</f>
        <v/>
      </c>
      <c r="AE6" s="35" t="str">
        <f>'Ingest Template'!U6</f>
        <v/>
      </c>
      <c r="AF6" s="22"/>
      <c r="AG6" s="35" t="str">
        <f t="array" ref="AG6">IF('Ingest Template'!A6="Standard",(CONCATENATE(IF(ISBLANK('Ingest Template'!N6),"", 'Ingest Template'!N6&amp;"|DAR"),CHAR(10), IF(ISBLANK('Ingest Template'!O6),"", 'Ingest Template'!O6&amp;"|DAR"),CHAR(10), IF(ISBLANK('Ingest Template'!P6),"", 'Ingest Template'!P6&amp;"|DAR"))),(CONCATENATE(IF(ISBLANK('Ingest Template'!N6),"", 'Ingest Template'!N6&amp;"|TV Ops"),CHAR(10), IF(ISBLANK('Ingest Template'!O6),"", 'Ingest Template'!O6&amp;"|TV Ops"),CHAR(10), IF(ISBLANK('Ingest Template'!P6),"", 'Ingest Template'!P6&amp;"|TV Ops"))))</f>
        <v>
</v>
      </c>
      <c r="AH6" s="35"/>
      <c r="AI6" s="35"/>
      <c r="AJ6" s="117" t="str">
        <f>if('Ingest Template'!A6="Standard",(IF(OR('Ingest Template'!F6 = "Program Type - Special", 'Ingest Template'!F6 = "Program Type - Live Event"),'Ingest Template'!M6&amp; "|DAR|DAR|"&amp;TEXT('Ingest Template'!C6-3, "yyyy-mm-dd")&amp;"|"&amp;TEXT('Ingest Template'!C6+3, "yyyy-mm-dd"),'Ingest Template'!M6&amp; "|DAR|DAR|2021-01-01")),(IF(OR('Ingest Template'!F6 = "Program Type - Special", 'Ingest Template'!F6 = "Program Type - Live Event"),'Ingest Template'!M6&amp; "|Operations - Core Title|Operations - Core Title|"&amp;TEXT('Ingest Template'!C6-3, "yyyy-mm-dd")&amp;"|"&amp;TEXT('Ingest Template'!C6+3, "yyyy-mm-dd"),'Ingest Template'!M6&amp; "|Operations - Core Title|Operations - Core Title")))</f>
        <v>|Operations - Core Title|Operations - Core Title</v>
      </c>
      <c r="AK6" s="35"/>
      <c r="AL6" s="117" t="str">
        <f>if('Ingest Template'!A6="Standard",(IF(OR('Ingest Template'!F6 = "Program Type - Special", 'Ingest Template'!F6 = "Program Type - Live Event"),'Ingest Template'!Q6&amp;"|"&amp;TEXT('Ingest Template'!C6-3, "yyyy-mm-dd")&amp;"|"&amp;TEXT('Ingest Template'!C6+3, "yyyy-mm-dd"),'Ingest Template'!Q6&amp; "|2021-01-01")),(IF(OR('Ingest Template'!F6 = "Program Type - Special", 'Ingest Template'!F6 = "Program Type - Live Event"),'Ingest Template'!Q6&amp; "|"&amp;TEXT('Ingest Template'!C6-3, "yyyy-mm-dd")&amp;"|"&amp;TEXT('Ingest Template'!C6+3, "yyyy-mm-dd"),'Ingest Template'!Q6)))</f>
        <v/>
      </c>
      <c r="AM6" s="35" t="str">
        <f>'Ingest Template'!AC6</f>
        <v/>
      </c>
    </row>
    <row r="7">
      <c r="A7" s="15"/>
      <c r="B7" s="22" t="str">
        <f>'Ingest Template'!C7&amp;IF('Ingest Template'!A7 = "Standard", " - DAR","")</f>
        <v/>
      </c>
      <c r="C7" s="22" t="s">
        <v>83</v>
      </c>
      <c r="D7" s="22" t="str">
        <f t="array" ref="D7">CONCATENATE(INDEX(DropdownLists!$H$2:$H$11,MATCH(1,COUNTIF('Ingest Template'!E7,"*"&amp;DropdownLists!$I$2:$I$11&amp;"*"),0)),CHAR(10),'Ingest Template'!F7,CHAR(10),'Ingest Template'!G7,CHAR(10),VLOOKUP('Ingest Template'!D7,DropdownLists!C:D,2,FALSE))</f>
        <v>#N/A</v>
      </c>
      <c r="E7" s="22" t="str">
        <f>CONCATENATE('Ingest Template'!H7,CHAR(10),'Ingest Template'!I7,CHAR(10),'Ingest Template'!J7,CHAR(10))</f>
        <v>
</v>
      </c>
      <c r="F7" s="35" t="str">
        <f t="array" ref="F7">INDEX(DropdownLists!$O$2:$O$36,MATCH(1,COUNTIF(E7,"*"&amp;DropdownLists!$N$2:$N$36&amp;"*"),0))</f>
        <v/>
      </c>
      <c r="G7" s="35"/>
      <c r="H7" s="22" t="str">
        <f t="array" ref="H7">INDEX(DropdownLists!$E$2:$E$276,MATCH('Ingest Template'!D7,DropdownLists!$C$2:$C$276,0))</f>
        <v>#N/A</v>
      </c>
      <c r="I7" s="22"/>
      <c r="J7" s="22" t="str">
        <f t="array" ref="J7">iF('Ingest Template'!A7="Standard","Pristine Brand",INDEX(DropdownLists!$B$2:$B$246,MATCH('Ingest Template'!D7,DropdownLists!$C$2:$C$246,0)))</f>
        <v>#N/A</v>
      </c>
      <c r="K7" s="22" t="str">
        <f>iF('Ingest Template'!A7="Standard",'Ingest Template'!K7&amp;CHAR(10)&amp;'Ingest Template'!L7,"Competitive View")</f>
        <v>Competitive View</v>
      </c>
      <c r="L7" s="22" t="s">
        <v>95</v>
      </c>
      <c r="M7" s="45" t="str">
        <f>'Ingest Template'!B7</f>
        <v/>
      </c>
      <c r="N7" s="35"/>
      <c r="O7" s="35"/>
      <c r="P7" s="35"/>
      <c r="Q7" s="35"/>
      <c r="R7" s="35" t="str">
        <f>'Ingest Template'!D7</f>
        <v/>
      </c>
      <c r="S7" s="22" t="s">
        <v>101</v>
      </c>
      <c r="T7" s="35" t="str">
        <f>'Ingest Template'!V7</f>
        <v/>
      </c>
      <c r="U7" s="35" t="str">
        <f>'Ingest Template'!W7</f>
        <v/>
      </c>
      <c r="V7" s="35" t="str">
        <f>LOWER(SUBSTITUTE(SUBSTITUTE(SUBSTITUTE(SUBSTITUTE(SUBSTITUTE('Ingest Template'!X7,"https:",""),"www.",""),"/",""),"?hl=en",""),"instagram.com",""))</f>
        <v/>
      </c>
      <c r="W7" s="74" t="str">
        <f t="array" ref="W7">IF(
'Ingest Template'!Y7="",
SUBSTITUTE(
INDEX(DropdownLists!$F$2:$F$277,MATCH('Ingest Template'!D7,DropdownLists!$C$2:$C$277,0)),
CHAR(10),
"|"&amp;'Ingest Template'!C7&amp;CHAR(10)
)&amp;"|"&amp;'Ingest Template'!C7,
SUBSTITUTE(
INDEX(DropdownLists!$F$2:$F$277,MATCH('Ingest Template'!D7,DropdownLists!$C$2:$C$277,0)),
CHAR(10),
"|"&amp;'Ingest Template'!C7&amp;CHAR(10)
)&amp;"|"&amp;'Ingest Template'!C7&amp;CHAR(10)&amp;'Ingest Template'!Y7
)</f>
        <v>#N/A</v>
      </c>
      <c r="X7" s="74" t="str">
        <f>'Ingest Template'!Z7</f>
        <v/>
      </c>
      <c r="Y7" s="35" t="str">
        <f>SUBSTITUTE(SUBSTITUTE(SUBSTITUTE('Ingest Template'!AA7,"http:",""),"https:",""),"/","")</f>
        <v/>
      </c>
      <c r="Z7" s="35" t="str">
        <f t="array" ref="Z7">IF('Ingest Template'!A7="Standard",(IF(ISBLANK('Ingest Template'!AB7),"", 'Ingest Template'!AB7&amp;"|DAR")),(IF(ISBLANK('Ingest Template'!AB7),"", 'Ingest Template'!AB7&amp;"|TV Ops")))</f>
        <v/>
      </c>
      <c r="AA7" s="35"/>
      <c r="AB7" s="35" t="str">
        <f>'Ingest Template'!R7</f>
        <v/>
      </c>
      <c r="AC7" s="35" t="str">
        <f>'Ingest Template'!T7</f>
        <v/>
      </c>
      <c r="AD7" s="35" t="str">
        <f>'Ingest Template'!S7</f>
        <v/>
      </c>
      <c r="AE7" s="35" t="str">
        <f>'Ingest Template'!U7</f>
        <v/>
      </c>
      <c r="AF7" s="22"/>
      <c r="AG7" s="35" t="str">
        <f t="array" ref="AG7">IF('Ingest Template'!A7="Standard",(CONCATENATE(IF(ISBLANK('Ingest Template'!N7),"", 'Ingest Template'!N7&amp;"|DAR"),CHAR(10), IF(ISBLANK('Ingest Template'!O7),"", 'Ingest Template'!O7&amp;"|DAR"),CHAR(10), IF(ISBLANK('Ingest Template'!P7),"", 'Ingest Template'!P7&amp;"|DAR"))),(CONCATENATE(IF(ISBLANK('Ingest Template'!N7),"", 'Ingest Template'!N7&amp;"|TV Ops"),CHAR(10), IF(ISBLANK('Ingest Template'!O7),"", 'Ingest Template'!O7&amp;"|TV Ops"),CHAR(10), IF(ISBLANK('Ingest Template'!P7),"", 'Ingest Template'!P7&amp;"|TV Ops"))))</f>
        <v>
</v>
      </c>
      <c r="AH7" s="35"/>
      <c r="AI7" s="35"/>
      <c r="AJ7" s="117" t="str">
        <f>if('Ingest Template'!A7="Standard",(IF(OR('Ingest Template'!F7 = "Program Type - Special", 'Ingest Template'!F7 = "Program Type - Live Event"),'Ingest Template'!M7&amp; "|DAR|DAR|"&amp;TEXT('Ingest Template'!C7-3, "yyyy-mm-dd")&amp;"|"&amp;TEXT('Ingest Template'!C7+3, "yyyy-mm-dd"),'Ingest Template'!M7&amp; "|DAR|DAR|2021-01-01")),(IF(OR('Ingest Template'!F7 = "Program Type - Special", 'Ingest Template'!F7 = "Program Type - Live Event"),'Ingest Template'!M7&amp; "|Operations - Core Title|Operations - Core Title|"&amp;TEXT('Ingest Template'!C7-3, "yyyy-mm-dd")&amp;"|"&amp;TEXT('Ingest Template'!C7+3, "yyyy-mm-dd"),'Ingest Template'!M7&amp; "|Operations - Core Title|Operations - Core Title")))</f>
        <v>|Operations - Core Title|Operations - Core Title</v>
      </c>
      <c r="AK7" s="35"/>
      <c r="AL7" s="117" t="str">
        <f>if('Ingest Template'!A7="Standard",(IF(OR('Ingest Template'!F7 = "Program Type - Special", 'Ingest Template'!F7 = "Program Type - Live Event"),'Ingest Template'!Q7&amp;"|"&amp;TEXT('Ingest Template'!C7-3, "yyyy-mm-dd")&amp;"|"&amp;TEXT('Ingest Template'!C7+3, "yyyy-mm-dd"),'Ingest Template'!Q7&amp; "|2021-01-01")),(IF(OR('Ingest Template'!F7 = "Program Type - Special", 'Ingest Template'!F7 = "Program Type - Live Event"),'Ingest Template'!Q7&amp; "|"&amp;TEXT('Ingest Template'!C7-3, "yyyy-mm-dd")&amp;"|"&amp;TEXT('Ingest Template'!C7+3, "yyyy-mm-dd"),'Ingest Template'!Q7)))</f>
        <v/>
      </c>
      <c r="AM7" s="35" t="str">
        <f>'Ingest Template'!AC7</f>
        <v/>
      </c>
    </row>
    <row r="8">
      <c r="A8" s="15"/>
      <c r="B8" s="22" t="str">
        <f>'Ingest Template'!C8&amp;IF('Ingest Template'!A8 = "Standard", " - DAR","")</f>
        <v/>
      </c>
      <c r="C8" s="22" t="s">
        <v>83</v>
      </c>
      <c r="D8" s="22" t="str">
        <f t="array" ref="D8">CONCATENATE(INDEX(DropdownLists!$H$2:$H$11,MATCH(1,COUNTIF('Ingest Template'!E8,"*"&amp;DropdownLists!$I$2:$I$11&amp;"*"),0)),CHAR(10),'Ingest Template'!F8,CHAR(10),'Ingest Template'!G8,CHAR(10),VLOOKUP('Ingest Template'!D8,DropdownLists!C:D,2,FALSE))</f>
        <v>#N/A</v>
      </c>
      <c r="E8" s="22" t="str">
        <f>CONCATENATE('Ingest Template'!H8,CHAR(10),'Ingest Template'!I8,CHAR(10),'Ingest Template'!J8,CHAR(10))</f>
        <v>
</v>
      </c>
      <c r="F8" s="35" t="str">
        <f t="array" ref="F8">INDEX(DropdownLists!$O$2:$O$36,MATCH(1,COUNTIF(E8,"*"&amp;DropdownLists!$N$2:$N$36&amp;"*"),0))</f>
        <v/>
      </c>
      <c r="G8" s="35"/>
      <c r="H8" s="22" t="str">
        <f t="array" ref="H8">INDEX(DropdownLists!$E$2:$E$276,MATCH('Ingest Template'!D8,DropdownLists!$C$2:$C$276,0))</f>
        <v>#N/A</v>
      </c>
      <c r="I8" s="22"/>
      <c r="J8" s="22" t="str">
        <f t="array" ref="J8">iF('Ingest Template'!A8="Standard","Pristine Brand",INDEX(DropdownLists!$B$2:$B$246,MATCH('Ingest Template'!D8,DropdownLists!$C$2:$C$246,0)))</f>
        <v>#N/A</v>
      </c>
      <c r="K8" s="22" t="str">
        <f>iF('Ingest Template'!A8="Standard",'Ingest Template'!K8&amp;CHAR(10)&amp;'Ingest Template'!L8,"Competitive View")</f>
        <v>Competitive View</v>
      </c>
      <c r="L8" s="22" t="s">
        <v>95</v>
      </c>
      <c r="M8" s="45" t="str">
        <f>'Ingest Template'!B8</f>
        <v/>
      </c>
      <c r="N8" s="35"/>
      <c r="O8" s="35"/>
      <c r="P8" s="35"/>
      <c r="Q8" s="35"/>
      <c r="R8" s="35" t="str">
        <f>'Ingest Template'!D8</f>
        <v/>
      </c>
      <c r="S8" s="22" t="s">
        <v>101</v>
      </c>
      <c r="T8" s="35" t="str">
        <f>'Ingest Template'!V8</f>
        <v/>
      </c>
      <c r="U8" s="35" t="str">
        <f>'Ingest Template'!W8</f>
        <v/>
      </c>
      <c r="V8" s="35" t="str">
        <f>LOWER(SUBSTITUTE(SUBSTITUTE(SUBSTITUTE(SUBSTITUTE(SUBSTITUTE('Ingest Template'!X8,"https:",""),"www.",""),"/",""),"?hl=en",""),"instagram.com",""))</f>
        <v/>
      </c>
      <c r="W8" s="74" t="str">
        <f t="array" ref="W8">IF(
'Ingest Template'!Y8="",
SUBSTITUTE(
INDEX(DropdownLists!$F$2:$F$277,MATCH('Ingest Template'!D8,DropdownLists!$C$2:$C$277,0)),
CHAR(10),
"|"&amp;'Ingest Template'!C8&amp;CHAR(10)
)&amp;"|"&amp;'Ingest Template'!C8,
SUBSTITUTE(
INDEX(DropdownLists!$F$2:$F$277,MATCH('Ingest Template'!D8,DropdownLists!$C$2:$C$277,0)),
CHAR(10),
"|"&amp;'Ingest Template'!C8&amp;CHAR(10)
)&amp;"|"&amp;'Ingest Template'!C8&amp;CHAR(10)&amp;'Ingest Template'!Y8
)</f>
        <v>#N/A</v>
      </c>
      <c r="X8" s="74" t="str">
        <f>'Ingest Template'!Z8</f>
        <v/>
      </c>
      <c r="Y8" s="35" t="str">
        <f>SUBSTITUTE(SUBSTITUTE(SUBSTITUTE('Ingest Template'!AA8,"http:",""),"https:",""),"/","")</f>
        <v/>
      </c>
      <c r="Z8" s="35" t="str">
        <f t="array" ref="Z8">IF('Ingest Template'!A8="Standard",(IF(ISBLANK('Ingest Template'!AB8),"", 'Ingest Template'!AB8&amp;"|DAR")),(IF(ISBLANK('Ingest Template'!AB8),"", 'Ingest Template'!AB8&amp;"|TV Ops")))</f>
        <v/>
      </c>
      <c r="AA8" s="35"/>
      <c r="AB8" s="35" t="str">
        <f>'Ingest Template'!R8</f>
        <v/>
      </c>
      <c r="AC8" s="35" t="str">
        <f>'Ingest Template'!T8</f>
        <v/>
      </c>
      <c r="AD8" s="35" t="str">
        <f>'Ingest Template'!S8</f>
        <v/>
      </c>
      <c r="AE8" s="35" t="str">
        <f>'Ingest Template'!U8</f>
        <v/>
      </c>
      <c r="AF8" s="22"/>
      <c r="AG8" s="35" t="str">
        <f t="array" ref="AG8">IF('Ingest Template'!A8="Standard",(CONCATENATE(IF(ISBLANK('Ingest Template'!N8),"", 'Ingest Template'!N8&amp;"|DAR"),CHAR(10), IF(ISBLANK('Ingest Template'!O8),"", 'Ingest Template'!O8&amp;"|DAR"),CHAR(10), IF(ISBLANK('Ingest Template'!P8),"", 'Ingest Template'!P8&amp;"|DAR"))),(CONCATENATE(IF(ISBLANK('Ingest Template'!N8),"", 'Ingest Template'!N8&amp;"|TV Ops"),CHAR(10), IF(ISBLANK('Ingest Template'!O8),"", 'Ingest Template'!O8&amp;"|TV Ops"),CHAR(10), IF(ISBLANK('Ingest Template'!P8),"", 'Ingest Template'!P8&amp;"|TV Ops"))))</f>
        <v>
</v>
      </c>
      <c r="AH8" s="35"/>
      <c r="AI8" s="35"/>
      <c r="AJ8" s="117" t="str">
        <f>if('Ingest Template'!A8="Standard",(IF(OR('Ingest Template'!F8 = "Program Type - Special", 'Ingest Template'!F8 = "Program Type - Live Event"),'Ingest Template'!M8&amp; "|DAR|DAR|"&amp;TEXT('Ingest Template'!C8-3, "yyyy-mm-dd")&amp;"|"&amp;TEXT('Ingest Template'!C8+3, "yyyy-mm-dd"),'Ingest Template'!M8&amp; "|DAR|DAR|2021-01-01")),(IF(OR('Ingest Template'!F8 = "Program Type - Special", 'Ingest Template'!F8 = "Program Type - Live Event"),'Ingest Template'!M8&amp; "|Operations - Core Title|Operations - Core Title|"&amp;TEXT('Ingest Template'!C8-3, "yyyy-mm-dd")&amp;"|"&amp;TEXT('Ingest Template'!C8+3, "yyyy-mm-dd"),'Ingest Template'!M8&amp; "|Operations - Core Title|Operations - Core Title")))</f>
        <v>|Operations - Core Title|Operations - Core Title</v>
      </c>
      <c r="AK8" s="35"/>
      <c r="AL8" s="117" t="str">
        <f>if('Ingest Template'!A8="Standard",(IF(OR('Ingest Template'!F8 = "Program Type - Special", 'Ingest Template'!F8 = "Program Type - Live Event"),'Ingest Template'!Q8&amp;"|"&amp;TEXT('Ingest Template'!C8-3, "yyyy-mm-dd")&amp;"|"&amp;TEXT('Ingest Template'!C8+3, "yyyy-mm-dd"),'Ingest Template'!Q8&amp; "|2021-01-01")),(IF(OR('Ingest Template'!F8 = "Program Type - Special", 'Ingest Template'!F8 = "Program Type - Live Event"),'Ingest Template'!Q8&amp; "|"&amp;TEXT('Ingest Template'!C8-3, "yyyy-mm-dd")&amp;"|"&amp;TEXT('Ingest Template'!C8+3, "yyyy-mm-dd"),'Ingest Template'!Q8)))</f>
        <v/>
      </c>
      <c r="AM8" s="35" t="str">
        <f>'Ingest Template'!AC8</f>
        <v/>
      </c>
    </row>
    <row r="9">
      <c r="A9" s="15"/>
      <c r="B9" s="22" t="str">
        <f>'Ingest Template'!C9&amp;IF('Ingest Template'!A9 = "Standard", " - DAR","")</f>
        <v/>
      </c>
      <c r="C9" s="22" t="s">
        <v>83</v>
      </c>
      <c r="D9" s="22" t="str">
        <f t="array" ref="D9">CONCATENATE(INDEX(DropdownLists!$H$2:$H$11,MATCH(1,COUNTIF('Ingest Template'!E9,"*"&amp;DropdownLists!$I$2:$I$11&amp;"*"),0)),CHAR(10),'Ingest Template'!F9,CHAR(10),'Ingest Template'!G9,CHAR(10),VLOOKUP('Ingest Template'!D9,DropdownLists!C:D,2,FALSE))</f>
        <v>#N/A</v>
      </c>
      <c r="E9" s="22" t="str">
        <f>CONCATENATE('Ingest Template'!H9,CHAR(10),'Ingest Template'!I9,CHAR(10),'Ingest Template'!J9,CHAR(10))</f>
        <v>
</v>
      </c>
      <c r="F9" s="35" t="str">
        <f t="array" ref="F9">INDEX(DropdownLists!$O$2:$O$36,MATCH(1,COUNTIF(E9,"*"&amp;DropdownLists!$N$2:$N$36&amp;"*"),0))</f>
        <v/>
      </c>
      <c r="G9" s="35"/>
      <c r="H9" s="22" t="str">
        <f t="array" ref="H9">INDEX(DropdownLists!$E$2:$E$276,MATCH('Ingest Template'!D9,DropdownLists!$C$2:$C$276,0))</f>
        <v>#N/A</v>
      </c>
      <c r="I9" s="22"/>
      <c r="J9" s="22" t="str">
        <f t="array" ref="J9">iF('Ingest Template'!A9="Standard","Pristine Brand",INDEX(DropdownLists!$B$2:$B$246,MATCH('Ingest Template'!D9,DropdownLists!$C$2:$C$246,0)))</f>
        <v>#N/A</v>
      </c>
      <c r="K9" s="22" t="str">
        <f>iF('Ingest Template'!A9="Standard",'Ingest Template'!K9&amp;CHAR(10)&amp;'Ingest Template'!L9,"Competitive View")</f>
        <v>Competitive View</v>
      </c>
      <c r="L9" s="22" t="s">
        <v>95</v>
      </c>
      <c r="M9" s="45" t="str">
        <f>'Ingest Template'!B9</f>
        <v/>
      </c>
      <c r="N9" s="35"/>
      <c r="O9" s="35"/>
      <c r="P9" s="35"/>
      <c r="Q9" s="35"/>
      <c r="R9" s="35" t="str">
        <f>'Ingest Template'!D9</f>
        <v/>
      </c>
      <c r="S9" s="22" t="s">
        <v>101</v>
      </c>
      <c r="T9" s="35" t="str">
        <f>'Ingest Template'!V9</f>
        <v/>
      </c>
      <c r="U9" s="35" t="str">
        <f>'Ingest Template'!W9</f>
        <v/>
      </c>
      <c r="V9" s="35" t="str">
        <f>LOWER(SUBSTITUTE(SUBSTITUTE(SUBSTITUTE(SUBSTITUTE(SUBSTITUTE('Ingest Template'!X9,"https:",""),"www.",""),"/",""),"?hl=en",""),"instagram.com",""))</f>
        <v/>
      </c>
      <c r="W9" s="74" t="str">
        <f t="array" ref="W9">IF(
'Ingest Template'!Y9="",
SUBSTITUTE(
INDEX(DropdownLists!$F$2:$F$277,MATCH('Ingest Template'!D9,DropdownLists!$C$2:$C$277,0)),
CHAR(10),
"|"&amp;'Ingest Template'!C9&amp;CHAR(10)
)&amp;"|"&amp;'Ingest Template'!C9,
SUBSTITUTE(
INDEX(DropdownLists!$F$2:$F$277,MATCH('Ingest Template'!D9,DropdownLists!$C$2:$C$277,0)),
CHAR(10),
"|"&amp;'Ingest Template'!C9&amp;CHAR(10)
)&amp;"|"&amp;'Ingest Template'!C9&amp;CHAR(10)&amp;'Ingest Template'!Y9
)</f>
        <v>#N/A</v>
      </c>
      <c r="X9" s="74" t="str">
        <f>'Ingest Template'!Z9</f>
        <v/>
      </c>
      <c r="Y9" s="35" t="str">
        <f>SUBSTITUTE(SUBSTITUTE(SUBSTITUTE('Ingest Template'!AA9,"http:",""),"https:",""),"/","")</f>
        <v/>
      </c>
      <c r="Z9" s="35" t="str">
        <f t="array" ref="Z9">IF('Ingest Template'!A9="Standard",(IF(ISBLANK('Ingest Template'!AB9),"", 'Ingest Template'!AB9&amp;"|DAR")),(IF(ISBLANK('Ingest Template'!AB9),"", 'Ingest Template'!AB9&amp;"|TV Ops")))</f>
        <v/>
      </c>
      <c r="AA9" s="35"/>
      <c r="AB9" s="35" t="str">
        <f>'Ingest Template'!R9</f>
        <v/>
      </c>
      <c r="AC9" s="35" t="str">
        <f>'Ingest Template'!T9</f>
        <v/>
      </c>
      <c r="AD9" s="35" t="str">
        <f>'Ingest Template'!S9</f>
        <v/>
      </c>
      <c r="AE9" s="35" t="str">
        <f>'Ingest Template'!U9</f>
        <v/>
      </c>
      <c r="AF9" s="22"/>
      <c r="AG9" s="35" t="str">
        <f t="array" ref="AG9">IF('Ingest Template'!A9="Standard",(CONCATENATE(IF(ISBLANK('Ingest Template'!N9),"", 'Ingest Template'!N9&amp;"|DAR"),CHAR(10), IF(ISBLANK('Ingest Template'!O9),"", 'Ingest Template'!O9&amp;"|DAR"),CHAR(10), IF(ISBLANK('Ingest Template'!P9),"", 'Ingest Template'!P9&amp;"|DAR"))),(CONCATENATE(IF(ISBLANK('Ingest Template'!N9),"", 'Ingest Template'!N9&amp;"|TV Ops"),CHAR(10), IF(ISBLANK('Ingest Template'!O9),"", 'Ingest Template'!O9&amp;"|TV Ops"),CHAR(10), IF(ISBLANK('Ingest Template'!P9),"", 'Ingest Template'!P9&amp;"|TV Ops"))))</f>
        <v>
</v>
      </c>
      <c r="AH9" s="35"/>
      <c r="AI9" s="35"/>
      <c r="AJ9" s="117" t="str">
        <f>if('Ingest Template'!A9="Standard",(IF(OR('Ingest Template'!F9 = "Program Type - Special", 'Ingest Template'!F9 = "Program Type - Live Event"),'Ingest Template'!M9&amp; "|DAR|DAR|"&amp;TEXT('Ingest Template'!C9-3, "yyyy-mm-dd")&amp;"|"&amp;TEXT('Ingest Template'!C9+3, "yyyy-mm-dd"),'Ingest Template'!M9&amp; "|DAR|DAR|2021-01-01")),(IF(OR('Ingest Template'!F9 = "Program Type - Special", 'Ingest Template'!F9 = "Program Type - Live Event"),'Ingest Template'!M9&amp; "|Operations - Core Title|Operations - Core Title|"&amp;TEXT('Ingest Template'!C9-3, "yyyy-mm-dd")&amp;"|"&amp;TEXT('Ingest Template'!C9+3, "yyyy-mm-dd"),'Ingest Template'!M9&amp; "|Operations - Core Title|Operations - Core Title")))</f>
        <v>|Operations - Core Title|Operations - Core Title</v>
      </c>
      <c r="AK9" s="35"/>
      <c r="AL9" s="117" t="str">
        <f>if('Ingest Template'!A9="Standard",(IF(OR('Ingest Template'!F9 = "Program Type - Special", 'Ingest Template'!F9 = "Program Type - Live Event"),'Ingest Template'!Q9&amp;"|"&amp;TEXT('Ingest Template'!C9-3, "yyyy-mm-dd")&amp;"|"&amp;TEXT('Ingest Template'!C9+3, "yyyy-mm-dd"),'Ingest Template'!Q9&amp; "|2021-01-01")),(IF(OR('Ingest Template'!F9 = "Program Type - Special", 'Ingest Template'!F9 = "Program Type - Live Event"),'Ingest Template'!Q9&amp; "|"&amp;TEXT('Ingest Template'!C9-3, "yyyy-mm-dd")&amp;"|"&amp;TEXT('Ingest Template'!C9+3, "yyyy-mm-dd"),'Ingest Template'!Q9)))</f>
        <v/>
      </c>
      <c r="AM9" s="35" t="str">
        <f>'Ingest Template'!AC9</f>
        <v/>
      </c>
    </row>
    <row r="10">
      <c r="A10" s="15"/>
      <c r="B10" s="22" t="str">
        <f>'Ingest Template'!C10&amp;IF('Ingest Template'!A10 = "Standard", " - DAR","")</f>
        <v/>
      </c>
      <c r="C10" s="22" t="s">
        <v>83</v>
      </c>
      <c r="D10" s="22" t="str">
        <f t="array" ref="D10">CONCATENATE(INDEX(DropdownLists!$H$2:$H$11,MATCH(1,COUNTIF('Ingest Template'!E10,"*"&amp;DropdownLists!$I$2:$I$11&amp;"*"),0)),CHAR(10),'Ingest Template'!F10,CHAR(10),'Ingest Template'!G10,CHAR(10),VLOOKUP('Ingest Template'!D10,DropdownLists!C:D,2,FALSE))</f>
        <v>#N/A</v>
      </c>
      <c r="E10" s="22" t="str">
        <f>CONCATENATE('Ingest Template'!H10,CHAR(10),'Ingest Template'!I10,CHAR(10),'Ingest Template'!J10,CHAR(10))</f>
        <v>
</v>
      </c>
      <c r="F10" s="35" t="str">
        <f t="array" ref="F10">INDEX(DropdownLists!$O$2:$O$36,MATCH(1,COUNTIF(E10,"*"&amp;DropdownLists!$N$2:$N$36&amp;"*"),0))</f>
        <v/>
      </c>
      <c r="G10" s="35"/>
      <c r="H10" s="22" t="str">
        <f t="array" ref="H10">INDEX(DropdownLists!$E$2:$E$276,MATCH('Ingest Template'!D10,DropdownLists!$C$2:$C$276,0))</f>
        <v>#N/A</v>
      </c>
      <c r="I10" s="22"/>
      <c r="J10" s="22" t="str">
        <f t="array" ref="J10">iF('Ingest Template'!A10="Standard","Pristine Brand",INDEX(DropdownLists!$B$2:$B$246,MATCH('Ingest Template'!D10,DropdownLists!$C$2:$C$246,0)))</f>
        <v>#N/A</v>
      </c>
      <c r="K10" s="22" t="str">
        <f>iF('Ingest Template'!A10="Standard",'Ingest Template'!K10&amp;CHAR(10)&amp;'Ingest Template'!L10,"Competitive View")</f>
        <v>Competitive View</v>
      </c>
      <c r="L10" s="22" t="s">
        <v>95</v>
      </c>
      <c r="M10" s="45" t="str">
        <f>'Ingest Template'!B10</f>
        <v/>
      </c>
      <c r="N10" s="35"/>
      <c r="O10" s="35"/>
      <c r="P10" s="35"/>
      <c r="Q10" s="35"/>
      <c r="R10" s="35" t="str">
        <f>'Ingest Template'!D10</f>
        <v/>
      </c>
      <c r="S10" s="22" t="s">
        <v>101</v>
      </c>
      <c r="T10" s="35" t="str">
        <f>'Ingest Template'!V10</f>
        <v/>
      </c>
      <c r="U10" s="35" t="str">
        <f>'Ingest Template'!W10</f>
        <v/>
      </c>
      <c r="V10" s="35" t="str">
        <f>LOWER(SUBSTITUTE(SUBSTITUTE(SUBSTITUTE(SUBSTITUTE(SUBSTITUTE('Ingest Template'!X10,"https:",""),"www.",""),"/",""),"?hl=en",""),"instagram.com",""))</f>
        <v/>
      </c>
      <c r="W10" s="74" t="str">
        <f t="array" ref="W10">IF(
'Ingest Template'!Y10="",
SUBSTITUTE(
INDEX(DropdownLists!$F$2:$F$277,MATCH('Ingest Template'!D10,DropdownLists!$C$2:$C$277,0)),
CHAR(10),
"|"&amp;'Ingest Template'!C10&amp;CHAR(10)
)&amp;"|"&amp;'Ingest Template'!C10,
SUBSTITUTE(
INDEX(DropdownLists!$F$2:$F$277,MATCH('Ingest Template'!D10,DropdownLists!$C$2:$C$277,0)),
CHAR(10),
"|"&amp;'Ingest Template'!C10&amp;CHAR(10)
)&amp;"|"&amp;'Ingest Template'!C10&amp;CHAR(10)&amp;'Ingest Template'!Y10
)</f>
        <v>#N/A</v>
      </c>
      <c r="X10" s="74" t="str">
        <f>'Ingest Template'!Z10</f>
        <v/>
      </c>
      <c r="Y10" s="35" t="str">
        <f>SUBSTITUTE(SUBSTITUTE(SUBSTITUTE('Ingest Template'!AA10,"http:",""),"https:",""),"/","")</f>
        <v/>
      </c>
      <c r="Z10" s="35" t="str">
        <f t="array" ref="Z10">IF('Ingest Template'!A10="Standard",(IF(ISBLANK('Ingest Template'!AB10),"", 'Ingest Template'!AB10&amp;"|DAR")),(IF(ISBLANK('Ingest Template'!AB10),"", 'Ingest Template'!AB10&amp;"|TV Ops")))</f>
        <v/>
      </c>
      <c r="AA10" s="35"/>
      <c r="AB10" s="35" t="str">
        <f>'Ingest Template'!R10</f>
        <v/>
      </c>
      <c r="AC10" s="35" t="str">
        <f>'Ingest Template'!T10</f>
        <v/>
      </c>
      <c r="AD10" s="35" t="str">
        <f>'Ingest Template'!S10</f>
        <v/>
      </c>
      <c r="AE10" s="35" t="str">
        <f>'Ingest Template'!U10</f>
        <v/>
      </c>
      <c r="AF10" s="22"/>
      <c r="AG10" s="35" t="str">
        <f t="array" ref="AG10">IF('Ingest Template'!A10="Standard",(CONCATENATE(IF(ISBLANK('Ingest Template'!N10),"", 'Ingest Template'!N10&amp;"|DAR"),CHAR(10), IF(ISBLANK('Ingest Template'!O10),"", 'Ingest Template'!O10&amp;"|DAR"),CHAR(10), IF(ISBLANK('Ingest Template'!P10),"", 'Ingest Template'!P10&amp;"|DAR"))),(CONCATENATE(IF(ISBLANK('Ingest Template'!N10),"", 'Ingest Template'!N10&amp;"|TV Ops"),CHAR(10), IF(ISBLANK('Ingest Template'!O10),"", 'Ingest Template'!O10&amp;"|TV Ops"),CHAR(10), IF(ISBLANK('Ingest Template'!P10),"", 'Ingest Template'!P10&amp;"|TV Ops"))))</f>
        <v>
</v>
      </c>
      <c r="AH10" s="35"/>
      <c r="AI10" s="35"/>
      <c r="AJ10" s="117" t="str">
        <f>if('Ingest Template'!A10="Standard",(IF(OR('Ingest Template'!F10 = "Program Type - Special", 'Ingest Template'!F10 = "Program Type - Live Event"),'Ingest Template'!M10&amp; "|DAR|DAR|"&amp;TEXT('Ingest Template'!C10-3, "yyyy-mm-dd")&amp;"|"&amp;TEXT('Ingest Template'!C10+3, "yyyy-mm-dd"),'Ingest Template'!M10&amp; "|DAR|DAR|2021-01-01")),(IF(OR('Ingest Template'!F10 = "Program Type - Special", 'Ingest Template'!F10 = "Program Type - Live Event"),'Ingest Template'!M10&amp; "|Operations - Core Title|Operations - Core Title|"&amp;TEXT('Ingest Template'!C10-3, "yyyy-mm-dd")&amp;"|"&amp;TEXT('Ingest Template'!C10+3, "yyyy-mm-dd"),'Ingest Template'!M10&amp; "|Operations - Core Title|Operations - Core Title")))</f>
        <v>|Operations - Core Title|Operations - Core Title</v>
      </c>
      <c r="AK10" s="35"/>
      <c r="AL10" s="117" t="str">
        <f>if('Ingest Template'!A10="Standard",(IF(OR('Ingest Template'!F10 = "Program Type - Special", 'Ingest Template'!F10 = "Program Type - Live Event"),'Ingest Template'!Q10&amp;"|"&amp;TEXT('Ingest Template'!C10-3, "yyyy-mm-dd")&amp;"|"&amp;TEXT('Ingest Template'!C10+3, "yyyy-mm-dd"),'Ingest Template'!Q10&amp; "|2021-01-01")),(IF(OR('Ingest Template'!F10 = "Program Type - Special", 'Ingest Template'!F10 = "Program Type - Live Event"),'Ingest Template'!Q10&amp; "|"&amp;TEXT('Ingest Template'!C10-3, "yyyy-mm-dd")&amp;"|"&amp;TEXT('Ingest Template'!C10+3, "yyyy-mm-dd"),'Ingest Template'!Q10)))</f>
        <v/>
      </c>
      <c r="AM10" s="35" t="str">
        <f>'Ingest Template'!AC10</f>
        <v/>
      </c>
    </row>
    <row r="11">
      <c r="A11" s="15"/>
      <c r="B11" s="22" t="str">
        <f>'Ingest Template'!C11&amp;IF('Ingest Template'!A11 = "Standard", " - DAR","")</f>
        <v/>
      </c>
      <c r="C11" s="22" t="s">
        <v>83</v>
      </c>
      <c r="D11" s="22" t="str">
        <f t="array" ref="D11">CONCATENATE(INDEX(DropdownLists!$H$2:$H$11,MATCH(1,COUNTIF('Ingest Template'!E11,"*"&amp;DropdownLists!$I$2:$I$11&amp;"*"),0)),CHAR(10),'Ingest Template'!F11,CHAR(10),'Ingest Template'!G11,CHAR(10),VLOOKUP('Ingest Template'!D11,DropdownLists!C:D,2,FALSE))</f>
        <v>#N/A</v>
      </c>
      <c r="E11" s="22" t="str">
        <f>CONCATENATE('Ingest Template'!H11,CHAR(10),'Ingest Template'!I11,CHAR(10),'Ingest Template'!J11,CHAR(10))</f>
        <v>
</v>
      </c>
      <c r="F11" s="35" t="str">
        <f t="array" ref="F11">INDEX(DropdownLists!$O$2:$O$36,MATCH(1,COUNTIF(E11,"*"&amp;DropdownLists!$N$2:$N$36&amp;"*"),0))</f>
        <v/>
      </c>
      <c r="G11" s="35"/>
      <c r="H11" s="22" t="str">
        <f t="array" ref="H11">INDEX(DropdownLists!$E$2:$E$276,MATCH('Ingest Template'!D11,DropdownLists!$C$2:$C$276,0))</f>
        <v>#N/A</v>
      </c>
      <c r="I11" s="22"/>
      <c r="J11" s="22" t="str">
        <f t="array" ref="J11">iF('Ingest Template'!A11="Standard","Pristine Brand",INDEX(DropdownLists!$B$2:$B$246,MATCH('Ingest Template'!D11,DropdownLists!$C$2:$C$246,0)))</f>
        <v>#N/A</v>
      </c>
      <c r="K11" s="22" t="str">
        <f>iF('Ingest Template'!A11="Standard",'Ingest Template'!K11&amp;CHAR(10)&amp;'Ingest Template'!L11,"Competitive View")</f>
        <v>Competitive View</v>
      </c>
      <c r="L11" s="22" t="s">
        <v>95</v>
      </c>
      <c r="M11" s="45" t="str">
        <f>'Ingest Template'!B11</f>
        <v/>
      </c>
      <c r="N11" s="35"/>
      <c r="O11" s="35"/>
      <c r="P11" s="35"/>
      <c r="Q11" s="35"/>
      <c r="R11" s="35" t="str">
        <f>'Ingest Template'!D11</f>
        <v/>
      </c>
      <c r="S11" s="22" t="s">
        <v>101</v>
      </c>
      <c r="T11" s="35" t="str">
        <f>'Ingest Template'!V11</f>
        <v/>
      </c>
      <c r="U11" s="35" t="str">
        <f>'Ingest Template'!W11</f>
        <v/>
      </c>
      <c r="V11" s="35" t="str">
        <f>LOWER(SUBSTITUTE(SUBSTITUTE(SUBSTITUTE(SUBSTITUTE(SUBSTITUTE('Ingest Template'!X11,"https:",""),"www.",""),"/",""),"?hl=en",""),"instagram.com",""))</f>
        <v/>
      </c>
      <c r="W11" s="74" t="str">
        <f t="array" ref="W11">IF(
'Ingest Template'!Y11="",
SUBSTITUTE(
INDEX(DropdownLists!$F$2:$F$277,MATCH('Ingest Template'!D11,DropdownLists!$C$2:$C$277,0)),
CHAR(10),
"|"&amp;'Ingest Template'!C11&amp;CHAR(10)
)&amp;"|"&amp;'Ingest Template'!C11,
SUBSTITUTE(
INDEX(DropdownLists!$F$2:$F$277,MATCH('Ingest Template'!D11,DropdownLists!$C$2:$C$277,0)),
CHAR(10),
"|"&amp;'Ingest Template'!C11&amp;CHAR(10)
)&amp;"|"&amp;'Ingest Template'!C11&amp;CHAR(10)&amp;'Ingest Template'!Y11
)</f>
        <v>#N/A</v>
      </c>
      <c r="X11" s="74" t="str">
        <f>'Ingest Template'!Z11</f>
        <v/>
      </c>
      <c r="Y11" s="35" t="str">
        <f>SUBSTITUTE(SUBSTITUTE(SUBSTITUTE('Ingest Template'!AA11,"http:",""),"https:",""),"/","")</f>
        <v/>
      </c>
      <c r="Z11" s="35" t="str">
        <f t="array" ref="Z11">IF('Ingest Template'!A11="Standard",(IF(ISBLANK('Ingest Template'!AB11),"", 'Ingest Template'!AB11&amp;"|DAR")),(IF(ISBLANK('Ingest Template'!AB11),"", 'Ingest Template'!AB11&amp;"|TV Ops")))</f>
        <v/>
      </c>
      <c r="AA11" s="35"/>
      <c r="AB11" s="35" t="str">
        <f>'Ingest Template'!R11</f>
        <v/>
      </c>
      <c r="AC11" s="35" t="str">
        <f>'Ingest Template'!T11</f>
        <v/>
      </c>
      <c r="AD11" s="35" t="str">
        <f>'Ingest Template'!S11</f>
        <v/>
      </c>
      <c r="AE11" s="35" t="str">
        <f>'Ingest Template'!U11</f>
        <v/>
      </c>
      <c r="AF11" s="22"/>
      <c r="AG11" s="35" t="str">
        <f t="array" ref="AG11">IF('Ingest Template'!A11="Standard",(CONCATENATE(IF(ISBLANK('Ingest Template'!N11),"", 'Ingest Template'!N11&amp;"|DAR"),CHAR(10), IF(ISBLANK('Ingest Template'!O11),"", 'Ingest Template'!O11&amp;"|DAR"),CHAR(10), IF(ISBLANK('Ingest Template'!P11),"", 'Ingest Template'!P11&amp;"|DAR"))),(CONCATENATE(IF(ISBLANK('Ingest Template'!N11),"", 'Ingest Template'!N11&amp;"|TV Ops"),CHAR(10), IF(ISBLANK('Ingest Template'!O11),"", 'Ingest Template'!O11&amp;"|TV Ops"),CHAR(10), IF(ISBLANK('Ingest Template'!P11),"", 'Ingest Template'!P11&amp;"|TV Ops"))))</f>
        <v>
</v>
      </c>
      <c r="AH11" s="35"/>
      <c r="AI11" s="35"/>
      <c r="AJ11" s="117" t="str">
        <f>if('Ingest Template'!A11="Standard",(IF(OR('Ingest Template'!F11 = "Program Type - Special", 'Ingest Template'!F11 = "Program Type - Live Event"),'Ingest Template'!M11&amp; "|DAR|DAR|"&amp;TEXT('Ingest Template'!C11-3, "yyyy-mm-dd")&amp;"|"&amp;TEXT('Ingest Template'!C11+3, "yyyy-mm-dd"),'Ingest Template'!M11&amp; "|DAR|DAR|2021-01-01")),(IF(OR('Ingest Template'!F11 = "Program Type - Special", 'Ingest Template'!F11 = "Program Type - Live Event"),'Ingest Template'!M11&amp; "|Operations - Core Title|Operations - Core Title|"&amp;TEXT('Ingest Template'!C11-3, "yyyy-mm-dd")&amp;"|"&amp;TEXT('Ingest Template'!C11+3, "yyyy-mm-dd"),'Ingest Template'!M11&amp; "|Operations - Core Title|Operations - Core Title")))</f>
        <v>|Operations - Core Title|Operations - Core Title</v>
      </c>
      <c r="AK11" s="35"/>
      <c r="AL11" s="117" t="str">
        <f>if('Ingest Template'!A11="Standard",(IF(OR('Ingest Template'!F11 = "Program Type - Special", 'Ingest Template'!F11 = "Program Type - Live Event"),'Ingest Template'!Q11&amp;"|"&amp;TEXT('Ingest Template'!C11-3, "yyyy-mm-dd")&amp;"|"&amp;TEXT('Ingest Template'!C11+3, "yyyy-mm-dd"),'Ingest Template'!Q11&amp; "|2021-01-01")),(IF(OR('Ingest Template'!F11 = "Program Type - Special", 'Ingest Template'!F11 = "Program Type - Live Event"),'Ingest Template'!Q11&amp; "|"&amp;TEXT('Ingest Template'!C11-3, "yyyy-mm-dd")&amp;"|"&amp;TEXT('Ingest Template'!C11+3, "yyyy-mm-dd"),'Ingest Template'!Q11)))</f>
        <v/>
      </c>
      <c r="AM11" s="35" t="str">
        <f>'Ingest Template'!AC11</f>
        <v/>
      </c>
    </row>
    <row r="12">
      <c r="A12" s="15"/>
      <c r="B12" s="22" t="str">
        <f>'Ingest Template'!C12&amp;IF('Ingest Template'!A12 = "Standard", " - DAR","")</f>
        <v/>
      </c>
      <c r="C12" s="22" t="s">
        <v>83</v>
      </c>
      <c r="D12" s="22" t="str">
        <f t="array" ref="D12">CONCATENATE(INDEX(DropdownLists!$H$2:$H$11,MATCH(1,COUNTIF('Ingest Template'!E12,"*"&amp;DropdownLists!$I$2:$I$11&amp;"*"),0)),CHAR(10),'Ingest Template'!F12,CHAR(10),'Ingest Template'!G12,CHAR(10),VLOOKUP('Ingest Template'!D12,DropdownLists!C:D,2,FALSE))</f>
        <v>#N/A</v>
      </c>
      <c r="E12" s="22" t="str">
        <f>CONCATENATE('Ingest Template'!H12,CHAR(10),'Ingest Template'!I12,CHAR(10),'Ingest Template'!J12,CHAR(10))</f>
        <v>
</v>
      </c>
      <c r="F12" s="35" t="str">
        <f t="array" ref="F12">INDEX(DropdownLists!$O$2:$O$36,MATCH(1,COUNTIF(E12,"*"&amp;DropdownLists!$N$2:$N$36&amp;"*"),0))</f>
        <v/>
      </c>
      <c r="G12" s="35"/>
      <c r="H12" s="22" t="str">
        <f t="array" ref="H12">INDEX(DropdownLists!$E$2:$E$276,MATCH('Ingest Template'!D12,DropdownLists!$C$2:$C$276,0))</f>
        <v>#N/A</v>
      </c>
      <c r="I12" s="22"/>
      <c r="J12" s="22" t="str">
        <f t="array" ref="J12">iF('Ingest Template'!A12="Standard","Pristine Brand",INDEX(DropdownLists!$B$2:$B$246,MATCH('Ingest Template'!D12,DropdownLists!$C$2:$C$246,0)))</f>
        <v>#N/A</v>
      </c>
      <c r="K12" s="22" t="str">
        <f>iF('Ingest Template'!A12="Standard",'Ingest Template'!K12&amp;CHAR(10)&amp;'Ingest Template'!L12,"Competitive View")</f>
        <v>Competitive View</v>
      </c>
      <c r="L12" s="22" t="s">
        <v>95</v>
      </c>
      <c r="M12" s="45" t="str">
        <f>'Ingest Template'!B12</f>
        <v/>
      </c>
      <c r="N12" s="35"/>
      <c r="O12" s="35"/>
      <c r="P12" s="35"/>
      <c r="Q12" s="35"/>
      <c r="R12" s="35" t="str">
        <f>'Ingest Template'!D12</f>
        <v/>
      </c>
      <c r="S12" s="22" t="s">
        <v>101</v>
      </c>
      <c r="T12" s="35" t="str">
        <f>'Ingest Template'!V12</f>
        <v/>
      </c>
      <c r="U12" s="35" t="str">
        <f>'Ingest Template'!W12</f>
        <v/>
      </c>
      <c r="V12" s="35" t="str">
        <f>LOWER(SUBSTITUTE(SUBSTITUTE(SUBSTITUTE(SUBSTITUTE(SUBSTITUTE('Ingest Template'!X12,"https:",""),"www.",""),"/",""),"?hl=en",""),"instagram.com",""))</f>
        <v/>
      </c>
      <c r="W12" s="74" t="str">
        <f t="array" ref="W12">IF(
'Ingest Template'!Y12="",
SUBSTITUTE(
INDEX(DropdownLists!$F$2:$F$277,MATCH('Ingest Template'!D12,DropdownLists!$C$2:$C$277,0)),
CHAR(10),
"|"&amp;'Ingest Template'!C12&amp;CHAR(10)
)&amp;"|"&amp;'Ingest Template'!C12,
SUBSTITUTE(
INDEX(DropdownLists!$F$2:$F$277,MATCH('Ingest Template'!D12,DropdownLists!$C$2:$C$277,0)),
CHAR(10),
"|"&amp;'Ingest Template'!C12&amp;CHAR(10)
)&amp;"|"&amp;'Ingest Template'!C12&amp;CHAR(10)&amp;'Ingest Template'!Y12
)</f>
        <v>#N/A</v>
      </c>
      <c r="X12" s="74" t="str">
        <f>'Ingest Template'!Z12</f>
        <v/>
      </c>
      <c r="Y12" s="35" t="str">
        <f>SUBSTITUTE(SUBSTITUTE(SUBSTITUTE('Ingest Template'!AA12,"http:",""),"https:",""),"/","")</f>
        <v/>
      </c>
      <c r="Z12" s="35" t="str">
        <f t="array" ref="Z12">IF('Ingest Template'!A12="Standard",(IF(ISBLANK('Ingest Template'!AB12),"", 'Ingest Template'!AB12&amp;"|DAR")),(IF(ISBLANK('Ingest Template'!AB12),"", 'Ingest Template'!AB12&amp;"|TV Ops")))</f>
        <v/>
      </c>
      <c r="AA12" s="35"/>
      <c r="AB12" s="35" t="str">
        <f>'Ingest Template'!R12</f>
        <v/>
      </c>
      <c r="AC12" s="35" t="str">
        <f>'Ingest Template'!T12</f>
        <v/>
      </c>
      <c r="AD12" s="35" t="str">
        <f>'Ingest Template'!S12</f>
        <v/>
      </c>
      <c r="AE12" s="35" t="str">
        <f>'Ingest Template'!U12</f>
        <v/>
      </c>
      <c r="AF12" s="22"/>
      <c r="AG12" s="35" t="str">
        <f t="array" ref="AG12">IF('Ingest Template'!A12="Standard",(CONCATENATE(IF(ISBLANK('Ingest Template'!N12),"", 'Ingest Template'!N12&amp;"|DAR"),CHAR(10), IF(ISBLANK('Ingest Template'!O12),"", 'Ingest Template'!O12&amp;"|DAR"),CHAR(10), IF(ISBLANK('Ingest Template'!P12),"", 'Ingest Template'!P12&amp;"|DAR"))),(CONCATENATE(IF(ISBLANK('Ingest Template'!N12),"", 'Ingest Template'!N12&amp;"|TV Ops"),CHAR(10), IF(ISBLANK('Ingest Template'!O12),"", 'Ingest Template'!O12&amp;"|TV Ops"),CHAR(10), IF(ISBLANK('Ingest Template'!P12),"", 'Ingest Template'!P12&amp;"|TV Ops"))))</f>
        <v>
</v>
      </c>
      <c r="AH12" s="35"/>
      <c r="AI12" s="35"/>
      <c r="AJ12" s="117" t="str">
        <f>if('Ingest Template'!A12="Standard",(IF(OR('Ingest Template'!F12 = "Program Type - Special", 'Ingest Template'!F12 = "Program Type - Live Event"),'Ingest Template'!M12&amp; "|DAR|DAR|"&amp;TEXT('Ingest Template'!C12-3, "yyyy-mm-dd")&amp;"|"&amp;TEXT('Ingest Template'!C12+3, "yyyy-mm-dd"),'Ingest Template'!M12&amp; "|DAR|DAR|2021-01-01")),(IF(OR('Ingest Template'!F12 = "Program Type - Special", 'Ingest Template'!F12 = "Program Type - Live Event"),'Ingest Template'!M12&amp; "|Operations - Core Title|Operations - Core Title|"&amp;TEXT('Ingest Template'!C12-3, "yyyy-mm-dd")&amp;"|"&amp;TEXT('Ingest Template'!C12+3, "yyyy-mm-dd"),'Ingest Template'!M12&amp; "|Operations - Core Title|Operations - Core Title")))</f>
        <v>|Operations - Core Title|Operations - Core Title</v>
      </c>
      <c r="AK12" s="35"/>
      <c r="AL12" s="117" t="str">
        <f>if('Ingest Template'!A12="Standard",(IF(OR('Ingest Template'!F12 = "Program Type - Special", 'Ingest Template'!F12 = "Program Type - Live Event"),'Ingest Template'!Q12&amp;"|"&amp;TEXT('Ingest Template'!C12-3, "yyyy-mm-dd")&amp;"|"&amp;TEXT('Ingest Template'!C12+3, "yyyy-mm-dd"),'Ingest Template'!Q12&amp; "|2021-01-01")),(IF(OR('Ingest Template'!F12 = "Program Type - Special", 'Ingest Template'!F12 = "Program Type - Live Event"),'Ingest Template'!Q12&amp; "|"&amp;TEXT('Ingest Template'!C12-3, "yyyy-mm-dd")&amp;"|"&amp;TEXT('Ingest Template'!C12+3, "yyyy-mm-dd"),'Ingest Template'!Q12)))</f>
        <v/>
      </c>
      <c r="AM12" s="35" t="str">
        <f>'Ingest Template'!AC12</f>
        <v/>
      </c>
    </row>
    <row r="13">
      <c r="A13" s="15"/>
      <c r="B13" s="22" t="str">
        <f>'Ingest Template'!C13&amp;IF('Ingest Template'!A13 = "Standard", " - DAR","")</f>
        <v/>
      </c>
      <c r="C13" s="22" t="s">
        <v>83</v>
      </c>
      <c r="D13" s="22" t="str">
        <f t="array" ref="D13">CONCATENATE(INDEX(DropdownLists!$H$2:$H$11,MATCH(1,COUNTIF('Ingest Template'!E13,"*"&amp;DropdownLists!$I$2:$I$11&amp;"*"),0)),CHAR(10),'Ingest Template'!F13,CHAR(10),'Ingest Template'!G13,CHAR(10),VLOOKUP('Ingest Template'!D13,DropdownLists!C:D,2,FALSE))</f>
        <v>#N/A</v>
      </c>
      <c r="E13" s="22" t="str">
        <f>CONCATENATE('Ingest Template'!H13,CHAR(10),'Ingest Template'!I13,CHAR(10),'Ingest Template'!J13,CHAR(10))</f>
        <v>
</v>
      </c>
      <c r="F13" s="35" t="str">
        <f t="array" ref="F13">INDEX(DropdownLists!$O$2:$O$36,MATCH(1,COUNTIF(E13,"*"&amp;DropdownLists!$N$2:$N$36&amp;"*"),0))</f>
        <v/>
      </c>
      <c r="G13" s="35"/>
      <c r="H13" s="22" t="str">
        <f t="array" ref="H13">INDEX(DropdownLists!$E$2:$E$276,MATCH('Ingest Template'!D13,DropdownLists!$C$2:$C$276,0))</f>
        <v>#N/A</v>
      </c>
      <c r="I13" s="22"/>
      <c r="J13" s="22" t="str">
        <f t="array" ref="J13">iF('Ingest Template'!A13="Standard","Pristine Brand",INDEX(DropdownLists!$B$2:$B$246,MATCH('Ingest Template'!D13,DropdownLists!$C$2:$C$246,0)))</f>
        <v>#N/A</v>
      </c>
      <c r="K13" s="22" t="str">
        <f>iF('Ingest Template'!A13="Standard",'Ingest Template'!K13&amp;CHAR(10)&amp;'Ingest Template'!L13,"Competitive View")</f>
        <v>Competitive View</v>
      </c>
      <c r="L13" s="22" t="s">
        <v>95</v>
      </c>
      <c r="M13" s="45" t="str">
        <f>'Ingest Template'!B13</f>
        <v/>
      </c>
      <c r="N13" s="35"/>
      <c r="O13" s="35"/>
      <c r="P13" s="35"/>
      <c r="Q13" s="35"/>
      <c r="R13" s="35" t="str">
        <f>'Ingest Template'!D13</f>
        <v/>
      </c>
      <c r="S13" s="22" t="s">
        <v>101</v>
      </c>
      <c r="T13" s="35" t="str">
        <f>'Ingest Template'!V13</f>
        <v/>
      </c>
      <c r="U13" s="35" t="str">
        <f>'Ingest Template'!W13</f>
        <v/>
      </c>
      <c r="V13" s="35" t="str">
        <f>LOWER(SUBSTITUTE(SUBSTITUTE(SUBSTITUTE(SUBSTITUTE(SUBSTITUTE('Ingest Template'!X13,"https:",""),"www.",""),"/",""),"?hl=en",""),"instagram.com",""))</f>
        <v/>
      </c>
      <c r="W13" s="74" t="str">
        <f t="array" ref="W13">IF(
'Ingest Template'!Y13="",
SUBSTITUTE(
INDEX(DropdownLists!$F$2:$F$277,MATCH('Ingest Template'!D13,DropdownLists!$C$2:$C$277,0)),
CHAR(10),
"|"&amp;'Ingest Template'!C13&amp;CHAR(10)
)&amp;"|"&amp;'Ingest Template'!C13,
SUBSTITUTE(
INDEX(DropdownLists!$F$2:$F$277,MATCH('Ingest Template'!D13,DropdownLists!$C$2:$C$277,0)),
CHAR(10),
"|"&amp;'Ingest Template'!C13&amp;CHAR(10)
)&amp;"|"&amp;'Ingest Template'!C13&amp;CHAR(10)&amp;'Ingest Template'!Y13
)</f>
        <v>#N/A</v>
      </c>
      <c r="X13" s="74" t="str">
        <f>'Ingest Template'!Z13</f>
        <v/>
      </c>
      <c r="Y13" s="35" t="str">
        <f>SUBSTITUTE(SUBSTITUTE(SUBSTITUTE('Ingest Template'!AA13,"http:",""),"https:",""),"/","")</f>
        <v/>
      </c>
      <c r="Z13" s="35" t="str">
        <f t="array" ref="Z13">IF('Ingest Template'!A13="Standard",(IF(ISBLANK('Ingest Template'!AB13),"", 'Ingest Template'!AB13&amp;"|DAR")),(IF(ISBLANK('Ingest Template'!AB13),"", 'Ingest Template'!AB13&amp;"|TV Ops")))</f>
        <v/>
      </c>
      <c r="AA13" s="35"/>
      <c r="AB13" s="35" t="str">
        <f>'Ingest Template'!R13</f>
        <v/>
      </c>
      <c r="AC13" s="35" t="str">
        <f>'Ingest Template'!T13</f>
        <v/>
      </c>
      <c r="AD13" s="35" t="str">
        <f>'Ingest Template'!S13</f>
        <v/>
      </c>
      <c r="AE13" s="35" t="str">
        <f>'Ingest Template'!U13</f>
        <v/>
      </c>
      <c r="AF13" s="22"/>
      <c r="AG13" s="35" t="str">
        <f t="array" ref="AG13">IF('Ingest Template'!A13="Standard",(CONCATENATE(IF(ISBLANK('Ingest Template'!N13),"", 'Ingest Template'!N13&amp;"|DAR"),CHAR(10), IF(ISBLANK('Ingest Template'!O13),"", 'Ingest Template'!O13&amp;"|DAR"),CHAR(10), IF(ISBLANK('Ingest Template'!P13),"", 'Ingest Template'!P13&amp;"|DAR"))),(CONCATENATE(IF(ISBLANK('Ingest Template'!N13),"", 'Ingest Template'!N13&amp;"|TV Ops"),CHAR(10), IF(ISBLANK('Ingest Template'!O13),"", 'Ingest Template'!O13&amp;"|TV Ops"),CHAR(10), IF(ISBLANK('Ingest Template'!P13),"", 'Ingest Template'!P13&amp;"|TV Ops"))))</f>
        <v>
</v>
      </c>
      <c r="AH13" s="35"/>
      <c r="AI13" s="35"/>
      <c r="AJ13" s="117" t="str">
        <f>if('Ingest Template'!A13="Standard",(IF(OR('Ingest Template'!F13 = "Program Type - Special", 'Ingest Template'!F13 = "Program Type - Live Event"),'Ingest Template'!M13&amp; "|DAR|DAR|"&amp;TEXT('Ingest Template'!C13-3, "yyyy-mm-dd")&amp;"|"&amp;TEXT('Ingest Template'!C13+3, "yyyy-mm-dd"),'Ingest Template'!M13&amp; "|DAR|DAR|2021-01-01")),(IF(OR('Ingest Template'!F13 = "Program Type - Special", 'Ingest Template'!F13 = "Program Type - Live Event"),'Ingest Template'!M13&amp; "|Operations - Core Title|Operations - Core Title|"&amp;TEXT('Ingest Template'!C13-3, "yyyy-mm-dd")&amp;"|"&amp;TEXT('Ingest Template'!C13+3, "yyyy-mm-dd"),'Ingest Template'!M13&amp; "|Operations - Core Title|Operations - Core Title")))</f>
        <v>|Operations - Core Title|Operations - Core Title</v>
      </c>
      <c r="AK13" s="35"/>
      <c r="AL13" s="117" t="str">
        <f>if('Ingest Template'!A13="Standard",(IF(OR('Ingest Template'!F13 = "Program Type - Special", 'Ingest Template'!F13 = "Program Type - Live Event"),'Ingest Template'!Q13&amp;"|"&amp;TEXT('Ingest Template'!C13-3, "yyyy-mm-dd")&amp;"|"&amp;TEXT('Ingest Template'!C13+3, "yyyy-mm-dd"),'Ingest Template'!Q13&amp; "|2021-01-01")),(IF(OR('Ingest Template'!F13 = "Program Type - Special", 'Ingest Template'!F13 = "Program Type - Live Event"),'Ingest Template'!Q13&amp; "|"&amp;TEXT('Ingest Template'!C13-3, "yyyy-mm-dd")&amp;"|"&amp;TEXT('Ingest Template'!C13+3, "yyyy-mm-dd"),'Ingest Template'!Q13)))</f>
        <v/>
      </c>
      <c r="AM13" s="35" t="str">
        <f>'Ingest Template'!AC13</f>
        <v/>
      </c>
    </row>
    <row r="14">
      <c r="A14" s="15"/>
      <c r="B14" s="22" t="str">
        <f>'Ingest Template'!C14&amp;IF('Ingest Template'!A14 = "Standard", " - DAR","")</f>
        <v/>
      </c>
      <c r="C14" s="22" t="s">
        <v>83</v>
      </c>
      <c r="D14" s="22" t="str">
        <f t="array" ref="D14">CONCATENATE(INDEX(DropdownLists!$H$2:$H$11,MATCH(1,COUNTIF('Ingest Template'!E14,"*"&amp;DropdownLists!$I$2:$I$11&amp;"*"),0)),CHAR(10),'Ingest Template'!F14,CHAR(10),'Ingest Template'!G14,CHAR(10),VLOOKUP('Ingest Template'!D14,DropdownLists!C:D,2,FALSE))</f>
        <v>#N/A</v>
      </c>
      <c r="E14" s="22" t="str">
        <f>CONCATENATE('Ingest Template'!H14,CHAR(10),'Ingest Template'!I14,CHAR(10),'Ingest Template'!J14,CHAR(10))</f>
        <v>
</v>
      </c>
      <c r="F14" s="35" t="str">
        <f t="array" ref="F14">INDEX(DropdownLists!$O$2:$O$36,MATCH(1,COUNTIF(E14,"*"&amp;DropdownLists!$N$2:$N$36&amp;"*"),0))</f>
        <v/>
      </c>
      <c r="G14" s="35"/>
      <c r="H14" s="22" t="str">
        <f t="array" ref="H14">INDEX(DropdownLists!$E$2:$E$276,MATCH('Ingest Template'!D14,DropdownLists!$C$2:$C$276,0))</f>
        <v>#N/A</v>
      </c>
      <c r="I14" s="22"/>
      <c r="J14" s="22" t="str">
        <f t="array" ref="J14">iF('Ingest Template'!A14="Standard","Pristine Brand",INDEX(DropdownLists!$B$2:$B$246,MATCH('Ingest Template'!D14,DropdownLists!$C$2:$C$246,0)))</f>
        <v>#N/A</v>
      </c>
      <c r="K14" s="22" t="str">
        <f>iF('Ingest Template'!A14="Standard",'Ingest Template'!K14&amp;CHAR(10)&amp;'Ingest Template'!L14,"Competitive View")</f>
        <v>Competitive View</v>
      </c>
      <c r="L14" s="22" t="s">
        <v>95</v>
      </c>
      <c r="M14" s="45" t="str">
        <f>'Ingest Template'!B14</f>
        <v/>
      </c>
      <c r="N14" s="35"/>
      <c r="O14" s="35"/>
      <c r="P14" s="35"/>
      <c r="Q14" s="35"/>
      <c r="R14" s="35" t="str">
        <f>'Ingest Template'!D14</f>
        <v/>
      </c>
      <c r="S14" s="22" t="s">
        <v>101</v>
      </c>
      <c r="T14" s="35" t="str">
        <f>'Ingest Template'!V14</f>
        <v/>
      </c>
      <c r="U14" s="35" t="str">
        <f>'Ingest Template'!W14</f>
        <v/>
      </c>
      <c r="V14" s="35" t="str">
        <f>LOWER(SUBSTITUTE(SUBSTITUTE(SUBSTITUTE(SUBSTITUTE(SUBSTITUTE('Ingest Template'!X14,"https:",""),"www.",""),"/",""),"?hl=en",""),"instagram.com",""))</f>
        <v/>
      </c>
      <c r="W14" s="74" t="str">
        <f t="array" ref="W14">IF(
'Ingest Template'!Y14="",
SUBSTITUTE(
INDEX(DropdownLists!$F$2:$F$277,MATCH('Ingest Template'!D14,DropdownLists!$C$2:$C$277,0)),
CHAR(10),
"|"&amp;'Ingest Template'!C14&amp;CHAR(10)
)&amp;"|"&amp;'Ingest Template'!C14,
SUBSTITUTE(
INDEX(DropdownLists!$F$2:$F$277,MATCH('Ingest Template'!D14,DropdownLists!$C$2:$C$277,0)),
CHAR(10),
"|"&amp;'Ingest Template'!C14&amp;CHAR(10)
)&amp;"|"&amp;'Ingest Template'!C14&amp;CHAR(10)&amp;'Ingest Template'!Y14
)</f>
        <v>#N/A</v>
      </c>
      <c r="X14" s="74" t="str">
        <f>'Ingest Template'!Z14</f>
        <v/>
      </c>
      <c r="Y14" s="35" t="str">
        <f>SUBSTITUTE(SUBSTITUTE(SUBSTITUTE('Ingest Template'!AA14,"http:",""),"https:",""),"/","")</f>
        <v/>
      </c>
      <c r="Z14" s="35" t="str">
        <f t="array" ref="Z14">IF('Ingest Template'!A14="Standard",(IF(ISBLANK('Ingest Template'!AB14),"", 'Ingest Template'!AB14&amp;"|DAR")),(IF(ISBLANK('Ingest Template'!AB14),"", 'Ingest Template'!AB14&amp;"|TV Ops")))</f>
        <v/>
      </c>
      <c r="AA14" s="35"/>
      <c r="AB14" s="35" t="str">
        <f>'Ingest Template'!R14</f>
        <v/>
      </c>
      <c r="AC14" s="35" t="str">
        <f>'Ingest Template'!T14</f>
        <v/>
      </c>
      <c r="AD14" s="35" t="str">
        <f>'Ingest Template'!S14</f>
        <v/>
      </c>
      <c r="AE14" s="35" t="str">
        <f>'Ingest Template'!U14</f>
        <v/>
      </c>
      <c r="AF14" s="22"/>
      <c r="AG14" s="35" t="str">
        <f t="array" ref="AG14">IF('Ingest Template'!A14="Standard",(CONCATENATE(IF(ISBLANK('Ingest Template'!N14),"", 'Ingest Template'!N14&amp;"|DAR"),CHAR(10), IF(ISBLANK('Ingest Template'!O14),"", 'Ingest Template'!O14&amp;"|DAR"),CHAR(10), IF(ISBLANK('Ingest Template'!P14),"", 'Ingest Template'!P14&amp;"|DAR"))),(CONCATENATE(IF(ISBLANK('Ingest Template'!N14),"", 'Ingest Template'!N14&amp;"|TV Ops"),CHAR(10), IF(ISBLANK('Ingest Template'!O14),"", 'Ingest Template'!O14&amp;"|TV Ops"),CHAR(10), IF(ISBLANK('Ingest Template'!P14),"", 'Ingest Template'!P14&amp;"|TV Ops"))))</f>
        <v>
</v>
      </c>
      <c r="AH14" s="35"/>
      <c r="AI14" s="35"/>
      <c r="AJ14" s="117" t="str">
        <f>if('Ingest Template'!A14="Standard",(IF(OR('Ingest Template'!F14 = "Program Type - Special", 'Ingest Template'!F14 = "Program Type - Live Event"),'Ingest Template'!M14&amp; "|DAR|DAR|"&amp;TEXT('Ingest Template'!C14-3, "yyyy-mm-dd")&amp;"|"&amp;TEXT('Ingest Template'!C14+3, "yyyy-mm-dd"),'Ingest Template'!M14&amp; "|DAR|DAR|2021-01-01")),(IF(OR('Ingest Template'!F14 = "Program Type - Special", 'Ingest Template'!F14 = "Program Type - Live Event"),'Ingest Template'!M14&amp; "|Operations - Core Title|Operations - Core Title|"&amp;TEXT('Ingest Template'!C14-3, "yyyy-mm-dd")&amp;"|"&amp;TEXT('Ingest Template'!C14+3, "yyyy-mm-dd"),'Ingest Template'!M14&amp; "|Operations - Core Title|Operations - Core Title")))</f>
        <v>|Operations - Core Title|Operations - Core Title</v>
      </c>
      <c r="AK14" s="35"/>
      <c r="AL14" s="117" t="str">
        <f>if('Ingest Template'!A14="Standard",(IF(OR('Ingest Template'!F14 = "Program Type - Special", 'Ingest Template'!F14 = "Program Type - Live Event"),'Ingest Template'!Q14&amp;"|"&amp;TEXT('Ingest Template'!C14-3, "yyyy-mm-dd")&amp;"|"&amp;TEXT('Ingest Template'!C14+3, "yyyy-mm-dd"),'Ingest Template'!Q14&amp; "|2021-01-01")),(IF(OR('Ingest Template'!F14 = "Program Type - Special", 'Ingest Template'!F14 = "Program Type - Live Event"),'Ingest Template'!Q14&amp; "|"&amp;TEXT('Ingest Template'!C14-3, "yyyy-mm-dd")&amp;"|"&amp;TEXT('Ingest Template'!C14+3, "yyyy-mm-dd"),'Ingest Template'!Q14)))</f>
        <v/>
      </c>
      <c r="AM14" s="35" t="str">
        <f>'Ingest Template'!AC14</f>
        <v/>
      </c>
    </row>
    <row r="15">
      <c r="A15" s="15"/>
      <c r="B15" s="22" t="str">
        <f>'Ingest Template'!C15&amp;IF('Ingest Template'!A15 = "Standard", " - DAR","")</f>
        <v/>
      </c>
      <c r="C15" s="22" t="s">
        <v>83</v>
      </c>
      <c r="D15" s="22" t="str">
        <f t="array" ref="D15">CONCATENATE(INDEX(DropdownLists!$H$2:$H$11,MATCH(1,COUNTIF('Ingest Template'!E15,"*"&amp;DropdownLists!$I$2:$I$11&amp;"*"),0)),CHAR(10),'Ingest Template'!F15,CHAR(10),'Ingest Template'!G15,CHAR(10),VLOOKUP('Ingest Template'!D15,DropdownLists!C:D,2,FALSE))</f>
        <v>#N/A</v>
      </c>
      <c r="E15" s="22" t="str">
        <f>CONCATENATE('Ingest Template'!H15,CHAR(10),'Ingest Template'!I15,CHAR(10),'Ingest Template'!J15,CHAR(10))</f>
        <v>
</v>
      </c>
      <c r="F15" s="35" t="str">
        <f t="array" ref="F15">INDEX(DropdownLists!$O$2:$O$36,MATCH(1,COUNTIF(E15,"*"&amp;DropdownLists!$N$2:$N$36&amp;"*"),0))</f>
        <v/>
      </c>
      <c r="G15" s="35"/>
      <c r="H15" s="22" t="str">
        <f t="array" ref="H15">INDEX(DropdownLists!$E$2:$E$276,MATCH('Ingest Template'!D15,DropdownLists!$C$2:$C$276,0))</f>
        <v>#N/A</v>
      </c>
      <c r="I15" s="22"/>
      <c r="J15" s="22" t="str">
        <f t="array" ref="J15">iF('Ingest Template'!A15="Standard","Pristine Brand",INDEX(DropdownLists!$B$2:$B$246,MATCH('Ingest Template'!D15,DropdownLists!$C$2:$C$246,0)))</f>
        <v>#N/A</v>
      </c>
      <c r="K15" s="22" t="str">
        <f>iF('Ingest Template'!A15="Standard",'Ingest Template'!K15&amp;CHAR(10)&amp;'Ingest Template'!L15,"Competitive View")</f>
        <v>Competitive View</v>
      </c>
      <c r="L15" s="22" t="s">
        <v>95</v>
      </c>
      <c r="M15" s="45" t="str">
        <f>'Ingest Template'!B15</f>
        <v/>
      </c>
      <c r="N15" s="35"/>
      <c r="O15" s="35"/>
      <c r="P15" s="35"/>
      <c r="Q15" s="35"/>
      <c r="R15" s="35" t="str">
        <f>'Ingest Template'!D15</f>
        <v/>
      </c>
      <c r="S15" s="22" t="s">
        <v>101</v>
      </c>
      <c r="T15" s="35" t="str">
        <f>'Ingest Template'!V15</f>
        <v/>
      </c>
      <c r="U15" s="35" t="str">
        <f>'Ingest Template'!W15</f>
        <v/>
      </c>
      <c r="V15" s="35" t="str">
        <f>LOWER(SUBSTITUTE(SUBSTITUTE(SUBSTITUTE(SUBSTITUTE(SUBSTITUTE('Ingest Template'!X15,"https:",""),"www.",""),"/",""),"?hl=en",""),"instagram.com",""))</f>
        <v/>
      </c>
      <c r="W15" s="74" t="str">
        <f t="array" ref="W15">IF(
'Ingest Template'!Y15="",
SUBSTITUTE(
INDEX(DropdownLists!$F$2:$F$277,MATCH('Ingest Template'!D15,DropdownLists!$C$2:$C$277,0)),
CHAR(10),
"|"&amp;'Ingest Template'!C15&amp;CHAR(10)
)&amp;"|"&amp;'Ingest Template'!C15,
SUBSTITUTE(
INDEX(DropdownLists!$F$2:$F$277,MATCH('Ingest Template'!D15,DropdownLists!$C$2:$C$277,0)),
CHAR(10),
"|"&amp;'Ingest Template'!C15&amp;CHAR(10)
)&amp;"|"&amp;'Ingest Template'!C15&amp;CHAR(10)&amp;'Ingest Template'!Y15
)</f>
        <v>#N/A</v>
      </c>
      <c r="X15" s="74" t="str">
        <f>'Ingest Template'!Z15</f>
        <v/>
      </c>
      <c r="Y15" s="35" t="str">
        <f>SUBSTITUTE(SUBSTITUTE(SUBSTITUTE('Ingest Template'!AA15,"http:",""),"https:",""),"/","")</f>
        <v/>
      </c>
      <c r="Z15" s="35" t="str">
        <f t="array" ref="Z15">IF('Ingest Template'!A15="Standard",(IF(ISBLANK('Ingest Template'!AB15),"", 'Ingest Template'!AB15&amp;"|DAR")),(IF(ISBLANK('Ingest Template'!AB15),"", 'Ingest Template'!AB15&amp;"|TV Ops")))</f>
        <v/>
      </c>
      <c r="AA15" s="35"/>
      <c r="AB15" s="35" t="str">
        <f>'Ingest Template'!R15</f>
        <v/>
      </c>
      <c r="AC15" s="35" t="str">
        <f>'Ingest Template'!T15</f>
        <v/>
      </c>
      <c r="AD15" s="35" t="str">
        <f>'Ingest Template'!S15</f>
        <v/>
      </c>
      <c r="AE15" s="35" t="str">
        <f>'Ingest Template'!U15</f>
        <v/>
      </c>
      <c r="AF15" s="22"/>
      <c r="AG15" s="35" t="str">
        <f t="array" ref="AG15">IF('Ingest Template'!A15="Standard",(CONCATENATE(IF(ISBLANK('Ingest Template'!N15),"", 'Ingest Template'!N15&amp;"|DAR"),CHAR(10), IF(ISBLANK('Ingest Template'!O15),"", 'Ingest Template'!O15&amp;"|DAR"),CHAR(10), IF(ISBLANK('Ingest Template'!P15),"", 'Ingest Template'!P15&amp;"|DAR"))),(CONCATENATE(IF(ISBLANK('Ingest Template'!N15),"", 'Ingest Template'!N15&amp;"|TV Ops"),CHAR(10), IF(ISBLANK('Ingest Template'!O15),"", 'Ingest Template'!O15&amp;"|TV Ops"),CHAR(10), IF(ISBLANK('Ingest Template'!P15),"", 'Ingest Template'!P15&amp;"|TV Ops"))))</f>
        <v>
</v>
      </c>
      <c r="AH15" s="35"/>
      <c r="AI15" s="35"/>
      <c r="AJ15" s="117" t="str">
        <f>if('Ingest Template'!A15="Standard",(IF(OR('Ingest Template'!F15 = "Program Type - Special", 'Ingest Template'!F15 = "Program Type - Live Event"),'Ingest Template'!M15&amp; "|DAR|DAR|"&amp;TEXT('Ingest Template'!C15-3, "yyyy-mm-dd")&amp;"|"&amp;TEXT('Ingest Template'!C15+3, "yyyy-mm-dd"),'Ingest Template'!M15&amp; "|DAR|DAR|2021-01-01")),(IF(OR('Ingest Template'!F15 = "Program Type - Special", 'Ingest Template'!F15 = "Program Type - Live Event"),'Ingest Template'!M15&amp; "|Operations - Core Title|Operations - Core Title|"&amp;TEXT('Ingest Template'!C15-3, "yyyy-mm-dd")&amp;"|"&amp;TEXT('Ingest Template'!C15+3, "yyyy-mm-dd"),'Ingest Template'!M15&amp; "|Operations - Core Title|Operations - Core Title")))</f>
        <v>|Operations - Core Title|Operations - Core Title</v>
      </c>
      <c r="AK15" s="35"/>
      <c r="AL15" s="117" t="str">
        <f>if('Ingest Template'!A15="Standard",(IF(OR('Ingest Template'!F15 = "Program Type - Special", 'Ingest Template'!F15 = "Program Type - Live Event"),'Ingest Template'!Q15&amp;"|"&amp;TEXT('Ingest Template'!C15-3, "yyyy-mm-dd")&amp;"|"&amp;TEXT('Ingest Template'!C15+3, "yyyy-mm-dd"),'Ingest Template'!Q15&amp; "|2021-01-01")),(IF(OR('Ingest Template'!F15 = "Program Type - Special", 'Ingest Template'!F15 = "Program Type - Live Event"),'Ingest Template'!Q15&amp; "|"&amp;TEXT('Ingest Template'!C15-3, "yyyy-mm-dd")&amp;"|"&amp;TEXT('Ingest Template'!C15+3, "yyyy-mm-dd"),'Ingest Template'!Q15)))</f>
        <v/>
      </c>
      <c r="AM15" s="35" t="str">
        <f>'Ingest Template'!AC15</f>
        <v/>
      </c>
    </row>
    <row r="16">
      <c r="A16" s="15"/>
      <c r="B16" s="22" t="str">
        <f>'Ingest Template'!C16&amp;IF('Ingest Template'!A16 = "Standard", " - DAR","")</f>
        <v/>
      </c>
      <c r="C16" s="22" t="s">
        <v>83</v>
      </c>
      <c r="D16" s="22" t="str">
        <f t="array" ref="D16">CONCATENATE(INDEX(DropdownLists!$H$2:$H$11,MATCH(1,COUNTIF('Ingest Template'!E16,"*"&amp;DropdownLists!$I$2:$I$11&amp;"*"),0)),CHAR(10),'Ingest Template'!F16,CHAR(10),'Ingest Template'!G16,CHAR(10),VLOOKUP('Ingest Template'!D16,DropdownLists!C:D,2,FALSE))</f>
        <v>#N/A</v>
      </c>
      <c r="E16" s="22" t="str">
        <f>CONCATENATE('Ingest Template'!H16,CHAR(10),'Ingest Template'!I16,CHAR(10),'Ingest Template'!J16,CHAR(10))</f>
        <v>
</v>
      </c>
      <c r="F16" s="35" t="str">
        <f t="array" ref="F16">INDEX(DropdownLists!$O$2:$O$36,MATCH(1,COUNTIF(E16,"*"&amp;DropdownLists!$N$2:$N$36&amp;"*"),0))</f>
        <v/>
      </c>
      <c r="G16" s="35"/>
      <c r="H16" s="22" t="str">
        <f t="array" ref="H16">INDEX(DropdownLists!$E$2:$E$276,MATCH('Ingest Template'!D16,DropdownLists!$C$2:$C$276,0))</f>
        <v>#N/A</v>
      </c>
      <c r="I16" s="22"/>
      <c r="J16" s="22" t="str">
        <f t="array" ref="J16">iF('Ingest Template'!A16="Standard","Pristine Brand",INDEX(DropdownLists!$B$2:$B$246,MATCH('Ingest Template'!D16,DropdownLists!$C$2:$C$246,0)))</f>
        <v>#N/A</v>
      </c>
      <c r="K16" s="22" t="str">
        <f>iF('Ingest Template'!A16="Standard",'Ingest Template'!K16&amp;CHAR(10)&amp;'Ingest Template'!L16,"Competitive View")</f>
        <v>Competitive View</v>
      </c>
      <c r="L16" s="22" t="s">
        <v>95</v>
      </c>
      <c r="M16" s="45" t="str">
        <f>'Ingest Template'!B16</f>
        <v/>
      </c>
      <c r="N16" s="35"/>
      <c r="O16" s="35"/>
      <c r="P16" s="35"/>
      <c r="Q16" s="35"/>
      <c r="R16" s="35" t="str">
        <f>'Ingest Template'!D16</f>
        <v/>
      </c>
      <c r="S16" s="22" t="s">
        <v>101</v>
      </c>
      <c r="T16" s="35" t="str">
        <f>'Ingest Template'!V16</f>
        <v/>
      </c>
      <c r="U16" s="35" t="str">
        <f>'Ingest Template'!W16</f>
        <v/>
      </c>
      <c r="V16" s="35" t="str">
        <f>LOWER(SUBSTITUTE(SUBSTITUTE(SUBSTITUTE(SUBSTITUTE(SUBSTITUTE('Ingest Template'!X16,"https:",""),"www.",""),"/",""),"?hl=en",""),"instagram.com",""))</f>
        <v/>
      </c>
      <c r="W16" s="74" t="str">
        <f t="array" ref="W16">IF(
'Ingest Template'!Y16="",
SUBSTITUTE(
INDEX(DropdownLists!$F$2:$F$277,MATCH('Ingest Template'!D16,DropdownLists!$C$2:$C$277,0)),
CHAR(10),
"|"&amp;'Ingest Template'!C16&amp;CHAR(10)
)&amp;"|"&amp;'Ingest Template'!C16,
SUBSTITUTE(
INDEX(DropdownLists!$F$2:$F$277,MATCH('Ingest Template'!D16,DropdownLists!$C$2:$C$277,0)),
CHAR(10),
"|"&amp;'Ingest Template'!C16&amp;CHAR(10)
)&amp;"|"&amp;'Ingest Template'!C16&amp;CHAR(10)&amp;'Ingest Template'!Y16
)</f>
        <v>#N/A</v>
      </c>
      <c r="X16" s="74" t="str">
        <f>'Ingest Template'!Z16</f>
        <v/>
      </c>
      <c r="Y16" s="35" t="str">
        <f>SUBSTITUTE(SUBSTITUTE(SUBSTITUTE('Ingest Template'!AA16,"http:",""),"https:",""),"/","")</f>
        <v/>
      </c>
      <c r="Z16" s="35" t="str">
        <f t="array" ref="Z16">IF('Ingest Template'!A16="Standard",(IF(ISBLANK('Ingest Template'!AB16),"", 'Ingest Template'!AB16&amp;"|DAR")),(IF(ISBLANK('Ingest Template'!AB16),"", 'Ingest Template'!AB16&amp;"|TV Ops")))</f>
        <v/>
      </c>
      <c r="AA16" s="35"/>
      <c r="AB16" s="35" t="str">
        <f>'Ingest Template'!R16</f>
        <v/>
      </c>
      <c r="AC16" s="35" t="str">
        <f>'Ingest Template'!T16</f>
        <v/>
      </c>
      <c r="AD16" s="35" t="str">
        <f>'Ingest Template'!S16</f>
        <v/>
      </c>
      <c r="AE16" s="35" t="str">
        <f>'Ingest Template'!U16</f>
        <v/>
      </c>
      <c r="AF16" s="22"/>
      <c r="AG16" s="35" t="str">
        <f t="array" ref="AG16">IF('Ingest Template'!A16="Standard",(CONCATENATE(IF(ISBLANK('Ingest Template'!N16),"", 'Ingest Template'!N16&amp;"|DAR"),CHAR(10), IF(ISBLANK('Ingest Template'!O16),"", 'Ingest Template'!O16&amp;"|DAR"),CHAR(10), IF(ISBLANK('Ingest Template'!P16),"", 'Ingest Template'!P16&amp;"|DAR"))),(CONCATENATE(IF(ISBLANK('Ingest Template'!N16),"", 'Ingest Template'!N16&amp;"|TV Ops"),CHAR(10), IF(ISBLANK('Ingest Template'!O16),"", 'Ingest Template'!O16&amp;"|TV Ops"),CHAR(10), IF(ISBLANK('Ingest Template'!P16),"", 'Ingest Template'!P16&amp;"|TV Ops"))))</f>
        <v>
</v>
      </c>
      <c r="AH16" s="35"/>
      <c r="AI16" s="35"/>
      <c r="AJ16" s="117" t="str">
        <f>if('Ingest Template'!A16="Standard",(IF(OR('Ingest Template'!F16 = "Program Type - Special", 'Ingest Template'!F16 = "Program Type - Live Event"),'Ingest Template'!M16&amp; "|DAR|DAR|"&amp;TEXT('Ingest Template'!C16-3, "yyyy-mm-dd")&amp;"|"&amp;TEXT('Ingest Template'!C16+3, "yyyy-mm-dd"),'Ingest Template'!M16&amp; "|DAR|DAR|2021-01-01")),(IF(OR('Ingest Template'!F16 = "Program Type - Special", 'Ingest Template'!F16 = "Program Type - Live Event"),'Ingest Template'!M16&amp; "|Operations - Core Title|Operations - Core Title|"&amp;TEXT('Ingest Template'!C16-3, "yyyy-mm-dd")&amp;"|"&amp;TEXT('Ingest Template'!C16+3, "yyyy-mm-dd"),'Ingest Template'!M16&amp; "|Operations - Core Title|Operations - Core Title")))</f>
        <v>|Operations - Core Title|Operations - Core Title</v>
      </c>
      <c r="AK16" s="35"/>
      <c r="AL16" s="117" t="str">
        <f>if('Ingest Template'!A16="Standard",(IF(OR('Ingest Template'!F16 = "Program Type - Special", 'Ingest Template'!F16 = "Program Type - Live Event"),'Ingest Template'!Q16&amp;"|"&amp;TEXT('Ingest Template'!C16-3, "yyyy-mm-dd")&amp;"|"&amp;TEXT('Ingest Template'!C16+3, "yyyy-mm-dd"),'Ingest Template'!Q16&amp; "|2021-01-01")),(IF(OR('Ingest Template'!F16 = "Program Type - Special", 'Ingest Template'!F16 = "Program Type - Live Event"),'Ingest Template'!Q16&amp; "|"&amp;TEXT('Ingest Template'!C16-3, "yyyy-mm-dd")&amp;"|"&amp;TEXT('Ingest Template'!C16+3, "yyyy-mm-dd"),'Ingest Template'!Q16)))</f>
        <v/>
      </c>
      <c r="AM16" s="35" t="str">
        <f>'Ingest Template'!AC16</f>
        <v/>
      </c>
    </row>
    <row r="17">
      <c r="A17" s="15"/>
      <c r="B17" s="22" t="str">
        <f>'Ingest Template'!C17&amp;IF('Ingest Template'!A17 = "Standard", " - DAR","")</f>
        <v/>
      </c>
      <c r="C17" s="22" t="s">
        <v>83</v>
      </c>
      <c r="D17" s="22" t="str">
        <f t="array" ref="D17">CONCATENATE(INDEX(DropdownLists!$H$2:$H$11,MATCH(1,COUNTIF('Ingest Template'!E17,"*"&amp;DropdownLists!$I$2:$I$11&amp;"*"),0)),CHAR(10),'Ingest Template'!F17,CHAR(10),'Ingest Template'!G17,CHAR(10),VLOOKUP('Ingest Template'!D17,DropdownLists!C:D,2,FALSE))</f>
        <v>#N/A</v>
      </c>
      <c r="E17" s="22" t="str">
        <f>CONCATENATE('Ingest Template'!H17,CHAR(10),'Ingest Template'!I17,CHAR(10),'Ingest Template'!J17,CHAR(10))</f>
        <v>
</v>
      </c>
      <c r="F17" s="35" t="str">
        <f t="array" ref="F17">INDEX(DropdownLists!$O$2:$O$36,MATCH(1,COUNTIF(E17,"*"&amp;DropdownLists!$N$2:$N$36&amp;"*"),0))</f>
        <v/>
      </c>
      <c r="G17" s="35"/>
      <c r="H17" s="22" t="str">
        <f t="array" ref="H17">INDEX(DropdownLists!$E$2:$E$276,MATCH('Ingest Template'!D17,DropdownLists!$C$2:$C$276,0))</f>
        <v>#N/A</v>
      </c>
      <c r="I17" s="22"/>
      <c r="J17" s="22" t="str">
        <f t="array" ref="J17">iF('Ingest Template'!A17="Standard","Pristine Brand",INDEX(DropdownLists!$B$2:$B$246,MATCH('Ingest Template'!D17,DropdownLists!$C$2:$C$246,0)))</f>
        <v>#N/A</v>
      </c>
      <c r="K17" s="22" t="str">
        <f>iF('Ingest Template'!A17="Standard",'Ingest Template'!K17&amp;CHAR(10)&amp;'Ingest Template'!L17,"Competitive View")</f>
        <v>Competitive View</v>
      </c>
      <c r="L17" s="22" t="s">
        <v>95</v>
      </c>
      <c r="M17" s="45" t="str">
        <f>'Ingest Template'!B17</f>
        <v/>
      </c>
      <c r="N17" s="35"/>
      <c r="O17" s="35"/>
      <c r="P17" s="35"/>
      <c r="Q17" s="35"/>
      <c r="R17" s="35" t="str">
        <f>'Ingest Template'!D17</f>
        <v/>
      </c>
      <c r="S17" s="22" t="s">
        <v>101</v>
      </c>
      <c r="T17" s="35" t="str">
        <f>'Ingest Template'!V17</f>
        <v/>
      </c>
      <c r="U17" s="35" t="str">
        <f>'Ingest Template'!W17</f>
        <v/>
      </c>
      <c r="V17" s="35" t="str">
        <f>LOWER(SUBSTITUTE(SUBSTITUTE(SUBSTITUTE(SUBSTITUTE(SUBSTITUTE('Ingest Template'!X17,"https:",""),"www.",""),"/",""),"?hl=en",""),"instagram.com",""))</f>
        <v/>
      </c>
      <c r="W17" s="74" t="str">
        <f t="array" ref="W17">IF(
'Ingest Template'!Y17="",
SUBSTITUTE(
INDEX(DropdownLists!$F$2:$F$277,MATCH('Ingest Template'!D17,DropdownLists!$C$2:$C$277,0)),
CHAR(10),
"|"&amp;'Ingest Template'!C17&amp;CHAR(10)
)&amp;"|"&amp;'Ingest Template'!C17,
SUBSTITUTE(
INDEX(DropdownLists!$F$2:$F$277,MATCH('Ingest Template'!D17,DropdownLists!$C$2:$C$277,0)),
CHAR(10),
"|"&amp;'Ingest Template'!C17&amp;CHAR(10)
)&amp;"|"&amp;'Ingest Template'!C17&amp;CHAR(10)&amp;'Ingest Template'!Y17
)</f>
        <v>#N/A</v>
      </c>
      <c r="X17" s="74" t="str">
        <f>'Ingest Template'!Z17</f>
        <v/>
      </c>
      <c r="Y17" s="35" t="str">
        <f>SUBSTITUTE(SUBSTITUTE(SUBSTITUTE('Ingest Template'!AA17,"http:",""),"https:",""),"/","")</f>
        <v/>
      </c>
      <c r="Z17" s="35" t="str">
        <f t="array" ref="Z17">IF('Ingest Template'!A17="Standard",(IF(ISBLANK('Ingest Template'!AB17),"", 'Ingest Template'!AB17&amp;"|DAR")),(IF(ISBLANK('Ingest Template'!AB17),"", 'Ingest Template'!AB17&amp;"|TV Ops")))</f>
        <v/>
      </c>
      <c r="AA17" s="35"/>
      <c r="AB17" s="35" t="str">
        <f>'Ingest Template'!R17</f>
        <v/>
      </c>
      <c r="AC17" s="35" t="str">
        <f>'Ingest Template'!T17</f>
        <v/>
      </c>
      <c r="AD17" s="35" t="str">
        <f>'Ingest Template'!S17</f>
        <v/>
      </c>
      <c r="AE17" s="35" t="str">
        <f>'Ingest Template'!U17</f>
        <v/>
      </c>
      <c r="AF17" s="22"/>
      <c r="AG17" s="35" t="str">
        <f t="array" ref="AG17">IF('Ingest Template'!A17="Standard",(CONCATENATE(IF(ISBLANK('Ingest Template'!N17),"", 'Ingest Template'!N17&amp;"|DAR"),CHAR(10), IF(ISBLANK('Ingest Template'!O17),"", 'Ingest Template'!O17&amp;"|DAR"),CHAR(10), IF(ISBLANK('Ingest Template'!P17),"", 'Ingest Template'!P17&amp;"|DAR"))),(CONCATENATE(IF(ISBLANK('Ingest Template'!N17),"", 'Ingest Template'!N17&amp;"|TV Ops"),CHAR(10), IF(ISBLANK('Ingest Template'!O17),"", 'Ingest Template'!O17&amp;"|TV Ops"),CHAR(10), IF(ISBLANK('Ingest Template'!P17),"", 'Ingest Template'!P17&amp;"|TV Ops"))))</f>
        <v>
</v>
      </c>
      <c r="AH17" s="35"/>
      <c r="AI17" s="35"/>
      <c r="AJ17" s="117" t="str">
        <f>if('Ingest Template'!A17="Standard",(IF(OR('Ingest Template'!F17 = "Program Type - Special", 'Ingest Template'!F17 = "Program Type - Live Event"),'Ingest Template'!M17&amp; "|DAR|DAR|"&amp;TEXT('Ingest Template'!C17-3, "yyyy-mm-dd")&amp;"|"&amp;TEXT('Ingest Template'!C17+3, "yyyy-mm-dd"),'Ingest Template'!M17&amp; "|DAR|DAR|2021-01-01")),(IF(OR('Ingest Template'!F17 = "Program Type - Special", 'Ingest Template'!F17 = "Program Type - Live Event"),'Ingest Template'!M17&amp; "|Operations - Core Title|Operations - Core Title|"&amp;TEXT('Ingest Template'!C17-3, "yyyy-mm-dd")&amp;"|"&amp;TEXT('Ingest Template'!C17+3, "yyyy-mm-dd"),'Ingest Template'!M17&amp; "|Operations - Core Title|Operations - Core Title")))</f>
        <v>|Operations - Core Title|Operations - Core Title</v>
      </c>
      <c r="AK17" s="35"/>
      <c r="AL17" s="117" t="str">
        <f>if('Ingest Template'!A17="Standard",(IF(OR('Ingest Template'!F17 = "Program Type - Special", 'Ingest Template'!F17 = "Program Type - Live Event"),'Ingest Template'!Q17&amp;"|"&amp;TEXT('Ingest Template'!C17-3, "yyyy-mm-dd")&amp;"|"&amp;TEXT('Ingest Template'!C17+3, "yyyy-mm-dd"),'Ingest Template'!Q17&amp; "|2021-01-01")),(IF(OR('Ingest Template'!F17 = "Program Type - Special", 'Ingest Template'!F17 = "Program Type - Live Event"),'Ingest Template'!Q17&amp; "|"&amp;TEXT('Ingest Template'!C17-3, "yyyy-mm-dd")&amp;"|"&amp;TEXT('Ingest Template'!C17+3, "yyyy-mm-dd"),'Ingest Template'!Q17)))</f>
        <v/>
      </c>
      <c r="AM17" s="35" t="str">
        <f>'Ingest Template'!AC17</f>
        <v/>
      </c>
    </row>
    <row r="18">
      <c r="A18" s="15"/>
      <c r="B18" s="22" t="str">
        <f>'Ingest Template'!C18&amp;IF('Ingest Template'!A18 = "Standard", " - DAR","")</f>
        <v/>
      </c>
      <c r="C18" s="22" t="s">
        <v>83</v>
      </c>
      <c r="D18" s="22" t="str">
        <f t="array" ref="D18">CONCATENATE(INDEX(DropdownLists!$H$2:$H$11,MATCH(1,COUNTIF('Ingest Template'!E18,"*"&amp;DropdownLists!$I$2:$I$11&amp;"*"),0)),CHAR(10),'Ingest Template'!F18,CHAR(10),'Ingest Template'!G18,CHAR(10),VLOOKUP('Ingest Template'!D18,DropdownLists!C:D,2,FALSE))</f>
        <v>#N/A</v>
      </c>
      <c r="E18" s="22" t="str">
        <f>CONCATENATE('Ingest Template'!H18,CHAR(10),'Ingest Template'!I18,CHAR(10),'Ingest Template'!J18,CHAR(10))</f>
        <v>
</v>
      </c>
      <c r="F18" s="35" t="str">
        <f t="array" ref="F18">INDEX(DropdownLists!$O$2:$O$36,MATCH(1,COUNTIF(E18,"*"&amp;DropdownLists!$N$2:$N$36&amp;"*"),0))</f>
        <v/>
      </c>
      <c r="G18" s="35"/>
      <c r="H18" s="22" t="str">
        <f t="array" ref="H18">INDEX(DropdownLists!$E$2:$E$276,MATCH('Ingest Template'!D18,DropdownLists!$C$2:$C$276,0))</f>
        <v>#N/A</v>
      </c>
      <c r="I18" s="22"/>
      <c r="J18" s="22" t="str">
        <f t="array" ref="J18">iF('Ingest Template'!A18="Standard","Pristine Brand",INDEX(DropdownLists!$B$2:$B$246,MATCH('Ingest Template'!D18,DropdownLists!$C$2:$C$246,0)))</f>
        <v>#N/A</v>
      </c>
      <c r="K18" s="22" t="str">
        <f>iF('Ingest Template'!A18="Standard",'Ingest Template'!K18&amp;CHAR(10)&amp;'Ingest Template'!L18,"Competitive View")</f>
        <v>Competitive View</v>
      </c>
      <c r="L18" s="22" t="s">
        <v>95</v>
      </c>
      <c r="M18" s="45" t="str">
        <f>'Ingest Template'!B18</f>
        <v/>
      </c>
      <c r="N18" s="35"/>
      <c r="O18" s="35"/>
      <c r="P18" s="35"/>
      <c r="Q18" s="35"/>
      <c r="R18" s="35" t="str">
        <f>'Ingest Template'!D18</f>
        <v/>
      </c>
      <c r="S18" s="22" t="s">
        <v>101</v>
      </c>
      <c r="T18" s="35" t="str">
        <f>'Ingest Template'!V18</f>
        <v/>
      </c>
      <c r="U18" s="35" t="str">
        <f>'Ingest Template'!W18</f>
        <v/>
      </c>
      <c r="V18" s="35" t="str">
        <f>LOWER(SUBSTITUTE(SUBSTITUTE(SUBSTITUTE(SUBSTITUTE(SUBSTITUTE('Ingest Template'!X18,"https:",""),"www.",""),"/",""),"?hl=en",""),"instagram.com",""))</f>
        <v/>
      </c>
      <c r="W18" s="74" t="str">
        <f t="array" ref="W18">IF(
'Ingest Template'!Y18="",
SUBSTITUTE(
INDEX(DropdownLists!$F$2:$F$277,MATCH('Ingest Template'!D18,DropdownLists!$C$2:$C$277,0)),
CHAR(10),
"|"&amp;'Ingest Template'!C18&amp;CHAR(10)
)&amp;"|"&amp;'Ingest Template'!C18,
SUBSTITUTE(
INDEX(DropdownLists!$F$2:$F$277,MATCH('Ingest Template'!D18,DropdownLists!$C$2:$C$277,0)),
CHAR(10),
"|"&amp;'Ingest Template'!C18&amp;CHAR(10)
)&amp;"|"&amp;'Ingest Template'!C18&amp;CHAR(10)&amp;'Ingest Template'!Y18
)</f>
        <v>#N/A</v>
      </c>
      <c r="X18" s="74" t="str">
        <f>'Ingest Template'!Z18</f>
        <v/>
      </c>
      <c r="Y18" s="35" t="str">
        <f>SUBSTITUTE(SUBSTITUTE(SUBSTITUTE('Ingest Template'!AA18,"http:",""),"https:",""),"/","")</f>
        <v/>
      </c>
      <c r="Z18" s="35" t="str">
        <f t="array" ref="Z18">IF('Ingest Template'!A18="Standard",(IF(ISBLANK('Ingest Template'!AB18),"", 'Ingest Template'!AB18&amp;"|DAR")),(IF(ISBLANK('Ingest Template'!AB18),"", 'Ingest Template'!AB18&amp;"|TV Ops")))</f>
        <v/>
      </c>
      <c r="AA18" s="35"/>
      <c r="AB18" s="35" t="str">
        <f>'Ingest Template'!R18</f>
        <v/>
      </c>
      <c r="AC18" s="35" t="str">
        <f>'Ingest Template'!T18</f>
        <v/>
      </c>
      <c r="AD18" s="35" t="str">
        <f>'Ingest Template'!S18</f>
        <v/>
      </c>
      <c r="AE18" s="35" t="str">
        <f>'Ingest Template'!U18</f>
        <v/>
      </c>
      <c r="AF18" s="22"/>
      <c r="AG18" s="35" t="str">
        <f t="array" ref="AG18">IF('Ingest Template'!A18="Standard",(CONCATENATE(IF(ISBLANK('Ingest Template'!N18),"", 'Ingest Template'!N18&amp;"|DAR"),CHAR(10), IF(ISBLANK('Ingest Template'!O18),"", 'Ingest Template'!O18&amp;"|DAR"),CHAR(10), IF(ISBLANK('Ingest Template'!P18),"", 'Ingest Template'!P18&amp;"|DAR"))),(CONCATENATE(IF(ISBLANK('Ingest Template'!N18),"", 'Ingest Template'!N18&amp;"|TV Ops"),CHAR(10), IF(ISBLANK('Ingest Template'!O18),"", 'Ingest Template'!O18&amp;"|TV Ops"),CHAR(10), IF(ISBLANK('Ingest Template'!P18),"", 'Ingest Template'!P18&amp;"|TV Ops"))))</f>
        <v>
</v>
      </c>
      <c r="AH18" s="35"/>
      <c r="AI18" s="35"/>
      <c r="AJ18" s="117" t="str">
        <f>if('Ingest Template'!A18="Standard",(IF(OR('Ingest Template'!F18 = "Program Type - Special", 'Ingest Template'!F18 = "Program Type - Live Event"),'Ingest Template'!M18&amp; "|DAR|DAR|"&amp;TEXT('Ingest Template'!C18-3, "yyyy-mm-dd")&amp;"|"&amp;TEXT('Ingest Template'!C18+3, "yyyy-mm-dd"),'Ingest Template'!M18&amp; "|DAR|DAR|2021-01-01")),(IF(OR('Ingest Template'!F18 = "Program Type - Special", 'Ingest Template'!F18 = "Program Type - Live Event"),'Ingest Template'!M18&amp; "|Operations - Core Title|Operations - Core Title|"&amp;TEXT('Ingest Template'!C18-3, "yyyy-mm-dd")&amp;"|"&amp;TEXT('Ingest Template'!C18+3, "yyyy-mm-dd"),'Ingest Template'!M18&amp; "|Operations - Core Title|Operations - Core Title")))</f>
        <v>|Operations - Core Title|Operations - Core Title</v>
      </c>
      <c r="AK18" s="35"/>
      <c r="AL18" s="117" t="str">
        <f>if('Ingest Template'!A18="Standard",(IF(OR('Ingest Template'!F18 = "Program Type - Special", 'Ingest Template'!F18 = "Program Type - Live Event"),'Ingest Template'!Q18&amp;"|"&amp;TEXT('Ingest Template'!C18-3, "yyyy-mm-dd")&amp;"|"&amp;TEXT('Ingest Template'!C18+3, "yyyy-mm-dd"),'Ingest Template'!Q18&amp; "|2021-01-01")),(IF(OR('Ingest Template'!F18 = "Program Type - Special", 'Ingest Template'!F18 = "Program Type - Live Event"),'Ingest Template'!Q18&amp; "|"&amp;TEXT('Ingest Template'!C18-3, "yyyy-mm-dd")&amp;"|"&amp;TEXT('Ingest Template'!C18+3, "yyyy-mm-dd"),'Ingest Template'!Q18)))</f>
        <v/>
      </c>
      <c r="AM18" s="35" t="str">
        <f>'Ingest Template'!AC18</f>
        <v/>
      </c>
    </row>
    <row r="19">
      <c r="A19" s="15"/>
      <c r="B19" s="22" t="str">
        <f>'Ingest Template'!C19&amp;IF('Ingest Template'!A19 = "Standard", " - DAR","")</f>
        <v/>
      </c>
      <c r="C19" s="22" t="s">
        <v>83</v>
      </c>
      <c r="D19" s="22" t="str">
        <f t="array" ref="D19">CONCATENATE(INDEX(DropdownLists!$H$2:$H$11,MATCH(1,COUNTIF('Ingest Template'!E19,"*"&amp;DropdownLists!$I$2:$I$11&amp;"*"),0)),CHAR(10),'Ingest Template'!F19,CHAR(10),'Ingest Template'!G19,CHAR(10),VLOOKUP('Ingest Template'!D19,DropdownLists!C:D,2,FALSE))</f>
        <v>#N/A</v>
      </c>
      <c r="E19" s="22" t="str">
        <f>CONCATENATE('Ingest Template'!H19,CHAR(10),'Ingest Template'!I19,CHAR(10),'Ingest Template'!J19,CHAR(10))</f>
        <v>
</v>
      </c>
      <c r="F19" s="35" t="str">
        <f t="array" ref="F19">INDEX(DropdownLists!$O$2:$O$36,MATCH(1,COUNTIF(E19,"*"&amp;DropdownLists!$N$2:$N$36&amp;"*"),0))</f>
        <v/>
      </c>
      <c r="G19" s="35"/>
      <c r="H19" s="22" t="str">
        <f t="array" ref="H19">INDEX(DropdownLists!$E$2:$E$276,MATCH('Ingest Template'!D19,DropdownLists!$C$2:$C$276,0))</f>
        <v>#N/A</v>
      </c>
      <c r="I19" s="22"/>
      <c r="J19" s="22" t="str">
        <f t="array" ref="J19">iF('Ingest Template'!A19="Standard","Pristine Brand",INDEX(DropdownLists!$B$2:$B$246,MATCH('Ingest Template'!D19,DropdownLists!$C$2:$C$246,0)))</f>
        <v>#N/A</v>
      </c>
      <c r="K19" s="22" t="str">
        <f>iF('Ingest Template'!A19="Standard",'Ingest Template'!K19&amp;CHAR(10)&amp;'Ingest Template'!L19,"Competitive View")</f>
        <v>Competitive View</v>
      </c>
      <c r="L19" s="22" t="s">
        <v>95</v>
      </c>
      <c r="M19" s="45" t="str">
        <f>'Ingest Template'!B19</f>
        <v/>
      </c>
      <c r="N19" s="35"/>
      <c r="O19" s="35"/>
      <c r="P19" s="35"/>
      <c r="Q19" s="35"/>
      <c r="R19" s="35" t="str">
        <f>'Ingest Template'!D19</f>
        <v/>
      </c>
      <c r="S19" s="22" t="s">
        <v>101</v>
      </c>
      <c r="T19" s="35" t="str">
        <f>'Ingest Template'!V19</f>
        <v/>
      </c>
      <c r="U19" s="35" t="str">
        <f>'Ingest Template'!W19</f>
        <v/>
      </c>
      <c r="V19" s="35" t="str">
        <f>LOWER(SUBSTITUTE(SUBSTITUTE(SUBSTITUTE(SUBSTITUTE(SUBSTITUTE('Ingest Template'!X19,"https:",""),"www.",""),"/",""),"?hl=en",""),"instagram.com",""))</f>
        <v/>
      </c>
      <c r="W19" s="74" t="str">
        <f t="array" ref="W19">IF(
'Ingest Template'!Y19="",
SUBSTITUTE(
INDEX(DropdownLists!$F$2:$F$277,MATCH('Ingest Template'!D19,DropdownLists!$C$2:$C$277,0)),
CHAR(10),
"|"&amp;'Ingest Template'!C19&amp;CHAR(10)
)&amp;"|"&amp;'Ingest Template'!C19,
SUBSTITUTE(
INDEX(DropdownLists!$F$2:$F$277,MATCH('Ingest Template'!D19,DropdownLists!$C$2:$C$277,0)),
CHAR(10),
"|"&amp;'Ingest Template'!C19&amp;CHAR(10)
)&amp;"|"&amp;'Ingest Template'!C19&amp;CHAR(10)&amp;'Ingest Template'!Y19
)</f>
        <v>#N/A</v>
      </c>
      <c r="X19" s="74" t="str">
        <f>'Ingest Template'!Z19</f>
        <v/>
      </c>
      <c r="Y19" s="35" t="str">
        <f>SUBSTITUTE(SUBSTITUTE(SUBSTITUTE('Ingest Template'!AA19,"http:",""),"https:",""),"/","")</f>
        <v/>
      </c>
      <c r="Z19" s="35" t="str">
        <f t="array" ref="Z19">IF('Ingest Template'!A19="Standard",(IF(ISBLANK('Ingest Template'!AB19),"", 'Ingest Template'!AB19&amp;"|DAR")),(IF(ISBLANK('Ingest Template'!AB19),"", 'Ingest Template'!AB19&amp;"|TV Ops")))</f>
        <v/>
      </c>
      <c r="AA19" s="35"/>
      <c r="AB19" s="35" t="str">
        <f>'Ingest Template'!R19</f>
        <v/>
      </c>
      <c r="AC19" s="35" t="str">
        <f>'Ingest Template'!T19</f>
        <v/>
      </c>
      <c r="AD19" s="35" t="str">
        <f>'Ingest Template'!S19</f>
        <v/>
      </c>
      <c r="AE19" s="35" t="str">
        <f>'Ingest Template'!U19</f>
        <v/>
      </c>
      <c r="AF19" s="22"/>
      <c r="AG19" s="35" t="str">
        <f t="array" ref="AG19">IF('Ingest Template'!A19="Standard",(CONCATENATE(IF(ISBLANK('Ingest Template'!N19),"", 'Ingest Template'!N19&amp;"|DAR"),CHAR(10), IF(ISBLANK('Ingest Template'!O19),"", 'Ingest Template'!O19&amp;"|DAR"),CHAR(10), IF(ISBLANK('Ingest Template'!P19),"", 'Ingest Template'!P19&amp;"|DAR"))),(CONCATENATE(IF(ISBLANK('Ingest Template'!N19),"", 'Ingest Template'!N19&amp;"|TV Ops"),CHAR(10), IF(ISBLANK('Ingest Template'!O19),"", 'Ingest Template'!O19&amp;"|TV Ops"),CHAR(10), IF(ISBLANK('Ingest Template'!P19),"", 'Ingest Template'!P19&amp;"|TV Ops"))))</f>
        <v>
</v>
      </c>
      <c r="AH19" s="35"/>
      <c r="AI19" s="35"/>
      <c r="AJ19" s="117" t="str">
        <f>if('Ingest Template'!A19="Standard",(IF(OR('Ingest Template'!F19 = "Program Type - Special", 'Ingest Template'!F19 = "Program Type - Live Event"),'Ingest Template'!M19&amp; "|DAR|DAR|"&amp;TEXT('Ingest Template'!C19-3, "yyyy-mm-dd")&amp;"|"&amp;TEXT('Ingest Template'!C19+3, "yyyy-mm-dd"),'Ingest Template'!M19&amp; "|DAR|DAR|2021-01-01")),(IF(OR('Ingest Template'!F19 = "Program Type - Special", 'Ingest Template'!F19 = "Program Type - Live Event"),'Ingest Template'!M19&amp; "|Operations - Core Title|Operations - Core Title|"&amp;TEXT('Ingest Template'!C19-3, "yyyy-mm-dd")&amp;"|"&amp;TEXT('Ingest Template'!C19+3, "yyyy-mm-dd"),'Ingest Template'!M19&amp; "|Operations - Core Title|Operations - Core Title")))</f>
        <v>|Operations - Core Title|Operations - Core Title</v>
      </c>
      <c r="AK19" s="35"/>
      <c r="AL19" s="117" t="str">
        <f>if('Ingest Template'!A19="Standard",(IF(OR('Ingest Template'!F19 = "Program Type - Special", 'Ingest Template'!F19 = "Program Type - Live Event"),'Ingest Template'!Q19&amp;"|"&amp;TEXT('Ingest Template'!C19-3, "yyyy-mm-dd")&amp;"|"&amp;TEXT('Ingest Template'!C19+3, "yyyy-mm-dd"),'Ingest Template'!Q19&amp; "|2021-01-01")),(IF(OR('Ingest Template'!F19 = "Program Type - Special", 'Ingest Template'!F19 = "Program Type - Live Event"),'Ingest Template'!Q19&amp; "|"&amp;TEXT('Ingest Template'!C19-3, "yyyy-mm-dd")&amp;"|"&amp;TEXT('Ingest Template'!C19+3, "yyyy-mm-dd"),'Ingest Template'!Q19)))</f>
        <v/>
      </c>
      <c r="AM19" s="35" t="str">
        <f>'Ingest Template'!AC19</f>
        <v/>
      </c>
    </row>
    <row r="20">
      <c r="A20" s="15"/>
      <c r="B20" s="22" t="str">
        <f>'Ingest Template'!C20&amp;IF('Ingest Template'!A20 = "Standard", " - DAR","")</f>
        <v/>
      </c>
      <c r="C20" s="22" t="s">
        <v>83</v>
      </c>
      <c r="D20" s="22" t="str">
        <f t="array" ref="D20">CONCATENATE(INDEX(DropdownLists!$H$2:$H$11,MATCH(1,COUNTIF('Ingest Template'!E20,"*"&amp;DropdownLists!$I$2:$I$11&amp;"*"),0)),CHAR(10),'Ingest Template'!F20,CHAR(10),'Ingest Template'!G20,CHAR(10),VLOOKUP('Ingest Template'!D20,DropdownLists!C:D,2,FALSE))</f>
        <v>#N/A</v>
      </c>
      <c r="E20" s="22" t="str">
        <f>CONCATENATE('Ingest Template'!H20,CHAR(10),'Ingest Template'!I20,CHAR(10),'Ingest Template'!J20,CHAR(10))</f>
        <v>
</v>
      </c>
      <c r="F20" s="35" t="str">
        <f t="array" ref="F20">INDEX(DropdownLists!$O$2:$O$36,MATCH(1,COUNTIF(E20,"*"&amp;DropdownLists!$N$2:$N$36&amp;"*"),0))</f>
        <v/>
      </c>
      <c r="G20" s="35"/>
      <c r="H20" s="22" t="str">
        <f t="array" ref="H20">INDEX(DropdownLists!$E$2:$E$276,MATCH('Ingest Template'!D20,DropdownLists!$C$2:$C$276,0))</f>
        <v>#N/A</v>
      </c>
      <c r="I20" s="22"/>
      <c r="J20" s="22" t="str">
        <f t="array" ref="J20">iF('Ingest Template'!A20="Standard","Pristine Brand",INDEX(DropdownLists!$B$2:$B$246,MATCH('Ingest Template'!D20,DropdownLists!$C$2:$C$246,0)))</f>
        <v>#N/A</v>
      </c>
      <c r="K20" s="22" t="str">
        <f>iF('Ingest Template'!A20="Standard",'Ingest Template'!K20&amp;CHAR(10)&amp;'Ingest Template'!L20,"Competitive View")</f>
        <v>Competitive View</v>
      </c>
      <c r="L20" s="22" t="s">
        <v>95</v>
      </c>
      <c r="M20" s="45" t="str">
        <f>'Ingest Template'!B20</f>
        <v/>
      </c>
      <c r="N20" s="35"/>
      <c r="O20" s="35"/>
      <c r="P20" s="35"/>
      <c r="Q20" s="35"/>
      <c r="R20" s="35" t="str">
        <f>'Ingest Template'!D20</f>
        <v/>
      </c>
      <c r="S20" s="22" t="s">
        <v>101</v>
      </c>
      <c r="T20" s="35" t="str">
        <f>'Ingest Template'!V20</f>
        <v/>
      </c>
      <c r="U20" s="35" t="str">
        <f>'Ingest Template'!W20</f>
        <v/>
      </c>
      <c r="V20" s="35" t="str">
        <f>LOWER(SUBSTITUTE(SUBSTITUTE(SUBSTITUTE(SUBSTITUTE(SUBSTITUTE('Ingest Template'!X20,"https:",""),"www.",""),"/",""),"?hl=en",""),"instagram.com",""))</f>
        <v/>
      </c>
      <c r="W20" s="74" t="str">
        <f t="array" ref="W20">IF(
'Ingest Template'!Y20="",
SUBSTITUTE(
INDEX(DropdownLists!$F$2:$F$277,MATCH('Ingest Template'!D20,DropdownLists!$C$2:$C$277,0)),
CHAR(10),
"|"&amp;'Ingest Template'!C20&amp;CHAR(10)
)&amp;"|"&amp;'Ingest Template'!C20,
SUBSTITUTE(
INDEX(DropdownLists!$F$2:$F$277,MATCH('Ingest Template'!D20,DropdownLists!$C$2:$C$277,0)),
CHAR(10),
"|"&amp;'Ingest Template'!C20&amp;CHAR(10)
)&amp;"|"&amp;'Ingest Template'!C20&amp;CHAR(10)&amp;'Ingest Template'!Y20
)</f>
        <v>#N/A</v>
      </c>
      <c r="X20" s="74" t="str">
        <f>'Ingest Template'!Z20</f>
        <v/>
      </c>
      <c r="Y20" s="35" t="str">
        <f>SUBSTITUTE(SUBSTITUTE(SUBSTITUTE('Ingest Template'!AA20,"http:",""),"https:",""),"/","")</f>
        <v/>
      </c>
      <c r="Z20" s="35" t="str">
        <f t="array" ref="Z20">IF('Ingest Template'!A20="Standard",(IF(ISBLANK('Ingest Template'!AB20),"", 'Ingest Template'!AB20&amp;"|DAR")),(IF(ISBLANK('Ingest Template'!AB20),"", 'Ingest Template'!AB20&amp;"|TV Ops")))</f>
        <v/>
      </c>
      <c r="AA20" s="35"/>
      <c r="AB20" s="35" t="str">
        <f>'Ingest Template'!R20</f>
        <v/>
      </c>
      <c r="AC20" s="35" t="str">
        <f>'Ingest Template'!T20</f>
        <v/>
      </c>
      <c r="AD20" s="35" t="str">
        <f>'Ingest Template'!S20</f>
        <v/>
      </c>
      <c r="AE20" s="35" t="str">
        <f>'Ingest Template'!U20</f>
        <v/>
      </c>
      <c r="AF20" s="22"/>
      <c r="AG20" s="35" t="str">
        <f t="array" ref="AG20">IF('Ingest Template'!A20="Standard",(CONCATENATE(IF(ISBLANK('Ingest Template'!N20),"", 'Ingest Template'!N20&amp;"|DAR"),CHAR(10), IF(ISBLANK('Ingest Template'!O20),"", 'Ingest Template'!O20&amp;"|DAR"),CHAR(10), IF(ISBLANK('Ingest Template'!P20),"", 'Ingest Template'!P20&amp;"|DAR"))),(CONCATENATE(IF(ISBLANK('Ingest Template'!N20),"", 'Ingest Template'!N20&amp;"|TV Ops"),CHAR(10), IF(ISBLANK('Ingest Template'!O20),"", 'Ingest Template'!O20&amp;"|TV Ops"),CHAR(10), IF(ISBLANK('Ingest Template'!P20),"", 'Ingest Template'!P20&amp;"|TV Ops"))))</f>
        <v>
</v>
      </c>
      <c r="AH20" s="35"/>
      <c r="AI20" s="35"/>
      <c r="AJ20" s="117" t="str">
        <f>if('Ingest Template'!A20="Standard",(IF(OR('Ingest Template'!F20 = "Program Type - Special", 'Ingest Template'!F20 = "Program Type - Live Event"),'Ingest Template'!M20&amp; "|DAR|DAR|"&amp;TEXT('Ingest Template'!C20-3, "yyyy-mm-dd")&amp;"|"&amp;TEXT('Ingest Template'!C20+3, "yyyy-mm-dd"),'Ingest Template'!M20&amp; "|DAR|DAR|2021-01-01")),(IF(OR('Ingest Template'!F20 = "Program Type - Special", 'Ingest Template'!F20 = "Program Type - Live Event"),'Ingest Template'!M20&amp; "|Operations - Core Title|Operations - Core Title|"&amp;TEXT('Ingest Template'!C20-3, "yyyy-mm-dd")&amp;"|"&amp;TEXT('Ingest Template'!C20+3, "yyyy-mm-dd"),'Ingest Template'!M20&amp; "|Operations - Core Title|Operations - Core Title")))</f>
        <v>|Operations - Core Title|Operations - Core Title</v>
      </c>
      <c r="AK20" s="35"/>
      <c r="AL20" s="117" t="str">
        <f>if('Ingest Template'!A20="Standard",(IF(OR('Ingest Template'!F20 = "Program Type - Special", 'Ingest Template'!F20 = "Program Type - Live Event"),'Ingest Template'!Q20&amp;"|"&amp;TEXT('Ingest Template'!C20-3, "yyyy-mm-dd")&amp;"|"&amp;TEXT('Ingest Template'!C20+3, "yyyy-mm-dd"),'Ingest Template'!Q20&amp; "|2021-01-01")),(IF(OR('Ingest Template'!F20 = "Program Type - Special", 'Ingest Template'!F20 = "Program Type - Live Event"),'Ingest Template'!Q20&amp; "|"&amp;TEXT('Ingest Template'!C20-3, "yyyy-mm-dd")&amp;"|"&amp;TEXT('Ingest Template'!C20+3, "yyyy-mm-dd"),'Ingest Template'!Q20)))</f>
        <v/>
      </c>
      <c r="AM20" s="35" t="str">
        <f>'Ingest Template'!AC20</f>
        <v/>
      </c>
    </row>
    <row r="21">
      <c r="A21" s="15"/>
      <c r="B21" s="22" t="str">
        <f>'Ingest Template'!C21&amp;IF('Ingest Template'!A21 = "Standard", " - DAR","")</f>
        <v/>
      </c>
      <c r="C21" s="22" t="s">
        <v>83</v>
      </c>
      <c r="D21" s="22" t="str">
        <f t="array" ref="D21">CONCATENATE(INDEX(DropdownLists!$H$2:$H$11,MATCH(1,COUNTIF('Ingest Template'!E21,"*"&amp;DropdownLists!$I$2:$I$11&amp;"*"),0)),CHAR(10),'Ingest Template'!F21,CHAR(10),'Ingest Template'!G21,CHAR(10),VLOOKUP('Ingest Template'!D21,DropdownLists!C:D,2,FALSE))</f>
        <v>#N/A</v>
      </c>
      <c r="E21" s="22" t="str">
        <f>CONCATENATE('Ingest Template'!H21,CHAR(10),'Ingest Template'!I21,CHAR(10),'Ingest Template'!J21,CHAR(10))</f>
        <v>
</v>
      </c>
      <c r="F21" s="35" t="str">
        <f t="array" ref="F21">INDEX(DropdownLists!$O$2:$O$36,MATCH(1,COUNTIF(E21,"*"&amp;DropdownLists!$N$2:$N$36&amp;"*"),0))</f>
        <v/>
      </c>
      <c r="G21" s="35"/>
      <c r="H21" s="22" t="str">
        <f t="array" ref="H21">INDEX(DropdownLists!$E$2:$E$276,MATCH('Ingest Template'!D21,DropdownLists!$C$2:$C$276,0))</f>
        <v>#N/A</v>
      </c>
      <c r="I21" s="22"/>
      <c r="J21" s="22" t="str">
        <f t="array" ref="J21">iF('Ingest Template'!A21="Standard","Pristine Brand",INDEX(DropdownLists!$B$2:$B$246,MATCH('Ingest Template'!D21,DropdownLists!$C$2:$C$246,0)))</f>
        <v>#N/A</v>
      </c>
      <c r="K21" s="22" t="str">
        <f>iF('Ingest Template'!A21="Standard",'Ingest Template'!K21&amp;CHAR(10)&amp;'Ingest Template'!L21,"Competitive View")</f>
        <v>Competitive View</v>
      </c>
      <c r="L21" s="22" t="s">
        <v>95</v>
      </c>
      <c r="M21" s="45" t="str">
        <f>'Ingest Template'!B21</f>
        <v/>
      </c>
      <c r="N21" s="35"/>
      <c r="O21" s="35"/>
      <c r="P21" s="35"/>
      <c r="Q21" s="35"/>
      <c r="R21" s="35" t="str">
        <f>'Ingest Template'!D21</f>
        <v/>
      </c>
      <c r="S21" s="22" t="s">
        <v>101</v>
      </c>
      <c r="T21" s="35" t="str">
        <f>'Ingest Template'!V21</f>
        <v/>
      </c>
      <c r="U21" s="35" t="str">
        <f>'Ingest Template'!W21</f>
        <v/>
      </c>
      <c r="V21" s="35" t="str">
        <f>LOWER(SUBSTITUTE(SUBSTITUTE(SUBSTITUTE(SUBSTITUTE(SUBSTITUTE('Ingest Template'!X21,"https:",""),"www.",""),"/",""),"?hl=en",""),"instagram.com",""))</f>
        <v/>
      </c>
      <c r="W21" s="74" t="str">
        <f t="array" ref="W21">IF(
'Ingest Template'!Y21="",
SUBSTITUTE(
INDEX(DropdownLists!$F$2:$F$277,MATCH('Ingest Template'!D21,DropdownLists!$C$2:$C$277,0)),
CHAR(10),
"|"&amp;'Ingest Template'!C21&amp;CHAR(10)
)&amp;"|"&amp;'Ingest Template'!C21,
SUBSTITUTE(
INDEX(DropdownLists!$F$2:$F$277,MATCH('Ingest Template'!D21,DropdownLists!$C$2:$C$277,0)),
CHAR(10),
"|"&amp;'Ingest Template'!C21&amp;CHAR(10)
)&amp;"|"&amp;'Ingest Template'!C21&amp;CHAR(10)&amp;'Ingest Template'!Y21
)</f>
        <v>#N/A</v>
      </c>
      <c r="X21" s="74" t="str">
        <f>'Ingest Template'!Z21</f>
        <v/>
      </c>
      <c r="Y21" s="35" t="str">
        <f>SUBSTITUTE(SUBSTITUTE(SUBSTITUTE('Ingest Template'!AA21,"http:",""),"https:",""),"/","")</f>
        <v/>
      </c>
      <c r="Z21" s="35" t="str">
        <f t="array" ref="Z21">IF('Ingest Template'!A21="Standard",(IF(ISBLANK('Ingest Template'!AB21),"", 'Ingest Template'!AB21&amp;"|DAR")),(IF(ISBLANK('Ingest Template'!AB21),"", 'Ingest Template'!AB21&amp;"|TV Ops")))</f>
        <v/>
      </c>
      <c r="AA21" s="35"/>
      <c r="AB21" s="35" t="str">
        <f>'Ingest Template'!R21</f>
        <v/>
      </c>
      <c r="AC21" s="35" t="str">
        <f>'Ingest Template'!T21</f>
        <v/>
      </c>
      <c r="AD21" s="35" t="str">
        <f>'Ingest Template'!S21</f>
        <v/>
      </c>
      <c r="AE21" s="35" t="str">
        <f>'Ingest Template'!U21</f>
        <v/>
      </c>
      <c r="AF21" s="22"/>
      <c r="AG21" s="35" t="str">
        <f t="array" ref="AG21">IF('Ingest Template'!A21="Standard",(CONCATENATE(IF(ISBLANK('Ingest Template'!N21),"", 'Ingest Template'!N21&amp;"|DAR"),CHAR(10), IF(ISBLANK('Ingest Template'!O21),"", 'Ingest Template'!O21&amp;"|DAR"),CHAR(10), IF(ISBLANK('Ingest Template'!P21),"", 'Ingest Template'!P21&amp;"|DAR"))),(CONCATENATE(IF(ISBLANK('Ingest Template'!N21),"", 'Ingest Template'!N21&amp;"|TV Ops"),CHAR(10), IF(ISBLANK('Ingest Template'!O21),"", 'Ingest Template'!O21&amp;"|TV Ops"),CHAR(10), IF(ISBLANK('Ingest Template'!P21),"", 'Ingest Template'!P21&amp;"|TV Ops"))))</f>
        <v>
</v>
      </c>
      <c r="AH21" s="35"/>
      <c r="AI21" s="35"/>
      <c r="AJ21" s="117" t="str">
        <f>if('Ingest Template'!A21="Standard",(IF(OR('Ingest Template'!F21 = "Program Type - Special", 'Ingest Template'!F21 = "Program Type - Live Event"),'Ingest Template'!M21&amp; "|DAR|DAR|"&amp;TEXT('Ingest Template'!C21-3, "yyyy-mm-dd")&amp;"|"&amp;TEXT('Ingest Template'!C21+3, "yyyy-mm-dd"),'Ingest Template'!M21&amp; "|DAR|DAR|2021-01-01")),(IF(OR('Ingest Template'!F21 = "Program Type - Special", 'Ingest Template'!F21 = "Program Type - Live Event"),'Ingest Template'!M21&amp; "|Operations - Core Title|Operations - Core Title|"&amp;TEXT('Ingest Template'!C21-3, "yyyy-mm-dd")&amp;"|"&amp;TEXT('Ingest Template'!C21+3, "yyyy-mm-dd"),'Ingest Template'!M21&amp; "|Operations - Core Title|Operations - Core Title")))</f>
        <v>|Operations - Core Title|Operations - Core Title</v>
      </c>
      <c r="AK21" s="35"/>
      <c r="AL21" s="117" t="str">
        <f>if('Ingest Template'!A21="Standard",(IF(OR('Ingest Template'!F21 = "Program Type - Special", 'Ingest Template'!F21 = "Program Type - Live Event"),'Ingest Template'!Q21&amp;"|"&amp;TEXT('Ingest Template'!C21-3, "yyyy-mm-dd")&amp;"|"&amp;TEXT('Ingest Template'!C21+3, "yyyy-mm-dd"),'Ingest Template'!Q21&amp; "|2021-01-01")),(IF(OR('Ingest Template'!F21 = "Program Type - Special", 'Ingest Template'!F21 = "Program Type - Live Event"),'Ingest Template'!Q21&amp; "|"&amp;TEXT('Ingest Template'!C21-3, "yyyy-mm-dd")&amp;"|"&amp;TEXT('Ingest Template'!C21+3, "yyyy-mm-dd"),'Ingest Template'!Q21)))</f>
        <v/>
      </c>
      <c r="AM21" s="35" t="str">
        <f>'Ingest Template'!AC21</f>
        <v/>
      </c>
    </row>
    <row r="22">
      <c r="A22" s="15"/>
      <c r="B22" s="22" t="str">
        <f>'Ingest Template'!C22&amp;IF('Ingest Template'!A22 = "Standard", " - DAR","")</f>
        <v/>
      </c>
      <c r="C22" s="22" t="s">
        <v>83</v>
      </c>
      <c r="D22" s="22" t="str">
        <f t="array" ref="D22">CONCATENATE(INDEX(DropdownLists!$H$2:$H$11,MATCH(1,COUNTIF('Ingest Template'!E22,"*"&amp;DropdownLists!$I$2:$I$11&amp;"*"),0)),CHAR(10),'Ingest Template'!F22,CHAR(10),'Ingest Template'!G22,CHAR(10),VLOOKUP('Ingest Template'!D22,DropdownLists!C:D,2,FALSE))</f>
        <v>#N/A</v>
      </c>
      <c r="E22" s="22" t="str">
        <f>CONCATENATE('Ingest Template'!H22,CHAR(10),'Ingest Template'!I22,CHAR(10),'Ingest Template'!J22,CHAR(10))</f>
        <v>
</v>
      </c>
      <c r="F22" s="35" t="str">
        <f t="array" ref="F22">INDEX(DropdownLists!$O$2:$O$36,MATCH(1,COUNTIF(E22,"*"&amp;DropdownLists!$N$2:$N$36&amp;"*"),0))</f>
        <v/>
      </c>
      <c r="G22" s="35"/>
      <c r="H22" s="22" t="str">
        <f t="array" ref="H22">INDEX(DropdownLists!$E$2:$E$276,MATCH('Ingest Template'!D22,DropdownLists!$C$2:$C$276,0))</f>
        <v>#N/A</v>
      </c>
      <c r="I22" s="22"/>
      <c r="J22" s="22" t="str">
        <f t="array" ref="J22">iF('Ingest Template'!A22="Standard","Pristine Brand",INDEX(DropdownLists!$B$2:$B$246,MATCH('Ingest Template'!D22,DropdownLists!$C$2:$C$246,0)))</f>
        <v>#N/A</v>
      </c>
      <c r="K22" s="22" t="str">
        <f>iF('Ingest Template'!A22="Standard",'Ingest Template'!K22&amp;CHAR(10)&amp;'Ingest Template'!L22,"Competitive View")</f>
        <v>Competitive View</v>
      </c>
      <c r="L22" s="22" t="s">
        <v>95</v>
      </c>
      <c r="M22" s="45" t="str">
        <f>'Ingest Template'!B22</f>
        <v/>
      </c>
      <c r="N22" s="35"/>
      <c r="O22" s="35"/>
      <c r="P22" s="35"/>
      <c r="Q22" s="35"/>
      <c r="R22" s="35" t="str">
        <f>'Ingest Template'!D22</f>
        <v/>
      </c>
      <c r="S22" s="22" t="s">
        <v>101</v>
      </c>
      <c r="T22" s="35" t="str">
        <f>'Ingest Template'!V22</f>
        <v/>
      </c>
      <c r="U22" s="35" t="str">
        <f>'Ingest Template'!W22</f>
        <v/>
      </c>
      <c r="V22" s="35" t="str">
        <f>LOWER(SUBSTITUTE(SUBSTITUTE(SUBSTITUTE(SUBSTITUTE(SUBSTITUTE('Ingest Template'!X22,"https:",""),"www.",""),"/",""),"?hl=en",""),"instagram.com",""))</f>
        <v/>
      </c>
      <c r="W22" s="74" t="str">
        <f t="array" ref="W22">IF(
'Ingest Template'!Y22="",
SUBSTITUTE(
INDEX(DropdownLists!$F$2:$F$277,MATCH('Ingest Template'!D22,DropdownLists!$C$2:$C$277,0)),
CHAR(10),
"|"&amp;'Ingest Template'!C22&amp;CHAR(10)
)&amp;"|"&amp;'Ingest Template'!C22,
SUBSTITUTE(
INDEX(DropdownLists!$F$2:$F$277,MATCH('Ingest Template'!D22,DropdownLists!$C$2:$C$277,0)),
CHAR(10),
"|"&amp;'Ingest Template'!C22&amp;CHAR(10)
)&amp;"|"&amp;'Ingest Template'!C22&amp;CHAR(10)&amp;'Ingest Template'!Y22
)</f>
        <v>#N/A</v>
      </c>
      <c r="X22" s="74" t="str">
        <f>'Ingest Template'!Z22</f>
        <v/>
      </c>
      <c r="Y22" s="35" t="str">
        <f>SUBSTITUTE(SUBSTITUTE(SUBSTITUTE('Ingest Template'!AA22,"http:",""),"https:",""),"/","")</f>
        <v/>
      </c>
      <c r="Z22" s="35" t="str">
        <f t="array" ref="Z22">IF('Ingest Template'!A22="Standard",(IF(ISBLANK('Ingest Template'!AB22),"", 'Ingest Template'!AB22&amp;"|DAR")),(IF(ISBLANK('Ingest Template'!AB22),"", 'Ingest Template'!AB22&amp;"|TV Ops")))</f>
        <v/>
      </c>
      <c r="AA22" s="35"/>
      <c r="AB22" s="35" t="str">
        <f>'Ingest Template'!R22</f>
        <v/>
      </c>
      <c r="AC22" s="35" t="str">
        <f>'Ingest Template'!T22</f>
        <v/>
      </c>
      <c r="AD22" s="35" t="str">
        <f>'Ingest Template'!S22</f>
        <v/>
      </c>
      <c r="AE22" s="35" t="str">
        <f>'Ingest Template'!U22</f>
        <v/>
      </c>
      <c r="AF22" s="22"/>
      <c r="AG22" s="35" t="str">
        <f t="array" ref="AG22">IF('Ingest Template'!A22="Standard",(CONCATENATE(IF(ISBLANK('Ingest Template'!N22),"", 'Ingest Template'!N22&amp;"|DAR"),CHAR(10), IF(ISBLANK('Ingest Template'!O22),"", 'Ingest Template'!O22&amp;"|DAR"),CHAR(10), IF(ISBLANK('Ingest Template'!P22),"", 'Ingest Template'!P22&amp;"|DAR"))),(CONCATENATE(IF(ISBLANK('Ingest Template'!N22),"", 'Ingest Template'!N22&amp;"|TV Ops"),CHAR(10), IF(ISBLANK('Ingest Template'!O22),"", 'Ingest Template'!O22&amp;"|TV Ops"),CHAR(10), IF(ISBLANK('Ingest Template'!P22),"", 'Ingest Template'!P22&amp;"|TV Ops"))))</f>
        <v>
</v>
      </c>
      <c r="AH22" s="35"/>
      <c r="AI22" s="35"/>
      <c r="AJ22" s="117" t="str">
        <f>if('Ingest Template'!A22="Standard",(IF(OR('Ingest Template'!F22 = "Program Type - Special", 'Ingest Template'!F22 = "Program Type - Live Event"),'Ingest Template'!M22&amp; "|DAR|DAR|"&amp;TEXT('Ingest Template'!C22-3, "yyyy-mm-dd")&amp;"|"&amp;TEXT('Ingest Template'!C22+3, "yyyy-mm-dd"),'Ingest Template'!M22&amp; "|DAR|DAR|2021-01-01")),(IF(OR('Ingest Template'!F22 = "Program Type - Special", 'Ingest Template'!F22 = "Program Type - Live Event"),'Ingest Template'!M22&amp; "|Operations - Core Title|Operations - Core Title|"&amp;TEXT('Ingest Template'!C22-3, "yyyy-mm-dd")&amp;"|"&amp;TEXT('Ingest Template'!C22+3, "yyyy-mm-dd"),'Ingest Template'!M22&amp; "|Operations - Core Title|Operations - Core Title")))</f>
        <v>|Operations - Core Title|Operations - Core Title</v>
      </c>
      <c r="AK22" s="35"/>
      <c r="AL22" s="117" t="str">
        <f>if('Ingest Template'!A22="Standard",(IF(OR('Ingest Template'!F22 = "Program Type - Special", 'Ingest Template'!F22 = "Program Type - Live Event"),'Ingest Template'!Q22&amp;"|"&amp;TEXT('Ingest Template'!C22-3, "yyyy-mm-dd")&amp;"|"&amp;TEXT('Ingest Template'!C22+3, "yyyy-mm-dd"),'Ingest Template'!Q22&amp; "|2021-01-01")),(IF(OR('Ingest Template'!F22 = "Program Type - Special", 'Ingest Template'!F22 = "Program Type - Live Event"),'Ingest Template'!Q22&amp; "|"&amp;TEXT('Ingest Template'!C22-3, "yyyy-mm-dd")&amp;"|"&amp;TEXT('Ingest Template'!C22+3, "yyyy-mm-dd"),'Ingest Template'!Q22)))</f>
        <v/>
      </c>
      <c r="AM22" s="35" t="str">
        <f>'Ingest Template'!AC22</f>
        <v/>
      </c>
    </row>
    <row r="23">
      <c r="A23" s="15"/>
      <c r="B23" s="22" t="str">
        <f>'Ingest Template'!C23&amp;IF('Ingest Template'!A23 = "Standard", " - DAR","")</f>
        <v/>
      </c>
      <c r="C23" s="22" t="s">
        <v>83</v>
      </c>
      <c r="D23" s="22" t="str">
        <f t="array" ref="D23">CONCATENATE(INDEX(DropdownLists!$H$2:$H$11,MATCH(1,COUNTIF('Ingest Template'!E23,"*"&amp;DropdownLists!$I$2:$I$11&amp;"*"),0)),CHAR(10),'Ingest Template'!F23,CHAR(10),'Ingest Template'!G23,CHAR(10),VLOOKUP('Ingest Template'!D23,DropdownLists!C:D,2,FALSE))</f>
        <v>#N/A</v>
      </c>
      <c r="E23" s="22" t="str">
        <f>CONCATENATE('Ingest Template'!H23,CHAR(10),'Ingest Template'!I23,CHAR(10),'Ingest Template'!J23,CHAR(10))</f>
        <v>
</v>
      </c>
      <c r="F23" s="35" t="str">
        <f t="array" ref="F23">INDEX(DropdownLists!$O$2:$O$36,MATCH(1,COUNTIF(E23,"*"&amp;DropdownLists!$N$2:$N$36&amp;"*"),0))</f>
        <v/>
      </c>
      <c r="G23" s="35"/>
      <c r="H23" s="22" t="str">
        <f t="array" ref="H23">INDEX(DropdownLists!$E$2:$E$276,MATCH('Ingest Template'!D23,DropdownLists!$C$2:$C$276,0))</f>
        <v>#N/A</v>
      </c>
      <c r="I23" s="22"/>
      <c r="J23" s="22" t="str">
        <f t="array" ref="J23">iF('Ingest Template'!A23="Standard","Pristine Brand",INDEX(DropdownLists!$B$2:$B$246,MATCH('Ingest Template'!D23,DropdownLists!$C$2:$C$246,0)))</f>
        <v>#N/A</v>
      </c>
      <c r="K23" s="22" t="str">
        <f>iF('Ingest Template'!A23="Standard",'Ingest Template'!K23&amp;CHAR(10)&amp;'Ingest Template'!L23,"Competitive View")</f>
        <v>Competitive View</v>
      </c>
      <c r="L23" s="22" t="s">
        <v>95</v>
      </c>
      <c r="M23" s="45" t="str">
        <f>'Ingest Template'!B23</f>
        <v/>
      </c>
      <c r="N23" s="35"/>
      <c r="O23" s="35"/>
      <c r="P23" s="35"/>
      <c r="Q23" s="35"/>
      <c r="R23" s="35" t="str">
        <f>'Ingest Template'!D23</f>
        <v/>
      </c>
      <c r="S23" s="22" t="s">
        <v>101</v>
      </c>
      <c r="T23" s="35" t="str">
        <f>'Ingest Template'!V23</f>
        <v/>
      </c>
      <c r="U23" s="35" t="str">
        <f>'Ingest Template'!W23</f>
        <v/>
      </c>
      <c r="V23" s="35" t="str">
        <f>LOWER(SUBSTITUTE(SUBSTITUTE(SUBSTITUTE(SUBSTITUTE(SUBSTITUTE('Ingest Template'!X23,"https:",""),"www.",""),"/",""),"?hl=en",""),"instagram.com",""))</f>
        <v/>
      </c>
      <c r="W23" s="74" t="str">
        <f t="array" ref="W23">IF(
'Ingest Template'!Y23="",
SUBSTITUTE(
INDEX(DropdownLists!$F$2:$F$277,MATCH('Ingest Template'!D23,DropdownLists!$C$2:$C$277,0)),
CHAR(10),
"|"&amp;'Ingest Template'!C23&amp;CHAR(10)
)&amp;"|"&amp;'Ingest Template'!C23,
SUBSTITUTE(
INDEX(DropdownLists!$F$2:$F$277,MATCH('Ingest Template'!D23,DropdownLists!$C$2:$C$277,0)),
CHAR(10),
"|"&amp;'Ingest Template'!C23&amp;CHAR(10)
)&amp;"|"&amp;'Ingest Template'!C23&amp;CHAR(10)&amp;'Ingest Template'!Y23
)</f>
        <v>#N/A</v>
      </c>
      <c r="X23" s="74" t="str">
        <f>'Ingest Template'!Z23</f>
        <v/>
      </c>
      <c r="Y23" s="35" t="str">
        <f>SUBSTITUTE(SUBSTITUTE(SUBSTITUTE('Ingest Template'!AA23,"http:",""),"https:",""),"/","")</f>
        <v/>
      </c>
      <c r="Z23" s="35" t="str">
        <f t="array" ref="Z23">IF('Ingest Template'!A23="Standard",(IF(ISBLANK('Ingest Template'!AB23),"", 'Ingest Template'!AB23&amp;"|DAR")),(IF(ISBLANK('Ingest Template'!AB23),"", 'Ingest Template'!AB23&amp;"|TV Ops")))</f>
        <v/>
      </c>
      <c r="AA23" s="35"/>
      <c r="AB23" s="35" t="str">
        <f>'Ingest Template'!R23</f>
        <v/>
      </c>
      <c r="AC23" s="35" t="str">
        <f>'Ingest Template'!T23</f>
        <v/>
      </c>
      <c r="AD23" s="35" t="str">
        <f>'Ingest Template'!S23</f>
        <v/>
      </c>
      <c r="AE23" s="35" t="str">
        <f>'Ingest Template'!U23</f>
        <v/>
      </c>
      <c r="AF23" s="22"/>
      <c r="AG23" s="35" t="str">
        <f t="array" ref="AG23">IF('Ingest Template'!A23="Standard",(CONCATENATE(IF(ISBLANK('Ingest Template'!N23),"", 'Ingest Template'!N23&amp;"|DAR"),CHAR(10), IF(ISBLANK('Ingest Template'!O23),"", 'Ingest Template'!O23&amp;"|DAR"),CHAR(10), IF(ISBLANK('Ingest Template'!P23),"", 'Ingest Template'!P23&amp;"|DAR"))),(CONCATENATE(IF(ISBLANK('Ingest Template'!N23),"", 'Ingest Template'!N23&amp;"|TV Ops"),CHAR(10), IF(ISBLANK('Ingest Template'!O23),"", 'Ingest Template'!O23&amp;"|TV Ops"),CHAR(10), IF(ISBLANK('Ingest Template'!P23),"", 'Ingest Template'!P23&amp;"|TV Ops"))))</f>
        <v>
</v>
      </c>
      <c r="AH23" s="35"/>
      <c r="AI23" s="35"/>
      <c r="AJ23" s="117" t="str">
        <f>if('Ingest Template'!A23="Standard",(IF(OR('Ingest Template'!F23 = "Program Type - Special", 'Ingest Template'!F23 = "Program Type - Live Event"),'Ingest Template'!M23&amp; "|DAR|DAR|"&amp;TEXT('Ingest Template'!C23-3, "yyyy-mm-dd")&amp;"|"&amp;TEXT('Ingest Template'!C23+3, "yyyy-mm-dd"),'Ingest Template'!M23&amp; "|DAR|DAR|2021-01-01")),(IF(OR('Ingest Template'!F23 = "Program Type - Special", 'Ingest Template'!F23 = "Program Type - Live Event"),'Ingest Template'!M23&amp; "|Operations - Core Title|Operations - Core Title|"&amp;TEXT('Ingest Template'!C23-3, "yyyy-mm-dd")&amp;"|"&amp;TEXT('Ingest Template'!C23+3, "yyyy-mm-dd"),'Ingest Template'!M23&amp; "|Operations - Core Title|Operations - Core Title")))</f>
        <v>|Operations - Core Title|Operations - Core Title</v>
      </c>
      <c r="AK23" s="35"/>
      <c r="AL23" s="117" t="str">
        <f>if('Ingest Template'!A23="Standard",(IF(OR('Ingest Template'!F23 = "Program Type - Special", 'Ingest Template'!F23 = "Program Type - Live Event"),'Ingest Template'!Q23&amp;"|"&amp;TEXT('Ingest Template'!C23-3, "yyyy-mm-dd")&amp;"|"&amp;TEXT('Ingest Template'!C23+3, "yyyy-mm-dd"),'Ingest Template'!Q23&amp; "|2021-01-01")),(IF(OR('Ingest Template'!F23 = "Program Type - Special", 'Ingest Template'!F23 = "Program Type - Live Event"),'Ingest Template'!Q23&amp; "|"&amp;TEXT('Ingest Template'!C23-3, "yyyy-mm-dd")&amp;"|"&amp;TEXT('Ingest Template'!C23+3, "yyyy-mm-dd"),'Ingest Template'!Q23)))</f>
        <v/>
      </c>
      <c r="AM23" s="35" t="str">
        <f>'Ingest Template'!AC23</f>
        <v/>
      </c>
    </row>
    <row r="24">
      <c r="A24" s="15"/>
      <c r="B24" s="22" t="str">
        <f>'Ingest Template'!C24&amp;IF('Ingest Template'!A24 = "Standard", " - DAR","")</f>
        <v/>
      </c>
      <c r="C24" s="22" t="s">
        <v>83</v>
      </c>
      <c r="D24" s="22" t="str">
        <f t="array" ref="D24">CONCATENATE(INDEX(DropdownLists!$H$2:$H$11,MATCH(1,COUNTIF('Ingest Template'!E24,"*"&amp;DropdownLists!$I$2:$I$11&amp;"*"),0)),CHAR(10),'Ingest Template'!F24,CHAR(10),'Ingest Template'!G24,CHAR(10),VLOOKUP('Ingest Template'!D24,DropdownLists!C:D,2,FALSE))</f>
        <v>#N/A</v>
      </c>
      <c r="E24" s="22" t="str">
        <f>CONCATENATE('Ingest Template'!H24,CHAR(10),'Ingest Template'!I24,CHAR(10),'Ingest Template'!J24,CHAR(10))</f>
        <v>
</v>
      </c>
      <c r="F24" s="35" t="str">
        <f t="array" ref="F24">INDEX(DropdownLists!$O$2:$O$36,MATCH(1,COUNTIF(E24,"*"&amp;DropdownLists!$N$2:$N$36&amp;"*"),0))</f>
        <v/>
      </c>
      <c r="G24" s="35"/>
      <c r="H24" s="22" t="str">
        <f t="array" ref="H24">INDEX(DropdownLists!$E$2:$E$276,MATCH('Ingest Template'!D24,DropdownLists!$C$2:$C$276,0))</f>
        <v>#N/A</v>
      </c>
      <c r="I24" s="22"/>
      <c r="J24" s="22" t="str">
        <f t="array" ref="J24">iF('Ingest Template'!A24="Standard","Pristine Brand",INDEX(DropdownLists!$B$2:$B$246,MATCH('Ingest Template'!D24,DropdownLists!$C$2:$C$246,0)))</f>
        <v>#N/A</v>
      </c>
      <c r="K24" s="22" t="str">
        <f>iF('Ingest Template'!A24="Standard",'Ingest Template'!K24&amp;CHAR(10)&amp;'Ingest Template'!L24,"Competitive View")</f>
        <v>Competitive View</v>
      </c>
      <c r="L24" s="22" t="s">
        <v>95</v>
      </c>
      <c r="M24" s="45" t="str">
        <f>'Ingest Template'!B24</f>
        <v/>
      </c>
      <c r="N24" s="35"/>
      <c r="O24" s="35"/>
      <c r="P24" s="35"/>
      <c r="Q24" s="35"/>
      <c r="R24" s="35" t="str">
        <f>'Ingest Template'!D24</f>
        <v/>
      </c>
      <c r="S24" s="22" t="s">
        <v>101</v>
      </c>
      <c r="T24" s="35" t="str">
        <f>'Ingest Template'!V24</f>
        <v/>
      </c>
      <c r="U24" s="35" t="str">
        <f>'Ingest Template'!W24</f>
        <v/>
      </c>
      <c r="V24" s="35" t="str">
        <f>LOWER(SUBSTITUTE(SUBSTITUTE(SUBSTITUTE(SUBSTITUTE(SUBSTITUTE('Ingest Template'!X24,"https:",""),"www.",""),"/",""),"?hl=en",""),"instagram.com",""))</f>
        <v/>
      </c>
      <c r="W24" s="74" t="str">
        <f t="array" ref="W24">IF(
'Ingest Template'!Y24="",
SUBSTITUTE(
INDEX(DropdownLists!$F$2:$F$277,MATCH('Ingest Template'!D24,DropdownLists!$C$2:$C$277,0)),
CHAR(10),
"|"&amp;'Ingest Template'!C24&amp;CHAR(10)
)&amp;"|"&amp;'Ingest Template'!C24,
SUBSTITUTE(
INDEX(DropdownLists!$F$2:$F$277,MATCH('Ingest Template'!D24,DropdownLists!$C$2:$C$277,0)),
CHAR(10),
"|"&amp;'Ingest Template'!C24&amp;CHAR(10)
)&amp;"|"&amp;'Ingest Template'!C24&amp;CHAR(10)&amp;'Ingest Template'!Y24
)</f>
        <v>#N/A</v>
      </c>
      <c r="X24" s="74" t="str">
        <f>'Ingest Template'!Z24</f>
        <v/>
      </c>
      <c r="Y24" s="35" t="str">
        <f>SUBSTITUTE(SUBSTITUTE(SUBSTITUTE('Ingest Template'!AA24,"http:",""),"https:",""),"/","")</f>
        <v/>
      </c>
      <c r="Z24" s="35" t="str">
        <f t="array" ref="Z24">IF('Ingest Template'!A24="Standard",(IF(ISBLANK('Ingest Template'!AB24),"", 'Ingest Template'!AB24&amp;"|DAR")),(IF(ISBLANK('Ingest Template'!AB24),"", 'Ingest Template'!AB24&amp;"|TV Ops")))</f>
        <v/>
      </c>
      <c r="AA24" s="35"/>
      <c r="AB24" s="35" t="str">
        <f>'Ingest Template'!R24</f>
        <v/>
      </c>
      <c r="AC24" s="35" t="str">
        <f>'Ingest Template'!T24</f>
        <v/>
      </c>
      <c r="AD24" s="35" t="str">
        <f>'Ingest Template'!S24</f>
        <v/>
      </c>
      <c r="AE24" s="35" t="str">
        <f>'Ingest Template'!U24</f>
        <v/>
      </c>
      <c r="AF24" s="22"/>
      <c r="AG24" s="35" t="str">
        <f t="array" ref="AG24">IF('Ingest Template'!A24="Standard",(CONCATENATE(IF(ISBLANK('Ingest Template'!N24),"", 'Ingest Template'!N24&amp;"|DAR"),CHAR(10), IF(ISBLANK('Ingest Template'!O24),"", 'Ingest Template'!O24&amp;"|DAR"),CHAR(10), IF(ISBLANK('Ingest Template'!P24),"", 'Ingest Template'!P24&amp;"|DAR"))),(CONCATENATE(IF(ISBLANK('Ingest Template'!N24),"", 'Ingest Template'!N24&amp;"|TV Ops"),CHAR(10), IF(ISBLANK('Ingest Template'!O24),"", 'Ingest Template'!O24&amp;"|TV Ops"),CHAR(10), IF(ISBLANK('Ingest Template'!P24),"", 'Ingest Template'!P24&amp;"|TV Ops"))))</f>
        <v>
</v>
      </c>
      <c r="AH24" s="35"/>
      <c r="AI24" s="35"/>
      <c r="AJ24" s="117" t="str">
        <f>if('Ingest Template'!A24="Standard",(IF(OR('Ingest Template'!F24 = "Program Type - Special", 'Ingest Template'!F24 = "Program Type - Live Event"),'Ingest Template'!M24&amp; "|DAR|DAR|"&amp;TEXT('Ingest Template'!C24-3, "yyyy-mm-dd")&amp;"|"&amp;TEXT('Ingest Template'!C24+3, "yyyy-mm-dd"),'Ingest Template'!M24&amp; "|DAR|DAR|2021-01-01")),(IF(OR('Ingest Template'!F24 = "Program Type - Special", 'Ingest Template'!F24 = "Program Type - Live Event"),'Ingest Template'!M24&amp; "|Operations - Core Title|Operations - Core Title|"&amp;TEXT('Ingest Template'!C24-3, "yyyy-mm-dd")&amp;"|"&amp;TEXT('Ingest Template'!C24+3, "yyyy-mm-dd"),'Ingest Template'!M24&amp; "|Operations - Core Title|Operations - Core Title")))</f>
        <v>|Operations - Core Title|Operations - Core Title</v>
      </c>
      <c r="AK24" s="35"/>
      <c r="AL24" s="117" t="str">
        <f>if('Ingest Template'!A24="Standard",(IF(OR('Ingest Template'!F24 = "Program Type - Special", 'Ingest Template'!F24 = "Program Type - Live Event"),'Ingest Template'!Q24&amp;"|"&amp;TEXT('Ingest Template'!C24-3, "yyyy-mm-dd")&amp;"|"&amp;TEXT('Ingest Template'!C24+3, "yyyy-mm-dd"),'Ingest Template'!Q24&amp; "|2021-01-01")),(IF(OR('Ingest Template'!F24 = "Program Type - Special", 'Ingest Template'!F24 = "Program Type - Live Event"),'Ingest Template'!Q24&amp; "|"&amp;TEXT('Ingest Template'!C24-3, "yyyy-mm-dd")&amp;"|"&amp;TEXT('Ingest Template'!C24+3, "yyyy-mm-dd"),'Ingest Template'!Q24)))</f>
        <v/>
      </c>
      <c r="AM24" s="35" t="str">
        <f>'Ingest Template'!AC24</f>
        <v/>
      </c>
    </row>
    <row r="25">
      <c r="A25" s="15"/>
      <c r="B25" s="22" t="str">
        <f>'Ingest Template'!C25&amp;IF('Ingest Template'!A25 = "Standard", " - DAR","")</f>
        <v/>
      </c>
      <c r="C25" s="22" t="s">
        <v>83</v>
      </c>
      <c r="D25" s="22" t="str">
        <f t="array" ref="D25">CONCATENATE(INDEX(DropdownLists!$H$2:$H$11,MATCH(1,COUNTIF('Ingest Template'!E25,"*"&amp;DropdownLists!$I$2:$I$11&amp;"*"),0)),CHAR(10),'Ingest Template'!F25,CHAR(10),'Ingest Template'!G25,CHAR(10),VLOOKUP('Ingest Template'!D25,DropdownLists!C:D,2,FALSE))</f>
        <v>#N/A</v>
      </c>
      <c r="E25" s="22" t="str">
        <f>CONCATENATE('Ingest Template'!H25,CHAR(10),'Ingest Template'!I25,CHAR(10),'Ingest Template'!J25,CHAR(10))</f>
        <v>
</v>
      </c>
      <c r="F25" s="35" t="str">
        <f t="array" ref="F25">INDEX(DropdownLists!$O$2:$O$36,MATCH(1,COUNTIF(E25,"*"&amp;DropdownLists!$N$2:$N$36&amp;"*"),0))</f>
        <v/>
      </c>
      <c r="G25" s="35"/>
      <c r="H25" s="22" t="str">
        <f t="array" ref="H25">INDEX(DropdownLists!$E$2:$E$276,MATCH('Ingest Template'!D25,DropdownLists!$C$2:$C$276,0))</f>
        <v>#N/A</v>
      </c>
      <c r="I25" s="22"/>
      <c r="J25" s="22" t="str">
        <f t="array" ref="J25">iF('Ingest Template'!A25="Standard","Pristine Brand",INDEX(DropdownLists!$B$2:$B$246,MATCH('Ingest Template'!D25,DropdownLists!$C$2:$C$246,0)))</f>
        <v>#N/A</v>
      </c>
      <c r="K25" s="22" t="str">
        <f>iF('Ingest Template'!A25="Standard",'Ingest Template'!K25&amp;CHAR(10)&amp;'Ingest Template'!L25,"Competitive View")</f>
        <v>Competitive View</v>
      </c>
      <c r="L25" s="22" t="s">
        <v>95</v>
      </c>
      <c r="M25" s="45" t="str">
        <f>'Ingest Template'!B25</f>
        <v/>
      </c>
      <c r="N25" s="35"/>
      <c r="O25" s="35"/>
      <c r="P25" s="35"/>
      <c r="Q25" s="35"/>
      <c r="R25" s="35" t="str">
        <f>'Ingest Template'!D25</f>
        <v/>
      </c>
      <c r="S25" s="22" t="s">
        <v>101</v>
      </c>
      <c r="T25" s="35" t="str">
        <f>'Ingest Template'!V25</f>
        <v/>
      </c>
      <c r="U25" s="35" t="str">
        <f>'Ingest Template'!W25</f>
        <v/>
      </c>
      <c r="V25" s="35" t="str">
        <f>LOWER(SUBSTITUTE(SUBSTITUTE(SUBSTITUTE(SUBSTITUTE(SUBSTITUTE('Ingest Template'!X25,"https:",""),"www.",""),"/",""),"?hl=en",""),"instagram.com",""))</f>
        <v/>
      </c>
      <c r="W25" s="74" t="str">
        <f t="array" ref="W25">IF(
'Ingest Template'!Y25="",
SUBSTITUTE(
INDEX(DropdownLists!$F$2:$F$277,MATCH('Ingest Template'!D25,DropdownLists!$C$2:$C$277,0)),
CHAR(10),
"|"&amp;'Ingest Template'!C25&amp;CHAR(10)
)&amp;"|"&amp;'Ingest Template'!C25,
SUBSTITUTE(
INDEX(DropdownLists!$F$2:$F$277,MATCH('Ingest Template'!D25,DropdownLists!$C$2:$C$277,0)),
CHAR(10),
"|"&amp;'Ingest Template'!C25&amp;CHAR(10)
)&amp;"|"&amp;'Ingest Template'!C25&amp;CHAR(10)&amp;'Ingest Template'!Y25
)</f>
        <v>#N/A</v>
      </c>
      <c r="X25" s="74" t="str">
        <f>'Ingest Template'!Z25</f>
        <v/>
      </c>
      <c r="Y25" s="35" t="str">
        <f>SUBSTITUTE(SUBSTITUTE(SUBSTITUTE('Ingest Template'!AA25,"http:",""),"https:",""),"/","")</f>
        <v/>
      </c>
      <c r="Z25" s="35" t="str">
        <f t="array" ref="Z25">IF('Ingest Template'!A25="Standard",(IF(ISBLANK('Ingest Template'!AB25),"", 'Ingest Template'!AB25&amp;"|DAR")),(IF(ISBLANK('Ingest Template'!AB25),"", 'Ingest Template'!AB25&amp;"|TV Ops")))</f>
        <v/>
      </c>
      <c r="AA25" s="35"/>
      <c r="AB25" s="35" t="str">
        <f>'Ingest Template'!R25</f>
        <v/>
      </c>
      <c r="AC25" s="35" t="str">
        <f>'Ingest Template'!T25</f>
        <v/>
      </c>
      <c r="AD25" s="35" t="str">
        <f>'Ingest Template'!S25</f>
        <v/>
      </c>
      <c r="AE25" s="35" t="str">
        <f>'Ingest Template'!U25</f>
        <v/>
      </c>
      <c r="AF25" s="22"/>
      <c r="AG25" s="35" t="str">
        <f t="array" ref="AG25">IF('Ingest Template'!A25="Standard",(CONCATENATE(IF(ISBLANK('Ingest Template'!N25),"", 'Ingest Template'!N25&amp;"|DAR"),CHAR(10), IF(ISBLANK('Ingest Template'!O25),"", 'Ingest Template'!O25&amp;"|DAR"),CHAR(10), IF(ISBLANK('Ingest Template'!P25),"", 'Ingest Template'!P25&amp;"|DAR"))),(CONCATENATE(IF(ISBLANK('Ingest Template'!N25),"", 'Ingest Template'!N25&amp;"|TV Ops"),CHAR(10), IF(ISBLANK('Ingest Template'!O25),"", 'Ingest Template'!O25&amp;"|TV Ops"),CHAR(10), IF(ISBLANK('Ingest Template'!P25),"", 'Ingest Template'!P25&amp;"|TV Ops"))))</f>
        <v>
</v>
      </c>
      <c r="AH25" s="35"/>
      <c r="AI25" s="35"/>
      <c r="AJ25" s="117" t="str">
        <f>if('Ingest Template'!A25="Standard",(IF(OR('Ingest Template'!F25 = "Program Type - Special", 'Ingest Template'!F25 = "Program Type - Live Event"),'Ingest Template'!M25&amp; "|DAR|DAR|"&amp;TEXT('Ingest Template'!C25-3, "yyyy-mm-dd")&amp;"|"&amp;TEXT('Ingest Template'!C25+3, "yyyy-mm-dd"),'Ingest Template'!M25&amp; "|DAR|DAR|2021-01-01")),(IF(OR('Ingest Template'!F25 = "Program Type - Special", 'Ingest Template'!F25 = "Program Type - Live Event"),'Ingest Template'!M25&amp; "|Operations - Core Title|Operations - Core Title|"&amp;TEXT('Ingest Template'!C25-3, "yyyy-mm-dd")&amp;"|"&amp;TEXT('Ingest Template'!C25+3, "yyyy-mm-dd"),'Ingest Template'!M25&amp; "|Operations - Core Title|Operations - Core Title")))</f>
        <v>|Operations - Core Title|Operations - Core Title</v>
      </c>
      <c r="AK25" s="35"/>
      <c r="AL25" s="117" t="str">
        <f>if('Ingest Template'!A25="Standard",(IF(OR('Ingest Template'!F25 = "Program Type - Special", 'Ingest Template'!F25 = "Program Type - Live Event"),'Ingest Template'!Q25&amp;"|"&amp;TEXT('Ingest Template'!C25-3, "yyyy-mm-dd")&amp;"|"&amp;TEXT('Ingest Template'!C25+3, "yyyy-mm-dd"),'Ingest Template'!Q25&amp; "|2021-01-01")),(IF(OR('Ingest Template'!F25 = "Program Type - Special", 'Ingest Template'!F25 = "Program Type - Live Event"),'Ingest Template'!Q25&amp; "|"&amp;TEXT('Ingest Template'!C25-3, "yyyy-mm-dd")&amp;"|"&amp;TEXT('Ingest Template'!C25+3, "yyyy-mm-dd"),'Ingest Template'!Q25)))</f>
        <v/>
      </c>
      <c r="AM25" s="35" t="str">
        <f>'Ingest Template'!AC25</f>
        <v/>
      </c>
    </row>
    <row r="26">
      <c r="A26" s="15"/>
      <c r="B26" s="22" t="str">
        <f>'Ingest Template'!C26&amp;IF('Ingest Template'!A26 = "Standard", " - DAR","")</f>
        <v/>
      </c>
      <c r="C26" s="22" t="s">
        <v>83</v>
      </c>
      <c r="D26" s="22" t="str">
        <f t="array" ref="D26">CONCATENATE(INDEX(DropdownLists!$H$2:$H$11,MATCH(1,COUNTIF('Ingest Template'!E26,"*"&amp;DropdownLists!$I$2:$I$11&amp;"*"),0)),CHAR(10),'Ingest Template'!F26,CHAR(10),'Ingest Template'!G26,CHAR(10),VLOOKUP('Ingest Template'!D26,DropdownLists!C:D,2,FALSE))</f>
        <v>#N/A</v>
      </c>
      <c r="E26" s="22" t="str">
        <f>CONCATENATE('Ingest Template'!H26,CHAR(10),'Ingest Template'!I26,CHAR(10),'Ingest Template'!J26,CHAR(10))</f>
        <v>
</v>
      </c>
      <c r="F26" s="35" t="str">
        <f t="array" ref="F26">INDEX(DropdownLists!$O$2:$O$36,MATCH(1,COUNTIF(E26,"*"&amp;DropdownLists!$N$2:$N$36&amp;"*"),0))</f>
        <v/>
      </c>
      <c r="G26" s="35"/>
      <c r="H26" s="22" t="str">
        <f t="array" ref="H26">INDEX(DropdownLists!$E$2:$E$276,MATCH('Ingest Template'!D26,DropdownLists!$C$2:$C$276,0))</f>
        <v>#N/A</v>
      </c>
      <c r="I26" s="22"/>
      <c r="J26" s="22" t="str">
        <f t="array" ref="J26">iF('Ingest Template'!A26="Standard","Pristine Brand",INDEX(DropdownLists!$B$2:$B$246,MATCH('Ingest Template'!D26,DropdownLists!$C$2:$C$246,0)))</f>
        <v>#N/A</v>
      </c>
      <c r="K26" s="22" t="str">
        <f>iF('Ingest Template'!A26="Standard",'Ingest Template'!K26&amp;CHAR(10)&amp;'Ingest Template'!L26,"Competitive View")</f>
        <v>Competitive View</v>
      </c>
      <c r="L26" s="22" t="s">
        <v>95</v>
      </c>
      <c r="M26" s="45" t="str">
        <f>'Ingest Template'!B26</f>
        <v/>
      </c>
      <c r="N26" s="35"/>
      <c r="O26" s="35"/>
      <c r="P26" s="35"/>
      <c r="Q26" s="35"/>
      <c r="R26" s="35" t="str">
        <f>'Ingest Template'!D26</f>
        <v/>
      </c>
      <c r="S26" s="22" t="s">
        <v>101</v>
      </c>
      <c r="T26" s="35" t="str">
        <f>'Ingest Template'!V26</f>
        <v/>
      </c>
      <c r="U26" s="35" t="str">
        <f>'Ingest Template'!W26</f>
        <v/>
      </c>
      <c r="V26" s="35" t="str">
        <f>LOWER(SUBSTITUTE(SUBSTITUTE(SUBSTITUTE(SUBSTITUTE(SUBSTITUTE('Ingest Template'!X26,"https:",""),"www.",""),"/",""),"?hl=en",""),"instagram.com",""))</f>
        <v/>
      </c>
      <c r="W26" s="74" t="str">
        <f t="array" ref="W26">IF(
'Ingest Template'!Y26="",
SUBSTITUTE(
INDEX(DropdownLists!$F$2:$F$277,MATCH('Ingest Template'!D26,DropdownLists!$C$2:$C$277,0)),
CHAR(10),
"|"&amp;'Ingest Template'!C26&amp;CHAR(10)
)&amp;"|"&amp;'Ingest Template'!C26,
SUBSTITUTE(
INDEX(DropdownLists!$F$2:$F$277,MATCH('Ingest Template'!D26,DropdownLists!$C$2:$C$277,0)),
CHAR(10),
"|"&amp;'Ingest Template'!C26&amp;CHAR(10)
)&amp;"|"&amp;'Ingest Template'!C26&amp;CHAR(10)&amp;'Ingest Template'!Y26
)</f>
        <v>#N/A</v>
      </c>
      <c r="X26" s="74" t="str">
        <f>'Ingest Template'!Z26</f>
        <v/>
      </c>
      <c r="Y26" s="35" t="str">
        <f>SUBSTITUTE(SUBSTITUTE(SUBSTITUTE('Ingest Template'!AA26,"http:",""),"https:",""),"/","")</f>
        <v/>
      </c>
      <c r="Z26" s="35" t="str">
        <f t="array" ref="Z26">IF('Ingest Template'!A26="Standard",(IF(ISBLANK('Ingest Template'!AB26),"", 'Ingest Template'!AB26&amp;"|DAR")),(IF(ISBLANK('Ingest Template'!AB26),"", 'Ingest Template'!AB26&amp;"|TV Ops")))</f>
        <v/>
      </c>
      <c r="AA26" s="35"/>
      <c r="AB26" s="35" t="str">
        <f>'Ingest Template'!R26</f>
        <v/>
      </c>
      <c r="AC26" s="35" t="str">
        <f>'Ingest Template'!T26</f>
        <v/>
      </c>
      <c r="AD26" s="35" t="str">
        <f>'Ingest Template'!S26</f>
        <v/>
      </c>
      <c r="AE26" s="35" t="str">
        <f>'Ingest Template'!U26</f>
        <v/>
      </c>
      <c r="AF26" s="22"/>
      <c r="AG26" s="35" t="str">
        <f t="array" ref="AG26">IF('Ingest Template'!A26="Standard",(CONCATENATE(IF(ISBLANK('Ingest Template'!N26),"", 'Ingest Template'!N26&amp;"|DAR"),CHAR(10), IF(ISBLANK('Ingest Template'!O26),"", 'Ingest Template'!O26&amp;"|DAR"),CHAR(10), IF(ISBLANK('Ingest Template'!P26),"", 'Ingest Template'!P26&amp;"|DAR"))),(CONCATENATE(IF(ISBLANK('Ingest Template'!N26),"", 'Ingest Template'!N26&amp;"|TV Ops"),CHAR(10), IF(ISBLANK('Ingest Template'!O26),"", 'Ingest Template'!O26&amp;"|TV Ops"),CHAR(10), IF(ISBLANK('Ingest Template'!P26),"", 'Ingest Template'!P26&amp;"|TV Ops"))))</f>
        <v>
</v>
      </c>
      <c r="AH26" s="35"/>
      <c r="AI26" s="35"/>
      <c r="AJ26" s="117" t="str">
        <f>if('Ingest Template'!A26="Standard",(IF(OR('Ingest Template'!F26 = "Program Type - Special", 'Ingest Template'!F26 = "Program Type - Live Event"),'Ingest Template'!M26&amp; "|DAR|DAR|"&amp;TEXT('Ingest Template'!C26-3, "yyyy-mm-dd")&amp;"|"&amp;TEXT('Ingest Template'!C26+3, "yyyy-mm-dd"),'Ingest Template'!M26&amp; "|DAR|DAR|2021-01-01")),(IF(OR('Ingest Template'!F26 = "Program Type - Special", 'Ingest Template'!F26 = "Program Type - Live Event"),'Ingest Template'!M26&amp; "|Operations - Core Title|Operations - Core Title|"&amp;TEXT('Ingest Template'!C26-3, "yyyy-mm-dd")&amp;"|"&amp;TEXT('Ingest Template'!C26+3, "yyyy-mm-dd"),'Ingest Template'!M26&amp; "|Operations - Core Title|Operations - Core Title")))</f>
        <v>|Operations - Core Title|Operations - Core Title</v>
      </c>
      <c r="AK26" s="35"/>
      <c r="AL26" s="117" t="str">
        <f>if('Ingest Template'!A26="Standard",(IF(OR('Ingest Template'!F26 = "Program Type - Special", 'Ingest Template'!F26 = "Program Type - Live Event"),'Ingest Template'!Q26&amp;"|"&amp;TEXT('Ingest Template'!C26-3, "yyyy-mm-dd")&amp;"|"&amp;TEXT('Ingest Template'!C26+3, "yyyy-mm-dd"),'Ingest Template'!Q26&amp; "|2021-01-01")),(IF(OR('Ingest Template'!F26 = "Program Type - Special", 'Ingest Template'!F26 = "Program Type - Live Event"),'Ingest Template'!Q26&amp; "|"&amp;TEXT('Ingest Template'!C26-3, "yyyy-mm-dd")&amp;"|"&amp;TEXT('Ingest Template'!C26+3, "yyyy-mm-dd"),'Ingest Template'!Q26)))</f>
        <v/>
      </c>
      <c r="AM26" s="35" t="str">
        <f>'Ingest Template'!AC26</f>
        <v/>
      </c>
    </row>
    <row r="27">
      <c r="A27" s="15"/>
      <c r="B27" s="22" t="str">
        <f>'Ingest Template'!C27&amp;IF('Ingest Template'!A27 = "Standard", " - DAR","")</f>
        <v/>
      </c>
      <c r="C27" s="22" t="s">
        <v>83</v>
      </c>
      <c r="D27" s="22" t="str">
        <f t="array" ref="D27">CONCATENATE(INDEX(DropdownLists!$H$2:$H$11,MATCH(1,COUNTIF('Ingest Template'!E27,"*"&amp;DropdownLists!$I$2:$I$11&amp;"*"),0)),CHAR(10),'Ingest Template'!F27,CHAR(10),'Ingest Template'!G27,CHAR(10),VLOOKUP('Ingest Template'!D27,DropdownLists!C:D,2,FALSE))</f>
        <v>#N/A</v>
      </c>
      <c r="E27" s="22" t="str">
        <f>CONCATENATE('Ingest Template'!H27,CHAR(10),'Ingest Template'!I27,CHAR(10),'Ingest Template'!J27,CHAR(10))</f>
        <v>
</v>
      </c>
      <c r="F27" s="35" t="str">
        <f t="array" ref="F27">INDEX(DropdownLists!$O$2:$O$36,MATCH(1,COUNTIF(E27,"*"&amp;DropdownLists!$N$2:$N$36&amp;"*"),0))</f>
        <v/>
      </c>
      <c r="G27" s="35"/>
      <c r="H27" s="22" t="str">
        <f t="array" ref="H27">INDEX(DropdownLists!$E$2:$E$276,MATCH('Ingest Template'!D27,DropdownLists!$C$2:$C$276,0))</f>
        <v>#N/A</v>
      </c>
      <c r="I27" s="22"/>
      <c r="J27" s="22" t="str">
        <f t="array" ref="J27">iF('Ingest Template'!A27="Standard","Pristine Brand",INDEX(DropdownLists!$B$2:$B$246,MATCH('Ingest Template'!D27,DropdownLists!$C$2:$C$246,0)))</f>
        <v>#N/A</v>
      </c>
      <c r="K27" s="22" t="str">
        <f>iF('Ingest Template'!A27="Standard",'Ingest Template'!K27&amp;CHAR(10)&amp;'Ingest Template'!L27,"Competitive View")</f>
        <v>Competitive View</v>
      </c>
      <c r="L27" s="22" t="s">
        <v>95</v>
      </c>
      <c r="M27" s="45" t="str">
        <f>'Ingest Template'!B27</f>
        <v/>
      </c>
      <c r="N27" s="35"/>
      <c r="O27" s="35"/>
      <c r="P27" s="35"/>
      <c r="Q27" s="35"/>
      <c r="R27" s="35" t="str">
        <f>'Ingest Template'!D27</f>
        <v/>
      </c>
      <c r="S27" s="22" t="s">
        <v>101</v>
      </c>
      <c r="T27" s="35" t="str">
        <f>'Ingest Template'!V27</f>
        <v/>
      </c>
      <c r="U27" s="35" t="str">
        <f>'Ingest Template'!W27</f>
        <v/>
      </c>
      <c r="V27" s="35" t="str">
        <f>LOWER(SUBSTITUTE(SUBSTITUTE(SUBSTITUTE(SUBSTITUTE(SUBSTITUTE('Ingest Template'!X27,"https:",""),"www.",""),"/",""),"?hl=en",""),"instagram.com",""))</f>
        <v/>
      </c>
      <c r="W27" s="74" t="str">
        <f t="array" ref="W27">IF(
'Ingest Template'!Y27="",
SUBSTITUTE(
INDEX(DropdownLists!$F$2:$F$277,MATCH('Ingest Template'!D27,DropdownLists!$C$2:$C$277,0)),
CHAR(10),
"|"&amp;'Ingest Template'!C27&amp;CHAR(10)
)&amp;"|"&amp;'Ingest Template'!C27,
SUBSTITUTE(
INDEX(DropdownLists!$F$2:$F$277,MATCH('Ingest Template'!D27,DropdownLists!$C$2:$C$277,0)),
CHAR(10),
"|"&amp;'Ingest Template'!C27&amp;CHAR(10)
)&amp;"|"&amp;'Ingest Template'!C27&amp;CHAR(10)&amp;'Ingest Template'!Y27
)</f>
        <v>#N/A</v>
      </c>
      <c r="X27" s="74" t="str">
        <f>'Ingest Template'!Z27</f>
        <v/>
      </c>
      <c r="Y27" s="35" t="str">
        <f>SUBSTITUTE(SUBSTITUTE(SUBSTITUTE('Ingest Template'!AA27,"http:",""),"https:",""),"/","")</f>
        <v/>
      </c>
      <c r="Z27" s="35" t="str">
        <f t="array" ref="Z27">IF('Ingest Template'!A27="Standard",(IF(ISBLANK('Ingest Template'!AB27),"", 'Ingest Template'!AB27&amp;"|DAR")),(IF(ISBLANK('Ingest Template'!AB27),"", 'Ingest Template'!AB27&amp;"|TV Ops")))</f>
        <v/>
      </c>
      <c r="AA27" s="35"/>
      <c r="AB27" s="35" t="str">
        <f>'Ingest Template'!R27</f>
        <v/>
      </c>
      <c r="AC27" s="35" t="str">
        <f>'Ingest Template'!T27</f>
        <v/>
      </c>
      <c r="AD27" s="35" t="str">
        <f>'Ingest Template'!S27</f>
        <v/>
      </c>
      <c r="AE27" s="35" t="str">
        <f>'Ingest Template'!U27</f>
        <v/>
      </c>
      <c r="AF27" s="22"/>
      <c r="AG27" s="35" t="str">
        <f t="array" ref="AG27">IF('Ingest Template'!A27="Standard",(CONCATENATE(IF(ISBLANK('Ingest Template'!N27),"", 'Ingest Template'!N27&amp;"|DAR"),CHAR(10), IF(ISBLANK('Ingest Template'!O27),"", 'Ingest Template'!O27&amp;"|DAR"),CHAR(10), IF(ISBLANK('Ingest Template'!P27),"", 'Ingest Template'!P27&amp;"|DAR"))),(CONCATENATE(IF(ISBLANK('Ingest Template'!N27),"", 'Ingest Template'!N27&amp;"|TV Ops"),CHAR(10), IF(ISBLANK('Ingest Template'!O27),"", 'Ingest Template'!O27&amp;"|TV Ops"),CHAR(10), IF(ISBLANK('Ingest Template'!P27),"", 'Ingest Template'!P27&amp;"|TV Ops"))))</f>
        <v>
</v>
      </c>
      <c r="AH27" s="35"/>
      <c r="AI27" s="35"/>
      <c r="AJ27" s="117" t="str">
        <f>if('Ingest Template'!A27="Standard",(IF(OR('Ingest Template'!F27 = "Program Type - Special", 'Ingest Template'!F27 = "Program Type - Live Event"),'Ingest Template'!M27&amp; "|DAR|DAR|"&amp;TEXT('Ingest Template'!C27-3, "yyyy-mm-dd")&amp;"|"&amp;TEXT('Ingest Template'!C27+3, "yyyy-mm-dd"),'Ingest Template'!M27&amp; "|DAR|DAR|2021-01-01")),(IF(OR('Ingest Template'!F27 = "Program Type - Special", 'Ingest Template'!F27 = "Program Type - Live Event"),'Ingest Template'!M27&amp; "|Operations - Core Title|Operations - Core Title|"&amp;TEXT('Ingest Template'!C27-3, "yyyy-mm-dd")&amp;"|"&amp;TEXT('Ingest Template'!C27+3, "yyyy-mm-dd"),'Ingest Template'!M27&amp; "|Operations - Core Title|Operations - Core Title")))</f>
        <v>|Operations - Core Title|Operations - Core Title</v>
      </c>
      <c r="AK27" s="35"/>
      <c r="AL27" s="117" t="str">
        <f>if('Ingest Template'!A27="Standard",(IF(OR('Ingest Template'!F27 = "Program Type - Special", 'Ingest Template'!F27 = "Program Type - Live Event"),'Ingest Template'!Q27&amp;"|"&amp;TEXT('Ingest Template'!C27-3, "yyyy-mm-dd")&amp;"|"&amp;TEXT('Ingest Template'!C27+3, "yyyy-mm-dd"),'Ingest Template'!Q27&amp; "|2021-01-01")),(IF(OR('Ingest Template'!F27 = "Program Type - Special", 'Ingest Template'!F27 = "Program Type - Live Event"),'Ingest Template'!Q27&amp; "|"&amp;TEXT('Ingest Template'!C27-3, "yyyy-mm-dd")&amp;"|"&amp;TEXT('Ingest Template'!C27+3, "yyyy-mm-dd"),'Ingest Template'!Q27)))</f>
        <v/>
      </c>
      <c r="AM27" s="35" t="str">
        <f>'Ingest Template'!AC27</f>
        <v/>
      </c>
    </row>
    <row r="28">
      <c r="A28" s="15"/>
      <c r="B28" s="22" t="str">
        <f>'Ingest Template'!C28&amp;IF('Ingest Template'!A28 = "Standard", " - DAR","")</f>
        <v/>
      </c>
      <c r="C28" s="22" t="s">
        <v>83</v>
      </c>
      <c r="D28" s="22" t="str">
        <f t="array" ref="D28">CONCATENATE(INDEX(DropdownLists!$H$2:$H$11,MATCH(1,COUNTIF('Ingest Template'!E28,"*"&amp;DropdownLists!$I$2:$I$11&amp;"*"),0)),CHAR(10),'Ingest Template'!F28,CHAR(10),'Ingest Template'!G28,CHAR(10),VLOOKUP('Ingest Template'!D28,DropdownLists!C:D,2,FALSE))</f>
        <v>#N/A</v>
      </c>
      <c r="E28" s="22" t="str">
        <f>CONCATENATE('Ingest Template'!H28,CHAR(10),'Ingest Template'!I28,CHAR(10),'Ingest Template'!J28,CHAR(10))</f>
        <v>
</v>
      </c>
      <c r="F28" s="35" t="str">
        <f t="array" ref="F28">INDEX(DropdownLists!$O$2:$O$36,MATCH(1,COUNTIF(E28,"*"&amp;DropdownLists!$N$2:$N$36&amp;"*"),0))</f>
        <v/>
      </c>
      <c r="G28" s="35"/>
      <c r="H28" s="22" t="str">
        <f t="array" ref="H28">INDEX(DropdownLists!$E$2:$E$276,MATCH('Ingest Template'!D28,DropdownLists!$C$2:$C$276,0))</f>
        <v>#N/A</v>
      </c>
      <c r="I28" s="22"/>
      <c r="J28" s="22" t="str">
        <f t="array" ref="J28">iF('Ingest Template'!A28="Standard","Pristine Brand",INDEX(DropdownLists!$B$2:$B$246,MATCH('Ingest Template'!D28,DropdownLists!$C$2:$C$246,0)))</f>
        <v>#N/A</v>
      </c>
      <c r="K28" s="22" t="str">
        <f>iF('Ingest Template'!A28="Standard",'Ingest Template'!K28&amp;CHAR(10)&amp;'Ingest Template'!L28,"Competitive View")</f>
        <v>Competitive View</v>
      </c>
      <c r="L28" s="22" t="s">
        <v>95</v>
      </c>
      <c r="M28" s="45" t="str">
        <f>'Ingest Template'!B28</f>
        <v/>
      </c>
      <c r="N28" s="35"/>
      <c r="O28" s="35"/>
      <c r="P28" s="35"/>
      <c r="Q28" s="35"/>
      <c r="R28" s="35" t="str">
        <f>'Ingest Template'!D28</f>
        <v/>
      </c>
      <c r="S28" s="22" t="s">
        <v>101</v>
      </c>
      <c r="T28" s="35" t="str">
        <f>'Ingest Template'!V28</f>
        <v/>
      </c>
      <c r="U28" s="35" t="str">
        <f>'Ingest Template'!W28</f>
        <v/>
      </c>
      <c r="V28" s="35" t="str">
        <f>LOWER(SUBSTITUTE(SUBSTITUTE(SUBSTITUTE(SUBSTITUTE(SUBSTITUTE('Ingest Template'!X28,"https:",""),"www.",""),"/",""),"?hl=en",""),"instagram.com",""))</f>
        <v/>
      </c>
      <c r="W28" s="74" t="str">
        <f t="array" ref="W28">IF(
'Ingest Template'!Y28="",
SUBSTITUTE(
INDEX(DropdownLists!$F$2:$F$277,MATCH('Ingest Template'!D28,DropdownLists!$C$2:$C$277,0)),
CHAR(10),
"|"&amp;'Ingest Template'!C28&amp;CHAR(10)
)&amp;"|"&amp;'Ingest Template'!C28,
SUBSTITUTE(
INDEX(DropdownLists!$F$2:$F$277,MATCH('Ingest Template'!D28,DropdownLists!$C$2:$C$277,0)),
CHAR(10),
"|"&amp;'Ingest Template'!C28&amp;CHAR(10)
)&amp;"|"&amp;'Ingest Template'!C28&amp;CHAR(10)&amp;'Ingest Template'!Y28
)</f>
        <v>#N/A</v>
      </c>
      <c r="X28" s="74" t="str">
        <f>'Ingest Template'!Z28</f>
        <v/>
      </c>
      <c r="Y28" s="35" t="str">
        <f>SUBSTITUTE(SUBSTITUTE(SUBSTITUTE('Ingest Template'!AA28,"http:",""),"https:",""),"/","")</f>
        <v/>
      </c>
      <c r="Z28" s="35" t="str">
        <f t="array" ref="Z28">IF('Ingest Template'!A28="Standard",(IF(ISBLANK('Ingest Template'!AB28),"", 'Ingest Template'!AB28&amp;"|DAR")),(IF(ISBLANK('Ingest Template'!AB28),"", 'Ingest Template'!AB28&amp;"|TV Ops")))</f>
        <v/>
      </c>
      <c r="AA28" s="35"/>
      <c r="AB28" s="35" t="str">
        <f>'Ingest Template'!R28</f>
        <v/>
      </c>
      <c r="AC28" s="35" t="str">
        <f>'Ingest Template'!T28</f>
        <v/>
      </c>
      <c r="AD28" s="35" t="str">
        <f>'Ingest Template'!S28</f>
        <v/>
      </c>
      <c r="AE28" s="35" t="str">
        <f>'Ingest Template'!U28</f>
        <v/>
      </c>
      <c r="AF28" s="22"/>
      <c r="AG28" s="35" t="str">
        <f t="array" ref="AG28">IF('Ingest Template'!A28="Standard",(CONCATENATE(IF(ISBLANK('Ingest Template'!N28),"", 'Ingest Template'!N28&amp;"|DAR"),CHAR(10), IF(ISBLANK('Ingest Template'!O28),"", 'Ingest Template'!O28&amp;"|DAR"),CHAR(10), IF(ISBLANK('Ingest Template'!P28),"", 'Ingest Template'!P28&amp;"|DAR"))),(CONCATENATE(IF(ISBLANK('Ingest Template'!N28),"", 'Ingest Template'!N28&amp;"|TV Ops"),CHAR(10), IF(ISBLANK('Ingest Template'!O28),"", 'Ingest Template'!O28&amp;"|TV Ops"),CHAR(10), IF(ISBLANK('Ingest Template'!P28),"", 'Ingest Template'!P28&amp;"|TV Ops"))))</f>
        <v>
</v>
      </c>
      <c r="AH28" s="35"/>
      <c r="AI28" s="35"/>
      <c r="AJ28" s="117" t="str">
        <f>if('Ingest Template'!A28="Standard",(IF(OR('Ingest Template'!F28 = "Program Type - Special", 'Ingest Template'!F28 = "Program Type - Live Event"),'Ingest Template'!M28&amp; "|DAR|DAR|"&amp;TEXT('Ingest Template'!C28-3, "yyyy-mm-dd")&amp;"|"&amp;TEXT('Ingest Template'!C28+3, "yyyy-mm-dd"),'Ingest Template'!M28&amp; "|DAR|DAR|2021-01-01")),(IF(OR('Ingest Template'!F28 = "Program Type - Special", 'Ingest Template'!F28 = "Program Type - Live Event"),'Ingest Template'!M28&amp; "|Operations - Core Title|Operations - Core Title|"&amp;TEXT('Ingest Template'!C28-3, "yyyy-mm-dd")&amp;"|"&amp;TEXT('Ingest Template'!C28+3, "yyyy-mm-dd"),'Ingest Template'!M28&amp; "|Operations - Core Title|Operations - Core Title")))</f>
        <v>|Operations - Core Title|Operations - Core Title</v>
      </c>
      <c r="AK28" s="35"/>
      <c r="AL28" s="117" t="str">
        <f>if('Ingest Template'!A28="Standard",(IF(OR('Ingest Template'!F28 = "Program Type - Special", 'Ingest Template'!F28 = "Program Type - Live Event"),'Ingest Template'!Q28&amp;"|"&amp;TEXT('Ingest Template'!C28-3, "yyyy-mm-dd")&amp;"|"&amp;TEXT('Ingest Template'!C28+3, "yyyy-mm-dd"),'Ingest Template'!Q28&amp; "|2021-01-01")),(IF(OR('Ingest Template'!F28 = "Program Type - Special", 'Ingest Template'!F28 = "Program Type - Live Event"),'Ingest Template'!Q28&amp; "|"&amp;TEXT('Ingest Template'!C28-3, "yyyy-mm-dd")&amp;"|"&amp;TEXT('Ingest Template'!C28+3, "yyyy-mm-dd"),'Ingest Template'!Q28)))</f>
        <v/>
      </c>
      <c r="AM28" s="35" t="str">
        <f>'Ingest Template'!AC28</f>
        <v/>
      </c>
    </row>
    <row r="29">
      <c r="A29" s="15"/>
      <c r="B29" s="22" t="str">
        <f>'Ingest Template'!C29&amp;IF('Ingest Template'!A29 = "Standard", " - DAR","")</f>
        <v/>
      </c>
      <c r="C29" s="22" t="s">
        <v>83</v>
      </c>
      <c r="D29" s="22" t="str">
        <f t="array" ref="D29">CONCATENATE(INDEX(DropdownLists!$H$2:$H$11,MATCH(1,COUNTIF('Ingest Template'!E29,"*"&amp;DropdownLists!$I$2:$I$11&amp;"*"),0)),CHAR(10),'Ingest Template'!F29,CHAR(10),'Ingest Template'!G29,CHAR(10),VLOOKUP('Ingest Template'!D29,DropdownLists!C:D,2,FALSE))</f>
        <v>#N/A</v>
      </c>
      <c r="E29" s="22" t="str">
        <f>CONCATENATE('Ingest Template'!H29,CHAR(10),'Ingest Template'!I29,CHAR(10),'Ingest Template'!J29,CHAR(10))</f>
        <v>
</v>
      </c>
      <c r="F29" s="35" t="str">
        <f t="array" ref="F29">INDEX(DropdownLists!$O$2:$O$36,MATCH(1,COUNTIF(E29,"*"&amp;DropdownLists!$N$2:$N$36&amp;"*"),0))</f>
        <v/>
      </c>
      <c r="G29" s="35"/>
      <c r="H29" s="22" t="str">
        <f t="array" ref="H29">INDEX(DropdownLists!$E$2:$E$276,MATCH('Ingest Template'!D29,DropdownLists!$C$2:$C$276,0))</f>
        <v>#N/A</v>
      </c>
      <c r="I29" s="22"/>
      <c r="J29" s="22" t="str">
        <f t="array" ref="J29">iF('Ingest Template'!A29="Standard","Pristine Brand",INDEX(DropdownLists!$B$2:$B$246,MATCH('Ingest Template'!D29,DropdownLists!$C$2:$C$246,0)))</f>
        <v>#N/A</v>
      </c>
      <c r="K29" s="22" t="str">
        <f>iF('Ingest Template'!A29="Standard",'Ingest Template'!K29&amp;CHAR(10)&amp;'Ingest Template'!L29,"Competitive View")</f>
        <v>Competitive View</v>
      </c>
      <c r="L29" s="22" t="s">
        <v>95</v>
      </c>
      <c r="M29" s="45" t="str">
        <f>'Ingest Template'!B29</f>
        <v/>
      </c>
      <c r="N29" s="35"/>
      <c r="O29" s="35"/>
      <c r="P29" s="35"/>
      <c r="Q29" s="35"/>
      <c r="R29" s="35" t="str">
        <f>'Ingest Template'!D29</f>
        <v/>
      </c>
      <c r="S29" s="22" t="s">
        <v>101</v>
      </c>
      <c r="T29" s="35" t="str">
        <f>'Ingest Template'!V29</f>
        <v/>
      </c>
      <c r="U29" s="35" t="str">
        <f>'Ingest Template'!W29</f>
        <v/>
      </c>
      <c r="V29" s="35" t="str">
        <f>LOWER(SUBSTITUTE(SUBSTITUTE(SUBSTITUTE(SUBSTITUTE(SUBSTITUTE('Ingest Template'!X29,"https:",""),"www.",""),"/",""),"?hl=en",""),"instagram.com",""))</f>
        <v/>
      </c>
      <c r="W29" s="74" t="str">
        <f t="array" ref="W29">IF(
'Ingest Template'!Y29="",
SUBSTITUTE(
INDEX(DropdownLists!$F$2:$F$277,MATCH('Ingest Template'!D29,DropdownLists!$C$2:$C$277,0)),
CHAR(10),
"|"&amp;'Ingest Template'!C29&amp;CHAR(10)
)&amp;"|"&amp;'Ingest Template'!C29,
SUBSTITUTE(
INDEX(DropdownLists!$F$2:$F$277,MATCH('Ingest Template'!D29,DropdownLists!$C$2:$C$277,0)),
CHAR(10),
"|"&amp;'Ingest Template'!C29&amp;CHAR(10)
)&amp;"|"&amp;'Ingest Template'!C29&amp;CHAR(10)&amp;'Ingest Template'!Y29
)</f>
        <v>#N/A</v>
      </c>
      <c r="X29" s="74" t="str">
        <f>'Ingest Template'!Z29</f>
        <v/>
      </c>
      <c r="Y29" s="35" t="str">
        <f>SUBSTITUTE(SUBSTITUTE(SUBSTITUTE('Ingest Template'!AA29,"http:",""),"https:",""),"/","")</f>
        <v/>
      </c>
      <c r="Z29" s="35" t="str">
        <f t="array" ref="Z29">IF('Ingest Template'!A29="Standard",(IF(ISBLANK('Ingest Template'!AB29),"", 'Ingest Template'!AB29&amp;"|DAR")),(IF(ISBLANK('Ingest Template'!AB29),"", 'Ingest Template'!AB29&amp;"|TV Ops")))</f>
        <v/>
      </c>
      <c r="AA29" s="35"/>
      <c r="AB29" s="35" t="str">
        <f>'Ingest Template'!R29</f>
        <v/>
      </c>
      <c r="AC29" s="35" t="str">
        <f>'Ingest Template'!T29</f>
        <v/>
      </c>
      <c r="AD29" s="35" t="str">
        <f>'Ingest Template'!S29</f>
        <v/>
      </c>
      <c r="AE29" s="35" t="str">
        <f>'Ingest Template'!U29</f>
        <v/>
      </c>
      <c r="AF29" s="22"/>
      <c r="AG29" s="35" t="str">
        <f t="array" ref="AG29">IF('Ingest Template'!A29="Standard",(CONCATENATE(IF(ISBLANK('Ingest Template'!N29),"", 'Ingest Template'!N29&amp;"|DAR"),CHAR(10), IF(ISBLANK('Ingest Template'!O29),"", 'Ingest Template'!O29&amp;"|DAR"),CHAR(10), IF(ISBLANK('Ingest Template'!P29),"", 'Ingest Template'!P29&amp;"|DAR"))),(CONCATENATE(IF(ISBLANK('Ingest Template'!N29),"", 'Ingest Template'!N29&amp;"|TV Ops"),CHAR(10), IF(ISBLANK('Ingest Template'!O29),"", 'Ingest Template'!O29&amp;"|TV Ops"),CHAR(10), IF(ISBLANK('Ingest Template'!P29),"", 'Ingest Template'!P29&amp;"|TV Ops"))))</f>
        <v>
</v>
      </c>
      <c r="AH29" s="35"/>
      <c r="AI29" s="35"/>
      <c r="AJ29" s="117" t="str">
        <f>if('Ingest Template'!A29="Standard",(IF(OR('Ingest Template'!F29 = "Program Type - Special", 'Ingest Template'!F29 = "Program Type - Live Event"),'Ingest Template'!M29&amp; "|DAR|DAR|"&amp;TEXT('Ingest Template'!C29-3, "yyyy-mm-dd")&amp;"|"&amp;TEXT('Ingest Template'!C29+3, "yyyy-mm-dd"),'Ingest Template'!M29&amp; "|DAR|DAR|2021-01-01")),(IF(OR('Ingest Template'!F29 = "Program Type - Special", 'Ingest Template'!F29 = "Program Type - Live Event"),'Ingest Template'!M29&amp; "|Operations - Core Title|Operations - Core Title|"&amp;TEXT('Ingest Template'!C29-3, "yyyy-mm-dd")&amp;"|"&amp;TEXT('Ingest Template'!C29+3, "yyyy-mm-dd"),'Ingest Template'!M29&amp; "|Operations - Core Title|Operations - Core Title")))</f>
        <v>|Operations - Core Title|Operations - Core Title</v>
      </c>
      <c r="AK29" s="35"/>
      <c r="AL29" s="117" t="str">
        <f>if('Ingest Template'!A29="Standard",(IF(OR('Ingest Template'!F29 = "Program Type - Special", 'Ingest Template'!F29 = "Program Type - Live Event"),'Ingest Template'!Q29&amp;"|"&amp;TEXT('Ingest Template'!C29-3, "yyyy-mm-dd")&amp;"|"&amp;TEXT('Ingest Template'!C29+3, "yyyy-mm-dd"),'Ingest Template'!Q29&amp; "|2021-01-01")),(IF(OR('Ingest Template'!F29 = "Program Type - Special", 'Ingest Template'!F29 = "Program Type - Live Event"),'Ingest Template'!Q29&amp; "|"&amp;TEXT('Ingest Template'!C29-3, "yyyy-mm-dd")&amp;"|"&amp;TEXT('Ingest Template'!C29+3, "yyyy-mm-dd"),'Ingest Template'!Q29)))</f>
        <v/>
      </c>
      <c r="AM29" s="35" t="str">
        <f>'Ingest Template'!AC29</f>
        <v/>
      </c>
    </row>
    <row r="30">
      <c r="A30" s="15"/>
      <c r="B30" s="22" t="str">
        <f>'Ingest Template'!C30&amp;IF('Ingest Template'!A30 = "Standard", " - DAR","")</f>
        <v/>
      </c>
      <c r="C30" s="22" t="s">
        <v>83</v>
      </c>
      <c r="D30" s="22" t="str">
        <f t="array" ref="D30">CONCATENATE(INDEX(DropdownLists!$H$2:$H$11,MATCH(1,COUNTIF('Ingest Template'!E30,"*"&amp;DropdownLists!$I$2:$I$11&amp;"*"),0)),CHAR(10),'Ingest Template'!F30,CHAR(10),'Ingest Template'!G30,CHAR(10),VLOOKUP('Ingest Template'!D30,DropdownLists!C:D,2,FALSE))</f>
        <v>#N/A</v>
      </c>
      <c r="E30" s="22" t="str">
        <f>CONCATENATE('Ingest Template'!H30,CHAR(10),'Ingest Template'!I30,CHAR(10),'Ingest Template'!J30,CHAR(10))</f>
        <v>
</v>
      </c>
      <c r="F30" s="35" t="str">
        <f t="array" ref="F30">INDEX(DropdownLists!$O$2:$O$36,MATCH(1,COUNTIF(E30,"*"&amp;DropdownLists!$N$2:$N$36&amp;"*"),0))</f>
        <v/>
      </c>
      <c r="G30" s="35"/>
      <c r="H30" s="22" t="str">
        <f t="array" ref="H30">INDEX(DropdownLists!$E$2:$E$276,MATCH('Ingest Template'!D30,DropdownLists!$C$2:$C$276,0))</f>
        <v>#N/A</v>
      </c>
      <c r="I30" s="22"/>
      <c r="J30" s="22" t="str">
        <f t="array" ref="J30">iF('Ingest Template'!A30="Standard","Pristine Brand",INDEX(DropdownLists!$B$2:$B$246,MATCH('Ingest Template'!D30,DropdownLists!$C$2:$C$246,0)))</f>
        <v>#N/A</v>
      </c>
      <c r="K30" s="22" t="str">
        <f>iF('Ingest Template'!A30="Standard",'Ingest Template'!K30&amp;CHAR(10)&amp;'Ingest Template'!L30,"Competitive View")</f>
        <v>Competitive View</v>
      </c>
      <c r="L30" s="22" t="s">
        <v>95</v>
      </c>
      <c r="M30" s="45" t="str">
        <f>'Ingest Template'!B30</f>
        <v/>
      </c>
      <c r="N30" s="35"/>
      <c r="O30" s="35"/>
      <c r="P30" s="35"/>
      <c r="Q30" s="35"/>
      <c r="R30" s="35" t="str">
        <f>'Ingest Template'!D30</f>
        <v/>
      </c>
      <c r="S30" s="22" t="s">
        <v>101</v>
      </c>
      <c r="T30" s="35" t="str">
        <f>'Ingest Template'!V30</f>
        <v/>
      </c>
      <c r="U30" s="35" t="str">
        <f>'Ingest Template'!W30</f>
        <v/>
      </c>
      <c r="V30" s="35" t="str">
        <f>LOWER(SUBSTITUTE(SUBSTITUTE(SUBSTITUTE(SUBSTITUTE(SUBSTITUTE('Ingest Template'!X30,"https:",""),"www.",""),"/",""),"?hl=en",""),"instagram.com",""))</f>
        <v/>
      </c>
      <c r="W30" s="74" t="str">
        <f t="array" ref="W30">IF(
'Ingest Template'!Y30="",
SUBSTITUTE(
INDEX(DropdownLists!$F$2:$F$277,MATCH('Ingest Template'!D30,DropdownLists!$C$2:$C$277,0)),
CHAR(10),
"|"&amp;'Ingest Template'!C30&amp;CHAR(10)
)&amp;"|"&amp;'Ingest Template'!C30,
SUBSTITUTE(
INDEX(DropdownLists!$F$2:$F$277,MATCH('Ingest Template'!D30,DropdownLists!$C$2:$C$277,0)),
CHAR(10),
"|"&amp;'Ingest Template'!C30&amp;CHAR(10)
)&amp;"|"&amp;'Ingest Template'!C30&amp;CHAR(10)&amp;'Ingest Template'!Y30
)</f>
        <v>#N/A</v>
      </c>
      <c r="X30" s="74" t="str">
        <f>'Ingest Template'!Z30</f>
        <v/>
      </c>
      <c r="Y30" s="35" t="str">
        <f>SUBSTITUTE(SUBSTITUTE(SUBSTITUTE('Ingest Template'!AA30,"http:",""),"https:",""),"/","")</f>
        <v/>
      </c>
      <c r="Z30" s="35" t="str">
        <f t="array" ref="Z30">IF('Ingest Template'!A30="Standard",(IF(ISBLANK('Ingest Template'!AB30),"", 'Ingest Template'!AB30&amp;"|DAR")),(IF(ISBLANK('Ingest Template'!AB30),"", 'Ingest Template'!AB30&amp;"|TV Ops")))</f>
        <v/>
      </c>
      <c r="AA30" s="35"/>
      <c r="AB30" s="35" t="str">
        <f>'Ingest Template'!R30</f>
        <v/>
      </c>
      <c r="AC30" s="35" t="str">
        <f>'Ingest Template'!T30</f>
        <v/>
      </c>
      <c r="AD30" s="35" t="str">
        <f>'Ingest Template'!S30</f>
        <v/>
      </c>
      <c r="AE30" s="35" t="str">
        <f>'Ingest Template'!U30</f>
        <v/>
      </c>
      <c r="AF30" s="22"/>
      <c r="AG30" s="35" t="str">
        <f t="array" ref="AG30">IF('Ingest Template'!A30="Standard",(CONCATENATE(IF(ISBLANK('Ingest Template'!N30),"", 'Ingest Template'!N30&amp;"|DAR"),CHAR(10), IF(ISBLANK('Ingest Template'!O30),"", 'Ingest Template'!O30&amp;"|DAR"),CHAR(10), IF(ISBLANK('Ingest Template'!P30),"", 'Ingest Template'!P30&amp;"|DAR"))),(CONCATENATE(IF(ISBLANK('Ingest Template'!N30),"", 'Ingest Template'!N30&amp;"|TV Ops"),CHAR(10), IF(ISBLANK('Ingest Template'!O30),"", 'Ingest Template'!O30&amp;"|TV Ops"),CHAR(10), IF(ISBLANK('Ingest Template'!P30),"", 'Ingest Template'!P30&amp;"|TV Ops"))))</f>
        <v>
</v>
      </c>
      <c r="AH30" s="35"/>
      <c r="AI30" s="35"/>
      <c r="AJ30" s="117" t="str">
        <f>if('Ingest Template'!A30="Standard",(IF(OR('Ingest Template'!F30 = "Program Type - Special", 'Ingest Template'!F30 = "Program Type - Live Event"),'Ingest Template'!M30&amp; "|DAR|DAR|"&amp;TEXT('Ingest Template'!C30-3, "yyyy-mm-dd")&amp;"|"&amp;TEXT('Ingest Template'!C30+3, "yyyy-mm-dd"),'Ingest Template'!M30&amp; "|DAR|DAR|2021-01-01")),(IF(OR('Ingest Template'!F30 = "Program Type - Special", 'Ingest Template'!F30 = "Program Type - Live Event"),'Ingest Template'!M30&amp; "|Operations - Core Title|Operations - Core Title|"&amp;TEXT('Ingest Template'!C30-3, "yyyy-mm-dd")&amp;"|"&amp;TEXT('Ingest Template'!C30+3, "yyyy-mm-dd"),'Ingest Template'!M30&amp; "|Operations - Core Title|Operations - Core Title")))</f>
        <v>|Operations - Core Title|Operations - Core Title</v>
      </c>
      <c r="AK30" s="35"/>
      <c r="AL30" s="117" t="str">
        <f>if('Ingest Template'!A30="Standard",(IF(OR('Ingest Template'!F30 = "Program Type - Special", 'Ingest Template'!F30 = "Program Type - Live Event"),'Ingest Template'!Q30&amp;"|"&amp;TEXT('Ingest Template'!C30-3, "yyyy-mm-dd")&amp;"|"&amp;TEXT('Ingest Template'!C30+3, "yyyy-mm-dd"),'Ingest Template'!Q30&amp; "|2021-01-01")),(IF(OR('Ingest Template'!F30 = "Program Type - Special", 'Ingest Template'!F30 = "Program Type - Live Event"),'Ingest Template'!Q30&amp; "|"&amp;TEXT('Ingest Template'!C30-3, "yyyy-mm-dd")&amp;"|"&amp;TEXT('Ingest Template'!C30+3, "yyyy-mm-dd"),'Ingest Template'!Q30)))</f>
        <v/>
      </c>
      <c r="AM30" s="35" t="str">
        <f>'Ingest Template'!AC30</f>
        <v/>
      </c>
    </row>
    <row r="31">
      <c r="A31" s="15"/>
      <c r="B31" s="22" t="str">
        <f>'Ingest Template'!C31&amp;IF('Ingest Template'!A31 = "Standard", " - DAR","")</f>
        <v/>
      </c>
      <c r="C31" s="22" t="s">
        <v>83</v>
      </c>
      <c r="D31" s="22" t="str">
        <f t="array" ref="D31">CONCATENATE(INDEX(DropdownLists!$H$2:$H$11,MATCH(1,COUNTIF('Ingest Template'!E31,"*"&amp;DropdownLists!$I$2:$I$11&amp;"*"),0)),CHAR(10),'Ingest Template'!F31,CHAR(10),'Ingest Template'!G31,CHAR(10),VLOOKUP('Ingest Template'!D31,DropdownLists!C:D,2,FALSE))</f>
        <v>#N/A</v>
      </c>
      <c r="E31" s="22" t="str">
        <f>CONCATENATE('Ingest Template'!H31,CHAR(10),'Ingest Template'!I31,CHAR(10),'Ingest Template'!J31,CHAR(10))</f>
        <v>
</v>
      </c>
      <c r="F31" s="35" t="str">
        <f t="array" ref="F31">INDEX(DropdownLists!$O$2:$O$36,MATCH(1,COUNTIF(E31,"*"&amp;DropdownLists!$N$2:$N$36&amp;"*"),0))</f>
        <v/>
      </c>
      <c r="G31" s="35"/>
      <c r="H31" s="22" t="str">
        <f t="array" ref="H31">INDEX(DropdownLists!$E$2:$E$276,MATCH('Ingest Template'!D31,DropdownLists!$C$2:$C$276,0))</f>
        <v>#N/A</v>
      </c>
      <c r="I31" s="22"/>
      <c r="J31" s="22" t="str">
        <f t="array" ref="J31">iF('Ingest Template'!A31="Standard","Pristine Brand",INDEX(DropdownLists!$B$2:$B$246,MATCH('Ingest Template'!D31,DropdownLists!$C$2:$C$246,0)))</f>
        <v>#N/A</v>
      </c>
      <c r="K31" s="22" t="str">
        <f>iF('Ingest Template'!A31="Standard",'Ingest Template'!K31&amp;CHAR(10)&amp;'Ingest Template'!L31,"Competitive View")</f>
        <v>Competitive View</v>
      </c>
      <c r="L31" s="22" t="s">
        <v>95</v>
      </c>
      <c r="M31" s="45" t="str">
        <f>'Ingest Template'!B31</f>
        <v/>
      </c>
      <c r="N31" s="35"/>
      <c r="O31" s="35"/>
      <c r="P31" s="35"/>
      <c r="Q31" s="35"/>
      <c r="R31" s="35" t="str">
        <f>'Ingest Template'!D31</f>
        <v/>
      </c>
      <c r="S31" s="22" t="s">
        <v>101</v>
      </c>
      <c r="T31" s="35" t="str">
        <f>'Ingest Template'!V31</f>
        <v/>
      </c>
      <c r="U31" s="35" t="str">
        <f>'Ingest Template'!W31</f>
        <v/>
      </c>
      <c r="V31" s="35" t="str">
        <f>LOWER(SUBSTITUTE(SUBSTITUTE(SUBSTITUTE(SUBSTITUTE(SUBSTITUTE('Ingest Template'!X31,"https:",""),"www.",""),"/",""),"?hl=en",""),"instagram.com",""))</f>
        <v/>
      </c>
      <c r="W31" s="74" t="str">
        <f t="array" ref="W31">IF(
'Ingest Template'!Y31="",
SUBSTITUTE(
INDEX(DropdownLists!$F$2:$F$277,MATCH('Ingest Template'!D31,DropdownLists!$C$2:$C$277,0)),
CHAR(10),
"|"&amp;'Ingest Template'!C31&amp;CHAR(10)
)&amp;"|"&amp;'Ingest Template'!C31,
SUBSTITUTE(
INDEX(DropdownLists!$F$2:$F$277,MATCH('Ingest Template'!D31,DropdownLists!$C$2:$C$277,0)),
CHAR(10),
"|"&amp;'Ingest Template'!C31&amp;CHAR(10)
)&amp;"|"&amp;'Ingest Template'!C31&amp;CHAR(10)&amp;'Ingest Template'!Y31
)</f>
        <v>#N/A</v>
      </c>
      <c r="X31" s="74" t="str">
        <f>'Ingest Template'!Z31</f>
        <v/>
      </c>
      <c r="Y31" s="35" t="str">
        <f>SUBSTITUTE(SUBSTITUTE(SUBSTITUTE('Ingest Template'!AA31,"http:",""),"https:",""),"/","")</f>
        <v/>
      </c>
      <c r="Z31" s="35" t="str">
        <f t="array" ref="Z31">IF('Ingest Template'!A31="Standard",(IF(ISBLANK('Ingest Template'!AB31),"", 'Ingest Template'!AB31&amp;"|DAR")),(IF(ISBLANK('Ingest Template'!AB31),"", 'Ingest Template'!AB31&amp;"|TV Ops")))</f>
        <v/>
      </c>
      <c r="AA31" s="35"/>
      <c r="AB31" s="35" t="str">
        <f>'Ingest Template'!R31</f>
        <v/>
      </c>
      <c r="AC31" s="35" t="str">
        <f>'Ingest Template'!T31</f>
        <v/>
      </c>
      <c r="AD31" s="35" t="str">
        <f>'Ingest Template'!S31</f>
        <v/>
      </c>
      <c r="AE31" s="35" t="str">
        <f>'Ingest Template'!U31</f>
        <v/>
      </c>
      <c r="AF31" s="22"/>
      <c r="AG31" s="35" t="str">
        <f t="array" ref="AG31">IF('Ingest Template'!A31="Standard",(CONCATENATE(IF(ISBLANK('Ingest Template'!N31),"", 'Ingest Template'!N31&amp;"|DAR"),CHAR(10), IF(ISBLANK('Ingest Template'!O31),"", 'Ingest Template'!O31&amp;"|DAR"),CHAR(10), IF(ISBLANK('Ingest Template'!P31),"", 'Ingest Template'!P31&amp;"|DAR"))),(CONCATENATE(IF(ISBLANK('Ingest Template'!N31),"", 'Ingest Template'!N31&amp;"|TV Ops"),CHAR(10), IF(ISBLANK('Ingest Template'!O31),"", 'Ingest Template'!O31&amp;"|TV Ops"),CHAR(10), IF(ISBLANK('Ingest Template'!P31),"", 'Ingest Template'!P31&amp;"|TV Ops"))))</f>
        <v>
</v>
      </c>
      <c r="AH31" s="35"/>
      <c r="AI31" s="35"/>
      <c r="AJ31" s="117" t="str">
        <f>if('Ingest Template'!A31="Standard",(IF(OR('Ingest Template'!F31 = "Program Type - Special", 'Ingest Template'!F31 = "Program Type - Live Event"),'Ingest Template'!M31&amp; "|DAR|DAR|"&amp;TEXT('Ingest Template'!C31-3, "yyyy-mm-dd")&amp;"|"&amp;TEXT('Ingest Template'!C31+3, "yyyy-mm-dd"),'Ingest Template'!M31&amp; "|DAR|DAR|2021-01-01")),(IF(OR('Ingest Template'!F31 = "Program Type - Special", 'Ingest Template'!F31 = "Program Type - Live Event"),'Ingest Template'!M31&amp; "|Operations - Core Title|Operations - Core Title|"&amp;TEXT('Ingest Template'!C31-3, "yyyy-mm-dd")&amp;"|"&amp;TEXT('Ingest Template'!C31+3, "yyyy-mm-dd"),'Ingest Template'!M31&amp; "|Operations - Core Title|Operations - Core Title")))</f>
        <v>|Operations - Core Title|Operations - Core Title</v>
      </c>
      <c r="AK31" s="35"/>
      <c r="AL31" s="117" t="str">
        <f>if('Ingest Template'!A31="Standard",(IF(OR('Ingest Template'!F31 = "Program Type - Special", 'Ingest Template'!F31 = "Program Type - Live Event"),'Ingest Template'!Q31&amp;"|"&amp;TEXT('Ingest Template'!C31-3, "yyyy-mm-dd")&amp;"|"&amp;TEXT('Ingest Template'!C31+3, "yyyy-mm-dd"),'Ingest Template'!Q31&amp; "|2021-01-01")),(IF(OR('Ingest Template'!F31 = "Program Type - Special", 'Ingest Template'!F31 = "Program Type - Live Event"),'Ingest Template'!Q31&amp; "|"&amp;TEXT('Ingest Template'!C31-3, "yyyy-mm-dd")&amp;"|"&amp;TEXT('Ingest Template'!C31+3, "yyyy-mm-dd"),'Ingest Template'!Q31)))</f>
        <v/>
      </c>
      <c r="AM31" s="35" t="str">
        <f>'Ingest Template'!AC31</f>
        <v/>
      </c>
    </row>
    <row r="32">
      <c r="A32" s="15"/>
      <c r="B32" s="22" t="str">
        <f>'Ingest Template'!C32&amp;IF('Ingest Template'!A32 = "Standard", " - DAR","")</f>
        <v/>
      </c>
      <c r="C32" s="22" t="s">
        <v>83</v>
      </c>
      <c r="D32" s="22" t="str">
        <f t="array" ref="D32">CONCATENATE(INDEX(DropdownLists!$H$2:$H$11,MATCH(1,COUNTIF('Ingest Template'!E32,"*"&amp;DropdownLists!$I$2:$I$11&amp;"*"),0)),CHAR(10),'Ingest Template'!F32,CHAR(10),'Ingest Template'!G32,CHAR(10),VLOOKUP('Ingest Template'!D32,DropdownLists!C:D,2,FALSE))</f>
        <v>#N/A</v>
      </c>
      <c r="E32" s="22" t="str">
        <f>CONCATENATE('Ingest Template'!H32,CHAR(10),'Ingest Template'!I32,CHAR(10),'Ingest Template'!J32,CHAR(10))</f>
        <v>
</v>
      </c>
      <c r="F32" s="35" t="str">
        <f t="array" ref="F32">INDEX(DropdownLists!$O$2:$O$36,MATCH(1,COUNTIF(E32,"*"&amp;DropdownLists!$N$2:$N$36&amp;"*"),0))</f>
        <v/>
      </c>
      <c r="G32" s="35"/>
      <c r="H32" s="22" t="str">
        <f t="array" ref="H32">INDEX(DropdownLists!$E$2:$E$276,MATCH('Ingest Template'!D32,DropdownLists!$C$2:$C$276,0))</f>
        <v>#N/A</v>
      </c>
      <c r="I32" s="22"/>
      <c r="J32" s="22" t="str">
        <f t="array" ref="J32">iF('Ingest Template'!A32="Standard","Pristine Brand",INDEX(DropdownLists!$B$2:$B$246,MATCH('Ingest Template'!D32,DropdownLists!$C$2:$C$246,0)))</f>
        <v>#N/A</v>
      </c>
      <c r="K32" s="22" t="str">
        <f>iF('Ingest Template'!A32="Standard",'Ingest Template'!K32&amp;CHAR(10)&amp;'Ingest Template'!L32,"Competitive View")</f>
        <v>Competitive View</v>
      </c>
      <c r="L32" s="22" t="s">
        <v>95</v>
      </c>
      <c r="M32" s="45" t="str">
        <f>'Ingest Template'!B32</f>
        <v/>
      </c>
      <c r="N32" s="35"/>
      <c r="O32" s="35"/>
      <c r="P32" s="35"/>
      <c r="Q32" s="35"/>
      <c r="R32" s="35" t="str">
        <f>'Ingest Template'!D32</f>
        <v/>
      </c>
      <c r="S32" s="22" t="s">
        <v>101</v>
      </c>
      <c r="T32" s="35" t="str">
        <f>'Ingest Template'!V32</f>
        <v/>
      </c>
      <c r="U32" s="35" t="str">
        <f>'Ingest Template'!W32</f>
        <v/>
      </c>
      <c r="V32" s="35" t="str">
        <f>LOWER(SUBSTITUTE(SUBSTITUTE(SUBSTITUTE(SUBSTITUTE(SUBSTITUTE('Ingest Template'!X32,"https:",""),"www.",""),"/",""),"?hl=en",""),"instagram.com",""))</f>
        <v/>
      </c>
      <c r="W32" s="74" t="str">
        <f t="array" ref="W32">IF(
'Ingest Template'!Y32="",
SUBSTITUTE(
INDEX(DropdownLists!$F$2:$F$277,MATCH('Ingest Template'!D32,DropdownLists!$C$2:$C$277,0)),
CHAR(10),
"|"&amp;'Ingest Template'!C32&amp;CHAR(10)
)&amp;"|"&amp;'Ingest Template'!C32,
SUBSTITUTE(
INDEX(DropdownLists!$F$2:$F$277,MATCH('Ingest Template'!D32,DropdownLists!$C$2:$C$277,0)),
CHAR(10),
"|"&amp;'Ingest Template'!C32&amp;CHAR(10)
)&amp;"|"&amp;'Ingest Template'!C32&amp;CHAR(10)&amp;'Ingest Template'!Y32
)</f>
        <v>#N/A</v>
      </c>
      <c r="X32" s="74" t="str">
        <f>'Ingest Template'!Z32</f>
        <v/>
      </c>
      <c r="Y32" s="35" t="str">
        <f>SUBSTITUTE(SUBSTITUTE(SUBSTITUTE('Ingest Template'!AA32,"http:",""),"https:",""),"/","")</f>
        <v/>
      </c>
      <c r="Z32" s="35" t="str">
        <f t="array" ref="Z32">IF('Ingest Template'!A32="Standard",(IF(ISBLANK('Ingest Template'!AB32),"", 'Ingest Template'!AB32&amp;"|DAR")),(IF(ISBLANK('Ingest Template'!AB32),"", 'Ingest Template'!AB32&amp;"|TV Ops")))</f>
        <v/>
      </c>
      <c r="AA32" s="35"/>
      <c r="AB32" s="35" t="str">
        <f>'Ingest Template'!R32</f>
        <v/>
      </c>
      <c r="AC32" s="35" t="str">
        <f>'Ingest Template'!T32</f>
        <v/>
      </c>
      <c r="AD32" s="35" t="str">
        <f>'Ingest Template'!S32</f>
        <v/>
      </c>
      <c r="AE32" s="35" t="str">
        <f>'Ingest Template'!U32</f>
        <v/>
      </c>
      <c r="AF32" s="22"/>
      <c r="AG32" s="35" t="str">
        <f t="array" ref="AG32">IF('Ingest Template'!A32="Standard",(CONCATENATE(IF(ISBLANK('Ingest Template'!N32),"", 'Ingest Template'!N32&amp;"|DAR"),CHAR(10), IF(ISBLANK('Ingest Template'!O32),"", 'Ingest Template'!O32&amp;"|DAR"),CHAR(10), IF(ISBLANK('Ingest Template'!P32),"", 'Ingest Template'!P32&amp;"|DAR"))),(CONCATENATE(IF(ISBLANK('Ingest Template'!N32),"", 'Ingest Template'!N32&amp;"|TV Ops"),CHAR(10), IF(ISBLANK('Ingest Template'!O32),"", 'Ingest Template'!O32&amp;"|TV Ops"),CHAR(10), IF(ISBLANK('Ingest Template'!P32),"", 'Ingest Template'!P32&amp;"|TV Ops"))))</f>
        <v>
</v>
      </c>
      <c r="AH32" s="35"/>
      <c r="AI32" s="35"/>
      <c r="AJ32" s="117" t="str">
        <f>if('Ingest Template'!A32="Standard",(IF(OR('Ingest Template'!F32 = "Program Type - Special", 'Ingest Template'!F32 = "Program Type - Live Event"),'Ingest Template'!M32&amp; "|DAR|DAR|"&amp;TEXT('Ingest Template'!C32-3, "yyyy-mm-dd")&amp;"|"&amp;TEXT('Ingest Template'!C32+3, "yyyy-mm-dd"),'Ingest Template'!M32&amp; "|DAR|DAR|2021-01-01")),(IF(OR('Ingest Template'!F32 = "Program Type - Special", 'Ingest Template'!F32 = "Program Type - Live Event"),'Ingest Template'!M32&amp; "|Operations - Core Title|Operations - Core Title|"&amp;TEXT('Ingest Template'!C32-3, "yyyy-mm-dd")&amp;"|"&amp;TEXT('Ingest Template'!C32+3, "yyyy-mm-dd"),'Ingest Template'!M32&amp; "|Operations - Core Title|Operations - Core Title")))</f>
        <v>|Operations - Core Title|Operations - Core Title</v>
      </c>
      <c r="AK32" s="35"/>
      <c r="AL32" s="117" t="str">
        <f>if('Ingest Template'!A32="Standard",(IF(OR('Ingest Template'!F32 = "Program Type - Special", 'Ingest Template'!F32 = "Program Type - Live Event"),'Ingest Template'!Q32&amp;"|"&amp;TEXT('Ingest Template'!C32-3, "yyyy-mm-dd")&amp;"|"&amp;TEXT('Ingest Template'!C32+3, "yyyy-mm-dd"),'Ingest Template'!Q32&amp; "|2021-01-01")),(IF(OR('Ingest Template'!F32 = "Program Type - Special", 'Ingest Template'!F32 = "Program Type - Live Event"),'Ingest Template'!Q32&amp; "|"&amp;TEXT('Ingest Template'!C32-3, "yyyy-mm-dd")&amp;"|"&amp;TEXT('Ingest Template'!C32+3, "yyyy-mm-dd"),'Ingest Template'!Q32)))</f>
        <v/>
      </c>
      <c r="AM32" s="35" t="str">
        <f>'Ingest Template'!AC32</f>
        <v/>
      </c>
    </row>
    <row r="33">
      <c r="A33" s="15"/>
      <c r="B33" s="22" t="str">
        <f>'Ingest Template'!C33&amp;IF('Ingest Template'!A33 = "Standard", " - DAR","")</f>
        <v/>
      </c>
      <c r="C33" s="22" t="s">
        <v>83</v>
      </c>
      <c r="D33" s="22" t="str">
        <f t="array" ref="D33">CONCATENATE(INDEX(DropdownLists!$H$2:$H$11,MATCH(1,COUNTIF('Ingest Template'!E33,"*"&amp;DropdownLists!$I$2:$I$11&amp;"*"),0)),CHAR(10),'Ingest Template'!F33,CHAR(10),'Ingest Template'!G33,CHAR(10),VLOOKUP('Ingest Template'!D33,DropdownLists!C:D,2,FALSE))</f>
        <v>#N/A</v>
      </c>
      <c r="E33" s="22" t="str">
        <f>CONCATENATE('Ingest Template'!H33,CHAR(10),'Ingest Template'!I33,CHAR(10),'Ingest Template'!J33,CHAR(10))</f>
        <v>
</v>
      </c>
      <c r="F33" s="35" t="str">
        <f t="array" ref="F33">INDEX(DropdownLists!$O$2:$O$36,MATCH(1,COUNTIF(E33,"*"&amp;DropdownLists!$N$2:$N$36&amp;"*"),0))</f>
        <v/>
      </c>
      <c r="G33" s="35"/>
      <c r="H33" s="22" t="str">
        <f t="array" ref="H33">INDEX(DropdownLists!$E$2:$E$276,MATCH('Ingest Template'!D33,DropdownLists!$C$2:$C$276,0))</f>
        <v>#N/A</v>
      </c>
      <c r="I33" s="22"/>
      <c r="J33" s="22" t="str">
        <f t="array" ref="J33">iF('Ingest Template'!A33="Standard","Pristine Brand",INDEX(DropdownLists!$B$2:$B$246,MATCH('Ingest Template'!D33,DropdownLists!$C$2:$C$246,0)))</f>
        <v>#N/A</v>
      </c>
      <c r="K33" s="22" t="str">
        <f>iF('Ingest Template'!A33="Standard",'Ingest Template'!K33&amp;CHAR(10)&amp;'Ingest Template'!L33,"Competitive View")</f>
        <v>Competitive View</v>
      </c>
      <c r="L33" s="22" t="s">
        <v>95</v>
      </c>
      <c r="M33" s="45" t="str">
        <f>'Ingest Template'!B33</f>
        <v/>
      </c>
      <c r="N33" s="35"/>
      <c r="O33" s="35"/>
      <c r="P33" s="35"/>
      <c r="Q33" s="35"/>
      <c r="R33" s="35" t="str">
        <f>'Ingest Template'!D33</f>
        <v/>
      </c>
      <c r="S33" s="22" t="s">
        <v>101</v>
      </c>
      <c r="T33" s="35" t="str">
        <f>'Ingest Template'!V33</f>
        <v/>
      </c>
      <c r="U33" s="35" t="str">
        <f>'Ingest Template'!W33</f>
        <v/>
      </c>
      <c r="V33" s="35" t="str">
        <f>LOWER(SUBSTITUTE(SUBSTITUTE(SUBSTITUTE(SUBSTITUTE(SUBSTITUTE('Ingest Template'!X33,"https:",""),"www.",""),"/",""),"?hl=en",""),"instagram.com",""))</f>
        <v/>
      </c>
      <c r="W33" s="74" t="str">
        <f t="array" ref="W33">IF(
'Ingest Template'!Y33="",
SUBSTITUTE(
INDEX(DropdownLists!$F$2:$F$277,MATCH('Ingest Template'!D33,DropdownLists!$C$2:$C$277,0)),
CHAR(10),
"|"&amp;'Ingest Template'!C33&amp;CHAR(10)
)&amp;"|"&amp;'Ingest Template'!C33,
SUBSTITUTE(
INDEX(DropdownLists!$F$2:$F$277,MATCH('Ingest Template'!D33,DropdownLists!$C$2:$C$277,0)),
CHAR(10),
"|"&amp;'Ingest Template'!C33&amp;CHAR(10)
)&amp;"|"&amp;'Ingest Template'!C33&amp;CHAR(10)&amp;'Ingest Template'!Y33
)</f>
        <v>#N/A</v>
      </c>
      <c r="X33" s="74" t="str">
        <f>'Ingest Template'!Z33</f>
        <v/>
      </c>
      <c r="Y33" s="35" t="str">
        <f>SUBSTITUTE(SUBSTITUTE(SUBSTITUTE('Ingest Template'!AA33,"http:",""),"https:",""),"/","")</f>
        <v/>
      </c>
      <c r="Z33" s="35" t="str">
        <f t="array" ref="Z33">IF('Ingest Template'!A33="Standard",(IF(ISBLANK('Ingest Template'!AB33),"", 'Ingest Template'!AB33&amp;"|DAR")),(IF(ISBLANK('Ingest Template'!AB33),"", 'Ingest Template'!AB33&amp;"|TV Ops")))</f>
        <v/>
      </c>
      <c r="AA33" s="35"/>
      <c r="AB33" s="35" t="str">
        <f>'Ingest Template'!R33</f>
        <v/>
      </c>
      <c r="AC33" s="35" t="str">
        <f>'Ingest Template'!T33</f>
        <v/>
      </c>
      <c r="AD33" s="35" t="str">
        <f>'Ingest Template'!S33</f>
        <v/>
      </c>
      <c r="AE33" s="35" t="str">
        <f>'Ingest Template'!U33</f>
        <v/>
      </c>
      <c r="AF33" s="22"/>
      <c r="AG33" s="35" t="str">
        <f t="array" ref="AG33">IF('Ingest Template'!A33="Standard",(CONCATENATE(IF(ISBLANK('Ingest Template'!N33),"", 'Ingest Template'!N33&amp;"|DAR"),CHAR(10), IF(ISBLANK('Ingest Template'!O33),"", 'Ingest Template'!O33&amp;"|DAR"),CHAR(10), IF(ISBLANK('Ingest Template'!P33),"", 'Ingest Template'!P33&amp;"|DAR"))),(CONCATENATE(IF(ISBLANK('Ingest Template'!N33),"", 'Ingest Template'!N33&amp;"|TV Ops"),CHAR(10), IF(ISBLANK('Ingest Template'!O33),"", 'Ingest Template'!O33&amp;"|TV Ops"),CHAR(10), IF(ISBLANK('Ingest Template'!P33),"", 'Ingest Template'!P33&amp;"|TV Ops"))))</f>
        <v>
</v>
      </c>
      <c r="AH33" s="35"/>
      <c r="AI33" s="35"/>
      <c r="AJ33" s="117" t="str">
        <f>if('Ingest Template'!A33="Standard",(IF(OR('Ingest Template'!F33 = "Program Type - Special", 'Ingest Template'!F33 = "Program Type - Live Event"),'Ingest Template'!M33&amp; "|DAR|DAR|"&amp;TEXT('Ingest Template'!C33-3, "yyyy-mm-dd")&amp;"|"&amp;TEXT('Ingest Template'!C33+3, "yyyy-mm-dd"),'Ingest Template'!M33&amp; "|DAR|DAR|2021-01-01")),(IF(OR('Ingest Template'!F33 = "Program Type - Special", 'Ingest Template'!F33 = "Program Type - Live Event"),'Ingest Template'!M33&amp; "|Operations - Core Title|Operations - Core Title|"&amp;TEXT('Ingest Template'!C33-3, "yyyy-mm-dd")&amp;"|"&amp;TEXT('Ingest Template'!C33+3, "yyyy-mm-dd"),'Ingest Template'!M33&amp; "|Operations - Core Title|Operations - Core Title")))</f>
        <v>|Operations - Core Title|Operations - Core Title</v>
      </c>
      <c r="AK33" s="35"/>
      <c r="AL33" s="117" t="str">
        <f>if('Ingest Template'!A33="Standard",(IF(OR('Ingest Template'!F33 = "Program Type - Special", 'Ingest Template'!F33 = "Program Type - Live Event"),'Ingest Template'!Q33&amp;"|"&amp;TEXT('Ingest Template'!C33-3, "yyyy-mm-dd")&amp;"|"&amp;TEXT('Ingest Template'!C33+3, "yyyy-mm-dd"),'Ingest Template'!Q33&amp; "|2021-01-01")),(IF(OR('Ingest Template'!F33 = "Program Type - Special", 'Ingest Template'!F33 = "Program Type - Live Event"),'Ingest Template'!Q33&amp; "|"&amp;TEXT('Ingest Template'!C33-3, "yyyy-mm-dd")&amp;"|"&amp;TEXT('Ingest Template'!C33+3, "yyyy-mm-dd"),'Ingest Template'!Q33)))</f>
        <v/>
      </c>
      <c r="AM33" s="35" t="str">
        <f>'Ingest Template'!AC33</f>
        <v/>
      </c>
    </row>
    <row r="34">
      <c r="A34" s="15"/>
      <c r="B34" s="22" t="str">
        <f>'Ingest Template'!C34&amp;IF('Ingest Template'!A34 = "Standard", " - DAR","")</f>
        <v/>
      </c>
      <c r="C34" s="22" t="s">
        <v>83</v>
      </c>
      <c r="D34" s="22" t="str">
        <f t="array" ref="D34">CONCATENATE(INDEX(DropdownLists!$H$2:$H$11,MATCH(1,COUNTIF('Ingest Template'!E34,"*"&amp;DropdownLists!$I$2:$I$11&amp;"*"),0)),CHAR(10),'Ingest Template'!F34,CHAR(10),'Ingest Template'!G34,CHAR(10),VLOOKUP('Ingest Template'!D34,DropdownLists!C:D,2,FALSE))</f>
        <v>#N/A</v>
      </c>
      <c r="E34" s="22" t="str">
        <f>CONCATENATE('Ingest Template'!H34,CHAR(10),'Ingest Template'!I34,CHAR(10),'Ingest Template'!J34,CHAR(10))</f>
        <v>
</v>
      </c>
      <c r="F34" s="35" t="str">
        <f t="array" ref="F34">INDEX(DropdownLists!$O$2:$O$36,MATCH(1,COUNTIF(E34,"*"&amp;DropdownLists!$N$2:$N$36&amp;"*"),0))</f>
        <v/>
      </c>
      <c r="G34" s="35"/>
      <c r="H34" s="22" t="str">
        <f t="array" ref="H34">INDEX(DropdownLists!$E$2:$E$276,MATCH('Ingest Template'!D34,DropdownLists!$C$2:$C$276,0))</f>
        <v>#N/A</v>
      </c>
      <c r="I34" s="22"/>
      <c r="J34" s="22" t="str">
        <f t="array" ref="J34">iF('Ingest Template'!A34="Standard","Pristine Brand",INDEX(DropdownLists!$B$2:$B$246,MATCH('Ingest Template'!D34,DropdownLists!$C$2:$C$246,0)))</f>
        <v>#N/A</v>
      </c>
      <c r="K34" s="22" t="str">
        <f>iF('Ingest Template'!A34="Standard",'Ingest Template'!K34&amp;CHAR(10)&amp;'Ingest Template'!L34,"Competitive View")</f>
        <v>Competitive View</v>
      </c>
      <c r="L34" s="22" t="s">
        <v>95</v>
      </c>
      <c r="M34" s="45" t="str">
        <f>'Ingest Template'!B34</f>
        <v/>
      </c>
      <c r="N34" s="35"/>
      <c r="O34" s="35"/>
      <c r="P34" s="35"/>
      <c r="Q34" s="35"/>
      <c r="R34" s="35" t="str">
        <f>'Ingest Template'!D34</f>
        <v/>
      </c>
      <c r="S34" s="22" t="s">
        <v>101</v>
      </c>
      <c r="T34" s="35" t="str">
        <f>'Ingest Template'!V34</f>
        <v/>
      </c>
      <c r="U34" s="35" t="str">
        <f>'Ingest Template'!W34</f>
        <v/>
      </c>
      <c r="V34" s="35" t="str">
        <f>LOWER(SUBSTITUTE(SUBSTITUTE(SUBSTITUTE(SUBSTITUTE(SUBSTITUTE('Ingest Template'!X34,"https:",""),"www.",""),"/",""),"?hl=en",""),"instagram.com",""))</f>
        <v/>
      </c>
      <c r="W34" s="74" t="str">
        <f t="array" ref="W34">IF(
'Ingest Template'!Y34="",
SUBSTITUTE(
INDEX(DropdownLists!$F$2:$F$277,MATCH('Ingest Template'!D34,DropdownLists!$C$2:$C$277,0)),
CHAR(10),
"|"&amp;'Ingest Template'!C34&amp;CHAR(10)
)&amp;"|"&amp;'Ingest Template'!C34,
SUBSTITUTE(
INDEX(DropdownLists!$F$2:$F$277,MATCH('Ingest Template'!D34,DropdownLists!$C$2:$C$277,0)),
CHAR(10),
"|"&amp;'Ingest Template'!C34&amp;CHAR(10)
)&amp;"|"&amp;'Ingest Template'!C34&amp;CHAR(10)&amp;'Ingest Template'!Y34
)</f>
        <v>#N/A</v>
      </c>
      <c r="X34" s="74" t="str">
        <f>'Ingest Template'!Z34</f>
        <v/>
      </c>
      <c r="Y34" s="35" t="str">
        <f>SUBSTITUTE(SUBSTITUTE(SUBSTITUTE('Ingest Template'!AA34,"http:",""),"https:",""),"/","")</f>
        <v/>
      </c>
      <c r="Z34" s="35" t="str">
        <f t="array" ref="Z34">IF('Ingest Template'!A34="Standard",(IF(ISBLANK('Ingest Template'!AB34),"", 'Ingest Template'!AB34&amp;"|DAR")),(IF(ISBLANK('Ingest Template'!AB34),"", 'Ingest Template'!AB34&amp;"|TV Ops")))</f>
        <v/>
      </c>
      <c r="AA34" s="35"/>
      <c r="AB34" s="35" t="str">
        <f>'Ingest Template'!R34</f>
        <v/>
      </c>
      <c r="AC34" s="35" t="str">
        <f>'Ingest Template'!T34</f>
        <v/>
      </c>
      <c r="AD34" s="35" t="str">
        <f>'Ingest Template'!S34</f>
        <v/>
      </c>
      <c r="AE34" s="35" t="str">
        <f>'Ingest Template'!U34</f>
        <v/>
      </c>
      <c r="AF34" s="22"/>
      <c r="AG34" s="35" t="str">
        <f t="array" ref="AG34">IF('Ingest Template'!A34="Standard",(CONCATENATE(IF(ISBLANK('Ingest Template'!N34),"", 'Ingest Template'!N34&amp;"|DAR"),CHAR(10), IF(ISBLANK('Ingest Template'!O34),"", 'Ingest Template'!O34&amp;"|DAR"),CHAR(10), IF(ISBLANK('Ingest Template'!P34),"", 'Ingest Template'!P34&amp;"|DAR"))),(CONCATENATE(IF(ISBLANK('Ingest Template'!N34),"", 'Ingest Template'!N34&amp;"|TV Ops"),CHAR(10), IF(ISBLANK('Ingest Template'!O34),"", 'Ingest Template'!O34&amp;"|TV Ops"),CHAR(10), IF(ISBLANK('Ingest Template'!P34),"", 'Ingest Template'!P34&amp;"|TV Ops"))))</f>
        <v>
</v>
      </c>
      <c r="AH34" s="35"/>
      <c r="AI34" s="35"/>
      <c r="AJ34" s="117" t="str">
        <f>if('Ingest Template'!A34="Standard",(IF(OR('Ingest Template'!F34 = "Program Type - Special", 'Ingest Template'!F34 = "Program Type - Live Event"),'Ingest Template'!M34&amp; "|DAR|DAR|"&amp;TEXT('Ingest Template'!C34-3, "yyyy-mm-dd")&amp;"|"&amp;TEXT('Ingest Template'!C34+3, "yyyy-mm-dd"),'Ingest Template'!M34&amp; "|DAR|DAR|2021-01-01")),(IF(OR('Ingest Template'!F34 = "Program Type - Special", 'Ingest Template'!F34 = "Program Type - Live Event"),'Ingest Template'!M34&amp; "|Operations - Core Title|Operations - Core Title|"&amp;TEXT('Ingest Template'!C34-3, "yyyy-mm-dd")&amp;"|"&amp;TEXT('Ingest Template'!C34+3, "yyyy-mm-dd"),'Ingest Template'!M34&amp; "|Operations - Core Title|Operations - Core Title")))</f>
        <v>|Operations - Core Title|Operations - Core Title</v>
      </c>
      <c r="AK34" s="35"/>
      <c r="AL34" s="117" t="str">
        <f>if('Ingest Template'!A34="Standard",(IF(OR('Ingest Template'!F34 = "Program Type - Special", 'Ingest Template'!F34 = "Program Type - Live Event"),'Ingest Template'!Q34&amp;"|"&amp;TEXT('Ingest Template'!C34-3, "yyyy-mm-dd")&amp;"|"&amp;TEXT('Ingest Template'!C34+3, "yyyy-mm-dd"),'Ingest Template'!Q34&amp; "|2021-01-01")),(IF(OR('Ingest Template'!F34 = "Program Type - Special", 'Ingest Template'!F34 = "Program Type - Live Event"),'Ingest Template'!Q34&amp; "|"&amp;TEXT('Ingest Template'!C34-3, "yyyy-mm-dd")&amp;"|"&amp;TEXT('Ingest Template'!C34+3, "yyyy-mm-dd"),'Ingest Template'!Q34)))</f>
        <v/>
      </c>
      <c r="AM34" s="35" t="str">
        <f>'Ingest Template'!AC34</f>
        <v/>
      </c>
    </row>
    <row r="35">
      <c r="A35" s="15"/>
      <c r="B35" s="22" t="str">
        <f>'Ingest Template'!C35&amp;IF('Ingest Template'!A35 = "Standard", " - DAR","")</f>
        <v/>
      </c>
      <c r="C35" s="22" t="s">
        <v>83</v>
      </c>
      <c r="D35" s="22" t="str">
        <f t="array" ref="D35">CONCATENATE(INDEX(DropdownLists!$H$2:$H$11,MATCH(1,COUNTIF('Ingest Template'!E35,"*"&amp;DropdownLists!$I$2:$I$11&amp;"*"),0)),CHAR(10),'Ingest Template'!F35,CHAR(10),'Ingest Template'!G35,CHAR(10),VLOOKUP('Ingest Template'!D35,DropdownLists!C:D,2,FALSE))</f>
        <v>#N/A</v>
      </c>
      <c r="E35" s="22" t="str">
        <f>CONCATENATE('Ingest Template'!H35,CHAR(10),'Ingest Template'!I35,CHAR(10),'Ingest Template'!J35,CHAR(10))</f>
        <v>
</v>
      </c>
      <c r="F35" s="35" t="str">
        <f t="array" ref="F35">INDEX(DropdownLists!$O$2:$O$36,MATCH(1,COUNTIF(E35,"*"&amp;DropdownLists!$N$2:$N$36&amp;"*"),0))</f>
        <v/>
      </c>
      <c r="G35" s="35"/>
      <c r="H35" s="22" t="str">
        <f t="array" ref="H35">INDEX(DropdownLists!$E$2:$E$276,MATCH('Ingest Template'!D35,DropdownLists!$C$2:$C$276,0))</f>
        <v>#N/A</v>
      </c>
      <c r="I35" s="22"/>
      <c r="J35" s="22" t="str">
        <f t="array" ref="J35">iF('Ingest Template'!A35="Standard","Pristine Brand",INDEX(DropdownLists!$B$2:$B$246,MATCH('Ingest Template'!D35,DropdownLists!$C$2:$C$246,0)))</f>
        <v>#N/A</v>
      </c>
      <c r="K35" s="22" t="str">
        <f>iF('Ingest Template'!A35="Standard",'Ingest Template'!K35&amp;CHAR(10)&amp;'Ingest Template'!L35,"Competitive View")</f>
        <v>Competitive View</v>
      </c>
      <c r="L35" s="22" t="s">
        <v>95</v>
      </c>
      <c r="M35" s="45" t="str">
        <f>'Ingest Template'!B35</f>
        <v/>
      </c>
      <c r="N35" s="35"/>
      <c r="O35" s="35"/>
      <c r="P35" s="35"/>
      <c r="Q35" s="35"/>
      <c r="R35" s="35" t="str">
        <f>'Ingest Template'!D35</f>
        <v/>
      </c>
      <c r="S35" s="22" t="s">
        <v>101</v>
      </c>
      <c r="T35" s="35" t="str">
        <f>'Ingest Template'!V35</f>
        <v/>
      </c>
      <c r="U35" s="35" t="str">
        <f>'Ingest Template'!W35</f>
        <v/>
      </c>
      <c r="V35" s="35" t="str">
        <f>LOWER(SUBSTITUTE(SUBSTITUTE(SUBSTITUTE(SUBSTITUTE(SUBSTITUTE('Ingest Template'!X35,"https:",""),"www.",""),"/",""),"?hl=en",""),"instagram.com",""))</f>
        <v/>
      </c>
      <c r="W35" s="74" t="str">
        <f t="array" ref="W35">IF(
'Ingest Template'!Y35="",
SUBSTITUTE(
INDEX(DropdownLists!$F$2:$F$277,MATCH('Ingest Template'!D35,DropdownLists!$C$2:$C$277,0)),
CHAR(10),
"|"&amp;'Ingest Template'!C35&amp;CHAR(10)
)&amp;"|"&amp;'Ingest Template'!C35,
SUBSTITUTE(
INDEX(DropdownLists!$F$2:$F$277,MATCH('Ingest Template'!D35,DropdownLists!$C$2:$C$277,0)),
CHAR(10),
"|"&amp;'Ingest Template'!C35&amp;CHAR(10)
)&amp;"|"&amp;'Ingest Template'!C35&amp;CHAR(10)&amp;'Ingest Template'!Y35
)</f>
        <v>#N/A</v>
      </c>
      <c r="X35" s="74" t="str">
        <f>'Ingest Template'!Z35</f>
        <v/>
      </c>
      <c r="Y35" s="35" t="str">
        <f>SUBSTITUTE(SUBSTITUTE(SUBSTITUTE('Ingest Template'!AA35,"http:",""),"https:",""),"/","")</f>
        <v/>
      </c>
      <c r="Z35" s="35" t="str">
        <f t="array" ref="Z35">IF('Ingest Template'!A35="Standard",(IF(ISBLANK('Ingest Template'!AB35),"", 'Ingest Template'!AB35&amp;"|DAR")),(IF(ISBLANK('Ingest Template'!AB35),"", 'Ingest Template'!AB35&amp;"|TV Ops")))</f>
        <v/>
      </c>
      <c r="AA35" s="35"/>
      <c r="AB35" s="35" t="str">
        <f>'Ingest Template'!R35</f>
        <v/>
      </c>
      <c r="AC35" s="35" t="str">
        <f>'Ingest Template'!T35</f>
        <v/>
      </c>
      <c r="AD35" s="35" t="str">
        <f>'Ingest Template'!S35</f>
        <v/>
      </c>
      <c r="AE35" s="35" t="str">
        <f>'Ingest Template'!U35</f>
        <v/>
      </c>
      <c r="AF35" s="22"/>
      <c r="AG35" s="35" t="str">
        <f t="array" ref="AG35">IF('Ingest Template'!A35="Standard",(CONCATENATE(IF(ISBLANK('Ingest Template'!N35),"", 'Ingest Template'!N35&amp;"|DAR"),CHAR(10), IF(ISBLANK('Ingest Template'!O35),"", 'Ingest Template'!O35&amp;"|DAR"),CHAR(10), IF(ISBLANK('Ingest Template'!P35),"", 'Ingest Template'!P35&amp;"|DAR"))),(CONCATENATE(IF(ISBLANK('Ingest Template'!N35),"", 'Ingest Template'!N35&amp;"|TV Ops"),CHAR(10), IF(ISBLANK('Ingest Template'!O35),"", 'Ingest Template'!O35&amp;"|TV Ops"),CHAR(10), IF(ISBLANK('Ingest Template'!P35),"", 'Ingest Template'!P35&amp;"|TV Ops"))))</f>
        <v>
</v>
      </c>
      <c r="AH35" s="35"/>
      <c r="AI35" s="35"/>
      <c r="AJ35" s="117" t="str">
        <f>if('Ingest Template'!A35="Standard",(IF(OR('Ingest Template'!F35 = "Program Type - Special", 'Ingest Template'!F35 = "Program Type - Live Event"),'Ingest Template'!M35&amp; "|DAR|DAR|"&amp;TEXT('Ingest Template'!C35-3, "yyyy-mm-dd")&amp;"|"&amp;TEXT('Ingest Template'!C35+3, "yyyy-mm-dd"),'Ingest Template'!M35&amp; "|DAR|DAR|2021-01-01")),(IF(OR('Ingest Template'!F35 = "Program Type - Special", 'Ingest Template'!F35 = "Program Type - Live Event"),'Ingest Template'!M35&amp; "|Operations - Core Title|Operations - Core Title|"&amp;TEXT('Ingest Template'!C35-3, "yyyy-mm-dd")&amp;"|"&amp;TEXT('Ingest Template'!C35+3, "yyyy-mm-dd"),'Ingest Template'!M35&amp; "|Operations - Core Title|Operations - Core Title")))</f>
        <v>|Operations - Core Title|Operations - Core Title</v>
      </c>
      <c r="AK35" s="35"/>
      <c r="AL35" s="117" t="str">
        <f>if('Ingest Template'!A35="Standard",(IF(OR('Ingest Template'!F35 = "Program Type - Special", 'Ingest Template'!F35 = "Program Type - Live Event"),'Ingest Template'!Q35&amp;"|"&amp;TEXT('Ingest Template'!C35-3, "yyyy-mm-dd")&amp;"|"&amp;TEXT('Ingest Template'!C35+3, "yyyy-mm-dd"),'Ingest Template'!Q35&amp; "|2021-01-01")),(IF(OR('Ingest Template'!F35 = "Program Type - Special", 'Ingest Template'!F35 = "Program Type - Live Event"),'Ingest Template'!Q35&amp; "|"&amp;TEXT('Ingest Template'!C35-3, "yyyy-mm-dd")&amp;"|"&amp;TEXT('Ingest Template'!C35+3, "yyyy-mm-dd"),'Ingest Template'!Q35)))</f>
        <v/>
      </c>
      <c r="AM35" s="35" t="str">
        <f>'Ingest Template'!AC35</f>
        <v/>
      </c>
    </row>
    <row r="36">
      <c r="A36" s="15"/>
      <c r="B36" s="22" t="str">
        <f>'Ingest Template'!C36&amp;IF('Ingest Template'!A36 = "Standard", " - DAR","")</f>
        <v/>
      </c>
      <c r="C36" s="22" t="s">
        <v>83</v>
      </c>
      <c r="D36" s="22" t="str">
        <f t="array" ref="D36">CONCATENATE(INDEX(DropdownLists!$H$2:$H$11,MATCH(1,COUNTIF('Ingest Template'!E36,"*"&amp;DropdownLists!$I$2:$I$11&amp;"*"),0)),CHAR(10),'Ingest Template'!F36,CHAR(10),'Ingest Template'!G36,CHAR(10),VLOOKUP('Ingest Template'!D36,DropdownLists!C:D,2,FALSE))</f>
        <v>#N/A</v>
      </c>
      <c r="E36" s="22" t="str">
        <f>CONCATENATE('Ingest Template'!H36,CHAR(10),'Ingest Template'!I36,CHAR(10),'Ingest Template'!J36,CHAR(10))</f>
        <v>
</v>
      </c>
      <c r="F36" s="35" t="str">
        <f t="array" ref="F36">INDEX(DropdownLists!$O$2:$O$36,MATCH(1,COUNTIF(E36,"*"&amp;DropdownLists!$N$2:$N$36&amp;"*"),0))</f>
        <v/>
      </c>
      <c r="G36" s="35"/>
      <c r="H36" s="22" t="str">
        <f t="array" ref="H36">INDEX(DropdownLists!$E$2:$E$276,MATCH('Ingest Template'!D36,DropdownLists!$C$2:$C$276,0))</f>
        <v>#N/A</v>
      </c>
      <c r="I36" s="22"/>
      <c r="J36" s="22" t="str">
        <f t="array" ref="J36">iF('Ingest Template'!A36="Standard","Pristine Brand",INDEX(DropdownLists!$B$2:$B$246,MATCH('Ingest Template'!D36,DropdownLists!$C$2:$C$246,0)))</f>
        <v>#N/A</v>
      </c>
      <c r="K36" s="22" t="str">
        <f>iF('Ingest Template'!A36="Standard",'Ingest Template'!K36&amp;CHAR(10)&amp;'Ingest Template'!L36,"Competitive View")</f>
        <v>Competitive View</v>
      </c>
      <c r="L36" s="22" t="s">
        <v>95</v>
      </c>
      <c r="M36" s="45" t="str">
        <f>'Ingest Template'!B36</f>
        <v/>
      </c>
      <c r="N36" s="35"/>
      <c r="O36" s="35"/>
      <c r="P36" s="35"/>
      <c r="Q36" s="35"/>
      <c r="R36" s="35" t="str">
        <f>'Ingest Template'!D36</f>
        <v/>
      </c>
      <c r="S36" s="22" t="s">
        <v>101</v>
      </c>
      <c r="T36" s="35" t="str">
        <f>'Ingest Template'!V36</f>
        <v/>
      </c>
      <c r="U36" s="35" t="str">
        <f>'Ingest Template'!W36</f>
        <v/>
      </c>
      <c r="V36" s="35" t="str">
        <f>LOWER(SUBSTITUTE(SUBSTITUTE(SUBSTITUTE(SUBSTITUTE(SUBSTITUTE('Ingest Template'!X36,"https:",""),"www.",""),"/",""),"?hl=en",""),"instagram.com",""))</f>
        <v/>
      </c>
      <c r="W36" s="74" t="str">
        <f t="array" ref="W36">IF(
'Ingest Template'!Y36="",
SUBSTITUTE(
INDEX(DropdownLists!$F$2:$F$277,MATCH('Ingest Template'!D36,DropdownLists!$C$2:$C$277,0)),
CHAR(10),
"|"&amp;'Ingest Template'!C36&amp;CHAR(10)
)&amp;"|"&amp;'Ingest Template'!C36,
SUBSTITUTE(
INDEX(DropdownLists!$F$2:$F$277,MATCH('Ingest Template'!D36,DropdownLists!$C$2:$C$277,0)),
CHAR(10),
"|"&amp;'Ingest Template'!C36&amp;CHAR(10)
)&amp;"|"&amp;'Ingest Template'!C36&amp;CHAR(10)&amp;'Ingest Template'!Y36
)</f>
        <v>#N/A</v>
      </c>
      <c r="X36" s="74" t="str">
        <f>'Ingest Template'!Z36</f>
        <v/>
      </c>
      <c r="Y36" s="35" t="str">
        <f>SUBSTITUTE(SUBSTITUTE(SUBSTITUTE('Ingest Template'!AA36,"http:",""),"https:",""),"/","")</f>
        <v/>
      </c>
      <c r="Z36" s="35" t="str">
        <f t="array" ref="Z36">IF('Ingest Template'!A36="Standard",(IF(ISBLANK('Ingest Template'!AB36),"", 'Ingest Template'!AB36&amp;"|DAR")),(IF(ISBLANK('Ingest Template'!AB36),"", 'Ingest Template'!AB36&amp;"|TV Ops")))</f>
        <v/>
      </c>
      <c r="AA36" s="35"/>
      <c r="AB36" s="35" t="str">
        <f>'Ingest Template'!R36</f>
        <v/>
      </c>
      <c r="AC36" s="35" t="str">
        <f>'Ingest Template'!T36</f>
        <v/>
      </c>
      <c r="AD36" s="35" t="str">
        <f>'Ingest Template'!S36</f>
        <v/>
      </c>
      <c r="AE36" s="35" t="str">
        <f>'Ingest Template'!U36</f>
        <v/>
      </c>
      <c r="AF36" s="22"/>
      <c r="AG36" s="35" t="str">
        <f t="array" ref="AG36">IF('Ingest Template'!A36="Standard",(CONCATENATE(IF(ISBLANK('Ingest Template'!N36),"", 'Ingest Template'!N36&amp;"|DAR"),CHAR(10), IF(ISBLANK('Ingest Template'!O36),"", 'Ingest Template'!O36&amp;"|DAR"),CHAR(10), IF(ISBLANK('Ingest Template'!P36),"", 'Ingest Template'!P36&amp;"|DAR"))),(CONCATENATE(IF(ISBLANK('Ingest Template'!N36),"", 'Ingest Template'!N36&amp;"|TV Ops"),CHAR(10), IF(ISBLANK('Ingest Template'!O36),"", 'Ingest Template'!O36&amp;"|TV Ops"),CHAR(10), IF(ISBLANK('Ingest Template'!P36),"", 'Ingest Template'!P36&amp;"|TV Ops"))))</f>
        <v>
</v>
      </c>
      <c r="AH36" s="35"/>
      <c r="AI36" s="35"/>
      <c r="AJ36" s="117" t="str">
        <f>if('Ingest Template'!A36="Standard",(IF(OR('Ingest Template'!F36 = "Program Type - Special", 'Ingest Template'!F36 = "Program Type - Live Event"),'Ingest Template'!M36&amp; "|DAR|DAR|"&amp;TEXT('Ingest Template'!C36-3, "yyyy-mm-dd")&amp;"|"&amp;TEXT('Ingest Template'!C36+3, "yyyy-mm-dd"),'Ingest Template'!M36&amp; "|DAR|DAR|2021-01-01")),(IF(OR('Ingest Template'!F36 = "Program Type - Special", 'Ingest Template'!F36 = "Program Type - Live Event"),'Ingest Template'!M36&amp; "|Operations - Core Title|Operations - Core Title|"&amp;TEXT('Ingest Template'!C36-3, "yyyy-mm-dd")&amp;"|"&amp;TEXT('Ingest Template'!C36+3, "yyyy-mm-dd"),'Ingest Template'!M36&amp; "|Operations - Core Title|Operations - Core Title")))</f>
        <v>|Operations - Core Title|Operations - Core Title</v>
      </c>
      <c r="AK36" s="35"/>
      <c r="AL36" s="117" t="str">
        <f>if('Ingest Template'!A36="Standard",(IF(OR('Ingest Template'!F36 = "Program Type - Special", 'Ingest Template'!F36 = "Program Type - Live Event"),'Ingest Template'!Q36&amp;"|"&amp;TEXT('Ingest Template'!C36-3, "yyyy-mm-dd")&amp;"|"&amp;TEXT('Ingest Template'!C36+3, "yyyy-mm-dd"),'Ingest Template'!Q36&amp; "|2021-01-01")),(IF(OR('Ingest Template'!F36 = "Program Type - Special", 'Ingest Template'!F36 = "Program Type - Live Event"),'Ingest Template'!Q36&amp; "|"&amp;TEXT('Ingest Template'!C36-3, "yyyy-mm-dd")&amp;"|"&amp;TEXT('Ingest Template'!C36+3, "yyyy-mm-dd"),'Ingest Template'!Q36)))</f>
        <v/>
      </c>
      <c r="AM36" s="35" t="str">
        <f>'Ingest Template'!AC36</f>
        <v/>
      </c>
    </row>
    <row r="37">
      <c r="A37" s="15"/>
      <c r="B37" s="22" t="str">
        <f>'Ingest Template'!C37&amp;IF('Ingest Template'!A37 = "Standard", " - DAR","")</f>
        <v/>
      </c>
      <c r="C37" s="22" t="s">
        <v>83</v>
      </c>
      <c r="D37" s="22" t="str">
        <f t="array" ref="D37">CONCATENATE(INDEX(DropdownLists!$H$2:$H$11,MATCH(1,COUNTIF('Ingest Template'!E37,"*"&amp;DropdownLists!$I$2:$I$11&amp;"*"),0)),CHAR(10),'Ingest Template'!F37,CHAR(10),'Ingest Template'!G37,CHAR(10),VLOOKUP('Ingest Template'!D37,DropdownLists!C:D,2,FALSE))</f>
        <v>#N/A</v>
      </c>
      <c r="E37" s="22" t="str">
        <f>CONCATENATE('Ingest Template'!H37,CHAR(10),'Ingest Template'!I37,CHAR(10),'Ingest Template'!J37,CHAR(10))</f>
        <v>
</v>
      </c>
      <c r="F37" s="35" t="str">
        <f t="array" ref="F37">INDEX(DropdownLists!$O$2:$O$36,MATCH(1,COUNTIF(E37,"*"&amp;DropdownLists!$N$2:$N$36&amp;"*"),0))</f>
        <v/>
      </c>
      <c r="G37" s="35"/>
      <c r="H37" s="22" t="str">
        <f t="array" ref="H37">INDEX(DropdownLists!$E$2:$E$276,MATCH('Ingest Template'!D37,DropdownLists!$C$2:$C$276,0))</f>
        <v>#N/A</v>
      </c>
      <c r="I37" s="22"/>
      <c r="J37" s="22" t="str">
        <f t="array" ref="J37">iF('Ingest Template'!A37="Standard","Pristine Brand",INDEX(DropdownLists!$B$2:$B$246,MATCH('Ingest Template'!D37,DropdownLists!$C$2:$C$246,0)))</f>
        <v>#N/A</v>
      </c>
      <c r="K37" s="22" t="str">
        <f>iF('Ingest Template'!A37="Standard",'Ingest Template'!K37&amp;CHAR(10)&amp;'Ingest Template'!L37,"Competitive View")</f>
        <v>Competitive View</v>
      </c>
      <c r="L37" s="22" t="s">
        <v>95</v>
      </c>
      <c r="M37" s="45" t="str">
        <f>'Ingest Template'!B37</f>
        <v/>
      </c>
      <c r="N37" s="35"/>
      <c r="O37" s="35"/>
      <c r="P37" s="35"/>
      <c r="Q37" s="35"/>
      <c r="R37" s="35" t="str">
        <f>'Ingest Template'!D37</f>
        <v/>
      </c>
      <c r="S37" s="22" t="s">
        <v>101</v>
      </c>
      <c r="T37" s="35" t="str">
        <f>'Ingest Template'!V37</f>
        <v/>
      </c>
      <c r="U37" s="35" t="str">
        <f>'Ingest Template'!W37</f>
        <v/>
      </c>
      <c r="V37" s="35" t="str">
        <f>LOWER(SUBSTITUTE(SUBSTITUTE(SUBSTITUTE(SUBSTITUTE(SUBSTITUTE('Ingest Template'!X37,"https:",""),"www.",""),"/",""),"?hl=en",""),"instagram.com",""))</f>
        <v/>
      </c>
      <c r="W37" s="74" t="str">
        <f t="array" ref="W37">IF(
'Ingest Template'!Y37="",
SUBSTITUTE(
INDEX(DropdownLists!$F$2:$F$277,MATCH('Ingest Template'!D37,DropdownLists!$C$2:$C$277,0)),
CHAR(10),
"|"&amp;'Ingest Template'!C37&amp;CHAR(10)
)&amp;"|"&amp;'Ingest Template'!C37,
SUBSTITUTE(
INDEX(DropdownLists!$F$2:$F$277,MATCH('Ingest Template'!D37,DropdownLists!$C$2:$C$277,0)),
CHAR(10),
"|"&amp;'Ingest Template'!C37&amp;CHAR(10)
)&amp;"|"&amp;'Ingest Template'!C37&amp;CHAR(10)&amp;'Ingest Template'!Y37
)</f>
        <v>#N/A</v>
      </c>
      <c r="X37" s="74" t="str">
        <f>'Ingest Template'!Z37</f>
        <v/>
      </c>
      <c r="Y37" s="35" t="str">
        <f>SUBSTITUTE(SUBSTITUTE(SUBSTITUTE('Ingest Template'!AA37,"http:",""),"https:",""),"/","")</f>
        <v/>
      </c>
      <c r="Z37" s="35" t="str">
        <f t="array" ref="Z37">IF('Ingest Template'!A37="Standard",(IF(ISBLANK('Ingest Template'!AB37),"", 'Ingest Template'!AB37&amp;"|DAR")),(IF(ISBLANK('Ingest Template'!AB37),"", 'Ingest Template'!AB37&amp;"|TV Ops")))</f>
        <v/>
      </c>
      <c r="AA37" s="35"/>
      <c r="AB37" s="35" t="str">
        <f>'Ingest Template'!R37</f>
        <v/>
      </c>
      <c r="AC37" s="35" t="str">
        <f>'Ingest Template'!T37</f>
        <v/>
      </c>
      <c r="AD37" s="35" t="str">
        <f>'Ingest Template'!S37</f>
        <v/>
      </c>
      <c r="AE37" s="35" t="str">
        <f>'Ingest Template'!U37</f>
        <v/>
      </c>
      <c r="AF37" s="22"/>
      <c r="AG37" s="35" t="str">
        <f t="array" ref="AG37">IF('Ingest Template'!A37="Standard",(CONCATENATE(IF(ISBLANK('Ingest Template'!N37),"", 'Ingest Template'!N37&amp;"|DAR"),CHAR(10), IF(ISBLANK('Ingest Template'!O37),"", 'Ingest Template'!O37&amp;"|DAR"),CHAR(10), IF(ISBLANK('Ingest Template'!P37),"", 'Ingest Template'!P37&amp;"|DAR"))),(CONCATENATE(IF(ISBLANK('Ingest Template'!N37),"", 'Ingest Template'!N37&amp;"|TV Ops"),CHAR(10), IF(ISBLANK('Ingest Template'!O37),"", 'Ingest Template'!O37&amp;"|TV Ops"),CHAR(10), IF(ISBLANK('Ingest Template'!P37),"", 'Ingest Template'!P37&amp;"|TV Ops"))))</f>
        <v>
</v>
      </c>
      <c r="AH37" s="35"/>
      <c r="AI37" s="35"/>
      <c r="AJ37" s="117" t="str">
        <f>if('Ingest Template'!A37="Standard",(IF(OR('Ingest Template'!F37 = "Program Type - Special", 'Ingest Template'!F37 = "Program Type - Live Event"),'Ingest Template'!M37&amp; "|DAR|DAR|"&amp;TEXT('Ingest Template'!C37-3, "yyyy-mm-dd")&amp;"|"&amp;TEXT('Ingest Template'!C37+3, "yyyy-mm-dd"),'Ingest Template'!M37&amp; "|DAR|DAR|2021-01-01")),(IF(OR('Ingest Template'!F37 = "Program Type - Special", 'Ingest Template'!F37 = "Program Type - Live Event"),'Ingest Template'!M37&amp; "|Operations - Core Title|Operations - Core Title|"&amp;TEXT('Ingest Template'!C37-3, "yyyy-mm-dd")&amp;"|"&amp;TEXT('Ingest Template'!C37+3, "yyyy-mm-dd"),'Ingest Template'!M37&amp; "|Operations - Core Title|Operations - Core Title")))</f>
        <v>|Operations - Core Title|Operations - Core Title</v>
      </c>
      <c r="AK37" s="35"/>
      <c r="AL37" s="117" t="str">
        <f>if('Ingest Template'!A37="Standard",(IF(OR('Ingest Template'!F37 = "Program Type - Special", 'Ingest Template'!F37 = "Program Type - Live Event"),'Ingest Template'!Q37&amp;"|"&amp;TEXT('Ingest Template'!C37-3, "yyyy-mm-dd")&amp;"|"&amp;TEXT('Ingest Template'!C37+3, "yyyy-mm-dd"),'Ingest Template'!Q37&amp; "|2021-01-01")),(IF(OR('Ingest Template'!F37 = "Program Type - Special", 'Ingest Template'!F37 = "Program Type - Live Event"),'Ingest Template'!Q37&amp; "|"&amp;TEXT('Ingest Template'!C37-3, "yyyy-mm-dd")&amp;"|"&amp;TEXT('Ingest Template'!C37+3, "yyyy-mm-dd"),'Ingest Template'!Q37)))</f>
        <v/>
      </c>
      <c r="AM37" s="35" t="str">
        <f>'Ingest Template'!AC37</f>
        <v/>
      </c>
    </row>
    <row r="38">
      <c r="A38" s="15"/>
      <c r="B38" s="22" t="str">
        <f>'Ingest Template'!C38&amp;IF('Ingest Template'!A38 = "Standard", " - DAR","")</f>
        <v/>
      </c>
      <c r="C38" s="22" t="s">
        <v>83</v>
      </c>
      <c r="D38" s="22" t="str">
        <f t="array" ref="D38">CONCATENATE(INDEX(DropdownLists!$H$2:$H$11,MATCH(1,COUNTIF('Ingest Template'!E38,"*"&amp;DropdownLists!$I$2:$I$11&amp;"*"),0)),CHAR(10),'Ingest Template'!F38,CHAR(10),'Ingest Template'!G38,CHAR(10),VLOOKUP('Ingest Template'!D38,DropdownLists!C:D,2,FALSE))</f>
        <v>#N/A</v>
      </c>
      <c r="E38" s="22" t="str">
        <f>CONCATENATE('Ingest Template'!H38,CHAR(10),'Ingest Template'!I38,CHAR(10),'Ingest Template'!J38,CHAR(10))</f>
        <v>
</v>
      </c>
      <c r="F38" s="35" t="str">
        <f t="array" ref="F38">INDEX(DropdownLists!$O$2:$O$36,MATCH(1,COUNTIF(E38,"*"&amp;DropdownLists!$N$2:$N$36&amp;"*"),0))</f>
        <v/>
      </c>
      <c r="G38" s="35"/>
      <c r="H38" s="22" t="str">
        <f t="array" ref="H38">INDEX(DropdownLists!$E$2:$E$276,MATCH('Ingest Template'!D38,DropdownLists!$C$2:$C$276,0))</f>
        <v>#N/A</v>
      </c>
      <c r="I38" s="22"/>
      <c r="J38" s="22" t="str">
        <f t="array" ref="J38">iF('Ingest Template'!A38="Standard","Pristine Brand",INDEX(DropdownLists!$B$2:$B$246,MATCH('Ingest Template'!D38,DropdownLists!$C$2:$C$246,0)))</f>
        <v>#N/A</v>
      </c>
      <c r="K38" s="22" t="str">
        <f>iF('Ingest Template'!A38="Standard",'Ingest Template'!K38&amp;CHAR(10)&amp;'Ingest Template'!L38,"Competitive View")</f>
        <v>Competitive View</v>
      </c>
      <c r="L38" s="22" t="s">
        <v>95</v>
      </c>
      <c r="M38" s="45" t="str">
        <f>'Ingest Template'!B38</f>
        <v/>
      </c>
      <c r="N38" s="35"/>
      <c r="O38" s="35"/>
      <c r="P38" s="35"/>
      <c r="Q38" s="35"/>
      <c r="R38" s="35" t="str">
        <f>'Ingest Template'!D38</f>
        <v/>
      </c>
      <c r="S38" s="22" t="s">
        <v>101</v>
      </c>
      <c r="T38" s="35" t="str">
        <f>'Ingest Template'!V38</f>
        <v/>
      </c>
      <c r="U38" s="35" t="str">
        <f>'Ingest Template'!W38</f>
        <v/>
      </c>
      <c r="V38" s="35" t="str">
        <f>LOWER(SUBSTITUTE(SUBSTITUTE(SUBSTITUTE(SUBSTITUTE(SUBSTITUTE('Ingest Template'!X38,"https:",""),"www.",""),"/",""),"?hl=en",""),"instagram.com",""))</f>
        <v/>
      </c>
      <c r="W38" s="74" t="str">
        <f t="array" ref="W38">IF(
'Ingest Template'!Y38="",
SUBSTITUTE(
INDEX(DropdownLists!$F$2:$F$277,MATCH('Ingest Template'!D38,DropdownLists!$C$2:$C$277,0)),
CHAR(10),
"|"&amp;'Ingest Template'!C38&amp;CHAR(10)
)&amp;"|"&amp;'Ingest Template'!C38,
SUBSTITUTE(
INDEX(DropdownLists!$F$2:$F$277,MATCH('Ingest Template'!D38,DropdownLists!$C$2:$C$277,0)),
CHAR(10),
"|"&amp;'Ingest Template'!C38&amp;CHAR(10)
)&amp;"|"&amp;'Ingest Template'!C38&amp;CHAR(10)&amp;'Ingest Template'!Y38
)</f>
        <v>#N/A</v>
      </c>
      <c r="X38" s="74" t="str">
        <f>'Ingest Template'!Z38</f>
        <v/>
      </c>
      <c r="Y38" s="35" t="str">
        <f>SUBSTITUTE(SUBSTITUTE(SUBSTITUTE('Ingest Template'!AA38,"http:",""),"https:",""),"/","")</f>
        <v/>
      </c>
      <c r="Z38" s="35" t="str">
        <f t="array" ref="Z38">IF('Ingest Template'!A38="Standard",(IF(ISBLANK('Ingest Template'!AB38),"", 'Ingest Template'!AB38&amp;"|DAR")),(IF(ISBLANK('Ingest Template'!AB38),"", 'Ingest Template'!AB38&amp;"|TV Ops")))</f>
        <v/>
      </c>
      <c r="AA38" s="35"/>
      <c r="AB38" s="35" t="str">
        <f>'Ingest Template'!R38</f>
        <v/>
      </c>
      <c r="AC38" s="35" t="str">
        <f>'Ingest Template'!T38</f>
        <v/>
      </c>
      <c r="AD38" s="35" t="str">
        <f>'Ingest Template'!S38</f>
        <v/>
      </c>
      <c r="AE38" s="35" t="str">
        <f>'Ingest Template'!U38</f>
        <v/>
      </c>
      <c r="AF38" s="22"/>
      <c r="AG38" s="35" t="str">
        <f t="array" ref="AG38">IF('Ingest Template'!A38="Standard",(CONCATENATE(IF(ISBLANK('Ingest Template'!N38),"", 'Ingest Template'!N38&amp;"|DAR"),CHAR(10), IF(ISBLANK('Ingest Template'!O38),"", 'Ingest Template'!O38&amp;"|DAR"),CHAR(10), IF(ISBLANK('Ingest Template'!P38),"", 'Ingest Template'!P38&amp;"|DAR"))),(CONCATENATE(IF(ISBLANK('Ingest Template'!N38),"", 'Ingest Template'!N38&amp;"|TV Ops"),CHAR(10), IF(ISBLANK('Ingest Template'!O38),"", 'Ingest Template'!O38&amp;"|TV Ops"),CHAR(10), IF(ISBLANK('Ingest Template'!P38),"", 'Ingest Template'!P38&amp;"|TV Ops"))))</f>
        <v>
</v>
      </c>
      <c r="AH38" s="35"/>
      <c r="AI38" s="35"/>
      <c r="AJ38" s="117" t="str">
        <f>if('Ingest Template'!A38="Standard",(IF(OR('Ingest Template'!F38 = "Program Type - Special", 'Ingest Template'!F38 = "Program Type - Live Event"),'Ingest Template'!M38&amp; "|DAR|DAR|"&amp;TEXT('Ingest Template'!C38-3, "yyyy-mm-dd")&amp;"|"&amp;TEXT('Ingest Template'!C38+3, "yyyy-mm-dd"),'Ingest Template'!M38&amp; "|DAR|DAR|2021-01-01")),(IF(OR('Ingest Template'!F38 = "Program Type - Special", 'Ingest Template'!F38 = "Program Type - Live Event"),'Ingest Template'!M38&amp; "|Operations - Core Title|Operations - Core Title|"&amp;TEXT('Ingest Template'!C38-3, "yyyy-mm-dd")&amp;"|"&amp;TEXT('Ingest Template'!C38+3, "yyyy-mm-dd"),'Ingest Template'!M38&amp; "|Operations - Core Title|Operations - Core Title")))</f>
        <v>|Operations - Core Title|Operations - Core Title</v>
      </c>
      <c r="AK38" s="35"/>
      <c r="AL38" s="117" t="str">
        <f>if('Ingest Template'!A38="Standard",(IF(OR('Ingest Template'!F38 = "Program Type - Special", 'Ingest Template'!F38 = "Program Type - Live Event"),'Ingest Template'!Q38&amp;"|"&amp;TEXT('Ingest Template'!C38-3, "yyyy-mm-dd")&amp;"|"&amp;TEXT('Ingest Template'!C38+3, "yyyy-mm-dd"),'Ingest Template'!Q38&amp; "|2021-01-01")),(IF(OR('Ingest Template'!F38 = "Program Type - Special", 'Ingest Template'!F38 = "Program Type - Live Event"),'Ingest Template'!Q38&amp; "|"&amp;TEXT('Ingest Template'!C38-3, "yyyy-mm-dd")&amp;"|"&amp;TEXT('Ingest Template'!C38+3, "yyyy-mm-dd"),'Ingest Template'!Q38)))</f>
        <v/>
      </c>
      <c r="AM38" s="35" t="str">
        <f>'Ingest Template'!AC38</f>
        <v/>
      </c>
    </row>
    <row r="39">
      <c r="A39" s="15"/>
      <c r="B39" s="22" t="str">
        <f>'Ingest Template'!C39&amp;IF('Ingest Template'!A39 = "Standard", " - DAR","")</f>
        <v/>
      </c>
      <c r="C39" s="22" t="s">
        <v>83</v>
      </c>
      <c r="D39" s="22" t="str">
        <f t="array" ref="D39">CONCATENATE(INDEX(DropdownLists!$H$2:$H$11,MATCH(1,COUNTIF('Ingest Template'!E39,"*"&amp;DropdownLists!$I$2:$I$11&amp;"*"),0)),CHAR(10),'Ingest Template'!F39,CHAR(10),'Ingest Template'!G39,CHAR(10),VLOOKUP('Ingest Template'!D39,DropdownLists!C:D,2,FALSE))</f>
        <v>#N/A</v>
      </c>
      <c r="E39" s="22" t="str">
        <f>CONCATENATE('Ingest Template'!H39,CHAR(10),'Ingest Template'!I39,CHAR(10),'Ingest Template'!J39,CHAR(10))</f>
        <v>
</v>
      </c>
      <c r="F39" s="35" t="str">
        <f t="array" ref="F39">INDEX(DropdownLists!$O$2:$O$36,MATCH(1,COUNTIF(E39,"*"&amp;DropdownLists!$N$2:$N$36&amp;"*"),0))</f>
        <v/>
      </c>
      <c r="G39" s="35"/>
      <c r="H39" s="22" t="str">
        <f t="array" ref="H39">INDEX(DropdownLists!$E$2:$E$276,MATCH('Ingest Template'!D39,DropdownLists!$C$2:$C$276,0))</f>
        <v>#N/A</v>
      </c>
      <c r="I39" s="22"/>
      <c r="J39" s="22" t="str">
        <f t="array" ref="J39">iF('Ingest Template'!A39="Standard","Pristine Brand",INDEX(DropdownLists!$B$2:$B$246,MATCH('Ingest Template'!D39,DropdownLists!$C$2:$C$246,0)))</f>
        <v>#N/A</v>
      </c>
      <c r="K39" s="22" t="str">
        <f>iF('Ingest Template'!A39="Standard",'Ingest Template'!K39&amp;CHAR(10)&amp;'Ingest Template'!L39,"Competitive View")</f>
        <v>Competitive View</v>
      </c>
      <c r="L39" s="22" t="s">
        <v>95</v>
      </c>
      <c r="M39" s="45" t="str">
        <f>'Ingest Template'!B39</f>
        <v/>
      </c>
      <c r="N39" s="35"/>
      <c r="O39" s="35"/>
      <c r="P39" s="35"/>
      <c r="Q39" s="35"/>
      <c r="R39" s="35" t="str">
        <f>'Ingest Template'!D39</f>
        <v/>
      </c>
      <c r="S39" s="22" t="s">
        <v>101</v>
      </c>
      <c r="T39" s="35" t="str">
        <f>'Ingest Template'!V39</f>
        <v/>
      </c>
      <c r="U39" s="35" t="str">
        <f>'Ingest Template'!W39</f>
        <v/>
      </c>
      <c r="V39" s="35" t="str">
        <f>LOWER(SUBSTITUTE(SUBSTITUTE(SUBSTITUTE(SUBSTITUTE(SUBSTITUTE('Ingest Template'!X39,"https:",""),"www.",""),"/",""),"?hl=en",""),"instagram.com",""))</f>
        <v/>
      </c>
      <c r="W39" s="74" t="str">
        <f t="array" ref="W39">IF(
'Ingest Template'!Y39="",
SUBSTITUTE(
INDEX(DropdownLists!$F$2:$F$277,MATCH('Ingest Template'!D39,DropdownLists!$C$2:$C$277,0)),
CHAR(10),
"|"&amp;'Ingest Template'!C39&amp;CHAR(10)
)&amp;"|"&amp;'Ingest Template'!C39,
SUBSTITUTE(
INDEX(DropdownLists!$F$2:$F$277,MATCH('Ingest Template'!D39,DropdownLists!$C$2:$C$277,0)),
CHAR(10),
"|"&amp;'Ingest Template'!C39&amp;CHAR(10)
)&amp;"|"&amp;'Ingest Template'!C39&amp;CHAR(10)&amp;'Ingest Template'!Y39
)</f>
        <v>#N/A</v>
      </c>
      <c r="X39" s="74" t="str">
        <f>'Ingest Template'!Z39</f>
        <v/>
      </c>
      <c r="Y39" s="35" t="str">
        <f>SUBSTITUTE(SUBSTITUTE(SUBSTITUTE('Ingest Template'!AA39,"http:",""),"https:",""),"/","")</f>
        <v/>
      </c>
      <c r="Z39" s="35" t="str">
        <f t="array" ref="Z39">IF('Ingest Template'!A39="Standard",(IF(ISBLANK('Ingest Template'!AB39),"", 'Ingest Template'!AB39&amp;"|DAR")),(IF(ISBLANK('Ingest Template'!AB39),"", 'Ingest Template'!AB39&amp;"|TV Ops")))</f>
        <v/>
      </c>
      <c r="AA39" s="35"/>
      <c r="AB39" s="35" t="str">
        <f>'Ingest Template'!R39</f>
        <v/>
      </c>
      <c r="AC39" s="35" t="str">
        <f>'Ingest Template'!T39</f>
        <v/>
      </c>
      <c r="AD39" s="35" t="str">
        <f>'Ingest Template'!S39</f>
        <v/>
      </c>
      <c r="AE39" s="35" t="str">
        <f>'Ingest Template'!U39</f>
        <v/>
      </c>
      <c r="AF39" s="22"/>
      <c r="AG39" s="35" t="str">
        <f t="array" ref="AG39">IF('Ingest Template'!A39="Standard",(CONCATENATE(IF(ISBLANK('Ingest Template'!N39),"", 'Ingest Template'!N39&amp;"|DAR"),CHAR(10), IF(ISBLANK('Ingest Template'!O39),"", 'Ingest Template'!O39&amp;"|DAR"),CHAR(10), IF(ISBLANK('Ingest Template'!P39),"", 'Ingest Template'!P39&amp;"|DAR"))),(CONCATENATE(IF(ISBLANK('Ingest Template'!N39),"", 'Ingest Template'!N39&amp;"|TV Ops"),CHAR(10), IF(ISBLANK('Ingest Template'!O39),"", 'Ingest Template'!O39&amp;"|TV Ops"),CHAR(10), IF(ISBLANK('Ingest Template'!P39),"", 'Ingest Template'!P39&amp;"|TV Ops"))))</f>
        <v>
</v>
      </c>
      <c r="AH39" s="35"/>
      <c r="AI39" s="35"/>
      <c r="AJ39" s="117" t="str">
        <f>if('Ingest Template'!A39="Standard",(IF(OR('Ingest Template'!F39 = "Program Type - Special", 'Ingest Template'!F39 = "Program Type - Live Event"),'Ingest Template'!M39&amp; "|DAR|DAR|"&amp;TEXT('Ingest Template'!C39-3, "yyyy-mm-dd")&amp;"|"&amp;TEXT('Ingest Template'!C39+3, "yyyy-mm-dd"),'Ingest Template'!M39&amp; "|DAR|DAR|2021-01-01")),(IF(OR('Ingest Template'!F39 = "Program Type - Special", 'Ingest Template'!F39 = "Program Type - Live Event"),'Ingest Template'!M39&amp; "|Operations - Core Title|Operations - Core Title|"&amp;TEXT('Ingest Template'!C39-3, "yyyy-mm-dd")&amp;"|"&amp;TEXT('Ingest Template'!C39+3, "yyyy-mm-dd"),'Ingest Template'!M39&amp; "|Operations - Core Title|Operations - Core Title")))</f>
        <v>|Operations - Core Title|Operations - Core Title</v>
      </c>
      <c r="AK39" s="35"/>
      <c r="AL39" s="117" t="str">
        <f>if('Ingest Template'!A39="Standard",(IF(OR('Ingest Template'!F39 = "Program Type - Special", 'Ingest Template'!F39 = "Program Type - Live Event"),'Ingest Template'!Q39&amp;"|"&amp;TEXT('Ingest Template'!C39-3, "yyyy-mm-dd")&amp;"|"&amp;TEXT('Ingest Template'!C39+3, "yyyy-mm-dd"),'Ingest Template'!Q39&amp; "|2021-01-01")),(IF(OR('Ingest Template'!F39 = "Program Type - Special", 'Ingest Template'!F39 = "Program Type - Live Event"),'Ingest Template'!Q39&amp; "|"&amp;TEXT('Ingest Template'!C39-3, "yyyy-mm-dd")&amp;"|"&amp;TEXT('Ingest Template'!C39+3, "yyyy-mm-dd"),'Ingest Template'!Q39)))</f>
        <v/>
      </c>
      <c r="AM39" s="35" t="str">
        <f>'Ingest Template'!AC39</f>
        <v/>
      </c>
    </row>
    <row r="40">
      <c r="A40" s="15"/>
      <c r="B40" s="22" t="str">
        <f>'Ingest Template'!C40&amp;IF('Ingest Template'!A40 = "Standard", " - DAR","")</f>
        <v/>
      </c>
      <c r="C40" s="22" t="s">
        <v>83</v>
      </c>
      <c r="D40" s="22" t="str">
        <f t="array" ref="D40">CONCATENATE(INDEX(DropdownLists!$H$2:$H$11,MATCH(1,COUNTIF('Ingest Template'!E40,"*"&amp;DropdownLists!$I$2:$I$11&amp;"*"),0)),CHAR(10),'Ingest Template'!F40,CHAR(10),'Ingest Template'!G40,CHAR(10),VLOOKUP('Ingest Template'!D40,DropdownLists!C:D,2,FALSE))</f>
        <v>#N/A</v>
      </c>
      <c r="E40" s="22" t="str">
        <f>CONCATENATE('Ingest Template'!H40,CHAR(10),'Ingest Template'!I40,CHAR(10),'Ingest Template'!J40,CHAR(10))</f>
        <v>
</v>
      </c>
      <c r="F40" s="35" t="str">
        <f t="array" ref="F40">INDEX(DropdownLists!$O$2:$O$36,MATCH(1,COUNTIF(E40,"*"&amp;DropdownLists!$N$2:$N$36&amp;"*"),0))</f>
        <v/>
      </c>
      <c r="G40" s="35"/>
      <c r="H40" s="22" t="str">
        <f t="array" ref="H40">INDEX(DropdownLists!$E$2:$E$276,MATCH('Ingest Template'!D40,DropdownLists!$C$2:$C$276,0))</f>
        <v>#N/A</v>
      </c>
      <c r="I40" s="22"/>
      <c r="J40" s="22" t="str">
        <f t="array" ref="J40">iF('Ingest Template'!A40="Standard","Pristine Brand",INDEX(DropdownLists!$B$2:$B$246,MATCH('Ingest Template'!D40,DropdownLists!$C$2:$C$246,0)))</f>
        <v>#N/A</v>
      </c>
      <c r="K40" s="22" t="str">
        <f>iF('Ingest Template'!A40="Standard",'Ingest Template'!K40&amp;CHAR(10)&amp;'Ingest Template'!L40,"Competitive View")</f>
        <v>Competitive View</v>
      </c>
      <c r="L40" s="22" t="s">
        <v>95</v>
      </c>
      <c r="M40" s="45" t="str">
        <f>'Ingest Template'!B40</f>
        <v/>
      </c>
      <c r="N40" s="35"/>
      <c r="O40" s="35"/>
      <c r="P40" s="35"/>
      <c r="Q40" s="35"/>
      <c r="R40" s="35" t="str">
        <f>'Ingest Template'!D40</f>
        <v/>
      </c>
      <c r="S40" s="22" t="s">
        <v>101</v>
      </c>
      <c r="T40" s="35" t="str">
        <f>'Ingest Template'!V40</f>
        <v/>
      </c>
      <c r="U40" s="35" t="str">
        <f>'Ingest Template'!W40</f>
        <v/>
      </c>
      <c r="V40" s="35" t="str">
        <f>LOWER(SUBSTITUTE(SUBSTITUTE(SUBSTITUTE(SUBSTITUTE(SUBSTITUTE('Ingest Template'!X40,"https:",""),"www.",""),"/",""),"?hl=en",""),"instagram.com",""))</f>
        <v/>
      </c>
      <c r="W40" s="74" t="str">
        <f t="array" ref="W40">IF(
'Ingest Template'!Y40="",
SUBSTITUTE(
INDEX(DropdownLists!$F$2:$F$277,MATCH('Ingest Template'!D40,DropdownLists!$C$2:$C$277,0)),
CHAR(10),
"|"&amp;'Ingest Template'!C40&amp;CHAR(10)
)&amp;"|"&amp;'Ingest Template'!C40,
SUBSTITUTE(
INDEX(DropdownLists!$F$2:$F$277,MATCH('Ingest Template'!D40,DropdownLists!$C$2:$C$277,0)),
CHAR(10),
"|"&amp;'Ingest Template'!C40&amp;CHAR(10)
)&amp;"|"&amp;'Ingest Template'!C40&amp;CHAR(10)&amp;'Ingest Template'!Y40
)</f>
        <v>#N/A</v>
      </c>
      <c r="X40" s="74" t="str">
        <f>'Ingest Template'!Z40</f>
        <v/>
      </c>
      <c r="Y40" s="35" t="str">
        <f>SUBSTITUTE(SUBSTITUTE(SUBSTITUTE('Ingest Template'!AA40,"http:",""),"https:",""),"/","")</f>
        <v/>
      </c>
      <c r="Z40" s="35" t="str">
        <f t="array" ref="Z40">IF('Ingest Template'!A40="Standard",(IF(ISBLANK('Ingest Template'!AB40),"", 'Ingest Template'!AB40&amp;"|DAR")),(IF(ISBLANK('Ingest Template'!AB40),"", 'Ingest Template'!AB40&amp;"|TV Ops")))</f>
        <v/>
      </c>
      <c r="AA40" s="35"/>
      <c r="AB40" s="35" t="str">
        <f>'Ingest Template'!R40</f>
        <v/>
      </c>
      <c r="AC40" s="35" t="str">
        <f>'Ingest Template'!T40</f>
        <v/>
      </c>
      <c r="AD40" s="35" t="str">
        <f>'Ingest Template'!S40</f>
        <v/>
      </c>
      <c r="AE40" s="35" t="str">
        <f>'Ingest Template'!U40</f>
        <v/>
      </c>
      <c r="AF40" s="22"/>
      <c r="AG40" s="35" t="str">
        <f t="array" ref="AG40">IF('Ingest Template'!A40="Standard",(CONCATENATE(IF(ISBLANK('Ingest Template'!N40),"", 'Ingest Template'!N40&amp;"|DAR"),CHAR(10), IF(ISBLANK('Ingest Template'!O40),"", 'Ingest Template'!O40&amp;"|DAR"),CHAR(10), IF(ISBLANK('Ingest Template'!P40),"", 'Ingest Template'!P40&amp;"|DAR"))),(CONCATENATE(IF(ISBLANK('Ingest Template'!N40),"", 'Ingest Template'!N40&amp;"|TV Ops"),CHAR(10), IF(ISBLANK('Ingest Template'!O40),"", 'Ingest Template'!O40&amp;"|TV Ops"),CHAR(10), IF(ISBLANK('Ingest Template'!P40),"", 'Ingest Template'!P40&amp;"|TV Ops"))))</f>
        <v>
</v>
      </c>
      <c r="AH40" s="35"/>
      <c r="AI40" s="35"/>
      <c r="AJ40" s="117" t="str">
        <f>if('Ingest Template'!A40="Standard",(IF(OR('Ingest Template'!F40 = "Program Type - Special", 'Ingest Template'!F40 = "Program Type - Live Event"),'Ingest Template'!M40&amp; "|DAR|DAR|"&amp;TEXT('Ingest Template'!C40-3, "yyyy-mm-dd")&amp;"|"&amp;TEXT('Ingest Template'!C40+3, "yyyy-mm-dd"),'Ingest Template'!M40&amp; "|DAR|DAR|2021-01-01")),(IF(OR('Ingest Template'!F40 = "Program Type - Special", 'Ingest Template'!F40 = "Program Type - Live Event"),'Ingest Template'!M40&amp; "|Operations - Core Title|Operations - Core Title|"&amp;TEXT('Ingest Template'!C40-3, "yyyy-mm-dd")&amp;"|"&amp;TEXT('Ingest Template'!C40+3, "yyyy-mm-dd"),'Ingest Template'!M40&amp; "|Operations - Core Title|Operations - Core Title")))</f>
        <v>|Operations - Core Title|Operations - Core Title</v>
      </c>
      <c r="AK40" s="35"/>
      <c r="AL40" s="117" t="str">
        <f>if('Ingest Template'!A40="Standard",(IF(OR('Ingest Template'!F40 = "Program Type - Special", 'Ingest Template'!F40 = "Program Type - Live Event"),'Ingest Template'!Q40&amp;"|"&amp;TEXT('Ingest Template'!C40-3, "yyyy-mm-dd")&amp;"|"&amp;TEXT('Ingest Template'!C40+3, "yyyy-mm-dd"),'Ingest Template'!Q40&amp; "|2021-01-01")),(IF(OR('Ingest Template'!F40 = "Program Type - Special", 'Ingest Template'!F40 = "Program Type - Live Event"),'Ingest Template'!Q40&amp; "|"&amp;TEXT('Ingest Template'!C40-3, "yyyy-mm-dd")&amp;"|"&amp;TEXT('Ingest Template'!C40+3, "yyyy-mm-dd"),'Ingest Template'!Q40)))</f>
        <v/>
      </c>
      <c r="AM40" s="35" t="str">
        <f>'Ingest Template'!AC40</f>
        <v/>
      </c>
    </row>
    <row r="41">
      <c r="A41" s="15"/>
      <c r="B41" s="22" t="str">
        <f>'Ingest Template'!C41&amp;IF('Ingest Template'!A41 = "Standard", " - DAR","")</f>
        <v/>
      </c>
      <c r="C41" s="22" t="s">
        <v>83</v>
      </c>
      <c r="D41" s="22" t="str">
        <f t="array" ref="D41">CONCATENATE(INDEX(DropdownLists!$H$2:$H$11,MATCH(1,COUNTIF('Ingest Template'!E41,"*"&amp;DropdownLists!$I$2:$I$11&amp;"*"),0)),CHAR(10),'Ingest Template'!F41,CHAR(10),'Ingest Template'!G41,CHAR(10),VLOOKUP('Ingest Template'!D41,DropdownLists!C:D,2,FALSE))</f>
        <v>#N/A</v>
      </c>
      <c r="E41" s="22" t="str">
        <f>CONCATENATE('Ingest Template'!H41,CHAR(10),'Ingest Template'!I41,CHAR(10),'Ingest Template'!J41,CHAR(10))</f>
        <v>
</v>
      </c>
      <c r="F41" s="35" t="str">
        <f t="array" ref="F41">INDEX(DropdownLists!$O$2:$O$36,MATCH(1,COUNTIF(E41,"*"&amp;DropdownLists!$N$2:$N$36&amp;"*"),0))</f>
        <v/>
      </c>
      <c r="G41" s="35"/>
      <c r="H41" s="22" t="str">
        <f t="array" ref="H41">INDEX(DropdownLists!$E$2:$E$276,MATCH('Ingest Template'!D41,DropdownLists!$C$2:$C$276,0))</f>
        <v>#N/A</v>
      </c>
      <c r="I41" s="22"/>
      <c r="J41" s="22" t="str">
        <f t="array" ref="J41">iF('Ingest Template'!A41="Standard","Pristine Brand",INDEX(DropdownLists!$B$2:$B$246,MATCH('Ingest Template'!D41,DropdownLists!$C$2:$C$246,0)))</f>
        <v>#N/A</v>
      </c>
      <c r="K41" s="22" t="str">
        <f>iF('Ingest Template'!A41="Standard",'Ingest Template'!K41&amp;CHAR(10)&amp;'Ingest Template'!L41,"Competitive View")</f>
        <v>Competitive View</v>
      </c>
      <c r="L41" s="22" t="s">
        <v>95</v>
      </c>
      <c r="M41" s="45" t="str">
        <f>'Ingest Template'!B41</f>
        <v/>
      </c>
      <c r="N41" s="35"/>
      <c r="O41" s="35"/>
      <c r="P41" s="35"/>
      <c r="Q41" s="35"/>
      <c r="R41" s="35" t="str">
        <f>'Ingest Template'!D41</f>
        <v/>
      </c>
      <c r="S41" s="22" t="s">
        <v>101</v>
      </c>
      <c r="T41" s="35" t="str">
        <f>'Ingest Template'!V41</f>
        <v/>
      </c>
      <c r="U41" s="35" t="str">
        <f>'Ingest Template'!W41</f>
        <v/>
      </c>
      <c r="V41" s="35" t="str">
        <f>LOWER(SUBSTITUTE(SUBSTITUTE(SUBSTITUTE(SUBSTITUTE(SUBSTITUTE('Ingest Template'!X41,"https:",""),"www.",""),"/",""),"?hl=en",""),"instagram.com",""))</f>
        <v/>
      </c>
      <c r="W41" s="74" t="str">
        <f t="array" ref="W41">IF(
'Ingest Template'!Y41="",
SUBSTITUTE(
INDEX(DropdownLists!$F$2:$F$277,MATCH('Ingest Template'!D41,DropdownLists!$C$2:$C$277,0)),
CHAR(10),
"|"&amp;'Ingest Template'!C41&amp;CHAR(10)
)&amp;"|"&amp;'Ingest Template'!C41,
SUBSTITUTE(
INDEX(DropdownLists!$F$2:$F$277,MATCH('Ingest Template'!D41,DropdownLists!$C$2:$C$277,0)),
CHAR(10),
"|"&amp;'Ingest Template'!C41&amp;CHAR(10)
)&amp;"|"&amp;'Ingest Template'!C41&amp;CHAR(10)&amp;'Ingest Template'!Y41
)</f>
        <v>#N/A</v>
      </c>
      <c r="X41" s="74" t="str">
        <f>'Ingest Template'!Z41</f>
        <v/>
      </c>
      <c r="Y41" s="35" t="str">
        <f>SUBSTITUTE(SUBSTITUTE(SUBSTITUTE('Ingest Template'!AA41,"http:",""),"https:",""),"/","")</f>
        <v/>
      </c>
      <c r="Z41" s="35" t="str">
        <f t="array" ref="Z41">IF('Ingest Template'!A41="Standard",(IF(ISBLANK('Ingest Template'!AB41),"", 'Ingest Template'!AB41&amp;"|DAR")),(IF(ISBLANK('Ingest Template'!AB41),"", 'Ingest Template'!AB41&amp;"|TV Ops")))</f>
        <v/>
      </c>
      <c r="AA41" s="35"/>
      <c r="AB41" s="35" t="str">
        <f>'Ingest Template'!R41</f>
        <v/>
      </c>
      <c r="AC41" s="35" t="str">
        <f>'Ingest Template'!T41</f>
        <v/>
      </c>
      <c r="AD41" s="35" t="str">
        <f>'Ingest Template'!S41</f>
        <v/>
      </c>
      <c r="AE41" s="35" t="str">
        <f>'Ingest Template'!U41</f>
        <v/>
      </c>
      <c r="AF41" s="22"/>
      <c r="AG41" s="35" t="str">
        <f t="array" ref="AG41">IF('Ingest Template'!A41="Standard",(CONCATENATE(IF(ISBLANK('Ingest Template'!N41),"", 'Ingest Template'!N41&amp;"|DAR"),CHAR(10), IF(ISBLANK('Ingest Template'!O41),"", 'Ingest Template'!O41&amp;"|DAR"),CHAR(10), IF(ISBLANK('Ingest Template'!P41),"", 'Ingest Template'!P41&amp;"|DAR"))),(CONCATENATE(IF(ISBLANK('Ingest Template'!N41),"", 'Ingest Template'!N41&amp;"|TV Ops"),CHAR(10), IF(ISBLANK('Ingest Template'!O41),"", 'Ingest Template'!O41&amp;"|TV Ops"),CHAR(10), IF(ISBLANK('Ingest Template'!P41),"", 'Ingest Template'!P41&amp;"|TV Ops"))))</f>
        <v>
</v>
      </c>
      <c r="AH41" s="35"/>
      <c r="AI41" s="35"/>
      <c r="AJ41" s="117" t="str">
        <f>if('Ingest Template'!A41="Standard",(IF(OR('Ingest Template'!F41 = "Program Type - Special", 'Ingest Template'!F41 = "Program Type - Live Event"),'Ingest Template'!M41&amp; "|DAR|DAR|"&amp;TEXT('Ingest Template'!C41-3, "yyyy-mm-dd")&amp;"|"&amp;TEXT('Ingest Template'!C41+3, "yyyy-mm-dd"),'Ingest Template'!M41&amp; "|DAR|DAR|2021-01-01")),(IF(OR('Ingest Template'!F41 = "Program Type - Special", 'Ingest Template'!F41 = "Program Type - Live Event"),'Ingest Template'!M41&amp; "|Operations - Core Title|Operations - Core Title|"&amp;TEXT('Ingest Template'!C41-3, "yyyy-mm-dd")&amp;"|"&amp;TEXT('Ingest Template'!C41+3, "yyyy-mm-dd"),'Ingest Template'!M41&amp; "|Operations - Core Title|Operations - Core Title")))</f>
        <v>|Operations - Core Title|Operations - Core Title</v>
      </c>
      <c r="AK41" s="35"/>
      <c r="AL41" s="117" t="str">
        <f>if('Ingest Template'!A41="Standard",(IF(OR('Ingest Template'!F41 = "Program Type - Special", 'Ingest Template'!F41 = "Program Type - Live Event"),'Ingest Template'!Q41&amp;"|"&amp;TEXT('Ingest Template'!C41-3, "yyyy-mm-dd")&amp;"|"&amp;TEXT('Ingest Template'!C41+3, "yyyy-mm-dd"),'Ingest Template'!Q41&amp; "|2021-01-01")),(IF(OR('Ingest Template'!F41 = "Program Type - Special", 'Ingest Template'!F41 = "Program Type - Live Event"),'Ingest Template'!Q41&amp; "|"&amp;TEXT('Ingest Template'!C41-3, "yyyy-mm-dd")&amp;"|"&amp;TEXT('Ingest Template'!C41+3, "yyyy-mm-dd"),'Ingest Template'!Q41)))</f>
        <v/>
      </c>
      <c r="AM41" s="35" t="str">
        <f>'Ingest Template'!AC41</f>
        <v/>
      </c>
    </row>
    <row r="42">
      <c r="A42" s="15"/>
      <c r="B42" s="22" t="str">
        <f>'Ingest Template'!C42&amp;IF('Ingest Template'!A42 = "Standard", " - DAR","")</f>
        <v/>
      </c>
      <c r="C42" s="22" t="s">
        <v>83</v>
      </c>
      <c r="D42" s="22" t="str">
        <f t="array" ref="D42">CONCATENATE(INDEX(DropdownLists!$H$2:$H$11,MATCH(1,COUNTIF('Ingest Template'!E42,"*"&amp;DropdownLists!$I$2:$I$11&amp;"*"),0)),CHAR(10),'Ingest Template'!F42,CHAR(10),'Ingest Template'!G42,CHAR(10),VLOOKUP('Ingest Template'!D42,DropdownLists!C:D,2,FALSE))</f>
        <v>#N/A</v>
      </c>
      <c r="E42" s="22" t="str">
        <f>CONCATENATE('Ingest Template'!H42,CHAR(10),'Ingest Template'!I42,CHAR(10),'Ingest Template'!J42,CHAR(10))</f>
        <v>
</v>
      </c>
      <c r="F42" s="35" t="str">
        <f t="array" ref="F42">INDEX(DropdownLists!$O$2:$O$36,MATCH(1,COUNTIF(E42,"*"&amp;DropdownLists!$N$2:$N$36&amp;"*"),0))</f>
        <v/>
      </c>
      <c r="G42" s="35"/>
      <c r="H42" s="22" t="str">
        <f t="array" ref="H42">INDEX(DropdownLists!$E$2:$E$276,MATCH('Ingest Template'!D42,DropdownLists!$C$2:$C$276,0))</f>
        <v>#N/A</v>
      </c>
      <c r="I42" s="22"/>
      <c r="J42" s="22" t="str">
        <f t="array" ref="J42">iF('Ingest Template'!A42="Standard","Pristine Brand",INDEX(DropdownLists!$B$2:$B$246,MATCH('Ingest Template'!D42,DropdownLists!$C$2:$C$246,0)))</f>
        <v>#N/A</v>
      </c>
      <c r="K42" s="22" t="str">
        <f>iF('Ingest Template'!A42="Standard",'Ingest Template'!K42&amp;CHAR(10)&amp;'Ingest Template'!L42,"Competitive View")</f>
        <v>Competitive View</v>
      </c>
      <c r="L42" s="22" t="s">
        <v>95</v>
      </c>
      <c r="M42" s="45" t="str">
        <f>'Ingest Template'!B42</f>
        <v/>
      </c>
      <c r="N42" s="35"/>
      <c r="O42" s="35"/>
      <c r="P42" s="35"/>
      <c r="Q42" s="35"/>
      <c r="R42" s="35" t="str">
        <f>'Ingest Template'!D42</f>
        <v/>
      </c>
      <c r="S42" s="22" t="s">
        <v>101</v>
      </c>
      <c r="T42" s="35" t="str">
        <f>'Ingest Template'!V42</f>
        <v/>
      </c>
      <c r="U42" s="35" t="str">
        <f>'Ingest Template'!W42</f>
        <v/>
      </c>
      <c r="V42" s="35" t="str">
        <f>LOWER(SUBSTITUTE(SUBSTITUTE(SUBSTITUTE(SUBSTITUTE(SUBSTITUTE('Ingest Template'!X42,"https:",""),"www.",""),"/",""),"?hl=en",""),"instagram.com",""))</f>
        <v/>
      </c>
      <c r="W42" s="74" t="str">
        <f t="array" ref="W42">IF(
'Ingest Template'!Y42="",
SUBSTITUTE(
INDEX(DropdownLists!$F$2:$F$277,MATCH('Ingest Template'!D42,DropdownLists!$C$2:$C$277,0)),
CHAR(10),
"|"&amp;'Ingest Template'!C42&amp;CHAR(10)
)&amp;"|"&amp;'Ingest Template'!C42,
SUBSTITUTE(
INDEX(DropdownLists!$F$2:$F$277,MATCH('Ingest Template'!D42,DropdownLists!$C$2:$C$277,0)),
CHAR(10),
"|"&amp;'Ingest Template'!C42&amp;CHAR(10)
)&amp;"|"&amp;'Ingest Template'!C42&amp;CHAR(10)&amp;'Ingest Template'!Y42
)</f>
        <v>#N/A</v>
      </c>
      <c r="X42" s="74" t="str">
        <f>'Ingest Template'!Z42</f>
        <v/>
      </c>
      <c r="Y42" s="35" t="str">
        <f>SUBSTITUTE(SUBSTITUTE(SUBSTITUTE('Ingest Template'!AA42,"http:",""),"https:",""),"/","")</f>
        <v/>
      </c>
      <c r="Z42" s="35" t="str">
        <f t="array" ref="Z42">IF('Ingest Template'!A42="Standard",(IF(ISBLANK('Ingest Template'!AB42),"", 'Ingest Template'!AB42&amp;"|DAR")),(IF(ISBLANK('Ingest Template'!AB42),"", 'Ingest Template'!AB42&amp;"|TV Ops")))</f>
        <v/>
      </c>
      <c r="AA42" s="35"/>
      <c r="AB42" s="35" t="str">
        <f>'Ingest Template'!R42</f>
        <v/>
      </c>
      <c r="AC42" s="35" t="str">
        <f>'Ingest Template'!T42</f>
        <v/>
      </c>
      <c r="AD42" s="35" t="str">
        <f>'Ingest Template'!S42</f>
        <v/>
      </c>
      <c r="AE42" s="35" t="str">
        <f>'Ingest Template'!U42</f>
        <v/>
      </c>
      <c r="AF42" s="22"/>
      <c r="AG42" s="35" t="str">
        <f t="array" ref="AG42">IF('Ingest Template'!A42="Standard",(CONCATENATE(IF(ISBLANK('Ingest Template'!N42),"", 'Ingest Template'!N42&amp;"|DAR"),CHAR(10), IF(ISBLANK('Ingest Template'!O42),"", 'Ingest Template'!O42&amp;"|DAR"),CHAR(10), IF(ISBLANK('Ingest Template'!P42),"", 'Ingest Template'!P42&amp;"|DAR"))),(CONCATENATE(IF(ISBLANK('Ingest Template'!N42),"", 'Ingest Template'!N42&amp;"|TV Ops"),CHAR(10), IF(ISBLANK('Ingest Template'!O42),"", 'Ingest Template'!O42&amp;"|TV Ops"),CHAR(10), IF(ISBLANK('Ingest Template'!P42),"", 'Ingest Template'!P42&amp;"|TV Ops"))))</f>
        <v>
</v>
      </c>
      <c r="AH42" s="35"/>
      <c r="AI42" s="35"/>
      <c r="AJ42" s="117" t="str">
        <f>if('Ingest Template'!A42="Standard",(IF(OR('Ingest Template'!F42 = "Program Type - Special", 'Ingest Template'!F42 = "Program Type - Live Event"),'Ingest Template'!M42&amp; "|DAR|DAR|"&amp;TEXT('Ingest Template'!C42-3, "yyyy-mm-dd")&amp;"|"&amp;TEXT('Ingest Template'!C42+3, "yyyy-mm-dd"),'Ingest Template'!M42&amp; "|DAR|DAR|2021-01-01")),(IF(OR('Ingest Template'!F42 = "Program Type - Special", 'Ingest Template'!F42 = "Program Type - Live Event"),'Ingest Template'!M42&amp; "|Operations - Core Title|Operations - Core Title|"&amp;TEXT('Ingest Template'!C42-3, "yyyy-mm-dd")&amp;"|"&amp;TEXT('Ingest Template'!C42+3, "yyyy-mm-dd"),'Ingest Template'!M42&amp; "|Operations - Core Title|Operations - Core Title")))</f>
        <v>|Operations - Core Title|Operations - Core Title</v>
      </c>
      <c r="AK42" s="35"/>
      <c r="AL42" s="117" t="str">
        <f>if('Ingest Template'!A42="Standard",(IF(OR('Ingest Template'!F42 = "Program Type - Special", 'Ingest Template'!F42 = "Program Type - Live Event"),'Ingest Template'!Q42&amp;"|"&amp;TEXT('Ingest Template'!C42-3, "yyyy-mm-dd")&amp;"|"&amp;TEXT('Ingest Template'!C42+3, "yyyy-mm-dd"),'Ingest Template'!Q42&amp; "|2021-01-01")),(IF(OR('Ingest Template'!F42 = "Program Type - Special", 'Ingest Template'!F42 = "Program Type - Live Event"),'Ingest Template'!Q42&amp; "|"&amp;TEXT('Ingest Template'!C42-3, "yyyy-mm-dd")&amp;"|"&amp;TEXT('Ingest Template'!C42+3, "yyyy-mm-dd"),'Ingest Template'!Q42)))</f>
        <v/>
      </c>
      <c r="AM42" s="35" t="str">
        <f>'Ingest Template'!AC42</f>
        <v/>
      </c>
    </row>
    <row r="43">
      <c r="A43" s="15"/>
      <c r="B43" s="22" t="str">
        <f>'Ingest Template'!C43&amp;IF('Ingest Template'!A43 = "Standard", " - DAR","")</f>
        <v/>
      </c>
      <c r="C43" s="22" t="s">
        <v>83</v>
      </c>
      <c r="D43" s="22" t="str">
        <f t="array" ref="D43">CONCATENATE(INDEX(DropdownLists!$H$2:$H$11,MATCH(1,COUNTIF('Ingest Template'!E43,"*"&amp;DropdownLists!$I$2:$I$11&amp;"*"),0)),CHAR(10),'Ingest Template'!F43,CHAR(10),'Ingest Template'!G43,CHAR(10),VLOOKUP('Ingest Template'!D43,DropdownLists!C:D,2,FALSE))</f>
        <v>#N/A</v>
      </c>
      <c r="E43" s="22" t="str">
        <f>CONCATENATE('Ingest Template'!H43,CHAR(10),'Ingest Template'!I43,CHAR(10),'Ingest Template'!J43,CHAR(10))</f>
        <v>
</v>
      </c>
      <c r="F43" s="35" t="str">
        <f t="array" ref="F43">INDEX(DropdownLists!$O$2:$O$36,MATCH(1,COUNTIF(E43,"*"&amp;DropdownLists!$N$2:$N$36&amp;"*"),0))</f>
        <v/>
      </c>
      <c r="G43" s="35"/>
      <c r="H43" s="22" t="str">
        <f t="array" ref="H43">INDEX(DropdownLists!$E$2:$E$276,MATCH('Ingest Template'!D43,DropdownLists!$C$2:$C$276,0))</f>
        <v>#N/A</v>
      </c>
      <c r="I43" s="22"/>
      <c r="J43" s="22" t="str">
        <f t="array" ref="J43">iF('Ingest Template'!A43="Standard","Pristine Brand",INDEX(DropdownLists!$B$2:$B$246,MATCH('Ingest Template'!D43,DropdownLists!$C$2:$C$246,0)))</f>
        <v>#N/A</v>
      </c>
      <c r="K43" s="22" t="str">
        <f>iF('Ingest Template'!A43="Standard",'Ingest Template'!K43&amp;CHAR(10)&amp;'Ingest Template'!L43,"Competitive View")</f>
        <v>Competitive View</v>
      </c>
      <c r="L43" s="22" t="s">
        <v>95</v>
      </c>
      <c r="M43" s="45" t="str">
        <f>'Ingest Template'!B43</f>
        <v/>
      </c>
      <c r="N43" s="35"/>
      <c r="O43" s="35"/>
      <c r="P43" s="35"/>
      <c r="Q43" s="35"/>
      <c r="R43" s="35" t="str">
        <f>'Ingest Template'!D43</f>
        <v/>
      </c>
      <c r="S43" s="22" t="s">
        <v>101</v>
      </c>
      <c r="T43" s="35" t="str">
        <f>'Ingest Template'!V43</f>
        <v/>
      </c>
      <c r="U43" s="35" t="str">
        <f>'Ingest Template'!W43</f>
        <v/>
      </c>
      <c r="V43" s="35" t="str">
        <f>LOWER(SUBSTITUTE(SUBSTITUTE(SUBSTITUTE(SUBSTITUTE(SUBSTITUTE('Ingest Template'!X43,"https:",""),"www.",""),"/",""),"?hl=en",""),"instagram.com",""))</f>
        <v/>
      </c>
      <c r="W43" s="74" t="str">
        <f t="array" ref="W43">IF(
'Ingest Template'!Y43="",
SUBSTITUTE(
INDEX(DropdownLists!$F$2:$F$277,MATCH('Ingest Template'!D43,DropdownLists!$C$2:$C$277,0)),
CHAR(10),
"|"&amp;'Ingest Template'!C43&amp;CHAR(10)
)&amp;"|"&amp;'Ingest Template'!C43,
SUBSTITUTE(
INDEX(DropdownLists!$F$2:$F$277,MATCH('Ingest Template'!D43,DropdownLists!$C$2:$C$277,0)),
CHAR(10),
"|"&amp;'Ingest Template'!C43&amp;CHAR(10)
)&amp;"|"&amp;'Ingest Template'!C43&amp;CHAR(10)&amp;'Ingest Template'!Y43
)</f>
        <v>#N/A</v>
      </c>
      <c r="X43" s="74" t="str">
        <f>'Ingest Template'!Z43</f>
        <v/>
      </c>
      <c r="Y43" s="35" t="str">
        <f>SUBSTITUTE(SUBSTITUTE(SUBSTITUTE('Ingest Template'!AA43,"http:",""),"https:",""),"/","")</f>
        <v/>
      </c>
      <c r="Z43" s="35" t="str">
        <f t="array" ref="Z43">IF('Ingest Template'!A43="Standard",(IF(ISBLANK('Ingest Template'!AB43),"", 'Ingest Template'!AB43&amp;"|DAR")),(IF(ISBLANK('Ingest Template'!AB43),"", 'Ingest Template'!AB43&amp;"|TV Ops")))</f>
        <v/>
      </c>
      <c r="AA43" s="35"/>
      <c r="AB43" s="35" t="str">
        <f>'Ingest Template'!R43</f>
        <v/>
      </c>
      <c r="AC43" s="35" t="str">
        <f>'Ingest Template'!T43</f>
        <v/>
      </c>
      <c r="AD43" s="35" t="str">
        <f>'Ingest Template'!S43</f>
        <v/>
      </c>
      <c r="AE43" s="35" t="str">
        <f>'Ingest Template'!U43</f>
        <v/>
      </c>
      <c r="AF43" s="22"/>
      <c r="AG43" s="35" t="str">
        <f t="array" ref="AG43">IF('Ingest Template'!A43="Standard",(CONCATENATE(IF(ISBLANK('Ingest Template'!N43),"", 'Ingest Template'!N43&amp;"|DAR"),CHAR(10), IF(ISBLANK('Ingest Template'!O43),"", 'Ingest Template'!O43&amp;"|DAR"),CHAR(10), IF(ISBLANK('Ingest Template'!P43),"", 'Ingest Template'!P43&amp;"|DAR"))),(CONCATENATE(IF(ISBLANK('Ingest Template'!N43),"", 'Ingest Template'!N43&amp;"|TV Ops"),CHAR(10), IF(ISBLANK('Ingest Template'!O43),"", 'Ingest Template'!O43&amp;"|TV Ops"),CHAR(10), IF(ISBLANK('Ingest Template'!P43),"", 'Ingest Template'!P43&amp;"|TV Ops"))))</f>
        <v>
</v>
      </c>
      <c r="AH43" s="35"/>
      <c r="AI43" s="35"/>
      <c r="AJ43" s="117" t="str">
        <f>if('Ingest Template'!A43="Standard",(IF(OR('Ingest Template'!F43 = "Program Type - Special", 'Ingest Template'!F43 = "Program Type - Live Event"),'Ingest Template'!M43&amp; "|DAR|DAR|"&amp;TEXT('Ingest Template'!C43-3, "yyyy-mm-dd")&amp;"|"&amp;TEXT('Ingest Template'!C43+3, "yyyy-mm-dd"),'Ingest Template'!M43&amp; "|DAR|DAR|2021-01-01")),(IF(OR('Ingest Template'!F43 = "Program Type - Special", 'Ingest Template'!F43 = "Program Type - Live Event"),'Ingest Template'!M43&amp; "|Operations - Core Title|Operations - Core Title|"&amp;TEXT('Ingest Template'!C43-3, "yyyy-mm-dd")&amp;"|"&amp;TEXT('Ingest Template'!C43+3, "yyyy-mm-dd"),'Ingest Template'!M43&amp; "|Operations - Core Title|Operations - Core Title")))</f>
        <v>|Operations - Core Title|Operations - Core Title</v>
      </c>
      <c r="AK43" s="35"/>
      <c r="AL43" s="117" t="str">
        <f>if('Ingest Template'!A43="Standard",(IF(OR('Ingest Template'!F43 = "Program Type - Special", 'Ingest Template'!F43 = "Program Type - Live Event"),'Ingest Template'!Q43&amp;"|"&amp;TEXT('Ingest Template'!C43-3, "yyyy-mm-dd")&amp;"|"&amp;TEXT('Ingest Template'!C43+3, "yyyy-mm-dd"),'Ingest Template'!Q43&amp; "|2021-01-01")),(IF(OR('Ingest Template'!F43 = "Program Type - Special", 'Ingest Template'!F43 = "Program Type - Live Event"),'Ingest Template'!Q43&amp; "|"&amp;TEXT('Ingest Template'!C43-3, "yyyy-mm-dd")&amp;"|"&amp;TEXT('Ingest Template'!C43+3, "yyyy-mm-dd"),'Ingest Template'!Q43)))</f>
        <v/>
      </c>
      <c r="AM43" s="35" t="str">
        <f>'Ingest Template'!AC43</f>
        <v/>
      </c>
    </row>
    <row r="44">
      <c r="A44" s="15"/>
      <c r="B44" s="22" t="str">
        <f>'Ingest Template'!C44&amp;IF('Ingest Template'!A44 = "Standard", " - DAR","")</f>
        <v/>
      </c>
      <c r="C44" s="22" t="s">
        <v>83</v>
      </c>
      <c r="D44" s="22" t="str">
        <f t="array" ref="D44">CONCATENATE(INDEX(DropdownLists!$H$2:$H$11,MATCH(1,COUNTIF('Ingest Template'!E44,"*"&amp;DropdownLists!$I$2:$I$11&amp;"*"),0)),CHAR(10),'Ingest Template'!F44,CHAR(10),'Ingest Template'!G44,CHAR(10),VLOOKUP('Ingest Template'!D44,DropdownLists!C:D,2,FALSE))</f>
        <v>#N/A</v>
      </c>
      <c r="E44" s="22" t="str">
        <f>CONCATENATE('Ingest Template'!H44,CHAR(10),'Ingest Template'!I44,CHAR(10),'Ingest Template'!J44,CHAR(10))</f>
        <v>
</v>
      </c>
      <c r="F44" s="35" t="str">
        <f t="array" ref="F44">INDEX(DropdownLists!$O$2:$O$36,MATCH(1,COUNTIF(E44,"*"&amp;DropdownLists!$N$2:$N$36&amp;"*"),0))</f>
        <v/>
      </c>
      <c r="G44" s="35"/>
      <c r="H44" s="22" t="str">
        <f t="array" ref="H44">INDEX(DropdownLists!$E$2:$E$276,MATCH('Ingest Template'!D44,DropdownLists!$C$2:$C$276,0))</f>
        <v>#N/A</v>
      </c>
      <c r="I44" s="22"/>
      <c r="J44" s="22" t="str">
        <f t="array" ref="J44">iF('Ingest Template'!A44="Standard","Pristine Brand",INDEX(DropdownLists!$B$2:$B$246,MATCH('Ingest Template'!D44,DropdownLists!$C$2:$C$246,0)))</f>
        <v>#N/A</v>
      </c>
      <c r="K44" s="22" t="str">
        <f>iF('Ingest Template'!A44="Standard",'Ingest Template'!K44&amp;CHAR(10)&amp;'Ingest Template'!L44,"Competitive View")</f>
        <v>Competitive View</v>
      </c>
      <c r="L44" s="22" t="s">
        <v>95</v>
      </c>
      <c r="M44" s="45" t="str">
        <f>'Ingest Template'!B44</f>
        <v/>
      </c>
      <c r="N44" s="35"/>
      <c r="O44" s="35"/>
      <c r="P44" s="35"/>
      <c r="Q44" s="35"/>
      <c r="R44" s="35" t="str">
        <f>'Ingest Template'!D44</f>
        <v/>
      </c>
      <c r="S44" s="22" t="s">
        <v>101</v>
      </c>
      <c r="T44" s="35" t="str">
        <f>'Ingest Template'!V44</f>
        <v/>
      </c>
      <c r="U44" s="35" t="str">
        <f>'Ingest Template'!W44</f>
        <v/>
      </c>
      <c r="V44" s="35" t="str">
        <f>LOWER(SUBSTITUTE(SUBSTITUTE(SUBSTITUTE(SUBSTITUTE(SUBSTITUTE('Ingest Template'!X44,"https:",""),"www.",""),"/",""),"?hl=en",""),"instagram.com",""))</f>
        <v/>
      </c>
      <c r="W44" s="74" t="str">
        <f t="array" ref="W44">IF(
'Ingest Template'!Y44="",
SUBSTITUTE(
INDEX(DropdownLists!$F$2:$F$277,MATCH('Ingest Template'!D44,DropdownLists!$C$2:$C$277,0)),
CHAR(10),
"|"&amp;'Ingest Template'!C44&amp;CHAR(10)
)&amp;"|"&amp;'Ingest Template'!C44,
SUBSTITUTE(
INDEX(DropdownLists!$F$2:$F$277,MATCH('Ingest Template'!D44,DropdownLists!$C$2:$C$277,0)),
CHAR(10),
"|"&amp;'Ingest Template'!C44&amp;CHAR(10)
)&amp;"|"&amp;'Ingest Template'!C44&amp;CHAR(10)&amp;'Ingest Template'!Y44
)</f>
        <v>#N/A</v>
      </c>
      <c r="X44" s="74" t="str">
        <f>'Ingest Template'!Z44</f>
        <v/>
      </c>
      <c r="Y44" s="35" t="str">
        <f>SUBSTITUTE(SUBSTITUTE(SUBSTITUTE('Ingest Template'!AA44,"http:",""),"https:",""),"/","")</f>
        <v/>
      </c>
      <c r="Z44" s="35" t="str">
        <f t="array" ref="Z44">IF('Ingest Template'!A44="Standard",(IF(ISBLANK('Ingest Template'!AB44),"", 'Ingest Template'!AB44&amp;"|DAR")),(IF(ISBLANK('Ingest Template'!AB44),"", 'Ingest Template'!AB44&amp;"|TV Ops")))</f>
        <v/>
      </c>
      <c r="AA44" s="35"/>
      <c r="AB44" s="35" t="str">
        <f>'Ingest Template'!R44</f>
        <v/>
      </c>
      <c r="AC44" s="35" t="str">
        <f>'Ingest Template'!T44</f>
        <v/>
      </c>
      <c r="AD44" s="35" t="str">
        <f>'Ingest Template'!S44</f>
        <v/>
      </c>
      <c r="AE44" s="35" t="str">
        <f>'Ingest Template'!U44</f>
        <v/>
      </c>
      <c r="AF44" s="22"/>
      <c r="AG44" s="35" t="str">
        <f t="array" ref="AG44">IF('Ingest Template'!A44="Standard",(CONCATENATE(IF(ISBLANK('Ingest Template'!N44),"", 'Ingest Template'!N44&amp;"|DAR"),CHAR(10), IF(ISBLANK('Ingest Template'!O44),"", 'Ingest Template'!O44&amp;"|DAR"),CHAR(10), IF(ISBLANK('Ingest Template'!P44),"", 'Ingest Template'!P44&amp;"|DAR"))),(CONCATENATE(IF(ISBLANK('Ingest Template'!N44),"", 'Ingest Template'!N44&amp;"|TV Ops"),CHAR(10), IF(ISBLANK('Ingest Template'!O44),"", 'Ingest Template'!O44&amp;"|TV Ops"),CHAR(10), IF(ISBLANK('Ingest Template'!P44),"", 'Ingest Template'!P44&amp;"|TV Ops"))))</f>
        <v>
</v>
      </c>
      <c r="AH44" s="35"/>
      <c r="AI44" s="35"/>
      <c r="AJ44" s="117" t="str">
        <f>if('Ingest Template'!A44="Standard",(IF(OR('Ingest Template'!F44 = "Program Type - Special", 'Ingest Template'!F44 = "Program Type - Live Event"),'Ingest Template'!M44&amp; "|DAR|DAR|"&amp;TEXT('Ingest Template'!C44-3, "yyyy-mm-dd")&amp;"|"&amp;TEXT('Ingest Template'!C44+3, "yyyy-mm-dd"),'Ingest Template'!M44&amp; "|DAR|DAR|2021-01-01")),(IF(OR('Ingest Template'!F44 = "Program Type - Special", 'Ingest Template'!F44 = "Program Type - Live Event"),'Ingest Template'!M44&amp; "|Operations - Core Title|Operations - Core Title|"&amp;TEXT('Ingest Template'!C44-3, "yyyy-mm-dd")&amp;"|"&amp;TEXT('Ingest Template'!C44+3, "yyyy-mm-dd"),'Ingest Template'!M44&amp; "|Operations - Core Title|Operations - Core Title")))</f>
        <v>|Operations - Core Title|Operations - Core Title</v>
      </c>
      <c r="AK44" s="35"/>
      <c r="AL44" s="117" t="str">
        <f>if('Ingest Template'!A44="Standard",(IF(OR('Ingest Template'!F44 = "Program Type - Special", 'Ingest Template'!F44 = "Program Type - Live Event"),'Ingest Template'!Q44&amp;"|"&amp;TEXT('Ingest Template'!C44-3, "yyyy-mm-dd")&amp;"|"&amp;TEXT('Ingest Template'!C44+3, "yyyy-mm-dd"),'Ingest Template'!Q44&amp; "|2021-01-01")),(IF(OR('Ingest Template'!F44 = "Program Type - Special", 'Ingest Template'!F44 = "Program Type - Live Event"),'Ingest Template'!Q44&amp; "|"&amp;TEXT('Ingest Template'!C44-3, "yyyy-mm-dd")&amp;"|"&amp;TEXT('Ingest Template'!C44+3, "yyyy-mm-dd"),'Ingest Template'!Q44)))</f>
        <v/>
      </c>
      <c r="AM44" s="35" t="str">
        <f>'Ingest Template'!AC44</f>
        <v/>
      </c>
    </row>
    <row r="45">
      <c r="A45" s="15"/>
      <c r="B45" s="22" t="str">
        <f>'Ingest Template'!C45&amp;IF('Ingest Template'!A45 = "Standard", " - DAR","")</f>
        <v/>
      </c>
      <c r="C45" s="22" t="s">
        <v>83</v>
      </c>
      <c r="D45" s="22" t="str">
        <f t="array" ref="D45">CONCATENATE(INDEX(DropdownLists!$H$2:$H$11,MATCH(1,COUNTIF('Ingest Template'!E45,"*"&amp;DropdownLists!$I$2:$I$11&amp;"*"),0)),CHAR(10),'Ingest Template'!F45,CHAR(10),'Ingest Template'!G45,CHAR(10),VLOOKUP('Ingest Template'!D45,DropdownLists!C:D,2,FALSE))</f>
        <v>#N/A</v>
      </c>
      <c r="E45" s="22" t="str">
        <f>CONCATENATE('Ingest Template'!H45,CHAR(10),'Ingest Template'!I45,CHAR(10),'Ingest Template'!J45,CHAR(10))</f>
        <v>
</v>
      </c>
      <c r="F45" s="35" t="str">
        <f t="array" ref="F45">INDEX(DropdownLists!$O$2:$O$36,MATCH(1,COUNTIF(E45,"*"&amp;DropdownLists!$N$2:$N$36&amp;"*"),0))</f>
        <v/>
      </c>
      <c r="G45" s="35"/>
      <c r="H45" s="22" t="str">
        <f t="array" ref="H45">INDEX(DropdownLists!$E$2:$E$276,MATCH('Ingest Template'!D45,DropdownLists!$C$2:$C$276,0))</f>
        <v>#N/A</v>
      </c>
      <c r="I45" s="22"/>
      <c r="J45" s="22" t="str">
        <f t="array" ref="J45">iF('Ingest Template'!A45="Standard","Pristine Brand",INDEX(DropdownLists!$B$2:$B$246,MATCH('Ingest Template'!D45,DropdownLists!$C$2:$C$246,0)))</f>
        <v>#N/A</v>
      </c>
      <c r="K45" s="22" t="str">
        <f>iF('Ingest Template'!A45="Standard",'Ingest Template'!K45&amp;CHAR(10)&amp;'Ingest Template'!L45,"Competitive View")</f>
        <v>Competitive View</v>
      </c>
      <c r="L45" s="22" t="s">
        <v>95</v>
      </c>
      <c r="M45" s="45" t="str">
        <f>'Ingest Template'!B45</f>
        <v/>
      </c>
      <c r="N45" s="35"/>
      <c r="O45" s="35"/>
      <c r="P45" s="35"/>
      <c r="Q45" s="35"/>
      <c r="R45" s="35" t="str">
        <f>'Ingest Template'!D45</f>
        <v/>
      </c>
      <c r="S45" s="22" t="s">
        <v>101</v>
      </c>
      <c r="T45" s="35" t="str">
        <f>'Ingest Template'!V45</f>
        <v/>
      </c>
      <c r="U45" s="35" t="str">
        <f>'Ingest Template'!W45</f>
        <v/>
      </c>
      <c r="V45" s="35" t="str">
        <f>LOWER(SUBSTITUTE(SUBSTITUTE(SUBSTITUTE(SUBSTITUTE(SUBSTITUTE('Ingest Template'!X45,"https:",""),"www.",""),"/",""),"?hl=en",""),"instagram.com",""))</f>
        <v/>
      </c>
      <c r="W45" s="74" t="str">
        <f t="array" ref="W45">IF(
'Ingest Template'!Y45="",
SUBSTITUTE(
INDEX(DropdownLists!$F$2:$F$277,MATCH('Ingest Template'!D45,DropdownLists!$C$2:$C$277,0)),
CHAR(10),
"|"&amp;'Ingest Template'!C45&amp;CHAR(10)
)&amp;"|"&amp;'Ingest Template'!C45,
SUBSTITUTE(
INDEX(DropdownLists!$F$2:$F$277,MATCH('Ingest Template'!D45,DropdownLists!$C$2:$C$277,0)),
CHAR(10),
"|"&amp;'Ingest Template'!C45&amp;CHAR(10)
)&amp;"|"&amp;'Ingest Template'!C45&amp;CHAR(10)&amp;'Ingest Template'!Y45
)</f>
        <v>#N/A</v>
      </c>
      <c r="X45" s="74" t="str">
        <f>'Ingest Template'!Z45</f>
        <v/>
      </c>
      <c r="Y45" s="35" t="str">
        <f>SUBSTITUTE(SUBSTITUTE(SUBSTITUTE('Ingest Template'!AA45,"http:",""),"https:",""),"/","")</f>
        <v/>
      </c>
      <c r="Z45" s="35" t="str">
        <f t="array" ref="Z45">IF('Ingest Template'!A45="Standard",(IF(ISBLANK('Ingest Template'!AB45),"", 'Ingest Template'!AB45&amp;"|DAR")),(IF(ISBLANK('Ingest Template'!AB45),"", 'Ingest Template'!AB45&amp;"|TV Ops")))</f>
        <v/>
      </c>
      <c r="AA45" s="35"/>
      <c r="AB45" s="35" t="str">
        <f>'Ingest Template'!R45</f>
        <v/>
      </c>
      <c r="AC45" s="35" t="str">
        <f>'Ingest Template'!T45</f>
        <v/>
      </c>
      <c r="AD45" s="35" t="str">
        <f>'Ingest Template'!S45</f>
        <v/>
      </c>
      <c r="AE45" s="35" t="str">
        <f>'Ingest Template'!U45</f>
        <v/>
      </c>
      <c r="AF45" s="22"/>
      <c r="AG45" s="35" t="str">
        <f t="array" ref="AG45">IF('Ingest Template'!A45="Standard",(CONCATENATE(IF(ISBLANK('Ingest Template'!N45),"", 'Ingest Template'!N45&amp;"|DAR"),CHAR(10), IF(ISBLANK('Ingest Template'!O45),"", 'Ingest Template'!O45&amp;"|DAR"),CHAR(10), IF(ISBLANK('Ingest Template'!P45),"", 'Ingest Template'!P45&amp;"|DAR"))),(CONCATENATE(IF(ISBLANK('Ingest Template'!N45),"", 'Ingest Template'!N45&amp;"|TV Ops"),CHAR(10), IF(ISBLANK('Ingest Template'!O45),"", 'Ingest Template'!O45&amp;"|TV Ops"),CHAR(10), IF(ISBLANK('Ingest Template'!P45),"", 'Ingest Template'!P45&amp;"|TV Ops"))))</f>
        <v>
</v>
      </c>
      <c r="AH45" s="35"/>
      <c r="AI45" s="35"/>
      <c r="AJ45" s="117" t="str">
        <f>if('Ingest Template'!A45="Standard",(IF(OR('Ingest Template'!F45 = "Program Type - Special", 'Ingest Template'!F45 = "Program Type - Live Event"),'Ingest Template'!M45&amp; "|DAR|DAR|"&amp;TEXT('Ingest Template'!C45-3, "yyyy-mm-dd")&amp;"|"&amp;TEXT('Ingest Template'!C45+3, "yyyy-mm-dd"),'Ingest Template'!M45&amp; "|DAR|DAR|2021-01-01")),(IF(OR('Ingest Template'!F45 = "Program Type - Special", 'Ingest Template'!F45 = "Program Type - Live Event"),'Ingest Template'!M45&amp; "|Operations - Core Title|Operations - Core Title|"&amp;TEXT('Ingest Template'!C45-3, "yyyy-mm-dd")&amp;"|"&amp;TEXT('Ingest Template'!C45+3, "yyyy-mm-dd"),'Ingest Template'!M45&amp; "|Operations - Core Title|Operations - Core Title")))</f>
        <v>|Operations - Core Title|Operations - Core Title</v>
      </c>
      <c r="AK45" s="35"/>
      <c r="AL45" s="117" t="str">
        <f>if('Ingest Template'!A45="Standard",(IF(OR('Ingest Template'!F45 = "Program Type - Special", 'Ingest Template'!F45 = "Program Type - Live Event"),'Ingest Template'!Q45&amp;"|"&amp;TEXT('Ingest Template'!C45-3, "yyyy-mm-dd")&amp;"|"&amp;TEXT('Ingest Template'!C45+3, "yyyy-mm-dd"),'Ingest Template'!Q45&amp; "|2021-01-01")),(IF(OR('Ingest Template'!F45 = "Program Type - Special", 'Ingest Template'!F45 = "Program Type - Live Event"),'Ingest Template'!Q45&amp; "|"&amp;TEXT('Ingest Template'!C45-3, "yyyy-mm-dd")&amp;"|"&amp;TEXT('Ingest Template'!C45+3, "yyyy-mm-dd"),'Ingest Template'!Q45)))</f>
        <v/>
      </c>
      <c r="AM45" s="35" t="str">
        <f>'Ingest Template'!AC45</f>
        <v/>
      </c>
    </row>
    <row r="46">
      <c r="A46" s="15"/>
      <c r="B46" s="22" t="str">
        <f>'Ingest Template'!C46&amp;IF('Ingest Template'!A46 = "Standard", " - DAR","")</f>
        <v/>
      </c>
      <c r="C46" s="22" t="s">
        <v>83</v>
      </c>
      <c r="D46" s="22" t="str">
        <f t="array" ref="D46">CONCATENATE(INDEX(DropdownLists!$H$2:$H$11,MATCH(1,COUNTIF('Ingest Template'!E46,"*"&amp;DropdownLists!$I$2:$I$11&amp;"*"),0)),CHAR(10),'Ingest Template'!F46,CHAR(10),'Ingest Template'!G46,CHAR(10),VLOOKUP('Ingest Template'!D46,DropdownLists!C:D,2,FALSE))</f>
        <v>#N/A</v>
      </c>
      <c r="E46" s="22" t="str">
        <f>CONCATENATE('Ingest Template'!H46,CHAR(10),'Ingest Template'!I46,CHAR(10),'Ingest Template'!J46,CHAR(10))</f>
        <v>
</v>
      </c>
      <c r="F46" s="35" t="str">
        <f t="array" ref="F46">INDEX(DropdownLists!$O$2:$O$36,MATCH(1,COUNTIF(E46,"*"&amp;DropdownLists!$N$2:$N$36&amp;"*"),0))</f>
        <v/>
      </c>
      <c r="G46" s="35"/>
      <c r="H46" s="22" t="str">
        <f t="array" ref="H46">INDEX(DropdownLists!$E$2:$E$276,MATCH('Ingest Template'!D46,DropdownLists!$C$2:$C$276,0))</f>
        <v>#N/A</v>
      </c>
      <c r="I46" s="22"/>
      <c r="J46" s="22" t="str">
        <f t="array" ref="J46">iF('Ingest Template'!A46="Standard","Pristine Brand",INDEX(DropdownLists!$B$2:$B$246,MATCH('Ingest Template'!D46,DropdownLists!$C$2:$C$246,0)))</f>
        <v>#N/A</v>
      </c>
      <c r="K46" s="22" t="str">
        <f>iF('Ingest Template'!A46="Standard",'Ingest Template'!K46&amp;CHAR(10)&amp;'Ingest Template'!L46,"Competitive View")</f>
        <v>Competitive View</v>
      </c>
      <c r="L46" s="22" t="s">
        <v>95</v>
      </c>
      <c r="M46" s="45" t="str">
        <f>'Ingest Template'!B46</f>
        <v/>
      </c>
      <c r="N46" s="35"/>
      <c r="O46" s="35"/>
      <c r="P46" s="35"/>
      <c r="Q46" s="35"/>
      <c r="R46" s="35" t="str">
        <f>'Ingest Template'!D46</f>
        <v/>
      </c>
      <c r="S46" s="22" t="s">
        <v>101</v>
      </c>
      <c r="T46" s="35" t="str">
        <f>'Ingest Template'!V46</f>
        <v/>
      </c>
      <c r="U46" s="35" t="str">
        <f>'Ingest Template'!W46</f>
        <v/>
      </c>
      <c r="V46" s="35" t="str">
        <f>LOWER(SUBSTITUTE(SUBSTITUTE(SUBSTITUTE(SUBSTITUTE(SUBSTITUTE('Ingest Template'!X46,"https:",""),"www.",""),"/",""),"?hl=en",""),"instagram.com",""))</f>
        <v/>
      </c>
      <c r="W46" s="74" t="str">
        <f t="array" ref="W46">IF(
'Ingest Template'!Y46="",
SUBSTITUTE(
INDEX(DropdownLists!$F$2:$F$277,MATCH('Ingest Template'!D46,DropdownLists!$C$2:$C$277,0)),
CHAR(10),
"|"&amp;'Ingest Template'!C46&amp;CHAR(10)
)&amp;"|"&amp;'Ingest Template'!C46,
SUBSTITUTE(
INDEX(DropdownLists!$F$2:$F$277,MATCH('Ingest Template'!D46,DropdownLists!$C$2:$C$277,0)),
CHAR(10),
"|"&amp;'Ingest Template'!C46&amp;CHAR(10)
)&amp;"|"&amp;'Ingest Template'!C46&amp;CHAR(10)&amp;'Ingest Template'!Y46
)</f>
        <v>#N/A</v>
      </c>
      <c r="X46" s="74" t="str">
        <f>'Ingest Template'!Z46</f>
        <v/>
      </c>
      <c r="Y46" s="35" t="str">
        <f>SUBSTITUTE(SUBSTITUTE(SUBSTITUTE('Ingest Template'!AA46,"http:",""),"https:",""),"/","")</f>
        <v/>
      </c>
      <c r="Z46" s="35" t="str">
        <f t="array" ref="Z46">IF('Ingest Template'!A46="Standard",(IF(ISBLANK('Ingest Template'!AB46),"", 'Ingest Template'!AB46&amp;"|DAR")),(IF(ISBLANK('Ingest Template'!AB46),"", 'Ingest Template'!AB46&amp;"|TV Ops")))</f>
        <v/>
      </c>
      <c r="AA46" s="35"/>
      <c r="AB46" s="35" t="str">
        <f>'Ingest Template'!R46</f>
        <v/>
      </c>
      <c r="AC46" s="35" t="str">
        <f>'Ingest Template'!T46</f>
        <v/>
      </c>
      <c r="AD46" s="35" t="str">
        <f>'Ingest Template'!S46</f>
        <v/>
      </c>
      <c r="AE46" s="35" t="str">
        <f>'Ingest Template'!U46</f>
        <v/>
      </c>
      <c r="AF46" s="22"/>
      <c r="AG46" s="35" t="str">
        <f t="array" ref="AG46">IF('Ingest Template'!A46="Standard",(CONCATENATE(IF(ISBLANK('Ingest Template'!N46),"", 'Ingest Template'!N46&amp;"|DAR"),CHAR(10), IF(ISBLANK('Ingest Template'!O46),"", 'Ingest Template'!O46&amp;"|DAR"),CHAR(10), IF(ISBLANK('Ingest Template'!P46),"", 'Ingest Template'!P46&amp;"|DAR"))),(CONCATENATE(IF(ISBLANK('Ingest Template'!N46),"", 'Ingest Template'!N46&amp;"|TV Ops"),CHAR(10), IF(ISBLANK('Ingest Template'!O46),"", 'Ingest Template'!O46&amp;"|TV Ops"),CHAR(10), IF(ISBLANK('Ingest Template'!P46),"", 'Ingest Template'!P46&amp;"|TV Ops"))))</f>
        <v>
</v>
      </c>
      <c r="AH46" s="35"/>
      <c r="AI46" s="35"/>
      <c r="AJ46" s="117" t="str">
        <f>if('Ingest Template'!A46="Standard",(IF(OR('Ingest Template'!F46 = "Program Type - Special", 'Ingest Template'!F46 = "Program Type - Live Event"),'Ingest Template'!M46&amp; "|DAR|DAR|"&amp;TEXT('Ingest Template'!C46-3, "yyyy-mm-dd")&amp;"|"&amp;TEXT('Ingest Template'!C46+3, "yyyy-mm-dd"),'Ingest Template'!M46&amp; "|DAR|DAR|2021-01-01")),(IF(OR('Ingest Template'!F46 = "Program Type - Special", 'Ingest Template'!F46 = "Program Type - Live Event"),'Ingest Template'!M46&amp; "|Operations - Core Title|Operations - Core Title|"&amp;TEXT('Ingest Template'!C46-3, "yyyy-mm-dd")&amp;"|"&amp;TEXT('Ingest Template'!C46+3, "yyyy-mm-dd"),'Ingest Template'!M46&amp; "|Operations - Core Title|Operations - Core Title")))</f>
        <v>|Operations - Core Title|Operations - Core Title</v>
      </c>
      <c r="AK46" s="35"/>
      <c r="AL46" s="117" t="str">
        <f>if('Ingest Template'!A46="Standard",(IF(OR('Ingest Template'!F46 = "Program Type - Special", 'Ingest Template'!F46 = "Program Type - Live Event"),'Ingest Template'!Q46&amp;"|"&amp;TEXT('Ingest Template'!C46-3, "yyyy-mm-dd")&amp;"|"&amp;TEXT('Ingest Template'!C46+3, "yyyy-mm-dd"),'Ingest Template'!Q46&amp; "|2021-01-01")),(IF(OR('Ingest Template'!F46 = "Program Type - Special", 'Ingest Template'!F46 = "Program Type - Live Event"),'Ingest Template'!Q46&amp; "|"&amp;TEXT('Ingest Template'!C46-3, "yyyy-mm-dd")&amp;"|"&amp;TEXT('Ingest Template'!C46+3, "yyyy-mm-dd"),'Ingest Template'!Q46)))</f>
        <v/>
      </c>
      <c r="AM46" s="35" t="str">
        <f>'Ingest Template'!AC46</f>
        <v/>
      </c>
    </row>
    <row r="47">
      <c r="A47" s="15"/>
      <c r="B47" s="22" t="str">
        <f>'Ingest Template'!C47&amp;IF('Ingest Template'!A47 = "Standard", " - DAR","")</f>
        <v/>
      </c>
      <c r="C47" s="22" t="s">
        <v>83</v>
      </c>
      <c r="D47" s="22" t="str">
        <f t="array" ref="D47">CONCATENATE(INDEX(DropdownLists!$H$2:$H$11,MATCH(1,COUNTIF('Ingest Template'!E47,"*"&amp;DropdownLists!$I$2:$I$11&amp;"*"),0)),CHAR(10),'Ingest Template'!F47,CHAR(10),'Ingest Template'!G47,CHAR(10),VLOOKUP('Ingest Template'!D47,DropdownLists!C:D,2,FALSE))</f>
        <v>#N/A</v>
      </c>
      <c r="E47" s="22" t="str">
        <f>CONCATENATE('Ingest Template'!H47,CHAR(10),'Ingest Template'!I47,CHAR(10),'Ingest Template'!J47,CHAR(10))</f>
        <v>
</v>
      </c>
      <c r="F47" s="35" t="str">
        <f t="array" ref="F47">INDEX(DropdownLists!$O$2:$O$36,MATCH(1,COUNTIF(E47,"*"&amp;DropdownLists!$N$2:$N$36&amp;"*"),0))</f>
        <v/>
      </c>
      <c r="G47" s="35"/>
      <c r="H47" s="22" t="str">
        <f t="array" ref="H47">INDEX(DropdownLists!$E$2:$E$276,MATCH('Ingest Template'!D47,DropdownLists!$C$2:$C$276,0))</f>
        <v>#N/A</v>
      </c>
      <c r="I47" s="22"/>
      <c r="J47" s="22" t="str">
        <f t="array" ref="J47">iF('Ingest Template'!A47="Standard","Pristine Brand",INDEX(DropdownLists!$B$2:$B$246,MATCH('Ingest Template'!D47,DropdownLists!$C$2:$C$246,0)))</f>
        <v>#N/A</v>
      </c>
      <c r="K47" s="22" t="str">
        <f>iF('Ingest Template'!A47="Standard",'Ingest Template'!K47&amp;CHAR(10)&amp;'Ingest Template'!L47,"Competitive View")</f>
        <v>Competitive View</v>
      </c>
      <c r="L47" s="22" t="s">
        <v>95</v>
      </c>
      <c r="M47" s="45" t="str">
        <f>'Ingest Template'!B47</f>
        <v/>
      </c>
      <c r="N47" s="35"/>
      <c r="O47" s="35"/>
      <c r="P47" s="35"/>
      <c r="Q47" s="35"/>
      <c r="R47" s="35" t="str">
        <f>'Ingest Template'!D47</f>
        <v/>
      </c>
      <c r="S47" s="22" t="s">
        <v>101</v>
      </c>
      <c r="T47" s="35" t="str">
        <f>'Ingest Template'!V47</f>
        <v/>
      </c>
      <c r="U47" s="35" t="str">
        <f>'Ingest Template'!W47</f>
        <v/>
      </c>
      <c r="V47" s="35" t="str">
        <f>LOWER(SUBSTITUTE(SUBSTITUTE(SUBSTITUTE(SUBSTITUTE(SUBSTITUTE('Ingest Template'!X47,"https:",""),"www.",""),"/",""),"?hl=en",""),"instagram.com",""))</f>
        <v/>
      </c>
      <c r="W47" s="74" t="str">
        <f t="array" ref="W47">IF(
'Ingest Template'!Y47="",
SUBSTITUTE(
INDEX(DropdownLists!$F$2:$F$277,MATCH('Ingest Template'!D47,DropdownLists!$C$2:$C$277,0)),
CHAR(10),
"|"&amp;'Ingest Template'!C47&amp;CHAR(10)
)&amp;"|"&amp;'Ingest Template'!C47,
SUBSTITUTE(
INDEX(DropdownLists!$F$2:$F$277,MATCH('Ingest Template'!D47,DropdownLists!$C$2:$C$277,0)),
CHAR(10),
"|"&amp;'Ingest Template'!C47&amp;CHAR(10)
)&amp;"|"&amp;'Ingest Template'!C47&amp;CHAR(10)&amp;'Ingest Template'!Y47
)</f>
        <v>#N/A</v>
      </c>
      <c r="X47" s="74" t="str">
        <f>'Ingest Template'!Z47</f>
        <v/>
      </c>
      <c r="Y47" s="35" t="str">
        <f>SUBSTITUTE(SUBSTITUTE(SUBSTITUTE('Ingest Template'!AA47,"http:",""),"https:",""),"/","")</f>
        <v/>
      </c>
      <c r="Z47" s="35" t="str">
        <f t="array" ref="Z47">IF('Ingest Template'!A47="Standard",(IF(ISBLANK('Ingest Template'!AB47),"", 'Ingest Template'!AB47&amp;"|DAR")),(IF(ISBLANK('Ingest Template'!AB47),"", 'Ingest Template'!AB47&amp;"|TV Ops")))</f>
        <v/>
      </c>
      <c r="AA47" s="35"/>
      <c r="AB47" s="35" t="str">
        <f>'Ingest Template'!R47</f>
        <v/>
      </c>
      <c r="AC47" s="35" t="str">
        <f>'Ingest Template'!T47</f>
        <v/>
      </c>
      <c r="AD47" s="35" t="str">
        <f>'Ingest Template'!S47</f>
        <v/>
      </c>
      <c r="AE47" s="35" t="str">
        <f>'Ingest Template'!U47</f>
        <v/>
      </c>
      <c r="AF47" s="22"/>
      <c r="AG47" s="35" t="str">
        <f t="array" ref="AG47">IF('Ingest Template'!A47="Standard",(CONCATENATE(IF(ISBLANK('Ingest Template'!N47),"", 'Ingest Template'!N47&amp;"|DAR"),CHAR(10), IF(ISBLANK('Ingest Template'!O47),"", 'Ingest Template'!O47&amp;"|DAR"),CHAR(10), IF(ISBLANK('Ingest Template'!P47),"", 'Ingest Template'!P47&amp;"|DAR"))),(CONCATENATE(IF(ISBLANK('Ingest Template'!N47),"", 'Ingest Template'!N47&amp;"|TV Ops"),CHAR(10), IF(ISBLANK('Ingest Template'!O47),"", 'Ingest Template'!O47&amp;"|TV Ops"),CHAR(10), IF(ISBLANK('Ingest Template'!P47),"", 'Ingest Template'!P47&amp;"|TV Ops"))))</f>
        <v>
</v>
      </c>
      <c r="AH47" s="35"/>
      <c r="AI47" s="35"/>
      <c r="AJ47" s="117" t="str">
        <f>if('Ingest Template'!A47="Standard",(IF(OR('Ingest Template'!F47 = "Program Type - Special", 'Ingest Template'!F47 = "Program Type - Live Event"),'Ingest Template'!M47&amp; "|DAR|DAR|"&amp;TEXT('Ingest Template'!C47-3, "yyyy-mm-dd")&amp;"|"&amp;TEXT('Ingest Template'!C47+3, "yyyy-mm-dd"),'Ingest Template'!M47&amp; "|DAR|DAR|2021-01-01")),(IF(OR('Ingest Template'!F47 = "Program Type - Special", 'Ingest Template'!F47 = "Program Type - Live Event"),'Ingest Template'!M47&amp; "|Operations - Core Title|Operations - Core Title|"&amp;TEXT('Ingest Template'!C47-3, "yyyy-mm-dd")&amp;"|"&amp;TEXT('Ingest Template'!C47+3, "yyyy-mm-dd"),'Ingest Template'!M47&amp; "|Operations - Core Title|Operations - Core Title")))</f>
        <v>|Operations - Core Title|Operations - Core Title</v>
      </c>
      <c r="AK47" s="35"/>
      <c r="AL47" s="117" t="str">
        <f>if('Ingest Template'!A47="Standard",(IF(OR('Ingest Template'!F47 = "Program Type - Special", 'Ingest Template'!F47 = "Program Type - Live Event"),'Ingest Template'!Q47&amp;"|"&amp;TEXT('Ingest Template'!C47-3, "yyyy-mm-dd")&amp;"|"&amp;TEXT('Ingest Template'!C47+3, "yyyy-mm-dd"),'Ingest Template'!Q47&amp; "|2021-01-01")),(IF(OR('Ingest Template'!F47 = "Program Type - Special", 'Ingest Template'!F47 = "Program Type - Live Event"),'Ingest Template'!Q47&amp; "|"&amp;TEXT('Ingest Template'!C47-3, "yyyy-mm-dd")&amp;"|"&amp;TEXT('Ingest Template'!C47+3, "yyyy-mm-dd"),'Ingest Template'!Q47)))</f>
        <v/>
      </c>
      <c r="AM47" s="35" t="str">
        <f>'Ingest Template'!AC47</f>
        <v/>
      </c>
    </row>
    <row r="48">
      <c r="A48" s="15"/>
      <c r="B48" s="22" t="str">
        <f>'Ingest Template'!C48&amp;IF('Ingest Template'!A48 = "Standard", " - DAR","")</f>
        <v/>
      </c>
      <c r="C48" s="22" t="s">
        <v>83</v>
      </c>
      <c r="D48" s="22" t="str">
        <f t="array" ref="D48">CONCATENATE(INDEX(DropdownLists!$H$2:$H$11,MATCH(1,COUNTIF('Ingest Template'!E48,"*"&amp;DropdownLists!$I$2:$I$11&amp;"*"),0)),CHAR(10),'Ingest Template'!F48,CHAR(10),'Ingest Template'!G48,CHAR(10),VLOOKUP('Ingest Template'!D48,DropdownLists!C:D,2,FALSE))</f>
        <v>#N/A</v>
      </c>
      <c r="E48" s="22" t="str">
        <f>CONCATENATE('Ingest Template'!H48,CHAR(10),'Ingest Template'!I48,CHAR(10),'Ingest Template'!J48,CHAR(10))</f>
        <v>
</v>
      </c>
      <c r="F48" s="35" t="str">
        <f t="array" ref="F48">INDEX(DropdownLists!$O$2:$O$36,MATCH(1,COUNTIF(E48,"*"&amp;DropdownLists!$N$2:$N$36&amp;"*"),0))</f>
        <v/>
      </c>
      <c r="G48" s="35"/>
      <c r="H48" s="22" t="str">
        <f t="array" ref="H48">INDEX(DropdownLists!$E$2:$E$276,MATCH('Ingest Template'!D48,DropdownLists!$C$2:$C$276,0))</f>
        <v>#N/A</v>
      </c>
      <c r="I48" s="22"/>
      <c r="J48" s="22" t="str">
        <f t="array" ref="J48">iF('Ingest Template'!A48="Standard","Pristine Brand",INDEX(DropdownLists!$B$2:$B$246,MATCH('Ingest Template'!D48,DropdownLists!$C$2:$C$246,0)))</f>
        <v>#N/A</v>
      </c>
      <c r="K48" s="22" t="str">
        <f>iF('Ingest Template'!A48="Standard",'Ingest Template'!K48&amp;CHAR(10)&amp;'Ingest Template'!L48,"Competitive View")</f>
        <v>Competitive View</v>
      </c>
      <c r="L48" s="22" t="s">
        <v>95</v>
      </c>
      <c r="M48" s="45" t="str">
        <f>'Ingest Template'!B48</f>
        <v/>
      </c>
      <c r="N48" s="35"/>
      <c r="O48" s="35"/>
      <c r="P48" s="35"/>
      <c r="Q48" s="35"/>
      <c r="R48" s="35" t="str">
        <f>'Ingest Template'!D48</f>
        <v/>
      </c>
      <c r="S48" s="22" t="s">
        <v>101</v>
      </c>
      <c r="T48" s="35" t="str">
        <f>'Ingest Template'!V48</f>
        <v/>
      </c>
      <c r="U48" s="35" t="str">
        <f>'Ingest Template'!W48</f>
        <v/>
      </c>
      <c r="V48" s="35" t="str">
        <f>LOWER(SUBSTITUTE(SUBSTITUTE(SUBSTITUTE(SUBSTITUTE(SUBSTITUTE('Ingest Template'!X48,"https:",""),"www.",""),"/",""),"?hl=en",""),"instagram.com",""))</f>
        <v/>
      </c>
      <c r="W48" s="74" t="str">
        <f t="array" ref="W48">IF(
'Ingest Template'!Y48="",
SUBSTITUTE(
INDEX(DropdownLists!$F$2:$F$277,MATCH('Ingest Template'!D48,DropdownLists!$C$2:$C$277,0)),
CHAR(10),
"|"&amp;'Ingest Template'!C48&amp;CHAR(10)
)&amp;"|"&amp;'Ingest Template'!C48,
SUBSTITUTE(
INDEX(DropdownLists!$F$2:$F$277,MATCH('Ingest Template'!D48,DropdownLists!$C$2:$C$277,0)),
CHAR(10),
"|"&amp;'Ingest Template'!C48&amp;CHAR(10)
)&amp;"|"&amp;'Ingest Template'!C48&amp;CHAR(10)&amp;'Ingest Template'!Y48
)</f>
        <v>#N/A</v>
      </c>
      <c r="X48" s="74" t="str">
        <f>'Ingest Template'!Z48</f>
        <v/>
      </c>
      <c r="Y48" s="35" t="str">
        <f>SUBSTITUTE(SUBSTITUTE(SUBSTITUTE('Ingest Template'!AA48,"http:",""),"https:",""),"/","")</f>
        <v/>
      </c>
      <c r="Z48" s="35" t="str">
        <f t="array" ref="Z48">IF('Ingest Template'!A48="Standard",(IF(ISBLANK('Ingest Template'!AB48),"", 'Ingest Template'!AB48&amp;"|DAR")),(IF(ISBLANK('Ingest Template'!AB48),"", 'Ingest Template'!AB48&amp;"|TV Ops")))</f>
        <v/>
      </c>
      <c r="AA48" s="35"/>
      <c r="AB48" s="35" t="str">
        <f>'Ingest Template'!R48</f>
        <v/>
      </c>
      <c r="AC48" s="35" t="str">
        <f>'Ingest Template'!T48</f>
        <v/>
      </c>
      <c r="AD48" s="35" t="str">
        <f>'Ingest Template'!S48</f>
        <v/>
      </c>
      <c r="AE48" s="35" t="str">
        <f>'Ingest Template'!U48</f>
        <v/>
      </c>
      <c r="AF48" s="22"/>
      <c r="AG48" s="35" t="str">
        <f t="array" ref="AG48">IF('Ingest Template'!A48="Standard",(CONCATENATE(IF(ISBLANK('Ingest Template'!N48),"", 'Ingest Template'!N48&amp;"|DAR"),CHAR(10), IF(ISBLANK('Ingest Template'!O48),"", 'Ingest Template'!O48&amp;"|DAR"),CHAR(10), IF(ISBLANK('Ingest Template'!P48),"", 'Ingest Template'!P48&amp;"|DAR"))),(CONCATENATE(IF(ISBLANK('Ingest Template'!N48),"", 'Ingest Template'!N48&amp;"|TV Ops"),CHAR(10), IF(ISBLANK('Ingest Template'!O48),"", 'Ingest Template'!O48&amp;"|TV Ops"),CHAR(10), IF(ISBLANK('Ingest Template'!P48),"", 'Ingest Template'!P48&amp;"|TV Ops"))))</f>
        <v>
</v>
      </c>
      <c r="AH48" s="35"/>
      <c r="AI48" s="35"/>
      <c r="AJ48" s="117" t="str">
        <f>if('Ingest Template'!A48="Standard",(IF(OR('Ingest Template'!F48 = "Program Type - Special", 'Ingest Template'!F48 = "Program Type - Live Event"),'Ingest Template'!M48&amp; "|DAR|DAR|"&amp;TEXT('Ingest Template'!C48-3, "yyyy-mm-dd")&amp;"|"&amp;TEXT('Ingest Template'!C48+3, "yyyy-mm-dd"),'Ingest Template'!M48&amp; "|DAR|DAR|2021-01-01")),(IF(OR('Ingest Template'!F48 = "Program Type - Special", 'Ingest Template'!F48 = "Program Type - Live Event"),'Ingest Template'!M48&amp; "|Operations - Core Title|Operations - Core Title|"&amp;TEXT('Ingest Template'!C48-3, "yyyy-mm-dd")&amp;"|"&amp;TEXT('Ingest Template'!C48+3, "yyyy-mm-dd"),'Ingest Template'!M48&amp; "|Operations - Core Title|Operations - Core Title")))</f>
        <v>|Operations - Core Title|Operations - Core Title</v>
      </c>
      <c r="AK48" s="35"/>
      <c r="AL48" s="117" t="str">
        <f>if('Ingest Template'!A48="Standard",(IF(OR('Ingest Template'!F48 = "Program Type - Special", 'Ingest Template'!F48 = "Program Type - Live Event"),'Ingest Template'!Q48&amp;"|"&amp;TEXT('Ingest Template'!C48-3, "yyyy-mm-dd")&amp;"|"&amp;TEXT('Ingest Template'!C48+3, "yyyy-mm-dd"),'Ingest Template'!Q48&amp; "|2021-01-01")),(IF(OR('Ingest Template'!F48 = "Program Type - Special", 'Ingest Template'!F48 = "Program Type - Live Event"),'Ingest Template'!Q48&amp; "|"&amp;TEXT('Ingest Template'!C48-3, "yyyy-mm-dd")&amp;"|"&amp;TEXT('Ingest Template'!C48+3, "yyyy-mm-dd"),'Ingest Template'!Q48)))</f>
        <v/>
      </c>
      <c r="AM48" s="35" t="str">
        <f>'Ingest Template'!AC48</f>
        <v/>
      </c>
    </row>
    <row r="49">
      <c r="A49" s="15"/>
      <c r="B49" s="22" t="str">
        <f>'Ingest Template'!C49&amp;IF('Ingest Template'!A49 = "Standard", " - DAR","")</f>
        <v/>
      </c>
      <c r="C49" s="22" t="s">
        <v>83</v>
      </c>
      <c r="D49" s="22" t="str">
        <f t="array" ref="D49">CONCATENATE(INDEX(DropdownLists!$H$2:$H$11,MATCH(1,COUNTIF('Ingest Template'!E49,"*"&amp;DropdownLists!$I$2:$I$11&amp;"*"),0)),CHAR(10),'Ingest Template'!F49,CHAR(10),'Ingest Template'!G49,CHAR(10),VLOOKUP('Ingest Template'!D49,DropdownLists!C:D,2,FALSE))</f>
        <v>#N/A</v>
      </c>
      <c r="E49" s="22" t="str">
        <f>CONCATENATE('Ingest Template'!H49,CHAR(10),'Ingest Template'!I49,CHAR(10),'Ingest Template'!J49,CHAR(10))</f>
        <v>
</v>
      </c>
      <c r="F49" s="35" t="str">
        <f t="array" ref="F49">INDEX(DropdownLists!$O$2:$O$36,MATCH(1,COUNTIF(E49,"*"&amp;DropdownLists!$N$2:$N$36&amp;"*"),0))</f>
        <v/>
      </c>
      <c r="G49" s="35"/>
      <c r="H49" s="22" t="str">
        <f t="array" ref="H49">INDEX(DropdownLists!$E$2:$E$276,MATCH('Ingest Template'!D49,DropdownLists!$C$2:$C$276,0))</f>
        <v>#N/A</v>
      </c>
      <c r="I49" s="22"/>
      <c r="J49" s="22" t="str">
        <f t="array" ref="J49">iF('Ingest Template'!A49="Standard","Pristine Brand",INDEX(DropdownLists!$B$2:$B$246,MATCH('Ingest Template'!D49,DropdownLists!$C$2:$C$246,0)))</f>
        <v>#N/A</v>
      </c>
      <c r="K49" s="22" t="str">
        <f>iF('Ingest Template'!A49="Standard",'Ingest Template'!K49&amp;CHAR(10)&amp;'Ingest Template'!L49,"Competitive View")</f>
        <v>Competitive View</v>
      </c>
      <c r="L49" s="22" t="s">
        <v>95</v>
      </c>
      <c r="M49" s="45" t="str">
        <f>'Ingest Template'!B49</f>
        <v/>
      </c>
      <c r="N49" s="35"/>
      <c r="O49" s="35"/>
      <c r="P49" s="35"/>
      <c r="Q49" s="35"/>
      <c r="R49" s="35" t="str">
        <f>'Ingest Template'!D49</f>
        <v/>
      </c>
      <c r="S49" s="22" t="s">
        <v>101</v>
      </c>
      <c r="T49" s="35" t="str">
        <f>'Ingest Template'!V49</f>
        <v/>
      </c>
      <c r="U49" s="35" t="str">
        <f>'Ingest Template'!W49</f>
        <v/>
      </c>
      <c r="V49" s="35" t="str">
        <f>LOWER(SUBSTITUTE(SUBSTITUTE(SUBSTITUTE(SUBSTITUTE(SUBSTITUTE('Ingest Template'!X49,"https:",""),"www.",""),"/",""),"?hl=en",""),"instagram.com",""))</f>
        <v/>
      </c>
      <c r="W49" s="74" t="str">
        <f t="array" ref="W49">IF(
'Ingest Template'!Y49="",
SUBSTITUTE(
INDEX(DropdownLists!$F$2:$F$277,MATCH('Ingest Template'!D49,DropdownLists!$C$2:$C$277,0)),
CHAR(10),
"|"&amp;'Ingest Template'!C49&amp;CHAR(10)
)&amp;"|"&amp;'Ingest Template'!C49,
SUBSTITUTE(
INDEX(DropdownLists!$F$2:$F$277,MATCH('Ingest Template'!D49,DropdownLists!$C$2:$C$277,0)),
CHAR(10),
"|"&amp;'Ingest Template'!C49&amp;CHAR(10)
)&amp;"|"&amp;'Ingest Template'!C49&amp;CHAR(10)&amp;'Ingest Template'!Y49
)</f>
        <v>#N/A</v>
      </c>
      <c r="X49" s="74" t="str">
        <f>'Ingest Template'!Z49</f>
        <v/>
      </c>
      <c r="Y49" s="35" t="str">
        <f>SUBSTITUTE(SUBSTITUTE(SUBSTITUTE('Ingest Template'!AA49,"http:",""),"https:",""),"/","")</f>
        <v/>
      </c>
      <c r="Z49" s="35" t="str">
        <f t="array" ref="Z49">IF('Ingest Template'!A49="Standard",(IF(ISBLANK('Ingest Template'!AB49),"", 'Ingest Template'!AB49&amp;"|DAR")),(IF(ISBLANK('Ingest Template'!AB49),"", 'Ingest Template'!AB49&amp;"|TV Ops")))</f>
        <v/>
      </c>
      <c r="AA49" s="35"/>
      <c r="AB49" s="35" t="str">
        <f>'Ingest Template'!R49</f>
        <v/>
      </c>
      <c r="AC49" s="35" t="str">
        <f>'Ingest Template'!T49</f>
        <v/>
      </c>
      <c r="AD49" s="35" t="str">
        <f>'Ingest Template'!S49</f>
        <v/>
      </c>
      <c r="AE49" s="35" t="str">
        <f>'Ingest Template'!U49</f>
        <v/>
      </c>
      <c r="AF49" s="22"/>
      <c r="AG49" s="35" t="str">
        <f t="array" ref="AG49">IF('Ingest Template'!A49="Standard",(CONCATENATE(IF(ISBLANK('Ingest Template'!N49),"", 'Ingest Template'!N49&amp;"|DAR"),CHAR(10), IF(ISBLANK('Ingest Template'!O49),"", 'Ingest Template'!O49&amp;"|DAR"),CHAR(10), IF(ISBLANK('Ingest Template'!P49),"", 'Ingest Template'!P49&amp;"|DAR"))),(CONCATENATE(IF(ISBLANK('Ingest Template'!N49),"", 'Ingest Template'!N49&amp;"|TV Ops"),CHAR(10), IF(ISBLANK('Ingest Template'!O49),"", 'Ingest Template'!O49&amp;"|TV Ops"),CHAR(10), IF(ISBLANK('Ingest Template'!P49),"", 'Ingest Template'!P49&amp;"|TV Ops"))))</f>
        <v>
</v>
      </c>
      <c r="AH49" s="35"/>
      <c r="AI49" s="35"/>
      <c r="AJ49" s="117" t="str">
        <f>if('Ingest Template'!A49="Standard",(IF(OR('Ingest Template'!F49 = "Program Type - Special", 'Ingest Template'!F49 = "Program Type - Live Event"),'Ingest Template'!M49&amp; "|DAR|DAR|"&amp;TEXT('Ingest Template'!C49-3, "yyyy-mm-dd")&amp;"|"&amp;TEXT('Ingest Template'!C49+3, "yyyy-mm-dd"),'Ingest Template'!M49&amp; "|DAR|DAR|2021-01-01")),(IF(OR('Ingest Template'!F49 = "Program Type - Special", 'Ingest Template'!F49 = "Program Type - Live Event"),'Ingest Template'!M49&amp; "|Operations - Core Title|Operations - Core Title|"&amp;TEXT('Ingest Template'!C49-3, "yyyy-mm-dd")&amp;"|"&amp;TEXT('Ingest Template'!C49+3, "yyyy-mm-dd"),'Ingest Template'!M49&amp; "|Operations - Core Title|Operations - Core Title")))</f>
        <v>|Operations - Core Title|Operations - Core Title</v>
      </c>
      <c r="AK49" s="35"/>
      <c r="AL49" s="117" t="str">
        <f>if('Ingest Template'!A49="Standard",(IF(OR('Ingest Template'!F49 = "Program Type - Special", 'Ingest Template'!F49 = "Program Type - Live Event"),'Ingest Template'!Q49&amp;"|"&amp;TEXT('Ingest Template'!C49-3, "yyyy-mm-dd")&amp;"|"&amp;TEXT('Ingest Template'!C49+3, "yyyy-mm-dd"),'Ingest Template'!Q49&amp; "|2021-01-01")),(IF(OR('Ingest Template'!F49 = "Program Type - Special", 'Ingest Template'!F49 = "Program Type - Live Event"),'Ingest Template'!Q49&amp; "|"&amp;TEXT('Ingest Template'!C49-3, "yyyy-mm-dd")&amp;"|"&amp;TEXT('Ingest Template'!C49+3, "yyyy-mm-dd"),'Ingest Template'!Q49)))</f>
        <v/>
      </c>
      <c r="AM49" s="35" t="str">
        <f>'Ingest Template'!AC49</f>
        <v/>
      </c>
    </row>
    <row r="50">
      <c r="A50" s="15"/>
      <c r="B50" s="22" t="str">
        <f>'Ingest Template'!C50&amp;IF('Ingest Template'!A50 = "Standard", " - DAR","")</f>
        <v/>
      </c>
      <c r="C50" s="22" t="s">
        <v>83</v>
      </c>
      <c r="D50" s="22" t="str">
        <f t="array" ref="D50">CONCATENATE(INDEX(DropdownLists!$H$2:$H$11,MATCH(1,COUNTIF('Ingest Template'!E50,"*"&amp;DropdownLists!$I$2:$I$11&amp;"*"),0)),CHAR(10),'Ingest Template'!F50,CHAR(10),'Ingest Template'!G50,CHAR(10),VLOOKUP('Ingest Template'!D50,DropdownLists!C:D,2,FALSE))</f>
        <v>#N/A</v>
      </c>
      <c r="E50" s="22" t="str">
        <f>CONCATENATE('Ingest Template'!H50,CHAR(10),'Ingest Template'!I50,CHAR(10),'Ingest Template'!J50,CHAR(10))</f>
        <v>
</v>
      </c>
      <c r="F50" s="35" t="str">
        <f t="array" ref="F50">INDEX(DropdownLists!$O$2:$O$36,MATCH(1,COUNTIF(E50,"*"&amp;DropdownLists!$N$2:$N$36&amp;"*"),0))</f>
        <v/>
      </c>
      <c r="G50" s="35"/>
      <c r="H50" s="22" t="str">
        <f t="array" ref="H50">INDEX(DropdownLists!$E$2:$E$276,MATCH('Ingest Template'!D50,DropdownLists!$C$2:$C$276,0))</f>
        <v>#N/A</v>
      </c>
      <c r="I50" s="22"/>
      <c r="J50" s="22" t="str">
        <f t="array" ref="J50">iF('Ingest Template'!A50="Standard","Pristine Brand",INDEX(DropdownLists!$B$2:$B$246,MATCH('Ingest Template'!D50,DropdownLists!$C$2:$C$246,0)))</f>
        <v>#N/A</v>
      </c>
      <c r="K50" s="22" t="str">
        <f>iF('Ingest Template'!A50="Standard",'Ingest Template'!K50&amp;CHAR(10)&amp;'Ingest Template'!L50,"Competitive View")</f>
        <v>Competitive View</v>
      </c>
      <c r="L50" s="22" t="s">
        <v>95</v>
      </c>
      <c r="M50" s="45" t="str">
        <f>'Ingest Template'!B50</f>
        <v/>
      </c>
      <c r="N50" s="35"/>
      <c r="O50" s="35"/>
      <c r="P50" s="35"/>
      <c r="Q50" s="35"/>
      <c r="R50" s="35" t="str">
        <f>'Ingest Template'!D50</f>
        <v/>
      </c>
      <c r="S50" s="22" t="s">
        <v>101</v>
      </c>
      <c r="T50" s="35" t="str">
        <f>'Ingest Template'!V50</f>
        <v/>
      </c>
      <c r="U50" s="35" t="str">
        <f>'Ingest Template'!W50</f>
        <v/>
      </c>
      <c r="V50" s="35" t="str">
        <f>LOWER(SUBSTITUTE(SUBSTITUTE(SUBSTITUTE(SUBSTITUTE(SUBSTITUTE('Ingest Template'!X50,"https:",""),"www.",""),"/",""),"?hl=en",""),"instagram.com",""))</f>
        <v/>
      </c>
      <c r="W50" s="74" t="str">
        <f t="array" ref="W50">IF(
'Ingest Template'!Y50="",
SUBSTITUTE(
INDEX(DropdownLists!$F$2:$F$277,MATCH('Ingest Template'!D50,DropdownLists!$C$2:$C$277,0)),
CHAR(10),
"|"&amp;'Ingest Template'!C50&amp;CHAR(10)
)&amp;"|"&amp;'Ingest Template'!C50,
SUBSTITUTE(
INDEX(DropdownLists!$F$2:$F$277,MATCH('Ingest Template'!D50,DropdownLists!$C$2:$C$277,0)),
CHAR(10),
"|"&amp;'Ingest Template'!C50&amp;CHAR(10)
)&amp;"|"&amp;'Ingest Template'!C50&amp;CHAR(10)&amp;'Ingest Template'!Y50
)</f>
        <v>#N/A</v>
      </c>
      <c r="X50" s="74" t="str">
        <f>'Ingest Template'!Z50</f>
        <v/>
      </c>
      <c r="Y50" s="35" t="str">
        <f>SUBSTITUTE(SUBSTITUTE(SUBSTITUTE('Ingest Template'!AA50,"http:",""),"https:",""),"/","")</f>
        <v/>
      </c>
      <c r="Z50" s="35" t="str">
        <f t="array" ref="Z50">IF('Ingest Template'!A50="Standard",(IF(ISBLANK('Ingest Template'!AB50),"", 'Ingest Template'!AB50&amp;"|DAR")),(IF(ISBLANK('Ingest Template'!AB50),"", 'Ingest Template'!AB50&amp;"|TV Ops")))</f>
        <v/>
      </c>
      <c r="AA50" s="35"/>
      <c r="AB50" s="35" t="str">
        <f>'Ingest Template'!R50</f>
        <v/>
      </c>
      <c r="AC50" s="35" t="str">
        <f>'Ingest Template'!T50</f>
        <v/>
      </c>
      <c r="AD50" s="35" t="str">
        <f>'Ingest Template'!S50</f>
        <v/>
      </c>
      <c r="AE50" s="35" t="str">
        <f>'Ingest Template'!U50</f>
        <v/>
      </c>
      <c r="AF50" s="22"/>
      <c r="AG50" s="35" t="str">
        <f t="array" ref="AG50">IF('Ingest Template'!A50="Standard",(CONCATENATE(IF(ISBLANK('Ingest Template'!N50),"", 'Ingest Template'!N50&amp;"|DAR"),CHAR(10), IF(ISBLANK('Ingest Template'!O50),"", 'Ingest Template'!O50&amp;"|DAR"),CHAR(10), IF(ISBLANK('Ingest Template'!P50),"", 'Ingest Template'!P50&amp;"|DAR"))),(CONCATENATE(IF(ISBLANK('Ingest Template'!N50),"", 'Ingest Template'!N50&amp;"|TV Ops"),CHAR(10), IF(ISBLANK('Ingest Template'!O50),"", 'Ingest Template'!O50&amp;"|TV Ops"),CHAR(10), IF(ISBLANK('Ingest Template'!P50),"", 'Ingest Template'!P50&amp;"|TV Ops"))))</f>
        <v>
</v>
      </c>
      <c r="AH50" s="35"/>
      <c r="AI50" s="35"/>
      <c r="AJ50" s="117" t="str">
        <f>if('Ingest Template'!A50="Standard",(IF(OR('Ingest Template'!F50 = "Program Type - Special", 'Ingest Template'!F50 = "Program Type - Live Event"),'Ingest Template'!M50&amp; "|DAR|DAR|"&amp;TEXT('Ingest Template'!C50-3, "yyyy-mm-dd")&amp;"|"&amp;TEXT('Ingest Template'!C50+3, "yyyy-mm-dd"),'Ingest Template'!M50&amp; "|DAR|DAR|2021-01-01")),(IF(OR('Ingest Template'!F50 = "Program Type - Special", 'Ingest Template'!F50 = "Program Type - Live Event"),'Ingest Template'!M50&amp; "|Operations - Core Title|Operations - Core Title|"&amp;TEXT('Ingest Template'!C50-3, "yyyy-mm-dd")&amp;"|"&amp;TEXT('Ingest Template'!C50+3, "yyyy-mm-dd"),'Ingest Template'!M50&amp; "|Operations - Core Title|Operations - Core Title")))</f>
        <v>|Operations - Core Title|Operations - Core Title</v>
      </c>
      <c r="AK50" s="35"/>
      <c r="AL50" s="117" t="str">
        <f>if('Ingest Template'!A50="Standard",(IF(OR('Ingest Template'!F50 = "Program Type - Special", 'Ingest Template'!F50 = "Program Type - Live Event"),'Ingest Template'!Q50&amp;"|"&amp;TEXT('Ingest Template'!C50-3, "yyyy-mm-dd")&amp;"|"&amp;TEXT('Ingest Template'!C50+3, "yyyy-mm-dd"),'Ingest Template'!Q50&amp; "|2021-01-01")),(IF(OR('Ingest Template'!F50 = "Program Type - Special", 'Ingest Template'!F50 = "Program Type - Live Event"),'Ingest Template'!Q50&amp; "|"&amp;TEXT('Ingest Template'!C50-3, "yyyy-mm-dd")&amp;"|"&amp;TEXT('Ingest Template'!C50+3, "yyyy-mm-dd"),'Ingest Template'!Q50)))</f>
        <v/>
      </c>
      <c r="AM50" s="35" t="str">
        <f>'Ingest Template'!AC50</f>
        <v/>
      </c>
    </row>
    <row r="51">
      <c r="A51" s="15"/>
      <c r="B51" s="22" t="str">
        <f>'Ingest Template'!C51&amp;IF('Ingest Template'!A51 = "Standard", " - DAR","")</f>
        <v/>
      </c>
      <c r="C51" s="22" t="s">
        <v>83</v>
      </c>
      <c r="D51" s="22" t="str">
        <f t="array" ref="D51">CONCATENATE(INDEX(DropdownLists!$H$2:$H$11,MATCH(1,COUNTIF('Ingest Template'!E51,"*"&amp;DropdownLists!$I$2:$I$11&amp;"*"),0)),CHAR(10),'Ingest Template'!F51,CHAR(10),'Ingest Template'!G51,CHAR(10),VLOOKUP('Ingest Template'!D51,DropdownLists!C:D,2,FALSE))</f>
        <v>#N/A</v>
      </c>
      <c r="E51" s="22" t="str">
        <f>CONCATENATE('Ingest Template'!H51,CHAR(10),'Ingest Template'!I51,CHAR(10),'Ingest Template'!J51,CHAR(10))</f>
        <v>
</v>
      </c>
      <c r="F51" s="35" t="str">
        <f t="array" ref="F51">INDEX(DropdownLists!$O$2:$O$36,MATCH(1,COUNTIF(E51,"*"&amp;DropdownLists!$N$2:$N$36&amp;"*"),0))</f>
        <v/>
      </c>
      <c r="G51" s="35"/>
      <c r="H51" s="22" t="str">
        <f t="array" ref="H51">INDEX(DropdownLists!$E$2:$E$276,MATCH('Ingest Template'!D51,DropdownLists!$C$2:$C$276,0))</f>
        <v>#N/A</v>
      </c>
      <c r="I51" s="22"/>
      <c r="J51" s="22" t="str">
        <f t="array" ref="J51">iF('Ingest Template'!A51="Standard","Pristine Brand",INDEX(DropdownLists!$B$2:$B$246,MATCH('Ingest Template'!D51,DropdownLists!$C$2:$C$246,0)))</f>
        <v>#N/A</v>
      </c>
      <c r="K51" s="22" t="str">
        <f>iF('Ingest Template'!A51="Standard",'Ingest Template'!K51&amp;CHAR(10)&amp;'Ingest Template'!L51,"Competitive View")</f>
        <v>Competitive View</v>
      </c>
      <c r="L51" s="22" t="s">
        <v>95</v>
      </c>
      <c r="M51" s="45" t="str">
        <f>'Ingest Template'!B51</f>
        <v/>
      </c>
      <c r="N51" s="35"/>
      <c r="O51" s="35"/>
      <c r="P51" s="35"/>
      <c r="Q51" s="35"/>
      <c r="R51" s="35" t="str">
        <f>'Ingest Template'!D51</f>
        <v/>
      </c>
      <c r="S51" s="22" t="s">
        <v>101</v>
      </c>
      <c r="T51" s="35" t="str">
        <f>'Ingest Template'!V51</f>
        <v/>
      </c>
      <c r="U51" s="35" t="str">
        <f>'Ingest Template'!W51</f>
        <v/>
      </c>
      <c r="V51" s="35" t="str">
        <f>LOWER(SUBSTITUTE(SUBSTITUTE(SUBSTITUTE(SUBSTITUTE(SUBSTITUTE('Ingest Template'!X51,"https:",""),"www.",""),"/",""),"?hl=en",""),"instagram.com",""))</f>
        <v/>
      </c>
      <c r="W51" s="74" t="str">
        <f t="array" ref="W51">IF(
'Ingest Template'!Y51="",
SUBSTITUTE(
INDEX(DropdownLists!$F$2:$F$277,MATCH('Ingest Template'!D51,DropdownLists!$C$2:$C$277,0)),
CHAR(10),
"|"&amp;'Ingest Template'!C51&amp;CHAR(10)
)&amp;"|"&amp;'Ingest Template'!C51,
SUBSTITUTE(
INDEX(DropdownLists!$F$2:$F$277,MATCH('Ingest Template'!D51,DropdownLists!$C$2:$C$277,0)),
CHAR(10),
"|"&amp;'Ingest Template'!C51&amp;CHAR(10)
)&amp;"|"&amp;'Ingest Template'!C51&amp;CHAR(10)&amp;'Ingest Template'!Y51
)</f>
        <v>#N/A</v>
      </c>
      <c r="X51" s="74" t="str">
        <f>'Ingest Template'!Z51</f>
        <v/>
      </c>
      <c r="Y51" s="35" t="str">
        <f>SUBSTITUTE(SUBSTITUTE(SUBSTITUTE('Ingest Template'!AA51,"http:",""),"https:",""),"/","")</f>
        <v/>
      </c>
      <c r="Z51" s="35" t="str">
        <f t="array" ref="Z51">IF('Ingest Template'!A51="Standard",(IF(ISBLANK('Ingest Template'!AB51),"", 'Ingest Template'!AB51&amp;"|DAR")),(IF(ISBLANK('Ingest Template'!AB51),"", 'Ingest Template'!AB51&amp;"|TV Ops")))</f>
        <v/>
      </c>
      <c r="AA51" s="35"/>
      <c r="AB51" s="35" t="str">
        <f>'Ingest Template'!R51</f>
        <v/>
      </c>
      <c r="AC51" s="35" t="str">
        <f>'Ingest Template'!T51</f>
        <v/>
      </c>
      <c r="AD51" s="35" t="str">
        <f>'Ingest Template'!S51</f>
        <v/>
      </c>
      <c r="AE51" s="35" t="str">
        <f>'Ingest Template'!U51</f>
        <v/>
      </c>
      <c r="AF51" s="22"/>
      <c r="AG51" s="35" t="str">
        <f t="array" ref="AG51">IF('Ingest Template'!A51="Standard",(CONCATENATE(IF(ISBLANK('Ingest Template'!N51),"", 'Ingest Template'!N51&amp;"|DAR"),CHAR(10), IF(ISBLANK('Ingest Template'!O51),"", 'Ingest Template'!O51&amp;"|DAR"),CHAR(10), IF(ISBLANK('Ingest Template'!P51),"", 'Ingest Template'!P51&amp;"|DAR"))),(CONCATENATE(IF(ISBLANK('Ingest Template'!N51),"", 'Ingest Template'!N51&amp;"|TV Ops"),CHAR(10), IF(ISBLANK('Ingest Template'!O51),"", 'Ingest Template'!O51&amp;"|TV Ops"),CHAR(10), IF(ISBLANK('Ingest Template'!P51),"", 'Ingest Template'!P51&amp;"|TV Ops"))))</f>
        <v>
</v>
      </c>
      <c r="AH51" s="35"/>
      <c r="AI51" s="35"/>
      <c r="AJ51" s="117" t="str">
        <f>if('Ingest Template'!A51="Standard",(IF(OR('Ingest Template'!F51 = "Program Type - Special", 'Ingest Template'!F51 = "Program Type - Live Event"),'Ingest Template'!M51&amp; "|DAR|DAR|"&amp;TEXT('Ingest Template'!C51-3, "yyyy-mm-dd")&amp;"|"&amp;TEXT('Ingest Template'!C51+3, "yyyy-mm-dd"),'Ingest Template'!M51&amp; "|DAR|DAR|2021-01-01")),(IF(OR('Ingest Template'!F51 = "Program Type - Special", 'Ingest Template'!F51 = "Program Type - Live Event"),'Ingest Template'!M51&amp; "|Operations - Core Title|Operations - Core Title|"&amp;TEXT('Ingest Template'!C51-3, "yyyy-mm-dd")&amp;"|"&amp;TEXT('Ingest Template'!C51+3, "yyyy-mm-dd"),'Ingest Template'!M51&amp; "|Operations - Core Title|Operations - Core Title")))</f>
        <v>|Operations - Core Title|Operations - Core Title</v>
      </c>
      <c r="AK51" s="35"/>
      <c r="AL51" s="117" t="str">
        <f>if('Ingest Template'!A51="Standard",(IF(OR('Ingest Template'!F51 = "Program Type - Special", 'Ingest Template'!F51 = "Program Type - Live Event"),'Ingest Template'!Q51&amp;"|"&amp;TEXT('Ingest Template'!C51-3, "yyyy-mm-dd")&amp;"|"&amp;TEXT('Ingest Template'!C51+3, "yyyy-mm-dd"),'Ingest Template'!Q51&amp; "|2021-01-01")),(IF(OR('Ingest Template'!F51 = "Program Type - Special", 'Ingest Template'!F51 = "Program Type - Live Event"),'Ingest Template'!Q51&amp; "|"&amp;TEXT('Ingest Template'!C51-3, "yyyy-mm-dd")&amp;"|"&amp;TEXT('Ingest Template'!C51+3, "yyyy-mm-dd"),'Ingest Template'!Q51)))</f>
        <v/>
      </c>
      <c r="AM51" s="35" t="str">
        <f>'Ingest Template'!AC51</f>
        <v/>
      </c>
    </row>
    <row r="52">
      <c r="A52" s="15"/>
      <c r="B52" s="22" t="str">
        <f>'Ingest Template'!C52&amp;IF('Ingest Template'!A52 = "Standard", " - DAR","")</f>
        <v/>
      </c>
      <c r="C52" s="22" t="s">
        <v>83</v>
      </c>
      <c r="D52" s="22" t="str">
        <f t="array" ref="D52">CONCATENATE(INDEX(DropdownLists!$H$2:$H$11,MATCH(1,COUNTIF('Ingest Template'!E52,"*"&amp;DropdownLists!$I$2:$I$11&amp;"*"),0)),CHAR(10),'Ingest Template'!F52,CHAR(10),'Ingest Template'!G52,CHAR(10),VLOOKUP('Ingest Template'!D52,DropdownLists!C:D,2,FALSE))</f>
        <v>#N/A</v>
      </c>
      <c r="E52" s="22" t="str">
        <f>CONCATENATE('Ingest Template'!H52,CHAR(10),'Ingest Template'!I52,CHAR(10),'Ingest Template'!J52,CHAR(10))</f>
        <v>
</v>
      </c>
      <c r="F52" s="35" t="str">
        <f t="array" ref="F52">INDEX(DropdownLists!$O$2:$O$36,MATCH(1,COUNTIF(E52,"*"&amp;DropdownLists!$N$2:$N$36&amp;"*"),0))</f>
        <v/>
      </c>
      <c r="G52" s="35"/>
      <c r="H52" s="22" t="str">
        <f t="array" ref="H52">INDEX(DropdownLists!$E$2:$E$276,MATCH('Ingest Template'!D52,DropdownLists!$C$2:$C$276,0))</f>
        <v>#N/A</v>
      </c>
      <c r="I52" s="22"/>
      <c r="J52" s="22" t="str">
        <f t="array" ref="J52">iF('Ingest Template'!A52="Standard","Pristine Brand",INDEX(DropdownLists!$B$2:$B$246,MATCH('Ingest Template'!D52,DropdownLists!$C$2:$C$246,0)))</f>
        <v>#N/A</v>
      </c>
      <c r="K52" s="22" t="str">
        <f>iF('Ingest Template'!A52="Standard",'Ingest Template'!K52&amp;CHAR(10)&amp;'Ingest Template'!L52,"Competitive View")</f>
        <v>Competitive View</v>
      </c>
      <c r="L52" s="22" t="s">
        <v>95</v>
      </c>
      <c r="M52" s="45" t="str">
        <f>'Ingest Template'!B52</f>
        <v/>
      </c>
      <c r="N52" s="35"/>
      <c r="O52" s="35"/>
      <c r="P52" s="35"/>
      <c r="Q52" s="35"/>
      <c r="R52" s="35" t="str">
        <f>'Ingest Template'!D52</f>
        <v/>
      </c>
      <c r="S52" s="22" t="s">
        <v>101</v>
      </c>
      <c r="T52" s="35" t="str">
        <f>'Ingest Template'!V52</f>
        <v/>
      </c>
      <c r="U52" s="35" t="str">
        <f>'Ingest Template'!W52</f>
        <v/>
      </c>
      <c r="V52" s="35" t="str">
        <f>LOWER(SUBSTITUTE(SUBSTITUTE(SUBSTITUTE(SUBSTITUTE(SUBSTITUTE('Ingest Template'!X52,"https:",""),"www.",""),"/",""),"?hl=en",""),"instagram.com",""))</f>
        <v/>
      </c>
      <c r="W52" s="74" t="str">
        <f t="array" ref="W52">IF(
'Ingest Template'!Y52="",
SUBSTITUTE(
INDEX(DropdownLists!$F$2:$F$277,MATCH('Ingest Template'!D52,DropdownLists!$C$2:$C$277,0)),
CHAR(10),
"|"&amp;'Ingest Template'!C52&amp;CHAR(10)
)&amp;"|"&amp;'Ingest Template'!C52,
SUBSTITUTE(
INDEX(DropdownLists!$F$2:$F$277,MATCH('Ingest Template'!D52,DropdownLists!$C$2:$C$277,0)),
CHAR(10),
"|"&amp;'Ingest Template'!C52&amp;CHAR(10)
)&amp;"|"&amp;'Ingest Template'!C52&amp;CHAR(10)&amp;'Ingest Template'!Y52
)</f>
        <v>#N/A</v>
      </c>
      <c r="X52" s="74" t="str">
        <f>'Ingest Template'!Z52</f>
        <v/>
      </c>
      <c r="Y52" s="35" t="str">
        <f>SUBSTITUTE(SUBSTITUTE(SUBSTITUTE('Ingest Template'!AA52,"http:",""),"https:",""),"/","")</f>
        <v/>
      </c>
      <c r="Z52" s="35" t="str">
        <f t="array" ref="Z52">IF('Ingest Template'!A52="Standard",(IF(ISBLANK('Ingest Template'!AB52),"", 'Ingest Template'!AB52&amp;"|DAR")),(IF(ISBLANK('Ingest Template'!AB52),"", 'Ingest Template'!AB52&amp;"|TV Ops")))</f>
        <v/>
      </c>
      <c r="AA52" s="35"/>
      <c r="AB52" s="35" t="str">
        <f>'Ingest Template'!R52</f>
        <v/>
      </c>
      <c r="AC52" s="35" t="str">
        <f>'Ingest Template'!T52</f>
        <v/>
      </c>
      <c r="AD52" s="35" t="str">
        <f>'Ingest Template'!S52</f>
        <v/>
      </c>
      <c r="AE52" s="35" t="str">
        <f>'Ingest Template'!U52</f>
        <v/>
      </c>
      <c r="AF52" s="22"/>
      <c r="AG52" s="35" t="str">
        <f t="array" ref="AG52">IF('Ingest Template'!A52="Standard",(CONCATENATE(IF(ISBLANK('Ingest Template'!N52),"", 'Ingest Template'!N52&amp;"|DAR"),CHAR(10), IF(ISBLANK('Ingest Template'!O52),"", 'Ingest Template'!O52&amp;"|DAR"),CHAR(10), IF(ISBLANK('Ingest Template'!P52),"", 'Ingest Template'!P52&amp;"|DAR"))),(CONCATENATE(IF(ISBLANK('Ingest Template'!N52),"", 'Ingest Template'!N52&amp;"|TV Ops"),CHAR(10), IF(ISBLANK('Ingest Template'!O52),"", 'Ingest Template'!O52&amp;"|TV Ops"),CHAR(10), IF(ISBLANK('Ingest Template'!P52),"", 'Ingest Template'!P52&amp;"|TV Ops"))))</f>
        <v>
</v>
      </c>
      <c r="AH52" s="35"/>
      <c r="AI52" s="35"/>
      <c r="AJ52" s="117" t="str">
        <f>if('Ingest Template'!A52="Standard",(IF(OR('Ingest Template'!F52 = "Program Type - Special", 'Ingest Template'!F52 = "Program Type - Live Event"),'Ingest Template'!M52&amp; "|DAR|DAR|"&amp;TEXT('Ingest Template'!C52-3, "yyyy-mm-dd")&amp;"|"&amp;TEXT('Ingest Template'!C52+3, "yyyy-mm-dd"),'Ingest Template'!M52&amp; "|DAR|DAR|2021-01-01")),(IF(OR('Ingest Template'!F52 = "Program Type - Special", 'Ingest Template'!F52 = "Program Type - Live Event"),'Ingest Template'!M52&amp; "|Operations - Core Title|Operations - Core Title|"&amp;TEXT('Ingest Template'!C52-3, "yyyy-mm-dd")&amp;"|"&amp;TEXT('Ingest Template'!C52+3, "yyyy-mm-dd"),'Ingest Template'!M52&amp; "|Operations - Core Title|Operations - Core Title")))</f>
        <v>|Operations - Core Title|Operations - Core Title</v>
      </c>
      <c r="AK52" s="35"/>
      <c r="AL52" s="117" t="str">
        <f>if('Ingest Template'!A52="Standard",(IF(OR('Ingest Template'!F52 = "Program Type - Special", 'Ingest Template'!F52 = "Program Type - Live Event"),'Ingest Template'!Q52&amp;"|"&amp;TEXT('Ingest Template'!C52-3, "yyyy-mm-dd")&amp;"|"&amp;TEXT('Ingest Template'!C52+3, "yyyy-mm-dd"),'Ingest Template'!Q52&amp; "|2021-01-01")),(IF(OR('Ingest Template'!F52 = "Program Type - Special", 'Ingest Template'!F52 = "Program Type - Live Event"),'Ingest Template'!Q52&amp; "|"&amp;TEXT('Ingest Template'!C52-3, "yyyy-mm-dd")&amp;"|"&amp;TEXT('Ingest Template'!C52+3, "yyyy-mm-dd"),'Ingest Template'!Q52)))</f>
        <v/>
      </c>
      <c r="AM52" s="35" t="str">
        <f>'Ingest Template'!AC52</f>
        <v/>
      </c>
    </row>
    <row r="53">
      <c r="A53" s="15"/>
      <c r="B53" s="22" t="str">
        <f>'Ingest Template'!C53&amp;IF('Ingest Template'!A53 = "Standard", " - DAR","")</f>
        <v/>
      </c>
      <c r="C53" s="22" t="s">
        <v>83</v>
      </c>
      <c r="D53" s="22" t="str">
        <f t="array" ref="D53">CONCATENATE(INDEX(DropdownLists!$H$2:$H$11,MATCH(1,COUNTIF('Ingest Template'!E53,"*"&amp;DropdownLists!$I$2:$I$11&amp;"*"),0)),CHAR(10),'Ingest Template'!F53,CHAR(10),'Ingest Template'!G53,CHAR(10),VLOOKUP('Ingest Template'!D53,DropdownLists!C:D,2,FALSE))</f>
        <v>#N/A</v>
      </c>
      <c r="E53" s="22" t="str">
        <f>CONCATENATE('Ingest Template'!H53,CHAR(10),'Ingest Template'!I53,CHAR(10),'Ingest Template'!J53,CHAR(10))</f>
        <v>
</v>
      </c>
      <c r="F53" s="35" t="str">
        <f t="array" ref="F53">INDEX(DropdownLists!$O$2:$O$36,MATCH(1,COUNTIF(E53,"*"&amp;DropdownLists!$N$2:$N$36&amp;"*"),0))</f>
        <v/>
      </c>
      <c r="G53" s="35"/>
      <c r="H53" s="22" t="str">
        <f t="array" ref="H53">INDEX(DropdownLists!$E$2:$E$276,MATCH('Ingest Template'!D53,DropdownLists!$C$2:$C$276,0))</f>
        <v>#N/A</v>
      </c>
      <c r="I53" s="22"/>
      <c r="J53" s="22" t="str">
        <f t="array" ref="J53">iF('Ingest Template'!A53="Standard","Pristine Brand",INDEX(DropdownLists!$B$2:$B$246,MATCH('Ingest Template'!D53,DropdownLists!$C$2:$C$246,0)))</f>
        <v>#N/A</v>
      </c>
      <c r="K53" s="22" t="str">
        <f>iF('Ingest Template'!A53="Standard",'Ingest Template'!K53&amp;CHAR(10)&amp;'Ingest Template'!L53,"Competitive View")</f>
        <v>Competitive View</v>
      </c>
      <c r="L53" s="22" t="s">
        <v>95</v>
      </c>
      <c r="M53" s="45" t="str">
        <f>'Ingest Template'!B53</f>
        <v/>
      </c>
      <c r="N53" s="35"/>
      <c r="O53" s="35"/>
      <c r="P53" s="35"/>
      <c r="Q53" s="35"/>
      <c r="R53" s="35" t="str">
        <f>'Ingest Template'!D53</f>
        <v/>
      </c>
      <c r="S53" s="22" t="s">
        <v>101</v>
      </c>
      <c r="T53" s="35" t="str">
        <f>'Ingest Template'!V53</f>
        <v/>
      </c>
      <c r="U53" s="35" t="str">
        <f>'Ingest Template'!W53</f>
        <v/>
      </c>
      <c r="V53" s="35" t="str">
        <f>LOWER(SUBSTITUTE(SUBSTITUTE(SUBSTITUTE(SUBSTITUTE(SUBSTITUTE('Ingest Template'!X53,"https:",""),"www.",""),"/",""),"?hl=en",""),"instagram.com",""))</f>
        <v/>
      </c>
      <c r="W53" s="74" t="str">
        <f t="array" ref="W53">IF(
'Ingest Template'!Y53="",
SUBSTITUTE(
INDEX(DropdownLists!$F$2:$F$277,MATCH('Ingest Template'!D53,DropdownLists!$C$2:$C$277,0)),
CHAR(10),
"|"&amp;'Ingest Template'!C53&amp;CHAR(10)
)&amp;"|"&amp;'Ingest Template'!C53,
SUBSTITUTE(
INDEX(DropdownLists!$F$2:$F$277,MATCH('Ingest Template'!D53,DropdownLists!$C$2:$C$277,0)),
CHAR(10),
"|"&amp;'Ingest Template'!C53&amp;CHAR(10)
)&amp;"|"&amp;'Ingest Template'!C53&amp;CHAR(10)&amp;'Ingest Template'!Y53
)</f>
        <v>#N/A</v>
      </c>
      <c r="X53" s="74" t="str">
        <f>'Ingest Template'!Z53</f>
        <v/>
      </c>
      <c r="Y53" s="35" t="str">
        <f>SUBSTITUTE(SUBSTITUTE(SUBSTITUTE('Ingest Template'!AA53,"http:",""),"https:",""),"/","")</f>
        <v/>
      </c>
      <c r="Z53" s="35" t="str">
        <f t="array" ref="Z53">IF('Ingest Template'!A53="Standard",(IF(ISBLANK('Ingest Template'!AB53),"", 'Ingest Template'!AB53&amp;"|DAR")),(IF(ISBLANK('Ingest Template'!AB53),"", 'Ingest Template'!AB53&amp;"|TV Ops")))</f>
        <v/>
      </c>
      <c r="AA53" s="35"/>
      <c r="AB53" s="35" t="str">
        <f>'Ingest Template'!R53</f>
        <v/>
      </c>
      <c r="AC53" s="35" t="str">
        <f>'Ingest Template'!T53</f>
        <v/>
      </c>
      <c r="AD53" s="35" t="str">
        <f>'Ingest Template'!S53</f>
        <v/>
      </c>
      <c r="AE53" s="35" t="str">
        <f>'Ingest Template'!U53</f>
        <v/>
      </c>
      <c r="AF53" s="22"/>
      <c r="AG53" s="35" t="str">
        <f t="array" ref="AG53">IF('Ingest Template'!A53="Standard",(CONCATENATE(IF(ISBLANK('Ingest Template'!N53),"", 'Ingest Template'!N53&amp;"|DAR"),CHAR(10), IF(ISBLANK('Ingest Template'!O53),"", 'Ingest Template'!O53&amp;"|DAR"),CHAR(10), IF(ISBLANK('Ingest Template'!P53),"", 'Ingest Template'!P53&amp;"|DAR"))),(CONCATENATE(IF(ISBLANK('Ingest Template'!N53),"", 'Ingest Template'!N53&amp;"|TV Ops"),CHAR(10), IF(ISBLANK('Ingest Template'!O53),"", 'Ingest Template'!O53&amp;"|TV Ops"),CHAR(10), IF(ISBLANK('Ingest Template'!P53),"", 'Ingest Template'!P53&amp;"|TV Ops"))))</f>
        <v>
</v>
      </c>
      <c r="AH53" s="35"/>
      <c r="AI53" s="35"/>
      <c r="AJ53" s="117" t="str">
        <f>if('Ingest Template'!A53="Standard",(IF(OR('Ingest Template'!F53 = "Program Type - Special", 'Ingest Template'!F53 = "Program Type - Live Event"),'Ingest Template'!M53&amp; "|DAR|DAR|"&amp;TEXT('Ingest Template'!C53-3, "yyyy-mm-dd")&amp;"|"&amp;TEXT('Ingest Template'!C53+3, "yyyy-mm-dd"),'Ingest Template'!M53&amp; "|DAR|DAR|2021-01-01")),(IF(OR('Ingest Template'!F53 = "Program Type - Special", 'Ingest Template'!F53 = "Program Type - Live Event"),'Ingest Template'!M53&amp; "|Operations - Core Title|Operations - Core Title|"&amp;TEXT('Ingest Template'!C53-3, "yyyy-mm-dd")&amp;"|"&amp;TEXT('Ingest Template'!C53+3, "yyyy-mm-dd"),'Ingest Template'!M53&amp; "|Operations - Core Title|Operations - Core Title")))</f>
        <v>|Operations - Core Title|Operations - Core Title</v>
      </c>
      <c r="AK53" s="35"/>
      <c r="AL53" s="117" t="str">
        <f>if('Ingest Template'!A53="Standard",(IF(OR('Ingest Template'!F53 = "Program Type - Special", 'Ingest Template'!F53 = "Program Type - Live Event"),'Ingest Template'!Q53&amp;"|"&amp;TEXT('Ingest Template'!C53-3, "yyyy-mm-dd")&amp;"|"&amp;TEXT('Ingest Template'!C53+3, "yyyy-mm-dd"),'Ingest Template'!Q53&amp; "|2021-01-01")),(IF(OR('Ingest Template'!F53 = "Program Type - Special", 'Ingest Template'!F53 = "Program Type - Live Event"),'Ingest Template'!Q53&amp; "|"&amp;TEXT('Ingest Template'!C53-3, "yyyy-mm-dd")&amp;"|"&amp;TEXT('Ingest Template'!C53+3, "yyyy-mm-dd"),'Ingest Template'!Q53)))</f>
        <v/>
      </c>
      <c r="AM53" s="35" t="str">
        <f>'Ingest Template'!AC53</f>
        <v/>
      </c>
    </row>
    <row r="54">
      <c r="A54" s="15"/>
      <c r="B54" s="22" t="str">
        <f>'Ingest Template'!C54&amp;IF('Ingest Template'!A54 = "Standard", " - DAR","")</f>
        <v/>
      </c>
      <c r="C54" s="22" t="s">
        <v>83</v>
      </c>
      <c r="D54" s="22" t="str">
        <f t="array" ref="D54">CONCATENATE(INDEX(DropdownLists!$H$2:$H$11,MATCH(1,COUNTIF('Ingest Template'!E54,"*"&amp;DropdownLists!$I$2:$I$11&amp;"*"),0)),CHAR(10),'Ingest Template'!F54,CHAR(10),'Ingest Template'!G54,CHAR(10),VLOOKUP('Ingest Template'!D54,DropdownLists!C:D,2,FALSE))</f>
        <v>#N/A</v>
      </c>
      <c r="E54" s="22" t="str">
        <f>CONCATENATE('Ingest Template'!H54,CHAR(10),'Ingest Template'!I54,CHAR(10),'Ingest Template'!J54,CHAR(10))</f>
        <v>
</v>
      </c>
      <c r="F54" s="35" t="str">
        <f t="array" ref="F54">INDEX(DropdownLists!$O$2:$O$36,MATCH(1,COUNTIF(E54,"*"&amp;DropdownLists!$N$2:$N$36&amp;"*"),0))</f>
        <v/>
      </c>
      <c r="G54" s="35"/>
      <c r="H54" s="22" t="str">
        <f t="array" ref="H54">INDEX(DropdownLists!$E$2:$E$276,MATCH('Ingest Template'!D54,DropdownLists!$C$2:$C$276,0))</f>
        <v>#N/A</v>
      </c>
      <c r="I54" s="22"/>
      <c r="J54" s="22" t="str">
        <f t="array" ref="J54">iF('Ingest Template'!A54="Standard","Pristine Brand",INDEX(DropdownLists!$B$2:$B$246,MATCH('Ingest Template'!D54,DropdownLists!$C$2:$C$246,0)))</f>
        <v>#N/A</v>
      </c>
      <c r="K54" s="22" t="str">
        <f>iF('Ingest Template'!A54="Standard",'Ingest Template'!K54&amp;CHAR(10)&amp;'Ingest Template'!L54,"Competitive View")</f>
        <v>Competitive View</v>
      </c>
      <c r="L54" s="22" t="s">
        <v>95</v>
      </c>
      <c r="M54" s="45" t="str">
        <f>'Ingest Template'!B54</f>
        <v/>
      </c>
      <c r="N54" s="35"/>
      <c r="O54" s="35"/>
      <c r="P54" s="35"/>
      <c r="Q54" s="35"/>
      <c r="R54" s="35" t="str">
        <f>'Ingest Template'!D54</f>
        <v/>
      </c>
      <c r="S54" s="22" t="s">
        <v>101</v>
      </c>
      <c r="T54" s="35" t="str">
        <f>'Ingest Template'!V54</f>
        <v/>
      </c>
      <c r="U54" s="35" t="str">
        <f>'Ingest Template'!W54</f>
        <v/>
      </c>
      <c r="V54" s="35" t="str">
        <f>LOWER(SUBSTITUTE(SUBSTITUTE(SUBSTITUTE(SUBSTITUTE(SUBSTITUTE('Ingest Template'!X54,"https:",""),"www.",""),"/",""),"?hl=en",""),"instagram.com",""))</f>
        <v/>
      </c>
      <c r="W54" s="74" t="str">
        <f t="array" ref="W54">IF(
'Ingest Template'!Y54="",
SUBSTITUTE(
INDEX(DropdownLists!$F$2:$F$277,MATCH('Ingest Template'!D54,DropdownLists!$C$2:$C$277,0)),
CHAR(10),
"|"&amp;'Ingest Template'!C54&amp;CHAR(10)
)&amp;"|"&amp;'Ingest Template'!C54,
SUBSTITUTE(
INDEX(DropdownLists!$F$2:$F$277,MATCH('Ingest Template'!D54,DropdownLists!$C$2:$C$277,0)),
CHAR(10),
"|"&amp;'Ingest Template'!C54&amp;CHAR(10)
)&amp;"|"&amp;'Ingest Template'!C54&amp;CHAR(10)&amp;'Ingest Template'!Y54
)</f>
        <v>#N/A</v>
      </c>
      <c r="X54" s="74" t="str">
        <f>'Ingest Template'!Z54</f>
        <v/>
      </c>
      <c r="Y54" s="35" t="str">
        <f>SUBSTITUTE(SUBSTITUTE(SUBSTITUTE('Ingest Template'!AA54,"http:",""),"https:",""),"/","")</f>
        <v/>
      </c>
      <c r="Z54" s="35" t="str">
        <f t="array" ref="Z54">IF('Ingest Template'!A54="Standard",(IF(ISBLANK('Ingest Template'!AB54),"", 'Ingest Template'!AB54&amp;"|DAR")),(IF(ISBLANK('Ingest Template'!AB54),"", 'Ingest Template'!AB54&amp;"|TV Ops")))</f>
        <v/>
      </c>
      <c r="AA54" s="35"/>
      <c r="AB54" s="35" t="str">
        <f>'Ingest Template'!R54</f>
        <v/>
      </c>
      <c r="AC54" s="35" t="str">
        <f>'Ingest Template'!T54</f>
        <v/>
      </c>
      <c r="AD54" s="35" t="str">
        <f>'Ingest Template'!S54</f>
        <v/>
      </c>
      <c r="AE54" s="35" t="str">
        <f>'Ingest Template'!U54</f>
        <v/>
      </c>
      <c r="AF54" s="22"/>
      <c r="AG54" s="35" t="str">
        <f t="array" ref="AG54">IF('Ingest Template'!A54="Standard",(CONCATENATE(IF(ISBLANK('Ingest Template'!N54),"", 'Ingest Template'!N54&amp;"|DAR"),CHAR(10), IF(ISBLANK('Ingest Template'!O54),"", 'Ingest Template'!O54&amp;"|DAR"),CHAR(10), IF(ISBLANK('Ingest Template'!P54),"", 'Ingest Template'!P54&amp;"|DAR"))),(CONCATENATE(IF(ISBLANK('Ingest Template'!N54),"", 'Ingest Template'!N54&amp;"|TV Ops"),CHAR(10), IF(ISBLANK('Ingest Template'!O54),"", 'Ingest Template'!O54&amp;"|TV Ops"),CHAR(10), IF(ISBLANK('Ingest Template'!P54),"", 'Ingest Template'!P54&amp;"|TV Ops"))))</f>
        <v>
</v>
      </c>
      <c r="AH54" s="35"/>
      <c r="AI54" s="35"/>
      <c r="AJ54" s="117" t="str">
        <f>if('Ingest Template'!A54="Standard",(IF(OR('Ingest Template'!F54 = "Program Type - Special", 'Ingest Template'!F54 = "Program Type - Live Event"),'Ingest Template'!M54&amp; "|DAR|DAR|"&amp;TEXT('Ingest Template'!C54-3, "yyyy-mm-dd")&amp;"|"&amp;TEXT('Ingest Template'!C54+3, "yyyy-mm-dd"),'Ingest Template'!M54&amp; "|DAR|DAR|2021-01-01")),(IF(OR('Ingest Template'!F54 = "Program Type - Special", 'Ingest Template'!F54 = "Program Type - Live Event"),'Ingest Template'!M54&amp; "|Operations - Core Title|Operations - Core Title|"&amp;TEXT('Ingest Template'!C54-3, "yyyy-mm-dd")&amp;"|"&amp;TEXT('Ingest Template'!C54+3, "yyyy-mm-dd"),'Ingest Template'!M54&amp; "|Operations - Core Title|Operations - Core Title")))</f>
        <v>|Operations - Core Title|Operations - Core Title</v>
      </c>
      <c r="AK54" s="35"/>
      <c r="AL54" s="117" t="str">
        <f>if('Ingest Template'!A54="Standard",(IF(OR('Ingest Template'!F54 = "Program Type - Special", 'Ingest Template'!F54 = "Program Type - Live Event"),'Ingest Template'!Q54&amp;"|"&amp;TEXT('Ingest Template'!C54-3, "yyyy-mm-dd")&amp;"|"&amp;TEXT('Ingest Template'!C54+3, "yyyy-mm-dd"),'Ingest Template'!Q54&amp; "|2021-01-01")),(IF(OR('Ingest Template'!F54 = "Program Type - Special", 'Ingest Template'!F54 = "Program Type - Live Event"),'Ingest Template'!Q54&amp; "|"&amp;TEXT('Ingest Template'!C54-3, "yyyy-mm-dd")&amp;"|"&amp;TEXT('Ingest Template'!C54+3, "yyyy-mm-dd"),'Ingest Template'!Q54)))</f>
        <v/>
      </c>
      <c r="AM54" s="35" t="str">
        <f>'Ingest Template'!AC54</f>
        <v/>
      </c>
    </row>
    <row r="55">
      <c r="A55" s="15"/>
      <c r="B55" s="22" t="str">
        <f>'Ingest Template'!C55&amp;IF('Ingest Template'!A55 = "Standard", " - DAR","")</f>
        <v/>
      </c>
      <c r="C55" s="22" t="s">
        <v>83</v>
      </c>
      <c r="D55" s="22" t="str">
        <f t="array" ref="D55">CONCATENATE(INDEX(DropdownLists!$H$2:$H$11,MATCH(1,COUNTIF('Ingest Template'!E55,"*"&amp;DropdownLists!$I$2:$I$11&amp;"*"),0)),CHAR(10),'Ingest Template'!F55,CHAR(10),'Ingest Template'!G55,CHAR(10),VLOOKUP('Ingest Template'!D55,DropdownLists!C:D,2,FALSE))</f>
        <v>#N/A</v>
      </c>
      <c r="E55" s="22" t="str">
        <f>CONCATENATE('Ingest Template'!H55,CHAR(10),'Ingest Template'!I55,CHAR(10),'Ingest Template'!J55,CHAR(10))</f>
        <v>
</v>
      </c>
      <c r="F55" s="35" t="str">
        <f t="array" ref="F55">INDEX(DropdownLists!$O$2:$O$36,MATCH(1,COUNTIF(E55,"*"&amp;DropdownLists!$N$2:$N$36&amp;"*"),0))</f>
        <v/>
      </c>
      <c r="G55" s="35"/>
      <c r="H55" s="22" t="str">
        <f t="array" ref="H55">INDEX(DropdownLists!$E$2:$E$276,MATCH('Ingest Template'!D55,DropdownLists!$C$2:$C$276,0))</f>
        <v>#N/A</v>
      </c>
      <c r="I55" s="22"/>
      <c r="J55" s="22" t="str">
        <f t="array" ref="J55">iF('Ingest Template'!A55="Standard","Pristine Brand",INDEX(DropdownLists!$B$2:$B$246,MATCH('Ingest Template'!D55,DropdownLists!$C$2:$C$246,0)))</f>
        <v>#N/A</v>
      </c>
      <c r="K55" s="22" t="str">
        <f>iF('Ingest Template'!A55="Standard",'Ingest Template'!K55&amp;CHAR(10)&amp;'Ingest Template'!L55,"Competitive View")</f>
        <v>Competitive View</v>
      </c>
      <c r="L55" s="22" t="s">
        <v>95</v>
      </c>
      <c r="M55" s="45" t="str">
        <f>'Ingest Template'!B55</f>
        <v/>
      </c>
      <c r="N55" s="35"/>
      <c r="O55" s="35"/>
      <c r="P55" s="35"/>
      <c r="Q55" s="35"/>
      <c r="R55" s="35" t="str">
        <f>'Ingest Template'!D55</f>
        <v/>
      </c>
      <c r="S55" s="22" t="s">
        <v>101</v>
      </c>
      <c r="T55" s="35" t="str">
        <f>'Ingest Template'!V55</f>
        <v/>
      </c>
      <c r="U55" s="35" t="str">
        <f>'Ingest Template'!W55</f>
        <v/>
      </c>
      <c r="V55" s="35" t="str">
        <f>LOWER(SUBSTITUTE(SUBSTITUTE(SUBSTITUTE(SUBSTITUTE(SUBSTITUTE('Ingest Template'!X55,"https:",""),"www.",""),"/",""),"?hl=en",""),"instagram.com",""))</f>
        <v/>
      </c>
      <c r="W55" s="74" t="str">
        <f t="array" ref="W55">IF(
'Ingest Template'!Y55="",
SUBSTITUTE(
INDEX(DropdownLists!$F$2:$F$277,MATCH('Ingest Template'!D55,DropdownLists!$C$2:$C$277,0)),
CHAR(10),
"|"&amp;'Ingest Template'!C55&amp;CHAR(10)
)&amp;"|"&amp;'Ingest Template'!C55,
SUBSTITUTE(
INDEX(DropdownLists!$F$2:$F$277,MATCH('Ingest Template'!D55,DropdownLists!$C$2:$C$277,0)),
CHAR(10),
"|"&amp;'Ingest Template'!C55&amp;CHAR(10)
)&amp;"|"&amp;'Ingest Template'!C55&amp;CHAR(10)&amp;'Ingest Template'!Y55
)</f>
        <v>#N/A</v>
      </c>
      <c r="X55" s="74" t="str">
        <f>'Ingest Template'!Z55</f>
        <v/>
      </c>
      <c r="Y55" s="35" t="str">
        <f>SUBSTITUTE(SUBSTITUTE(SUBSTITUTE('Ingest Template'!AA55,"http:",""),"https:",""),"/","")</f>
        <v/>
      </c>
      <c r="Z55" s="35" t="str">
        <f t="array" ref="Z55">IF('Ingest Template'!A55="Standard",(IF(ISBLANK('Ingest Template'!AB55),"", 'Ingest Template'!AB55&amp;"|DAR")),(IF(ISBLANK('Ingest Template'!AB55),"", 'Ingest Template'!AB55&amp;"|TV Ops")))</f>
        <v/>
      </c>
      <c r="AA55" s="35"/>
      <c r="AB55" s="35" t="str">
        <f>'Ingest Template'!R55</f>
        <v/>
      </c>
      <c r="AC55" s="35" t="str">
        <f>'Ingest Template'!T55</f>
        <v/>
      </c>
      <c r="AD55" s="35" t="str">
        <f>'Ingest Template'!S55</f>
        <v/>
      </c>
      <c r="AE55" s="35" t="str">
        <f>'Ingest Template'!U55</f>
        <v/>
      </c>
      <c r="AF55" s="22"/>
      <c r="AG55" s="35" t="str">
        <f t="array" ref="AG55">IF('Ingest Template'!A55="Standard",(CONCATENATE(IF(ISBLANK('Ingest Template'!N55),"", 'Ingest Template'!N55&amp;"|DAR"),CHAR(10), IF(ISBLANK('Ingest Template'!O55),"", 'Ingest Template'!O55&amp;"|DAR"),CHAR(10), IF(ISBLANK('Ingest Template'!P55),"", 'Ingest Template'!P55&amp;"|DAR"))),(CONCATENATE(IF(ISBLANK('Ingest Template'!N55),"", 'Ingest Template'!N55&amp;"|TV Ops"),CHAR(10), IF(ISBLANK('Ingest Template'!O55),"", 'Ingest Template'!O55&amp;"|TV Ops"),CHAR(10), IF(ISBLANK('Ingest Template'!P55),"", 'Ingest Template'!P55&amp;"|TV Ops"))))</f>
        <v>
</v>
      </c>
      <c r="AH55" s="35"/>
      <c r="AI55" s="35"/>
      <c r="AJ55" s="117" t="str">
        <f>if('Ingest Template'!A55="Standard",(IF(OR('Ingest Template'!F55 = "Program Type - Special", 'Ingest Template'!F55 = "Program Type - Live Event"),'Ingest Template'!M55&amp; "|DAR|DAR|"&amp;TEXT('Ingest Template'!C55-3, "yyyy-mm-dd")&amp;"|"&amp;TEXT('Ingest Template'!C55+3, "yyyy-mm-dd"),'Ingest Template'!M55&amp; "|DAR|DAR|2021-01-01")),(IF(OR('Ingest Template'!F55 = "Program Type - Special", 'Ingest Template'!F55 = "Program Type - Live Event"),'Ingest Template'!M55&amp; "|Operations - Core Title|Operations - Core Title|"&amp;TEXT('Ingest Template'!C55-3, "yyyy-mm-dd")&amp;"|"&amp;TEXT('Ingest Template'!C55+3, "yyyy-mm-dd"),'Ingest Template'!M55&amp; "|Operations - Core Title|Operations - Core Title")))</f>
        <v>|Operations - Core Title|Operations - Core Title</v>
      </c>
      <c r="AK55" s="35"/>
      <c r="AL55" s="117" t="str">
        <f>if('Ingest Template'!A55="Standard",(IF(OR('Ingest Template'!F55 = "Program Type - Special", 'Ingest Template'!F55 = "Program Type - Live Event"),'Ingest Template'!Q55&amp;"|"&amp;TEXT('Ingest Template'!C55-3, "yyyy-mm-dd")&amp;"|"&amp;TEXT('Ingest Template'!C55+3, "yyyy-mm-dd"),'Ingest Template'!Q55&amp; "|2021-01-01")),(IF(OR('Ingest Template'!F55 = "Program Type - Special", 'Ingest Template'!F55 = "Program Type - Live Event"),'Ingest Template'!Q55&amp; "|"&amp;TEXT('Ingest Template'!C55-3, "yyyy-mm-dd")&amp;"|"&amp;TEXT('Ingest Template'!C55+3, "yyyy-mm-dd"),'Ingest Template'!Q55)))</f>
        <v/>
      </c>
      <c r="AM55" s="35" t="str">
        <f>'Ingest Template'!AC55</f>
        <v/>
      </c>
    </row>
    <row r="56">
      <c r="A56" s="15"/>
      <c r="B56" s="22" t="str">
        <f>'Ingest Template'!C56&amp;IF('Ingest Template'!A56 = "Standard", " - DAR","")</f>
        <v/>
      </c>
      <c r="C56" s="22" t="s">
        <v>83</v>
      </c>
      <c r="D56" s="22" t="str">
        <f t="array" ref="D56">CONCATENATE(INDEX(DropdownLists!$H$2:$H$11,MATCH(1,COUNTIF('Ingest Template'!E56,"*"&amp;DropdownLists!$I$2:$I$11&amp;"*"),0)),CHAR(10),'Ingest Template'!F56,CHAR(10),'Ingest Template'!G56,CHAR(10),VLOOKUP('Ingest Template'!D56,DropdownLists!C:D,2,FALSE))</f>
        <v>#N/A</v>
      </c>
      <c r="E56" s="22" t="str">
        <f>CONCATENATE('Ingest Template'!H56,CHAR(10),'Ingest Template'!I56,CHAR(10),'Ingest Template'!J56,CHAR(10))</f>
        <v>
</v>
      </c>
      <c r="F56" s="35" t="str">
        <f t="array" ref="F56">INDEX(DropdownLists!$O$2:$O$36,MATCH(1,COUNTIF(E56,"*"&amp;DropdownLists!$N$2:$N$36&amp;"*"),0))</f>
        <v/>
      </c>
      <c r="G56" s="35"/>
      <c r="H56" s="22" t="str">
        <f t="array" ref="H56">INDEX(DropdownLists!$E$2:$E$276,MATCH('Ingest Template'!D56,DropdownLists!$C$2:$C$276,0))</f>
        <v>#N/A</v>
      </c>
      <c r="I56" s="22"/>
      <c r="J56" s="22" t="str">
        <f t="array" ref="J56">iF('Ingest Template'!A56="Standard","Pristine Brand",INDEX(DropdownLists!$B$2:$B$246,MATCH('Ingest Template'!D56,DropdownLists!$C$2:$C$246,0)))</f>
        <v>#N/A</v>
      </c>
      <c r="K56" s="22" t="str">
        <f>iF('Ingest Template'!A56="Standard",'Ingest Template'!K56&amp;CHAR(10)&amp;'Ingest Template'!L56,"Competitive View")</f>
        <v>Competitive View</v>
      </c>
      <c r="L56" s="22" t="s">
        <v>95</v>
      </c>
      <c r="M56" s="45" t="str">
        <f>'Ingest Template'!B56</f>
        <v/>
      </c>
      <c r="N56" s="35"/>
      <c r="O56" s="35"/>
      <c r="P56" s="35"/>
      <c r="Q56" s="35"/>
      <c r="R56" s="35" t="str">
        <f>'Ingest Template'!D56</f>
        <v/>
      </c>
      <c r="S56" s="22" t="s">
        <v>101</v>
      </c>
      <c r="T56" s="35" t="str">
        <f>'Ingest Template'!V56</f>
        <v/>
      </c>
      <c r="U56" s="35" t="str">
        <f>'Ingest Template'!W56</f>
        <v/>
      </c>
      <c r="V56" s="35" t="str">
        <f>LOWER(SUBSTITUTE(SUBSTITUTE(SUBSTITUTE(SUBSTITUTE(SUBSTITUTE('Ingest Template'!X56,"https:",""),"www.",""),"/",""),"?hl=en",""),"instagram.com",""))</f>
        <v/>
      </c>
      <c r="W56" s="74" t="str">
        <f t="array" ref="W56">IF(
'Ingest Template'!Y56="",
SUBSTITUTE(
INDEX(DropdownLists!$F$2:$F$277,MATCH('Ingest Template'!D56,DropdownLists!$C$2:$C$277,0)),
CHAR(10),
"|"&amp;'Ingest Template'!C56&amp;CHAR(10)
)&amp;"|"&amp;'Ingest Template'!C56,
SUBSTITUTE(
INDEX(DropdownLists!$F$2:$F$277,MATCH('Ingest Template'!D56,DropdownLists!$C$2:$C$277,0)),
CHAR(10),
"|"&amp;'Ingest Template'!C56&amp;CHAR(10)
)&amp;"|"&amp;'Ingest Template'!C56&amp;CHAR(10)&amp;'Ingest Template'!Y56
)</f>
        <v>#N/A</v>
      </c>
      <c r="X56" s="74" t="str">
        <f>'Ingest Template'!Z56</f>
        <v/>
      </c>
      <c r="Y56" s="35" t="str">
        <f>SUBSTITUTE(SUBSTITUTE(SUBSTITUTE('Ingest Template'!AA56,"http:",""),"https:",""),"/","")</f>
        <v/>
      </c>
      <c r="Z56" s="35" t="str">
        <f t="array" ref="Z56">IF('Ingest Template'!A56="Standard",(IF(ISBLANK('Ingest Template'!AB56),"", 'Ingest Template'!AB56&amp;"|DAR")),(IF(ISBLANK('Ingest Template'!AB56),"", 'Ingest Template'!AB56&amp;"|TV Ops")))</f>
        <v/>
      </c>
      <c r="AA56" s="35"/>
      <c r="AB56" s="35" t="str">
        <f>'Ingest Template'!R56</f>
        <v/>
      </c>
      <c r="AC56" s="35" t="str">
        <f>'Ingest Template'!T56</f>
        <v/>
      </c>
      <c r="AD56" s="35" t="str">
        <f>'Ingest Template'!S56</f>
        <v/>
      </c>
      <c r="AE56" s="35" t="str">
        <f>'Ingest Template'!U56</f>
        <v/>
      </c>
      <c r="AF56" s="22"/>
      <c r="AG56" s="35" t="str">
        <f t="array" ref="AG56">IF('Ingest Template'!A56="Standard",(CONCATENATE(IF(ISBLANK('Ingest Template'!N56),"", 'Ingest Template'!N56&amp;"|DAR"),CHAR(10), IF(ISBLANK('Ingest Template'!O56),"", 'Ingest Template'!O56&amp;"|DAR"),CHAR(10), IF(ISBLANK('Ingest Template'!P56),"", 'Ingest Template'!P56&amp;"|DAR"))),(CONCATENATE(IF(ISBLANK('Ingest Template'!N56),"", 'Ingest Template'!N56&amp;"|TV Ops"),CHAR(10), IF(ISBLANK('Ingest Template'!O56),"", 'Ingest Template'!O56&amp;"|TV Ops"),CHAR(10), IF(ISBLANK('Ingest Template'!P56),"", 'Ingest Template'!P56&amp;"|TV Ops"))))</f>
        <v>
</v>
      </c>
      <c r="AH56" s="35"/>
      <c r="AI56" s="35"/>
      <c r="AJ56" s="117" t="str">
        <f>if('Ingest Template'!A56="Standard",(IF(OR('Ingest Template'!F56 = "Program Type - Special", 'Ingest Template'!F56 = "Program Type - Live Event"),'Ingest Template'!M56&amp; "|DAR|DAR|"&amp;TEXT('Ingest Template'!C56-3, "yyyy-mm-dd")&amp;"|"&amp;TEXT('Ingest Template'!C56+3, "yyyy-mm-dd"),'Ingest Template'!M56&amp; "|DAR|DAR|2021-01-01")),(IF(OR('Ingest Template'!F56 = "Program Type - Special", 'Ingest Template'!F56 = "Program Type - Live Event"),'Ingest Template'!M56&amp; "|Operations - Core Title|Operations - Core Title|"&amp;TEXT('Ingest Template'!C56-3, "yyyy-mm-dd")&amp;"|"&amp;TEXT('Ingest Template'!C56+3, "yyyy-mm-dd"),'Ingest Template'!M56&amp; "|Operations - Core Title|Operations - Core Title")))</f>
        <v>|Operations - Core Title|Operations - Core Title</v>
      </c>
      <c r="AK56" s="35"/>
      <c r="AL56" s="117" t="str">
        <f>if('Ingest Template'!A56="Standard",(IF(OR('Ingest Template'!F56 = "Program Type - Special", 'Ingest Template'!F56 = "Program Type - Live Event"),'Ingest Template'!Q56&amp;"|"&amp;TEXT('Ingest Template'!C56-3, "yyyy-mm-dd")&amp;"|"&amp;TEXT('Ingest Template'!C56+3, "yyyy-mm-dd"),'Ingest Template'!Q56&amp; "|2021-01-01")),(IF(OR('Ingest Template'!F56 = "Program Type - Special", 'Ingest Template'!F56 = "Program Type - Live Event"),'Ingest Template'!Q56&amp; "|"&amp;TEXT('Ingest Template'!C56-3, "yyyy-mm-dd")&amp;"|"&amp;TEXT('Ingest Template'!C56+3, "yyyy-mm-dd"),'Ingest Template'!Q56)))</f>
        <v/>
      </c>
      <c r="AM56" s="35" t="str">
        <f>'Ingest Template'!AC56</f>
        <v/>
      </c>
    </row>
    <row r="57">
      <c r="A57" s="15"/>
      <c r="B57" s="22" t="str">
        <f>'Ingest Template'!C57&amp;IF('Ingest Template'!A57 = "Standard", " - DAR","")</f>
        <v/>
      </c>
      <c r="C57" s="22" t="s">
        <v>83</v>
      </c>
      <c r="D57" s="22" t="str">
        <f t="array" ref="D57">CONCATENATE(INDEX(DropdownLists!$H$2:$H$11,MATCH(1,COUNTIF('Ingest Template'!E57,"*"&amp;DropdownLists!$I$2:$I$11&amp;"*"),0)),CHAR(10),'Ingest Template'!F57,CHAR(10),'Ingest Template'!G57,CHAR(10),VLOOKUP('Ingest Template'!D57,DropdownLists!C:D,2,FALSE))</f>
        <v>#N/A</v>
      </c>
      <c r="E57" s="22" t="str">
        <f>CONCATENATE('Ingest Template'!H57,CHAR(10),'Ingest Template'!I57,CHAR(10),'Ingest Template'!J57,CHAR(10))</f>
        <v>
</v>
      </c>
      <c r="F57" s="35" t="str">
        <f t="array" ref="F57">INDEX(DropdownLists!$O$2:$O$36,MATCH(1,COUNTIF(E57,"*"&amp;DropdownLists!$N$2:$N$36&amp;"*"),0))</f>
        <v/>
      </c>
      <c r="G57" s="35"/>
      <c r="H57" s="22" t="str">
        <f t="array" ref="H57">INDEX(DropdownLists!$E$2:$E$276,MATCH('Ingest Template'!D57,DropdownLists!$C$2:$C$276,0))</f>
        <v>#N/A</v>
      </c>
      <c r="I57" s="22"/>
      <c r="J57" s="22" t="str">
        <f t="array" ref="J57">iF('Ingest Template'!A57="Standard","Pristine Brand",INDEX(DropdownLists!$B$2:$B$246,MATCH('Ingest Template'!D57,DropdownLists!$C$2:$C$246,0)))</f>
        <v>#N/A</v>
      </c>
      <c r="K57" s="22" t="str">
        <f>iF('Ingest Template'!A57="Standard",'Ingest Template'!K57&amp;CHAR(10)&amp;'Ingest Template'!L57,"Competitive View")</f>
        <v>Competitive View</v>
      </c>
      <c r="L57" s="22" t="s">
        <v>95</v>
      </c>
      <c r="M57" s="45" t="str">
        <f>'Ingest Template'!B57</f>
        <v/>
      </c>
      <c r="N57" s="35"/>
      <c r="O57" s="35"/>
      <c r="P57" s="35"/>
      <c r="Q57" s="35"/>
      <c r="R57" s="35" t="str">
        <f>'Ingest Template'!D57</f>
        <v/>
      </c>
      <c r="S57" s="22" t="s">
        <v>101</v>
      </c>
      <c r="T57" s="35" t="str">
        <f>'Ingest Template'!V57</f>
        <v/>
      </c>
      <c r="U57" s="35" t="str">
        <f>'Ingest Template'!W57</f>
        <v/>
      </c>
      <c r="V57" s="35" t="str">
        <f>LOWER(SUBSTITUTE(SUBSTITUTE(SUBSTITUTE(SUBSTITUTE(SUBSTITUTE('Ingest Template'!X57,"https:",""),"www.",""),"/",""),"?hl=en",""),"instagram.com",""))</f>
        <v/>
      </c>
      <c r="W57" s="74" t="str">
        <f t="array" ref="W57">IF(
'Ingest Template'!Y57="",
SUBSTITUTE(
INDEX(DropdownLists!$F$2:$F$277,MATCH('Ingest Template'!D57,DropdownLists!$C$2:$C$277,0)),
CHAR(10),
"|"&amp;'Ingest Template'!C57&amp;CHAR(10)
)&amp;"|"&amp;'Ingest Template'!C57,
SUBSTITUTE(
INDEX(DropdownLists!$F$2:$F$277,MATCH('Ingest Template'!D57,DropdownLists!$C$2:$C$277,0)),
CHAR(10),
"|"&amp;'Ingest Template'!C57&amp;CHAR(10)
)&amp;"|"&amp;'Ingest Template'!C57&amp;CHAR(10)&amp;'Ingest Template'!Y57
)</f>
        <v>#N/A</v>
      </c>
      <c r="X57" s="74" t="str">
        <f>'Ingest Template'!Z57</f>
        <v/>
      </c>
      <c r="Y57" s="35" t="str">
        <f>SUBSTITUTE(SUBSTITUTE(SUBSTITUTE('Ingest Template'!AA57,"http:",""),"https:",""),"/","")</f>
        <v/>
      </c>
      <c r="Z57" s="35" t="str">
        <f t="array" ref="Z57">IF('Ingest Template'!A57="Standard",(IF(ISBLANK('Ingest Template'!AB57),"", 'Ingest Template'!AB57&amp;"|DAR")),(IF(ISBLANK('Ingest Template'!AB57),"", 'Ingest Template'!AB57&amp;"|TV Ops")))</f>
        <v/>
      </c>
      <c r="AA57" s="35"/>
      <c r="AB57" s="35" t="str">
        <f>'Ingest Template'!R57</f>
        <v/>
      </c>
      <c r="AC57" s="35" t="str">
        <f>'Ingest Template'!T57</f>
        <v/>
      </c>
      <c r="AD57" s="35" t="str">
        <f>'Ingest Template'!S57</f>
        <v/>
      </c>
      <c r="AE57" s="35" t="str">
        <f>'Ingest Template'!U57</f>
        <v/>
      </c>
      <c r="AF57" s="22"/>
      <c r="AG57" s="35" t="str">
        <f t="array" ref="AG57">IF('Ingest Template'!A57="Standard",(CONCATENATE(IF(ISBLANK('Ingest Template'!N57),"", 'Ingest Template'!N57&amp;"|DAR"),CHAR(10), IF(ISBLANK('Ingest Template'!O57),"", 'Ingest Template'!O57&amp;"|DAR"),CHAR(10), IF(ISBLANK('Ingest Template'!P57),"", 'Ingest Template'!P57&amp;"|DAR"))),(CONCATENATE(IF(ISBLANK('Ingest Template'!N57),"", 'Ingest Template'!N57&amp;"|TV Ops"),CHAR(10), IF(ISBLANK('Ingest Template'!O57),"", 'Ingest Template'!O57&amp;"|TV Ops"),CHAR(10), IF(ISBLANK('Ingest Template'!P57),"", 'Ingest Template'!P57&amp;"|TV Ops"))))</f>
        <v>
</v>
      </c>
      <c r="AH57" s="35"/>
      <c r="AI57" s="35"/>
      <c r="AJ57" s="117" t="str">
        <f>if('Ingest Template'!A57="Standard",(IF(OR('Ingest Template'!F57 = "Program Type - Special", 'Ingest Template'!F57 = "Program Type - Live Event"),'Ingest Template'!M57&amp; "|DAR|DAR|"&amp;TEXT('Ingest Template'!C57-3, "yyyy-mm-dd")&amp;"|"&amp;TEXT('Ingest Template'!C57+3, "yyyy-mm-dd"),'Ingest Template'!M57&amp; "|DAR|DAR|2021-01-01")),(IF(OR('Ingest Template'!F57 = "Program Type - Special", 'Ingest Template'!F57 = "Program Type - Live Event"),'Ingest Template'!M57&amp; "|Operations - Core Title|Operations - Core Title|"&amp;TEXT('Ingest Template'!C57-3, "yyyy-mm-dd")&amp;"|"&amp;TEXT('Ingest Template'!C57+3, "yyyy-mm-dd"),'Ingest Template'!M57&amp; "|Operations - Core Title|Operations - Core Title")))</f>
        <v>|Operations - Core Title|Operations - Core Title</v>
      </c>
      <c r="AK57" s="35"/>
      <c r="AL57" s="117" t="str">
        <f>if('Ingest Template'!A57="Standard",(IF(OR('Ingest Template'!F57 = "Program Type - Special", 'Ingest Template'!F57 = "Program Type - Live Event"),'Ingest Template'!Q57&amp;"|"&amp;TEXT('Ingest Template'!C57-3, "yyyy-mm-dd")&amp;"|"&amp;TEXT('Ingest Template'!C57+3, "yyyy-mm-dd"),'Ingest Template'!Q57&amp; "|2021-01-01")),(IF(OR('Ingest Template'!F57 = "Program Type - Special", 'Ingest Template'!F57 = "Program Type - Live Event"),'Ingest Template'!Q57&amp; "|"&amp;TEXT('Ingest Template'!C57-3, "yyyy-mm-dd")&amp;"|"&amp;TEXT('Ingest Template'!C57+3, "yyyy-mm-dd"),'Ingest Template'!Q57)))</f>
        <v/>
      </c>
      <c r="AM57" s="35" t="str">
        <f>'Ingest Template'!AC57</f>
        <v/>
      </c>
    </row>
    <row r="58">
      <c r="A58" s="15"/>
      <c r="B58" s="22" t="str">
        <f>'Ingest Template'!C58&amp;IF('Ingest Template'!A58 = "Standard", " - DAR","")</f>
        <v/>
      </c>
      <c r="C58" s="22" t="s">
        <v>83</v>
      </c>
      <c r="D58" s="22" t="str">
        <f t="array" ref="D58">CONCATENATE(INDEX(DropdownLists!$H$2:$H$11,MATCH(1,COUNTIF('Ingest Template'!E58,"*"&amp;DropdownLists!$I$2:$I$11&amp;"*"),0)),CHAR(10),'Ingest Template'!F58,CHAR(10),'Ingest Template'!G58,CHAR(10),VLOOKUP('Ingest Template'!D58,DropdownLists!C:D,2,FALSE))</f>
        <v>#N/A</v>
      </c>
      <c r="E58" s="22" t="str">
        <f>CONCATENATE('Ingest Template'!H58,CHAR(10),'Ingest Template'!I58,CHAR(10),'Ingest Template'!J58,CHAR(10))</f>
        <v>
</v>
      </c>
      <c r="F58" s="35" t="str">
        <f t="array" ref="F58">INDEX(DropdownLists!$O$2:$O$36,MATCH(1,COUNTIF(E58,"*"&amp;DropdownLists!$N$2:$N$36&amp;"*"),0))</f>
        <v/>
      </c>
      <c r="G58" s="35"/>
      <c r="H58" s="22" t="str">
        <f t="array" ref="H58">INDEX(DropdownLists!$E$2:$E$276,MATCH('Ingest Template'!D58,DropdownLists!$C$2:$C$276,0))</f>
        <v>#N/A</v>
      </c>
      <c r="I58" s="22"/>
      <c r="J58" s="22" t="str">
        <f t="array" ref="J58">iF('Ingest Template'!A58="Standard","Pristine Brand",INDEX(DropdownLists!$B$2:$B$246,MATCH('Ingest Template'!D58,DropdownLists!$C$2:$C$246,0)))</f>
        <v>#N/A</v>
      </c>
      <c r="K58" s="22" t="str">
        <f>iF('Ingest Template'!A58="Standard",'Ingest Template'!K58&amp;CHAR(10)&amp;'Ingest Template'!L58,"Competitive View")</f>
        <v>Competitive View</v>
      </c>
      <c r="L58" s="22" t="s">
        <v>95</v>
      </c>
      <c r="M58" s="45" t="str">
        <f>'Ingest Template'!B58</f>
        <v/>
      </c>
      <c r="N58" s="35"/>
      <c r="O58" s="35"/>
      <c r="P58" s="35"/>
      <c r="Q58" s="35"/>
      <c r="R58" s="35" t="str">
        <f>'Ingest Template'!D58</f>
        <v/>
      </c>
      <c r="S58" s="22" t="s">
        <v>101</v>
      </c>
      <c r="T58" s="35" t="str">
        <f>'Ingest Template'!V58</f>
        <v/>
      </c>
      <c r="U58" s="35" t="str">
        <f>'Ingest Template'!W58</f>
        <v/>
      </c>
      <c r="V58" s="35" t="str">
        <f>LOWER(SUBSTITUTE(SUBSTITUTE(SUBSTITUTE(SUBSTITUTE(SUBSTITUTE('Ingest Template'!X58,"https:",""),"www.",""),"/",""),"?hl=en",""),"instagram.com",""))</f>
        <v/>
      </c>
      <c r="W58" s="74" t="str">
        <f t="array" ref="W58">IF(
'Ingest Template'!Y58="",
SUBSTITUTE(
INDEX(DropdownLists!$F$2:$F$277,MATCH('Ingest Template'!D58,DropdownLists!$C$2:$C$277,0)),
CHAR(10),
"|"&amp;'Ingest Template'!C58&amp;CHAR(10)
)&amp;"|"&amp;'Ingest Template'!C58,
SUBSTITUTE(
INDEX(DropdownLists!$F$2:$F$277,MATCH('Ingest Template'!D58,DropdownLists!$C$2:$C$277,0)),
CHAR(10),
"|"&amp;'Ingest Template'!C58&amp;CHAR(10)
)&amp;"|"&amp;'Ingest Template'!C58&amp;CHAR(10)&amp;'Ingest Template'!Y58
)</f>
        <v>#N/A</v>
      </c>
      <c r="X58" s="74" t="str">
        <f>'Ingest Template'!Z58</f>
        <v/>
      </c>
      <c r="Y58" s="35" t="str">
        <f>SUBSTITUTE(SUBSTITUTE(SUBSTITUTE('Ingest Template'!AA58,"http:",""),"https:",""),"/","")</f>
        <v/>
      </c>
      <c r="Z58" s="35" t="str">
        <f t="array" ref="Z58">IF('Ingest Template'!A58="Standard",(IF(ISBLANK('Ingest Template'!AB58),"", 'Ingest Template'!AB58&amp;"|DAR")),(IF(ISBLANK('Ingest Template'!AB58),"", 'Ingest Template'!AB58&amp;"|TV Ops")))</f>
        <v/>
      </c>
      <c r="AA58" s="35"/>
      <c r="AB58" s="35" t="str">
        <f>'Ingest Template'!R58</f>
        <v/>
      </c>
      <c r="AC58" s="35" t="str">
        <f>'Ingest Template'!T58</f>
        <v/>
      </c>
      <c r="AD58" s="35" t="str">
        <f>'Ingest Template'!S58</f>
        <v/>
      </c>
      <c r="AE58" s="35" t="str">
        <f>'Ingest Template'!U58</f>
        <v/>
      </c>
      <c r="AF58" s="22"/>
      <c r="AG58" s="35" t="str">
        <f t="array" ref="AG58">IF('Ingest Template'!A58="Standard",(CONCATENATE(IF(ISBLANK('Ingest Template'!N58),"", 'Ingest Template'!N58&amp;"|DAR"),CHAR(10), IF(ISBLANK('Ingest Template'!O58),"", 'Ingest Template'!O58&amp;"|DAR"),CHAR(10), IF(ISBLANK('Ingest Template'!P58),"", 'Ingest Template'!P58&amp;"|DAR"))),(CONCATENATE(IF(ISBLANK('Ingest Template'!N58),"", 'Ingest Template'!N58&amp;"|TV Ops"),CHAR(10), IF(ISBLANK('Ingest Template'!O58),"", 'Ingest Template'!O58&amp;"|TV Ops"),CHAR(10), IF(ISBLANK('Ingest Template'!P58),"", 'Ingest Template'!P58&amp;"|TV Ops"))))</f>
        <v>
</v>
      </c>
      <c r="AH58" s="35"/>
      <c r="AI58" s="35"/>
      <c r="AJ58" s="117" t="str">
        <f>if('Ingest Template'!A58="Standard",(IF(OR('Ingest Template'!F58 = "Program Type - Special", 'Ingest Template'!F58 = "Program Type - Live Event"),'Ingest Template'!M58&amp; "|DAR|DAR|"&amp;TEXT('Ingest Template'!C58-3, "yyyy-mm-dd")&amp;"|"&amp;TEXT('Ingest Template'!C58+3, "yyyy-mm-dd"),'Ingest Template'!M58&amp; "|DAR|DAR|2021-01-01")),(IF(OR('Ingest Template'!F58 = "Program Type - Special", 'Ingest Template'!F58 = "Program Type - Live Event"),'Ingest Template'!M58&amp; "|Operations - Core Title|Operations - Core Title|"&amp;TEXT('Ingest Template'!C58-3, "yyyy-mm-dd")&amp;"|"&amp;TEXT('Ingest Template'!C58+3, "yyyy-mm-dd"),'Ingest Template'!M58&amp; "|Operations - Core Title|Operations - Core Title")))</f>
        <v>|Operations - Core Title|Operations - Core Title</v>
      </c>
      <c r="AK58" s="35"/>
      <c r="AL58" s="117" t="str">
        <f>if('Ingest Template'!A58="Standard",(IF(OR('Ingest Template'!F58 = "Program Type - Special", 'Ingest Template'!F58 = "Program Type - Live Event"),'Ingest Template'!Q58&amp;"|"&amp;TEXT('Ingest Template'!C58-3, "yyyy-mm-dd")&amp;"|"&amp;TEXT('Ingest Template'!C58+3, "yyyy-mm-dd"),'Ingest Template'!Q58&amp; "|2021-01-01")),(IF(OR('Ingest Template'!F58 = "Program Type - Special", 'Ingest Template'!F58 = "Program Type - Live Event"),'Ingest Template'!Q58&amp; "|"&amp;TEXT('Ingest Template'!C58-3, "yyyy-mm-dd")&amp;"|"&amp;TEXT('Ingest Template'!C58+3, "yyyy-mm-dd"),'Ingest Template'!Q58)))</f>
        <v/>
      </c>
      <c r="AM58" s="35" t="str">
        <f>'Ingest Template'!AC58</f>
        <v/>
      </c>
    </row>
    <row r="59">
      <c r="A59" s="15"/>
      <c r="B59" s="22" t="str">
        <f>'Ingest Template'!C59&amp;IF('Ingest Template'!A59 = "Standard", " - DAR","")</f>
        <v/>
      </c>
      <c r="C59" s="22" t="s">
        <v>83</v>
      </c>
      <c r="D59" s="22" t="str">
        <f t="array" ref="D59">CONCATENATE(INDEX(DropdownLists!$H$2:$H$11,MATCH(1,COUNTIF('Ingest Template'!E59,"*"&amp;DropdownLists!$I$2:$I$11&amp;"*"),0)),CHAR(10),'Ingest Template'!F59,CHAR(10),'Ingest Template'!G59,CHAR(10),VLOOKUP('Ingest Template'!D59,DropdownLists!C:D,2,FALSE))</f>
        <v>#N/A</v>
      </c>
      <c r="E59" s="22" t="str">
        <f>CONCATENATE('Ingest Template'!H59,CHAR(10),'Ingest Template'!I59,CHAR(10),'Ingest Template'!J59,CHAR(10))</f>
        <v>
</v>
      </c>
      <c r="F59" s="35" t="str">
        <f t="array" ref="F59">INDEX(DropdownLists!$O$2:$O$36,MATCH(1,COUNTIF(E59,"*"&amp;DropdownLists!$N$2:$N$36&amp;"*"),0))</f>
        <v/>
      </c>
      <c r="G59" s="35"/>
      <c r="H59" s="22" t="str">
        <f t="array" ref="H59">INDEX(DropdownLists!$E$2:$E$276,MATCH('Ingest Template'!D59,DropdownLists!$C$2:$C$276,0))</f>
        <v>#N/A</v>
      </c>
      <c r="I59" s="22"/>
      <c r="J59" s="22" t="str">
        <f t="array" ref="J59">iF('Ingest Template'!A59="Standard","Pristine Brand",INDEX(DropdownLists!$B$2:$B$246,MATCH('Ingest Template'!D59,DropdownLists!$C$2:$C$246,0)))</f>
        <v>#N/A</v>
      </c>
      <c r="K59" s="22" t="str">
        <f>iF('Ingest Template'!A59="Standard",'Ingest Template'!K59&amp;CHAR(10)&amp;'Ingest Template'!L59,"Competitive View")</f>
        <v>Competitive View</v>
      </c>
      <c r="L59" s="22" t="s">
        <v>95</v>
      </c>
      <c r="M59" s="45" t="str">
        <f>'Ingest Template'!B59</f>
        <v/>
      </c>
      <c r="N59" s="35"/>
      <c r="O59" s="35"/>
      <c r="P59" s="35"/>
      <c r="Q59" s="35"/>
      <c r="R59" s="35" t="str">
        <f>'Ingest Template'!D59</f>
        <v/>
      </c>
      <c r="S59" s="22" t="s">
        <v>101</v>
      </c>
      <c r="T59" s="35" t="str">
        <f>'Ingest Template'!V59</f>
        <v/>
      </c>
      <c r="U59" s="35" t="str">
        <f>'Ingest Template'!W59</f>
        <v/>
      </c>
      <c r="V59" s="35" t="str">
        <f>LOWER(SUBSTITUTE(SUBSTITUTE(SUBSTITUTE(SUBSTITUTE(SUBSTITUTE('Ingest Template'!X59,"https:",""),"www.",""),"/",""),"?hl=en",""),"instagram.com",""))</f>
        <v/>
      </c>
      <c r="W59" s="74" t="str">
        <f t="array" ref="W59">IF(
'Ingest Template'!Y59="",
SUBSTITUTE(
INDEX(DropdownLists!$F$2:$F$277,MATCH('Ingest Template'!D59,DropdownLists!$C$2:$C$277,0)),
CHAR(10),
"|"&amp;'Ingest Template'!C59&amp;CHAR(10)
)&amp;"|"&amp;'Ingest Template'!C59,
SUBSTITUTE(
INDEX(DropdownLists!$F$2:$F$277,MATCH('Ingest Template'!D59,DropdownLists!$C$2:$C$277,0)),
CHAR(10),
"|"&amp;'Ingest Template'!C59&amp;CHAR(10)
)&amp;"|"&amp;'Ingest Template'!C59&amp;CHAR(10)&amp;'Ingest Template'!Y59
)</f>
        <v>#N/A</v>
      </c>
      <c r="X59" s="74" t="str">
        <f>'Ingest Template'!Z59</f>
        <v/>
      </c>
      <c r="Y59" s="35" t="str">
        <f>SUBSTITUTE(SUBSTITUTE(SUBSTITUTE('Ingest Template'!AA59,"http:",""),"https:",""),"/","")</f>
        <v/>
      </c>
      <c r="Z59" s="35" t="str">
        <f t="array" ref="Z59">IF('Ingest Template'!A59="Standard",(IF(ISBLANK('Ingest Template'!AB59),"", 'Ingest Template'!AB59&amp;"|DAR")),(IF(ISBLANK('Ingest Template'!AB59),"", 'Ingest Template'!AB59&amp;"|TV Ops")))</f>
        <v/>
      </c>
      <c r="AA59" s="35"/>
      <c r="AB59" s="35" t="str">
        <f>'Ingest Template'!R59</f>
        <v/>
      </c>
      <c r="AC59" s="35" t="str">
        <f>'Ingest Template'!T59</f>
        <v/>
      </c>
      <c r="AD59" s="35" t="str">
        <f>'Ingest Template'!S59</f>
        <v/>
      </c>
      <c r="AE59" s="35" t="str">
        <f>'Ingest Template'!U59</f>
        <v/>
      </c>
      <c r="AF59" s="22"/>
      <c r="AG59" s="35" t="str">
        <f t="array" ref="AG59">IF('Ingest Template'!A59="Standard",(CONCATENATE(IF(ISBLANK('Ingest Template'!N59),"", 'Ingest Template'!N59&amp;"|DAR"),CHAR(10), IF(ISBLANK('Ingest Template'!O59),"", 'Ingest Template'!O59&amp;"|DAR"),CHAR(10), IF(ISBLANK('Ingest Template'!P59),"", 'Ingest Template'!P59&amp;"|DAR"))),(CONCATENATE(IF(ISBLANK('Ingest Template'!N59),"", 'Ingest Template'!N59&amp;"|TV Ops"),CHAR(10), IF(ISBLANK('Ingest Template'!O59),"", 'Ingest Template'!O59&amp;"|TV Ops"),CHAR(10), IF(ISBLANK('Ingest Template'!P59),"", 'Ingest Template'!P59&amp;"|TV Ops"))))</f>
        <v>
</v>
      </c>
      <c r="AH59" s="35"/>
      <c r="AI59" s="35"/>
      <c r="AJ59" s="117" t="str">
        <f>if('Ingest Template'!A59="Standard",(IF(OR('Ingest Template'!F59 = "Program Type - Special", 'Ingest Template'!F59 = "Program Type - Live Event"),'Ingest Template'!M59&amp; "|DAR|DAR|"&amp;TEXT('Ingest Template'!C59-3, "yyyy-mm-dd")&amp;"|"&amp;TEXT('Ingest Template'!C59+3, "yyyy-mm-dd"),'Ingest Template'!M59&amp; "|DAR|DAR|2021-01-01")),(IF(OR('Ingest Template'!F59 = "Program Type - Special", 'Ingest Template'!F59 = "Program Type - Live Event"),'Ingest Template'!M59&amp; "|Operations - Core Title|Operations - Core Title|"&amp;TEXT('Ingest Template'!C59-3, "yyyy-mm-dd")&amp;"|"&amp;TEXT('Ingest Template'!C59+3, "yyyy-mm-dd"),'Ingest Template'!M59&amp; "|Operations - Core Title|Operations - Core Title")))</f>
        <v>|Operations - Core Title|Operations - Core Title</v>
      </c>
      <c r="AK59" s="35"/>
      <c r="AL59" s="117" t="str">
        <f>if('Ingest Template'!A59="Standard",(IF(OR('Ingest Template'!F59 = "Program Type - Special", 'Ingest Template'!F59 = "Program Type - Live Event"),'Ingest Template'!Q59&amp;"|"&amp;TEXT('Ingest Template'!C59-3, "yyyy-mm-dd")&amp;"|"&amp;TEXT('Ingest Template'!C59+3, "yyyy-mm-dd"),'Ingest Template'!Q59&amp; "|2021-01-01")),(IF(OR('Ingest Template'!F59 = "Program Type - Special", 'Ingest Template'!F59 = "Program Type - Live Event"),'Ingest Template'!Q59&amp; "|"&amp;TEXT('Ingest Template'!C59-3, "yyyy-mm-dd")&amp;"|"&amp;TEXT('Ingest Template'!C59+3, "yyyy-mm-dd"),'Ingest Template'!Q59)))</f>
        <v/>
      </c>
      <c r="AM59" s="35" t="str">
        <f>'Ingest Template'!AC59</f>
        <v/>
      </c>
    </row>
    <row r="60">
      <c r="A60" s="15"/>
      <c r="B60" s="22" t="str">
        <f>'Ingest Template'!C60&amp;IF('Ingest Template'!A60 = "Standard", " - DAR","")</f>
        <v/>
      </c>
      <c r="C60" s="22" t="s">
        <v>83</v>
      </c>
      <c r="D60" s="22" t="str">
        <f t="array" ref="D60">CONCATENATE(INDEX(DropdownLists!$H$2:$H$11,MATCH(1,COUNTIF('Ingest Template'!E60,"*"&amp;DropdownLists!$I$2:$I$11&amp;"*"),0)),CHAR(10),'Ingest Template'!F60,CHAR(10),'Ingest Template'!G60,CHAR(10),VLOOKUP('Ingest Template'!D60,DropdownLists!C:D,2,FALSE))</f>
        <v>#N/A</v>
      </c>
      <c r="E60" s="22" t="str">
        <f>CONCATENATE('Ingest Template'!H60,CHAR(10),'Ingest Template'!I60,CHAR(10),'Ingest Template'!J60,CHAR(10))</f>
        <v>
</v>
      </c>
      <c r="F60" s="35" t="str">
        <f t="array" ref="F60">INDEX(DropdownLists!$O$2:$O$36,MATCH(1,COUNTIF(E60,"*"&amp;DropdownLists!$N$2:$N$36&amp;"*"),0))</f>
        <v/>
      </c>
      <c r="G60" s="35"/>
      <c r="H60" s="22" t="str">
        <f t="array" ref="H60">INDEX(DropdownLists!$E$2:$E$276,MATCH('Ingest Template'!D60,DropdownLists!$C$2:$C$276,0))</f>
        <v>#N/A</v>
      </c>
      <c r="I60" s="22"/>
      <c r="J60" s="22" t="str">
        <f t="array" ref="J60">iF('Ingest Template'!A60="Standard","Pristine Brand",INDEX(DropdownLists!$B$2:$B$246,MATCH('Ingest Template'!D60,DropdownLists!$C$2:$C$246,0)))</f>
        <v>#N/A</v>
      </c>
      <c r="K60" s="22" t="str">
        <f>iF('Ingest Template'!A60="Standard",'Ingest Template'!K60&amp;CHAR(10)&amp;'Ingest Template'!L60,"Competitive View")</f>
        <v>Competitive View</v>
      </c>
      <c r="L60" s="22" t="s">
        <v>95</v>
      </c>
      <c r="M60" s="45" t="str">
        <f>'Ingest Template'!B60</f>
        <v/>
      </c>
      <c r="N60" s="35"/>
      <c r="O60" s="35"/>
      <c r="P60" s="35"/>
      <c r="Q60" s="35"/>
      <c r="R60" s="35" t="str">
        <f>'Ingest Template'!D60</f>
        <v/>
      </c>
      <c r="S60" s="22" t="s">
        <v>101</v>
      </c>
      <c r="T60" s="35" t="str">
        <f>'Ingest Template'!V60</f>
        <v/>
      </c>
      <c r="U60" s="35" t="str">
        <f>'Ingest Template'!W60</f>
        <v/>
      </c>
      <c r="V60" s="35" t="str">
        <f>LOWER(SUBSTITUTE(SUBSTITUTE(SUBSTITUTE(SUBSTITUTE(SUBSTITUTE('Ingest Template'!X60,"https:",""),"www.",""),"/",""),"?hl=en",""),"instagram.com",""))</f>
        <v/>
      </c>
      <c r="W60" s="74" t="str">
        <f t="array" ref="W60">IF(
'Ingest Template'!Y60="",
SUBSTITUTE(
INDEX(DropdownLists!$F$2:$F$277,MATCH('Ingest Template'!D60,DropdownLists!$C$2:$C$277,0)),
CHAR(10),
"|"&amp;'Ingest Template'!C60&amp;CHAR(10)
)&amp;"|"&amp;'Ingest Template'!C60,
SUBSTITUTE(
INDEX(DropdownLists!$F$2:$F$277,MATCH('Ingest Template'!D60,DropdownLists!$C$2:$C$277,0)),
CHAR(10),
"|"&amp;'Ingest Template'!C60&amp;CHAR(10)
)&amp;"|"&amp;'Ingest Template'!C60&amp;CHAR(10)&amp;'Ingest Template'!Y60
)</f>
        <v>#N/A</v>
      </c>
      <c r="X60" s="74" t="str">
        <f>'Ingest Template'!Z60</f>
        <v/>
      </c>
      <c r="Y60" s="35" t="str">
        <f>SUBSTITUTE(SUBSTITUTE(SUBSTITUTE('Ingest Template'!AA60,"http:",""),"https:",""),"/","")</f>
        <v/>
      </c>
      <c r="Z60" s="35" t="str">
        <f t="array" ref="Z60">IF('Ingest Template'!A60="Standard",(IF(ISBLANK('Ingest Template'!AB60),"", 'Ingest Template'!AB60&amp;"|DAR")),(IF(ISBLANK('Ingest Template'!AB60),"", 'Ingest Template'!AB60&amp;"|TV Ops")))</f>
        <v/>
      </c>
      <c r="AA60" s="35"/>
      <c r="AB60" s="35" t="str">
        <f>'Ingest Template'!R60</f>
        <v/>
      </c>
      <c r="AC60" s="35" t="str">
        <f>'Ingest Template'!T60</f>
        <v/>
      </c>
      <c r="AD60" s="35" t="str">
        <f>'Ingest Template'!S60</f>
        <v/>
      </c>
      <c r="AE60" s="35" t="str">
        <f>'Ingest Template'!U60</f>
        <v/>
      </c>
      <c r="AF60" s="22"/>
      <c r="AG60" s="35" t="str">
        <f t="array" ref="AG60">IF('Ingest Template'!A60="Standard",(CONCATENATE(IF(ISBLANK('Ingest Template'!N60),"", 'Ingest Template'!N60&amp;"|DAR"),CHAR(10), IF(ISBLANK('Ingest Template'!O60),"", 'Ingest Template'!O60&amp;"|DAR"),CHAR(10), IF(ISBLANK('Ingest Template'!P60),"", 'Ingest Template'!P60&amp;"|DAR"))),(CONCATENATE(IF(ISBLANK('Ingest Template'!N60),"", 'Ingest Template'!N60&amp;"|TV Ops"),CHAR(10), IF(ISBLANK('Ingest Template'!O60),"", 'Ingest Template'!O60&amp;"|TV Ops"),CHAR(10), IF(ISBLANK('Ingest Template'!P60),"", 'Ingest Template'!P60&amp;"|TV Ops"))))</f>
        <v>
</v>
      </c>
      <c r="AH60" s="35"/>
      <c r="AI60" s="35"/>
      <c r="AJ60" s="117" t="str">
        <f>if('Ingest Template'!A60="Standard",(IF(OR('Ingest Template'!F60 = "Program Type - Special", 'Ingest Template'!F60 = "Program Type - Live Event"),'Ingest Template'!M60&amp; "|DAR|DAR|"&amp;TEXT('Ingest Template'!C60-3, "yyyy-mm-dd")&amp;"|"&amp;TEXT('Ingest Template'!C60+3, "yyyy-mm-dd"),'Ingest Template'!M60&amp; "|DAR|DAR|2021-01-01")),(IF(OR('Ingest Template'!F60 = "Program Type - Special", 'Ingest Template'!F60 = "Program Type - Live Event"),'Ingest Template'!M60&amp; "|Operations - Core Title|Operations - Core Title|"&amp;TEXT('Ingest Template'!C60-3, "yyyy-mm-dd")&amp;"|"&amp;TEXT('Ingest Template'!C60+3, "yyyy-mm-dd"),'Ingest Template'!M60&amp; "|Operations - Core Title|Operations - Core Title")))</f>
        <v>|Operations - Core Title|Operations - Core Title</v>
      </c>
      <c r="AK60" s="35"/>
      <c r="AL60" s="117" t="str">
        <f>if('Ingest Template'!A60="Standard",(IF(OR('Ingest Template'!F60 = "Program Type - Special", 'Ingest Template'!F60 = "Program Type - Live Event"),'Ingest Template'!Q60&amp;"|"&amp;TEXT('Ingest Template'!C60-3, "yyyy-mm-dd")&amp;"|"&amp;TEXT('Ingest Template'!C60+3, "yyyy-mm-dd"),'Ingest Template'!Q60&amp; "|2021-01-01")),(IF(OR('Ingest Template'!F60 = "Program Type - Special", 'Ingest Template'!F60 = "Program Type - Live Event"),'Ingest Template'!Q60&amp; "|"&amp;TEXT('Ingest Template'!C60-3, "yyyy-mm-dd")&amp;"|"&amp;TEXT('Ingest Template'!C60+3, "yyyy-mm-dd"),'Ingest Template'!Q60)))</f>
        <v/>
      </c>
      <c r="AM60" s="35" t="str">
        <f>'Ingest Template'!AC60</f>
        <v/>
      </c>
    </row>
    <row r="61">
      <c r="A61" s="15"/>
      <c r="B61" s="22" t="str">
        <f>'Ingest Template'!C61&amp;IF('Ingest Template'!A61 = "Standard", " - DAR","")</f>
        <v/>
      </c>
      <c r="C61" s="22" t="s">
        <v>83</v>
      </c>
      <c r="D61" s="22" t="str">
        <f t="array" ref="D61">CONCATENATE(INDEX(DropdownLists!$H$2:$H$11,MATCH(1,COUNTIF('Ingest Template'!E61,"*"&amp;DropdownLists!$I$2:$I$11&amp;"*"),0)),CHAR(10),'Ingest Template'!F61,CHAR(10),'Ingest Template'!G61,CHAR(10),VLOOKUP('Ingest Template'!D61,DropdownLists!C:D,2,FALSE))</f>
        <v>#N/A</v>
      </c>
      <c r="E61" s="22" t="str">
        <f>CONCATENATE('Ingest Template'!H61,CHAR(10),'Ingest Template'!I61,CHAR(10),'Ingest Template'!J61,CHAR(10))</f>
        <v>
</v>
      </c>
      <c r="F61" s="35" t="str">
        <f t="array" ref="F61">INDEX(DropdownLists!$O$2:$O$36,MATCH(1,COUNTIF(E61,"*"&amp;DropdownLists!$N$2:$N$36&amp;"*"),0))</f>
        <v/>
      </c>
      <c r="G61" s="35"/>
      <c r="H61" s="22" t="str">
        <f t="array" ref="H61">INDEX(DropdownLists!$E$2:$E$276,MATCH('Ingest Template'!D61,DropdownLists!$C$2:$C$276,0))</f>
        <v>#N/A</v>
      </c>
      <c r="I61" s="22"/>
      <c r="J61" s="22" t="str">
        <f t="array" ref="J61">iF('Ingest Template'!A61="Standard","Pristine Brand",INDEX(DropdownLists!$B$2:$B$246,MATCH('Ingest Template'!D61,DropdownLists!$C$2:$C$246,0)))</f>
        <v>#N/A</v>
      </c>
      <c r="K61" s="22" t="str">
        <f>iF('Ingest Template'!A61="Standard",'Ingest Template'!K61&amp;CHAR(10)&amp;'Ingest Template'!L61,"Competitive View")</f>
        <v>Competitive View</v>
      </c>
      <c r="L61" s="22" t="s">
        <v>95</v>
      </c>
      <c r="M61" s="45" t="str">
        <f>'Ingest Template'!B61</f>
        <v/>
      </c>
      <c r="N61" s="35"/>
      <c r="O61" s="35"/>
      <c r="P61" s="35"/>
      <c r="Q61" s="35"/>
      <c r="R61" s="35" t="str">
        <f>'Ingest Template'!D61</f>
        <v/>
      </c>
      <c r="S61" s="22" t="s">
        <v>101</v>
      </c>
      <c r="T61" s="35" t="str">
        <f>'Ingest Template'!V61</f>
        <v/>
      </c>
      <c r="U61" s="35" t="str">
        <f>'Ingest Template'!W61</f>
        <v/>
      </c>
      <c r="V61" s="35" t="str">
        <f>LOWER(SUBSTITUTE(SUBSTITUTE(SUBSTITUTE(SUBSTITUTE(SUBSTITUTE('Ingest Template'!X61,"https:",""),"www.",""),"/",""),"?hl=en",""),"instagram.com",""))</f>
        <v/>
      </c>
      <c r="W61" s="74" t="str">
        <f t="array" ref="W61">IF(
'Ingest Template'!Y61="",
SUBSTITUTE(
INDEX(DropdownLists!$F$2:$F$277,MATCH('Ingest Template'!D61,DropdownLists!$C$2:$C$277,0)),
CHAR(10),
"|"&amp;'Ingest Template'!C61&amp;CHAR(10)
)&amp;"|"&amp;'Ingest Template'!C61,
SUBSTITUTE(
INDEX(DropdownLists!$F$2:$F$277,MATCH('Ingest Template'!D61,DropdownLists!$C$2:$C$277,0)),
CHAR(10),
"|"&amp;'Ingest Template'!C61&amp;CHAR(10)
)&amp;"|"&amp;'Ingest Template'!C61&amp;CHAR(10)&amp;'Ingest Template'!Y61
)</f>
        <v>#N/A</v>
      </c>
      <c r="X61" s="74" t="str">
        <f>'Ingest Template'!Z61</f>
        <v/>
      </c>
      <c r="Y61" s="35" t="str">
        <f>SUBSTITUTE(SUBSTITUTE(SUBSTITUTE('Ingest Template'!AA61,"http:",""),"https:",""),"/","")</f>
        <v/>
      </c>
      <c r="Z61" s="35" t="str">
        <f t="array" ref="Z61">IF('Ingest Template'!A61="Standard",(IF(ISBLANK('Ingest Template'!AB61),"", 'Ingest Template'!AB61&amp;"|DAR")),(IF(ISBLANK('Ingest Template'!AB61),"", 'Ingest Template'!AB61&amp;"|TV Ops")))</f>
        <v/>
      </c>
      <c r="AA61" s="35"/>
      <c r="AB61" s="35" t="str">
        <f>'Ingest Template'!R61</f>
        <v/>
      </c>
      <c r="AC61" s="35" t="str">
        <f>'Ingest Template'!T61</f>
        <v/>
      </c>
      <c r="AD61" s="35" t="str">
        <f>'Ingest Template'!S61</f>
        <v/>
      </c>
      <c r="AE61" s="35" t="str">
        <f>'Ingest Template'!U61</f>
        <v/>
      </c>
      <c r="AF61" s="22"/>
      <c r="AG61" s="35" t="str">
        <f t="array" ref="AG61">IF('Ingest Template'!A61="Standard",(CONCATENATE(IF(ISBLANK('Ingest Template'!N61),"", 'Ingest Template'!N61&amp;"|DAR"),CHAR(10), IF(ISBLANK('Ingest Template'!O61),"", 'Ingest Template'!O61&amp;"|DAR"),CHAR(10), IF(ISBLANK('Ingest Template'!P61),"", 'Ingest Template'!P61&amp;"|DAR"))),(CONCATENATE(IF(ISBLANK('Ingest Template'!N61),"", 'Ingest Template'!N61&amp;"|TV Ops"),CHAR(10), IF(ISBLANK('Ingest Template'!O61),"", 'Ingest Template'!O61&amp;"|TV Ops"),CHAR(10), IF(ISBLANK('Ingest Template'!P61),"", 'Ingest Template'!P61&amp;"|TV Ops"))))</f>
        <v>
</v>
      </c>
      <c r="AH61" s="35"/>
      <c r="AI61" s="35"/>
      <c r="AJ61" s="117" t="str">
        <f>if('Ingest Template'!A61="Standard",(IF(OR('Ingest Template'!F61 = "Program Type - Special", 'Ingest Template'!F61 = "Program Type - Live Event"),'Ingest Template'!M61&amp; "|DAR|DAR|"&amp;TEXT('Ingest Template'!C61-3, "yyyy-mm-dd")&amp;"|"&amp;TEXT('Ingest Template'!C61+3, "yyyy-mm-dd"),'Ingest Template'!M61&amp; "|DAR|DAR|2021-01-01")),(IF(OR('Ingest Template'!F61 = "Program Type - Special", 'Ingest Template'!F61 = "Program Type - Live Event"),'Ingest Template'!M61&amp; "|Operations - Core Title|Operations - Core Title|"&amp;TEXT('Ingest Template'!C61-3, "yyyy-mm-dd")&amp;"|"&amp;TEXT('Ingest Template'!C61+3, "yyyy-mm-dd"),'Ingest Template'!M61&amp; "|Operations - Core Title|Operations - Core Title")))</f>
        <v>|Operations - Core Title|Operations - Core Title</v>
      </c>
      <c r="AK61" s="35"/>
      <c r="AL61" s="117" t="str">
        <f>if('Ingest Template'!A61="Standard",(IF(OR('Ingest Template'!F61 = "Program Type - Special", 'Ingest Template'!F61 = "Program Type - Live Event"),'Ingest Template'!Q61&amp;"|"&amp;TEXT('Ingest Template'!C61-3, "yyyy-mm-dd")&amp;"|"&amp;TEXT('Ingest Template'!C61+3, "yyyy-mm-dd"),'Ingest Template'!Q61&amp; "|2021-01-01")),(IF(OR('Ingest Template'!F61 = "Program Type - Special", 'Ingest Template'!F61 = "Program Type - Live Event"),'Ingest Template'!Q61&amp; "|"&amp;TEXT('Ingest Template'!C61-3, "yyyy-mm-dd")&amp;"|"&amp;TEXT('Ingest Template'!C61+3, "yyyy-mm-dd"),'Ingest Template'!Q61)))</f>
        <v/>
      </c>
      <c r="AM61" s="35" t="str">
        <f>'Ingest Template'!AC61</f>
        <v/>
      </c>
    </row>
    <row r="62">
      <c r="A62" s="15"/>
      <c r="B62" s="22" t="str">
        <f>'Ingest Template'!C62&amp;IF('Ingest Template'!A62 = "Standard", " - DAR","")</f>
        <v/>
      </c>
      <c r="C62" s="22" t="s">
        <v>83</v>
      </c>
      <c r="D62" s="22" t="str">
        <f t="array" ref="D62">CONCATENATE(INDEX(DropdownLists!$H$2:$H$11,MATCH(1,COUNTIF('Ingest Template'!E62,"*"&amp;DropdownLists!$I$2:$I$11&amp;"*"),0)),CHAR(10),'Ingest Template'!F62,CHAR(10),'Ingest Template'!G62,CHAR(10),VLOOKUP('Ingest Template'!D62,DropdownLists!C:D,2,FALSE))</f>
        <v>#N/A</v>
      </c>
      <c r="E62" s="22" t="str">
        <f>CONCATENATE('Ingest Template'!H62,CHAR(10),'Ingest Template'!I62,CHAR(10),'Ingest Template'!J62,CHAR(10))</f>
        <v>
</v>
      </c>
      <c r="F62" s="35" t="str">
        <f t="array" ref="F62">INDEX(DropdownLists!$O$2:$O$36,MATCH(1,COUNTIF(E62,"*"&amp;DropdownLists!$N$2:$N$36&amp;"*"),0))</f>
        <v/>
      </c>
      <c r="G62" s="35"/>
      <c r="H62" s="22" t="str">
        <f t="array" ref="H62">INDEX(DropdownLists!$E$2:$E$276,MATCH('Ingest Template'!D62,DropdownLists!$C$2:$C$276,0))</f>
        <v>#N/A</v>
      </c>
      <c r="I62" s="22"/>
      <c r="J62" s="22" t="str">
        <f t="array" ref="J62">iF('Ingest Template'!A62="Standard","Pristine Brand",INDEX(DropdownLists!$B$2:$B$246,MATCH('Ingest Template'!D62,DropdownLists!$C$2:$C$246,0)))</f>
        <v>#N/A</v>
      </c>
      <c r="K62" s="22" t="str">
        <f>iF('Ingest Template'!A62="Standard",'Ingest Template'!K62&amp;CHAR(10)&amp;'Ingest Template'!L62,"Competitive View")</f>
        <v>Competitive View</v>
      </c>
      <c r="L62" s="22" t="s">
        <v>95</v>
      </c>
      <c r="M62" s="45" t="str">
        <f>'Ingest Template'!B62</f>
        <v/>
      </c>
      <c r="N62" s="35"/>
      <c r="O62" s="35"/>
      <c r="P62" s="35"/>
      <c r="Q62" s="35"/>
      <c r="R62" s="35" t="str">
        <f>'Ingest Template'!D62</f>
        <v/>
      </c>
      <c r="S62" s="22" t="s">
        <v>101</v>
      </c>
      <c r="T62" s="35" t="str">
        <f>'Ingest Template'!V62</f>
        <v/>
      </c>
      <c r="U62" s="35" t="str">
        <f>'Ingest Template'!W62</f>
        <v/>
      </c>
      <c r="V62" s="35" t="str">
        <f>LOWER(SUBSTITUTE(SUBSTITUTE(SUBSTITUTE(SUBSTITUTE(SUBSTITUTE('Ingest Template'!X62,"https:",""),"www.",""),"/",""),"?hl=en",""),"instagram.com",""))</f>
        <v/>
      </c>
      <c r="W62" s="74" t="str">
        <f t="array" ref="W62">IF(
'Ingest Template'!Y62="",
SUBSTITUTE(
INDEX(DropdownLists!$F$2:$F$277,MATCH('Ingest Template'!D62,DropdownLists!$C$2:$C$277,0)),
CHAR(10),
"|"&amp;'Ingest Template'!C62&amp;CHAR(10)
)&amp;"|"&amp;'Ingest Template'!C62,
SUBSTITUTE(
INDEX(DropdownLists!$F$2:$F$277,MATCH('Ingest Template'!D62,DropdownLists!$C$2:$C$277,0)),
CHAR(10),
"|"&amp;'Ingest Template'!C62&amp;CHAR(10)
)&amp;"|"&amp;'Ingest Template'!C62&amp;CHAR(10)&amp;'Ingest Template'!Y62
)</f>
        <v>#N/A</v>
      </c>
      <c r="X62" s="74" t="str">
        <f>'Ingest Template'!Z62</f>
        <v/>
      </c>
      <c r="Y62" s="35" t="str">
        <f>SUBSTITUTE(SUBSTITUTE(SUBSTITUTE('Ingest Template'!AA62,"http:",""),"https:",""),"/","")</f>
        <v/>
      </c>
      <c r="Z62" s="35" t="str">
        <f t="array" ref="Z62">IF('Ingest Template'!A62="Standard",(IF(ISBLANK('Ingest Template'!AB62),"", 'Ingest Template'!AB62&amp;"|DAR")),(IF(ISBLANK('Ingest Template'!AB62),"", 'Ingest Template'!AB62&amp;"|TV Ops")))</f>
        <v/>
      </c>
      <c r="AA62" s="35"/>
      <c r="AB62" s="35" t="str">
        <f>'Ingest Template'!R62</f>
        <v/>
      </c>
      <c r="AC62" s="35" t="str">
        <f>'Ingest Template'!T62</f>
        <v/>
      </c>
      <c r="AD62" s="35" t="str">
        <f>'Ingest Template'!S62</f>
        <v/>
      </c>
      <c r="AE62" s="35" t="str">
        <f>'Ingest Template'!U62</f>
        <v/>
      </c>
      <c r="AF62" s="22"/>
      <c r="AG62" s="35" t="str">
        <f t="array" ref="AG62">IF('Ingest Template'!A62="Standard",(CONCATENATE(IF(ISBLANK('Ingest Template'!N62),"", 'Ingest Template'!N62&amp;"|DAR"),CHAR(10), IF(ISBLANK('Ingest Template'!O62),"", 'Ingest Template'!O62&amp;"|DAR"),CHAR(10), IF(ISBLANK('Ingest Template'!P62),"", 'Ingest Template'!P62&amp;"|DAR"))),(CONCATENATE(IF(ISBLANK('Ingest Template'!N62),"", 'Ingest Template'!N62&amp;"|TV Ops"),CHAR(10), IF(ISBLANK('Ingest Template'!O62),"", 'Ingest Template'!O62&amp;"|TV Ops"),CHAR(10), IF(ISBLANK('Ingest Template'!P62),"", 'Ingest Template'!P62&amp;"|TV Ops"))))</f>
        <v>
</v>
      </c>
      <c r="AH62" s="35"/>
      <c r="AI62" s="35"/>
      <c r="AJ62" s="117" t="str">
        <f>if('Ingest Template'!A62="Standard",(IF(OR('Ingest Template'!F62 = "Program Type - Special", 'Ingest Template'!F62 = "Program Type - Live Event"),'Ingest Template'!M62&amp; "|DAR|DAR|"&amp;TEXT('Ingest Template'!C62-3, "yyyy-mm-dd")&amp;"|"&amp;TEXT('Ingest Template'!C62+3, "yyyy-mm-dd"),'Ingest Template'!M62&amp; "|DAR|DAR|2021-01-01")),(IF(OR('Ingest Template'!F62 = "Program Type - Special", 'Ingest Template'!F62 = "Program Type - Live Event"),'Ingest Template'!M62&amp; "|Operations - Core Title|Operations - Core Title|"&amp;TEXT('Ingest Template'!C62-3, "yyyy-mm-dd")&amp;"|"&amp;TEXT('Ingest Template'!C62+3, "yyyy-mm-dd"),'Ingest Template'!M62&amp; "|Operations - Core Title|Operations - Core Title")))</f>
        <v>|Operations - Core Title|Operations - Core Title</v>
      </c>
      <c r="AK62" s="35"/>
      <c r="AL62" s="117" t="str">
        <f>if('Ingest Template'!A62="Standard",(IF(OR('Ingest Template'!F62 = "Program Type - Special", 'Ingest Template'!F62 = "Program Type - Live Event"),'Ingest Template'!Q62&amp;"|"&amp;TEXT('Ingest Template'!C62-3, "yyyy-mm-dd")&amp;"|"&amp;TEXT('Ingest Template'!C62+3, "yyyy-mm-dd"),'Ingest Template'!Q62&amp; "|2021-01-01")),(IF(OR('Ingest Template'!F62 = "Program Type - Special", 'Ingest Template'!F62 = "Program Type - Live Event"),'Ingest Template'!Q62&amp; "|"&amp;TEXT('Ingest Template'!C62-3, "yyyy-mm-dd")&amp;"|"&amp;TEXT('Ingest Template'!C62+3, "yyyy-mm-dd"),'Ingest Template'!Q62)))</f>
        <v/>
      </c>
      <c r="AM62" s="35" t="str">
        <f>'Ingest Template'!AC62</f>
        <v/>
      </c>
    </row>
    <row r="63">
      <c r="A63" s="15"/>
      <c r="B63" s="22" t="str">
        <f>'Ingest Template'!C63&amp;IF('Ingest Template'!A63 = "Standard", " - DAR","")</f>
        <v/>
      </c>
      <c r="C63" s="22" t="s">
        <v>83</v>
      </c>
      <c r="D63" s="22" t="str">
        <f t="array" ref="D63">CONCATENATE(INDEX(DropdownLists!$H$2:$H$11,MATCH(1,COUNTIF('Ingest Template'!E63,"*"&amp;DropdownLists!$I$2:$I$11&amp;"*"),0)),CHAR(10),'Ingest Template'!F63,CHAR(10),'Ingest Template'!G63,CHAR(10),VLOOKUP('Ingest Template'!D63,DropdownLists!C:D,2,FALSE))</f>
        <v>#N/A</v>
      </c>
      <c r="E63" s="22" t="str">
        <f>CONCATENATE('Ingest Template'!H63,CHAR(10),'Ingest Template'!I63,CHAR(10),'Ingest Template'!J63,CHAR(10))</f>
        <v>
</v>
      </c>
      <c r="F63" s="35" t="str">
        <f t="array" ref="F63">INDEX(DropdownLists!$O$2:$O$36,MATCH(1,COUNTIF(E63,"*"&amp;DropdownLists!$N$2:$N$36&amp;"*"),0))</f>
        <v/>
      </c>
      <c r="G63" s="35"/>
      <c r="H63" s="22" t="str">
        <f t="array" ref="H63">INDEX(DropdownLists!$E$2:$E$276,MATCH('Ingest Template'!D63,DropdownLists!$C$2:$C$276,0))</f>
        <v>#N/A</v>
      </c>
      <c r="I63" s="22"/>
      <c r="J63" s="22" t="str">
        <f t="array" ref="J63">iF('Ingest Template'!A63="Standard","Pristine Brand",INDEX(DropdownLists!$B$2:$B$246,MATCH('Ingest Template'!D63,DropdownLists!$C$2:$C$246,0)))</f>
        <v>#N/A</v>
      </c>
      <c r="K63" s="22" t="str">
        <f>iF('Ingest Template'!A63="Standard",'Ingest Template'!K63&amp;CHAR(10)&amp;'Ingest Template'!L63,"Competitive View")</f>
        <v>Competitive View</v>
      </c>
      <c r="L63" s="22" t="s">
        <v>95</v>
      </c>
      <c r="M63" s="45" t="str">
        <f>'Ingest Template'!B63</f>
        <v/>
      </c>
      <c r="N63" s="35"/>
      <c r="O63" s="35"/>
      <c r="P63" s="35"/>
      <c r="Q63" s="35"/>
      <c r="R63" s="35" t="str">
        <f>'Ingest Template'!D63</f>
        <v/>
      </c>
      <c r="S63" s="22" t="s">
        <v>101</v>
      </c>
      <c r="T63" s="35" t="str">
        <f>'Ingest Template'!V63</f>
        <v/>
      </c>
      <c r="U63" s="35" t="str">
        <f>'Ingest Template'!W63</f>
        <v/>
      </c>
      <c r="V63" s="35" t="str">
        <f>LOWER(SUBSTITUTE(SUBSTITUTE(SUBSTITUTE(SUBSTITUTE(SUBSTITUTE('Ingest Template'!X63,"https:",""),"www.",""),"/",""),"?hl=en",""),"instagram.com",""))</f>
        <v/>
      </c>
      <c r="W63" s="74" t="str">
        <f t="array" ref="W63">IF(
'Ingest Template'!Y63="",
SUBSTITUTE(
INDEX(DropdownLists!$F$2:$F$277,MATCH('Ingest Template'!D63,DropdownLists!$C$2:$C$277,0)),
CHAR(10),
"|"&amp;'Ingest Template'!C63&amp;CHAR(10)
)&amp;"|"&amp;'Ingest Template'!C63,
SUBSTITUTE(
INDEX(DropdownLists!$F$2:$F$277,MATCH('Ingest Template'!D63,DropdownLists!$C$2:$C$277,0)),
CHAR(10),
"|"&amp;'Ingest Template'!C63&amp;CHAR(10)
)&amp;"|"&amp;'Ingest Template'!C63&amp;CHAR(10)&amp;'Ingest Template'!Y63
)</f>
        <v>#N/A</v>
      </c>
      <c r="X63" s="74" t="str">
        <f>'Ingest Template'!Z63</f>
        <v/>
      </c>
      <c r="Y63" s="35" t="str">
        <f>SUBSTITUTE(SUBSTITUTE(SUBSTITUTE('Ingest Template'!AA63,"http:",""),"https:",""),"/","")</f>
        <v/>
      </c>
      <c r="Z63" s="35" t="str">
        <f t="array" ref="Z63">IF('Ingest Template'!A63="Standard",(IF(ISBLANK('Ingest Template'!AB63),"", 'Ingest Template'!AB63&amp;"|DAR")),(IF(ISBLANK('Ingest Template'!AB63),"", 'Ingest Template'!AB63&amp;"|TV Ops")))</f>
        <v/>
      </c>
      <c r="AA63" s="35"/>
      <c r="AB63" s="35" t="str">
        <f>'Ingest Template'!R63</f>
        <v/>
      </c>
      <c r="AC63" s="35" t="str">
        <f>'Ingest Template'!T63</f>
        <v/>
      </c>
      <c r="AD63" s="35" t="str">
        <f>'Ingest Template'!S63</f>
        <v/>
      </c>
      <c r="AE63" s="35" t="str">
        <f>'Ingest Template'!U63</f>
        <v/>
      </c>
      <c r="AF63" s="22"/>
      <c r="AG63" s="35" t="str">
        <f t="array" ref="AG63">IF('Ingest Template'!A63="Standard",(CONCATENATE(IF(ISBLANK('Ingest Template'!N63),"", 'Ingest Template'!N63&amp;"|DAR"),CHAR(10), IF(ISBLANK('Ingest Template'!O63),"", 'Ingest Template'!O63&amp;"|DAR"),CHAR(10), IF(ISBLANK('Ingest Template'!P63),"", 'Ingest Template'!P63&amp;"|DAR"))),(CONCATENATE(IF(ISBLANK('Ingest Template'!N63),"", 'Ingest Template'!N63&amp;"|TV Ops"),CHAR(10), IF(ISBLANK('Ingest Template'!O63),"", 'Ingest Template'!O63&amp;"|TV Ops"),CHAR(10), IF(ISBLANK('Ingest Template'!P63),"", 'Ingest Template'!P63&amp;"|TV Ops"))))</f>
        <v>
</v>
      </c>
      <c r="AH63" s="35"/>
      <c r="AI63" s="35"/>
      <c r="AJ63" s="117" t="str">
        <f>if('Ingest Template'!A63="Standard",(IF(OR('Ingest Template'!F63 = "Program Type - Special", 'Ingest Template'!F63 = "Program Type - Live Event"),'Ingest Template'!M63&amp; "|DAR|DAR|"&amp;TEXT('Ingest Template'!C63-3, "yyyy-mm-dd")&amp;"|"&amp;TEXT('Ingest Template'!C63+3, "yyyy-mm-dd"),'Ingest Template'!M63&amp; "|DAR|DAR|2021-01-01")),(IF(OR('Ingest Template'!F63 = "Program Type - Special", 'Ingest Template'!F63 = "Program Type - Live Event"),'Ingest Template'!M63&amp; "|Operations - Core Title|Operations - Core Title|"&amp;TEXT('Ingest Template'!C63-3, "yyyy-mm-dd")&amp;"|"&amp;TEXT('Ingest Template'!C63+3, "yyyy-mm-dd"),'Ingest Template'!M63&amp; "|Operations - Core Title|Operations - Core Title")))</f>
        <v>|Operations - Core Title|Operations - Core Title</v>
      </c>
      <c r="AK63" s="35"/>
      <c r="AL63" s="117" t="str">
        <f>if('Ingest Template'!A63="Standard",(IF(OR('Ingest Template'!F63 = "Program Type - Special", 'Ingest Template'!F63 = "Program Type - Live Event"),'Ingest Template'!Q63&amp;"|"&amp;TEXT('Ingest Template'!C63-3, "yyyy-mm-dd")&amp;"|"&amp;TEXT('Ingest Template'!C63+3, "yyyy-mm-dd"),'Ingest Template'!Q63&amp; "|2021-01-01")),(IF(OR('Ingest Template'!F63 = "Program Type - Special", 'Ingest Template'!F63 = "Program Type - Live Event"),'Ingest Template'!Q63&amp; "|"&amp;TEXT('Ingest Template'!C63-3, "yyyy-mm-dd")&amp;"|"&amp;TEXT('Ingest Template'!C63+3, "yyyy-mm-dd"),'Ingest Template'!Q63)))</f>
        <v/>
      </c>
      <c r="AM63" s="35" t="str">
        <f>'Ingest Template'!AC63</f>
        <v/>
      </c>
    </row>
    <row r="64">
      <c r="A64" s="15"/>
      <c r="B64" s="22" t="str">
        <f>'Ingest Template'!C64&amp;IF('Ingest Template'!A64 = "Standard", " - DAR","")</f>
        <v/>
      </c>
      <c r="C64" s="22" t="s">
        <v>83</v>
      </c>
      <c r="D64" s="22" t="str">
        <f t="array" ref="D64">CONCATENATE(INDEX(DropdownLists!$H$2:$H$11,MATCH(1,COUNTIF('Ingest Template'!E64,"*"&amp;DropdownLists!$I$2:$I$11&amp;"*"),0)),CHAR(10),'Ingest Template'!F64,CHAR(10),'Ingest Template'!G64,CHAR(10),VLOOKUP('Ingest Template'!D64,DropdownLists!C:D,2,FALSE))</f>
        <v>#N/A</v>
      </c>
      <c r="E64" s="22" t="str">
        <f>CONCATENATE('Ingest Template'!H64,CHAR(10),'Ingest Template'!I64,CHAR(10),'Ingest Template'!J64,CHAR(10))</f>
        <v>
</v>
      </c>
      <c r="F64" s="35" t="str">
        <f t="array" ref="F64">INDEX(DropdownLists!$O$2:$O$36,MATCH(1,COUNTIF(E64,"*"&amp;DropdownLists!$N$2:$N$36&amp;"*"),0))</f>
        <v/>
      </c>
      <c r="G64" s="35"/>
      <c r="H64" s="22" t="str">
        <f t="array" ref="H64">INDEX(DropdownLists!$E$2:$E$276,MATCH('Ingest Template'!D64,DropdownLists!$C$2:$C$276,0))</f>
        <v>#N/A</v>
      </c>
      <c r="I64" s="22"/>
      <c r="J64" s="22" t="str">
        <f t="array" ref="J64">iF('Ingest Template'!A64="Standard","Pristine Brand",INDEX(DropdownLists!$B$2:$B$246,MATCH('Ingest Template'!D64,DropdownLists!$C$2:$C$246,0)))</f>
        <v>#N/A</v>
      </c>
      <c r="K64" s="22" t="str">
        <f>iF('Ingest Template'!A64="Standard",'Ingest Template'!K64&amp;CHAR(10)&amp;'Ingest Template'!L64,"Competitive View")</f>
        <v>Competitive View</v>
      </c>
      <c r="L64" s="22" t="s">
        <v>95</v>
      </c>
      <c r="M64" s="45" t="str">
        <f>'Ingest Template'!B64</f>
        <v/>
      </c>
      <c r="N64" s="35"/>
      <c r="O64" s="35"/>
      <c r="P64" s="35"/>
      <c r="Q64" s="35"/>
      <c r="R64" s="35" t="str">
        <f>'Ingest Template'!D64</f>
        <v/>
      </c>
      <c r="S64" s="22" t="s">
        <v>101</v>
      </c>
      <c r="T64" s="35" t="str">
        <f>'Ingest Template'!V64</f>
        <v/>
      </c>
      <c r="U64" s="35" t="str">
        <f>'Ingest Template'!W64</f>
        <v/>
      </c>
      <c r="V64" s="35" t="str">
        <f>LOWER(SUBSTITUTE(SUBSTITUTE(SUBSTITUTE(SUBSTITUTE(SUBSTITUTE('Ingest Template'!X64,"https:",""),"www.",""),"/",""),"?hl=en",""),"instagram.com",""))</f>
        <v/>
      </c>
      <c r="W64" s="74" t="str">
        <f t="array" ref="W64">IF(
'Ingest Template'!Y64="",
SUBSTITUTE(
INDEX(DropdownLists!$F$2:$F$277,MATCH('Ingest Template'!D64,DropdownLists!$C$2:$C$277,0)),
CHAR(10),
"|"&amp;'Ingest Template'!C64&amp;CHAR(10)
)&amp;"|"&amp;'Ingest Template'!C64,
SUBSTITUTE(
INDEX(DropdownLists!$F$2:$F$277,MATCH('Ingest Template'!D64,DropdownLists!$C$2:$C$277,0)),
CHAR(10),
"|"&amp;'Ingest Template'!C64&amp;CHAR(10)
)&amp;"|"&amp;'Ingest Template'!C64&amp;CHAR(10)&amp;'Ingest Template'!Y64
)</f>
        <v>#N/A</v>
      </c>
      <c r="X64" s="74" t="str">
        <f>'Ingest Template'!Z64</f>
        <v/>
      </c>
      <c r="Y64" s="35" t="str">
        <f>SUBSTITUTE(SUBSTITUTE(SUBSTITUTE('Ingest Template'!AA64,"http:",""),"https:",""),"/","")</f>
        <v/>
      </c>
      <c r="Z64" s="35" t="str">
        <f t="array" ref="Z64">IF('Ingest Template'!A64="Standard",(IF(ISBLANK('Ingest Template'!AB64),"", 'Ingest Template'!AB64&amp;"|DAR")),(IF(ISBLANK('Ingest Template'!AB64),"", 'Ingest Template'!AB64&amp;"|TV Ops")))</f>
        <v/>
      </c>
      <c r="AA64" s="35"/>
      <c r="AB64" s="35" t="str">
        <f>'Ingest Template'!R64</f>
        <v/>
      </c>
      <c r="AC64" s="35" t="str">
        <f>'Ingest Template'!T64</f>
        <v/>
      </c>
      <c r="AD64" s="35" t="str">
        <f>'Ingest Template'!S64</f>
        <v/>
      </c>
      <c r="AE64" s="35" t="str">
        <f>'Ingest Template'!U64</f>
        <v/>
      </c>
      <c r="AF64" s="22"/>
      <c r="AG64" s="35" t="str">
        <f t="array" ref="AG64">IF('Ingest Template'!A64="Standard",(CONCATENATE(IF(ISBLANK('Ingest Template'!N64),"", 'Ingest Template'!N64&amp;"|DAR"),CHAR(10), IF(ISBLANK('Ingest Template'!O64),"", 'Ingest Template'!O64&amp;"|DAR"),CHAR(10), IF(ISBLANK('Ingest Template'!P64),"", 'Ingest Template'!P64&amp;"|DAR"))),(CONCATENATE(IF(ISBLANK('Ingest Template'!N64),"", 'Ingest Template'!N64&amp;"|TV Ops"),CHAR(10), IF(ISBLANK('Ingest Template'!O64),"", 'Ingest Template'!O64&amp;"|TV Ops"),CHAR(10), IF(ISBLANK('Ingest Template'!P64),"", 'Ingest Template'!P64&amp;"|TV Ops"))))</f>
        <v>
</v>
      </c>
      <c r="AH64" s="35"/>
      <c r="AI64" s="35"/>
      <c r="AJ64" s="117" t="str">
        <f>if('Ingest Template'!A64="Standard",(IF(OR('Ingest Template'!F64 = "Program Type - Special", 'Ingest Template'!F64 = "Program Type - Live Event"),'Ingest Template'!M64&amp; "|DAR|DAR|"&amp;TEXT('Ingest Template'!C64-3, "yyyy-mm-dd")&amp;"|"&amp;TEXT('Ingest Template'!C64+3, "yyyy-mm-dd"),'Ingest Template'!M64&amp; "|DAR|DAR|2021-01-01")),(IF(OR('Ingest Template'!F64 = "Program Type - Special", 'Ingest Template'!F64 = "Program Type - Live Event"),'Ingest Template'!M64&amp; "|Operations - Core Title|Operations - Core Title|"&amp;TEXT('Ingest Template'!C64-3, "yyyy-mm-dd")&amp;"|"&amp;TEXT('Ingest Template'!C64+3, "yyyy-mm-dd"),'Ingest Template'!M64&amp; "|Operations - Core Title|Operations - Core Title")))</f>
        <v>|Operations - Core Title|Operations - Core Title</v>
      </c>
      <c r="AK64" s="35"/>
      <c r="AL64" s="117" t="str">
        <f>if('Ingest Template'!A64="Standard",(IF(OR('Ingest Template'!F64 = "Program Type - Special", 'Ingest Template'!F64 = "Program Type - Live Event"),'Ingest Template'!Q64&amp;"|"&amp;TEXT('Ingest Template'!C64-3, "yyyy-mm-dd")&amp;"|"&amp;TEXT('Ingest Template'!C64+3, "yyyy-mm-dd"),'Ingest Template'!Q64&amp; "|2021-01-01")),(IF(OR('Ingest Template'!F64 = "Program Type - Special", 'Ingest Template'!F64 = "Program Type - Live Event"),'Ingest Template'!Q64&amp; "|"&amp;TEXT('Ingest Template'!C64-3, "yyyy-mm-dd")&amp;"|"&amp;TEXT('Ingest Template'!C64+3, "yyyy-mm-dd"),'Ingest Template'!Q64)))</f>
        <v/>
      </c>
      <c r="AM64" s="35" t="str">
        <f>'Ingest Template'!AC64</f>
        <v/>
      </c>
    </row>
    <row r="65">
      <c r="A65" s="15"/>
      <c r="B65" s="22" t="str">
        <f>'Ingest Template'!C65&amp;IF('Ingest Template'!A65 = "Standard", " - DAR","")</f>
        <v/>
      </c>
      <c r="C65" s="22" t="s">
        <v>83</v>
      </c>
      <c r="D65" s="22" t="str">
        <f t="array" ref="D65">CONCATENATE(INDEX(DropdownLists!$H$2:$H$11,MATCH(1,COUNTIF('Ingest Template'!E65,"*"&amp;DropdownLists!$I$2:$I$11&amp;"*"),0)),CHAR(10),'Ingest Template'!F65,CHAR(10),'Ingest Template'!G65,CHAR(10),VLOOKUP('Ingest Template'!D65,DropdownLists!C:D,2,FALSE))</f>
        <v>#N/A</v>
      </c>
      <c r="E65" s="22" t="str">
        <f>CONCATENATE('Ingest Template'!H65,CHAR(10),'Ingest Template'!I65,CHAR(10),'Ingest Template'!J65,CHAR(10))</f>
        <v>
</v>
      </c>
      <c r="F65" s="35" t="str">
        <f t="array" ref="F65">INDEX(DropdownLists!$O$2:$O$36,MATCH(1,COUNTIF(E65,"*"&amp;DropdownLists!$N$2:$N$36&amp;"*"),0))</f>
        <v/>
      </c>
      <c r="G65" s="35"/>
      <c r="H65" s="22" t="str">
        <f t="array" ref="H65">INDEX(DropdownLists!$E$2:$E$276,MATCH('Ingest Template'!D65,DropdownLists!$C$2:$C$276,0))</f>
        <v>#N/A</v>
      </c>
      <c r="I65" s="22"/>
      <c r="J65" s="22" t="str">
        <f t="array" ref="J65">iF('Ingest Template'!A65="Standard","Pristine Brand",INDEX(DropdownLists!$B$2:$B$246,MATCH('Ingest Template'!D65,DropdownLists!$C$2:$C$246,0)))</f>
        <v>#N/A</v>
      </c>
      <c r="K65" s="22" t="str">
        <f>iF('Ingest Template'!A65="Standard",'Ingest Template'!K65&amp;CHAR(10)&amp;'Ingest Template'!L65,"Competitive View")</f>
        <v>Competitive View</v>
      </c>
      <c r="L65" s="22" t="s">
        <v>95</v>
      </c>
      <c r="M65" s="45" t="str">
        <f>'Ingest Template'!B65</f>
        <v/>
      </c>
      <c r="N65" s="35"/>
      <c r="O65" s="35"/>
      <c r="P65" s="35"/>
      <c r="Q65" s="35"/>
      <c r="R65" s="35" t="str">
        <f>'Ingest Template'!D65</f>
        <v/>
      </c>
      <c r="S65" s="22" t="s">
        <v>101</v>
      </c>
      <c r="T65" s="35" t="str">
        <f>'Ingest Template'!V65</f>
        <v/>
      </c>
      <c r="U65" s="35" t="str">
        <f>'Ingest Template'!W65</f>
        <v/>
      </c>
      <c r="V65" s="35" t="str">
        <f>LOWER(SUBSTITUTE(SUBSTITUTE(SUBSTITUTE(SUBSTITUTE(SUBSTITUTE('Ingest Template'!X65,"https:",""),"www.",""),"/",""),"?hl=en",""),"instagram.com",""))</f>
        <v/>
      </c>
      <c r="W65" s="74" t="str">
        <f t="array" ref="W65">IF(
'Ingest Template'!Y65="",
SUBSTITUTE(
INDEX(DropdownLists!$F$2:$F$277,MATCH('Ingest Template'!D65,DropdownLists!$C$2:$C$277,0)),
CHAR(10),
"|"&amp;'Ingest Template'!C65&amp;CHAR(10)
)&amp;"|"&amp;'Ingest Template'!C65,
SUBSTITUTE(
INDEX(DropdownLists!$F$2:$F$277,MATCH('Ingest Template'!D65,DropdownLists!$C$2:$C$277,0)),
CHAR(10),
"|"&amp;'Ingest Template'!C65&amp;CHAR(10)
)&amp;"|"&amp;'Ingest Template'!C65&amp;CHAR(10)&amp;'Ingest Template'!Y65
)</f>
        <v>#N/A</v>
      </c>
      <c r="X65" s="74" t="str">
        <f>'Ingest Template'!Z65</f>
        <v/>
      </c>
      <c r="Y65" s="35" t="str">
        <f>SUBSTITUTE(SUBSTITUTE(SUBSTITUTE('Ingest Template'!AA65,"http:",""),"https:",""),"/","")</f>
        <v/>
      </c>
      <c r="Z65" s="35" t="str">
        <f t="array" ref="Z65">IF('Ingest Template'!A65="Standard",(IF(ISBLANK('Ingest Template'!AB65),"", 'Ingest Template'!AB65&amp;"|DAR")),(IF(ISBLANK('Ingest Template'!AB65),"", 'Ingest Template'!AB65&amp;"|TV Ops")))</f>
        <v/>
      </c>
      <c r="AA65" s="35"/>
      <c r="AB65" s="35" t="str">
        <f>'Ingest Template'!R65</f>
        <v/>
      </c>
      <c r="AC65" s="35" t="str">
        <f>'Ingest Template'!T65</f>
        <v/>
      </c>
      <c r="AD65" s="35" t="str">
        <f>'Ingest Template'!S65</f>
        <v/>
      </c>
      <c r="AE65" s="35" t="str">
        <f>'Ingest Template'!U65</f>
        <v/>
      </c>
      <c r="AF65" s="22"/>
      <c r="AG65" s="35" t="str">
        <f t="array" ref="AG65">IF('Ingest Template'!A65="Standard",(CONCATENATE(IF(ISBLANK('Ingest Template'!N65),"", 'Ingest Template'!N65&amp;"|DAR"),CHAR(10), IF(ISBLANK('Ingest Template'!O65),"", 'Ingest Template'!O65&amp;"|DAR"),CHAR(10), IF(ISBLANK('Ingest Template'!P65),"", 'Ingest Template'!P65&amp;"|DAR"))),(CONCATENATE(IF(ISBLANK('Ingest Template'!N65),"", 'Ingest Template'!N65&amp;"|TV Ops"),CHAR(10), IF(ISBLANK('Ingest Template'!O65),"", 'Ingest Template'!O65&amp;"|TV Ops"),CHAR(10), IF(ISBLANK('Ingest Template'!P65),"", 'Ingest Template'!P65&amp;"|TV Ops"))))</f>
        <v>
</v>
      </c>
      <c r="AH65" s="35"/>
      <c r="AI65" s="35"/>
      <c r="AJ65" s="117" t="str">
        <f>if('Ingest Template'!A65="Standard",(IF(OR('Ingest Template'!F65 = "Program Type - Special", 'Ingest Template'!F65 = "Program Type - Live Event"),'Ingest Template'!M65&amp; "|DAR|DAR|"&amp;TEXT('Ingest Template'!C65-3, "yyyy-mm-dd")&amp;"|"&amp;TEXT('Ingest Template'!C65+3, "yyyy-mm-dd"),'Ingest Template'!M65&amp; "|DAR|DAR|2021-01-01")),(IF(OR('Ingest Template'!F65 = "Program Type - Special", 'Ingest Template'!F65 = "Program Type - Live Event"),'Ingest Template'!M65&amp; "|Operations - Core Title|Operations - Core Title|"&amp;TEXT('Ingest Template'!C65-3, "yyyy-mm-dd")&amp;"|"&amp;TEXT('Ingest Template'!C65+3, "yyyy-mm-dd"),'Ingest Template'!M65&amp; "|Operations - Core Title|Operations - Core Title")))</f>
        <v>|Operations - Core Title|Operations - Core Title</v>
      </c>
      <c r="AK65" s="35"/>
      <c r="AL65" s="117" t="str">
        <f>if('Ingest Template'!A65="Standard",(IF(OR('Ingest Template'!F65 = "Program Type - Special", 'Ingest Template'!F65 = "Program Type - Live Event"),'Ingest Template'!Q65&amp;"|"&amp;TEXT('Ingest Template'!C65-3, "yyyy-mm-dd")&amp;"|"&amp;TEXT('Ingest Template'!C65+3, "yyyy-mm-dd"),'Ingest Template'!Q65&amp; "|2021-01-01")),(IF(OR('Ingest Template'!F65 = "Program Type - Special", 'Ingest Template'!F65 = "Program Type - Live Event"),'Ingest Template'!Q65&amp; "|"&amp;TEXT('Ingest Template'!C65-3, "yyyy-mm-dd")&amp;"|"&amp;TEXT('Ingest Template'!C65+3, "yyyy-mm-dd"),'Ingest Template'!Q65)))</f>
        <v/>
      </c>
      <c r="AM65" s="35" t="str">
        <f>'Ingest Template'!AC65</f>
        <v/>
      </c>
    </row>
    <row r="66">
      <c r="A66" s="15"/>
      <c r="B66" s="22" t="str">
        <f>'Ingest Template'!C66&amp;IF('Ingest Template'!A66 = "Standard", " - DAR","")</f>
        <v/>
      </c>
      <c r="C66" s="22" t="s">
        <v>83</v>
      </c>
      <c r="D66" s="22" t="str">
        <f t="array" ref="D66">CONCATENATE(INDEX(DropdownLists!$H$2:$H$11,MATCH(1,COUNTIF('Ingest Template'!E66,"*"&amp;DropdownLists!$I$2:$I$11&amp;"*"),0)),CHAR(10),'Ingest Template'!F66,CHAR(10),'Ingest Template'!G66,CHAR(10),VLOOKUP('Ingest Template'!D66,DropdownLists!C:D,2,FALSE))</f>
        <v>#N/A</v>
      </c>
      <c r="E66" s="22" t="str">
        <f>CONCATENATE('Ingest Template'!H66,CHAR(10),'Ingest Template'!I66,CHAR(10),'Ingest Template'!J66,CHAR(10))</f>
        <v>
</v>
      </c>
      <c r="F66" s="35" t="str">
        <f t="array" ref="F66">INDEX(DropdownLists!$O$2:$O$36,MATCH(1,COUNTIF(E66,"*"&amp;DropdownLists!$N$2:$N$36&amp;"*"),0))</f>
        <v/>
      </c>
      <c r="G66" s="35"/>
      <c r="H66" s="22" t="str">
        <f t="array" ref="H66">INDEX(DropdownLists!$E$2:$E$276,MATCH('Ingest Template'!D66,DropdownLists!$C$2:$C$276,0))</f>
        <v>#N/A</v>
      </c>
      <c r="I66" s="22"/>
      <c r="J66" s="22" t="str">
        <f t="array" ref="J66">iF('Ingest Template'!A66="Standard","Pristine Brand",INDEX(DropdownLists!$B$2:$B$246,MATCH('Ingest Template'!D66,DropdownLists!$C$2:$C$246,0)))</f>
        <v>#N/A</v>
      </c>
      <c r="K66" s="22" t="str">
        <f>iF('Ingest Template'!A66="Standard",'Ingest Template'!K66&amp;CHAR(10)&amp;'Ingest Template'!L66,"Competitive View")</f>
        <v>Competitive View</v>
      </c>
      <c r="L66" s="22" t="s">
        <v>95</v>
      </c>
      <c r="M66" s="45" t="str">
        <f>'Ingest Template'!B66</f>
        <v/>
      </c>
      <c r="N66" s="35"/>
      <c r="O66" s="35"/>
      <c r="P66" s="35"/>
      <c r="Q66" s="35"/>
      <c r="R66" s="35" t="str">
        <f>'Ingest Template'!D66</f>
        <v/>
      </c>
      <c r="S66" s="22" t="s">
        <v>101</v>
      </c>
      <c r="T66" s="35" t="str">
        <f>'Ingest Template'!V66</f>
        <v/>
      </c>
      <c r="U66" s="35" t="str">
        <f>'Ingest Template'!W66</f>
        <v/>
      </c>
      <c r="V66" s="35" t="str">
        <f>LOWER(SUBSTITUTE(SUBSTITUTE(SUBSTITUTE(SUBSTITUTE(SUBSTITUTE('Ingest Template'!X66,"https:",""),"www.",""),"/",""),"?hl=en",""),"instagram.com",""))</f>
        <v/>
      </c>
      <c r="W66" s="74" t="str">
        <f t="array" ref="W66">IF(
'Ingest Template'!Y66="",
SUBSTITUTE(
INDEX(DropdownLists!$F$2:$F$277,MATCH('Ingest Template'!D66,DropdownLists!$C$2:$C$277,0)),
CHAR(10),
"|"&amp;'Ingest Template'!C66&amp;CHAR(10)
)&amp;"|"&amp;'Ingest Template'!C66,
SUBSTITUTE(
INDEX(DropdownLists!$F$2:$F$277,MATCH('Ingest Template'!D66,DropdownLists!$C$2:$C$277,0)),
CHAR(10),
"|"&amp;'Ingest Template'!C66&amp;CHAR(10)
)&amp;"|"&amp;'Ingest Template'!C66&amp;CHAR(10)&amp;'Ingest Template'!Y66
)</f>
        <v>#N/A</v>
      </c>
      <c r="X66" s="74" t="str">
        <f>'Ingest Template'!Z66</f>
        <v/>
      </c>
      <c r="Y66" s="35" t="str">
        <f>SUBSTITUTE(SUBSTITUTE(SUBSTITUTE('Ingest Template'!AA66,"http:",""),"https:",""),"/","")</f>
        <v/>
      </c>
      <c r="Z66" s="35" t="str">
        <f t="array" ref="Z66">IF('Ingest Template'!A66="Standard",(IF(ISBLANK('Ingest Template'!AB66),"", 'Ingest Template'!AB66&amp;"|DAR")),(IF(ISBLANK('Ingest Template'!AB66),"", 'Ingest Template'!AB66&amp;"|TV Ops")))</f>
        <v/>
      </c>
      <c r="AA66" s="35"/>
      <c r="AB66" s="35" t="str">
        <f>'Ingest Template'!R66</f>
        <v/>
      </c>
      <c r="AC66" s="35" t="str">
        <f>'Ingest Template'!T66</f>
        <v/>
      </c>
      <c r="AD66" s="35" t="str">
        <f>'Ingest Template'!S66</f>
        <v/>
      </c>
      <c r="AE66" s="35" t="str">
        <f>'Ingest Template'!U66</f>
        <v/>
      </c>
      <c r="AF66" s="22"/>
      <c r="AG66" s="35" t="str">
        <f t="array" ref="AG66">IF('Ingest Template'!A66="Standard",(CONCATENATE(IF(ISBLANK('Ingest Template'!N66),"", 'Ingest Template'!N66&amp;"|DAR"),CHAR(10), IF(ISBLANK('Ingest Template'!O66),"", 'Ingest Template'!O66&amp;"|DAR"),CHAR(10), IF(ISBLANK('Ingest Template'!P66),"", 'Ingest Template'!P66&amp;"|DAR"))),(CONCATENATE(IF(ISBLANK('Ingest Template'!N66),"", 'Ingest Template'!N66&amp;"|TV Ops"),CHAR(10), IF(ISBLANK('Ingest Template'!O66),"", 'Ingest Template'!O66&amp;"|TV Ops"),CHAR(10), IF(ISBLANK('Ingest Template'!P66),"", 'Ingest Template'!P66&amp;"|TV Ops"))))</f>
        <v>
</v>
      </c>
      <c r="AH66" s="35"/>
      <c r="AI66" s="35"/>
      <c r="AJ66" s="117" t="str">
        <f>if('Ingest Template'!A66="Standard",(IF(OR('Ingest Template'!F66 = "Program Type - Special", 'Ingest Template'!F66 = "Program Type - Live Event"),'Ingest Template'!M66&amp; "|DAR|DAR|"&amp;TEXT('Ingest Template'!C66-3, "yyyy-mm-dd")&amp;"|"&amp;TEXT('Ingest Template'!C66+3, "yyyy-mm-dd"),'Ingest Template'!M66&amp; "|DAR|DAR|2021-01-01")),(IF(OR('Ingest Template'!F66 = "Program Type - Special", 'Ingest Template'!F66 = "Program Type - Live Event"),'Ingest Template'!M66&amp; "|Operations - Core Title|Operations - Core Title|"&amp;TEXT('Ingest Template'!C66-3, "yyyy-mm-dd")&amp;"|"&amp;TEXT('Ingest Template'!C66+3, "yyyy-mm-dd"),'Ingest Template'!M66&amp; "|Operations - Core Title|Operations - Core Title")))</f>
        <v>|Operations - Core Title|Operations - Core Title</v>
      </c>
      <c r="AK66" s="35"/>
      <c r="AL66" s="117" t="str">
        <f>if('Ingest Template'!A66="Standard",(IF(OR('Ingest Template'!F66 = "Program Type - Special", 'Ingest Template'!F66 = "Program Type - Live Event"),'Ingest Template'!Q66&amp;"|"&amp;TEXT('Ingest Template'!C66-3, "yyyy-mm-dd")&amp;"|"&amp;TEXT('Ingest Template'!C66+3, "yyyy-mm-dd"),'Ingest Template'!Q66&amp; "|2021-01-01")),(IF(OR('Ingest Template'!F66 = "Program Type - Special", 'Ingest Template'!F66 = "Program Type - Live Event"),'Ingest Template'!Q66&amp; "|"&amp;TEXT('Ingest Template'!C66-3, "yyyy-mm-dd")&amp;"|"&amp;TEXT('Ingest Template'!C66+3, "yyyy-mm-dd"),'Ingest Template'!Q66)))</f>
        <v/>
      </c>
      <c r="AM66" s="35" t="str">
        <f>'Ingest Template'!AC66</f>
        <v/>
      </c>
    </row>
    <row r="67">
      <c r="A67" s="15"/>
      <c r="B67" s="22" t="str">
        <f>'Ingest Template'!C67&amp;IF('Ingest Template'!A67 = "Standard", " - DAR","")</f>
        <v/>
      </c>
      <c r="C67" s="22" t="s">
        <v>83</v>
      </c>
      <c r="D67" s="22" t="str">
        <f t="array" ref="D67">CONCATENATE(INDEX(DropdownLists!$H$2:$H$11,MATCH(1,COUNTIF('Ingest Template'!E67,"*"&amp;DropdownLists!$I$2:$I$11&amp;"*"),0)),CHAR(10),'Ingest Template'!F67,CHAR(10),'Ingest Template'!G67,CHAR(10),VLOOKUP('Ingest Template'!D67,DropdownLists!C:D,2,FALSE))</f>
        <v>#N/A</v>
      </c>
      <c r="E67" s="22" t="str">
        <f>CONCATENATE('Ingest Template'!H67,CHAR(10),'Ingest Template'!I67,CHAR(10),'Ingest Template'!J67,CHAR(10))</f>
        <v>
</v>
      </c>
      <c r="F67" s="35" t="str">
        <f t="array" ref="F67">INDEX(DropdownLists!$O$2:$O$36,MATCH(1,COUNTIF(E67,"*"&amp;DropdownLists!$N$2:$N$36&amp;"*"),0))</f>
        <v/>
      </c>
      <c r="G67" s="35"/>
      <c r="H67" s="22" t="str">
        <f t="array" ref="H67">INDEX(DropdownLists!$E$2:$E$276,MATCH('Ingest Template'!D67,DropdownLists!$C$2:$C$276,0))</f>
        <v>#N/A</v>
      </c>
      <c r="I67" s="22"/>
      <c r="J67" s="22" t="str">
        <f t="array" ref="J67">iF('Ingest Template'!A67="Standard","Pristine Brand",INDEX(DropdownLists!$B$2:$B$246,MATCH('Ingest Template'!D67,DropdownLists!$C$2:$C$246,0)))</f>
        <v>#N/A</v>
      </c>
      <c r="K67" s="22" t="str">
        <f>iF('Ingest Template'!A67="Standard",'Ingest Template'!K67&amp;CHAR(10)&amp;'Ingest Template'!L67,"Competitive View")</f>
        <v>Competitive View</v>
      </c>
      <c r="L67" s="22" t="s">
        <v>95</v>
      </c>
      <c r="M67" s="45" t="str">
        <f>'Ingest Template'!B67</f>
        <v/>
      </c>
      <c r="N67" s="35"/>
      <c r="O67" s="35"/>
      <c r="P67" s="35"/>
      <c r="Q67" s="35"/>
      <c r="R67" s="35" t="str">
        <f>'Ingest Template'!D67</f>
        <v/>
      </c>
      <c r="S67" s="22" t="s">
        <v>101</v>
      </c>
      <c r="T67" s="35" t="str">
        <f>'Ingest Template'!V67</f>
        <v/>
      </c>
      <c r="U67" s="35" t="str">
        <f>'Ingest Template'!W67</f>
        <v/>
      </c>
      <c r="V67" s="35" t="str">
        <f>LOWER(SUBSTITUTE(SUBSTITUTE(SUBSTITUTE(SUBSTITUTE(SUBSTITUTE('Ingest Template'!X67,"https:",""),"www.",""),"/",""),"?hl=en",""),"instagram.com",""))</f>
        <v/>
      </c>
      <c r="W67" s="74" t="str">
        <f t="array" ref="W67">IF(
'Ingest Template'!Y67="",
SUBSTITUTE(
INDEX(DropdownLists!$F$2:$F$277,MATCH('Ingest Template'!D67,DropdownLists!$C$2:$C$277,0)),
CHAR(10),
"|"&amp;'Ingest Template'!C67&amp;CHAR(10)
)&amp;"|"&amp;'Ingest Template'!C67,
SUBSTITUTE(
INDEX(DropdownLists!$F$2:$F$277,MATCH('Ingest Template'!D67,DropdownLists!$C$2:$C$277,0)),
CHAR(10),
"|"&amp;'Ingest Template'!C67&amp;CHAR(10)
)&amp;"|"&amp;'Ingest Template'!C67&amp;CHAR(10)&amp;'Ingest Template'!Y67
)</f>
        <v>#N/A</v>
      </c>
      <c r="X67" s="74" t="str">
        <f>'Ingest Template'!Z67</f>
        <v/>
      </c>
      <c r="Y67" s="35" t="str">
        <f>SUBSTITUTE(SUBSTITUTE(SUBSTITUTE('Ingest Template'!AA67,"http:",""),"https:",""),"/","")</f>
        <v/>
      </c>
      <c r="Z67" s="35" t="str">
        <f t="array" ref="Z67">IF('Ingest Template'!A67="Standard",(IF(ISBLANK('Ingest Template'!AB67),"", 'Ingest Template'!AB67&amp;"|DAR")),(IF(ISBLANK('Ingest Template'!AB67),"", 'Ingest Template'!AB67&amp;"|TV Ops")))</f>
        <v/>
      </c>
      <c r="AA67" s="35"/>
      <c r="AB67" s="35" t="str">
        <f>'Ingest Template'!R67</f>
        <v/>
      </c>
      <c r="AC67" s="35" t="str">
        <f>'Ingest Template'!T67</f>
        <v/>
      </c>
      <c r="AD67" s="35" t="str">
        <f>'Ingest Template'!S67</f>
        <v/>
      </c>
      <c r="AE67" s="35" t="str">
        <f>'Ingest Template'!U67</f>
        <v/>
      </c>
      <c r="AF67" s="22"/>
      <c r="AG67" s="35" t="str">
        <f t="array" ref="AG67">IF('Ingest Template'!A67="Standard",(CONCATENATE(IF(ISBLANK('Ingest Template'!N67),"", 'Ingest Template'!N67&amp;"|DAR"),CHAR(10), IF(ISBLANK('Ingest Template'!O67),"", 'Ingest Template'!O67&amp;"|DAR"),CHAR(10), IF(ISBLANK('Ingest Template'!P67),"", 'Ingest Template'!P67&amp;"|DAR"))),(CONCATENATE(IF(ISBLANK('Ingest Template'!N67),"", 'Ingest Template'!N67&amp;"|TV Ops"),CHAR(10), IF(ISBLANK('Ingest Template'!O67),"", 'Ingest Template'!O67&amp;"|TV Ops"),CHAR(10), IF(ISBLANK('Ingest Template'!P67),"", 'Ingest Template'!P67&amp;"|TV Ops"))))</f>
        <v>
</v>
      </c>
      <c r="AH67" s="35"/>
      <c r="AI67" s="35"/>
      <c r="AJ67" s="117" t="str">
        <f>if('Ingest Template'!A67="Standard",(IF(OR('Ingest Template'!F67 = "Program Type - Special", 'Ingest Template'!F67 = "Program Type - Live Event"),'Ingest Template'!M67&amp; "|DAR|DAR|"&amp;TEXT('Ingest Template'!C67-3, "yyyy-mm-dd")&amp;"|"&amp;TEXT('Ingest Template'!C67+3, "yyyy-mm-dd"),'Ingest Template'!M67&amp; "|DAR|DAR|2021-01-01")),(IF(OR('Ingest Template'!F67 = "Program Type - Special", 'Ingest Template'!F67 = "Program Type - Live Event"),'Ingest Template'!M67&amp; "|Operations - Core Title|Operations - Core Title|"&amp;TEXT('Ingest Template'!C67-3, "yyyy-mm-dd")&amp;"|"&amp;TEXT('Ingest Template'!C67+3, "yyyy-mm-dd"),'Ingest Template'!M67&amp; "|Operations - Core Title|Operations - Core Title")))</f>
        <v>|Operations - Core Title|Operations - Core Title</v>
      </c>
      <c r="AK67" s="35"/>
      <c r="AL67" s="117" t="str">
        <f>if('Ingest Template'!A67="Standard",(IF(OR('Ingest Template'!F67 = "Program Type - Special", 'Ingest Template'!F67 = "Program Type - Live Event"),'Ingest Template'!Q67&amp;"|"&amp;TEXT('Ingest Template'!C67-3, "yyyy-mm-dd")&amp;"|"&amp;TEXT('Ingest Template'!C67+3, "yyyy-mm-dd"),'Ingest Template'!Q67&amp; "|2021-01-01")),(IF(OR('Ingest Template'!F67 = "Program Type - Special", 'Ingest Template'!F67 = "Program Type - Live Event"),'Ingest Template'!Q67&amp; "|"&amp;TEXT('Ingest Template'!C67-3, "yyyy-mm-dd")&amp;"|"&amp;TEXT('Ingest Template'!C67+3, "yyyy-mm-dd"),'Ingest Template'!Q67)))</f>
        <v/>
      </c>
      <c r="AM67" s="35" t="str">
        <f>'Ingest Template'!AC67</f>
        <v/>
      </c>
    </row>
    <row r="68">
      <c r="A68" s="15"/>
      <c r="B68" s="22" t="str">
        <f>'Ingest Template'!C68&amp;IF('Ingest Template'!A68 = "Standard", " - DAR","")</f>
        <v/>
      </c>
      <c r="C68" s="22" t="s">
        <v>83</v>
      </c>
      <c r="D68" s="22" t="str">
        <f t="array" ref="D68">CONCATENATE(INDEX(DropdownLists!$H$2:$H$11,MATCH(1,COUNTIF('Ingest Template'!E68,"*"&amp;DropdownLists!$I$2:$I$11&amp;"*"),0)),CHAR(10),'Ingest Template'!F68,CHAR(10),'Ingest Template'!G68,CHAR(10),VLOOKUP('Ingest Template'!D68,DropdownLists!C:D,2,FALSE))</f>
        <v>#N/A</v>
      </c>
      <c r="E68" s="22" t="str">
        <f>CONCATENATE('Ingest Template'!H68,CHAR(10),'Ingest Template'!I68,CHAR(10),'Ingest Template'!J68,CHAR(10))</f>
        <v>
</v>
      </c>
      <c r="F68" s="35" t="str">
        <f t="array" ref="F68">INDEX(DropdownLists!$O$2:$O$36,MATCH(1,COUNTIF(E68,"*"&amp;DropdownLists!$N$2:$N$36&amp;"*"),0))</f>
        <v/>
      </c>
      <c r="G68" s="35"/>
      <c r="H68" s="22" t="str">
        <f t="array" ref="H68">INDEX(DropdownLists!$E$2:$E$276,MATCH('Ingest Template'!D68,DropdownLists!$C$2:$C$276,0))</f>
        <v>#N/A</v>
      </c>
      <c r="I68" s="22"/>
      <c r="J68" s="22" t="str">
        <f t="array" ref="J68">iF('Ingest Template'!A68="Standard","Pristine Brand",INDEX(DropdownLists!$B$2:$B$246,MATCH('Ingest Template'!D68,DropdownLists!$C$2:$C$246,0)))</f>
        <v>#N/A</v>
      </c>
      <c r="K68" s="22" t="str">
        <f>iF('Ingest Template'!A68="Standard",'Ingest Template'!K68&amp;CHAR(10)&amp;'Ingest Template'!L68,"Competitive View")</f>
        <v>Competitive View</v>
      </c>
      <c r="L68" s="22" t="s">
        <v>95</v>
      </c>
      <c r="M68" s="45" t="str">
        <f>'Ingest Template'!B68</f>
        <v/>
      </c>
      <c r="N68" s="35"/>
      <c r="O68" s="35"/>
      <c r="P68" s="35"/>
      <c r="Q68" s="35"/>
      <c r="R68" s="35" t="str">
        <f>'Ingest Template'!D68</f>
        <v/>
      </c>
      <c r="S68" s="22" t="s">
        <v>101</v>
      </c>
      <c r="T68" s="35" t="str">
        <f>'Ingest Template'!V68</f>
        <v/>
      </c>
      <c r="U68" s="35" t="str">
        <f>'Ingest Template'!W68</f>
        <v/>
      </c>
      <c r="V68" s="35" t="str">
        <f>LOWER(SUBSTITUTE(SUBSTITUTE(SUBSTITUTE(SUBSTITUTE(SUBSTITUTE('Ingest Template'!X68,"https:",""),"www.",""),"/",""),"?hl=en",""),"instagram.com",""))</f>
        <v/>
      </c>
      <c r="W68" s="74" t="str">
        <f t="array" ref="W68">IF(
'Ingest Template'!Y68="",
SUBSTITUTE(
INDEX(DropdownLists!$F$2:$F$277,MATCH('Ingest Template'!D68,DropdownLists!$C$2:$C$277,0)),
CHAR(10),
"|"&amp;'Ingest Template'!C68&amp;CHAR(10)
)&amp;"|"&amp;'Ingest Template'!C68,
SUBSTITUTE(
INDEX(DropdownLists!$F$2:$F$277,MATCH('Ingest Template'!D68,DropdownLists!$C$2:$C$277,0)),
CHAR(10),
"|"&amp;'Ingest Template'!C68&amp;CHAR(10)
)&amp;"|"&amp;'Ingest Template'!C68&amp;CHAR(10)&amp;'Ingest Template'!Y68
)</f>
        <v>#N/A</v>
      </c>
      <c r="X68" s="74" t="str">
        <f>'Ingest Template'!Z68</f>
        <v/>
      </c>
      <c r="Y68" s="35" t="str">
        <f>SUBSTITUTE(SUBSTITUTE(SUBSTITUTE('Ingest Template'!AA68,"http:",""),"https:",""),"/","")</f>
        <v/>
      </c>
      <c r="Z68" s="35" t="str">
        <f t="array" ref="Z68">IF('Ingest Template'!A68="Standard",(IF(ISBLANK('Ingest Template'!AB68),"", 'Ingest Template'!AB68&amp;"|DAR")),(IF(ISBLANK('Ingest Template'!AB68),"", 'Ingest Template'!AB68&amp;"|TV Ops")))</f>
        <v/>
      </c>
      <c r="AA68" s="35"/>
      <c r="AB68" s="35" t="str">
        <f>'Ingest Template'!R68</f>
        <v/>
      </c>
      <c r="AC68" s="35" t="str">
        <f>'Ingest Template'!T68</f>
        <v/>
      </c>
      <c r="AD68" s="35" t="str">
        <f>'Ingest Template'!S68</f>
        <v/>
      </c>
      <c r="AE68" s="35" t="str">
        <f>'Ingest Template'!U68</f>
        <v/>
      </c>
      <c r="AF68" s="22"/>
      <c r="AG68" s="35" t="str">
        <f t="array" ref="AG68">IF('Ingest Template'!A68="Standard",(CONCATENATE(IF(ISBLANK('Ingest Template'!N68),"", 'Ingest Template'!N68&amp;"|DAR"),CHAR(10), IF(ISBLANK('Ingest Template'!O68),"", 'Ingest Template'!O68&amp;"|DAR"),CHAR(10), IF(ISBLANK('Ingest Template'!P68),"", 'Ingest Template'!P68&amp;"|DAR"))),(CONCATENATE(IF(ISBLANK('Ingest Template'!N68),"", 'Ingest Template'!N68&amp;"|TV Ops"),CHAR(10), IF(ISBLANK('Ingest Template'!O68),"", 'Ingest Template'!O68&amp;"|TV Ops"),CHAR(10), IF(ISBLANK('Ingest Template'!P68),"", 'Ingest Template'!P68&amp;"|TV Ops"))))</f>
        <v>
</v>
      </c>
      <c r="AH68" s="35"/>
      <c r="AI68" s="35"/>
      <c r="AJ68" s="117" t="str">
        <f>if('Ingest Template'!A68="Standard",(IF(OR('Ingest Template'!F68 = "Program Type - Special", 'Ingest Template'!F68 = "Program Type - Live Event"),'Ingest Template'!M68&amp; "|DAR|DAR|"&amp;TEXT('Ingest Template'!C68-3, "yyyy-mm-dd")&amp;"|"&amp;TEXT('Ingest Template'!C68+3, "yyyy-mm-dd"),'Ingest Template'!M68&amp; "|DAR|DAR|2021-01-01")),(IF(OR('Ingest Template'!F68 = "Program Type - Special", 'Ingest Template'!F68 = "Program Type - Live Event"),'Ingest Template'!M68&amp; "|Operations - Core Title|Operations - Core Title|"&amp;TEXT('Ingest Template'!C68-3, "yyyy-mm-dd")&amp;"|"&amp;TEXT('Ingest Template'!C68+3, "yyyy-mm-dd"),'Ingest Template'!M68&amp; "|Operations - Core Title|Operations - Core Title")))</f>
        <v>|Operations - Core Title|Operations - Core Title</v>
      </c>
      <c r="AK68" s="35"/>
      <c r="AL68" s="117" t="str">
        <f>if('Ingest Template'!A68="Standard",(IF(OR('Ingest Template'!F68 = "Program Type - Special", 'Ingest Template'!F68 = "Program Type - Live Event"),'Ingest Template'!Q68&amp;"|"&amp;TEXT('Ingest Template'!C68-3, "yyyy-mm-dd")&amp;"|"&amp;TEXT('Ingest Template'!C68+3, "yyyy-mm-dd"),'Ingest Template'!Q68&amp; "|2021-01-01")),(IF(OR('Ingest Template'!F68 = "Program Type - Special", 'Ingest Template'!F68 = "Program Type - Live Event"),'Ingest Template'!Q68&amp; "|"&amp;TEXT('Ingest Template'!C68-3, "yyyy-mm-dd")&amp;"|"&amp;TEXT('Ingest Template'!C68+3, "yyyy-mm-dd"),'Ingest Template'!Q68)))</f>
        <v/>
      </c>
      <c r="AM68" s="35" t="str">
        <f>'Ingest Template'!AC68</f>
        <v/>
      </c>
    </row>
    <row r="69">
      <c r="A69" s="15"/>
      <c r="B69" s="22" t="str">
        <f>'Ingest Template'!C69&amp;IF('Ingest Template'!A69 = "Standard", " - DAR","")</f>
        <v/>
      </c>
      <c r="C69" s="22" t="s">
        <v>83</v>
      </c>
      <c r="D69" s="22" t="str">
        <f t="array" ref="D69">CONCATENATE(INDEX(DropdownLists!$H$2:$H$11,MATCH(1,COUNTIF('Ingest Template'!E69,"*"&amp;DropdownLists!$I$2:$I$11&amp;"*"),0)),CHAR(10),'Ingest Template'!F69,CHAR(10),'Ingest Template'!G69,CHAR(10),VLOOKUP('Ingest Template'!D69,DropdownLists!C:D,2,FALSE))</f>
        <v>#N/A</v>
      </c>
      <c r="E69" s="22" t="str">
        <f>CONCATENATE('Ingest Template'!H69,CHAR(10),'Ingest Template'!I69,CHAR(10),'Ingest Template'!J69,CHAR(10))</f>
        <v>
</v>
      </c>
      <c r="F69" s="35" t="str">
        <f t="array" ref="F69">INDEX(DropdownLists!$O$2:$O$36,MATCH(1,COUNTIF(E69,"*"&amp;DropdownLists!$N$2:$N$36&amp;"*"),0))</f>
        <v/>
      </c>
      <c r="G69" s="35"/>
      <c r="H69" s="22" t="str">
        <f t="array" ref="H69">INDEX(DropdownLists!$E$2:$E$276,MATCH('Ingest Template'!D69,DropdownLists!$C$2:$C$276,0))</f>
        <v>#N/A</v>
      </c>
      <c r="I69" s="22"/>
      <c r="J69" s="22" t="str">
        <f t="array" ref="J69">iF('Ingest Template'!A69="Standard","Pristine Brand",INDEX(DropdownLists!$B$2:$B$246,MATCH('Ingest Template'!D69,DropdownLists!$C$2:$C$246,0)))</f>
        <v>#N/A</v>
      </c>
      <c r="K69" s="22" t="str">
        <f>iF('Ingest Template'!A69="Standard",'Ingest Template'!K69&amp;CHAR(10)&amp;'Ingest Template'!L69,"Competitive View")</f>
        <v>Competitive View</v>
      </c>
      <c r="L69" s="22" t="s">
        <v>95</v>
      </c>
      <c r="M69" s="45" t="str">
        <f>'Ingest Template'!B69</f>
        <v/>
      </c>
      <c r="N69" s="35"/>
      <c r="O69" s="35"/>
      <c r="P69" s="35"/>
      <c r="Q69" s="35"/>
      <c r="R69" s="35" t="str">
        <f>'Ingest Template'!D69</f>
        <v/>
      </c>
      <c r="S69" s="22" t="s">
        <v>101</v>
      </c>
      <c r="T69" s="35" t="str">
        <f>'Ingest Template'!V69</f>
        <v/>
      </c>
      <c r="U69" s="35" t="str">
        <f>'Ingest Template'!W69</f>
        <v/>
      </c>
      <c r="V69" s="35" t="str">
        <f>LOWER(SUBSTITUTE(SUBSTITUTE(SUBSTITUTE(SUBSTITUTE(SUBSTITUTE('Ingest Template'!X69,"https:",""),"www.",""),"/",""),"?hl=en",""),"instagram.com",""))</f>
        <v/>
      </c>
      <c r="W69" s="74" t="str">
        <f t="array" ref="W69">IF(
'Ingest Template'!Y69="",
SUBSTITUTE(
INDEX(DropdownLists!$F$2:$F$277,MATCH('Ingest Template'!D69,DropdownLists!$C$2:$C$277,0)),
CHAR(10),
"|"&amp;'Ingest Template'!C69&amp;CHAR(10)
)&amp;"|"&amp;'Ingest Template'!C69,
SUBSTITUTE(
INDEX(DropdownLists!$F$2:$F$277,MATCH('Ingest Template'!D69,DropdownLists!$C$2:$C$277,0)),
CHAR(10),
"|"&amp;'Ingest Template'!C69&amp;CHAR(10)
)&amp;"|"&amp;'Ingest Template'!C69&amp;CHAR(10)&amp;'Ingest Template'!Y69
)</f>
        <v>#N/A</v>
      </c>
      <c r="X69" s="74" t="str">
        <f>'Ingest Template'!Z69</f>
        <v/>
      </c>
      <c r="Y69" s="35" t="str">
        <f>SUBSTITUTE(SUBSTITUTE(SUBSTITUTE('Ingest Template'!AA69,"http:",""),"https:",""),"/","")</f>
        <v/>
      </c>
      <c r="Z69" s="35" t="str">
        <f t="array" ref="Z69">IF('Ingest Template'!A69="Standard",(IF(ISBLANK('Ingest Template'!AB69),"", 'Ingest Template'!AB69&amp;"|DAR")),(IF(ISBLANK('Ingest Template'!AB69),"", 'Ingest Template'!AB69&amp;"|TV Ops")))</f>
        <v/>
      </c>
      <c r="AA69" s="35"/>
      <c r="AB69" s="35" t="str">
        <f>'Ingest Template'!R69</f>
        <v/>
      </c>
      <c r="AC69" s="35" t="str">
        <f>'Ingest Template'!T69</f>
        <v/>
      </c>
      <c r="AD69" s="35" t="str">
        <f>'Ingest Template'!S69</f>
        <v/>
      </c>
      <c r="AE69" s="35" t="str">
        <f>'Ingest Template'!U69</f>
        <v/>
      </c>
      <c r="AF69" s="22"/>
      <c r="AG69" s="35" t="str">
        <f t="array" ref="AG69">IF('Ingest Template'!A69="Standard",(CONCATENATE(IF(ISBLANK('Ingest Template'!N69),"", 'Ingest Template'!N69&amp;"|DAR"),CHAR(10), IF(ISBLANK('Ingest Template'!O69),"", 'Ingest Template'!O69&amp;"|DAR"),CHAR(10), IF(ISBLANK('Ingest Template'!P69),"", 'Ingest Template'!P69&amp;"|DAR"))),(CONCATENATE(IF(ISBLANK('Ingest Template'!N69),"", 'Ingest Template'!N69&amp;"|TV Ops"),CHAR(10), IF(ISBLANK('Ingest Template'!O69),"", 'Ingest Template'!O69&amp;"|TV Ops"),CHAR(10), IF(ISBLANK('Ingest Template'!P69),"", 'Ingest Template'!P69&amp;"|TV Ops"))))</f>
        <v>
</v>
      </c>
      <c r="AH69" s="35"/>
      <c r="AI69" s="35"/>
      <c r="AJ69" s="117" t="str">
        <f>if('Ingest Template'!A69="Standard",(IF(OR('Ingest Template'!F69 = "Program Type - Special", 'Ingest Template'!F69 = "Program Type - Live Event"),'Ingest Template'!M69&amp; "|DAR|DAR|"&amp;TEXT('Ingest Template'!C69-3, "yyyy-mm-dd")&amp;"|"&amp;TEXT('Ingest Template'!C69+3, "yyyy-mm-dd"),'Ingest Template'!M69&amp; "|DAR|DAR|2021-01-01")),(IF(OR('Ingest Template'!F69 = "Program Type - Special", 'Ingest Template'!F69 = "Program Type - Live Event"),'Ingest Template'!M69&amp; "|Operations - Core Title|Operations - Core Title|"&amp;TEXT('Ingest Template'!C69-3, "yyyy-mm-dd")&amp;"|"&amp;TEXT('Ingest Template'!C69+3, "yyyy-mm-dd"),'Ingest Template'!M69&amp; "|Operations - Core Title|Operations - Core Title")))</f>
        <v>|Operations - Core Title|Operations - Core Title</v>
      </c>
      <c r="AK69" s="35"/>
      <c r="AL69" s="117" t="str">
        <f>if('Ingest Template'!A69="Standard",(IF(OR('Ingest Template'!F69 = "Program Type - Special", 'Ingest Template'!F69 = "Program Type - Live Event"),'Ingest Template'!Q69&amp;"|"&amp;TEXT('Ingest Template'!C69-3, "yyyy-mm-dd")&amp;"|"&amp;TEXT('Ingest Template'!C69+3, "yyyy-mm-dd"),'Ingest Template'!Q69&amp; "|2021-01-01")),(IF(OR('Ingest Template'!F69 = "Program Type - Special", 'Ingest Template'!F69 = "Program Type - Live Event"),'Ingest Template'!Q69&amp; "|"&amp;TEXT('Ingest Template'!C69-3, "yyyy-mm-dd")&amp;"|"&amp;TEXT('Ingest Template'!C69+3, "yyyy-mm-dd"),'Ingest Template'!Q69)))</f>
        <v/>
      </c>
      <c r="AM69" s="35" t="str">
        <f>'Ingest Template'!AC69</f>
        <v/>
      </c>
    </row>
    <row r="70">
      <c r="A70" s="15"/>
      <c r="B70" s="22" t="str">
        <f>'Ingest Template'!C70&amp;IF('Ingest Template'!A70 = "Standard", " - DAR","")</f>
        <v/>
      </c>
      <c r="C70" s="22" t="s">
        <v>83</v>
      </c>
      <c r="D70" s="22" t="str">
        <f t="array" ref="D70">CONCATENATE(INDEX(DropdownLists!$H$2:$H$11,MATCH(1,COUNTIF('Ingest Template'!E70,"*"&amp;DropdownLists!$I$2:$I$11&amp;"*"),0)),CHAR(10),'Ingest Template'!F70,CHAR(10),'Ingest Template'!G70,CHAR(10),VLOOKUP('Ingest Template'!D70,DropdownLists!C:D,2,FALSE))</f>
        <v>#N/A</v>
      </c>
      <c r="E70" s="22" t="str">
        <f>CONCATENATE('Ingest Template'!H70,CHAR(10),'Ingest Template'!I70,CHAR(10),'Ingest Template'!J70,CHAR(10))</f>
        <v>
</v>
      </c>
      <c r="F70" s="35" t="str">
        <f t="array" ref="F70">INDEX(DropdownLists!$O$2:$O$36,MATCH(1,COUNTIF(E70,"*"&amp;DropdownLists!$N$2:$N$36&amp;"*"),0))</f>
        <v/>
      </c>
      <c r="G70" s="35"/>
      <c r="H70" s="22" t="str">
        <f t="array" ref="H70">INDEX(DropdownLists!$E$2:$E$276,MATCH('Ingest Template'!D70,DropdownLists!$C$2:$C$276,0))</f>
        <v>#N/A</v>
      </c>
      <c r="I70" s="22"/>
      <c r="J70" s="22" t="str">
        <f t="array" ref="J70">iF('Ingest Template'!A70="Standard","Pristine Brand",INDEX(DropdownLists!$B$2:$B$246,MATCH('Ingest Template'!D70,DropdownLists!$C$2:$C$246,0)))</f>
        <v>#N/A</v>
      </c>
      <c r="K70" s="22" t="str">
        <f>iF('Ingest Template'!A70="Standard",'Ingest Template'!K70&amp;CHAR(10)&amp;'Ingest Template'!L70,"Competitive View")</f>
        <v>Competitive View</v>
      </c>
      <c r="L70" s="22" t="s">
        <v>95</v>
      </c>
      <c r="M70" s="45" t="str">
        <f>'Ingest Template'!B70</f>
        <v/>
      </c>
      <c r="N70" s="35"/>
      <c r="O70" s="35"/>
      <c r="P70" s="35"/>
      <c r="Q70" s="35"/>
      <c r="R70" s="35" t="str">
        <f>'Ingest Template'!D70</f>
        <v/>
      </c>
      <c r="S70" s="22" t="s">
        <v>101</v>
      </c>
      <c r="T70" s="35" t="str">
        <f>'Ingest Template'!V70</f>
        <v/>
      </c>
      <c r="U70" s="35" t="str">
        <f>'Ingest Template'!W70</f>
        <v/>
      </c>
      <c r="V70" s="35" t="str">
        <f>LOWER(SUBSTITUTE(SUBSTITUTE(SUBSTITUTE(SUBSTITUTE(SUBSTITUTE('Ingest Template'!X70,"https:",""),"www.",""),"/",""),"?hl=en",""),"instagram.com",""))</f>
        <v/>
      </c>
      <c r="W70" s="74" t="str">
        <f t="array" ref="W70">IF(
'Ingest Template'!Y70="",
SUBSTITUTE(
INDEX(DropdownLists!$F$2:$F$277,MATCH('Ingest Template'!D70,DropdownLists!$C$2:$C$277,0)),
CHAR(10),
"|"&amp;'Ingest Template'!C70&amp;CHAR(10)
)&amp;"|"&amp;'Ingest Template'!C70,
SUBSTITUTE(
INDEX(DropdownLists!$F$2:$F$277,MATCH('Ingest Template'!D70,DropdownLists!$C$2:$C$277,0)),
CHAR(10),
"|"&amp;'Ingest Template'!C70&amp;CHAR(10)
)&amp;"|"&amp;'Ingest Template'!C70&amp;CHAR(10)&amp;'Ingest Template'!Y70
)</f>
        <v>#N/A</v>
      </c>
      <c r="X70" s="74" t="str">
        <f>'Ingest Template'!Z70</f>
        <v/>
      </c>
      <c r="Y70" s="35" t="str">
        <f>SUBSTITUTE(SUBSTITUTE(SUBSTITUTE('Ingest Template'!AA70,"http:",""),"https:",""),"/","")</f>
        <v/>
      </c>
      <c r="Z70" s="35" t="str">
        <f t="array" ref="Z70">IF('Ingest Template'!A70="Standard",(IF(ISBLANK('Ingest Template'!AB70),"", 'Ingest Template'!AB70&amp;"|DAR")),(IF(ISBLANK('Ingest Template'!AB70),"", 'Ingest Template'!AB70&amp;"|TV Ops")))</f>
        <v/>
      </c>
      <c r="AA70" s="35"/>
      <c r="AB70" s="35" t="str">
        <f>'Ingest Template'!R70</f>
        <v/>
      </c>
      <c r="AC70" s="35" t="str">
        <f>'Ingest Template'!T70</f>
        <v/>
      </c>
      <c r="AD70" s="35" t="str">
        <f>'Ingest Template'!S70</f>
        <v/>
      </c>
      <c r="AE70" s="35" t="str">
        <f>'Ingest Template'!U70</f>
        <v/>
      </c>
      <c r="AF70" s="22"/>
      <c r="AG70" s="35" t="str">
        <f t="array" ref="AG70">IF('Ingest Template'!A70="Standard",(CONCATENATE(IF(ISBLANK('Ingest Template'!N70),"", 'Ingest Template'!N70&amp;"|DAR"),CHAR(10), IF(ISBLANK('Ingest Template'!O70),"", 'Ingest Template'!O70&amp;"|DAR"),CHAR(10), IF(ISBLANK('Ingest Template'!P70),"", 'Ingest Template'!P70&amp;"|DAR"))),(CONCATENATE(IF(ISBLANK('Ingest Template'!N70),"", 'Ingest Template'!N70&amp;"|TV Ops"),CHAR(10), IF(ISBLANK('Ingest Template'!O70),"", 'Ingest Template'!O70&amp;"|TV Ops"),CHAR(10), IF(ISBLANK('Ingest Template'!P70),"", 'Ingest Template'!P70&amp;"|TV Ops"))))</f>
        <v>
</v>
      </c>
      <c r="AH70" s="35"/>
      <c r="AI70" s="35"/>
      <c r="AJ70" s="117" t="str">
        <f>if('Ingest Template'!A70="Standard",(IF(OR('Ingest Template'!F70 = "Program Type - Special", 'Ingest Template'!F70 = "Program Type - Live Event"),'Ingest Template'!M70&amp; "|DAR|DAR|"&amp;TEXT('Ingest Template'!C70-3, "yyyy-mm-dd")&amp;"|"&amp;TEXT('Ingest Template'!C70+3, "yyyy-mm-dd"),'Ingest Template'!M70&amp; "|DAR|DAR|2021-01-01")),(IF(OR('Ingest Template'!F70 = "Program Type - Special", 'Ingest Template'!F70 = "Program Type - Live Event"),'Ingest Template'!M70&amp; "|Operations - Core Title|Operations - Core Title|"&amp;TEXT('Ingest Template'!C70-3, "yyyy-mm-dd")&amp;"|"&amp;TEXT('Ingest Template'!C70+3, "yyyy-mm-dd"),'Ingest Template'!M70&amp; "|Operations - Core Title|Operations - Core Title")))</f>
        <v>|Operations - Core Title|Operations - Core Title</v>
      </c>
      <c r="AK70" s="35"/>
      <c r="AL70" s="117" t="str">
        <f>if('Ingest Template'!A70="Standard",(IF(OR('Ingest Template'!F70 = "Program Type - Special", 'Ingest Template'!F70 = "Program Type - Live Event"),'Ingest Template'!Q70&amp;"|"&amp;TEXT('Ingest Template'!C70-3, "yyyy-mm-dd")&amp;"|"&amp;TEXT('Ingest Template'!C70+3, "yyyy-mm-dd"),'Ingest Template'!Q70&amp; "|2021-01-01")),(IF(OR('Ingest Template'!F70 = "Program Type - Special", 'Ingest Template'!F70 = "Program Type - Live Event"),'Ingest Template'!Q70&amp; "|"&amp;TEXT('Ingest Template'!C70-3, "yyyy-mm-dd")&amp;"|"&amp;TEXT('Ingest Template'!C70+3, "yyyy-mm-dd"),'Ingest Template'!Q70)))</f>
        <v/>
      </c>
      <c r="AM70" s="35" t="str">
        <f>'Ingest Template'!AC70</f>
        <v/>
      </c>
    </row>
    <row r="71">
      <c r="A71" s="15"/>
      <c r="B71" s="22" t="str">
        <f>'Ingest Template'!C71&amp;IF('Ingest Template'!A71 = "Standard", " - DAR","")</f>
        <v/>
      </c>
      <c r="C71" s="22" t="s">
        <v>83</v>
      </c>
      <c r="D71" s="22" t="str">
        <f t="array" ref="D71">CONCATENATE(INDEX(DropdownLists!$H$2:$H$11,MATCH(1,COUNTIF('Ingest Template'!E71,"*"&amp;DropdownLists!$I$2:$I$11&amp;"*"),0)),CHAR(10),'Ingest Template'!F71,CHAR(10),'Ingest Template'!G71,CHAR(10),VLOOKUP('Ingest Template'!D71,DropdownLists!C:D,2,FALSE))</f>
        <v>#N/A</v>
      </c>
      <c r="E71" s="22" t="str">
        <f>CONCATENATE('Ingest Template'!H71,CHAR(10),'Ingest Template'!I71,CHAR(10),'Ingest Template'!J71,CHAR(10))</f>
        <v>
</v>
      </c>
      <c r="F71" s="35" t="str">
        <f t="array" ref="F71">INDEX(DropdownLists!$O$2:$O$36,MATCH(1,COUNTIF(E71,"*"&amp;DropdownLists!$N$2:$N$36&amp;"*"),0))</f>
        <v/>
      </c>
      <c r="G71" s="35"/>
      <c r="H71" s="22" t="str">
        <f t="array" ref="H71">INDEX(DropdownLists!$E$2:$E$276,MATCH('Ingest Template'!D71,DropdownLists!$C$2:$C$276,0))</f>
        <v>#N/A</v>
      </c>
      <c r="I71" s="22"/>
      <c r="J71" s="22" t="str">
        <f t="array" ref="J71">iF('Ingest Template'!A71="Standard","Pristine Brand",INDEX(DropdownLists!$B$2:$B$246,MATCH('Ingest Template'!D71,DropdownLists!$C$2:$C$246,0)))</f>
        <v>#N/A</v>
      </c>
      <c r="K71" s="22" t="str">
        <f>iF('Ingest Template'!A71="Standard",'Ingest Template'!K71&amp;CHAR(10)&amp;'Ingest Template'!L71,"Competitive View")</f>
        <v>Competitive View</v>
      </c>
      <c r="L71" s="22" t="s">
        <v>95</v>
      </c>
      <c r="M71" s="45" t="str">
        <f>'Ingest Template'!B71</f>
        <v/>
      </c>
      <c r="N71" s="35"/>
      <c r="O71" s="35"/>
      <c r="P71" s="35"/>
      <c r="Q71" s="35"/>
      <c r="R71" s="35" t="str">
        <f>'Ingest Template'!D71</f>
        <v/>
      </c>
      <c r="S71" s="22" t="s">
        <v>101</v>
      </c>
      <c r="T71" s="35" t="str">
        <f>'Ingest Template'!V71</f>
        <v/>
      </c>
      <c r="U71" s="35" t="str">
        <f>'Ingest Template'!W71</f>
        <v/>
      </c>
      <c r="V71" s="35" t="str">
        <f>LOWER(SUBSTITUTE(SUBSTITUTE(SUBSTITUTE(SUBSTITUTE(SUBSTITUTE('Ingest Template'!X71,"https:",""),"www.",""),"/",""),"?hl=en",""),"instagram.com",""))</f>
        <v/>
      </c>
      <c r="W71" s="74" t="str">
        <f t="array" ref="W71">IF(
'Ingest Template'!Y71="",
SUBSTITUTE(
INDEX(DropdownLists!$F$2:$F$277,MATCH('Ingest Template'!D71,DropdownLists!$C$2:$C$277,0)),
CHAR(10),
"|"&amp;'Ingest Template'!C71&amp;CHAR(10)
)&amp;"|"&amp;'Ingest Template'!C71,
SUBSTITUTE(
INDEX(DropdownLists!$F$2:$F$277,MATCH('Ingest Template'!D71,DropdownLists!$C$2:$C$277,0)),
CHAR(10),
"|"&amp;'Ingest Template'!C71&amp;CHAR(10)
)&amp;"|"&amp;'Ingest Template'!C71&amp;CHAR(10)&amp;'Ingest Template'!Y71
)</f>
        <v>#N/A</v>
      </c>
      <c r="X71" s="74" t="str">
        <f>'Ingest Template'!Z71</f>
        <v/>
      </c>
      <c r="Y71" s="35" t="str">
        <f>SUBSTITUTE(SUBSTITUTE(SUBSTITUTE('Ingest Template'!AA71,"http:",""),"https:",""),"/","")</f>
        <v/>
      </c>
      <c r="Z71" s="35" t="str">
        <f t="array" ref="Z71">IF('Ingest Template'!A71="Standard",(IF(ISBLANK('Ingest Template'!AB71),"", 'Ingest Template'!AB71&amp;"|DAR")),(IF(ISBLANK('Ingest Template'!AB71),"", 'Ingest Template'!AB71&amp;"|TV Ops")))</f>
        <v/>
      </c>
      <c r="AA71" s="35"/>
      <c r="AB71" s="35" t="str">
        <f>'Ingest Template'!R71</f>
        <v/>
      </c>
      <c r="AC71" s="35" t="str">
        <f>'Ingest Template'!T71</f>
        <v/>
      </c>
      <c r="AD71" s="35" t="str">
        <f>'Ingest Template'!S71</f>
        <v/>
      </c>
      <c r="AE71" s="35" t="str">
        <f>'Ingest Template'!U71</f>
        <v/>
      </c>
      <c r="AF71" s="22"/>
      <c r="AG71" s="35" t="str">
        <f t="array" ref="AG71">IF('Ingest Template'!A71="Standard",(CONCATENATE(IF(ISBLANK('Ingest Template'!N71),"", 'Ingest Template'!N71&amp;"|DAR"),CHAR(10), IF(ISBLANK('Ingest Template'!O71),"", 'Ingest Template'!O71&amp;"|DAR"),CHAR(10), IF(ISBLANK('Ingest Template'!P71),"", 'Ingest Template'!P71&amp;"|DAR"))),(CONCATENATE(IF(ISBLANK('Ingest Template'!N71),"", 'Ingest Template'!N71&amp;"|TV Ops"),CHAR(10), IF(ISBLANK('Ingest Template'!O71),"", 'Ingest Template'!O71&amp;"|TV Ops"),CHAR(10), IF(ISBLANK('Ingest Template'!P71),"", 'Ingest Template'!P71&amp;"|TV Ops"))))</f>
        <v>
</v>
      </c>
      <c r="AH71" s="35"/>
      <c r="AI71" s="35"/>
      <c r="AJ71" s="117" t="str">
        <f>if('Ingest Template'!A71="Standard",(IF(OR('Ingest Template'!F71 = "Program Type - Special", 'Ingest Template'!F71 = "Program Type - Live Event"),'Ingest Template'!M71&amp; "|DAR|DAR|"&amp;TEXT('Ingest Template'!C71-3, "yyyy-mm-dd")&amp;"|"&amp;TEXT('Ingest Template'!C71+3, "yyyy-mm-dd"),'Ingest Template'!M71&amp; "|DAR|DAR|2021-01-01")),(IF(OR('Ingest Template'!F71 = "Program Type - Special", 'Ingest Template'!F71 = "Program Type - Live Event"),'Ingest Template'!M71&amp; "|Operations - Core Title|Operations - Core Title|"&amp;TEXT('Ingest Template'!C71-3, "yyyy-mm-dd")&amp;"|"&amp;TEXT('Ingest Template'!C71+3, "yyyy-mm-dd"),'Ingest Template'!M71&amp; "|Operations - Core Title|Operations - Core Title")))</f>
        <v>|Operations - Core Title|Operations - Core Title</v>
      </c>
      <c r="AK71" s="35"/>
      <c r="AL71" s="117" t="str">
        <f>if('Ingest Template'!A71="Standard",(IF(OR('Ingest Template'!F71 = "Program Type - Special", 'Ingest Template'!F71 = "Program Type - Live Event"),'Ingest Template'!Q71&amp;"|"&amp;TEXT('Ingest Template'!C71-3, "yyyy-mm-dd")&amp;"|"&amp;TEXT('Ingest Template'!C71+3, "yyyy-mm-dd"),'Ingest Template'!Q71&amp; "|2021-01-01")),(IF(OR('Ingest Template'!F71 = "Program Type - Special", 'Ingest Template'!F71 = "Program Type - Live Event"),'Ingest Template'!Q71&amp; "|"&amp;TEXT('Ingest Template'!C71-3, "yyyy-mm-dd")&amp;"|"&amp;TEXT('Ingest Template'!C71+3, "yyyy-mm-dd"),'Ingest Template'!Q71)))</f>
        <v/>
      </c>
      <c r="AM71" s="35" t="str">
        <f>'Ingest Template'!AC71</f>
        <v/>
      </c>
    </row>
    <row r="72">
      <c r="A72" s="15"/>
      <c r="B72" s="22" t="str">
        <f>'Ingest Template'!C72&amp;IF('Ingest Template'!A72 = "Standard", " - DAR","")</f>
        <v/>
      </c>
      <c r="C72" s="22" t="s">
        <v>83</v>
      </c>
      <c r="D72" s="22" t="str">
        <f t="array" ref="D72">CONCATENATE(INDEX(DropdownLists!$H$2:$H$11,MATCH(1,COUNTIF('Ingest Template'!E72,"*"&amp;DropdownLists!$I$2:$I$11&amp;"*"),0)),CHAR(10),'Ingest Template'!F72,CHAR(10),'Ingest Template'!G72,CHAR(10),VLOOKUP('Ingest Template'!D72,DropdownLists!C:D,2,FALSE))</f>
        <v>#N/A</v>
      </c>
      <c r="E72" s="22" t="str">
        <f>CONCATENATE('Ingest Template'!H72,CHAR(10),'Ingest Template'!I72,CHAR(10),'Ingest Template'!J72,CHAR(10))</f>
        <v>
</v>
      </c>
      <c r="F72" s="35" t="str">
        <f t="array" ref="F72">INDEX(DropdownLists!$O$2:$O$36,MATCH(1,COUNTIF(E72,"*"&amp;DropdownLists!$N$2:$N$36&amp;"*"),0))</f>
        <v/>
      </c>
      <c r="G72" s="35"/>
      <c r="H72" s="22" t="str">
        <f t="array" ref="H72">INDEX(DropdownLists!$E$2:$E$276,MATCH('Ingest Template'!D72,DropdownLists!$C$2:$C$276,0))</f>
        <v>#N/A</v>
      </c>
      <c r="I72" s="22"/>
      <c r="J72" s="22" t="str">
        <f t="array" ref="J72">iF('Ingest Template'!A72="Standard","Pristine Brand",INDEX(DropdownLists!$B$2:$B$246,MATCH('Ingest Template'!D72,DropdownLists!$C$2:$C$246,0)))</f>
        <v>#N/A</v>
      </c>
      <c r="K72" s="22" t="str">
        <f>iF('Ingest Template'!A72="Standard",'Ingest Template'!K72&amp;CHAR(10)&amp;'Ingest Template'!L72,"Competitive View")</f>
        <v>Competitive View</v>
      </c>
      <c r="L72" s="22" t="s">
        <v>95</v>
      </c>
      <c r="M72" s="45" t="str">
        <f>'Ingest Template'!B72</f>
        <v/>
      </c>
      <c r="N72" s="35"/>
      <c r="O72" s="35"/>
      <c r="P72" s="35"/>
      <c r="Q72" s="35"/>
      <c r="R72" s="35" t="str">
        <f>'Ingest Template'!D72</f>
        <v/>
      </c>
      <c r="S72" s="22" t="s">
        <v>101</v>
      </c>
      <c r="T72" s="35" t="str">
        <f>'Ingest Template'!V72</f>
        <v/>
      </c>
      <c r="U72" s="35" t="str">
        <f>'Ingest Template'!W72</f>
        <v/>
      </c>
      <c r="V72" s="35" t="str">
        <f>LOWER(SUBSTITUTE(SUBSTITUTE(SUBSTITUTE(SUBSTITUTE(SUBSTITUTE('Ingest Template'!X72,"https:",""),"www.",""),"/",""),"?hl=en",""),"instagram.com",""))</f>
        <v/>
      </c>
      <c r="W72" s="74" t="str">
        <f t="array" ref="W72">IF(
'Ingest Template'!Y72="",
SUBSTITUTE(
INDEX(DropdownLists!$F$2:$F$277,MATCH('Ingest Template'!D72,DropdownLists!$C$2:$C$277,0)),
CHAR(10),
"|"&amp;'Ingest Template'!C72&amp;CHAR(10)
)&amp;"|"&amp;'Ingest Template'!C72,
SUBSTITUTE(
INDEX(DropdownLists!$F$2:$F$277,MATCH('Ingest Template'!D72,DropdownLists!$C$2:$C$277,0)),
CHAR(10),
"|"&amp;'Ingest Template'!C72&amp;CHAR(10)
)&amp;"|"&amp;'Ingest Template'!C72&amp;CHAR(10)&amp;'Ingest Template'!Y72
)</f>
        <v>#N/A</v>
      </c>
      <c r="X72" s="74" t="str">
        <f>'Ingest Template'!Z72</f>
        <v/>
      </c>
      <c r="Y72" s="35" t="str">
        <f>SUBSTITUTE(SUBSTITUTE(SUBSTITUTE('Ingest Template'!AA72,"http:",""),"https:",""),"/","")</f>
        <v/>
      </c>
      <c r="Z72" s="35" t="str">
        <f t="array" ref="Z72">IF('Ingest Template'!A72="Standard",(IF(ISBLANK('Ingest Template'!AB72),"", 'Ingest Template'!AB72&amp;"|DAR")),(IF(ISBLANK('Ingest Template'!AB72),"", 'Ingest Template'!AB72&amp;"|TV Ops")))</f>
        <v/>
      </c>
      <c r="AA72" s="35"/>
      <c r="AB72" s="35" t="str">
        <f>'Ingest Template'!R72</f>
        <v/>
      </c>
      <c r="AC72" s="35" t="str">
        <f>'Ingest Template'!T72</f>
        <v/>
      </c>
      <c r="AD72" s="35" t="str">
        <f>'Ingest Template'!S72</f>
        <v/>
      </c>
      <c r="AE72" s="35" t="str">
        <f>'Ingest Template'!U72</f>
        <v/>
      </c>
      <c r="AF72" s="22"/>
      <c r="AG72" s="35" t="str">
        <f t="array" ref="AG72">IF('Ingest Template'!A72="Standard",(CONCATENATE(IF(ISBLANK('Ingest Template'!N72),"", 'Ingest Template'!N72&amp;"|DAR"),CHAR(10), IF(ISBLANK('Ingest Template'!O72),"", 'Ingest Template'!O72&amp;"|DAR"),CHAR(10), IF(ISBLANK('Ingest Template'!P72),"", 'Ingest Template'!P72&amp;"|DAR"))),(CONCATENATE(IF(ISBLANK('Ingest Template'!N72),"", 'Ingest Template'!N72&amp;"|TV Ops"),CHAR(10), IF(ISBLANK('Ingest Template'!O72),"", 'Ingest Template'!O72&amp;"|TV Ops"),CHAR(10), IF(ISBLANK('Ingest Template'!P72),"", 'Ingest Template'!P72&amp;"|TV Ops"))))</f>
        <v>
</v>
      </c>
      <c r="AH72" s="35"/>
      <c r="AI72" s="35"/>
      <c r="AJ72" s="117" t="str">
        <f>if('Ingest Template'!A72="Standard",(IF(OR('Ingest Template'!F72 = "Program Type - Special", 'Ingest Template'!F72 = "Program Type - Live Event"),'Ingest Template'!M72&amp; "|DAR|DAR|"&amp;TEXT('Ingest Template'!C72-3, "yyyy-mm-dd")&amp;"|"&amp;TEXT('Ingest Template'!C72+3, "yyyy-mm-dd"),'Ingest Template'!M72&amp; "|DAR|DAR|2021-01-01")),(IF(OR('Ingest Template'!F72 = "Program Type - Special", 'Ingest Template'!F72 = "Program Type - Live Event"),'Ingest Template'!M72&amp; "|Operations - Core Title|Operations - Core Title|"&amp;TEXT('Ingest Template'!C72-3, "yyyy-mm-dd")&amp;"|"&amp;TEXT('Ingest Template'!C72+3, "yyyy-mm-dd"),'Ingest Template'!M72&amp; "|Operations - Core Title|Operations - Core Title")))</f>
        <v>|Operations - Core Title|Operations - Core Title</v>
      </c>
      <c r="AK72" s="35"/>
      <c r="AL72" s="117" t="str">
        <f>if('Ingest Template'!A72="Standard",(IF(OR('Ingest Template'!F72 = "Program Type - Special", 'Ingest Template'!F72 = "Program Type - Live Event"),'Ingest Template'!Q72&amp;"|"&amp;TEXT('Ingest Template'!C72-3, "yyyy-mm-dd")&amp;"|"&amp;TEXT('Ingest Template'!C72+3, "yyyy-mm-dd"),'Ingest Template'!Q72&amp; "|2021-01-01")),(IF(OR('Ingest Template'!F72 = "Program Type - Special", 'Ingest Template'!F72 = "Program Type - Live Event"),'Ingest Template'!Q72&amp; "|"&amp;TEXT('Ingest Template'!C72-3, "yyyy-mm-dd")&amp;"|"&amp;TEXT('Ingest Template'!C72+3, "yyyy-mm-dd"),'Ingest Template'!Q72)))</f>
        <v/>
      </c>
      <c r="AM72" s="35" t="str">
        <f>'Ingest Template'!AC72</f>
        <v/>
      </c>
    </row>
    <row r="73">
      <c r="A73" s="15"/>
      <c r="B73" s="22" t="str">
        <f>'Ingest Template'!C73&amp;IF('Ingest Template'!A73 = "Standard", " - DAR","")</f>
        <v/>
      </c>
      <c r="C73" s="22" t="s">
        <v>83</v>
      </c>
      <c r="D73" s="22" t="str">
        <f t="array" ref="D73">CONCATENATE(INDEX(DropdownLists!$H$2:$H$11,MATCH(1,COUNTIF('Ingest Template'!E73,"*"&amp;DropdownLists!$I$2:$I$11&amp;"*"),0)),CHAR(10),'Ingest Template'!F73,CHAR(10),'Ingest Template'!G73,CHAR(10),VLOOKUP('Ingest Template'!D73,DropdownLists!C:D,2,FALSE))</f>
        <v>#N/A</v>
      </c>
      <c r="E73" s="22" t="str">
        <f>CONCATENATE('Ingest Template'!H73,CHAR(10),'Ingest Template'!I73,CHAR(10),'Ingest Template'!J73,CHAR(10))</f>
        <v>
</v>
      </c>
      <c r="F73" s="35" t="str">
        <f t="array" ref="F73">INDEX(DropdownLists!$O$2:$O$36,MATCH(1,COUNTIF(E73,"*"&amp;DropdownLists!$N$2:$N$36&amp;"*"),0))</f>
        <v/>
      </c>
      <c r="G73" s="35"/>
      <c r="H73" s="22" t="str">
        <f t="array" ref="H73">INDEX(DropdownLists!$E$2:$E$276,MATCH('Ingest Template'!D73,DropdownLists!$C$2:$C$276,0))</f>
        <v>#N/A</v>
      </c>
      <c r="I73" s="22"/>
      <c r="J73" s="22" t="str">
        <f t="array" ref="J73">iF('Ingest Template'!A73="Standard","Pristine Brand",INDEX(DropdownLists!$B$2:$B$246,MATCH('Ingest Template'!D73,DropdownLists!$C$2:$C$246,0)))</f>
        <v>#N/A</v>
      </c>
      <c r="K73" s="22" t="str">
        <f>iF('Ingest Template'!A73="Standard",'Ingest Template'!K73&amp;CHAR(10)&amp;'Ingest Template'!L73,"Competitive View")</f>
        <v>Competitive View</v>
      </c>
      <c r="L73" s="22" t="s">
        <v>95</v>
      </c>
      <c r="M73" s="45" t="str">
        <f>'Ingest Template'!B73</f>
        <v/>
      </c>
      <c r="N73" s="35"/>
      <c r="O73" s="35"/>
      <c r="P73" s="35"/>
      <c r="Q73" s="35"/>
      <c r="R73" s="35" t="str">
        <f>'Ingest Template'!D73</f>
        <v/>
      </c>
      <c r="S73" s="22" t="s">
        <v>101</v>
      </c>
      <c r="T73" s="35" t="str">
        <f>'Ingest Template'!V73</f>
        <v/>
      </c>
      <c r="U73" s="35" t="str">
        <f>'Ingest Template'!W73</f>
        <v/>
      </c>
      <c r="V73" s="35" t="str">
        <f>LOWER(SUBSTITUTE(SUBSTITUTE(SUBSTITUTE(SUBSTITUTE(SUBSTITUTE('Ingest Template'!X73,"https:",""),"www.",""),"/",""),"?hl=en",""),"instagram.com",""))</f>
        <v/>
      </c>
      <c r="W73" s="74" t="str">
        <f t="array" ref="W73">IF(
'Ingest Template'!Y73="",
SUBSTITUTE(
INDEX(DropdownLists!$F$2:$F$277,MATCH('Ingest Template'!D73,DropdownLists!$C$2:$C$277,0)),
CHAR(10),
"|"&amp;'Ingest Template'!C73&amp;CHAR(10)
)&amp;"|"&amp;'Ingest Template'!C73,
SUBSTITUTE(
INDEX(DropdownLists!$F$2:$F$277,MATCH('Ingest Template'!D73,DropdownLists!$C$2:$C$277,0)),
CHAR(10),
"|"&amp;'Ingest Template'!C73&amp;CHAR(10)
)&amp;"|"&amp;'Ingest Template'!C73&amp;CHAR(10)&amp;'Ingest Template'!Y73
)</f>
        <v>#N/A</v>
      </c>
      <c r="X73" s="74" t="str">
        <f>'Ingest Template'!Z73</f>
        <v/>
      </c>
      <c r="Y73" s="35" t="str">
        <f>SUBSTITUTE(SUBSTITUTE(SUBSTITUTE('Ingest Template'!AA73,"http:",""),"https:",""),"/","")</f>
        <v/>
      </c>
      <c r="Z73" s="35" t="str">
        <f t="array" ref="Z73">IF('Ingest Template'!A73="Standard",(IF(ISBLANK('Ingest Template'!AB73),"", 'Ingest Template'!AB73&amp;"|DAR")),(IF(ISBLANK('Ingest Template'!AB73),"", 'Ingest Template'!AB73&amp;"|TV Ops")))</f>
        <v/>
      </c>
      <c r="AA73" s="35"/>
      <c r="AB73" s="35" t="str">
        <f>'Ingest Template'!R73</f>
        <v/>
      </c>
      <c r="AC73" s="35" t="str">
        <f>'Ingest Template'!T73</f>
        <v/>
      </c>
      <c r="AD73" s="35" t="str">
        <f>'Ingest Template'!S73</f>
        <v/>
      </c>
      <c r="AE73" s="35" t="str">
        <f>'Ingest Template'!U73</f>
        <v/>
      </c>
      <c r="AF73" s="22"/>
      <c r="AG73" s="35" t="str">
        <f t="array" ref="AG73">IF('Ingest Template'!A73="Standard",(CONCATENATE(IF(ISBLANK('Ingest Template'!N73),"", 'Ingest Template'!N73&amp;"|DAR"),CHAR(10), IF(ISBLANK('Ingest Template'!O73),"", 'Ingest Template'!O73&amp;"|DAR"),CHAR(10), IF(ISBLANK('Ingest Template'!P73),"", 'Ingest Template'!P73&amp;"|DAR"))),(CONCATENATE(IF(ISBLANK('Ingest Template'!N73),"", 'Ingest Template'!N73&amp;"|TV Ops"),CHAR(10), IF(ISBLANK('Ingest Template'!O73),"", 'Ingest Template'!O73&amp;"|TV Ops"),CHAR(10), IF(ISBLANK('Ingest Template'!P73),"", 'Ingest Template'!P73&amp;"|TV Ops"))))</f>
        <v>
</v>
      </c>
      <c r="AH73" s="35"/>
      <c r="AI73" s="35"/>
      <c r="AJ73" s="117" t="str">
        <f>if('Ingest Template'!A73="Standard",(IF(OR('Ingest Template'!F73 = "Program Type - Special", 'Ingest Template'!F73 = "Program Type - Live Event"),'Ingest Template'!M73&amp; "|DAR|DAR|"&amp;TEXT('Ingest Template'!C73-3, "yyyy-mm-dd")&amp;"|"&amp;TEXT('Ingest Template'!C73+3, "yyyy-mm-dd"),'Ingest Template'!M73&amp; "|DAR|DAR|2021-01-01")),(IF(OR('Ingest Template'!F73 = "Program Type - Special", 'Ingest Template'!F73 = "Program Type - Live Event"),'Ingest Template'!M73&amp; "|Operations - Core Title|Operations - Core Title|"&amp;TEXT('Ingest Template'!C73-3, "yyyy-mm-dd")&amp;"|"&amp;TEXT('Ingest Template'!C73+3, "yyyy-mm-dd"),'Ingest Template'!M73&amp; "|Operations - Core Title|Operations - Core Title")))</f>
        <v>|Operations - Core Title|Operations - Core Title</v>
      </c>
      <c r="AK73" s="35"/>
      <c r="AL73" s="117" t="str">
        <f>if('Ingest Template'!A73="Standard",(IF(OR('Ingest Template'!F73 = "Program Type - Special", 'Ingest Template'!F73 = "Program Type - Live Event"),'Ingest Template'!Q73&amp;"|"&amp;TEXT('Ingest Template'!C73-3, "yyyy-mm-dd")&amp;"|"&amp;TEXT('Ingest Template'!C73+3, "yyyy-mm-dd"),'Ingest Template'!Q73&amp; "|2021-01-01")),(IF(OR('Ingest Template'!F73 = "Program Type - Special", 'Ingest Template'!F73 = "Program Type - Live Event"),'Ingest Template'!Q73&amp; "|"&amp;TEXT('Ingest Template'!C73-3, "yyyy-mm-dd")&amp;"|"&amp;TEXT('Ingest Template'!C73+3, "yyyy-mm-dd"),'Ingest Template'!Q73)))</f>
        <v/>
      </c>
      <c r="AM73" s="35" t="str">
        <f>'Ingest Template'!AC73</f>
        <v/>
      </c>
    </row>
    <row r="74">
      <c r="A74" s="15"/>
      <c r="B74" s="22" t="str">
        <f>'Ingest Template'!C74&amp;IF('Ingest Template'!A74 = "Standard", " - DAR","")</f>
        <v/>
      </c>
      <c r="C74" s="22" t="s">
        <v>83</v>
      </c>
      <c r="D74" s="22" t="str">
        <f t="array" ref="D74">CONCATENATE(INDEX(DropdownLists!$H$2:$H$11,MATCH(1,COUNTIF('Ingest Template'!E74,"*"&amp;DropdownLists!$I$2:$I$11&amp;"*"),0)),CHAR(10),'Ingest Template'!F74,CHAR(10),'Ingest Template'!G74,CHAR(10),VLOOKUP('Ingest Template'!D74,DropdownLists!C:D,2,FALSE))</f>
        <v>#N/A</v>
      </c>
      <c r="E74" s="22" t="str">
        <f>CONCATENATE('Ingest Template'!H74,CHAR(10),'Ingest Template'!I74,CHAR(10),'Ingest Template'!J74,CHAR(10))</f>
        <v>
</v>
      </c>
      <c r="F74" s="35" t="str">
        <f t="array" ref="F74">INDEX(DropdownLists!$O$2:$O$36,MATCH(1,COUNTIF(E74,"*"&amp;DropdownLists!$N$2:$N$36&amp;"*"),0))</f>
        <v/>
      </c>
      <c r="G74" s="35"/>
      <c r="H74" s="22" t="str">
        <f t="array" ref="H74">INDEX(DropdownLists!$E$2:$E$276,MATCH('Ingest Template'!D74,DropdownLists!$C$2:$C$276,0))</f>
        <v>#N/A</v>
      </c>
      <c r="I74" s="22"/>
      <c r="J74" s="22" t="str">
        <f t="array" ref="J74">iF('Ingest Template'!A74="Standard","Pristine Brand",INDEX(DropdownLists!$B$2:$B$246,MATCH('Ingest Template'!D74,DropdownLists!$C$2:$C$246,0)))</f>
        <v>#N/A</v>
      </c>
      <c r="K74" s="22" t="str">
        <f>iF('Ingest Template'!A74="Standard",'Ingest Template'!K74&amp;CHAR(10)&amp;'Ingest Template'!L74,"Competitive View")</f>
        <v>Competitive View</v>
      </c>
      <c r="L74" s="22" t="s">
        <v>95</v>
      </c>
      <c r="M74" s="45" t="str">
        <f>'Ingest Template'!B74</f>
        <v/>
      </c>
      <c r="N74" s="35"/>
      <c r="O74" s="35"/>
      <c r="P74" s="35"/>
      <c r="Q74" s="35"/>
      <c r="R74" s="35" t="str">
        <f>'Ingest Template'!D74</f>
        <v/>
      </c>
      <c r="S74" s="22" t="s">
        <v>101</v>
      </c>
      <c r="T74" s="35" t="str">
        <f>'Ingest Template'!V74</f>
        <v/>
      </c>
      <c r="U74" s="35" t="str">
        <f>'Ingest Template'!W74</f>
        <v/>
      </c>
      <c r="V74" s="35" t="str">
        <f>LOWER(SUBSTITUTE(SUBSTITUTE(SUBSTITUTE(SUBSTITUTE(SUBSTITUTE('Ingest Template'!X74,"https:",""),"www.",""),"/",""),"?hl=en",""),"instagram.com",""))</f>
        <v/>
      </c>
      <c r="W74" s="74" t="str">
        <f t="array" ref="W74">IF(
'Ingest Template'!Y74="",
SUBSTITUTE(
INDEX(DropdownLists!$F$2:$F$277,MATCH('Ingest Template'!D74,DropdownLists!$C$2:$C$277,0)),
CHAR(10),
"|"&amp;'Ingest Template'!C74&amp;CHAR(10)
)&amp;"|"&amp;'Ingest Template'!C74,
SUBSTITUTE(
INDEX(DropdownLists!$F$2:$F$277,MATCH('Ingest Template'!D74,DropdownLists!$C$2:$C$277,0)),
CHAR(10),
"|"&amp;'Ingest Template'!C74&amp;CHAR(10)
)&amp;"|"&amp;'Ingest Template'!C74&amp;CHAR(10)&amp;'Ingest Template'!Y74
)</f>
        <v>#N/A</v>
      </c>
      <c r="X74" s="74" t="str">
        <f>'Ingest Template'!Z74</f>
        <v/>
      </c>
      <c r="Y74" s="35" t="str">
        <f>SUBSTITUTE(SUBSTITUTE(SUBSTITUTE('Ingest Template'!AA74,"http:",""),"https:",""),"/","")</f>
        <v/>
      </c>
      <c r="Z74" s="35" t="str">
        <f t="array" ref="Z74">IF('Ingest Template'!A74="Standard",(IF(ISBLANK('Ingest Template'!AB74),"", 'Ingest Template'!AB74&amp;"|DAR")),(IF(ISBLANK('Ingest Template'!AB74),"", 'Ingest Template'!AB74&amp;"|TV Ops")))</f>
        <v/>
      </c>
      <c r="AA74" s="35"/>
      <c r="AB74" s="35" t="str">
        <f>'Ingest Template'!R74</f>
        <v/>
      </c>
      <c r="AC74" s="35" t="str">
        <f>'Ingest Template'!T74</f>
        <v/>
      </c>
      <c r="AD74" s="35" t="str">
        <f>'Ingest Template'!S74</f>
        <v/>
      </c>
      <c r="AE74" s="35" t="str">
        <f>'Ingest Template'!U74</f>
        <v/>
      </c>
      <c r="AF74" s="22"/>
      <c r="AG74" s="35" t="str">
        <f t="array" ref="AG74">IF('Ingest Template'!A74="Standard",(CONCATENATE(IF(ISBLANK('Ingest Template'!N74),"", 'Ingest Template'!N74&amp;"|DAR"),CHAR(10), IF(ISBLANK('Ingest Template'!O74),"", 'Ingest Template'!O74&amp;"|DAR"),CHAR(10), IF(ISBLANK('Ingest Template'!P74),"", 'Ingest Template'!P74&amp;"|DAR"))),(CONCATENATE(IF(ISBLANK('Ingest Template'!N74),"", 'Ingest Template'!N74&amp;"|TV Ops"),CHAR(10), IF(ISBLANK('Ingest Template'!O74),"", 'Ingest Template'!O74&amp;"|TV Ops"),CHAR(10), IF(ISBLANK('Ingest Template'!P74),"", 'Ingest Template'!P74&amp;"|TV Ops"))))</f>
        <v>
</v>
      </c>
      <c r="AH74" s="35"/>
      <c r="AI74" s="35"/>
      <c r="AJ74" s="117" t="str">
        <f>if('Ingest Template'!A74="Standard",(IF(OR('Ingest Template'!F74 = "Program Type - Special", 'Ingest Template'!F74 = "Program Type - Live Event"),'Ingest Template'!M74&amp; "|DAR|DAR|"&amp;TEXT('Ingest Template'!C74-3, "yyyy-mm-dd")&amp;"|"&amp;TEXT('Ingest Template'!C74+3, "yyyy-mm-dd"),'Ingest Template'!M74&amp; "|DAR|DAR|2021-01-01")),(IF(OR('Ingest Template'!F74 = "Program Type - Special", 'Ingest Template'!F74 = "Program Type - Live Event"),'Ingest Template'!M74&amp; "|Operations - Core Title|Operations - Core Title|"&amp;TEXT('Ingest Template'!C74-3, "yyyy-mm-dd")&amp;"|"&amp;TEXT('Ingest Template'!C74+3, "yyyy-mm-dd"),'Ingest Template'!M74&amp; "|Operations - Core Title|Operations - Core Title")))</f>
        <v>|Operations - Core Title|Operations - Core Title</v>
      </c>
      <c r="AK74" s="35"/>
      <c r="AL74" s="117" t="str">
        <f>if('Ingest Template'!A74="Standard",(IF(OR('Ingest Template'!F74 = "Program Type - Special", 'Ingest Template'!F74 = "Program Type - Live Event"),'Ingest Template'!Q74&amp;"|"&amp;TEXT('Ingest Template'!C74-3, "yyyy-mm-dd")&amp;"|"&amp;TEXT('Ingest Template'!C74+3, "yyyy-mm-dd"),'Ingest Template'!Q74&amp; "|2021-01-01")),(IF(OR('Ingest Template'!F74 = "Program Type - Special", 'Ingest Template'!F74 = "Program Type - Live Event"),'Ingest Template'!Q74&amp; "|"&amp;TEXT('Ingest Template'!C74-3, "yyyy-mm-dd")&amp;"|"&amp;TEXT('Ingest Template'!C74+3, "yyyy-mm-dd"),'Ingest Template'!Q74)))</f>
        <v/>
      </c>
      <c r="AM74" s="35" t="str">
        <f>'Ingest Template'!AC74</f>
        <v/>
      </c>
    </row>
    <row r="75">
      <c r="A75" s="15"/>
      <c r="B75" s="22" t="str">
        <f>'Ingest Template'!C75&amp;IF('Ingest Template'!A75 = "Standard", " - DAR","")</f>
        <v/>
      </c>
      <c r="C75" s="22" t="s">
        <v>83</v>
      </c>
      <c r="D75" s="22" t="str">
        <f t="array" ref="D75">CONCATENATE(INDEX(DropdownLists!$H$2:$H$11,MATCH(1,COUNTIF('Ingest Template'!E75,"*"&amp;DropdownLists!$I$2:$I$11&amp;"*"),0)),CHAR(10),'Ingest Template'!F75,CHAR(10),'Ingest Template'!G75,CHAR(10),VLOOKUP('Ingest Template'!D75,DropdownLists!C:D,2,FALSE))</f>
        <v>#N/A</v>
      </c>
      <c r="E75" s="22" t="str">
        <f>CONCATENATE('Ingest Template'!H75,CHAR(10),'Ingest Template'!I75,CHAR(10),'Ingest Template'!J75,CHAR(10))</f>
        <v>
</v>
      </c>
      <c r="F75" s="35" t="str">
        <f t="array" ref="F75">INDEX(DropdownLists!$O$2:$O$36,MATCH(1,COUNTIF(E75,"*"&amp;DropdownLists!$N$2:$N$36&amp;"*"),0))</f>
        <v/>
      </c>
      <c r="G75" s="35"/>
      <c r="H75" s="22" t="str">
        <f t="array" ref="H75">INDEX(DropdownLists!$E$2:$E$276,MATCH('Ingest Template'!D75,DropdownLists!$C$2:$C$276,0))</f>
        <v>#N/A</v>
      </c>
      <c r="I75" s="22"/>
      <c r="J75" s="22" t="str">
        <f t="array" ref="J75">iF('Ingest Template'!A75="Standard","Pristine Brand",INDEX(DropdownLists!$B$2:$B$246,MATCH('Ingest Template'!D75,DropdownLists!$C$2:$C$246,0)))</f>
        <v>#N/A</v>
      </c>
      <c r="K75" s="22" t="str">
        <f>iF('Ingest Template'!A75="Standard",'Ingest Template'!K75&amp;CHAR(10)&amp;'Ingest Template'!L75,"Competitive View")</f>
        <v>Competitive View</v>
      </c>
      <c r="L75" s="22" t="s">
        <v>95</v>
      </c>
      <c r="M75" s="45" t="str">
        <f>'Ingest Template'!B75</f>
        <v/>
      </c>
      <c r="N75" s="35"/>
      <c r="O75" s="35"/>
      <c r="P75" s="35"/>
      <c r="Q75" s="35"/>
      <c r="R75" s="35" t="str">
        <f>'Ingest Template'!D75</f>
        <v/>
      </c>
      <c r="S75" s="22" t="s">
        <v>101</v>
      </c>
      <c r="T75" s="35" t="str">
        <f>'Ingest Template'!V75</f>
        <v/>
      </c>
      <c r="U75" s="35" t="str">
        <f>'Ingest Template'!W75</f>
        <v/>
      </c>
      <c r="V75" s="35" t="str">
        <f>LOWER(SUBSTITUTE(SUBSTITUTE(SUBSTITUTE(SUBSTITUTE(SUBSTITUTE('Ingest Template'!X75,"https:",""),"www.",""),"/",""),"?hl=en",""),"instagram.com",""))</f>
        <v/>
      </c>
      <c r="W75" s="74" t="str">
        <f t="array" ref="W75">IF(
'Ingest Template'!Y75="",
SUBSTITUTE(
INDEX(DropdownLists!$F$2:$F$277,MATCH('Ingest Template'!D75,DropdownLists!$C$2:$C$277,0)),
CHAR(10),
"|"&amp;'Ingest Template'!C75&amp;CHAR(10)
)&amp;"|"&amp;'Ingest Template'!C75,
SUBSTITUTE(
INDEX(DropdownLists!$F$2:$F$277,MATCH('Ingest Template'!D75,DropdownLists!$C$2:$C$277,0)),
CHAR(10),
"|"&amp;'Ingest Template'!C75&amp;CHAR(10)
)&amp;"|"&amp;'Ingest Template'!C75&amp;CHAR(10)&amp;'Ingest Template'!Y75
)</f>
        <v>#N/A</v>
      </c>
      <c r="X75" s="74" t="str">
        <f>'Ingest Template'!Z75</f>
        <v/>
      </c>
      <c r="Y75" s="35" t="str">
        <f>SUBSTITUTE(SUBSTITUTE(SUBSTITUTE('Ingest Template'!AA75,"http:",""),"https:",""),"/","")</f>
        <v/>
      </c>
      <c r="Z75" s="35" t="str">
        <f t="array" ref="Z75">IF('Ingest Template'!A75="Standard",(IF(ISBLANK('Ingest Template'!AB75),"", 'Ingest Template'!AB75&amp;"|DAR")),(IF(ISBLANK('Ingest Template'!AB75),"", 'Ingest Template'!AB75&amp;"|TV Ops")))</f>
        <v/>
      </c>
      <c r="AA75" s="35"/>
      <c r="AB75" s="35" t="str">
        <f>'Ingest Template'!R75</f>
        <v/>
      </c>
      <c r="AC75" s="35" t="str">
        <f>'Ingest Template'!T75</f>
        <v/>
      </c>
      <c r="AD75" s="35" t="str">
        <f>'Ingest Template'!S75</f>
        <v/>
      </c>
      <c r="AE75" s="35" t="str">
        <f>'Ingest Template'!U75</f>
        <v/>
      </c>
      <c r="AF75" s="22"/>
      <c r="AG75" s="35" t="str">
        <f t="array" ref="AG75">IF('Ingest Template'!A75="Standard",(CONCATENATE(IF(ISBLANK('Ingest Template'!N75),"", 'Ingest Template'!N75&amp;"|DAR"),CHAR(10), IF(ISBLANK('Ingest Template'!O75),"", 'Ingest Template'!O75&amp;"|DAR"),CHAR(10), IF(ISBLANK('Ingest Template'!P75),"", 'Ingest Template'!P75&amp;"|DAR"))),(CONCATENATE(IF(ISBLANK('Ingest Template'!N75),"", 'Ingest Template'!N75&amp;"|TV Ops"),CHAR(10), IF(ISBLANK('Ingest Template'!O75),"", 'Ingest Template'!O75&amp;"|TV Ops"),CHAR(10), IF(ISBLANK('Ingest Template'!P75),"", 'Ingest Template'!P75&amp;"|TV Ops"))))</f>
        <v>
</v>
      </c>
      <c r="AH75" s="35"/>
      <c r="AI75" s="35"/>
      <c r="AJ75" s="117" t="str">
        <f>if('Ingest Template'!A75="Standard",(IF(OR('Ingest Template'!F75 = "Program Type - Special", 'Ingest Template'!F75 = "Program Type - Live Event"),'Ingest Template'!M75&amp; "|DAR|DAR|"&amp;TEXT('Ingest Template'!C75-3, "yyyy-mm-dd")&amp;"|"&amp;TEXT('Ingest Template'!C75+3, "yyyy-mm-dd"),'Ingest Template'!M75&amp; "|DAR|DAR|2021-01-01")),(IF(OR('Ingest Template'!F75 = "Program Type - Special", 'Ingest Template'!F75 = "Program Type - Live Event"),'Ingest Template'!M75&amp; "|Operations - Core Title|Operations - Core Title|"&amp;TEXT('Ingest Template'!C75-3, "yyyy-mm-dd")&amp;"|"&amp;TEXT('Ingest Template'!C75+3, "yyyy-mm-dd"),'Ingest Template'!M75&amp; "|Operations - Core Title|Operations - Core Title")))</f>
        <v>|Operations - Core Title|Operations - Core Title</v>
      </c>
      <c r="AK75" s="35"/>
      <c r="AL75" s="117" t="str">
        <f>if('Ingest Template'!A75="Standard",(IF(OR('Ingest Template'!F75 = "Program Type - Special", 'Ingest Template'!F75 = "Program Type - Live Event"),'Ingest Template'!Q75&amp;"|"&amp;TEXT('Ingest Template'!C75-3, "yyyy-mm-dd")&amp;"|"&amp;TEXT('Ingest Template'!C75+3, "yyyy-mm-dd"),'Ingest Template'!Q75&amp; "|2021-01-01")),(IF(OR('Ingest Template'!F75 = "Program Type - Special", 'Ingest Template'!F75 = "Program Type - Live Event"),'Ingest Template'!Q75&amp; "|"&amp;TEXT('Ingest Template'!C75-3, "yyyy-mm-dd")&amp;"|"&amp;TEXT('Ingest Template'!C75+3, "yyyy-mm-dd"),'Ingest Template'!Q75)))</f>
        <v/>
      </c>
      <c r="AM75" s="35" t="str">
        <f>'Ingest Template'!AC75</f>
        <v/>
      </c>
    </row>
    <row r="76">
      <c r="A76" s="15"/>
      <c r="B76" s="22" t="str">
        <f>'Ingest Template'!C76&amp;IF('Ingest Template'!A76 = "Standard", " - DAR","")</f>
        <v/>
      </c>
      <c r="C76" s="22" t="s">
        <v>83</v>
      </c>
      <c r="D76" s="22" t="str">
        <f t="array" ref="D76">CONCATENATE(INDEX(DropdownLists!$H$2:$H$11,MATCH(1,COUNTIF('Ingest Template'!E76,"*"&amp;DropdownLists!$I$2:$I$11&amp;"*"),0)),CHAR(10),'Ingest Template'!F76,CHAR(10),'Ingest Template'!G76,CHAR(10),VLOOKUP('Ingest Template'!D76,DropdownLists!C:D,2,FALSE))</f>
        <v>#N/A</v>
      </c>
      <c r="E76" s="22" t="str">
        <f>CONCATENATE('Ingest Template'!H76,CHAR(10),'Ingest Template'!I76,CHAR(10),'Ingest Template'!J76,CHAR(10))</f>
        <v>
</v>
      </c>
      <c r="F76" s="35" t="str">
        <f t="array" ref="F76">INDEX(DropdownLists!$O$2:$O$36,MATCH(1,COUNTIF(E76,"*"&amp;DropdownLists!$N$2:$N$36&amp;"*"),0))</f>
        <v/>
      </c>
      <c r="G76" s="35"/>
      <c r="H76" s="22" t="str">
        <f t="array" ref="H76">INDEX(DropdownLists!$E$2:$E$276,MATCH('Ingest Template'!D76,DropdownLists!$C$2:$C$276,0))</f>
        <v>#N/A</v>
      </c>
      <c r="I76" s="22"/>
      <c r="J76" s="22" t="str">
        <f t="array" ref="J76">iF('Ingest Template'!A76="Standard","Pristine Brand",INDEX(DropdownLists!$B$2:$B$246,MATCH('Ingest Template'!D76,DropdownLists!$C$2:$C$246,0)))</f>
        <v>#N/A</v>
      </c>
      <c r="K76" s="22" t="str">
        <f>iF('Ingest Template'!A76="Standard",'Ingest Template'!K76&amp;CHAR(10)&amp;'Ingest Template'!L76,"Competitive View")</f>
        <v>Competitive View</v>
      </c>
      <c r="L76" s="22" t="s">
        <v>95</v>
      </c>
      <c r="M76" s="45" t="str">
        <f>'Ingest Template'!B76</f>
        <v/>
      </c>
      <c r="N76" s="35"/>
      <c r="O76" s="35"/>
      <c r="P76" s="35"/>
      <c r="Q76" s="35"/>
      <c r="R76" s="35" t="str">
        <f>'Ingest Template'!D76</f>
        <v/>
      </c>
      <c r="S76" s="22" t="s">
        <v>101</v>
      </c>
      <c r="T76" s="35" t="str">
        <f>'Ingest Template'!V76</f>
        <v/>
      </c>
      <c r="U76" s="35" t="str">
        <f>'Ingest Template'!W76</f>
        <v/>
      </c>
      <c r="V76" s="35" t="str">
        <f>LOWER(SUBSTITUTE(SUBSTITUTE(SUBSTITUTE(SUBSTITUTE(SUBSTITUTE('Ingest Template'!X76,"https:",""),"www.",""),"/",""),"?hl=en",""),"instagram.com",""))</f>
        <v/>
      </c>
      <c r="W76" s="74" t="str">
        <f t="array" ref="W76">IF(
'Ingest Template'!Y76="",
SUBSTITUTE(
INDEX(DropdownLists!$F$2:$F$277,MATCH('Ingest Template'!D76,DropdownLists!$C$2:$C$277,0)),
CHAR(10),
"|"&amp;'Ingest Template'!C76&amp;CHAR(10)
)&amp;"|"&amp;'Ingest Template'!C76,
SUBSTITUTE(
INDEX(DropdownLists!$F$2:$F$277,MATCH('Ingest Template'!D76,DropdownLists!$C$2:$C$277,0)),
CHAR(10),
"|"&amp;'Ingest Template'!C76&amp;CHAR(10)
)&amp;"|"&amp;'Ingest Template'!C76&amp;CHAR(10)&amp;'Ingest Template'!Y76
)</f>
        <v>#N/A</v>
      </c>
      <c r="X76" s="74" t="str">
        <f>'Ingest Template'!Z76</f>
        <v/>
      </c>
      <c r="Y76" s="35" t="str">
        <f>SUBSTITUTE(SUBSTITUTE(SUBSTITUTE('Ingest Template'!AA76,"http:",""),"https:",""),"/","")</f>
        <v/>
      </c>
      <c r="Z76" s="35" t="str">
        <f t="array" ref="Z76">IF('Ingest Template'!A76="Standard",(IF(ISBLANK('Ingest Template'!AB76),"", 'Ingest Template'!AB76&amp;"|DAR")),(IF(ISBLANK('Ingest Template'!AB76),"", 'Ingest Template'!AB76&amp;"|TV Ops")))</f>
        <v/>
      </c>
      <c r="AA76" s="35"/>
      <c r="AB76" s="35" t="str">
        <f>'Ingest Template'!R76</f>
        <v/>
      </c>
      <c r="AC76" s="35" t="str">
        <f>'Ingest Template'!T76</f>
        <v/>
      </c>
      <c r="AD76" s="35" t="str">
        <f>'Ingest Template'!S76</f>
        <v/>
      </c>
      <c r="AE76" s="35" t="str">
        <f>'Ingest Template'!U76</f>
        <v/>
      </c>
      <c r="AF76" s="22"/>
      <c r="AG76" s="35" t="str">
        <f t="array" ref="AG76">IF('Ingest Template'!A76="Standard",(CONCATENATE(IF(ISBLANK('Ingest Template'!N76),"", 'Ingest Template'!N76&amp;"|DAR"),CHAR(10), IF(ISBLANK('Ingest Template'!O76),"", 'Ingest Template'!O76&amp;"|DAR"),CHAR(10), IF(ISBLANK('Ingest Template'!P76),"", 'Ingest Template'!P76&amp;"|DAR"))),(CONCATENATE(IF(ISBLANK('Ingest Template'!N76),"", 'Ingest Template'!N76&amp;"|TV Ops"),CHAR(10), IF(ISBLANK('Ingest Template'!O76),"", 'Ingest Template'!O76&amp;"|TV Ops"),CHAR(10), IF(ISBLANK('Ingest Template'!P76),"", 'Ingest Template'!P76&amp;"|TV Ops"))))</f>
        <v>
</v>
      </c>
      <c r="AH76" s="35"/>
      <c r="AI76" s="35"/>
      <c r="AJ76" s="117" t="str">
        <f>if('Ingest Template'!A76="Standard",(IF(OR('Ingest Template'!F76 = "Program Type - Special", 'Ingest Template'!F76 = "Program Type - Live Event"),'Ingest Template'!M76&amp; "|DAR|DAR|"&amp;TEXT('Ingest Template'!C76-3, "yyyy-mm-dd")&amp;"|"&amp;TEXT('Ingest Template'!C76+3, "yyyy-mm-dd"),'Ingest Template'!M76&amp; "|DAR|DAR|2021-01-01")),(IF(OR('Ingest Template'!F76 = "Program Type - Special", 'Ingest Template'!F76 = "Program Type - Live Event"),'Ingest Template'!M76&amp; "|Operations - Core Title|Operations - Core Title|"&amp;TEXT('Ingest Template'!C76-3, "yyyy-mm-dd")&amp;"|"&amp;TEXT('Ingest Template'!C76+3, "yyyy-mm-dd"),'Ingest Template'!M76&amp; "|Operations - Core Title|Operations - Core Title")))</f>
        <v>|Operations - Core Title|Operations - Core Title</v>
      </c>
      <c r="AK76" s="35"/>
      <c r="AL76" s="117" t="str">
        <f>if('Ingest Template'!A76="Standard",(IF(OR('Ingest Template'!F76 = "Program Type - Special", 'Ingest Template'!F76 = "Program Type - Live Event"),'Ingest Template'!Q76&amp;"|"&amp;TEXT('Ingest Template'!C76-3, "yyyy-mm-dd")&amp;"|"&amp;TEXT('Ingest Template'!C76+3, "yyyy-mm-dd"),'Ingest Template'!Q76&amp; "|2021-01-01")),(IF(OR('Ingest Template'!F76 = "Program Type - Special", 'Ingest Template'!F76 = "Program Type - Live Event"),'Ingest Template'!Q76&amp; "|"&amp;TEXT('Ingest Template'!C76-3, "yyyy-mm-dd")&amp;"|"&amp;TEXT('Ingest Template'!C76+3, "yyyy-mm-dd"),'Ingest Template'!Q76)))</f>
        <v/>
      </c>
      <c r="AM76" s="35" t="str">
        <f>'Ingest Template'!AC76</f>
        <v/>
      </c>
    </row>
    <row r="77">
      <c r="A77" s="15"/>
      <c r="B77" s="22" t="str">
        <f>'Ingest Template'!C77&amp;IF('Ingest Template'!A77 = "Standard", " - DAR","")</f>
        <v/>
      </c>
      <c r="C77" s="22" t="s">
        <v>83</v>
      </c>
      <c r="D77" s="22" t="str">
        <f t="array" ref="D77">CONCATENATE(INDEX(DropdownLists!$H$2:$H$11,MATCH(1,COUNTIF('Ingest Template'!E77,"*"&amp;DropdownLists!$I$2:$I$11&amp;"*"),0)),CHAR(10),'Ingest Template'!F77,CHAR(10),'Ingest Template'!G77,CHAR(10),VLOOKUP('Ingest Template'!D77,DropdownLists!C:D,2,FALSE))</f>
        <v>#N/A</v>
      </c>
      <c r="E77" s="22" t="str">
        <f>CONCATENATE('Ingest Template'!H77,CHAR(10),'Ingest Template'!I77,CHAR(10),'Ingest Template'!J77,CHAR(10))</f>
        <v>
</v>
      </c>
      <c r="F77" s="35" t="str">
        <f t="array" ref="F77">INDEX(DropdownLists!$O$2:$O$36,MATCH(1,COUNTIF(E77,"*"&amp;DropdownLists!$N$2:$N$36&amp;"*"),0))</f>
        <v/>
      </c>
      <c r="G77" s="35"/>
      <c r="H77" s="22" t="str">
        <f t="array" ref="H77">INDEX(DropdownLists!$E$2:$E$276,MATCH('Ingest Template'!D77,DropdownLists!$C$2:$C$276,0))</f>
        <v>#N/A</v>
      </c>
      <c r="I77" s="22"/>
      <c r="J77" s="22" t="str">
        <f t="array" ref="J77">iF('Ingest Template'!A77="Standard","Pristine Brand",INDEX(DropdownLists!$B$2:$B$246,MATCH('Ingest Template'!D77,DropdownLists!$C$2:$C$246,0)))</f>
        <v>#N/A</v>
      </c>
      <c r="K77" s="22" t="str">
        <f>iF('Ingest Template'!A77="Standard",'Ingest Template'!K77&amp;CHAR(10)&amp;'Ingest Template'!L77,"Competitive View")</f>
        <v>Competitive View</v>
      </c>
      <c r="L77" s="22" t="s">
        <v>95</v>
      </c>
      <c r="M77" s="45" t="str">
        <f>'Ingest Template'!B77</f>
        <v/>
      </c>
      <c r="N77" s="35"/>
      <c r="O77" s="35"/>
      <c r="P77" s="35"/>
      <c r="Q77" s="35"/>
      <c r="R77" s="35" t="str">
        <f>'Ingest Template'!D77</f>
        <v/>
      </c>
      <c r="S77" s="22" t="s">
        <v>101</v>
      </c>
      <c r="T77" s="35" t="str">
        <f>'Ingest Template'!V77</f>
        <v/>
      </c>
      <c r="U77" s="35" t="str">
        <f>'Ingest Template'!W77</f>
        <v/>
      </c>
      <c r="V77" s="35" t="str">
        <f>LOWER(SUBSTITUTE(SUBSTITUTE(SUBSTITUTE(SUBSTITUTE(SUBSTITUTE('Ingest Template'!X77,"https:",""),"www.",""),"/",""),"?hl=en",""),"instagram.com",""))</f>
        <v/>
      </c>
      <c r="W77" s="74" t="str">
        <f t="array" ref="W77">IF(
'Ingest Template'!Y77="",
SUBSTITUTE(
INDEX(DropdownLists!$F$2:$F$277,MATCH('Ingest Template'!D77,DropdownLists!$C$2:$C$277,0)),
CHAR(10),
"|"&amp;'Ingest Template'!C77&amp;CHAR(10)
)&amp;"|"&amp;'Ingest Template'!C77,
SUBSTITUTE(
INDEX(DropdownLists!$F$2:$F$277,MATCH('Ingest Template'!D77,DropdownLists!$C$2:$C$277,0)),
CHAR(10),
"|"&amp;'Ingest Template'!C77&amp;CHAR(10)
)&amp;"|"&amp;'Ingest Template'!C77&amp;CHAR(10)&amp;'Ingest Template'!Y77
)</f>
        <v>#N/A</v>
      </c>
      <c r="X77" s="74" t="str">
        <f>'Ingest Template'!Z77</f>
        <v/>
      </c>
      <c r="Y77" s="35" t="str">
        <f>SUBSTITUTE(SUBSTITUTE(SUBSTITUTE('Ingest Template'!AA77,"http:",""),"https:",""),"/","")</f>
        <v/>
      </c>
      <c r="Z77" s="35" t="str">
        <f t="array" ref="Z77">IF('Ingest Template'!A77="Standard",(IF(ISBLANK('Ingest Template'!AB77),"", 'Ingest Template'!AB77&amp;"|DAR")),(IF(ISBLANK('Ingest Template'!AB77),"", 'Ingest Template'!AB77&amp;"|TV Ops")))</f>
        <v/>
      </c>
      <c r="AA77" s="35"/>
      <c r="AB77" s="35" t="str">
        <f>'Ingest Template'!R77</f>
        <v/>
      </c>
      <c r="AC77" s="35" t="str">
        <f>'Ingest Template'!T77</f>
        <v/>
      </c>
      <c r="AD77" s="35" t="str">
        <f>'Ingest Template'!S77</f>
        <v/>
      </c>
      <c r="AE77" s="35" t="str">
        <f>'Ingest Template'!U77</f>
        <v/>
      </c>
      <c r="AF77" s="22"/>
      <c r="AG77" s="35" t="str">
        <f t="array" ref="AG77">IF('Ingest Template'!A77="Standard",(CONCATENATE(IF(ISBLANK('Ingest Template'!N77),"", 'Ingest Template'!N77&amp;"|DAR"),CHAR(10), IF(ISBLANK('Ingest Template'!O77),"", 'Ingest Template'!O77&amp;"|DAR"),CHAR(10), IF(ISBLANK('Ingest Template'!P77),"", 'Ingest Template'!P77&amp;"|DAR"))),(CONCATENATE(IF(ISBLANK('Ingest Template'!N77),"", 'Ingest Template'!N77&amp;"|TV Ops"),CHAR(10), IF(ISBLANK('Ingest Template'!O77),"", 'Ingest Template'!O77&amp;"|TV Ops"),CHAR(10), IF(ISBLANK('Ingest Template'!P77),"", 'Ingest Template'!P77&amp;"|TV Ops"))))</f>
        <v>
</v>
      </c>
      <c r="AH77" s="35"/>
      <c r="AI77" s="35"/>
      <c r="AJ77" s="117" t="str">
        <f>if('Ingest Template'!A77="Standard",(IF(OR('Ingest Template'!F77 = "Program Type - Special", 'Ingest Template'!F77 = "Program Type - Live Event"),'Ingest Template'!M77&amp; "|DAR|DAR|"&amp;TEXT('Ingest Template'!C77-3, "yyyy-mm-dd")&amp;"|"&amp;TEXT('Ingest Template'!C77+3, "yyyy-mm-dd"),'Ingest Template'!M77&amp; "|DAR|DAR|2021-01-01")),(IF(OR('Ingest Template'!F77 = "Program Type - Special", 'Ingest Template'!F77 = "Program Type - Live Event"),'Ingest Template'!M77&amp; "|Operations - Core Title|Operations - Core Title|"&amp;TEXT('Ingest Template'!C77-3, "yyyy-mm-dd")&amp;"|"&amp;TEXT('Ingest Template'!C77+3, "yyyy-mm-dd"),'Ingest Template'!M77&amp; "|Operations - Core Title|Operations - Core Title")))</f>
        <v>|Operations - Core Title|Operations - Core Title</v>
      </c>
      <c r="AK77" s="35"/>
      <c r="AL77" s="117" t="str">
        <f>if('Ingest Template'!A77="Standard",(IF(OR('Ingest Template'!F77 = "Program Type - Special", 'Ingest Template'!F77 = "Program Type - Live Event"),'Ingest Template'!Q77&amp;"|"&amp;TEXT('Ingest Template'!C77-3, "yyyy-mm-dd")&amp;"|"&amp;TEXT('Ingest Template'!C77+3, "yyyy-mm-dd"),'Ingest Template'!Q77&amp; "|2021-01-01")),(IF(OR('Ingest Template'!F77 = "Program Type - Special", 'Ingest Template'!F77 = "Program Type - Live Event"),'Ingest Template'!Q77&amp; "|"&amp;TEXT('Ingest Template'!C77-3, "yyyy-mm-dd")&amp;"|"&amp;TEXT('Ingest Template'!C77+3, "yyyy-mm-dd"),'Ingest Template'!Q77)))</f>
        <v/>
      </c>
      <c r="AM77" s="35" t="str">
        <f>'Ingest Template'!AC77</f>
        <v/>
      </c>
    </row>
    <row r="78">
      <c r="A78" s="15"/>
      <c r="B78" s="22" t="str">
        <f>'Ingest Template'!C78&amp;IF('Ingest Template'!A78 = "Standard", " - DAR","")</f>
        <v/>
      </c>
      <c r="C78" s="22" t="s">
        <v>83</v>
      </c>
      <c r="D78" s="22" t="str">
        <f t="array" ref="D78">CONCATENATE(INDEX(DropdownLists!$H$2:$H$11,MATCH(1,COUNTIF('Ingest Template'!E78,"*"&amp;DropdownLists!$I$2:$I$11&amp;"*"),0)),CHAR(10),'Ingest Template'!F78,CHAR(10),'Ingest Template'!G78,CHAR(10),VLOOKUP('Ingest Template'!D78,DropdownLists!C:D,2,FALSE))</f>
        <v>#N/A</v>
      </c>
      <c r="E78" s="22" t="str">
        <f>CONCATENATE('Ingest Template'!H78,CHAR(10),'Ingest Template'!I78,CHAR(10),'Ingest Template'!J78,CHAR(10))</f>
        <v>
</v>
      </c>
      <c r="F78" s="35" t="str">
        <f t="array" ref="F78">INDEX(DropdownLists!$O$2:$O$36,MATCH(1,COUNTIF(E78,"*"&amp;DropdownLists!$N$2:$N$36&amp;"*"),0))</f>
        <v/>
      </c>
      <c r="G78" s="35"/>
      <c r="H78" s="22" t="str">
        <f t="array" ref="H78">INDEX(DropdownLists!$E$2:$E$276,MATCH('Ingest Template'!D78,DropdownLists!$C$2:$C$276,0))</f>
        <v>#N/A</v>
      </c>
      <c r="I78" s="22"/>
      <c r="J78" s="22" t="str">
        <f t="array" ref="J78">iF('Ingest Template'!A78="Standard","Pristine Brand",INDEX(DropdownLists!$B$2:$B$246,MATCH('Ingest Template'!D78,DropdownLists!$C$2:$C$246,0)))</f>
        <v>#N/A</v>
      </c>
      <c r="K78" s="22" t="str">
        <f>iF('Ingest Template'!A78="Standard",'Ingest Template'!K78&amp;CHAR(10)&amp;'Ingest Template'!L78,"Competitive View")</f>
        <v>Competitive View</v>
      </c>
      <c r="L78" s="22" t="s">
        <v>95</v>
      </c>
      <c r="M78" s="45" t="str">
        <f>'Ingest Template'!B78</f>
        <v/>
      </c>
      <c r="N78" s="35"/>
      <c r="O78" s="35"/>
      <c r="P78" s="35"/>
      <c r="Q78" s="35"/>
      <c r="R78" s="35" t="str">
        <f>'Ingest Template'!D78</f>
        <v/>
      </c>
      <c r="S78" s="22" t="s">
        <v>101</v>
      </c>
      <c r="T78" s="35" t="str">
        <f>'Ingest Template'!V78</f>
        <v/>
      </c>
      <c r="U78" s="35" t="str">
        <f>'Ingest Template'!W78</f>
        <v/>
      </c>
      <c r="V78" s="35" t="str">
        <f>LOWER(SUBSTITUTE(SUBSTITUTE(SUBSTITUTE(SUBSTITUTE(SUBSTITUTE('Ingest Template'!X78,"https:",""),"www.",""),"/",""),"?hl=en",""),"instagram.com",""))</f>
        <v/>
      </c>
      <c r="W78" s="74" t="str">
        <f t="array" ref="W78">IF(
'Ingest Template'!Y78="",
SUBSTITUTE(
INDEX(DropdownLists!$F$2:$F$277,MATCH('Ingest Template'!D78,DropdownLists!$C$2:$C$277,0)),
CHAR(10),
"|"&amp;'Ingest Template'!C78&amp;CHAR(10)
)&amp;"|"&amp;'Ingest Template'!C78,
SUBSTITUTE(
INDEX(DropdownLists!$F$2:$F$277,MATCH('Ingest Template'!D78,DropdownLists!$C$2:$C$277,0)),
CHAR(10),
"|"&amp;'Ingest Template'!C78&amp;CHAR(10)
)&amp;"|"&amp;'Ingest Template'!C78&amp;CHAR(10)&amp;'Ingest Template'!Y78
)</f>
        <v>#N/A</v>
      </c>
      <c r="X78" s="74" t="str">
        <f>'Ingest Template'!Z78</f>
        <v/>
      </c>
      <c r="Y78" s="35" t="str">
        <f>SUBSTITUTE(SUBSTITUTE(SUBSTITUTE('Ingest Template'!AA78,"http:",""),"https:",""),"/","")</f>
        <v/>
      </c>
      <c r="Z78" s="35" t="str">
        <f t="array" ref="Z78">IF('Ingest Template'!A78="Standard",(IF(ISBLANK('Ingest Template'!AB78),"", 'Ingest Template'!AB78&amp;"|DAR")),(IF(ISBLANK('Ingest Template'!AB78),"", 'Ingest Template'!AB78&amp;"|TV Ops")))</f>
        <v/>
      </c>
      <c r="AA78" s="35"/>
      <c r="AB78" s="35" t="str">
        <f>'Ingest Template'!R78</f>
        <v/>
      </c>
      <c r="AC78" s="35" t="str">
        <f>'Ingest Template'!T78</f>
        <v/>
      </c>
      <c r="AD78" s="35" t="str">
        <f>'Ingest Template'!S78</f>
        <v/>
      </c>
      <c r="AE78" s="35" t="str">
        <f>'Ingest Template'!U78</f>
        <v/>
      </c>
      <c r="AF78" s="22"/>
      <c r="AG78" s="35" t="str">
        <f t="array" ref="AG78">IF('Ingest Template'!A78="Standard",(CONCATENATE(IF(ISBLANK('Ingest Template'!N78),"", 'Ingest Template'!N78&amp;"|DAR"),CHAR(10), IF(ISBLANK('Ingest Template'!O78),"", 'Ingest Template'!O78&amp;"|DAR"),CHAR(10), IF(ISBLANK('Ingest Template'!P78),"", 'Ingest Template'!P78&amp;"|DAR"))),(CONCATENATE(IF(ISBLANK('Ingest Template'!N78),"", 'Ingest Template'!N78&amp;"|TV Ops"),CHAR(10), IF(ISBLANK('Ingest Template'!O78),"", 'Ingest Template'!O78&amp;"|TV Ops"),CHAR(10), IF(ISBLANK('Ingest Template'!P78),"", 'Ingest Template'!P78&amp;"|TV Ops"))))</f>
        <v>
</v>
      </c>
      <c r="AH78" s="35"/>
      <c r="AI78" s="35"/>
      <c r="AJ78" s="117" t="str">
        <f>if('Ingest Template'!A78="Standard",(IF(OR('Ingest Template'!F78 = "Program Type - Special", 'Ingest Template'!F78 = "Program Type - Live Event"),'Ingest Template'!M78&amp; "|DAR|DAR|"&amp;TEXT('Ingest Template'!C78-3, "yyyy-mm-dd")&amp;"|"&amp;TEXT('Ingest Template'!C78+3, "yyyy-mm-dd"),'Ingest Template'!M78&amp; "|DAR|DAR|2021-01-01")),(IF(OR('Ingest Template'!F78 = "Program Type - Special", 'Ingest Template'!F78 = "Program Type - Live Event"),'Ingest Template'!M78&amp; "|Operations - Core Title|Operations - Core Title|"&amp;TEXT('Ingest Template'!C78-3, "yyyy-mm-dd")&amp;"|"&amp;TEXT('Ingest Template'!C78+3, "yyyy-mm-dd"),'Ingest Template'!M78&amp; "|Operations - Core Title|Operations - Core Title")))</f>
        <v>|Operations - Core Title|Operations - Core Title</v>
      </c>
      <c r="AK78" s="35"/>
      <c r="AL78" s="117" t="str">
        <f>if('Ingest Template'!A78="Standard",(IF(OR('Ingest Template'!F78 = "Program Type - Special", 'Ingest Template'!F78 = "Program Type - Live Event"),'Ingest Template'!Q78&amp;"|"&amp;TEXT('Ingest Template'!C78-3, "yyyy-mm-dd")&amp;"|"&amp;TEXT('Ingest Template'!C78+3, "yyyy-mm-dd"),'Ingest Template'!Q78&amp; "|2021-01-01")),(IF(OR('Ingest Template'!F78 = "Program Type - Special", 'Ingest Template'!F78 = "Program Type - Live Event"),'Ingest Template'!Q78&amp; "|"&amp;TEXT('Ingest Template'!C78-3, "yyyy-mm-dd")&amp;"|"&amp;TEXT('Ingest Template'!C78+3, "yyyy-mm-dd"),'Ingest Template'!Q78)))</f>
        <v/>
      </c>
      <c r="AM78" s="35" t="str">
        <f>'Ingest Template'!AC78</f>
        <v/>
      </c>
    </row>
    <row r="79">
      <c r="A79" s="15"/>
      <c r="B79" s="22" t="str">
        <f>'Ingest Template'!C79&amp;IF('Ingest Template'!A79 = "Standard", " - DAR","")</f>
        <v/>
      </c>
      <c r="C79" s="22" t="s">
        <v>83</v>
      </c>
      <c r="D79" s="22" t="str">
        <f t="array" ref="D79">CONCATENATE(INDEX(DropdownLists!$H$2:$H$11,MATCH(1,COUNTIF('Ingest Template'!E79,"*"&amp;DropdownLists!$I$2:$I$11&amp;"*"),0)),CHAR(10),'Ingest Template'!F79,CHAR(10),'Ingest Template'!G79,CHAR(10),VLOOKUP('Ingest Template'!D79,DropdownLists!C:D,2,FALSE))</f>
        <v>#N/A</v>
      </c>
      <c r="E79" s="22" t="str">
        <f>CONCATENATE('Ingest Template'!H79,CHAR(10),'Ingest Template'!I79,CHAR(10),'Ingest Template'!J79,CHAR(10))</f>
        <v>
</v>
      </c>
      <c r="F79" s="35" t="str">
        <f t="array" ref="F79">INDEX(DropdownLists!$O$2:$O$36,MATCH(1,COUNTIF(E79,"*"&amp;DropdownLists!$N$2:$N$36&amp;"*"),0))</f>
        <v/>
      </c>
      <c r="G79" s="35"/>
      <c r="H79" s="22" t="str">
        <f t="array" ref="H79">INDEX(DropdownLists!$E$2:$E$276,MATCH('Ingest Template'!D79,DropdownLists!$C$2:$C$276,0))</f>
        <v>#N/A</v>
      </c>
      <c r="I79" s="22"/>
      <c r="J79" s="22" t="str">
        <f t="array" ref="J79">iF('Ingest Template'!A79="Standard","Pristine Brand",INDEX(DropdownLists!$B$2:$B$246,MATCH('Ingest Template'!D79,DropdownLists!$C$2:$C$246,0)))</f>
        <v>#N/A</v>
      </c>
      <c r="K79" s="22" t="str">
        <f>iF('Ingest Template'!A79="Standard",'Ingest Template'!K79&amp;CHAR(10)&amp;'Ingest Template'!L79,"Competitive View")</f>
        <v>Competitive View</v>
      </c>
      <c r="L79" s="22" t="s">
        <v>95</v>
      </c>
      <c r="M79" s="45" t="str">
        <f>'Ingest Template'!B79</f>
        <v/>
      </c>
      <c r="N79" s="35"/>
      <c r="O79" s="35"/>
      <c r="P79" s="35"/>
      <c r="Q79" s="35"/>
      <c r="R79" s="35" t="str">
        <f>'Ingest Template'!D79</f>
        <v/>
      </c>
      <c r="S79" s="22" t="s">
        <v>101</v>
      </c>
      <c r="T79" s="35" t="str">
        <f>'Ingest Template'!V79</f>
        <v/>
      </c>
      <c r="U79" s="35" t="str">
        <f>'Ingest Template'!W79</f>
        <v/>
      </c>
      <c r="V79" s="35" t="str">
        <f>LOWER(SUBSTITUTE(SUBSTITUTE(SUBSTITUTE(SUBSTITUTE(SUBSTITUTE('Ingest Template'!X79,"https:",""),"www.",""),"/",""),"?hl=en",""),"instagram.com",""))</f>
        <v/>
      </c>
      <c r="W79" s="74" t="str">
        <f t="array" ref="W79">IF(
'Ingest Template'!Y79="",
SUBSTITUTE(
INDEX(DropdownLists!$F$2:$F$277,MATCH('Ingest Template'!D79,DropdownLists!$C$2:$C$277,0)),
CHAR(10),
"|"&amp;'Ingest Template'!C79&amp;CHAR(10)
)&amp;"|"&amp;'Ingest Template'!C79,
SUBSTITUTE(
INDEX(DropdownLists!$F$2:$F$277,MATCH('Ingest Template'!D79,DropdownLists!$C$2:$C$277,0)),
CHAR(10),
"|"&amp;'Ingest Template'!C79&amp;CHAR(10)
)&amp;"|"&amp;'Ingest Template'!C79&amp;CHAR(10)&amp;'Ingest Template'!Y79
)</f>
        <v>#N/A</v>
      </c>
      <c r="X79" s="74" t="str">
        <f>'Ingest Template'!Z79</f>
        <v/>
      </c>
      <c r="Y79" s="35" t="str">
        <f>SUBSTITUTE(SUBSTITUTE(SUBSTITUTE('Ingest Template'!AA79,"http:",""),"https:",""),"/","")</f>
        <v/>
      </c>
      <c r="Z79" s="35" t="str">
        <f t="array" ref="Z79">IF('Ingest Template'!A79="Standard",(IF(ISBLANK('Ingest Template'!AB79),"", 'Ingest Template'!AB79&amp;"|DAR")),(IF(ISBLANK('Ingest Template'!AB79),"", 'Ingest Template'!AB79&amp;"|TV Ops")))</f>
        <v/>
      </c>
      <c r="AA79" s="35"/>
      <c r="AB79" s="35" t="str">
        <f>'Ingest Template'!R79</f>
        <v/>
      </c>
      <c r="AC79" s="35" t="str">
        <f>'Ingest Template'!T79</f>
        <v/>
      </c>
      <c r="AD79" s="35" t="str">
        <f>'Ingest Template'!S79</f>
        <v/>
      </c>
      <c r="AE79" s="35" t="str">
        <f>'Ingest Template'!U79</f>
        <v/>
      </c>
      <c r="AF79" s="22"/>
      <c r="AG79" s="35" t="str">
        <f t="array" ref="AG79">IF('Ingest Template'!A79="Standard",(CONCATENATE(IF(ISBLANK('Ingest Template'!N79),"", 'Ingest Template'!N79&amp;"|DAR"),CHAR(10), IF(ISBLANK('Ingest Template'!O79),"", 'Ingest Template'!O79&amp;"|DAR"),CHAR(10), IF(ISBLANK('Ingest Template'!P79),"", 'Ingest Template'!P79&amp;"|DAR"))),(CONCATENATE(IF(ISBLANK('Ingest Template'!N79),"", 'Ingest Template'!N79&amp;"|TV Ops"),CHAR(10), IF(ISBLANK('Ingest Template'!O79),"", 'Ingest Template'!O79&amp;"|TV Ops"),CHAR(10), IF(ISBLANK('Ingest Template'!P79),"", 'Ingest Template'!P79&amp;"|TV Ops"))))</f>
        <v>
</v>
      </c>
      <c r="AH79" s="35"/>
      <c r="AI79" s="35"/>
      <c r="AJ79" s="117" t="str">
        <f>if('Ingest Template'!A79="Standard",(IF(OR('Ingest Template'!F79 = "Program Type - Special", 'Ingest Template'!F79 = "Program Type - Live Event"),'Ingest Template'!M79&amp; "|DAR|DAR|"&amp;TEXT('Ingest Template'!C79-3, "yyyy-mm-dd")&amp;"|"&amp;TEXT('Ingest Template'!C79+3, "yyyy-mm-dd"),'Ingest Template'!M79&amp; "|DAR|DAR|2021-01-01")),(IF(OR('Ingest Template'!F79 = "Program Type - Special", 'Ingest Template'!F79 = "Program Type - Live Event"),'Ingest Template'!M79&amp; "|Operations - Core Title|Operations - Core Title|"&amp;TEXT('Ingest Template'!C79-3, "yyyy-mm-dd")&amp;"|"&amp;TEXT('Ingest Template'!C79+3, "yyyy-mm-dd"),'Ingest Template'!M79&amp; "|Operations - Core Title|Operations - Core Title")))</f>
        <v>|Operations - Core Title|Operations - Core Title</v>
      </c>
      <c r="AK79" s="35"/>
      <c r="AL79" s="117" t="str">
        <f>if('Ingest Template'!A79="Standard",(IF(OR('Ingest Template'!F79 = "Program Type - Special", 'Ingest Template'!F79 = "Program Type - Live Event"),'Ingest Template'!Q79&amp;"|"&amp;TEXT('Ingest Template'!C79-3, "yyyy-mm-dd")&amp;"|"&amp;TEXT('Ingest Template'!C79+3, "yyyy-mm-dd"),'Ingest Template'!Q79&amp; "|2021-01-01")),(IF(OR('Ingest Template'!F79 = "Program Type - Special", 'Ingest Template'!F79 = "Program Type - Live Event"),'Ingest Template'!Q79&amp; "|"&amp;TEXT('Ingest Template'!C79-3, "yyyy-mm-dd")&amp;"|"&amp;TEXT('Ingest Template'!C79+3, "yyyy-mm-dd"),'Ingest Template'!Q79)))</f>
        <v/>
      </c>
      <c r="AM79" s="35" t="str">
        <f>'Ingest Template'!AC79</f>
        <v/>
      </c>
    </row>
    <row r="80">
      <c r="A80" s="15"/>
      <c r="B80" s="22" t="str">
        <f>'Ingest Template'!C80&amp;IF('Ingest Template'!A80 = "Standard", " - DAR","")</f>
        <v/>
      </c>
      <c r="C80" s="22" t="s">
        <v>83</v>
      </c>
      <c r="D80" s="22" t="str">
        <f t="array" ref="D80">CONCATENATE(INDEX(DropdownLists!$H$2:$H$11,MATCH(1,COUNTIF('Ingest Template'!E80,"*"&amp;DropdownLists!$I$2:$I$11&amp;"*"),0)),CHAR(10),'Ingest Template'!F80,CHAR(10),'Ingest Template'!G80,CHAR(10),VLOOKUP('Ingest Template'!D80,DropdownLists!C:D,2,FALSE))</f>
        <v>#N/A</v>
      </c>
      <c r="E80" s="22" t="str">
        <f>CONCATENATE('Ingest Template'!H80,CHAR(10),'Ingest Template'!I80,CHAR(10),'Ingest Template'!J80,CHAR(10))</f>
        <v>
</v>
      </c>
      <c r="F80" s="35" t="str">
        <f t="array" ref="F80">INDEX(DropdownLists!$O$2:$O$36,MATCH(1,COUNTIF(E80,"*"&amp;DropdownLists!$N$2:$N$36&amp;"*"),0))</f>
        <v/>
      </c>
      <c r="G80" s="35"/>
      <c r="H80" s="22" t="str">
        <f t="array" ref="H80">INDEX(DropdownLists!$E$2:$E$276,MATCH('Ingest Template'!D80,DropdownLists!$C$2:$C$276,0))</f>
        <v>#N/A</v>
      </c>
      <c r="I80" s="22"/>
      <c r="J80" s="22" t="str">
        <f t="array" ref="J80">iF('Ingest Template'!A80="Standard","Pristine Brand",INDEX(DropdownLists!$B$2:$B$246,MATCH('Ingest Template'!D80,DropdownLists!$C$2:$C$246,0)))</f>
        <v>#N/A</v>
      </c>
      <c r="K80" s="22" t="str">
        <f>iF('Ingest Template'!A80="Standard",'Ingest Template'!K80&amp;CHAR(10)&amp;'Ingest Template'!L80,"Competitive View")</f>
        <v>Competitive View</v>
      </c>
      <c r="L80" s="22" t="s">
        <v>95</v>
      </c>
      <c r="M80" s="45" t="str">
        <f>'Ingest Template'!B80</f>
        <v/>
      </c>
      <c r="N80" s="35"/>
      <c r="O80" s="35"/>
      <c r="P80" s="35"/>
      <c r="Q80" s="35"/>
      <c r="R80" s="35" t="str">
        <f>'Ingest Template'!D80</f>
        <v/>
      </c>
      <c r="S80" s="22" t="s">
        <v>101</v>
      </c>
      <c r="T80" s="35" t="str">
        <f>'Ingest Template'!V80</f>
        <v/>
      </c>
      <c r="U80" s="35" t="str">
        <f>'Ingest Template'!W80</f>
        <v/>
      </c>
      <c r="V80" s="35" t="str">
        <f>LOWER(SUBSTITUTE(SUBSTITUTE(SUBSTITUTE(SUBSTITUTE(SUBSTITUTE('Ingest Template'!X80,"https:",""),"www.",""),"/",""),"?hl=en",""),"instagram.com",""))</f>
        <v/>
      </c>
      <c r="W80" s="74" t="str">
        <f t="array" ref="W80">IF(
'Ingest Template'!Y80="",
SUBSTITUTE(
INDEX(DropdownLists!$F$2:$F$277,MATCH('Ingest Template'!D80,DropdownLists!$C$2:$C$277,0)),
CHAR(10),
"|"&amp;'Ingest Template'!C80&amp;CHAR(10)
)&amp;"|"&amp;'Ingest Template'!C80,
SUBSTITUTE(
INDEX(DropdownLists!$F$2:$F$277,MATCH('Ingest Template'!D80,DropdownLists!$C$2:$C$277,0)),
CHAR(10),
"|"&amp;'Ingest Template'!C80&amp;CHAR(10)
)&amp;"|"&amp;'Ingest Template'!C80&amp;CHAR(10)&amp;'Ingest Template'!Y80
)</f>
        <v>#N/A</v>
      </c>
      <c r="X80" s="74" t="str">
        <f>'Ingest Template'!Z80</f>
        <v/>
      </c>
      <c r="Y80" s="35" t="str">
        <f>SUBSTITUTE(SUBSTITUTE(SUBSTITUTE('Ingest Template'!AA80,"http:",""),"https:",""),"/","")</f>
        <v/>
      </c>
      <c r="Z80" s="35" t="str">
        <f t="array" ref="Z80">IF('Ingest Template'!A80="Standard",(IF(ISBLANK('Ingest Template'!AB80),"", 'Ingest Template'!AB80&amp;"|DAR")),(IF(ISBLANK('Ingest Template'!AB80),"", 'Ingest Template'!AB80&amp;"|TV Ops")))</f>
        <v/>
      </c>
      <c r="AA80" s="35"/>
      <c r="AB80" s="35" t="str">
        <f>'Ingest Template'!R80</f>
        <v/>
      </c>
      <c r="AC80" s="35" t="str">
        <f>'Ingest Template'!T80</f>
        <v/>
      </c>
      <c r="AD80" s="35" t="str">
        <f>'Ingest Template'!S80</f>
        <v/>
      </c>
      <c r="AE80" s="35" t="str">
        <f>'Ingest Template'!U80</f>
        <v/>
      </c>
      <c r="AF80" s="22"/>
      <c r="AG80" s="35" t="str">
        <f t="array" ref="AG80">IF('Ingest Template'!A80="Standard",(CONCATENATE(IF(ISBLANK('Ingest Template'!N80),"", 'Ingest Template'!N80&amp;"|DAR"),CHAR(10), IF(ISBLANK('Ingest Template'!O80),"", 'Ingest Template'!O80&amp;"|DAR"),CHAR(10), IF(ISBLANK('Ingest Template'!P80),"", 'Ingest Template'!P80&amp;"|DAR"))),(CONCATENATE(IF(ISBLANK('Ingest Template'!N80),"", 'Ingest Template'!N80&amp;"|TV Ops"),CHAR(10), IF(ISBLANK('Ingest Template'!O80),"", 'Ingest Template'!O80&amp;"|TV Ops"),CHAR(10), IF(ISBLANK('Ingest Template'!P80),"", 'Ingest Template'!P80&amp;"|TV Ops"))))</f>
        <v>
</v>
      </c>
      <c r="AH80" s="35"/>
      <c r="AI80" s="35"/>
      <c r="AJ80" s="117" t="str">
        <f>if('Ingest Template'!A80="Standard",(IF(OR('Ingest Template'!F80 = "Program Type - Special", 'Ingest Template'!F80 = "Program Type - Live Event"),'Ingest Template'!M80&amp; "|DAR|DAR|"&amp;TEXT('Ingest Template'!C80-3, "yyyy-mm-dd")&amp;"|"&amp;TEXT('Ingest Template'!C80+3, "yyyy-mm-dd"),'Ingest Template'!M80&amp; "|DAR|DAR|2021-01-01")),(IF(OR('Ingest Template'!F80 = "Program Type - Special", 'Ingest Template'!F80 = "Program Type - Live Event"),'Ingest Template'!M80&amp; "|Operations - Core Title|Operations - Core Title|"&amp;TEXT('Ingest Template'!C80-3, "yyyy-mm-dd")&amp;"|"&amp;TEXT('Ingest Template'!C80+3, "yyyy-mm-dd"),'Ingest Template'!M80&amp; "|Operations - Core Title|Operations - Core Title")))</f>
        <v>|Operations - Core Title|Operations - Core Title</v>
      </c>
      <c r="AK80" s="35"/>
      <c r="AL80" s="117" t="str">
        <f>if('Ingest Template'!A80="Standard",(IF(OR('Ingest Template'!F80 = "Program Type - Special", 'Ingest Template'!F80 = "Program Type - Live Event"),'Ingest Template'!Q80&amp;"|"&amp;TEXT('Ingest Template'!C80-3, "yyyy-mm-dd")&amp;"|"&amp;TEXT('Ingest Template'!C80+3, "yyyy-mm-dd"),'Ingest Template'!Q80&amp; "|2021-01-01")),(IF(OR('Ingest Template'!F80 = "Program Type - Special", 'Ingest Template'!F80 = "Program Type - Live Event"),'Ingest Template'!Q80&amp; "|"&amp;TEXT('Ingest Template'!C80-3, "yyyy-mm-dd")&amp;"|"&amp;TEXT('Ingest Template'!C80+3, "yyyy-mm-dd"),'Ingest Template'!Q80)))</f>
        <v/>
      </c>
      <c r="AM80" s="35" t="str">
        <f>'Ingest Template'!AC80</f>
        <v/>
      </c>
    </row>
    <row r="81">
      <c r="A81" s="15"/>
      <c r="B81" s="22" t="str">
        <f>'Ingest Template'!C81&amp;IF('Ingest Template'!A81 = "Standard", " - DAR","")</f>
        <v/>
      </c>
      <c r="C81" s="22" t="s">
        <v>83</v>
      </c>
      <c r="D81" s="22" t="str">
        <f t="array" ref="D81">CONCATENATE(INDEX(DropdownLists!$H$2:$H$11,MATCH(1,COUNTIF('Ingest Template'!E81,"*"&amp;DropdownLists!$I$2:$I$11&amp;"*"),0)),CHAR(10),'Ingest Template'!F81,CHAR(10),'Ingest Template'!G81,CHAR(10),VLOOKUP('Ingest Template'!D81,DropdownLists!C:D,2,FALSE))</f>
        <v>#N/A</v>
      </c>
      <c r="E81" s="22" t="str">
        <f>CONCATENATE('Ingest Template'!H81,CHAR(10),'Ingest Template'!I81,CHAR(10),'Ingest Template'!J81,CHAR(10))</f>
        <v>
</v>
      </c>
      <c r="F81" s="35" t="str">
        <f t="array" ref="F81">INDEX(DropdownLists!$O$2:$O$36,MATCH(1,COUNTIF(E81,"*"&amp;DropdownLists!$N$2:$N$36&amp;"*"),0))</f>
        <v/>
      </c>
      <c r="G81" s="35"/>
      <c r="H81" s="22" t="str">
        <f t="array" ref="H81">INDEX(DropdownLists!$E$2:$E$276,MATCH('Ingest Template'!D81,DropdownLists!$C$2:$C$276,0))</f>
        <v>#N/A</v>
      </c>
      <c r="I81" s="22"/>
      <c r="J81" s="22" t="str">
        <f t="array" ref="J81">iF('Ingest Template'!A81="Standard","Pristine Brand",INDEX(DropdownLists!$B$2:$B$246,MATCH('Ingest Template'!D81,DropdownLists!$C$2:$C$246,0)))</f>
        <v>#N/A</v>
      </c>
      <c r="K81" s="22" t="str">
        <f>iF('Ingest Template'!A81="Standard",'Ingest Template'!K81&amp;CHAR(10)&amp;'Ingest Template'!L81,"Competitive View")</f>
        <v>Competitive View</v>
      </c>
      <c r="L81" s="22" t="s">
        <v>95</v>
      </c>
      <c r="M81" s="45" t="str">
        <f>'Ingest Template'!B81</f>
        <v/>
      </c>
      <c r="N81" s="35"/>
      <c r="O81" s="35"/>
      <c r="P81" s="35"/>
      <c r="Q81" s="35"/>
      <c r="R81" s="35" t="str">
        <f>'Ingest Template'!D81</f>
        <v/>
      </c>
      <c r="S81" s="22" t="s">
        <v>101</v>
      </c>
      <c r="T81" s="35" t="str">
        <f>'Ingest Template'!V81</f>
        <v/>
      </c>
      <c r="U81" s="35" t="str">
        <f>'Ingest Template'!W81</f>
        <v/>
      </c>
      <c r="V81" s="35" t="str">
        <f>LOWER(SUBSTITUTE(SUBSTITUTE(SUBSTITUTE(SUBSTITUTE(SUBSTITUTE('Ingest Template'!X81,"https:",""),"www.",""),"/",""),"?hl=en",""),"instagram.com",""))</f>
        <v/>
      </c>
      <c r="W81" s="74" t="str">
        <f t="array" ref="W81">IF(
'Ingest Template'!Y81="",
SUBSTITUTE(
INDEX(DropdownLists!$F$2:$F$277,MATCH('Ingest Template'!D81,DropdownLists!$C$2:$C$277,0)),
CHAR(10),
"|"&amp;'Ingest Template'!C81&amp;CHAR(10)
)&amp;"|"&amp;'Ingest Template'!C81,
SUBSTITUTE(
INDEX(DropdownLists!$F$2:$F$277,MATCH('Ingest Template'!D81,DropdownLists!$C$2:$C$277,0)),
CHAR(10),
"|"&amp;'Ingest Template'!C81&amp;CHAR(10)
)&amp;"|"&amp;'Ingest Template'!C81&amp;CHAR(10)&amp;'Ingest Template'!Y81
)</f>
        <v>#N/A</v>
      </c>
      <c r="X81" s="74" t="str">
        <f>'Ingest Template'!Z81</f>
        <v/>
      </c>
      <c r="Y81" s="35" t="str">
        <f>SUBSTITUTE(SUBSTITUTE(SUBSTITUTE('Ingest Template'!AA81,"http:",""),"https:",""),"/","")</f>
        <v/>
      </c>
      <c r="Z81" s="35" t="str">
        <f t="array" ref="Z81">IF('Ingest Template'!A81="Standard",(IF(ISBLANK('Ingest Template'!AB81),"", 'Ingest Template'!AB81&amp;"|DAR")),(IF(ISBLANK('Ingest Template'!AB81),"", 'Ingest Template'!AB81&amp;"|TV Ops")))</f>
        <v/>
      </c>
      <c r="AA81" s="35"/>
      <c r="AB81" s="35" t="str">
        <f>'Ingest Template'!R81</f>
        <v/>
      </c>
      <c r="AC81" s="35" t="str">
        <f>'Ingest Template'!T81</f>
        <v/>
      </c>
      <c r="AD81" s="35" t="str">
        <f>'Ingest Template'!S81</f>
        <v/>
      </c>
      <c r="AE81" s="35" t="str">
        <f>'Ingest Template'!U81</f>
        <v/>
      </c>
      <c r="AF81" s="22"/>
      <c r="AG81" s="35" t="str">
        <f t="array" ref="AG81">IF('Ingest Template'!A81="Standard",(CONCATENATE(IF(ISBLANK('Ingest Template'!N81),"", 'Ingest Template'!N81&amp;"|DAR"),CHAR(10), IF(ISBLANK('Ingest Template'!O81),"", 'Ingest Template'!O81&amp;"|DAR"),CHAR(10), IF(ISBLANK('Ingest Template'!P81),"", 'Ingest Template'!P81&amp;"|DAR"))),(CONCATENATE(IF(ISBLANK('Ingest Template'!N81),"", 'Ingest Template'!N81&amp;"|TV Ops"),CHAR(10), IF(ISBLANK('Ingest Template'!O81),"", 'Ingest Template'!O81&amp;"|TV Ops"),CHAR(10), IF(ISBLANK('Ingest Template'!P81),"", 'Ingest Template'!P81&amp;"|TV Ops"))))</f>
        <v>
</v>
      </c>
      <c r="AH81" s="35"/>
      <c r="AI81" s="35"/>
      <c r="AJ81" s="117" t="str">
        <f>if('Ingest Template'!A81="Standard",(IF(OR('Ingest Template'!F81 = "Program Type - Special", 'Ingest Template'!F81 = "Program Type - Live Event"),'Ingest Template'!M81&amp; "|DAR|DAR|"&amp;TEXT('Ingest Template'!C81-3, "yyyy-mm-dd")&amp;"|"&amp;TEXT('Ingest Template'!C81+3, "yyyy-mm-dd"),'Ingest Template'!M81&amp; "|DAR|DAR|2021-01-01")),(IF(OR('Ingest Template'!F81 = "Program Type - Special", 'Ingest Template'!F81 = "Program Type - Live Event"),'Ingest Template'!M81&amp; "|Operations - Core Title|Operations - Core Title|"&amp;TEXT('Ingest Template'!C81-3, "yyyy-mm-dd")&amp;"|"&amp;TEXT('Ingest Template'!C81+3, "yyyy-mm-dd"),'Ingest Template'!M81&amp; "|Operations - Core Title|Operations - Core Title")))</f>
        <v>|Operations - Core Title|Operations - Core Title</v>
      </c>
      <c r="AK81" s="35"/>
      <c r="AL81" s="117" t="str">
        <f>if('Ingest Template'!A81="Standard",(IF(OR('Ingest Template'!F81 = "Program Type - Special", 'Ingest Template'!F81 = "Program Type - Live Event"),'Ingest Template'!Q81&amp;"|"&amp;TEXT('Ingest Template'!C81-3, "yyyy-mm-dd")&amp;"|"&amp;TEXT('Ingest Template'!C81+3, "yyyy-mm-dd"),'Ingest Template'!Q81&amp; "|2021-01-01")),(IF(OR('Ingest Template'!F81 = "Program Type - Special", 'Ingest Template'!F81 = "Program Type - Live Event"),'Ingest Template'!Q81&amp; "|"&amp;TEXT('Ingest Template'!C81-3, "yyyy-mm-dd")&amp;"|"&amp;TEXT('Ingest Template'!C81+3, "yyyy-mm-dd"),'Ingest Template'!Q81)))</f>
        <v/>
      </c>
      <c r="AM81" s="35" t="str">
        <f>'Ingest Template'!AC81</f>
        <v/>
      </c>
    </row>
    <row r="82">
      <c r="A82" s="15"/>
      <c r="B82" s="22" t="str">
        <f>'Ingest Template'!C82&amp;IF('Ingest Template'!A82 = "Standard", " - DAR","")</f>
        <v/>
      </c>
      <c r="C82" s="22" t="s">
        <v>83</v>
      </c>
      <c r="D82" s="22" t="str">
        <f t="array" ref="D82">CONCATENATE(INDEX(DropdownLists!$H$2:$H$11,MATCH(1,COUNTIF('Ingest Template'!E82,"*"&amp;DropdownLists!$I$2:$I$11&amp;"*"),0)),CHAR(10),'Ingest Template'!F82,CHAR(10),'Ingest Template'!G82,CHAR(10),VLOOKUP('Ingest Template'!D82,DropdownLists!C:D,2,FALSE))</f>
        <v>#N/A</v>
      </c>
      <c r="E82" s="22" t="str">
        <f>CONCATENATE('Ingest Template'!H82,CHAR(10),'Ingest Template'!I82,CHAR(10),'Ingest Template'!J82,CHAR(10))</f>
        <v>
</v>
      </c>
      <c r="F82" s="35" t="str">
        <f t="array" ref="F82">INDEX(DropdownLists!$O$2:$O$36,MATCH(1,COUNTIF(E82,"*"&amp;DropdownLists!$N$2:$N$36&amp;"*"),0))</f>
        <v/>
      </c>
      <c r="G82" s="35"/>
      <c r="H82" s="22" t="str">
        <f t="array" ref="H82">INDEX(DropdownLists!$E$2:$E$276,MATCH('Ingest Template'!D82,DropdownLists!$C$2:$C$276,0))</f>
        <v>#N/A</v>
      </c>
      <c r="I82" s="22"/>
      <c r="J82" s="22" t="str">
        <f t="array" ref="J82">iF('Ingest Template'!A82="Standard","Pristine Brand",INDEX(DropdownLists!$B$2:$B$246,MATCH('Ingest Template'!D82,DropdownLists!$C$2:$C$246,0)))</f>
        <v>#N/A</v>
      </c>
      <c r="K82" s="22" t="str">
        <f>iF('Ingest Template'!A82="Standard",'Ingest Template'!K82&amp;CHAR(10)&amp;'Ingest Template'!L82,"Competitive View")</f>
        <v>Competitive View</v>
      </c>
      <c r="L82" s="22" t="s">
        <v>95</v>
      </c>
      <c r="M82" s="45" t="str">
        <f>'Ingest Template'!B82</f>
        <v/>
      </c>
      <c r="N82" s="35"/>
      <c r="O82" s="35"/>
      <c r="P82" s="35"/>
      <c r="Q82" s="35"/>
      <c r="R82" s="35" t="str">
        <f>'Ingest Template'!D82</f>
        <v/>
      </c>
      <c r="S82" s="22" t="s">
        <v>101</v>
      </c>
      <c r="T82" s="35" t="str">
        <f>'Ingest Template'!V82</f>
        <v/>
      </c>
      <c r="U82" s="35" t="str">
        <f>'Ingest Template'!W82</f>
        <v/>
      </c>
      <c r="V82" s="35" t="str">
        <f>LOWER(SUBSTITUTE(SUBSTITUTE(SUBSTITUTE(SUBSTITUTE(SUBSTITUTE('Ingest Template'!X82,"https:",""),"www.",""),"/",""),"?hl=en",""),"instagram.com",""))</f>
        <v/>
      </c>
      <c r="W82" s="74" t="str">
        <f t="array" ref="W82">IF(
'Ingest Template'!Y82="",
SUBSTITUTE(
INDEX(DropdownLists!$F$2:$F$277,MATCH('Ingest Template'!D82,DropdownLists!$C$2:$C$277,0)),
CHAR(10),
"|"&amp;'Ingest Template'!C82&amp;CHAR(10)
)&amp;"|"&amp;'Ingest Template'!C82,
SUBSTITUTE(
INDEX(DropdownLists!$F$2:$F$277,MATCH('Ingest Template'!D82,DropdownLists!$C$2:$C$277,0)),
CHAR(10),
"|"&amp;'Ingest Template'!C82&amp;CHAR(10)
)&amp;"|"&amp;'Ingest Template'!C82&amp;CHAR(10)&amp;'Ingest Template'!Y82
)</f>
        <v>#N/A</v>
      </c>
      <c r="X82" s="74" t="str">
        <f>'Ingest Template'!Z82</f>
        <v/>
      </c>
      <c r="Y82" s="35" t="str">
        <f>SUBSTITUTE(SUBSTITUTE(SUBSTITUTE('Ingest Template'!AA82,"http:",""),"https:",""),"/","")</f>
        <v/>
      </c>
      <c r="Z82" s="35" t="str">
        <f t="array" ref="Z82">IF('Ingest Template'!A82="Standard",(IF(ISBLANK('Ingest Template'!AB82),"", 'Ingest Template'!AB82&amp;"|DAR")),(IF(ISBLANK('Ingest Template'!AB82),"", 'Ingest Template'!AB82&amp;"|TV Ops")))</f>
        <v/>
      </c>
      <c r="AA82" s="35"/>
      <c r="AB82" s="35" t="str">
        <f>'Ingest Template'!R82</f>
        <v/>
      </c>
      <c r="AC82" s="35" t="str">
        <f>'Ingest Template'!T82</f>
        <v/>
      </c>
      <c r="AD82" s="35" t="str">
        <f>'Ingest Template'!S82</f>
        <v/>
      </c>
      <c r="AE82" s="35" t="str">
        <f>'Ingest Template'!U82</f>
        <v/>
      </c>
      <c r="AF82" s="22"/>
      <c r="AG82" s="35" t="str">
        <f t="array" ref="AG82">IF('Ingest Template'!A82="Standard",(CONCATENATE(IF(ISBLANK('Ingest Template'!N82),"", 'Ingest Template'!N82&amp;"|DAR"),CHAR(10), IF(ISBLANK('Ingest Template'!O82),"", 'Ingest Template'!O82&amp;"|DAR"),CHAR(10), IF(ISBLANK('Ingest Template'!P82),"", 'Ingest Template'!P82&amp;"|DAR"))),(CONCATENATE(IF(ISBLANK('Ingest Template'!N82),"", 'Ingest Template'!N82&amp;"|TV Ops"),CHAR(10), IF(ISBLANK('Ingest Template'!O82),"", 'Ingest Template'!O82&amp;"|TV Ops"),CHAR(10), IF(ISBLANK('Ingest Template'!P82),"", 'Ingest Template'!P82&amp;"|TV Ops"))))</f>
        <v>
</v>
      </c>
      <c r="AH82" s="35"/>
      <c r="AI82" s="35"/>
      <c r="AJ82" s="117" t="str">
        <f>if('Ingest Template'!A82="Standard",(IF(OR('Ingest Template'!F82 = "Program Type - Special", 'Ingest Template'!F82 = "Program Type - Live Event"),'Ingest Template'!M82&amp; "|DAR|DAR|"&amp;TEXT('Ingest Template'!C82-3, "yyyy-mm-dd")&amp;"|"&amp;TEXT('Ingest Template'!C82+3, "yyyy-mm-dd"),'Ingest Template'!M82&amp; "|DAR|DAR|2021-01-01")),(IF(OR('Ingest Template'!F82 = "Program Type - Special", 'Ingest Template'!F82 = "Program Type - Live Event"),'Ingest Template'!M82&amp; "|Operations - Core Title|Operations - Core Title|"&amp;TEXT('Ingest Template'!C82-3, "yyyy-mm-dd")&amp;"|"&amp;TEXT('Ingest Template'!C82+3, "yyyy-mm-dd"),'Ingest Template'!M82&amp; "|Operations - Core Title|Operations - Core Title")))</f>
        <v>|Operations - Core Title|Operations - Core Title</v>
      </c>
      <c r="AK82" s="35"/>
      <c r="AL82" s="117" t="str">
        <f>if('Ingest Template'!A82="Standard",(IF(OR('Ingest Template'!F82 = "Program Type - Special", 'Ingest Template'!F82 = "Program Type - Live Event"),'Ingest Template'!Q82&amp;"|"&amp;TEXT('Ingest Template'!C82-3, "yyyy-mm-dd")&amp;"|"&amp;TEXT('Ingest Template'!C82+3, "yyyy-mm-dd"),'Ingest Template'!Q82&amp; "|2021-01-01")),(IF(OR('Ingest Template'!F82 = "Program Type - Special", 'Ingest Template'!F82 = "Program Type - Live Event"),'Ingest Template'!Q82&amp; "|"&amp;TEXT('Ingest Template'!C82-3, "yyyy-mm-dd")&amp;"|"&amp;TEXT('Ingest Template'!C82+3, "yyyy-mm-dd"),'Ingest Template'!Q82)))</f>
        <v/>
      </c>
      <c r="AM82" s="35" t="str">
        <f>'Ingest Template'!AC82</f>
        <v/>
      </c>
    </row>
    <row r="83">
      <c r="A83" s="15"/>
      <c r="B83" s="22" t="str">
        <f>'Ingest Template'!C83&amp;IF('Ingest Template'!A83 = "Standard", " - DAR","")</f>
        <v/>
      </c>
      <c r="C83" s="22" t="s">
        <v>83</v>
      </c>
      <c r="D83" s="22" t="str">
        <f t="array" ref="D83">CONCATENATE(INDEX(DropdownLists!$H$2:$H$11,MATCH(1,COUNTIF('Ingest Template'!E83,"*"&amp;DropdownLists!$I$2:$I$11&amp;"*"),0)),CHAR(10),'Ingest Template'!F83,CHAR(10),'Ingest Template'!G83,CHAR(10),VLOOKUP('Ingest Template'!D83,DropdownLists!C:D,2,FALSE))</f>
        <v>#N/A</v>
      </c>
      <c r="E83" s="22" t="str">
        <f>CONCATENATE('Ingest Template'!H83,CHAR(10),'Ingest Template'!I83,CHAR(10),'Ingest Template'!J83,CHAR(10))</f>
        <v>
</v>
      </c>
      <c r="F83" s="35" t="str">
        <f t="array" ref="F83">INDEX(DropdownLists!$O$2:$O$36,MATCH(1,COUNTIF(E83,"*"&amp;DropdownLists!$N$2:$N$36&amp;"*"),0))</f>
        <v/>
      </c>
      <c r="G83" s="35"/>
      <c r="H83" s="22" t="str">
        <f t="array" ref="H83">INDEX(DropdownLists!$E$2:$E$276,MATCH('Ingest Template'!D83,DropdownLists!$C$2:$C$276,0))</f>
        <v>#N/A</v>
      </c>
      <c r="I83" s="22"/>
      <c r="J83" s="22" t="str">
        <f t="array" ref="J83">iF('Ingest Template'!A83="Standard","Pristine Brand",INDEX(DropdownLists!$B$2:$B$246,MATCH('Ingest Template'!D83,DropdownLists!$C$2:$C$246,0)))</f>
        <v>#N/A</v>
      </c>
      <c r="K83" s="22" t="str">
        <f>iF('Ingest Template'!A83="Standard",'Ingest Template'!K83&amp;CHAR(10)&amp;'Ingest Template'!L83,"Competitive View")</f>
        <v>Competitive View</v>
      </c>
      <c r="L83" s="22" t="s">
        <v>95</v>
      </c>
      <c r="M83" s="45" t="str">
        <f>'Ingest Template'!B83</f>
        <v/>
      </c>
      <c r="N83" s="35"/>
      <c r="O83" s="35"/>
      <c r="P83" s="35"/>
      <c r="Q83" s="35"/>
      <c r="R83" s="35" t="str">
        <f>'Ingest Template'!D83</f>
        <v/>
      </c>
      <c r="S83" s="22" t="s">
        <v>101</v>
      </c>
      <c r="T83" s="35" t="str">
        <f>'Ingest Template'!V83</f>
        <v/>
      </c>
      <c r="U83" s="35" t="str">
        <f>'Ingest Template'!W83</f>
        <v/>
      </c>
      <c r="V83" s="35" t="str">
        <f>LOWER(SUBSTITUTE(SUBSTITUTE(SUBSTITUTE(SUBSTITUTE(SUBSTITUTE('Ingest Template'!X83,"https:",""),"www.",""),"/",""),"?hl=en",""),"instagram.com",""))</f>
        <v/>
      </c>
      <c r="W83" s="74" t="str">
        <f t="array" ref="W83">IF(
'Ingest Template'!Y83="",
SUBSTITUTE(
INDEX(DropdownLists!$F$2:$F$277,MATCH('Ingest Template'!D83,DropdownLists!$C$2:$C$277,0)),
CHAR(10),
"|"&amp;'Ingest Template'!C83&amp;CHAR(10)
)&amp;"|"&amp;'Ingest Template'!C83,
SUBSTITUTE(
INDEX(DropdownLists!$F$2:$F$277,MATCH('Ingest Template'!D83,DropdownLists!$C$2:$C$277,0)),
CHAR(10),
"|"&amp;'Ingest Template'!C83&amp;CHAR(10)
)&amp;"|"&amp;'Ingest Template'!C83&amp;CHAR(10)&amp;'Ingest Template'!Y83
)</f>
        <v>#N/A</v>
      </c>
      <c r="X83" s="74" t="str">
        <f>'Ingest Template'!Z83</f>
        <v/>
      </c>
      <c r="Y83" s="35" t="str">
        <f>SUBSTITUTE(SUBSTITUTE(SUBSTITUTE('Ingest Template'!AA83,"http:",""),"https:",""),"/","")</f>
        <v/>
      </c>
      <c r="Z83" s="35" t="str">
        <f t="array" ref="Z83">IF('Ingest Template'!A83="Standard",(IF(ISBLANK('Ingest Template'!AB83),"", 'Ingest Template'!AB83&amp;"|DAR")),(IF(ISBLANK('Ingest Template'!AB83),"", 'Ingest Template'!AB83&amp;"|TV Ops")))</f>
        <v/>
      </c>
      <c r="AA83" s="35"/>
      <c r="AB83" s="35" t="str">
        <f>'Ingest Template'!R83</f>
        <v/>
      </c>
      <c r="AC83" s="35" t="str">
        <f>'Ingest Template'!T83</f>
        <v/>
      </c>
      <c r="AD83" s="35" t="str">
        <f>'Ingest Template'!S83</f>
        <v/>
      </c>
      <c r="AE83" s="35" t="str">
        <f>'Ingest Template'!U83</f>
        <v/>
      </c>
      <c r="AF83" s="22"/>
      <c r="AG83" s="35" t="str">
        <f t="array" ref="AG83">IF('Ingest Template'!A83="Standard",(CONCATENATE(IF(ISBLANK('Ingest Template'!N83),"", 'Ingest Template'!N83&amp;"|DAR"),CHAR(10), IF(ISBLANK('Ingest Template'!O83),"", 'Ingest Template'!O83&amp;"|DAR"),CHAR(10), IF(ISBLANK('Ingest Template'!P83),"", 'Ingest Template'!P83&amp;"|DAR"))),(CONCATENATE(IF(ISBLANK('Ingest Template'!N83),"", 'Ingest Template'!N83&amp;"|TV Ops"),CHAR(10), IF(ISBLANK('Ingest Template'!O83),"", 'Ingest Template'!O83&amp;"|TV Ops"),CHAR(10), IF(ISBLANK('Ingest Template'!P83),"", 'Ingest Template'!P83&amp;"|TV Ops"))))</f>
        <v>
</v>
      </c>
      <c r="AH83" s="35"/>
      <c r="AI83" s="35"/>
      <c r="AJ83" s="117" t="str">
        <f>if('Ingest Template'!A83="Standard",(IF(OR('Ingest Template'!F83 = "Program Type - Special", 'Ingest Template'!F83 = "Program Type - Live Event"),'Ingest Template'!M83&amp; "|DAR|DAR|"&amp;TEXT('Ingest Template'!C83-3, "yyyy-mm-dd")&amp;"|"&amp;TEXT('Ingest Template'!C83+3, "yyyy-mm-dd"),'Ingest Template'!M83&amp; "|DAR|DAR|2021-01-01")),(IF(OR('Ingest Template'!F83 = "Program Type - Special", 'Ingest Template'!F83 = "Program Type - Live Event"),'Ingest Template'!M83&amp; "|Operations - Core Title|Operations - Core Title|"&amp;TEXT('Ingest Template'!C83-3, "yyyy-mm-dd")&amp;"|"&amp;TEXT('Ingest Template'!C83+3, "yyyy-mm-dd"),'Ingest Template'!M83&amp; "|Operations - Core Title|Operations - Core Title")))</f>
        <v>|Operations - Core Title|Operations - Core Title</v>
      </c>
      <c r="AK83" s="35"/>
      <c r="AL83" s="117" t="str">
        <f>if('Ingest Template'!A83="Standard",(IF(OR('Ingest Template'!F83 = "Program Type - Special", 'Ingest Template'!F83 = "Program Type - Live Event"),'Ingest Template'!Q83&amp;"|"&amp;TEXT('Ingest Template'!C83-3, "yyyy-mm-dd")&amp;"|"&amp;TEXT('Ingest Template'!C83+3, "yyyy-mm-dd"),'Ingest Template'!Q83&amp; "|2021-01-01")),(IF(OR('Ingest Template'!F83 = "Program Type - Special", 'Ingest Template'!F83 = "Program Type - Live Event"),'Ingest Template'!Q83&amp; "|"&amp;TEXT('Ingest Template'!C83-3, "yyyy-mm-dd")&amp;"|"&amp;TEXT('Ingest Template'!C83+3, "yyyy-mm-dd"),'Ingest Template'!Q83)))</f>
        <v/>
      </c>
      <c r="AM83" s="35" t="str">
        <f>'Ingest Template'!AC83</f>
        <v/>
      </c>
    </row>
    <row r="84">
      <c r="A84" s="15"/>
      <c r="B84" s="22" t="str">
        <f>'Ingest Template'!C84&amp;IF('Ingest Template'!A84 = "Standard", " - DAR","")</f>
        <v/>
      </c>
      <c r="C84" s="22" t="s">
        <v>83</v>
      </c>
      <c r="D84" s="22" t="str">
        <f t="array" ref="D84">CONCATENATE(INDEX(DropdownLists!$H$2:$H$11,MATCH(1,COUNTIF('Ingest Template'!E84,"*"&amp;DropdownLists!$I$2:$I$11&amp;"*"),0)),CHAR(10),'Ingest Template'!F84,CHAR(10),'Ingest Template'!G84,CHAR(10),VLOOKUP('Ingest Template'!D84,DropdownLists!C:D,2,FALSE))</f>
        <v>#N/A</v>
      </c>
      <c r="E84" s="22" t="str">
        <f>CONCATENATE('Ingest Template'!H84,CHAR(10),'Ingest Template'!I84,CHAR(10),'Ingest Template'!J84,CHAR(10))</f>
        <v>
</v>
      </c>
      <c r="F84" s="35" t="str">
        <f t="array" ref="F84">INDEX(DropdownLists!$O$2:$O$36,MATCH(1,COUNTIF(E84,"*"&amp;DropdownLists!$N$2:$N$36&amp;"*"),0))</f>
        <v/>
      </c>
      <c r="G84" s="35"/>
      <c r="H84" s="22" t="str">
        <f t="array" ref="H84">INDEX(DropdownLists!$E$2:$E$276,MATCH('Ingest Template'!D84,DropdownLists!$C$2:$C$276,0))</f>
        <v>#N/A</v>
      </c>
      <c r="I84" s="22"/>
      <c r="J84" s="22" t="str">
        <f t="array" ref="J84">iF('Ingest Template'!A84="Standard","Pristine Brand",INDEX(DropdownLists!$B$2:$B$246,MATCH('Ingest Template'!D84,DropdownLists!$C$2:$C$246,0)))</f>
        <v>#N/A</v>
      </c>
      <c r="K84" s="22" t="str">
        <f>iF('Ingest Template'!A84="Standard",'Ingest Template'!K84&amp;CHAR(10)&amp;'Ingest Template'!L84,"Competitive View")</f>
        <v>Competitive View</v>
      </c>
      <c r="L84" s="22" t="s">
        <v>95</v>
      </c>
      <c r="M84" s="45" t="str">
        <f>'Ingest Template'!B84</f>
        <v/>
      </c>
      <c r="N84" s="35"/>
      <c r="O84" s="35"/>
      <c r="P84" s="35"/>
      <c r="Q84" s="35"/>
      <c r="R84" s="35" t="str">
        <f>'Ingest Template'!D84</f>
        <v/>
      </c>
      <c r="S84" s="22" t="s">
        <v>101</v>
      </c>
      <c r="T84" s="35" t="str">
        <f>'Ingest Template'!V84</f>
        <v/>
      </c>
      <c r="U84" s="35" t="str">
        <f>'Ingest Template'!W84</f>
        <v/>
      </c>
      <c r="V84" s="35" t="str">
        <f>LOWER(SUBSTITUTE(SUBSTITUTE(SUBSTITUTE(SUBSTITUTE(SUBSTITUTE('Ingest Template'!X84,"https:",""),"www.",""),"/",""),"?hl=en",""),"instagram.com",""))</f>
        <v/>
      </c>
      <c r="W84" s="74" t="str">
        <f t="array" ref="W84">IF(
'Ingest Template'!Y84="",
SUBSTITUTE(
INDEX(DropdownLists!$F$2:$F$277,MATCH('Ingest Template'!D84,DropdownLists!$C$2:$C$277,0)),
CHAR(10),
"|"&amp;'Ingest Template'!C84&amp;CHAR(10)
)&amp;"|"&amp;'Ingest Template'!C84,
SUBSTITUTE(
INDEX(DropdownLists!$F$2:$F$277,MATCH('Ingest Template'!D84,DropdownLists!$C$2:$C$277,0)),
CHAR(10),
"|"&amp;'Ingest Template'!C84&amp;CHAR(10)
)&amp;"|"&amp;'Ingest Template'!C84&amp;CHAR(10)&amp;'Ingest Template'!Y84
)</f>
        <v>#N/A</v>
      </c>
      <c r="X84" s="74" t="str">
        <f>'Ingest Template'!Z84</f>
        <v/>
      </c>
      <c r="Y84" s="35" t="str">
        <f>SUBSTITUTE(SUBSTITUTE(SUBSTITUTE('Ingest Template'!AA84,"http:",""),"https:",""),"/","")</f>
        <v/>
      </c>
      <c r="Z84" s="35" t="str">
        <f t="array" ref="Z84">IF('Ingest Template'!A84="Standard",(IF(ISBLANK('Ingest Template'!AB84),"", 'Ingest Template'!AB84&amp;"|DAR")),(IF(ISBLANK('Ingest Template'!AB84),"", 'Ingest Template'!AB84&amp;"|TV Ops")))</f>
        <v/>
      </c>
      <c r="AA84" s="35"/>
      <c r="AB84" s="35" t="str">
        <f>'Ingest Template'!R84</f>
        <v/>
      </c>
      <c r="AC84" s="35" t="str">
        <f>'Ingest Template'!T84</f>
        <v/>
      </c>
      <c r="AD84" s="35" t="str">
        <f>'Ingest Template'!S84</f>
        <v/>
      </c>
      <c r="AE84" s="35" t="str">
        <f>'Ingest Template'!U84</f>
        <v/>
      </c>
      <c r="AF84" s="22"/>
      <c r="AG84" s="35" t="str">
        <f t="array" ref="AG84">IF('Ingest Template'!A84="Standard",(CONCATENATE(IF(ISBLANK('Ingest Template'!N84),"", 'Ingest Template'!N84&amp;"|DAR"),CHAR(10), IF(ISBLANK('Ingest Template'!O84),"", 'Ingest Template'!O84&amp;"|DAR"),CHAR(10), IF(ISBLANK('Ingest Template'!P84),"", 'Ingest Template'!P84&amp;"|DAR"))),(CONCATENATE(IF(ISBLANK('Ingest Template'!N84),"", 'Ingest Template'!N84&amp;"|TV Ops"),CHAR(10), IF(ISBLANK('Ingest Template'!O84),"", 'Ingest Template'!O84&amp;"|TV Ops"),CHAR(10), IF(ISBLANK('Ingest Template'!P84),"", 'Ingest Template'!P84&amp;"|TV Ops"))))</f>
        <v>
</v>
      </c>
      <c r="AH84" s="35"/>
      <c r="AI84" s="35"/>
      <c r="AJ84" s="117" t="str">
        <f>if('Ingest Template'!A84="Standard",(IF(OR('Ingest Template'!F84 = "Program Type - Special", 'Ingest Template'!F84 = "Program Type - Live Event"),'Ingest Template'!M84&amp; "|DAR|DAR|"&amp;TEXT('Ingest Template'!C84-3, "yyyy-mm-dd")&amp;"|"&amp;TEXT('Ingest Template'!C84+3, "yyyy-mm-dd"),'Ingest Template'!M84&amp; "|DAR|DAR|2021-01-01")),(IF(OR('Ingest Template'!F84 = "Program Type - Special", 'Ingest Template'!F84 = "Program Type - Live Event"),'Ingest Template'!M84&amp; "|Operations - Core Title|Operations - Core Title|"&amp;TEXT('Ingest Template'!C84-3, "yyyy-mm-dd")&amp;"|"&amp;TEXT('Ingest Template'!C84+3, "yyyy-mm-dd"),'Ingest Template'!M84&amp; "|Operations - Core Title|Operations - Core Title")))</f>
        <v>|Operations - Core Title|Operations - Core Title</v>
      </c>
      <c r="AK84" s="35"/>
      <c r="AL84" s="117" t="str">
        <f>if('Ingest Template'!A84="Standard",(IF(OR('Ingest Template'!F84 = "Program Type - Special", 'Ingest Template'!F84 = "Program Type - Live Event"),'Ingest Template'!Q84&amp;"|"&amp;TEXT('Ingest Template'!C84-3, "yyyy-mm-dd")&amp;"|"&amp;TEXT('Ingest Template'!C84+3, "yyyy-mm-dd"),'Ingest Template'!Q84&amp; "|2021-01-01")),(IF(OR('Ingest Template'!F84 = "Program Type - Special", 'Ingest Template'!F84 = "Program Type - Live Event"),'Ingest Template'!Q84&amp; "|"&amp;TEXT('Ingest Template'!C84-3, "yyyy-mm-dd")&amp;"|"&amp;TEXT('Ingest Template'!C84+3, "yyyy-mm-dd"),'Ingest Template'!Q84)))</f>
        <v/>
      </c>
      <c r="AM84" s="35" t="str">
        <f>'Ingest Template'!AC84</f>
        <v/>
      </c>
    </row>
    <row r="85">
      <c r="A85" s="15"/>
      <c r="B85" s="22" t="str">
        <f>'Ingest Template'!C85&amp;IF('Ingest Template'!A85 = "Standard", " - DAR","")</f>
        <v/>
      </c>
      <c r="C85" s="22" t="s">
        <v>83</v>
      </c>
      <c r="D85" s="22" t="str">
        <f t="array" ref="D85">CONCATENATE(INDEX(DropdownLists!$H$2:$H$11,MATCH(1,COUNTIF('Ingest Template'!E85,"*"&amp;DropdownLists!$I$2:$I$11&amp;"*"),0)),CHAR(10),'Ingest Template'!F85,CHAR(10),'Ingest Template'!G85,CHAR(10),VLOOKUP('Ingest Template'!D85,DropdownLists!C:D,2,FALSE))</f>
        <v>#N/A</v>
      </c>
      <c r="E85" s="22" t="str">
        <f>CONCATENATE('Ingest Template'!H85,CHAR(10),'Ingest Template'!I85,CHAR(10),'Ingest Template'!J85,CHAR(10))</f>
        <v>
</v>
      </c>
      <c r="F85" s="35" t="str">
        <f t="array" ref="F85">INDEX(DropdownLists!$O$2:$O$36,MATCH(1,COUNTIF(E85,"*"&amp;DropdownLists!$N$2:$N$36&amp;"*"),0))</f>
        <v/>
      </c>
      <c r="G85" s="35"/>
      <c r="H85" s="22" t="str">
        <f t="array" ref="H85">INDEX(DropdownLists!$E$2:$E$276,MATCH('Ingest Template'!D85,DropdownLists!$C$2:$C$276,0))</f>
        <v>#N/A</v>
      </c>
      <c r="I85" s="22"/>
      <c r="J85" s="22" t="str">
        <f t="array" ref="J85">iF('Ingest Template'!A85="Standard","Pristine Brand",INDEX(DropdownLists!$B$2:$B$246,MATCH('Ingest Template'!D85,DropdownLists!$C$2:$C$246,0)))</f>
        <v>#N/A</v>
      </c>
      <c r="K85" s="22" t="str">
        <f>iF('Ingest Template'!A85="Standard",'Ingest Template'!K85&amp;CHAR(10)&amp;'Ingest Template'!L85,"Competitive View")</f>
        <v>Competitive View</v>
      </c>
      <c r="L85" s="22" t="s">
        <v>95</v>
      </c>
      <c r="M85" s="45" t="str">
        <f>'Ingest Template'!B85</f>
        <v/>
      </c>
      <c r="N85" s="35"/>
      <c r="O85" s="35"/>
      <c r="P85" s="35"/>
      <c r="Q85" s="35"/>
      <c r="R85" s="35" t="str">
        <f>'Ingest Template'!D85</f>
        <v/>
      </c>
      <c r="S85" s="22" t="s">
        <v>101</v>
      </c>
      <c r="T85" s="35" t="str">
        <f>'Ingest Template'!V85</f>
        <v/>
      </c>
      <c r="U85" s="35" t="str">
        <f>'Ingest Template'!W85</f>
        <v/>
      </c>
      <c r="V85" s="35" t="str">
        <f>LOWER(SUBSTITUTE(SUBSTITUTE(SUBSTITUTE(SUBSTITUTE(SUBSTITUTE('Ingest Template'!X85,"https:",""),"www.",""),"/",""),"?hl=en",""),"instagram.com",""))</f>
        <v/>
      </c>
      <c r="W85" s="74" t="str">
        <f t="array" ref="W85">IF(
'Ingest Template'!Y85="",
SUBSTITUTE(
INDEX(DropdownLists!$F$2:$F$277,MATCH('Ingest Template'!D85,DropdownLists!$C$2:$C$277,0)),
CHAR(10),
"|"&amp;'Ingest Template'!C85&amp;CHAR(10)
)&amp;"|"&amp;'Ingest Template'!C85,
SUBSTITUTE(
INDEX(DropdownLists!$F$2:$F$277,MATCH('Ingest Template'!D85,DropdownLists!$C$2:$C$277,0)),
CHAR(10),
"|"&amp;'Ingest Template'!C85&amp;CHAR(10)
)&amp;"|"&amp;'Ingest Template'!C85&amp;CHAR(10)&amp;'Ingest Template'!Y85
)</f>
        <v>#N/A</v>
      </c>
      <c r="X85" s="74" t="str">
        <f>'Ingest Template'!Z85</f>
        <v/>
      </c>
      <c r="Y85" s="35" t="str">
        <f>SUBSTITUTE(SUBSTITUTE(SUBSTITUTE('Ingest Template'!AA85,"http:",""),"https:",""),"/","")</f>
        <v/>
      </c>
      <c r="Z85" s="35" t="str">
        <f t="array" ref="Z85">IF('Ingest Template'!A85="Standard",(IF(ISBLANK('Ingest Template'!AB85),"", 'Ingest Template'!AB85&amp;"|DAR")),(IF(ISBLANK('Ingest Template'!AB85),"", 'Ingest Template'!AB85&amp;"|TV Ops")))</f>
        <v/>
      </c>
      <c r="AA85" s="35"/>
      <c r="AB85" s="35" t="str">
        <f>'Ingest Template'!R85</f>
        <v/>
      </c>
      <c r="AC85" s="35" t="str">
        <f>'Ingest Template'!T85</f>
        <v/>
      </c>
      <c r="AD85" s="35" t="str">
        <f>'Ingest Template'!S85</f>
        <v/>
      </c>
      <c r="AE85" s="35" t="str">
        <f>'Ingest Template'!U85</f>
        <v/>
      </c>
      <c r="AF85" s="22"/>
      <c r="AG85" s="35" t="str">
        <f t="array" ref="AG85">IF('Ingest Template'!A85="Standard",(CONCATENATE(IF(ISBLANK('Ingest Template'!N85),"", 'Ingest Template'!N85&amp;"|DAR"),CHAR(10), IF(ISBLANK('Ingest Template'!O85),"", 'Ingest Template'!O85&amp;"|DAR"),CHAR(10), IF(ISBLANK('Ingest Template'!P85),"", 'Ingest Template'!P85&amp;"|DAR"))),(CONCATENATE(IF(ISBLANK('Ingest Template'!N85),"", 'Ingest Template'!N85&amp;"|TV Ops"),CHAR(10), IF(ISBLANK('Ingest Template'!O85),"", 'Ingest Template'!O85&amp;"|TV Ops"),CHAR(10), IF(ISBLANK('Ingest Template'!P85),"", 'Ingest Template'!P85&amp;"|TV Ops"))))</f>
        <v>
</v>
      </c>
      <c r="AH85" s="35"/>
      <c r="AI85" s="35"/>
      <c r="AJ85" s="117" t="str">
        <f>if('Ingest Template'!A85="Standard",(IF(OR('Ingest Template'!F85 = "Program Type - Special", 'Ingest Template'!F85 = "Program Type - Live Event"),'Ingest Template'!M85&amp; "|DAR|DAR|"&amp;TEXT('Ingest Template'!C85-3, "yyyy-mm-dd")&amp;"|"&amp;TEXT('Ingest Template'!C85+3, "yyyy-mm-dd"),'Ingest Template'!M85&amp; "|DAR|DAR|2021-01-01")),(IF(OR('Ingest Template'!F85 = "Program Type - Special", 'Ingest Template'!F85 = "Program Type - Live Event"),'Ingest Template'!M85&amp; "|Operations - Core Title|Operations - Core Title|"&amp;TEXT('Ingest Template'!C85-3, "yyyy-mm-dd")&amp;"|"&amp;TEXT('Ingest Template'!C85+3, "yyyy-mm-dd"),'Ingest Template'!M85&amp; "|Operations - Core Title|Operations - Core Title")))</f>
        <v>|Operations - Core Title|Operations - Core Title</v>
      </c>
      <c r="AK85" s="35"/>
      <c r="AL85" s="117" t="str">
        <f>if('Ingest Template'!A85="Standard",(IF(OR('Ingest Template'!F85 = "Program Type - Special", 'Ingest Template'!F85 = "Program Type - Live Event"),'Ingest Template'!Q85&amp;"|"&amp;TEXT('Ingest Template'!C85-3, "yyyy-mm-dd")&amp;"|"&amp;TEXT('Ingest Template'!C85+3, "yyyy-mm-dd"),'Ingest Template'!Q85&amp; "|2021-01-01")),(IF(OR('Ingest Template'!F85 = "Program Type - Special", 'Ingest Template'!F85 = "Program Type - Live Event"),'Ingest Template'!Q85&amp; "|"&amp;TEXT('Ingest Template'!C85-3, "yyyy-mm-dd")&amp;"|"&amp;TEXT('Ingest Template'!C85+3, "yyyy-mm-dd"),'Ingest Template'!Q85)))</f>
        <v/>
      </c>
      <c r="AM85" s="35" t="str">
        <f>'Ingest Template'!AC85</f>
        <v/>
      </c>
    </row>
    <row r="86">
      <c r="A86" s="15"/>
      <c r="B86" s="22" t="str">
        <f>'Ingest Template'!C86&amp;IF('Ingest Template'!A86 = "Standard", " - DAR","")</f>
        <v/>
      </c>
      <c r="C86" s="22" t="s">
        <v>83</v>
      </c>
      <c r="D86" s="22" t="str">
        <f t="array" ref="D86">CONCATENATE(INDEX(DropdownLists!$H$2:$H$11,MATCH(1,COUNTIF('Ingest Template'!E86,"*"&amp;DropdownLists!$I$2:$I$11&amp;"*"),0)),CHAR(10),'Ingest Template'!F86,CHAR(10),'Ingest Template'!G86,CHAR(10),VLOOKUP('Ingest Template'!D86,DropdownLists!C:D,2,FALSE))</f>
        <v>#N/A</v>
      </c>
      <c r="E86" s="22" t="str">
        <f>CONCATENATE('Ingest Template'!H86,CHAR(10),'Ingest Template'!I86,CHAR(10),'Ingest Template'!J86,CHAR(10))</f>
        <v>
</v>
      </c>
      <c r="F86" s="35" t="str">
        <f t="array" ref="F86">INDEX(DropdownLists!$O$2:$O$36,MATCH(1,COUNTIF(E86,"*"&amp;DropdownLists!$N$2:$N$36&amp;"*"),0))</f>
        <v/>
      </c>
      <c r="G86" s="35"/>
      <c r="H86" s="22" t="str">
        <f t="array" ref="H86">INDEX(DropdownLists!$E$2:$E$276,MATCH('Ingest Template'!D86,DropdownLists!$C$2:$C$276,0))</f>
        <v>#N/A</v>
      </c>
      <c r="I86" s="22"/>
      <c r="J86" s="22" t="str">
        <f t="array" ref="J86">iF('Ingest Template'!A86="Standard","Pristine Brand",INDEX(DropdownLists!$B$2:$B$246,MATCH('Ingest Template'!D86,DropdownLists!$C$2:$C$246,0)))</f>
        <v>#N/A</v>
      </c>
      <c r="K86" s="22" t="str">
        <f>iF('Ingest Template'!A86="Standard",'Ingest Template'!K86&amp;CHAR(10)&amp;'Ingest Template'!L86,"Competitive View")</f>
        <v>Competitive View</v>
      </c>
      <c r="L86" s="22" t="s">
        <v>95</v>
      </c>
      <c r="M86" s="45" t="str">
        <f>'Ingest Template'!B86</f>
        <v/>
      </c>
      <c r="N86" s="35"/>
      <c r="O86" s="35"/>
      <c r="P86" s="35"/>
      <c r="Q86" s="35"/>
      <c r="R86" s="35" t="str">
        <f>'Ingest Template'!D86</f>
        <v/>
      </c>
      <c r="S86" s="22" t="s">
        <v>101</v>
      </c>
      <c r="T86" s="35" t="str">
        <f>'Ingest Template'!V86</f>
        <v/>
      </c>
      <c r="U86" s="35" t="str">
        <f>'Ingest Template'!W86</f>
        <v/>
      </c>
      <c r="V86" s="35" t="str">
        <f>LOWER(SUBSTITUTE(SUBSTITUTE(SUBSTITUTE(SUBSTITUTE(SUBSTITUTE('Ingest Template'!X86,"https:",""),"www.",""),"/",""),"?hl=en",""),"instagram.com",""))</f>
        <v/>
      </c>
      <c r="W86" s="74" t="str">
        <f t="array" ref="W86">IF(
'Ingest Template'!Y86="",
SUBSTITUTE(
INDEX(DropdownLists!$F$2:$F$277,MATCH('Ingest Template'!D86,DropdownLists!$C$2:$C$277,0)),
CHAR(10),
"|"&amp;'Ingest Template'!C86&amp;CHAR(10)
)&amp;"|"&amp;'Ingest Template'!C86,
SUBSTITUTE(
INDEX(DropdownLists!$F$2:$F$277,MATCH('Ingest Template'!D86,DropdownLists!$C$2:$C$277,0)),
CHAR(10),
"|"&amp;'Ingest Template'!C86&amp;CHAR(10)
)&amp;"|"&amp;'Ingest Template'!C86&amp;CHAR(10)&amp;'Ingest Template'!Y86
)</f>
        <v>#N/A</v>
      </c>
      <c r="X86" s="74" t="str">
        <f>'Ingest Template'!Z86</f>
        <v/>
      </c>
      <c r="Y86" s="35" t="str">
        <f>SUBSTITUTE(SUBSTITUTE(SUBSTITUTE('Ingest Template'!AA86,"http:",""),"https:",""),"/","")</f>
        <v/>
      </c>
      <c r="Z86" s="35" t="str">
        <f t="array" ref="Z86">IF('Ingest Template'!A86="Standard",(IF(ISBLANK('Ingest Template'!AB86),"", 'Ingest Template'!AB86&amp;"|DAR")),(IF(ISBLANK('Ingest Template'!AB86),"", 'Ingest Template'!AB86&amp;"|TV Ops")))</f>
        <v/>
      </c>
      <c r="AA86" s="35"/>
      <c r="AB86" s="35" t="str">
        <f>'Ingest Template'!R86</f>
        <v/>
      </c>
      <c r="AC86" s="35" t="str">
        <f>'Ingest Template'!T86</f>
        <v/>
      </c>
      <c r="AD86" s="35" t="str">
        <f>'Ingest Template'!S86</f>
        <v/>
      </c>
      <c r="AE86" s="35" t="str">
        <f>'Ingest Template'!U86</f>
        <v/>
      </c>
      <c r="AF86" s="22"/>
      <c r="AG86" s="35" t="str">
        <f t="array" ref="AG86">IF('Ingest Template'!A86="Standard",(CONCATENATE(IF(ISBLANK('Ingest Template'!N86),"", 'Ingest Template'!N86&amp;"|DAR"),CHAR(10), IF(ISBLANK('Ingest Template'!O86),"", 'Ingest Template'!O86&amp;"|DAR"),CHAR(10), IF(ISBLANK('Ingest Template'!P86),"", 'Ingest Template'!P86&amp;"|DAR"))),(CONCATENATE(IF(ISBLANK('Ingest Template'!N86),"", 'Ingest Template'!N86&amp;"|TV Ops"),CHAR(10), IF(ISBLANK('Ingest Template'!O86),"", 'Ingest Template'!O86&amp;"|TV Ops"),CHAR(10), IF(ISBLANK('Ingest Template'!P86),"", 'Ingest Template'!P86&amp;"|TV Ops"))))</f>
        <v>
</v>
      </c>
      <c r="AH86" s="35"/>
      <c r="AI86" s="35"/>
      <c r="AJ86" s="117" t="str">
        <f>if('Ingest Template'!A86="Standard",(IF(OR('Ingest Template'!F86 = "Program Type - Special", 'Ingest Template'!F86 = "Program Type - Live Event"),'Ingest Template'!M86&amp; "|DAR|DAR|"&amp;TEXT('Ingest Template'!C86-3, "yyyy-mm-dd")&amp;"|"&amp;TEXT('Ingest Template'!C86+3, "yyyy-mm-dd"),'Ingest Template'!M86&amp; "|DAR|DAR|2021-01-01")),(IF(OR('Ingest Template'!F86 = "Program Type - Special", 'Ingest Template'!F86 = "Program Type - Live Event"),'Ingest Template'!M86&amp; "|Operations - Core Title|Operations - Core Title|"&amp;TEXT('Ingest Template'!C86-3, "yyyy-mm-dd")&amp;"|"&amp;TEXT('Ingest Template'!C86+3, "yyyy-mm-dd"),'Ingest Template'!M86&amp; "|Operations - Core Title|Operations - Core Title")))</f>
        <v>|Operations - Core Title|Operations - Core Title</v>
      </c>
      <c r="AK86" s="35"/>
      <c r="AL86" s="117" t="str">
        <f>if('Ingest Template'!A86="Standard",(IF(OR('Ingest Template'!F86 = "Program Type - Special", 'Ingest Template'!F86 = "Program Type - Live Event"),'Ingest Template'!Q86&amp;"|"&amp;TEXT('Ingest Template'!C86-3, "yyyy-mm-dd")&amp;"|"&amp;TEXT('Ingest Template'!C86+3, "yyyy-mm-dd"),'Ingest Template'!Q86&amp; "|2021-01-01")),(IF(OR('Ingest Template'!F86 = "Program Type - Special", 'Ingest Template'!F86 = "Program Type - Live Event"),'Ingest Template'!Q86&amp; "|"&amp;TEXT('Ingest Template'!C86-3, "yyyy-mm-dd")&amp;"|"&amp;TEXT('Ingest Template'!C86+3, "yyyy-mm-dd"),'Ingest Template'!Q86)))</f>
        <v/>
      </c>
      <c r="AM86" s="35" t="str">
        <f>'Ingest Template'!AC86</f>
        <v/>
      </c>
    </row>
    <row r="87">
      <c r="A87" s="15"/>
      <c r="B87" s="22" t="str">
        <f>'Ingest Template'!C87&amp;IF('Ingest Template'!A87 = "Standard", " - DAR","")</f>
        <v/>
      </c>
      <c r="C87" s="22" t="s">
        <v>83</v>
      </c>
      <c r="D87" s="22" t="str">
        <f t="array" ref="D87">CONCATENATE(INDEX(DropdownLists!$H$2:$H$11,MATCH(1,COUNTIF('Ingest Template'!E87,"*"&amp;DropdownLists!$I$2:$I$11&amp;"*"),0)),CHAR(10),'Ingest Template'!F87,CHAR(10),'Ingest Template'!G87,CHAR(10),VLOOKUP('Ingest Template'!D87,DropdownLists!C:D,2,FALSE))</f>
        <v>#N/A</v>
      </c>
      <c r="E87" s="22" t="str">
        <f>CONCATENATE('Ingest Template'!H87,CHAR(10),'Ingest Template'!I87,CHAR(10),'Ingest Template'!J87,CHAR(10))</f>
        <v>
</v>
      </c>
      <c r="F87" s="35" t="str">
        <f t="array" ref="F87">INDEX(DropdownLists!$O$2:$O$36,MATCH(1,COUNTIF(E87,"*"&amp;DropdownLists!$N$2:$N$36&amp;"*"),0))</f>
        <v/>
      </c>
      <c r="G87" s="35"/>
      <c r="H87" s="22" t="str">
        <f t="array" ref="H87">INDEX(DropdownLists!$E$2:$E$276,MATCH('Ingest Template'!D87,DropdownLists!$C$2:$C$276,0))</f>
        <v>#N/A</v>
      </c>
      <c r="I87" s="22"/>
      <c r="J87" s="22" t="str">
        <f t="array" ref="J87">iF('Ingest Template'!A87="Standard","Pristine Brand",INDEX(DropdownLists!$B$2:$B$246,MATCH('Ingest Template'!D87,DropdownLists!$C$2:$C$246,0)))</f>
        <v>#N/A</v>
      </c>
      <c r="K87" s="22" t="str">
        <f>iF('Ingest Template'!A87="Standard",'Ingest Template'!K87&amp;CHAR(10)&amp;'Ingest Template'!L87,"Competitive View")</f>
        <v>Competitive View</v>
      </c>
      <c r="L87" s="22" t="s">
        <v>95</v>
      </c>
      <c r="M87" s="45" t="str">
        <f>'Ingest Template'!B87</f>
        <v/>
      </c>
      <c r="N87" s="35"/>
      <c r="O87" s="35"/>
      <c r="P87" s="35"/>
      <c r="Q87" s="35"/>
      <c r="R87" s="35" t="str">
        <f>'Ingest Template'!D87</f>
        <v/>
      </c>
      <c r="S87" s="22" t="s">
        <v>101</v>
      </c>
      <c r="T87" s="35" t="str">
        <f>'Ingest Template'!V87</f>
        <v/>
      </c>
      <c r="U87" s="35" t="str">
        <f>'Ingest Template'!W87</f>
        <v/>
      </c>
      <c r="V87" s="35" t="str">
        <f>LOWER(SUBSTITUTE(SUBSTITUTE(SUBSTITUTE(SUBSTITUTE(SUBSTITUTE('Ingest Template'!X87,"https:",""),"www.",""),"/",""),"?hl=en",""),"instagram.com",""))</f>
        <v/>
      </c>
      <c r="W87" s="74" t="str">
        <f t="array" ref="W87">IF(
'Ingest Template'!Y87="",
SUBSTITUTE(
INDEX(DropdownLists!$F$2:$F$277,MATCH('Ingest Template'!D87,DropdownLists!$C$2:$C$277,0)),
CHAR(10),
"|"&amp;'Ingest Template'!C87&amp;CHAR(10)
)&amp;"|"&amp;'Ingest Template'!C87,
SUBSTITUTE(
INDEX(DropdownLists!$F$2:$F$277,MATCH('Ingest Template'!D87,DropdownLists!$C$2:$C$277,0)),
CHAR(10),
"|"&amp;'Ingest Template'!C87&amp;CHAR(10)
)&amp;"|"&amp;'Ingest Template'!C87&amp;CHAR(10)&amp;'Ingest Template'!Y87
)</f>
        <v>#N/A</v>
      </c>
      <c r="X87" s="74" t="str">
        <f>'Ingest Template'!Z87</f>
        <v/>
      </c>
      <c r="Y87" s="35" t="str">
        <f>SUBSTITUTE(SUBSTITUTE(SUBSTITUTE('Ingest Template'!AA87,"http:",""),"https:",""),"/","")</f>
        <v/>
      </c>
      <c r="Z87" s="35" t="str">
        <f t="array" ref="Z87">IF('Ingest Template'!A87="Standard",(IF(ISBLANK('Ingest Template'!AB87),"", 'Ingest Template'!AB87&amp;"|DAR")),(IF(ISBLANK('Ingest Template'!AB87),"", 'Ingest Template'!AB87&amp;"|TV Ops")))</f>
        <v/>
      </c>
      <c r="AA87" s="35"/>
      <c r="AB87" s="35" t="str">
        <f>'Ingest Template'!R87</f>
        <v/>
      </c>
      <c r="AC87" s="35" t="str">
        <f>'Ingest Template'!T87</f>
        <v/>
      </c>
      <c r="AD87" s="35" t="str">
        <f>'Ingest Template'!S87</f>
        <v/>
      </c>
      <c r="AE87" s="35" t="str">
        <f>'Ingest Template'!U87</f>
        <v/>
      </c>
      <c r="AF87" s="22"/>
      <c r="AG87" s="35" t="str">
        <f t="array" ref="AG87">IF('Ingest Template'!A87="Standard",(CONCATENATE(IF(ISBLANK('Ingest Template'!N87),"", 'Ingest Template'!N87&amp;"|DAR"),CHAR(10), IF(ISBLANK('Ingest Template'!O87),"", 'Ingest Template'!O87&amp;"|DAR"),CHAR(10), IF(ISBLANK('Ingest Template'!P87),"", 'Ingest Template'!P87&amp;"|DAR"))),(CONCATENATE(IF(ISBLANK('Ingest Template'!N87),"", 'Ingest Template'!N87&amp;"|TV Ops"),CHAR(10), IF(ISBLANK('Ingest Template'!O87),"", 'Ingest Template'!O87&amp;"|TV Ops"),CHAR(10), IF(ISBLANK('Ingest Template'!P87),"", 'Ingest Template'!P87&amp;"|TV Ops"))))</f>
        <v>
</v>
      </c>
      <c r="AH87" s="35"/>
      <c r="AI87" s="35"/>
      <c r="AJ87" s="117" t="str">
        <f>if('Ingest Template'!A87="Standard",(IF(OR('Ingest Template'!F87 = "Program Type - Special", 'Ingest Template'!F87 = "Program Type - Live Event"),'Ingest Template'!M87&amp; "|DAR|DAR|"&amp;TEXT('Ingest Template'!C87-3, "yyyy-mm-dd")&amp;"|"&amp;TEXT('Ingest Template'!C87+3, "yyyy-mm-dd"),'Ingest Template'!M87&amp; "|DAR|DAR|2021-01-01")),(IF(OR('Ingest Template'!F87 = "Program Type - Special", 'Ingest Template'!F87 = "Program Type - Live Event"),'Ingest Template'!M87&amp; "|Operations - Core Title|Operations - Core Title|"&amp;TEXT('Ingest Template'!C87-3, "yyyy-mm-dd")&amp;"|"&amp;TEXT('Ingest Template'!C87+3, "yyyy-mm-dd"),'Ingest Template'!M87&amp; "|Operations - Core Title|Operations - Core Title")))</f>
        <v>|Operations - Core Title|Operations - Core Title</v>
      </c>
      <c r="AK87" s="35"/>
      <c r="AL87" s="117" t="str">
        <f>if('Ingest Template'!A87="Standard",(IF(OR('Ingest Template'!F87 = "Program Type - Special", 'Ingest Template'!F87 = "Program Type - Live Event"),'Ingest Template'!Q87&amp;"|"&amp;TEXT('Ingest Template'!C87-3, "yyyy-mm-dd")&amp;"|"&amp;TEXT('Ingest Template'!C87+3, "yyyy-mm-dd"),'Ingest Template'!Q87&amp; "|2021-01-01")),(IF(OR('Ingest Template'!F87 = "Program Type - Special", 'Ingest Template'!F87 = "Program Type - Live Event"),'Ingest Template'!Q87&amp; "|"&amp;TEXT('Ingest Template'!C87-3, "yyyy-mm-dd")&amp;"|"&amp;TEXT('Ingest Template'!C87+3, "yyyy-mm-dd"),'Ingest Template'!Q87)))</f>
        <v/>
      </c>
      <c r="AM87" s="35" t="str">
        <f>'Ingest Template'!AC87</f>
        <v/>
      </c>
    </row>
    <row r="88">
      <c r="A88" s="15"/>
      <c r="B88" s="22" t="str">
        <f>'Ingest Template'!C88&amp;IF('Ingest Template'!A88 = "Standard", " - DAR","")</f>
        <v/>
      </c>
      <c r="C88" s="22" t="s">
        <v>83</v>
      </c>
      <c r="D88" s="22" t="str">
        <f t="array" ref="D88">CONCATENATE(INDEX(DropdownLists!$H$2:$H$11,MATCH(1,COUNTIF('Ingest Template'!E88,"*"&amp;DropdownLists!$I$2:$I$11&amp;"*"),0)),CHAR(10),'Ingest Template'!F88,CHAR(10),'Ingest Template'!G88,CHAR(10),VLOOKUP('Ingest Template'!D88,DropdownLists!C:D,2,FALSE))</f>
        <v>#N/A</v>
      </c>
      <c r="E88" s="22" t="str">
        <f>CONCATENATE('Ingest Template'!H88,CHAR(10),'Ingest Template'!I88,CHAR(10),'Ingest Template'!J88,CHAR(10))</f>
        <v>
</v>
      </c>
      <c r="F88" s="35" t="str">
        <f t="array" ref="F88">INDEX(DropdownLists!$O$2:$O$36,MATCH(1,COUNTIF(E88,"*"&amp;DropdownLists!$N$2:$N$36&amp;"*"),0))</f>
        <v/>
      </c>
      <c r="G88" s="35"/>
      <c r="H88" s="22" t="str">
        <f t="array" ref="H88">INDEX(DropdownLists!$E$2:$E$276,MATCH('Ingest Template'!D88,DropdownLists!$C$2:$C$276,0))</f>
        <v>#N/A</v>
      </c>
      <c r="I88" s="22"/>
      <c r="J88" s="22" t="str">
        <f t="array" ref="J88">iF('Ingest Template'!A88="Standard","Pristine Brand",INDEX(DropdownLists!$B$2:$B$246,MATCH('Ingest Template'!D88,DropdownLists!$C$2:$C$246,0)))</f>
        <v>#N/A</v>
      </c>
      <c r="K88" s="22" t="str">
        <f>iF('Ingest Template'!A88="Standard",'Ingest Template'!K88&amp;CHAR(10)&amp;'Ingest Template'!L88,"Competitive View")</f>
        <v>Competitive View</v>
      </c>
      <c r="L88" s="22" t="s">
        <v>95</v>
      </c>
      <c r="M88" s="45" t="str">
        <f>'Ingest Template'!B88</f>
        <v/>
      </c>
      <c r="N88" s="35"/>
      <c r="O88" s="35"/>
      <c r="P88" s="35"/>
      <c r="Q88" s="35"/>
      <c r="R88" s="35" t="str">
        <f>'Ingest Template'!D88</f>
        <v/>
      </c>
      <c r="S88" s="22" t="s">
        <v>101</v>
      </c>
      <c r="T88" s="35" t="str">
        <f>'Ingest Template'!V88</f>
        <v/>
      </c>
      <c r="U88" s="35" t="str">
        <f>'Ingest Template'!W88</f>
        <v/>
      </c>
      <c r="V88" s="35" t="str">
        <f>LOWER(SUBSTITUTE(SUBSTITUTE(SUBSTITUTE(SUBSTITUTE(SUBSTITUTE('Ingest Template'!X88,"https:",""),"www.",""),"/",""),"?hl=en",""),"instagram.com",""))</f>
        <v/>
      </c>
      <c r="W88" s="74" t="str">
        <f t="array" ref="W88">IF(
'Ingest Template'!Y88="",
SUBSTITUTE(
INDEX(DropdownLists!$F$2:$F$277,MATCH('Ingest Template'!D88,DropdownLists!$C$2:$C$277,0)),
CHAR(10),
"|"&amp;'Ingest Template'!C88&amp;CHAR(10)
)&amp;"|"&amp;'Ingest Template'!C88,
SUBSTITUTE(
INDEX(DropdownLists!$F$2:$F$277,MATCH('Ingest Template'!D88,DropdownLists!$C$2:$C$277,0)),
CHAR(10),
"|"&amp;'Ingest Template'!C88&amp;CHAR(10)
)&amp;"|"&amp;'Ingest Template'!C88&amp;CHAR(10)&amp;'Ingest Template'!Y88
)</f>
        <v>#N/A</v>
      </c>
      <c r="X88" s="74" t="str">
        <f>'Ingest Template'!Z88</f>
        <v/>
      </c>
      <c r="Y88" s="35" t="str">
        <f>SUBSTITUTE(SUBSTITUTE(SUBSTITUTE('Ingest Template'!AA88,"http:",""),"https:",""),"/","")</f>
        <v/>
      </c>
      <c r="Z88" s="35" t="str">
        <f t="array" ref="Z88">IF('Ingest Template'!A88="Standard",(IF(ISBLANK('Ingest Template'!AB88),"", 'Ingest Template'!AB88&amp;"|DAR")),(IF(ISBLANK('Ingest Template'!AB88),"", 'Ingest Template'!AB88&amp;"|TV Ops")))</f>
        <v/>
      </c>
      <c r="AA88" s="35"/>
      <c r="AB88" s="35" t="str">
        <f>'Ingest Template'!R88</f>
        <v/>
      </c>
      <c r="AC88" s="35" t="str">
        <f>'Ingest Template'!T88</f>
        <v/>
      </c>
      <c r="AD88" s="35" t="str">
        <f>'Ingest Template'!S88</f>
        <v/>
      </c>
      <c r="AE88" s="35" t="str">
        <f>'Ingest Template'!U88</f>
        <v/>
      </c>
      <c r="AF88" s="22"/>
      <c r="AG88" s="35" t="str">
        <f t="array" ref="AG88">IF('Ingest Template'!A88="Standard",(CONCATENATE(IF(ISBLANK('Ingest Template'!N88),"", 'Ingest Template'!N88&amp;"|DAR"),CHAR(10), IF(ISBLANK('Ingest Template'!O88),"", 'Ingest Template'!O88&amp;"|DAR"),CHAR(10), IF(ISBLANK('Ingest Template'!P88),"", 'Ingest Template'!P88&amp;"|DAR"))),(CONCATENATE(IF(ISBLANK('Ingest Template'!N88),"", 'Ingest Template'!N88&amp;"|TV Ops"),CHAR(10), IF(ISBLANK('Ingest Template'!O88),"", 'Ingest Template'!O88&amp;"|TV Ops"),CHAR(10), IF(ISBLANK('Ingest Template'!P88),"", 'Ingest Template'!P88&amp;"|TV Ops"))))</f>
        <v>
</v>
      </c>
      <c r="AH88" s="35"/>
      <c r="AI88" s="35"/>
      <c r="AJ88" s="117" t="str">
        <f>if('Ingest Template'!A88="Standard",(IF(OR('Ingest Template'!F88 = "Program Type - Special", 'Ingest Template'!F88 = "Program Type - Live Event"),'Ingest Template'!M88&amp; "|DAR|DAR|"&amp;TEXT('Ingest Template'!C88-3, "yyyy-mm-dd")&amp;"|"&amp;TEXT('Ingest Template'!C88+3, "yyyy-mm-dd"),'Ingest Template'!M88&amp; "|DAR|DAR|2021-01-01")),(IF(OR('Ingest Template'!F88 = "Program Type - Special", 'Ingest Template'!F88 = "Program Type - Live Event"),'Ingest Template'!M88&amp; "|Operations - Core Title|Operations - Core Title|"&amp;TEXT('Ingest Template'!C88-3, "yyyy-mm-dd")&amp;"|"&amp;TEXT('Ingest Template'!C88+3, "yyyy-mm-dd"),'Ingest Template'!M88&amp; "|Operations - Core Title|Operations - Core Title")))</f>
        <v>|Operations - Core Title|Operations - Core Title</v>
      </c>
      <c r="AK88" s="35"/>
      <c r="AL88" s="117" t="str">
        <f>if('Ingest Template'!A88="Standard",(IF(OR('Ingest Template'!F88 = "Program Type - Special", 'Ingest Template'!F88 = "Program Type - Live Event"),'Ingest Template'!Q88&amp;"|"&amp;TEXT('Ingest Template'!C88-3, "yyyy-mm-dd")&amp;"|"&amp;TEXT('Ingest Template'!C88+3, "yyyy-mm-dd"),'Ingest Template'!Q88&amp; "|2021-01-01")),(IF(OR('Ingest Template'!F88 = "Program Type - Special", 'Ingest Template'!F88 = "Program Type - Live Event"),'Ingest Template'!Q88&amp; "|"&amp;TEXT('Ingest Template'!C88-3, "yyyy-mm-dd")&amp;"|"&amp;TEXT('Ingest Template'!C88+3, "yyyy-mm-dd"),'Ingest Template'!Q88)))</f>
        <v/>
      </c>
      <c r="AM88" s="35" t="str">
        <f>'Ingest Template'!AC88</f>
        <v/>
      </c>
    </row>
    <row r="89">
      <c r="A89" s="15"/>
      <c r="B89" s="22" t="str">
        <f>'Ingest Template'!C89&amp;IF('Ingest Template'!A89 = "Standard", " - DAR","")</f>
        <v/>
      </c>
      <c r="C89" s="22" t="s">
        <v>83</v>
      </c>
      <c r="D89" s="22" t="str">
        <f t="array" ref="D89">CONCATENATE(INDEX(DropdownLists!$H$2:$H$11,MATCH(1,COUNTIF('Ingest Template'!E89,"*"&amp;DropdownLists!$I$2:$I$11&amp;"*"),0)),CHAR(10),'Ingest Template'!F89,CHAR(10),'Ingest Template'!G89,CHAR(10),VLOOKUP('Ingest Template'!D89,DropdownLists!C:D,2,FALSE))</f>
        <v>#N/A</v>
      </c>
      <c r="E89" s="22" t="str">
        <f>CONCATENATE('Ingest Template'!H89,CHAR(10),'Ingest Template'!I89,CHAR(10),'Ingest Template'!J89,CHAR(10))</f>
        <v>
</v>
      </c>
      <c r="F89" s="35" t="str">
        <f t="array" ref="F89">INDEX(DropdownLists!$O$2:$O$36,MATCH(1,COUNTIF(E89,"*"&amp;DropdownLists!$N$2:$N$36&amp;"*"),0))</f>
        <v/>
      </c>
      <c r="G89" s="35"/>
      <c r="H89" s="22" t="str">
        <f t="array" ref="H89">INDEX(DropdownLists!$E$2:$E$276,MATCH('Ingest Template'!D89,DropdownLists!$C$2:$C$276,0))</f>
        <v>#N/A</v>
      </c>
      <c r="I89" s="22"/>
      <c r="J89" s="22" t="str">
        <f t="array" ref="J89">iF('Ingest Template'!A89="Standard","Pristine Brand",INDEX(DropdownLists!$B$2:$B$246,MATCH('Ingest Template'!D89,DropdownLists!$C$2:$C$246,0)))</f>
        <v>#N/A</v>
      </c>
      <c r="K89" s="22" t="str">
        <f>iF('Ingest Template'!A89="Standard",'Ingest Template'!K89&amp;CHAR(10)&amp;'Ingest Template'!L89,"Competitive View")</f>
        <v>Competitive View</v>
      </c>
      <c r="L89" s="22" t="s">
        <v>95</v>
      </c>
      <c r="M89" s="45" t="str">
        <f>'Ingest Template'!B89</f>
        <v/>
      </c>
      <c r="N89" s="35"/>
      <c r="O89" s="35"/>
      <c r="P89" s="35"/>
      <c r="Q89" s="35"/>
      <c r="R89" s="35" t="str">
        <f>'Ingest Template'!D89</f>
        <v/>
      </c>
      <c r="S89" s="22" t="s">
        <v>101</v>
      </c>
      <c r="T89" s="35" t="str">
        <f>'Ingest Template'!V89</f>
        <v/>
      </c>
      <c r="U89" s="35" t="str">
        <f>'Ingest Template'!W89</f>
        <v/>
      </c>
      <c r="V89" s="35" t="str">
        <f>LOWER(SUBSTITUTE(SUBSTITUTE(SUBSTITUTE(SUBSTITUTE(SUBSTITUTE('Ingest Template'!X89,"https:",""),"www.",""),"/",""),"?hl=en",""),"instagram.com",""))</f>
        <v/>
      </c>
      <c r="W89" s="74" t="str">
        <f t="array" ref="W89">IF(
'Ingest Template'!Y89="",
SUBSTITUTE(
INDEX(DropdownLists!$F$2:$F$277,MATCH('Ingest Template'!D89,DropdownLists!$C$2:$C$277,0)),
CHAR(10),
"|"&amp;'Ingest Template'!C89&amp;CHAR(10)
)&amp;"|"&amp;'Ingest Template'!C89,
SUBSTITUTE(
INDEX(DropdownLists!$F$2:$F$277,MATCH('Ingest Template'!D89,DropdownLists!$C$2:$C$277,0)),
CHAR(10),
"|"&amp;'Ingest Template'!C89&amp;CHAR(10)
)&amp;"|"&amp;'Ingest Template'!C89&amp;CHAR(10)&amp;'Ingest Template'!Y89
)</f>
        <v>#N/A</v>
      </c>
      <c r="X89" s="74" t="str">
        <f>'Ingest Template'!Z89</f>
        <v/>
      </c>
      <c r="Y89" s="35" t="str">
        <f>SUBSTITUTE(SUBSTITUTE(SUBSTITUTE('Ingest Template'!AA89,"http:",""),"https:",""),"/","")</f>
        <v/>
      </c>
      <c r="Z89" s="35" t="str">
        <f t="array" ref="Z89">IF('Ingest Template'!A89="Standard",(IF(ISBLANK('Ingest Template'!AB89),"", 'Ingest Template'!AB89&amp;"|DAR")),(IF(ISBLANK('Ingest Template'!AB89),"", 'Ingest Template'!AB89&amp;"|TV Ops")))</f>
        <v/>
      </c>
      <c r="AA89" s="35"/>
      <c r="AB89" s="35" t="str">
        <f>'Ingest Template'!R89</f>
        <v/>
      </c>
      <c r="AC89" s="35" t="str">
        <f>'Ingest Template'!T89</f>
        <v/>
      </c>
      <c r="AD89" s="35" t="str">
        <f>'Ingest Template'!S89</f>
        <v/>
      </c>
      <c r="AE89" s="35" t="str">
        <f>'Ingest Template'!U89</f>
        <v/>
      </c>
      <c r="AF89" s="22"/>
      <c r="AG89" s="35" t="str">
        <f t="array" ref="AG89">IF('Ingest Template'!A89="Standard",(CONCATENATE(IF(ISBLANK('Ingest Template'!N89),"", 'Ingest Template'!N89&amp;"|DAR"),CHAR(10), IF(ISBLANK('Ingest Template'!O89),"", 'Ingest Template'!O89&amp;"|DAR"),CHAR(10), IF(ISBLANK('Ingest Template'!P89),"", 'Ingest Template'!P89&amp;"|DAR"))),(CONCATENATE(IF(ISBLANK('Ingest Template'!N89),"", 'Ingest Template'!N89&amp;"|TV Ops"),CHAR(10), IF(ISBLANK('Ingest Template'!O89),"", 'Ingest Template'!O89&amp;"|TV Ops"),CHAR(10), IF(ISBLANK('Ingest Template'!P89),"", 'Ingest Template'!P89&amp;"|TV Ops"))))</f>
        <v>
</v>
      </c>
      <c r="AH89" s="35"/>
      <c r="AI89" s="35"/>
      <c r="AJ89" s="117" t="str">
        <f>if('Ingest Template'!A89="Standard",(IF(OR('Ingest Template'!F89 = "Program Type - Special", 'Ingest Template'!F89 = "Program Type - Live Event"),'Ingest Template'!M89&amp; "|DAR|DAR|"&amp;TEXT('Ingest Template'!C89-3, "yyyy-mm-dd")&amp;"|"&amp;TEXT('Ingest Template'!C89+3, "yyyy-mm-dd"),'Ingest Template'!M89&amp; "|DAR|DAR|2021-01-01")),(IF(OR('Ingest Template'!F89 = "Program Type - Special", 'Ingest Template'!F89 = "Program Type - Live Event"),'Ingest Template'!M89&amp; "|Operations - Core Title|Operations - Core Title|"&amp;TEXT('Ingest Template'!C89-3, "yyyy-mm-dd")&amp;"|"&amp;TEXT('Ingest Template'!C89+3, "yyyy-mm-dd"),'Ingest Template'!M89&amp; "|Operations - Core Title|Operations - Core Title")))</f>
        <v>|Operations - Core Title|Operations - Core Title</v>
      </c>
      <c r="AK89" s="35"/>
      <c r="AL89" s="117" t="str">
        <f>if('Ingest Template'!A89="Standard",(IF(OR('Ingest Template'!F89 = "Program Type - Special", 'Ingest Template'!F89 = "Program Type - Live Event"),'Ingest Template'!Q89&amp;"|"&amp;TEXT('Ingest Template'!C89-3, "yyyy-mm-dd")&amp;"|"&amp;TEXT('Ingest Template'!C89+3, "yyyy-mm-dd"),'Ingest Template'!Q89&amp; "|2021-01-01")),(IF(OR('Ingest Template'!F89 = "Program Type - Special", 'Ingest Template'!F89 = "Program Type - Live Event"),'Ingest Template'!Q89&amp; "|"&amp;TEXT('Ingest Template'!C89-3, "yyyy-mm-dd")&amp;"|"&amp;TEXT('Ingest Template'!C89+3, "yyyy-mm-dd"),'Ingest Template'!Q89)))</f>
        <v/>
      </c>
      <c r="AM89" s="35" t="str">
        <f>'Ingest Template'!AC89</f>
        <v/>
      </c>
    </row>
    <row r="90">
      <c r="A90" s="15"/>
      <c r="B90" s="22" t="str">
        <f>'Ingest Template'!C90&amp;IF('Ingest Template'!A90 = "Standard", " - DAR","")</f>
        <v/>
      </c>
      <c r="C90" s="22" t="s">
        <v>83</v>
      </c>
      <c r="D90" s="22" t="str">
        <f t="array" ref="D90">CONCATENATE(INDEX(DropdownLists!$H$2:$H$11,MATCH(1,COUNTIF('Ingest Template'!E90,"*"&amp;DropdownLists!$I$2:$I$11&amp;"*"),0)),CHAR(10),'Ingest Template'!F90,CHAR(10),'Ingest Template'!G90,CHAR(10),VLOOKUP('Ingest Template'!D90,DropdownLists!C:D,2,FALSE))</f>
        <v>#N/A</v>
      </c>
      <c r="E90" s="22" t="str">
        <f>CONCATENATE('Ingest Template'!H90,CHAR(10),'Ingest Template'!I90,CHAR(10),'Ingest Template'!J90,CHAR(10))</f>
        <v>
</v>
      </c>
      <c r="F90" s="35" t="str">
        <f t="array" ref="F90">INDEX(DropdownLists!$O$2:$O$36,MATCH(1,COUNTIF(E90,"*"&amp;DropdownLists!$N$2:$N$36&amp;"*"),0))</f>
        <v/>
      </c>
      <c r="G90" s="35"/>
      <c r="H90" s="22" t="str">
        <f t="array" ref="H90">INDEX(DropdownLists!$E$2:$E$276,MATCH('Ingest Template'!D90,DropdownLists!$C$2:$C$276,0))</f>
        <v>#N/A</v>
      </c>
      <c r="I90" s="22"/>
      <c r="J90" s="22" t="str">
        <f t="array" ref="J90">iF('Ingest Template'!A90="Standard","Pristine Brand",INDEX(DropdownLists!$B$2:$B$246,MATCH('Ingest Template'!D90,DropdownLists!$C$2:$C$246,0)))</f>
        <v>#N/A</v>
      </c>
      <c r="K90" s="22" t="str">
        <f>iF('Ingest Template'!A90="Standard",'Ingest Template'!K90&amp;CHAR(10)&amp;'Ingest Template'!L90,"Competitive View")</f>
        <v>Competitive View</v>
      </c>
      <c r="L90" s="22" t="s">
        <v>95</v>
      </c>
      <c r="M90" s="45" t="str">
        <f>'Ingest Template'!B90</f>
        <v/>
      </c>
      <c r="N90" s="35"/>
      <c r="O90" s="35"/>
      <c r="P90" s="35"/>
      <c r="Q90" s="35"/>
      <c r="R90" s="35" t="str">
        <f>'Ingest Template'!D90</f>
        <v/>
      </c>
      <c r="S90" s="22" t="s">
        <v>101</v>
      </c>
      <c r="T90" s="35" t="str">
        <f>'Ingest Template'!V90</f>
        <v/>
      </c>
      <c r="U90" s="35" t="str">
        <f>'Ingest Template'!W90</f>
        <v/>
      </c>
      <c r="V90" s="35" t="str">
        <f>LOWER(SUBSTITUTE(SUBSTITUTE(SUBSTITUTE(SUBSTITUTE(SUBSTITUTE('Ingest Template'!X90,"https:",""),"www.",""),"/",""),"?hl=en",""),"instagram.com",""))</f>
        <v/>
      </c>
      <c r="W90" s="74" t="str">
        <f t="array" ref="W90">IF(
'Ingest Template'!Y90="",
SUBSTITUTE(
INDEX(DropdownLists!$F$2:$F$277,MATCH('Ingest Template'!D90,DropdownLists!$C$2:$C$277,0)),
CHAR(10),
"|"&amp;'Ingest Template'!C90&amp;CHAR(10)
)&amp;"|"&amp;'Ingest Template'!C90,
SUBSTITUTE(
INDEX(DropdownLists!$F$2:$F$277,MATCH('Ingest Template'!D90,DropdownLists!$C$2:$C$277,0)),
CHAR(10),
"|"&amp;'Ingest Template'!C90&amp;CHAR(10)
)&amp;"|"&amp;'Ingest Template'!C90&amp;CHAR(10)&amp;'Ingest Template'!Y90
)</f>
        <v>#N/A</v>
      </c>
      <c r="X90" s="74" t="str">
        <f>'Ingest Template'!Z90</f>
        <v/>
      </c>
      <c r="Y90" s="35" t="str">
        <f>SUBSTITUTE(SUBSTITUTE(SUBSTITUTE('Ingest Template'!AA90,"http:",""),"https:",""),"/","")</f>
        <v/>
      </c>
      <c r="Z90" s="35" t="str">
        <f t="array" ref="Z90">IF('Ingest Template'!A90="Standard",(IF(ISBLANK('Ingest Template'!AB90),"", 'Ingest Template'!AB90&amp;"|DAR")),(IF(ISBLANK('Ingest Template'!AB90),"", 'Ingest Template'!AB90&amp;"|TV Ops")))</f>
        <v/>
      </c>
      <c r="AA90" s="35"/>
      <c r="AB90" s="35" t="str">
        <f>'Ingest Template'!R90</f>
        <v/>
      </c>
      <c r="AC90" s="35" t="str">
        <f>'Ingest Template'!T90</f>
        <v/>
      </c>
      <c r="AD90" s="35" t="str">
        <f>'Ingest Template'!S90</f>
        <v/>
      </c>
      <c r="AE90" s="35" t="str">
        <f>'Ingest Template'!U90</f>
        <v/>
      </c>
      <c r="AF90" s="22"/>
      <c r="AG90" s="35" t="str">
        <f t="array" ref="AG90">IF('Ingest Template'!A90="Standard",(CONCATENATE(IF(ISBLANK('Ingest Template'!N90),"", 'Ingest Template'!N90&amp;"|DAR"),CHAR(10), IF(ISBLANK('Ingest Template'!O90),"", 'Ingest Template'!O90&amp;"|DAR"),CHAR(10), IF(ISBLANK('Ingest Template'!P90),"", 'Ingest Template'!P90&amp;"|DAR"))),(CONCATENATE(IF(ISBLANK('Ingest Template'!N90),"", 'Ingest Template'!N90&amp;"|TV Ops"),CHAR(10), IF(ISBLANK('Ingest Template'!O90),"", 'Ingest Template'!O90&amp;"|TV Ops"),CHAR(10), IF(ISBLANK('Ingest Template'!P90),"", 'Ingest Template'!P90&amp;"|TV Ops"))))</f>
        <v>
</v>
      </c>
      <c r="AH90" s="35"/>
      <c r="AI90" s="35"/>
      <c r="AJ90" s="117" t="str">
        <f>if('Ingest Template'!A90="Standard",(IF(OR('Ingest Template'!F90 = "Program Type - Special", 'Ingest Template'!F90 = "Program Type - Live Event"),'Ingest Template'!M90&amp; "|DAR|DAR|"&amp;TEXT('Ingest Template'!C90-3, "yyyy-mm-dd")&amp;"|"&amp;TEXT('Ingest Template'!C90+3, "yyyy-mm-dd"),'Ingest Template'!M90&amp; "|DAR|DAR|2021-01-01")),(IF(OR('Ingest Template'!F90 = "Program Type - Special", 'Ingest Template'!F90 = "Program Type - Live Event"),'Ingest Template'!M90&amp; "|Operations - Core Title|Operations - Core Title|"&amp;TEXT('Ingest Template'!C90-3, "yyyy-mm-dd")&amp;"|"&amp;TEXT('Ingest Template'!C90+3, "yyyy-mm-dd"),'Ingest Template'!M90&amp; "|Operations - Core Title|Operations - Core Title")))</f>
        <v>|Operations - Core Title|Operations - Core Title</v>
      </c>
      <c r="AK90" s="35"/>
      <c r="AL90" s="117" t="str">
        <f>if('Ingest Template'!A90="Standard",(IF(OR('Ingest Template'!F90 = "Program Type - Special", 'Ingest Template'!F90 = "Program Type - Live Event"),'Ingest Template'!Q90&amp;"|"&amp;TEXT('Ingest Template'!C90-3, "yyyy-mm-dd")&amp;"|"&amp;TEXT('Ingest Template'!C90+3, "yyyy-mm-dd"),'Ingest Template'!Q90&amp; "|2021-01-01")),(IF(OR('Ingest Template'!F90 = "Program Type - Special", 'Ingest Template'!F90 = "Program Type - Live Event"),'Ingest Template'!Q90&amp; "|"&amp;TEXT('Ingest Template'!C90-3, "yyyy-mm-dd")&amp;"|"&amp;TEXT('Ingest Template'!C90+3, "yyyy-mm-dd"),'Ingest Template'!Q90)))</f>
        <v/>
      </c>
      <c r="AM90" s="35" t="str">
        <f>'Ingest Template'!AC90</f>
        <v/>
      </c>
    </row>
    <row r="91">
      <c r="A91" s="15"/>
      <c r="B91" s="22" t="str">
        <f>'Ingest Template'!C91&amp;IF('Ingest Template'!A91 = "Standard", " - DAR","")</f>
        <v/>
      </c>
      <c r="C91" s="22" t="s">
        <v>83</v>
      </c>
      <c r="D91" s="22" t="str">
        <f t="array" ref="D91">CONCATENATE(INDEX(DropdownLists!$H$2:$H$11,MATCH(1,COUNTIF('Ingest Template'!E91,"*"&amp;DropdownLists!$I$2:$I$11&amp;"*"),0)),CHAR(10),'Ingest Template'!F91,CHAR(10),'Ingest Template'!G91,CHAR(10),VLOOKUP('Ingest Template'!D91,DropdownLists!C:D,2,FALSE))</f>
        <v>#N/A</v>
      </c>
      <c r="E91" s="22" t="str">
        <f>CONCATENATE('Ingest Template'!H91,CHAR(10),'Ingest Template'!I91,CHAR(10),'Ingest Template'!J91,CHAR(10))</f>
        <v>
</v>
      </c>
      <c r="F91" s="35" t="str">
        <f t="array" ref="F91">INDEX(DropdownLists!$O$2:$O$36,MATCH(1,COUNTIF(E91,"*"&amp;DropdownLists!$N$2:$N$36&amp;"*"),0))</f>
        <v/>
      </c>
      <c r="G91" s="35"/>
      <c r="H91" s="22" t="str">
        <f t="array" ref="H91">INDEX(DropdownLists!$E$2:$E$276,MATCH('Ingest Template'!D91,DropdownLists!$C$2:$C$276,0))</f>
        <v>#N/A</v>
      </c>
      <c r="I91" s="22"/>
      <c r="J91" s="22" t="str">
        <f t="array" ref="J91">iF('Ingest Template'!A91="Standard","Pristine Brand",INDEX(DropdownLists!$B$2:$B$246,MATCH('Ingest Template'!D91,DropdownLists!$C$2:$C$246,0)))</f>
        <v>#N/A</v>
      </c>
      <c r="K91" s="22" t="str">
        <f>iF('Ingest Template'!A91="Standard",'Ingest Template'!K91&amp;CHAR(10)&amp;'Ingest Template'!L91,"Competitive View")</f>
        <v>Competitive View</v>
      </c>
      <c r="L91" s="22" t="s">
        <v>95</v>
      </c>
      <c r="M91" s="45" t="str">
        <f>'Ingest Template'!B91</f>
        <v/>
      </c>
      <c r="N91" s="35"/>
      <c r="O91" s="35"/>
      <c r="P91" s="35"/>
      <c r="Q91" s="35"/>
      <c r="R91" s="35" t="str">
        <f>'Ingest Template'!D91</f>
        <v/>
      </c>
      <c r="S91" s="22" t="s">
        <v>101</v>
      </c>
      <c r="T91" s="35" t="str">
        <f>'Ingest Template'!V91</f>
        <v/>
      </c>
      <c r="U91" s="35" t="str">
        <f>'Ingest Template'!W91</f>
        <v/>
      </c>
      <c r="V91" s="35" t="str">
        <f>LOWER(SUBSTITUTE(SUBSTITUTE(SUBSTITUTE(SUBSTITUTE(SUBSTITUTE('Ingest Template'!X91,"https:",""),"www.",""),"/",""),"?hl=en",""),"instagram.com",""))</f>
        <v/>
      </c>
      <c r="W91" s="74" t="str">
        <f t="array" ref="W91">IF(
'Ingest Template'!Y91="",
SUBSTITUTE(
INDEX(DropdownLists!$F$2:$F$277,MATCH('Ingest Template'!D91,DropdownLists!$C$2:$C$277,0)),
CHAR(10),
"|"&amp;'Ingest Template'!C91&amp;CHAR(10)
)&amp;"|"&amp;'Ingest Template'!C91,
SUBSTITUTE(
INDEX(DropdownLists!$F$2:$F$277,MATCH('Ingest Template'!D91,DropdownLists!$C$2:$C$277,0)),
CHAR(10),
"|"&amp;'Ingest Template'!C91&amp;CHAR(10)
)&amp;"|"&amp;'Ingest Template'!C91&amp;CHAR(10)&amp;'Ingest Template'!Y91
)</f>
        <v>#N/A</v>
      </c>
      <c r="X91" s="74" t="str">
        <f>'Ingest Template'!Z91</f>
        <v/>
      </c>
      <c r="Y91" s="35" t="str">
        <f>SUBSTITUTE(SUBSTITUTE(SUBSTITUTE('Ingest Template'!AA91,"http:",""),"https:",""),"/","")</f>
        <v/>
      </c>
      <c r="Z91" s="35" t="str">
        <f t="array" ref="Z91">IF('Ingest Template'!A91="Standard",(IF(ISBLANK('Ingest Template'!AB91),"", 'Ingest Template'!AB91&amp;"|DAR")),(IF(ISBLANK('Ingest Template'!AB91),"", 'Ingest Template'!AB91&amp;"|TV Ops")))</f>
        <v/>
      </c>
      <c r="AA91" s="35"/>
      <c r="AB91" s="35" t="str">
        <f>'Ingest Template'!R91</f>
        <v/>
      </c>
      <c r="AC91" s="35" t="str">
        <f>'Ingest Template'!T91</f>
        <v/>
      </c>
      <c r="AD91" s="35" t="str">
        <f>'Ingest Template'!S91</f>
        <v/>
      </c>
      <c r="AE91" s="35" t="str">
        <f>'Ingest Template'!U91</f>
        <v/>
      </c>
      <c r="AF91" s="22"/>
      <c r="AG91" s="35" t="str">
        <f t="array" ref="AG91">IF('Ingest Template'!A91="Standard",(CONCATENATE(IF(ISBLANK('Ingest Template'!N91),"", 'Ingest Template'!N91&amp;"|DAR"),CHAR(10), IF(ISBLANK('Ingest Template'!O91),"", 'Ingest Template'!O91&amp;"|DAR"),CHAR(10), IF(ISBLANK('Ingest Template'!P91),"", 'Ingest Template'!P91&amp;"|DAR"))),(CONCATENATE(IF(ISBLANK('Ingest Template'!N91),"", 'Ingest Template'!N91&amp;"|TV Ops"),CHAR(10), IF(ISBLANK('Ingest Template'!O91),"", 'Ingest Template'!O91&amp;"|TV Ops"),CHAR(10), IF(ISBLANK('Ingest Template'!P91),"", 'Ingest Template'!P91&amp;"|TV Ops"))))</f>
        <v>
</v>
      </c>
      <c r="AH91" s="35"/>
      <c r="AI91" s="35"/>
      <c r="AJ91" s="117" t="str">
        <f>if('Ingest Template'!A91="Standard",(IF(OR('Ingest Template'!F91 = "Program Type - Special", 'Ingest Template'!F91 = "Program Type - Live Event"),'Ingest Template'!M91&amp; "|DAR|DAR|"&amp;TEXT('Ingest Template'!C91-3, "yyyy-mm-dd")&amp;"|"&amp;TEXT('Ingest Template'!C91+3, "yyyy-mm-dd"),'Ingest Template'!M91&amp; "|DAR|DAR|2021-01-01")),(IF(OR('Ingest Template'!F91 = "Program Type - Special", 'Ingest Template'!F91 = "Program Type - Live Event"),'Ingest Template'!M91&amp; "|Operations - Core Title|Operations - Core Title|"&amp;TEXT('Ingest Template'!C91-3, "yyyy-mm-dd")&amp;"|"&amp;TEXT('Ingest Template'!C91+3, "yyyy-mm-dd"),'Ingest Template'!M91&amp; "|Operations - Core Title|Operations - Core Title")))</f>
        <v>|Operations - Core Title|Operations - Core Title</v>
      </c>
      <c r="AK91" s="35"/>
      <c r="AL91" s="117" t="str">
        <f>if('Ingest Template'!A91="Standard",(IF(OR('Ingest Template'!F91 = "Program Type - Special", 'Ingest Template'!F91 = "Program Type - Live Event"),'Ingest Template'!Q91&amp;"|"&amp;TEXT('Ingest Template'!C91-3, "yyyy-mm-dd")&amp;"|"&amp;TEXT('Ingest Template'!C91+3, "yyyy-mm-dd"),'Ingest Template'!Q91&amp; "|2021-01-01")),(IF(OR('Ingest Template'!F91 = "Program Type - Special", 'Ingest Template'!F91 = "Program Type - Live Event"),'Ingest Template'!Q91&amp; "|"&amp;TEXT('Ingest Template'!C91-3, "yyyy-mm-dd")&amp;"|"&amp;TEXT('Ingest Template'!C91+3, "yyyy-mm-dd"),'Ingest Template'!Q91)))</f>
        <v/>
      </c>
      <c r="AM91" s="35" t="str">
        <f>'Ingest Template'!AC91</f>
        <v/>
      </c>
    </row>
    <row r="92">
      <c r="A92" s="15"/>
      <c r="B92" s="22" t="str">
        <f>'Ingest Template'!C92&amp;IF('Ingest Template'!A92 = "Standard", " - DAR","")</f>
        <v/>
      </c>
      <c r="C92" s="22" t="s">
        <v>83</v>
      </c>
      <c r="D92" s="22" t="str">
        <f t="array" ref="D92">CONCATENATE(INDEX(DropdownLists!$H$2:$H$11,MATCH(1,COUNTIF('Ingest Template'!E92,"*"&amp;DropdownLists!$I$2:$I$11&amp;"*"),0)),CHAR(10),'Ingest Template'!F92,CHAR(10),'Ingest Template'!G92,CHAR(10),VLOOKUP('Ingest Template'!D92,DropdownLists!C:D,2,FALSE))</f>
        <v>#N/A</v>
      </c>
      <c r="E92" s="22" t="str">
        <f>CONCATENATE('Ingest Template'!H92,CHAR(10),'Ingest Template'!I92,CHAR(10),'Ingest Template'!J92,CHAR(10))</f>
        <v>
</v>
      </c>
      <c r="F92" s="35" t="str">
        <f t="array" ref="F92">INDEX(DropdownLists!$O$2:$O$36,MATCH(1,COUNTIF(E92,"*"&amp;DropdownLists!$N$2:$N$36&amp;"*"),0))</f>
        <v/>
      </c>
      <c r="G92" s="35"/>
      <c r="H92" s="22" t="str">
        <f t="array" ref="H92">INDEX(DropdownLists!$E$2:$E$276,MATCH('Ingest Template'!D92,DropdownLists!$C$2:$C$276,0))</f>
        <v>#N/A</v>
      </c>
      <c r="I92" s="22"/>
      <c r="J92" s="22" t="str">
        <f t="array" ref="J92">iF('Ingest Template'!A92="Standard","Pristine Brand",INDEX(DropdownLists!$B$2:$B$246,MATCH('Ingest Template'!D92,DropdownLists!$C$2:$C$246,0)))</f>
        <v>#N/A</v>
      </c>
      <c r="K92" s="22" t="str">
        <f>iF('Ingest Template'!A92="Standard",'Ingest Template'!K92&amp;CHAR(10)&amp;'Ingest Template'!L92,"Competitive View")</f>
        <v>Competitive View</v>
      </c>
      <c r="L92" s="22" t="s">
        <v>95</v>
      </c>
      <c r="M92" s="45" t="str">
        <f>'Ingest Template'!B92</f>
        <v/>
      </c>
      <c r="N92" s="35"/>
      <c r="O92" s="35"/>
      <c r="P92" s="35"/>
      <c r="Q92" s="35"/>
      <c r="R92" s="35" t="str">
        <f>'Ingest Template'!D92</f>
        <v/>
      </c>
      <c r="S92" s="22" t="s">
        <v>101</v>
      </c>
      <c r="T92" s="35" t="str">
        <f>'Ingest Template'!V92</f>
        <v/>
      </c>
      <c r="U92" s="35" t="str">
        <f>'Ingest Template'!W92</f>
        <v/>
      </c>
      <c r="V92" s="35" t="str">
        <f>LOWER(SUBSTITUTE(SUBSTITUTE(SUBSTITUTE(SUBSTITUTE(SUBSTITUTE('Ingest Template'!X92,"https:",""),"www.",""),"/",""),"?hl=en",""),"instagram.com",""))</f>
        <v/>
      </c>
      <c r="W92" s="74" t="str">
        <f t="array" ref="W92">IF(
'Ingest Template'!Y92="",
SUBSTITUTE(
INDEX(DropdownLists!$F$2:$F$277,MATCH('Ingest Template'!D92,DropdownLists!$C$2:$C$277,0)),
CHAR(10),
"|"&amp;'Ingest Template'!C92&amp;CHAR(10)
)&amp;"|"&amp;'Ingest Template'!C92,
SUBSTITUTE(
INDEX(DropdownLists!$F$2:$F$277,MATCH('Ingest Template'!D92,DropdownLists!$C$2:$C$277,0)),
CHAR(10),
"|"&amp;'Ingest Template'!C92&amp;CHAR(10)
)&amp;"|"&amp;'Ingest Template'!C92&amp;CHAR(10)&amp;'Ingest Template'!Y92
)</f>
        <v>#N/A</v>
      </c>
      <c r="X92" s="74" t="str">
        <f>'Ingest Template'!Z92</f>
        <v/>
      </c>
      <c r="Y92" s="35" t="str">
        <f>SUBSTITUTE(SUBSTITUTE(SUBSTITUTE('Ingest Template'!AA92,"http:",""),"https:",""),"/","")</f>
        <v/>
      </c>
      <c r="Z92" s="35" t="str">
        <f t="array" ref="Z92">IF('Ingest Template'!A92="Standard",(IF(ISBLANK('Ingest Template'!AB92),"", 'Ingest Template'!AB92&amp;"|DAR")),(IF(ISBLANK('Ingest Template'!AB92),"", 'Ingest Template'!AB92&amp;"|TV Ops")))</f>
        <v/>
      </c>
      <c r="AA92" s="35"/>
      <c r="AB92" s="35" t="str">
        <f>'Ingest Template'!R92</f>
        <v/>
      </c>
      <c r="AC92" s="35" t="str">
        <f>'Ingest Template'!T92</f>
        <v/>
      </c>
      <c r="AD92" s="35" t="str">
        <f>'Ingest Template'!S92</f>
        <v/>
      </c>
      <c r="AE92" s="35" t="str">
        <f>'Ingest Template'!U92</f>
        <v/>
      </c>
      <c r="AF92" s="22"/>
      <c r="AG92" s="35" t="str">
        <f t="array" ref="AG92">IF('Ingest Template'!A92="Standard",(CONCATENATE(IF(ISBLANK('Ingest Template'!N92),"", 'Ingest Template'!N92&amp;"|DAR"),CHAR(10), IF(ISBLANK('Ingest Template'!O92),"", 'Ingest Template'!O92&amp;"|DAR"),CHAR(10), IF(ISBLANK('Ingest Template'!P92),"", 'Ingest Template'!P92&amp;"|DAR"))),(CONCATENATE(IF(ISBLANK('Ingest Template'!N92),"", 'Ingest Template'!N92&amp;"|TV Ops"),CHAR(10), IF(ISBLANK('Ingest Template'!O92),"", 'Ingest Template'!O92&amp;"|TV Ops"),CHAR(10), IF(ISBLANK('Ingest Template'!P92),"", 'Ingest Template'!P92&amp;"|TV Ops"))))</f>
        <v>
</v>
      </c>
      <c r="AH92" s="35"/>
      <c r="AI92" s="35"/>
      <c r="AJ92" s="117" t="str">
        <f>if('Ingest Template'!A92="Standard",(IF(OR('Ingest Template'!F92 = "Program Type - Special", 'Ingest Template'!F92 = "Program Type - Live Event"),'Ingest Template'!M92&amp; "|DAR|DAR|"&amp;TEXT('Ingest Template'!C92-3, "yyyy-mm-dd")&amp;"|"&amp;TEXT('Ingest Template'!C92+3, "yyyy-mm-dd"),'Ingest Template'!M92&amp; "|DAR|DAR|2021-01-01")),(IF(OR('Ingest Template'!F92 = "Program Type - Special", 'Ingest Template'!F92 = "Program Type - Live Event"),'Ingest Template'!M92&amp; "|Operations - Core Title|Operations - Core Title|"&amp;TEXT('Ingest Template'!C92-3, "yyyy-mm-dd")&amp;"|"&amp;TEXT('Ingest Template'!C92+3, "yyyy-mm-dd"),'Ingest Template'!M92&amp; "|Operations - Core Title|Operations - Core Title")))</f>
        <v>|Operations - Core Title|Operations - Core Title</v>
      </c>
      <c r="AK92" s="35"/>
      <c r="AL92" s="117" t="str">
        <f>if('Ingest Template'!A92="Standard",(IF(OR('Ingest Template'!F92 = "Program Type - Special", 'Ingest Template'!F92 = "Program Type - Live Event"),'Ingest Template'!Q92&amp;"|"&amp;TEXT('Ingest Template'!C92-3, "yyyy-mm-dd")&amp;"|"&amp;TEXT('Ingest Template'!C92+3, "yyyy-mm-dd"),'Ingest Template'!Q92&amp; "|2021-01-01")),(IF(OR('Ingest Template'!F92 = "Program Type - Special", 'Ingest Template'!F92 = "Program Type - Live Event"),'Ingest Template'!Q92&amp; "|"&amp;TEXT('Ingest Template'!C92-3, "yyyy-mm-dd")&amp;"|"&amp;TEXT('Ingest Template'!C92+3, "yyyy-mm-dd"),'Ingest Template'!Q92)))</f>
        <v/>
      </c>
      <c r="AM92" s="35" t="str">
        <f>'Ingest Template'!AC92</f>
        <v/>
      </c>
    </row>
    <row r="93">
      <c r="A93" s="15"/>
      <c r="B93" s="22" t="str">
        <f>'Ingest Template'!C93&amp;IF('Ingest Template'!A93 = "Standard", " - DAR","")</f>
        <v/>
      </c>
      <c r="C93" s="22" t="s">
        <v>83</v>
      </c>
      <c r="D93" s="22" t="str">
        <f t="array" ref="D93">CONCATENATE(INDEX(DropdownLists!$H$2:$H$11,MATCH(1,COUNTIF('Ingest Template'!E93,"*"&amp;DropdownLists!$I$2:$I$11&amp;"*"),0)),CHAR(10),'Ingest Template'!F93,CHAR(10),'Ingest Template'!G93,CHAR(10),VLOOKUP('Ingest Template'!D93,DropdownLists!C:D,2,FALSE))</f>
        <v>#N/A</v>
      </c>
      <c r="E93" s="22" t="str">
        <f>CONCATENATE('Ingest Template'!H93,CHAR(10),'Ingest Template'!I93,CHAR(10),'Ingest Template'!J93,CHAR(10))</f>
        <v>
</v>
      </c>
      <c r="F93" s="35" t="str">
        <f t="array" ref="F93">INDEX(DropdownLists!$O$2:$O$36,MATCH(1,COUNTIF(E93,"*"&amp;DropdownLists!$N$2:$N$36&amp;"*"),0))</f>
        <v/>
      </c>
      <c r="G93" s="35"/>
      <c r="H93" s="22" t="str">
        <f t="array" ref="H93">INDEX(DropdownLists!$E$2:$E$276,MATCH('Ingest Template'!D93,DropdownLists!$C$2:$C$276,0))</f>
        <v>#N/A</v>
      </c>
      <c r="I93" s="22"/>
      <c r="J93" s="22" t="str">
        <f t="array" ref="J93">iF('Ingest Template'!A93="Standard","Pristine Brand",INDEX(DropdownLists!$B$2:$B$246,MATCH('Ingest Template'!D93,DropdownLists!$C$2:$C$246,0)))</f>
        <v>#N/A</v>
      </c>
      <c r="K93" s="22" t="str">
        <f>iF('Ingest Template'!A93="Standard",'Ingest Template'!K93&amp;CHAR(10)&amp;'Ingest Template'!L93,"Competitive View")</f>
        <v>Competitive View</v>
      </c>
      <c r="L93" s="22" t="s">
        <v>95</v>
      </c>
      <c r="M93" s="45" t="str">
        <f>'Ingest Template'!B93</f>
        <v/>
      </c>
      <c r="N93" s="35"/>
      <c r="O93" s="35"/>
      <c r="P93" s="35"/>
      <c r="Q93" s="35"/>
      <c r="R93" s="35" t="str">
        <f>'Ingest Template'!D93</f>
        <v/>
      </c>
      <c r="S93" s="22" t="s">
        <v>101</v>
      </c>
      <c r="T93" s="35" t="str">
        <f>'Ingest Template'!V93</f>
        <v/>
      </c>
      <c r="U93" s="35" t="str">
        <f>'Ingest Template'!W93</f>
        <v/>
      </c>
      <c r="V93" s="35" t="str">
        <f>LOWER(SUBSTITUTE(SUBSTITUTE(SUBSTITUTE(SUBSTITUTE(SUBSTITUTE('Ingest Template'!X93,"https:",""),"www.",""),"/",""),"?hl=en",""),"instagram.com",""))</f>
        <v/>
      </c>
      <c r="W93" s="74" t="str">
        <f t="array" ref="W93">IF(
'Ingest Template'!Y93="",
SUBSTITUTE(
INDEX(DropdownLists!$F$2:$F$277,MATCH('Ingest Template'!D93,DropdownLists!$C$2:$C$277,0)),
CHAR(10),
"|"&amp;'Ingest Template'!C93&amp;CHAR(10)
)&amp;"|"&amp;'Ingest Template'!C93,
SUBSTITUTE(
INDEX(DropdownLists!$F$2:$F$277,MATCH('Ingest Template'!D93,DropdownLists!$C$2:$C$277,0)),
CHAR(10),
"|"&amp;'Ingest Template'!C93&amp;CHAR(10)
)&amp;"|"&amp;'Ingest Template'!C93&amp;CHAR(10)&amp;'Ingest Template'!Y93
)</f>
        <v>#N/A</v>
      </c>
      <c r="X93" s="74" t="str">
        <f>'Ingest Template'!Z93</f>
        <v/>
      </c>
      <c r="Y93" s="35" t="str">
        <f>SUBSTITUTE(SUBSTITUTE(SUBSTITUTE('Ingest Template'!AA93,"http:",""),"https:",""),"/","")</f>
        <v/>
      </c>
      <c r="Z93" s="35" t="str">
        <f t="array" ref="Z93">IF('Ingest Template'!A93="Standard",(IF(ISBLANK('Ingest Template'!AB93),"", 'Ingest Template'!AB93&amp;"|DAR")),(IF(ISBLANK('Ingest Template'!AB93),"", 'Ingest Template'!AB93&amp;"|TV Ops")))</f>
        <v/>
      </c>
      <c r="AA93" s="35"/>
      <c r="AB93" s="35" t="str">
        <f>'Ingest Template'!R93</f>
        <v/>
      </c>
      <c r="AC93" s="35" t="str">
        <f>'Ingest Template'!T93</f>
        <v/>
      </c>
      <c r="AD93" s="35" t="str">
        <f>'Ingest Template'!S93</f>
        <v/>
      </c>
      <c r="AE93" s="35" t="str">
        <f>'Ingest Template'!U93</f>
        <v/>
      </c>
      <c r="AF93" s="22"/>
      <c r="AG93" s="35" t="str">
        <f t="array" ref="AG93">IF('Ingest Template'!A93="Standard",(CONCATENATE(IF(ISBLANK('Ingest Template'!N93),"", 'Ingest Template'!N93&amp;"|DAR"),CHAR(10), IF(ISBLANK('Ingest Template'!O93),"", 'Ingest Template'!O93&amp;"|DAR"),CHAR(10), IF(ISBLANK('Ingest Template'!P93),"", 'Ingest Template'!P93&amp;"|DAR"))),(CONCATENATE(IF(ISBLANK('Ingest Template'!N93),"", 'Ingest Template'!N93&amp;"|TV Ops"),CHAR(10), IF(ISBLANK('Ingest Template'!O93),"", 'Ingest Template'!O93&amp;"|TV Ops"),CHAR(10), IF(ISBLANK('Ingest Template'!P93),"", 'Ingest Template'!P93&amp;"|TV Ops"))))</f>
        <v>
</v>
      </c>
      <c r="AH93" s="35"/>
      <c r="AI93" s="35"/>
      <c r="AJ93" s="117" t="str">
        <f>if('Ingest Template'!A93="Standard",(IF(OR('Ingest Template'!F93 = "Program Type - Special", 'Ingest Template'!F93 = "Program Type - Live Event"),'Ingest Template'!M93&amp; "|DAR|DAR|"&amp;TEXT('Ingest Template'!C93-3, "yyyy-mm-dd")&amp;"|"&amp;TEXT('Ingest Template'!C93+3, "yyyy-mm-dd"),'Ingest Template'!M93&amp; "|DAR|DAR|2021-01-01")),(IF(OR('Ingest Template'!F93 = "Program Type - Special", 'Ingest Template'!F93 = "Program Type - Live Event"),'Ingest Template'!M93&amp; "|Operations - Core Title|Operations - Core Title|"&amp;TEXT('Ingest Template'!C93-3, "yyyy-mm-dd")&amp;"|"&amp;TEXT('Ingest Template'!C93+3, "yyyy-mm-dd"),'Ingest Template'!M93&amp; "|Operations - Core Title|Operations - Core Title")))</f>
        <v>|Operations - Core Title|Operations - Core Title</v>
      </c>
      <c r="AK93" s="35"/>
      <c r="AL93" s="117" t="str">
        <f>if('Ingest Template'!A93="Standard",(IF(OR('Ingest Template'!F93 = "Program Type - Special", 'Ingest Template'!F93 = "Program Type - Live Event"),'Ingest Template'!Q93&amp;"|"&amp;TEXT('Ingest Template'!C93-3, "yyyy-mm-dd")&amp;"|"&amp;TEXT('Ingest Template'!C93+3, "yyyy-mm-dd"),'Ingest Template'!Q93&amp; "|2021-01-01")),(IF(OR('Ingest Template'!F93 = "Program Type - Special", 'Ingest Template'!F93 = "Program Type - Live Event"),'Ingest Template'!Q93&amp; "|"&amp;TEXT('Ingest Template'!C93-3, "yyyy-mm-dd")&amp;"|"&amp;TEXT('Ingest Template'!C93+3, "yyyy-mm-dd"),'Ingest Template'!Q93)))</f>
        <v/>
      </c>
      <c r="AM93" s="35" t="str">
        <f>'Ingest Template'!AC93</f>
        <v/>
      </c>
    </row>
    <row r="94">
      <c r="A94" s="15"/>
      <c r="B94" s="22" t="str">
        <f>'Ingest Template'!C94&amp;IF('Ingest Template'!A94 = "Standard", " - DAR","")</f>
        <v/>
      </c>
      <c r="C94" s="22" t="s">
        <v>83</v>
      </c>
      <c r="D94" s="22" t="str">
        <f t="array" ref="D94">CONCATENATE(INDEX(DropdownLists!$H$2:$H$11,MATCH(1,COUNTIF('Ingest Template'!E94,"*"&amp;DropdownLists!$I$2:$I$11&amp;"*"),0)),CHAR(10),'Ingest Template'!F94,CHAR(10),'Ingest Template'!G94,CHAR(10),VLOOKUP('Ingest Template'!D94,DropdownLists!C:D,2,FALSE))</f>
        <v>#N/A</v>
      </c>
      <c r="E94" s="22" t="str">
        <f>CONCATENATE('Ingest Template'!H94,CHAR(10),'Ingest Template'!I94,CHAR(10),'Ingest Template'!J94,CHAR(10))</f>
        <v>
</v>
      </c>
      <c r="F94" s="35" t="str">
        <f t="array" ref="F94">INDEX(DropdownLists!$O$2:$O$36,MATCH(1,COUNTIF(E94,"*"&amp;DropdownLists!$N$2:$N$36&amp;"*"),0))</f>
        <v/>
      </c>
      <c r="G94" s="35"/>
      <c r="H94" s="22" t="str">
        <f t="array" ref="H94">INDEX(DropdownLists!$E$2:$E$276,MATCH('Ingest Template'!D94,DropdownLists!$C$2:$C$276,0))</f>
        <v>#N/A</v>
      </c>
      <c r="I94" s="22"/>
      <c r="J94" s="22" t="str">
        <f t="array" ref="J94">iF('Ingest Template'!A94="Standard","Pristine Brand",INDEX(DropdownLists!$B$2:$B$246,MATCH('Ingest Template'!D94,DropdownLists!$C$2:$C$246,0)))</f>
        <v>#N/A</v>
      </c>
      <c r="K94" s="22" t="str">
        <f>iF('Ingest Template'!A94="Standard",'Ingest Template'!K94&amp;CHAR(10)&amp;'Ingest Template'!L94,"Competitive View")</f>
        <v>Competitive View</v>
      </c>
      <c r="L94" s="22" t="s">
        <v>95</v>
      </c>
      <c r="M94" s="45" t="str">
        <f>'Ingest Template'!B94</f>
        <v/>
      </c>
      <c r="N94" s="35"/>
      <c r="O94" s="35"/>
      <c r="P94" s="35"/>
      <c r="Q94" s="35"/>
      <c r="R94" s="35" t="str">
        <f>'Ingest Template'!D94</f>
        <v/>
      </c>
      <c r="S94" s="22" t="s">
        <v>101</v>
      </c>
      <c r="T94" s="35" t="str">
        <f>'Ingest Template'!V94</f>
        <v/>
      </c>
      <c r="U94" s="35" t="str">
        <f>'Ingest Template'!W94</f>
        <v/>
      </c>
      <c r="V94" s="35" t="str">
        <f>LOWER(SUBSTITUTE(SUBSTITUTE(SUBSTITUTE(SUBSTITUTE(SUBSTITUTE('Ingest Template'!X94,"https:",""),"www.",""),"/",""),"?hl=en",""),"instagram.com",""))</f>
        <v/>
      </c>
      <c r="W94" s="74" t="str">
        <f t="array" ref="W94">IF(
'Ingest Template'!Y94="",
SUBSTITUTE(
INDEX(DropdownLists!$F$2:$F$277,MATCH('Ingest Template'!D94,DropdownLists!$C$2:$C$277,0)),
CHAR(10),
"|"&amp;'Ingest Template'!C94&amp;CHAR(10)
)&amp;"|"&amp;'Ingest Template'!C94,
SUBSTITUTE(
INDEX(DropdownLists!$F$2:$F$277,MATCH('Ingest Template'!D94,DropdownLists!$C$2:$C$277,0)),
CHAR(10),
"|"&amp;'Ingest Template'!C94&amp;CHAR(10)
)&amp;"|"&amp;'Ingest Template'!C94&amp;CHAR(10)&amp;'Ingest Template'!Y94
)</f>
        <v>#N/A</v>
      </c>
      <c r="X94" s="74" t="str">
        <f>'Ingest Template'!Z94</f>
        <v/>
      </c>
      <c r="Y94" s="35" t="str">
        <f>SUBSTITUTE(SUBSTITUTE(SUBSTITUTE('Ingest Template'!AA94,"http:",""),"https:",""),"/","")</f>
        <v/>
      </c>
      <c r="Z94" s="35" t="str">
        <f t="array" ref="Z94">IF('Ingest Template'!A94="Standard",(IF(ISBLANK('Ingest Template'!AB94),"", 'Ingest Template'!AB94&amp;"|DAR")),(IF(ISBLANK('Ingest Template'!AB94),"", 'Ingest Template'!AB94&amp;"|TV Ops")))</f>
        <v/>
      </c>
      <c r="AA94" s="35"/>
      <c r="AB94" s="35" t="str">
        <f>'Ingest Template'!R94</f>
        <v/>
      </c>
      <c r="AC94" s="35" t="str">
        <f>'Ingest Template'!T94</f>
        <v/>
      </c>
      <c r="AD94" s="35" t="str">
        <f>'Ingest Template'!S94</f>
        <v/>
      </c>
      <c r="AE94" s="35" t="str">
        <f>'Ingest Template'!U94</f>
        <v/>
      </c>
      <c r="AF94" s="22"/>
      <c r="AG94" s="35" t="str">
        <f t="array" ref="AG94">IF('Ingest Template'!A94="Standard",(CONCATENATE(IF(ISBLANK('Ingest Template'!N94),"", 'Ingest Template'!N94&amp;"|DAR"),CHAR(10), IF(ISBLANK('Ingest Template'!O94),"", 'Ingest Template'!O94&amp;"|DAR"),CHAR(10), IF(ISBLANK('Ingest Template'!P94),"", 'Ingest Template'!P94&amp;"|DAR"))),(CONCATENATE(IF(ISBLANK('Ingest Template'!N94),"", 'Ingest Template'!N94&amp;"|TV Ops"),CHAR(10), IF(ISBLANK('Ingest Template'!O94),"", 'Ingest Template'!O94&amp;"|TV Ops"),CHAR(10), IF(ISBLANK('Ingest Template'!P94),"", 'Ingest Template'!P94&amp;"|TV Ops"))))</f>
        <v>
</v>
      </c>
      <c r="AH94" s="35"/>
      <c r="AI94" s="35"/>
      <c r="AJ94" s="117" t="str">
        <f>if('Ingest Template'!A94="Standard",(IF(OR('Ingest Template'!F94 = "Program Type - Special", 'Ingest Template'!F94 = "Program Type - Live Event"),'Ingest Template'!M94&amp; "|DAR|DAR|"&amp;TEXT('Ingest Template'!C94-3, "yyyy-mm-dd")&amp;"|"&amp;TEXT('Ingest Template'!C94+3, "yyyy-mm-dd"),'Ingest Template'!M94&amp; "|DAR|DAR|2021-01-01")),(IF(OR('Ingest Template'!F94 = "Program Type - Special", 'Ingest Template'!F94 = "Program Type - Live Event"),'Ingest Template'!M94&amp; "|Operations - Core Title|Operations - Core Title|"&amp;TEXT('Ingest Template'!C94-3, "yyyy-mm-dd")&amp;"|"&amp;TEXT('Ingest Template'!C94+3, "yyyy-mm-dd"),'Ingest Template'!M94&amp; "|Operations - Core Title|Operations - Core Title")))</f>
        <v>|Operations - Core Title|Operations - Core Title</v>
      </c>
      <c r="AK94" s="35"/>
      <c r="AL94" s="117" t="str">
        <f>if('Ingest Template'!A94="Standard",(IF(OR('Ingest Template'!F94 = "Program Type - Special", 'Ingest Template'!F94 = "Program Type - Live Event"),'Ingest Template'!Q94&amp;"|"&amp;TEXT('Ingest Template'!C94-3, "yyyy-mm-dd")&amp;"|"&amp;TEXT('Ingest Template'!C94+3, "yyyy-mm-dd"),'Ingest Template'!Q94&amp; "|2021-01-01")),(IF(OR('Ingest Template'!F94 = "Program Type - Special", 'Ingest Template'!F94 = "Program Type - Live Event"),'Ingest Template'!Q94&amp; "|"&amp;TEXT('Ingest Template'!C94-3, "yyyy-mm-dd")&amp;"|"&amp;TEXT('Ingest Template'!C94+3, "yyyy-mm-dd"),'Ingest Template'!Q94)))</f>
        <v/>
      </c>
      <c r="AM94" s="35" t="str">
        <f>'Ingest Template'!AC94</f>
        <v/>
      </c>
    </row>
    <row r="95">
      <c r="A95" s="15"/>
      <c r="B95" s="22" t="str">
        <f>'Ingest Template'!C95&amp;IF('Ingest Template'!A95 = "Standard", " - DAR","")</f>
        <v/>
      </c>
      <c r="C95" s="22" t="s">
        <v>83</v>
      </c>
      <c r="D95" s="22" t="str">
        <f t="array" ref="D95">CONCATENATE(INDEX(DropdownLists!$H$2:$H$11,MATCH(1,COUNTIF('Ingest Template'!E95,"*"&amp;DropdownLists!$I$2:$I$11&amp;"*"),0)),CHAR(10),'Ingest Template'!F95,CHAR(10),'Ingest Template'!G95,CHAR(10),VLOOKUP('Ingest Template'!D95,DropdownLists!C:D,2,FALSE))</f>
        <v>#N/A</v>
      </c>
      <c r="E95" s="22" t="str">
        <f>CONCATENATE('Ingest Template'!H95,CHAR(10),'Ingest Template'!I95,CHAR(10),'Ingest Template'!J95,CHAR(10))</f>
        <v>
</v>
      </c>
      <c r="F95" s="35" t="str">
        <f t="array" ref="F95">INDEX(DropdownLists!$O$2:$O$36,MATCH(1,COUNTIF(E95,"*"&amp;DropdownLists!$N$2:$N$36&amp;"*"),0))</f>
        <v/>
      </c>
      <c r="G95" s="35"/>
      <c r="H95" s="22" t="str">
        <f t="array" ref="H95">INDEX(DropdownLists!$E$2:$E$276,MATCH('Ingest Template'!D95,DropdownLists!$C$2:$C$276,0))</f>
        <v>#N/A</v>
      </c>
      <c r="I95" s="22"/>
      <c r="J95" s="22" t="str">
        <f t="array" ref="J95">iF('Ingest Template'!A95="Standard","Pristine Brand",INDEX(DropdownLists!$B$2:$B$246,MATCH('Ingest Template'!D95,DropdownLists!$C$2:$C$246,0)))</f>
        <v>#N/A</v>
      </c>
      <c r="K95" s="22" t="str">
        <f>iF('Ingest Template'!A95="Standard",'Ingest Template'!K95&amp;CHAR(10)&amp;'Ingest Template'!L95,"Competitive View")</f>
        <v>Competitive View</v>
      </c>
      <c r="L95" s="22" t="s">
        <v>95</v>
      </c>
      <c r="M95" s="45" t="str">
        <f>'Ingest Template'!B95</f>
        <v/>
      </c>
      <c r="N95" s="35"/>
      <c r="O95" s="35"/>
      <c r="P95" s="35"/>
      <c r="Q95" s="35"/>
      <c r="R95" s="35" t="str">
        <f>'Ingest Template'!D95</f>
        <v/>
      </c>
      <c r="S95" s="22" t="s">
        <v>101</v>
      </c>
      <c r="T95" s="35" t="str">
        <f>'Ingest Template'!V95</f>
        <v/>
      </c>
      <c r="U95" s="35" t="str">
        <f>'Ingest Template'!W95</f>
        <v/>
      </c>
      <c r="V95" s="35" t="str">
        <f>LOWER(SUBSTITUTE(SUBSTITUTE(SUBSTITUTE(SUBSTITUTE(SUBSTITUTE('Ingest Template'!X95,"https:",""),"www.",""),"/",""),"?hl=en",""),"instagram.com",""))</f>
        <v/>
      </c>
      <c r="W95" s="74" t="str">
        <f t="array" ref="W95">IF(
'Ingest Template'!Y95="",
SUBSTITUTE(
INDEX(DropdownLists!$F$2:$F$277,MATCH('Ingest Template'!D95,DropdownLists!$C$2:$C$277,0)),
CHAR(10),
"|"&amp;'Ingest Template'!C95&amp;CHAR(10)
)&amp;"|"&amp;'Ingest Template'!C95,
SUBSTITUTE(
INDEX(DropdownLists!$F$2:$F$277,MATCH('Ingest Template'!D95,DropdownLists!$C$2:$C$277,0)),
CHAR(10),
"|"&amp;'Ingest Template'!C95&amp;CHAR(10)
)&amp;"|"&amp;'Ingest Template'!C95&amp;CHAR(10)&amp;'Ingest Template'!Y95
)</f>
        <v>#N/A</v>
      </c>
      <c r="X95" s="74" t="str">
        <f>'Ingest Template'!Z95</f>
        <v/>
      </c>
      <c r="Y95" s="35" t="str">
        <f>SUBSTITUTE(SUBSTITUTE(SUBSTITUTE('Ingest Template'!AA95,"http:",""),"https:",""),"/","")</f>
        <v/>
      </c>
      <c r="Z95" s="35" t="str">
        <f t="array" ref="Z95">IF('Ingest Template'!A95="Standard",(IF(ISBLANK('Ingest Template'!AB95),"", 'Ingest Template'!AB95&amp;"|DAR")),(IF(ISBLANK('Ingest Template'!AB95),"", 'Ingest Template'!AB95&amp;"|TV Ops")))</f>
        <v/>
      </c>
      <c r="AA95" s="35"/>
      <c r="AB95" s="35" t="str">
        <f>'Ingest Template'!R95</f>
        <v/>
      </c>
      <c r="AC95" s="35" t="str">
        <f>'Ingest Template'!T95</f>
        <v/>
      </c>
      <c r="AD95" s="35" t="str">
        <f>'Ingest Template'!S95</f>
        <v/>
      </c>
      <c r="AE95" s="35" t="str">
        <f>'Ingest Template'!U95</f>
        <v/>
      </c>
      <c r="AF95" s="22"/>
      <c r="AG95" s="35" t="str">
        <f t="array" ref="AG95">IF('Ingest Template'!A95="Standard",(CONCATENATE(IF(ISBLANK('Ingest Template'!N95),"", 'Ingest Template'!N95&amp;"|DAR"),CHAR(10), IF(ISBLANK('Ingest Template'!O95),"", 'Ingest Template'!O95&amp;"|DAR"),CHAR(10), IF(ISBLANK('Ingest Template'!P95),"", 'Ingest Template'!P95&amp;"|DAR"))),(CONCATENATE(IF(ISBLANK('Ingest Template'!N95),"", 'Ingest Template'!N95&amp;"|TV Ops"),CHAR(10), IF(ISBLANK('Ingest Template'!O95),"", 'Ingest Template'!O95&amp;"|TV Ops"),CHAR(10), IF(ISBLANK('Ingest Template'!P95),"", 'Ingest Template'!P95&amp;"|TV Ops"))))</f>
        <v>
</v>
      </c>
      <c r="AH95" s="35"/>
      <c r="AI95" s="35"/>
      <c r="AJ95" s="117" t="str">
        <f>if('Ingest Template'!A95="Standard",(IF(OR('Ingest Template'!F95 = "Program Type - Special", 'Ingest Template'!F95 = "Program Type - Live Event"),'Ingest Template'!M95&amp; "|DAR|DAR|"&amp;TEXT('Ingest Template'!C95-3, "yyyy-mm-dd")&amp;"|"&amp;TEXT('Ingest Template'!C95+3, "yyyy-mm-dd"),'Ingest Template'!M95&amp; "|DAR|DAR|2021-01-01")),(IF(OR('Ingest Template'!F95 = "Program Type - Special", 'Ingest Template'!F95 = "Program Type - Live Event"),'Ingest Template'!M95&amp; "|Operations - Core Title|Operations - Core Title|"&amp;TEXT('Ingest Template'!C95-3, "yyyy-mm-dd")&amp;"|"&amp;TEXT('Ingest Template'!C95+3, "yyyy-mm-dd"),'Ingest Template'!M95&amp; "|Operations - Core Title|Operations - Core Title")))</f>
        <v>|Operations - Core Title|Operations - Core Title</v>
      </c>
      <c r="AK95" s="35"/>
      <c r="AL95" s="117" t="str">
        <f>if('Ingest Template'!A95="Standard",(IF(OR('Ingest Template'!F95 = "Program Type - Special", 'Ingest Template'!F95 = "Program Type - Live Event"),'Ingest Template'!Q95&amp;"|"&amp;TEXT('Ingest Template'!C95-3, "yyyy-mm-dd")&amp;"|"&amp;TEXT('Ingest Template'!C95+3, "yyyy-mm-dd"),'Ingest Template'!Q95&amp; "|2021-01-01")),(IF(OR('Ingest Template'!F95 = "Program Type - Special", 'Ingest Template'!F95 = "Program Type - Live Event"),'Ingest Template'!Q95&amp; "|"&amp;TEXT('Ingest Template'!C95-3, "yyyy-mm-dd")&amp;"|"&amp;TEXT('Ingest Template'!C95+3, "yyyy-mm-dd"),'Ingest Template'!Q95)))</f>
        <v/>
      </c>
      <c r="AM95" s="35" t="str">
        <f>'Ingest Template'!AC95</f>
        <v/>
      </c>
    </row>
    <row r="96">
      <c r="A96" s="15"/>
      <c r="B96" s="22" t="str">
        <f>'Ingest Template'!C96&amp;IF('Ingest Template'!A96 = "Standard", " - DAR","")</f>
        <v/>
      </c>
      <c r="C96" s="22" t="s">
        <v>83</v>
      </c>
      <c r="D96" s="22" t="str">
        <f t="array" ref="D96">CONCATENATE(INDEX(DropdownLists!$H$2:$H$11,MATCH(1,COUNTIF('Ingest Template'!E96,"*"&amp;DropdownLists!$I$2:$I$11&amp;"*"),0)),CHAR(10),'Ingest Template'!F96,CHAR(10),'Ingest Template'!G96,CHAR(10),VLOOKUP('Ingest Template'!D96,DropdownLists!C:D,2,FALSE))</f>
        <v>#N/A</v>
      </c>
      <c r="E96" s="22" t="str">
        <f>CONCATENATE('Ingest Template'!H96,CHAR(10),'Ingest Template'!I96,CHAR(10),'Ingest Template'!J96,CHAR(10))</f>
        <v>
</v>
      </c>
      <c r="F96" s="35" t="str">
        <f t="array" ref="F96">INDEX(DropdownLists!$O$2:$O$36,MATCH(1,COUNTIF(E96,"*"&amp;DropdownLists!$N$2:$N$36&amp;"*"),0))</f>
        <v/>
      </c>
      <c r="G96" s="35"/>
      <c r="H96" s="22" t="str">
        <f t="array" ref="H96">INDEX(DropdownLists!$E$2:$E$276,MATCH('Ingest Template'!D96,DropdownLists!$C$2:$C$276,0))</f>
        <v>#N/A</v>
      </c>
      <c r="I96" s="22"/>
      <c r="J96" s="22" t="str">
        <f t="array" ref="J96">iF('Ingest Template'!A96="Standard","Pristine Brand",INDEX(DropdownLists!$B$2:$B$246,MATCH('Ingest Template'!D96,DropdownLists!$C$2:$C$246,0)))</f>
        <v>#N/A</v>
      </c>
      <c r="K96" s="22" t="str">
        <f>iF('Ingest Template'!A96="Standard",'Ingest Template'!K96&amp;CHAR(10)&amp;'Ingest Template'!L96,"Competitive View")</f>
        <v>Competitive View</v>
      </c>
      <c r="L96" s="22" t="s">
        <v>95</v>
      </c>
      <c r="M96" s="45" t="str">
        <f>'Ingest Template'!B96</f>
        <v/>
      </c>
      <c r="N96" s="35"/>
      <c r="O96" s="35"/>
      <c r="P96" s="35"/>
      <c r="Q96" s="35"/>
      <c r="R96" s="35" t="str">
        <f>'Ingest Template'!D96</f>
        <v/>
      </c>
      <c r="S96" s="22" t="s">
        <v>101</v>
      </c>
      <c r="T96" s="35" t="str">
        <f>'Ingest Template'!V96</f>
        <v/>
      </c>
      <c r="U96" s="35" t="str">
        <f>'Ingest Template'!W96</f>
        <v/>
      </c>
      <c r="V96" s="35" t="str">
        <f>LOWER(SUBSTITUTE(SUBSTITUTE(SUBSTITUTE(SUBSTITUTE(SUBSTITUTE('Ingest Template'!X96,"https:",""),"www.",""),"/",""),"?hl=en",""),"instagram.com",""))</f>
        <v/>
      </c>
      <c r="W96" s="74" t="str">
        <f t="array" ref="W96">IF(
'Ingest Template'!Y96="",
SUBSTITUTE(
INDEX(DropdownLists!$F$2:$F$277,MATCH('Ingest Template'!D96,DropdownLists!$C$2:$C$277,0)),
CHAR(10),
"|"&amp;'Ingest Template'!C96&amp;CHAR(10)
)&amp;"|"&amp;'Ingest Template'!C96,
SUBSTITUTE(
INDEX(DropdownLists!$F$2:$F$277,MATCH('Ingest Template'!D96,DropdownLists!$C$2:$C$277,0)),
CHAR(10),
"|"&amp;'Ingest Template'!C96&amp;CHAR(10)
)&amp;"|"&amp;'Ingest Template'!C96&amp;CHAR(10)&amp;'Ingest Template'!Y96
)</f>
        <v>#N/A</v>
      </c>
      <c r="X96" s="74" t="str">
        <f>'Ingest Template'!Z96</f>
        <v/>
      </c>
      <c r="Y96" s="35" t="str">
        <f>SUBSTITUTE(SUBSTITUTE(SUBSTITUTE('Ingest Template'!AA96,"http:",""),"https:",""),"/","")</f>
        <v/>
      </c>
      <c r="Z96" s="35" t="str">
        <f t="array" ref="Z96">IF('Ingest Template'!A96="Standard",(IF(ISBLANK('Ingest Template'!AB96),"", 'Ingest Template'!AB96&amp;"|DAR")),(IF(ISBLANK('Ingest Template'!AB96),"", 'Ingest Template'!AB96&amp;"|TV Ops")))</f>
        <v/>
      </c>
      <c r="AA96" s="35"/>
      <c r="AB96" s="35" t="str">
        <f>'Ingest Template'!R96</f>
        <v/>
      </c>
      <c r="AC96" s="35" t="str">
        <f>'Ingest Template'!T96</f>
        <v/>
      </c>
      <c r="AD96" s="35" t="str">
        <f>'Ingest Template'!S96</f>
        <v/>
      </c>
      <c r="AE96" s="35" t="str">
        <f>'Ingest Template'!U96</f>
        <v/>
      </c>
      <c r="AF96" s="22"/>
      <c r="AG96" s="35" t="str">
        <f t="array" ref="AG96">IF('Ingest Template'!A96="Standard",(CONCATENATE(IF(ISBLANK('Ingest Template'!N96),"", 'Ingest Template'!N96&amp;"|DAR"),CHAR(10), IF(ISBLANK('Ingest Template'!O96),"", 'Ingest Template'!O96&amp;"|DAR"),CHAR(10), IF(ISBLANK('Ingest Template'!P96),"", 'Ingest Template'!P96&amp;"|DAR"))),(CONCATENATE(IF(ISBLANK('Ingest Template'!N96),"", 'Ingest Template'!N96&amp;"|TV Ops"),CHAR(10), IF(ISBLANK('Ingest Template'!O96),"", 'Ingest Template'!O96&amp;"|TV Ops"),CHAR(10), IF(ISBLANK('Ingest Template'!P96),"", 'Ingest Template'!P96&amp;"|TV Ops"))))</f>
        <v>
</v>
      </c>
      <c r="AH96" s="35"/>
      <c r="AI96" s="35"/>
      <c r="AJ96" s="117" t="str">
        <f>if('Ingest Template'!A96="Standard",(IF(OR('Ingest Template'!F96 = "Program Type - Special", 'Ingest Template'!F96 = "Program Type - Live Event"),'Ingest Template'!M96&amp; "|DAR|DAR|"&amp;TEXT('Ingest Template'!C96-3, "yyyy-mm-dd")&amp;"|"&amp;TEXT('Ingest Template'!C96+3, "yyyy-mm-dd"),'Ingest Template'!M96&amp; "|DAR|DAR|2021-01-01")),(IF(OR('Ingest Template'!F96 = "Program Type - Special", 'Ingest Template'!F96 = "Program Type - Live Event"),'Ingest Template'!M96&amp; "|Operations - Core Title|Operations - Core Title|"&amp;TEXT('Ingest Template'!C96-3, "yyyy-mm-dd")&amp;"|"&amp;TEXT('Ingest Template'!C96+3, "yyyy-mm-dd"),'Ingest Template'!M96&amp; "|Operations - Core Title|Operations - Core Title")))</f>
        <v>|Operations - Core Title|Operations - Core Title</v>
      </c>
      <c r="AK96" s="35"/>
      <c r="AL96" s="117" t="str">
        <f>if('Ingest Template'!A96="Standard",(IF(OR('Ingest Template'!F96 = "Program Type - Special", 'Ingest Template'!F96 = "Program Type - Live Event"),'Ingest Template'!Q96&amp;"|"&amp;TEXT('Ingest Template'!C96-3, "yyyy-mm-dd")&amp;"|"&amp;TEXT('Ingest Template'!C96+3, "yyyy-mm-dd"),'Ingest Template'!Q96&amp; "|2021-01-01")),(IF(OR('Ingest Template'!F96 = "Program Type - Special", 'Ingest Template'!F96 = "Program Type - Live Event"),'Ingest Template'!Q96&amp; "|"&amp;TEXT('Ingest Template'!C96-3, "yyyy-mm-dd")&amp;"|"&amp;TEXT('Ingest Template'!C96+3, "yyyy-mm-dd"),'Ingest Template'!Q96)))</f>
        <v/>
      </c>
      <c r="AM96" s="35" t="str">
        <f>'Ingest Template'!AC96</f>
        <v/>
      </c>
    </row>
    <row r="97">
      <c r="A97" s="15"/>
      <c r="B97" s="22" t="str">
        <f>'Ingest Template'!C97&amp;IF('Ingest Template'!A97 = "Standard", " - DAR","")</f>
        <v/>
      </c>
      <c r="C97" s="22" t="s">
        <v>83</v>
      </c>
      <c r="D97" s="22" t="str">
        <f t="array" ref="D97">CONCATENATE(INDEX(DropdownLists!$H$2:$H$11,MATCH(1,COUNTIF('Ingest Template'!E97,"*"&amp;DropdownLists!$I$2:$I$11&amp;"*"),0)),CHAR(10),'Ingest Template'!F97,CHAR(10),'Ingest Template'!G97,CHAR(10),VLOOKUP('Ingest Template'!D97,DropdownLists!C:D,2,FALSE))</f>
        <v>#N/A</v>
      </c>
      <c r="E97" s="22" t="str">
        <f>CONCATENATE('Ingest Template'!H97,CHAR(10),'Ingest Template'!I97,CHAR(10),'Ingest Template'!J97,CHAR(10))</f>
        <v>
</v>
      </c>
      <c r="F97" s="35" t="str">
        <f t="array" ref="F97">INDEX(DropdownLists!$O$2:$O$36,MATCH(1,COUNTIF(E97,"*"&amp;DropdownLists!$N$2:$N$36&amp;"*"),0))</f>
        <v/>
      </c>
      <c r="G97" s="35"/>
      <c r="H97" s="22" t="str">
        <f t="array" ref="H97">INDEX(DropdownLists!$E$2:$E$276,MATCH('Ingest Template'!D97,DropdownLists!$C$2:$C$276,0))</f>
        <v>#N/A</v>
      </c>
      <c r="I97" s="22"/>
      <c r="J97" s="22" t="str">
        <f t="array" ref="J97">iF('Ingest Template'!A97="Standard","Pristine Brand",INDEX(DropdownLists!$B$2:$B$246,MATCH('Ingest Template'!D97,DropdownLists!$C$2:$C$246,0)))</f>
        <v>#N/A</v>
      </c>
      <c r="K97" s="22" t="str">
        <f>iF('Ingest Template'!A97="Standard",'Ingest Template'!K97&amp;CHAR(10)&amp;'Ingest Template'!L97,"Competitive View")</f>
        <v>Competitive View</v>
      </c>
      <c r="L97" s="22" t="s">
        <v>95</v>
      </c>
      <c r="M97" s="45" t="str">
        <f>'Ingest Template'!B97</f>
        <v/>
      </c>
      <c r="N97" s="35"/>
      <c r="O97" s="35"/>
      <c r="P97" s="35"/>
      <c r="Q97" s="35"/>
      <c r="R97" s="35" t="str">
        <f>'Ingest Template'!D97</f>
        <v/>
      </c>
      <c r="S97" s="22" t="s">
        <v>101</v>
      </c>
      <c r="T97" s="35" t="str">
        <f>'Ingest Template'!V97</f>
        <v/>
      </c>
      <c r="U97" s="35" t="str">
        <f>'Ingest Template'!W97</f>
        <v/>
      </c>
      <c r="V97" s="35" t="str">
        <f>LOWER(SUBSTITUTE(SUBSTITUTE(SUBSTITUTE(SUBSTITUTE(SUBSTITUTE('Ingest Template'!X97,"https:",""),"www.",""),"/",""),"?hl=en",""),"instagram.com",""))</f>
        <v/>
      </c>
      <c r="W97" s="74" t="str">
        <f t="array" ref="W97">IF(
'Ingest Template'!Y97="",
SUBSTITUTE(
INDEX(DropdownLists!$F$2:$F$277,MATCH('Ingest Template'!D97,DropdownLists!$C$2:$C$277,0)),
CHAR(10),
"|"&amp;'Ingest Template'!C97&amp;CHAR(10)
)&amp;"|"&amp;'Ingest Template'!C97,
SUBSTITUTE(
INDEX(DropdownLists!$F$2:$F$277,MATCH('Ingest Template'!D97,DropdownLists!$C$2:$C$277,0)),
CHAR(10),
"|"&amp;'Ingest Template'!C97&amp;CHAR(10)
)&amp;"|"&amp;'Ingest Template'!C97&amp;CHAR(10)&amp;'Ingest Template'!Y97
)</f>
        <v>#N/A</v>
      </c>
      <c r="X97" s="74" t="str">
        <f>'Ingest Template'!Z97</f>
        <v/>
      </c>
      <c r="Y97" s="35" t="str">
        <f>SUBSTITUTE(SUBSTITUTE(SUBSTITUTE('Ingest Template'!AA97,"http:",""),"https:",""),"/","")</f>
        <v/>
      </c>
      <c r="Z97" s="35" t="str">
        <f t="array" ref="Z97">IF('Ingest Template'!A97="Standard",(IF(ISBLANK('Ingest Template'!AB97),"", 'Ingest Template'!AB97&amp;"|DAR")),(IF(ISBLANK('Ingest Template'!AB97),"", 'Ingest Template'!AB97&amp;"|TV Ops")))</f>
        <v/>
      </c>
      <c r="AA97" s="35"/>
      <c r="AB97" s="35" t="str">
        <f>'Ingest Template'!R97</f>
        <v/>
      </c>
      <c r="AC97" s="35" t="str">
        <f>'Ingest Template'!T97</f>
        <v/>
      </c>
      <c r="AD97" s="35" t="str">
        <f>'Ingest Template'!S97</f>
        <v/>
      </c>
      <c r="AE97" s="35" t="str">
        <f>'Ingest Template'!U97</f>
        <v/>
      </c>
      <c r="AF97" s="22"/>
      <c r="AG97" s="35" t="str">
        <f t="array" ref="AG97">IF('Ingest Template'!A97="Standard",(CONCATENATE(IF(ISBLANK('Ingest Template'!N97),"", 'Ingest Template'!N97&amp;"|DAR"),CHAR(10), IF(ISBLANK('Ingest Template'!O97),"", 'Ingest Template'!O97&amp;"|DAR"),CHAR(10), IF(ISBLANK('Ingest Template'!P97),"", 'Ingest Template'!P97&amp;"|DAR"))),(CONCATENATE(IF(ISBLANK('Ingest Template'!N97),"", 'Ingest Template'!N97&amp;"|TV Ops"),CHAR(10), IF(ISBLANK('Ingest Template'!O97),"", 'Ingest Template'!O97&amp;"|TV Ops"),CHAR(10), IF(ISBLANK('Ingest Template'!P97),"", 'Ingest Template'!P97&amp;"|TV Ops"))))</f>
        <v>
</v>
      </c>
      <c r="AH97" s="35"/>
      <c r="AI97" s="35"/>
      <c r="AJ97" s="117" t="str">
        <f>if('Ingest Template'!A97="Standard",(IF(OR('Ingest Template'!F97 = "Program Type - Special", 'Ingest Template'!F97 = "Program Type - Live Event"),'Ingest Template'!M97&amp; "|DAR|DAR|"&amp;TEXT('Ingest Template'!C97-3, "yyyy-mm-dd")&amp;"|"&amp;TEXT('Ingest Template'!C97+3, "yyyy-mm-dd"),'Ingest Template'!M97&amp; "|DAR|DAR|2021-01-01")),(IF(OR('Ingest Template'!F97 = "Program Type - Special", 'Ingest Template'!F97 = "Program Type - Live Event"),'Ingest Template'!M97&amp; "|Operations - Core Title|Operations - Core Title|"&amp;TEXT('Ingest Template'!C97-3, "yyyy-mm-dd")&amp;"|"&amp;TEXT('Ingest Template'!C97+3, "yyyy-mm-dd"),'Ingest Template'!M97&amp; "|Operations - Core Title|Operations - Core Title")))</f>
        <v>|Operations - Core Title|Operations - Core Title</v>
      </c>
      <c r="AK97" s="35"/>
      <c r="AL97" s="117" t="str">
        <f>if('Ingest Template'!A97="Standard",(IF(OR('Ingest Template'!F97 = "Program Type - Special", 'Ingest Template'!F97 = "Program Type - Live Event"),'Ingest Template'!Q97&amp;"|"&amp;TEXT('Ingest Template'!C97-3, "yyyy-mm-dd")&amp;"|"&amp;TEXT('Ingest Template'!C97+3, "yyyy-mm-dd"),'Ingest Template'!Q97&amp; "|2021-01-01")),(IF(OR('Ingest Template'!F97 = "Program Type - Special", 'Ingest Template'!F97 = "Program Type - Live Event"),'Ingest Template'!Q97&amp; "|"&amp;TEXT('Ingest Template'!C97-3, "yyyy-mm-dd")&amp;"|"&amp;TEXT('Ingest Template'!C97+3, "yyyy-mm-dd"),'Ingest Template'!Q97)))</f>
        <v/>
      </c>
      <c r="AM97" s="35" t="str">
        <f>'Ingest Template'!AC97</f>
        <v/>
      </c>
    </row>
    <row r="98">
      <c r="A98" s="15"/>
      <c r="B98" s="22" t="str">
        <f>'Ingest Template'!C98&amp;IF('Ingest Template'!A98 = "Standard", " - DAR","")</f>
        <v/>
      </c>
      <c r="C98" s="22" t="s">
        <v>83</v>
      </c>
      <c r="D98" s="22" t="str">
        <f t="array" ref="D98">CONCATENATE(INDEX(DropdownLists!$H$2:$H$11,MATCH(1,COUNTIF('Ingest Template'!E98,"*"&amp;DropdownLists!$I$2:$I$11&amp;"*"),0)),CHAR(10),'Ingest Template'!F98,CHAR(10),'Ingest Template'!G98,CHAR(10),VLOOKUP('Ingest Template'!D98,DropdownLists!C:D,2,FALSE))</f>
        <v>#N/A</v>
      </c>
      <c r="E98" s="22" t="str">
        <f>CONCATENATE('Ingest Template'!H98,CHAR(10),'Ingest Template'!I98,CHAR(10),'Ingest Template'!J98,CHAR(10))</f>
        <v>
</v>
      </c>
      <c r="F98" s="35" t="str">
        <f t="array" ref="F98">INDEX(DropdownLists!$O$2:$O$36,MATCH(1,COUNTIF(E98,"*"&amp;DropdownLists!$N$2:$N$36&amp;"*"),0))</f>
        <v/>
      </c>
      <c r="G98" s="35"/>
      <c r="H98" s="22" t="str">
        <f t="array" ref="H98">INDEX(DropdownLists!$E$2:$E$276,MATCH('Ingest Template'!D98,DropdownLists!$C$2:$C$276,0))</f>
        <v>#N/A</v>
      </c>
      <c r="I98" s="22"/>
      <c r="J98" s="22" t="str">
        <f t="array" ref="J98">iF('Ingest Template'!A98="Standard","Pristine Brand",INDEX(DropdownLists!$B$2:$B$246,MATCH('Ingest Template'!D98,DropdownLists!$C$2:$C$246,0)))</f>
        <v>#N/A</v>
      </c>
      <c r="K98" s="22" t="str">
        <f>iF('Ingest Template'!A98="Standard",'Ingest Template'!K98&amp;CHAR(10)&amp;'Ingest Template'!L98,"Competitive View")</f>
        <v>Competitive View</v>
      </c>
      <c r="L98" s="22" t="s">
        <v>95</v>
      </c>
      <c r="M98" s="45" t="str">
        <f>'Ingest Template'!B98</f>
        <v/>
      </c>
      <c r="N98" s="35"/>
      <c r="O98" s="35"/>
      <c r="P98" s="35"/>
      <c r="Q98" s="35"/>
      <c r="R98" s="35" t="str">
        <f>'Ingest Template'!D98</f>
        <v/>
      </c>
      <c r="S98" s="22" t="s">
        <v>101</v>
      </c>
      <c r="T98" s="35" t="str">
        <f>'Ingest Template'!V98</f>
        <v/>
      </c>
      <c r="U98" s="35" t="str">
        <f>'Ingest Template'!W98</f>
        <v/>
      </c>
      <c r="V98" s="35" t="str">
        <f>LOWER(SUBSTITUTE(SUBSTITUTE(SUBSTITUTE(SUBSTITUTE(SUBSTITUTE('Ingest Template'!X98,"https:",""),"www.",""),"/",""),"?hl=en",""),"instagram.com",""))</f>
        <v/>
      </c>
      <c r="W98" s="74" t="str">
        <f t="array" ref="W98">IF(
'Ingest Template'!Y98="",
SUBSTITUTE(
INDEX(DropdownLists!$F$2:$F$277,MATCH('Ingest Template'!D98,DropdownLists!$C$2:$C$277,0)),
CHAR(10),
"|"&amp;'Ingest Template'!C98&amp;CHAR(10)
)&amp;"|"&amp;'Ingest Template'!C98,
SUBSTITUTE(
INDEX(DropdownLists!$F$2:$F$277,MATCH('Ingest Template'!D98,DropdownLists!$C$2:$C$277,0)),
CHAR(10),
"|"&amp;'Ingest Template'!C98&amp;CHAR(10)
)&amp;"|"&amp;'Ingest Template'!C98&amp;CHAR(10)&amp;'Ingest Template'!Y98
)</f>
        <v>#N/A</v>
      </c>
      <c r="X98" s="74" t="str">
        <f>'Ingest Template'!Z98</f>
        <v/>
      </c>
      <c r="Y98" s="35" t="str">
        <f>SUBSTITUTE(SUBSTITUTE(SUBSTITUTE('Ingest Template'!AA98,"http:",""),"https:",""),"/","")</f>
        <v/>
      </c>
      <c r="Z98" s="35" t="str">
        <f t="array" ref="Z98">IF('Ingest Template'!A98="Standard",(IF(ISBLANK('Ingest Template'!AB98),"", 'Ingest Template'!AB98&amp;"|DAR")),(IF(ISBLANK('Ingest Template'!AB98),"", 'Ingest Template'!AB98&amp;"|TV Ops")))</f>
        <v/>
      </c>
      <c r="AA98" s="35"/>
      <c r="AB98" s="35" t="str">
        <f>'Ingest Template'!R98</f>
        <v/>
      </c>
      <c r="AC98" s="35" t="str">
        <f>'Ingest Template'!T98</f>
        <v/>
      </c>
      <c r="AD98" s="35" t="str">
        <f>'Ingest Template'!S98</f>
        <v/>
      </c>
      <c r="AE98" s="35" t="str">
        <f>'Ingest Template'!U98</f>
        <v/>
      </c>
      <c r="AF98" s="22"/>
      <c r="AG98" s="35" t="str">
        <f t="array" ref="AG98">IF('Ingest Template'!A98="Standard",(CONCATENATE(IF(ISBLANK('Ingest Template'!N98),"", 'Ingest Template'!N98&amp;"|DAR"),CHAR(10), IF(ISBLANK('Ingest Template'!O98),"", 'Ingest Template'!O98&amp;"|DAR"),CHAR(10), IF(ISBLANK('Ingest Template'!P98),"", 'Ingest Template'!P98&amp;"|DAR"))),(CONCATENATE(IF(ISBLANK('Ingest Template'!N98),"", 'Ingest Template'!N98&amp;"|TV Ops"),CHAR(10), IF(ISBLANK('Ingest Template'!O98),"", 'Ingest Template'!O98&amp;"|TV Ops"),CHAR(10), IF(ISBLANK('Ingest Template'!P98),"", 'Ingest Template'!P98&amp;"|TV Ops"))))</f>
        <v>
</v>
      </c>
      <c r="AH98" s="35"/>
      <c r="AI98" s="35"/>
      <c r="AJ98" s="117" t="str">
        <f>if('Ingest Template'!A98="Standard",(IF(OR('Ingest Template'!F98 = "Program Type - Special", 'Ingest Template'!F98 = "Program Type - Live Event"),'Ingest Template'!M98&amp; "|DAR|DAR|"&amp;TEXT('Ingest Template'!C98-3, "yyyy-mm-dd")&amp;"|"&amp;TEXT('Ingest Template'!C98+3, "yyyy-mm-dd"),'Ingest Template'!M98&amp; "|DAR|DAR|2021-01-01")),(IF(OR('Ingest Template'!F98 = "Program Type - Special", 'Ingest Template'!F98 = "Program Type - Live Event"),'Ingest Template'!M98&amp; "|Operations - Core Title|Operations - Core Title|"&amp;TEXT('Ingest Template'!C98-3, "yyyy-mm-dd")&amp;"|"&amp;TEXT('Ingest Template'!C98+3, "yyyy-mm-dd"),'Ingest Template'!M98&amp; "|Operations - Core Title|Operations - Core Title")))</f>
        <v>|Operations - Core Title|Operations - Core Title</v>
      </c>
      <c r="AK98" s="35"/>
      <c r="AL98" s="117" t="str">
        <f>if('Ingest Template'!A98="Standard",(IF(OR('Ingest Template'!F98 = "Program Type - Special", 'Ingest Template'!F98 = "Program Type - Live Event"),'Ingest Template'!Q98&amp;"|"&amp;TEXT('Ingest Template'!C98-3, "yyyy-mm-dd")&amp;"|"&amp;TEXT('Ingest Template'!C98+3, "yyyy-mm-dd"),'Ingest Template'!Q98&amp; "|2021-01-01")),(IF(OR('Ingest Template'!F98 = "Program Type - Special", 'Ingest Template'!F98 = "Program Type - Live Event"),'Ingest Template'!Q98&amp; "|"&amp;TEXT('Ingest Template'!C98-3, "yyyy-mm-dd")&amp;"|"&amp;TEXT('Ingest Template'!C98+3, "yyyy-mm-dd"),'Ingest Template'!Q98)))</f>
        <v/>
      </c>
      <c r="AM98" s="35" t="str">
        <f>'Ingest Template'!AC98</f>
        <v/>
      </c>
    </row>
    <row r="99">
      <c r="A99" s="15"/>
      <c r="B99" s="22" t="str">
        <f>'Ingest Template'!C99&amp;IF('Ingest Template'!A99 = "Standard", " - DAR","")</f>
        <v/>
      </c>
      <c r="C99" s="22" t="s">
        <v>83</v>
      </c>
      <c r="D99" s="22" t="str">
        <f t="array" ref="D99">CONCATENATE(INDEX(DropdownLists!$H$2:$H$11,MATCH(1,COUNTIF('Ingest Template'!E99,"*"&amp;DropdownLists!$I$2:$I$11&amp;"*"),0)),CHAR(10),'Ingest Template'!F99,CHAR(10),'Ingest Template'!G99,CHAR(10),VLOOKUP('Ingest Template'!D99,DropdownLists!C:D,2,FALSE))</f>
        <v>#N/A</v>
      </c>
      <c r="E99" s="22" t="str">
        <f>CONCATENATE('Ingest Template'!H99,CHAR(10),'Ingest Template'!I99,CHAR(10),'Ingest Template'!J99,CHAR(10))</f>
        <v>
</v>
      </c>
      <c r="F99" s="35" t="str">
        <f t="array" ref="F99">INDEX(DropdownLists!$O$2:$O$36,MATCH(1,COUNTIF(E99,"*"&amp;DropdownLists!$N$2:$N$36&amp;"*"),0))</f>
        <v/>
      </c>
      <c r="G99" s="35"/>
      <c r="H99" s="22" t="str">
        <f t="array" ref="H99">INDEX(DropdownLists!$E$2:$E$276,MATCH('Ingest Template'!D99,DropdownLists!$C$2:$C$276,0))</f>
        <v>#N/A</v>
      </c>
      <c r="I99" s="22"/>
      <c r="J99" s="22" t="str">
        <f t="array" ref="J99">iF('Ingest Template'!A99="Standard","Pristine Brand",INDEX(DropdownLists!$B$2:$B$246,MATCH('Ingest Template'!D99,DropdownLists!$C$2:$C$246,0)))</f>
        <v>#N/A</v>
      </c>
      <c r="K99" s="22" t="str">
        <f>iF('Ingest Template'!A99="Standard",'Ingest Template'!K99&amp;CHAR(10)&amp;'Ingest Template'!L99,"Competitive View")</f>
        <v>Competitive View</v>
      </c>
      <c r="L99" s="22" t="s">
        <v>95</v>
      </c>
      <c r="M99" s="45" t="str">
        <f>'Ingest Template'!B99</f>
        <v/>
      </c>
      <c r="N99" s="35"/>
      <c r="O99" s="35"/>
      <c r="P99" s="35"/>
      <c r="Q99" s="35"/>
      <c r="R99" s="35" t="str">
        <f>'Ingest Template'!D99</f>
        <v/>
      </c>
      <c r="S99" s="22" t="s">
        <v>101</v>
      </c>
      <c r="T99" s="35" t="str">
        <f>'Ingest Template'!V99</f>
        <v/>
      </c>
      <c r="U99" s="35" t="str">
        <f>'Ingest Template'!W99</f>
        <v/>
      </c>
      <c r="V99" s="35" t="str">
        <f>LOWER(SUBSTITUTE(SUBSTITUTE(SUBSTITUTE(SUBSTITUTE(SUBSTITUTE('Ingest Template'!X99,"https:",""),"www.",""),"/",""),"?hl=en",""),"instagram.com",""))</f>
        <v/>
      </c>
      <c r="W99" s="74" t="str">
        <f t="array" ref="W99">IF(
'Ingest Template'!Y99="",
SUBSTITUTE(
INDEX(DropdownLists!$F$2:$F$277,MATCH('Ingest Template'!D99,DropdownLists!$C$2:$C$277,0)),
CHAR(10),
"|"&amp;'Ingest Template'!C99&amp;CHAR(10)
)&amp;"|"&amp;'Ingest Template'!C99,
SUBSTITUTE(
INDEX(DropdownLists!$F$2:$F$277,MATCH('Ingest Template'!D99,DropdownLists!$C$2:$C$277,0)),
CHAR(10),
"|"&amp;'Ingest Template'!C99&amp;CHAR(10)
)&amp;"|"&amp;'Ingest Template'!C99&amp;CHAR(10)&amp;'Ingest Template'!Y99
)</f>
        <v>#N/A</v>
      </c>
      <c r="X99" s="74" t="str">
        <f>'Ingest Template'!Z99</f>
        <v/>
      </c>
      <c r="Y99" s="35" t="str">
        <f>SUBSTITUTE(SUBSTITUTE(SUBSTITUTE('Ingest Template'!AA99,"http:",""),"https:",""),"/","")</f>
        <v/>
      </c>
      <c r="Z99" s="35" t="str">
        <f t="array" ref="Z99">IF('Ingest Template'!A99="Standard",(IF(ISBLANK('Ingest Template'!AB99),"", 'Ingest Template'!AB99&amp;"|DAR")),(IF(ISBLANK('Ingest Template'!AB99),"", 'Ingest Template'!AB99&amp;"|TV Ops")))</f>
        <v/>
      </c>
      <c r="AA99" s="35"/>
      <c r="AB99" s="35" t="str">
        <f>'Ingest Template'!R99</f>
        <v/>
      </c>
      <c r="AC99" s="35" t="str">
        <f>'Ingest Template'!T99</f>
        <v/>
      </c>
      <c r="AD99" s="35" t="str">
        <f>'Ingest Template'!S99</f>
        <v/>
      </c>
      <c r="AE99" s="35" t="str">
        <f>'Ingest Template'!U99</f>
        <v/>
      </c>
      <c r="AF99" s="22"/>
      <c r="AG99" s="35" t="str">
        <f t="array" ref="AG99">IF('Ingest Template'!A99="Standard",(CONCATENATE(IF(ISBLANK('Ingest Template'!N99),"", 'Ingest Template'!N99&amp;"|DAR"),CHAR(10), IF(ISBLANK('Ingest Template'!O99),"", 'Ingest Template'!O99&amp;"|DAR"),CHAR(10), IF(ISBLANK('Ingest Template'!P99),"", 'Ingest Template'!P99&amp;"|DAR"))),(CONCATENATE(IF(ISBLANK('Ingest Template'!N99),"", 'Ingest Template'!N99&amp;"|TV Ops"),CHAR(10), IF(ISBLANK('Ingest Template'!O99),"", 'Ingest Template'!O99&amp;"|TV Ops"),CHAR(10), IF(ISBLANK('Ingest Template'!P99),"", 'Ingest Template'!P99&amp;"|TV Ops"))))</f>
        <v>
</v>
      </c>
      <c r="AH99" s="35"/>
      <c r="AI99" s="35"/>
      <c r="AJ99" s="117" t="str">
        <f>if('Ingest Template'!A99="Standard",(IF(OR('Ingest Template'!F99 = "Program Type - Special", 'Ingest Template'!F99 = "Program Type - Live Event"),'Ingest Template'!M99&amp; "|DAR|DAR|"&amp;TEXT('Ingest Template'!C99-3, "yyyy-mm-dd")&amp;"|"&amp;TEXT('Ingest Template'!C99+3, "yyyy-mm-dd"),'Ingest Template'!M99&amp; "|DAR|DAR|2021-01-01")),(IF(OR('Ingest Template'!F99 = "Program Type - Special", 'Ingest Template'!F99 = "Program Type - Live Event"),'Ingest Template'!M99&amp; "|Operations - Core Title|Operations - Core Title|"&amp;TEXT('Ingest Template'!C99-3, "yyyy-mm-dd")&amp;"|"&amp;TEXT('Ingest Template'!C99+3, "yyyy-mm-dd"),'Ingest Template'!M99&amp; "|Operations - Core Title|Operations - Core Title")))</f>
        <v>|Operations - Core Title|Operations - Core Title</v>
      </c>
      <c r="AK99" s="35"/>
      <c r="AL99" s="117" t="str">
        <f>if('Ingest Template'!A99="Standard",(IF(OR('Ingest Template'!F99 = "Program Type - Special", 'Ingest Template'!F99 = "Program Type - Live Event"),'Ingest Template'!Q99&amp;"|"&amp;TEXT('Ingest Template'!C99-3, "yyyy-mm-dd")&amp;"|"&amp;TEXT('Ingest Template'!C99+3, "yyyy-mm-dd"),'Ingest Template'!Q99&amp; "|2021-01-01")),(IF(OR('Ingest Template'!F99 = "Program Type - Special", 'Ingest Template'!F99 = "Program Type - Live Event"),'Ingest Template'!Q99&amp; "|"&amp;TEXT('Ingest Template'!C99-3, "yyyy-mm-dd")&amp;"|"&amp;TEXT('Ingest Template'!C99+3, "yyyy-mm-dd"),'Ingest Template'!Q99)))</f>
        <v/>
      </c>
      <c r="AM99" s="35" t="str">
        <f>'Ingest Template'!AC99</f>
        <v/>
      </c>
    </row>
    <row r="100">
      <c r="A100" s="15"/>
      <c r="B100" s="22" t="str">
        <f>'Ingest Template'!C100&amp;IF('Ingest Template'!A100 = "Standard", " - DAR","")</f>
        <v/>
      </c>
      <c r="C100" s="22" t="s">
        <v>83</v>
      </c>
      <c r="D100" s="22" t="str">
        <f t="array" ref="D100">CONCATENATE(INDEX(DropdownLists!$H$2:$H$11,MATCH(1,COUNTIF('Ingest Template'!E100,"*"&amp;DropdownLists!$I$2:$I$11&amp;"*"),0)),CHAR(10),'Ingest Template'!F100,CHAR(10),'Ingest Template'!G100,CHAR(10),VLOOKUP('Ingest Template'!D100,DropdownLists!C:D,2,FALSE))</f>
        <v>#N/A</v>
      </c>
      <c r="E100" s="22" t="str">
        <f>CONCATENATE('Ingest Template'!H100,CHAR(10),'Ingest Template'!I100,CHAR(10),'Ingest Template'!J100,CHAR(10))</f>
        <v>
</v>
      </c>
      <c r="F100" s="35" t="str">
        <f t="array" ref="F100">INDEX(DropdownLists!$O$2:$O$36,MATCH(1,COUNTIF(E100,"*"&amp;DropdownLists!$N$2:$N$36&amp;"*"),0))</f>
        <v/>
      </c>
      <c r="G100" s="35"/>
      <c r="H100" s="22" t="str">
        <f t="array" ref="H100">INDEX(DropdownLists!$E$2:$E$276,MATCH('Ingest Template'!D100,DropdownLists!$C$2:$C$276,0))</f>
        <v>#N/A</v>
      </c>
      <c r="I100" s="22"/>
      <c r="J100" s="22" t="str">
        <f t="array" ref="J100">iF('Ingest Template'!A100="Standard","Pristine Brand",INDEX(DropdownLists!$B$2:$B$246,MATCH('Ingest Template'!D100,DropdownLists!$C$2:$C$246,0)))</f>
        <v>#N/A</v>
      </c>
      <c r="K100" s="22" t="str">
        <f>iF('Ingest Template'!A100="Standard",'Ingest Template'!K100&amp;CHAR(10)&amp;'Ingest Template'!L100,"Competitive View")</f>
        <v>Competitive View</v>
      </c>
      <c r="L100" s="22" t="s">
        <v>95</v>
      </c>
      <c r="M100" s="45" t="str">
        <f>'Ingest Template'!B100</f>
        <v/>
      </c>
      <c r="N100" s="35"/>
      <c r="O100" s="35"/>
      <c r="P100" s="35"/>
      <c r="Q100" s="35"/>
      <c r="R100" s="35" t="str">
        <f>'Ingest Template'!D100</f>
        <v/>
      </c>
      <c r="S100" s="22" t="s">
        <v>101</v>
      </c>
      <c r="T100" s="35" t="str">
        <f>'Ingest Template'!V100</f>
        <v/>
      </c>
      <c r="U100" s="35" t="str">
        <f>'Ingest Template'!W100</f>
        <v/>
      </c>
      <c r="V100" s="35" t="str">
        <f>LOWER(SUBSTITUTE(SUBSTITUTE(SUBSTITUTE(SUBSTITUTE(SUBSTITUTE('Ingest Template'!X100,"https:",""),"www.",""),"/",""),"?hl=en",""),"instagram.com",""))</f>
        <v/>
      </c>
      <c r="W100" s="74" t="str">
        <f t="array" ref="W100">IF(
'Ingest Template'!Y100="",
SUBSTITUTE(
INDEX(DropdownLists!$F$2:$F$277,MATCH('Ingest Template'!D100,DropdownLists!$C$2:$C$277,0)),
CHAR(10),
"|"&amp;'Ingest Template'!C100&amp;CHAR(10)
)&amp;"|"&amp;'Ingest Template'!C100,
SUBSTITUTE(
INDEX(DropdownLists!$F$2:$F$277,MATCH('Ingest Template'!D100,DropdownLists!$C$2:$C$277,0)),
CHAR(10),
"|"&amp;'Ingest Template'!C100&amp;CHAR(10)
)&amp;"|"&amp;'Ingest Template'!C100&amp;CHAR(10)&amp;'Ingest Template'!Y100
)</f>
        <v>#N/A</v>
      </c>
      <c r="X100" s="74" t="str">
        <f>'Ingest Template'!Z100</f>
        <v/>
      </c>
      <c r="Y100" s="35" t="str">
        <f>SUBSTITUTE(SUBSTITUTE(SUBSTITUTE('Ingest Template'!AA100,"http:",""),"https:",""),"/","")</f>
        <v/>
      </c>
      <c r="Z100" s="35" t="str">
        <f t="array" ref="Z100">IF('Ingest Template'!A100="Standard",(IF(ISBLANK('Ingest Template'!AB100),"", 'Ingest Template'!AB100&amp;"|DAR")),(IF(ISBLANK('Ingest Template'!AB100),"", 'Ingest Template'!AB100&amp;"|TV Ops")))</f>
        <v/>
      </c>
      <c r="AA100" s="35"/>
      <c r="AB100" s="35" t="str">
        <f>'Ingest Template'!R100</f>
        <v/>
      </c>
      <c r="AC100" s="35" t="str">
        <f>'Ingest Template'!T100</f>
        <v/>
      </c>
      <c r="AD100" s="35" t="str">
        <f>'Ingest Template'!S100</f>
        <v/>
      </c>
      <c r="AE100" s="35" t="str">
        <f>'Ingest Template'!U100</f>
        <v/>
      </c>
      <c r="AF100" s="22"/>
      <c r="AG100" s="35" t="str">
        <f t="array" ref="AG100">IF('Ingest Template'!A100="Standard",(CONCATENATE(IF(ISBLANK('Ingest Template'!N100),"", 'Ingest Template'!N100&amp;"|DAR"),CHAR(10), IF(ISBLANK('Ingest Template'!O100),"", 'Ingest Template'!O100&amp;"|DAR"),CHAR(10), IF(ISBLANK('Ingest Template'!P100),"", 'Ingest Template'!P100&amp;"|DAR"))),(CONCATENATE(IF(ISBLANK('Ingest Template'!N100),"", 'Ingest Template'!N100&amp;"|TV Ops"),CHAR(10), IF(ISBLANK('Ingest Template'!O100),"", 'Ingest Template'!O100&amp;"|TV Ops"),CHAR(10), IF(ISBLANK('Ingest Template'!P100),"", 'Ingest Template'!P100&amp;"|TV Ops"))))</f>
        <v>
</v>
      </c>
      <c r="AH100" s="35"/>
      <c r="AI100" s="35"/>
      <c r="AJ100" s="117" t="str">
        <f>if('Ingest Template'!A100="Standard",(IF(OR('Ingest Template'!F100 = "Program Type - Special", 'Ingest Template'!F100 = "Program Type - Live Event"),'Ingest Template'!M100&amp; "|DAR|DAR|"&amp;TEXT('Ingest Template'!C100-3, "yyyy-mm-dd")&amp;"|"&amp;TEXT('Ingest Template'!C100+3, "yyyy-mm-dd"),'Ingest Template'!M100&amp; "|DAR|DAR|2021-01-01")),(IF(OR('Ingest Template'!F100 = "Program Type - Special", 'Ingest Template'!F100 = "Program Type - Live Event"),'Ingest Template'!M100&amp; "|Operations - Core Title|Operations - Core Title|"&amp;TEXT('Ingest Template'!C100-3, "yyyy-mm-dd")&amp;"|"&amp;TEXT('Ingest Template'!C100+3, "yyyy-mm-dd"),'Ingest Template'!M100&amp; "|Operations - Core Title|Operations - Core Title")))</f>
        <v>|Operations - Core Title|Operations - Core Title</v>
      </c>
      <c r="AK100" s="35"/>
      <c r="AL100" s="117" t="str">
        <f>if('Ingest Template'!A100="Standard",(IF(OR('Ingest Template'!F100 = "Program Type - Special", 'Ingest Template'!F100 = "Program Type - Live Event"),'Ingest Template'!Q100&amp;"|"&amp;TEXT('Ingest Template'!C100-3, "yyyy-mm-dd")&amp;"|"&amp;TEXT('Ingest Template'!C100+3, "yyyy-mm-dd"),'Ingest Template'!Q100&amp; "|2021-01-01")),(IF(OR('Ingest Template'!F100 = "Program Type - Special", 'Ingest Template'!F100 = "Program Type - Live Event"),'Ingest Template'!Q100&amp; "|"&amp;TEXT('Ingest Template'!C100-3, "yyyy-mm-dd")&amp;"|"&amp;TEXT('Ingest Template'!C100+3, "yyyy-mm-dd"),'Ingest Template'!Q100)))</f>
        <v/>
      </c>
      <c r="AM100" s="35" t="str">
        <f>'Ingest Template'!AC100</f>
        <v/>
      </c>
    </row>
    <row r="101">
      <c r="A101" s="15"/>
      <c r="B101" s="22" t="str">
        <f>'Ingest Template'!C101&amp;IF('Ingest Template'!A101 = "Standard", " - DAR","")</f>
        <v/>
      </c>
      <c r="C101" s="22" t="s">
        <v>83</v>
      </c>
      <c r="D101" s="22" t="str">
        <f t="array" ref="D101">CONCATENATE(INDEX(DropdownLists!$H$2:$H$11,MATCH(1,COUNTIF('Ingest Template'!E101,"*"&amp;DropdownLists!$I$2:$I$11&amp;"*"),0)),CHAR(10),'Ingest Template'!F101,CHAR(10),'Ingest Template'!G101,CHAR(10),VLOOKUP('Ingest Template'!D101,DropdownLists!C:D,2,FALSE))</f>
        <v>#N/A</v>
      </c>
      <c r="E101" s="22" t="str">
        <f>CONCATENATE('Ingest Template'!H101,CHAR(10),'Ingest Template'!I101,CHAR(10),'Ingest Template'!J101,CHAR(10))</f>
        <v>
</v>
      </c>
      <c r="F101" s="35" t="str">
        <f t="array" ref="F101">INDEX(DropdownLists!$O$2:$O$36,MATCH(1,COUNTIF(E101,"*"&amp;DropdownLists!$N$2:$N$36&amp;"*"),0))</f>
        <v/>
      </c>
      <c r="G101" s="35"/>
      <c r="H101" s="22" t="str">
        <f t="array" ref="H101">INDEX(DropdownLists!$E$2:$E$276,MATCH('Ingest Template'!D101,DropdownLists!$C$2:$C$276,0))</f>
        <v>#N/A</v>
      </c>
      <c r="I101" s="22"/>
      <c r="J101" s="22" t="str">
        <f t="array" ref="J101">iF('Ingest Template'!A101="Standard","Pristine Brand",INDEX(DropdownLists!$B$2:$B$246,MATCH('Ingest Template'!D101,DropdownLists!$C$2:$C$246,0)))</f>
        <v>#N/A</v>
      </c>
      <c r="K101" s="22" t="str">
        <f>iF('Ingest Template'!A101="Standard",'Ingest Template'!K101&amp;CHAR(10)&amp;'Ingest Template'!L101,"Competitive View")</f>
        <v>Competitive View</v>
      </c>
      <c r="L101" s="22" t="s">
        <v>95</v>
      </c>
      <c r="M101" s="45" t="str">
        <f>'Ingest Template'!B101</f>
        <v/>
      </c>
      <c r="N101" s="35"/>
      <c r="O101" s="35"/>
      <c r="P101" s="35"/>
      <c r="Q101" s="35"/>
      <c r="R101" s="35" t="str">
        <f>'Ingest Template'!D101</f>
        <v/>
      </c>
      <c r="S101" s="22" t="s">
        <v>101</v>
      </c>
      <c r="T101" s="35" t="str">
        <f>'Ingest Template'!V101</f>
        <v/>
      </c>
      <c r="U101" s="35" t="str">
        <f>'Ingest Template'!W101</f>
        <v/>
      </c>
      <c r="V101" s="35" t="str">
        <f>LOWER(SUBSTITUTE(SUBSTITUTE(SUBSTITUTE(SUBSTITUTE(SUBSTITUTE('Ingest Template'!X101,"https:",""),"www.",""),"/",""),"?hl=en",""),"instagram.com",""))</f>
        <v/>
      </c>
      <c r="W101" s="74" t="str">
        <f t="array" ref="W101">IF(
'Ingest Template'!Y101="",
SUBSTITUTE(
INDEX(DropdownLists!$F$2:$F$277,MATCH('Ingest Template'!D101,DropdownLists!$C$2:$C$277,0)),
CHAR(10),
"|"&amp;'Ingest Template'!C101&amp;CHAR(10)
)&amp;"|"&amp;'Ingest Template'!C101,
SUBSTITUTE(
INDEX(DropdownLists!$F$2:$F$277,MATCH('Ingest Template'!D101,DropdownLists!$C$2:$C$277,0)),
CHAR(10),
"|"&amp;'Ingest Template'!C101&amp;CHAR(10)
)&amp;"|"&amp;'Ingest Template'!C101&amp;CHAR(10)&amp;'Ingest Template'!Y101
)</f>
        <v>#N/A</v>
      </c>
      <c r="X101" s="74" t="str">
        <f>'Ingest Template'!Z101</f>
        <v/>
      </c>
      <c r="Y101" s="35" t="str">
        <f>SUBSTITUTE(SUBSTITUTE(SUBSTITUTE('Ingest Template'!AA101,"http:",""),"https:",""),"/","")</f>
        <v/>
      </c>
      <c r="Z101" s="35" t="str">
        <f t="array" ref="Z101">IF('Ingest Template'!A101="Standard",(IF(ISBLANK('Ingest Template'!AB101),"", 'Ingest Template'!AB101&amp;"|DAR")),(IF(ISBLANK('Ingest Template'!AB101),"", 'Ingest Template'!AB101&amp;"|TV Ops")))</f>
        <v/>
      </c>
      <c r="AA101" s="35"/>
      <c r="AB101" s="35" t="str">
        <f>'Ingest Template'!R101</f>
        <v/>
      </c>
      <c r="AC101" s="35" t="str">
        <f>'Ingest Template'!T101</f>
        <v/>
      </c>
      <c r="AD101" s="35" t="str">
        <f>'Ingest Template'!S101</f>
        <v/>
      </c>
      <c r="AE101" s="35" t="str">
        <f>'Ingest Template'!U101</f>
        <v/>
      </c>
      <c r="AF101" s="22"/>
      <c r="AG101" s="35" t="str">
        <f t="array" ref="AG101">IF('Ingest Template'!A101="Standard",(CONCATENATE(IF(ISBLANK('Ingest Template'!N101),"", 'Ingest Template'!N101&amp;"|DAR"),CHAR(10), IF(ISBLANK('Ingest Template'!O101),"", 'Ingest Template'!O101&amp;"|DAR"),CHAR(10), IF(ISBLANK('Ingest Template'!P101),"", 'Ingest Template'!P101&amp;"|DAR"))),(CONCATENATE(IF(ISBLANK('Ingest Template'!N101),"", 'Ingest Template'!N101&amp;"|TV Ops"),CHAR(10), IF(ISBLANK('Ingest Template'!O101),"", 'Ingest Template'!O101&amp;"|TV Ops"),CHAR(10), IF(ISBLANK('Ingest Template'!P101),"", 'Ingest Template'!P101&amp;"|TV Ops"))))</f>
        <v>
</v>
      </c>
      <c r="AH101" s="35"/>
      <c r="AI101" s="35"/>
      <c r="AJ101" s="117" t="str">
        <f>if('Ingest Template'!A101="Standard",(IF(OR('Ingest Template'!F101 = "Program Type - Special", 'Ingest Template'!F101 = "Program Type - Live Event"),'Ingest Template'!M101&amp; "|DAR|DAR|"&amp;TEXT('Ingest Template'!C101-3, "yyyy-mm-dd")&amp;"|"&amp;TEXT('Ingest Template'!C101+3, "yyyy-mm-dd"),'Ingest Template'!M101&amp; "|DAR|DAR|2021-01-01")),(IF(OR('Ingest Template'!F101 = "Program Type - Special", 'Ingest Template'!F101 = "Program Type - Live Event"),'Ingest Template'!M101&amp; "|Operations - Core Title|Operations - Core Title|"&amp;TEXT('Ingest Template'!C101-3, "yyyy-mm-dd")&amp;"|"&amp;TEXT('Ingest Template'!C101+3, "yyyy-mm-dd"),'Ingest Template'!M101&amp; "|Operations - Core Title|Operations - Core Title")))</f>
        <v>|Operations - Core Title|Operations - Core Title</v>
      </c>
      <c r="AK101" s="35"/>
      <c r="AL101" s="117" t="str">
        <f>if('Ingest Template'!A101="Standard",(IF(OR('Ingest Template'!F101 = "Program Type - Special", 'Ingest Template'!F101 = "Program Type - Live Event"),'Ingest Template'!Q101&amp;"|"&amp;TEXT('Ingest Template'!C101-3, "yyyy-mm-dd")&amp;"|"&amp;TEXT('Ingest Template'!C101+3, "yyyy-mm-dd"),'Ingest Template'!Q101&amp; "|2021-01-01")),(IF(OR('Ingest Template'!F101 = "Program Type - Special", 'Ingest Template'!F101 = "Program Type - Live Event"),'Ingest Template'!Q101&amp; "|"&amp;TEXT('Ingest Template'!C101-3, "yyyy-mm-dd")&amp;"|"&amp;TEXT('Ingest Template'!C101+3, "yyyy-mm-dd"),'Ingest Template'!Q101)))</f>
        <v/>
      </c>
      <c r="AM101" s="35" t="str">
        <f>'Ingest Template'!AC101</f>
        <v/>
      </c>
    </row>
    <row r="102">
      <c r="A102" s="15"/>
      <c r="B102" s="22" t="str">
        <f>'Ingest Template'!C102&amp;IF('Ingest Template'!A102 = "Standard", " - DAR","")</f>
        <v/>
      </c>
      <c r="C102" s="22" t="s">
        <v>83</v>
      </c>
      <c r="D102" s="22" t="str">
        <f t="array" ref="D102">CONCATENATE(INDEX(DropdownLists!$H$2:$H$11,MATCH(1,COUNTIF('Ingest Template'!E102,"*"&amp;DropdownLists!$I$2:$I$11&amp;"*"),0)),CHAR(10),'Ingest Template'!F102,CHAR(10),'Ingest Template'!G102,CHAR(10),VLOOKUP('Ingest Template'!D102,DropdownLists!C:D,2,FALSE))</f>
        <v>#N/A</v>
      </c>
      <c r="E102" s="22" t="str">
        <f>CONCATENATE('Ingest Template'!H102,CHAR(10),'Ingest Template'!I102,CHAR(10),'Ingest Template'!J102,CHAR(10))</f>
        <v>
</v>
      </c>
      <c r="F102" s="35" t="str">
        <f t="array" ref="F102">INDEX(DropdownLists!$O$2:$O$36,MATCH(1,COUNTIF(E102,"*"&amp;DropdownLists!$N$2:$N$36&amp;"*"),0))</f>
        <v/>
      </c>
      <c r="G102" s="35"/>
      <c r="H102" s="22" t="str">
        <f t="array" ref="H102">INDEX(DropdownLists!$E$2:$E$276,MATCH('Ingest Template'!D102,DropdownLists!$C$2:$C$276,0))</f>
        <v>#N/A</v>
      </c>
      <c r="I102" s="22"/>
      <c r="J102" s="22" t="str">
        <f t="array" ref="J102">iF('Ingest Template'!A102="Standard","Pristine Brand",INDEX(DropdownLists!$B$2:$B$246,MATCH('Ingest Template'!D102,DropdownLists!$C$2:$C$246,0)))</f>
        <v>#N/A</v>
      </c>
      <c r="K102" s="22" t="str">
        <f>iF('Ingest Template'!A102="Standard",'Ingest Template'!K102&amp;CHAR(10)&amp;'Ingest Template'!L102,"Competitive View")</f>
        <v>Competitive View</v>
      </c>
      <c r="L102" s="22" t="s">
        <v>95</v>
      </c>
      <c r="M102" s="45" t="str">
        <f>'Ingest Template'!B102</f>
        <v/>
      </c>
      <c r="N102" s="35"/>
      <c r="O102" s="35"/>
      <c r="P102" s="35"/>
      <c r="Q102" s="35"/>
      <c r="R102" s="35" t="str">
        <f>'Ingest Template'!D102</f>
        <v/>
      </c>
      <c r="S102" s="22" t="s">
        <v>101</v>
      </c>
      <c r="T102" s="35" t="str">
        <f>'Ingest Template'!V102</f>
        <v/>
      </c>
      <c r="U102" s="35" t="str">
        <f>'Ingest Template'!W102</f>
        <v/>
      </c>
      <c r="V102" s="35" t="str">
        <f>LOWER(SUBSTITUTE(SUBSTITUTE(SUBSTITUTE(SUBSTITUTE(SUBSTITUTE('Ingest Template'!X102,"https:",""),"www.",""),"/",""),"?hl=en",""),"instagram.com",""))</f>
        <v/>
      </c>
      <c r="W102" s="74" t="str">
        <f t="array" ref="W102">IF(
'Ingest Template'!Y102="",
SUBSTITUTE(
INDEX(DropdownLists!$F$2:$F$277,MATCH('Ingest Template'!D102,DropdownLists!$C$2:$C$277,0)),
CHAR(10),
"|"&amp;'Ingest Template'!C102&amp;CHAR(10)
)&amp;"|"&amp;'Ingest Template'!C102,
SUBSTITUTE(
INDEX(DropdownLists!$F$2:$F$277,MATCH('Ingest Template'!D102,DropdownLists!$C$2:$C$277,0)),
CHAR(10),
"|"&amp;'Ingest Template'!C102&amp;CHAR(10)
)&amp;"|"&amp;'Ingest Template'!C102&amp;CHAR(10)&amp;'Ingest Template'!Y102
)</f>
        <v>#N/A</v>
      </c>
      <c r="X102" s="74" t="str">
        <f>'Ingest Template'!Z102</f>
        <v/>
      </c>
      <c r="Y102" s="35" t="str">
        <f>SUBSTITUTE(SUBSTITUTE(SUBSTITUTE('Ingest Template'!AA102,"http:",""),"https:",""),"/","")</f>
        <v/>
      </c>
      <c r="Z102" s="35" t="str">
        <f t="array" ref="Z102">IF('Ingest Template'!A102="Standard",(IF(ISBLANK('Ingest Template'!AB102),"", 'Ingest Template'!AB102&amp;"|DAR")),(IF(ISBLANK('Ingest Template'!AB102),"", 'Ingest Template'!AB102&amp;"|TV Ops")))</f>
        <v/>
      </c>
      <c r="AA102" s="35"/>
      <c r="AB102" s="35" t="str">
        <f>'Ingest Template'!R102</f>
        <v/>
      </c>
      <c r="AC102" s="35" t="str">
        <f>'Ingest Template'!T102</f>
        <v/>
      </c>
      <c r="AD102" s="35" t="str">
        <f>'Ingest Template'!S102</f>
        <v/>
      </c>
      <c r="AE102" s="35" t="str">
        <f>'Ingest Template'!U102</f>
        <v/>
      </c>
      <c r="AF102" s="22"/>
      <c r="AG102" s="35" t="str">
        <f t="array" ref="AG102">IF('Ingest Template'!A102="Standard",(CONCATENATE(IF(ISBLANK('Ingest Template'!N102),"", 'Ingest Template'!N102&amp;"|DAR"),CHAR(10), IF(ISBLANK('Ingest Template'!O102),"", 'Ingest Template'!O102&amp;"|DAR"),CHAR(10), IF(ISBLANK('Ingest Template'!P102),"", 'Ingest Template'!P102&amp;"|DAR"))),(CONCATENATE(IF(ISBLANK('Ingest Template'!N102),"", 'Ingest Template'!N102&amp;"|TV Ops"),CHAR(10), IF(ISBLANK('Ingest Template'!O102),"", 'Ingest Template'!O102&amp;"|TV Ops"),CHAR(10), IF(ISBLANK('Ingest Template'!P102),"", 'Ingest Template'!P102&amp;"|TV Ops"))))</f>
        <v>
</v>
      </c>
      <c r="AH102" s="35"/>
      <c r="AI102" s="35"/>
      <c r="AJ102" s="117" t="str">
        <f>if('Ingest Template'!A102="Standard",(IF(OR('Ingest Template'!F102 = "Program Type - Special", 'Ingest Template'!F102 = "Program Type - Live Event"),'Ingest Template'!M102&amp; "|DAR|DAR|"&amp;TEXT('Ingest Template'!C102-3, "yyyy-mm-dd")&amp;"|"&amp;TEXT('Ingest Template'!C102+3, "yyyy-mm-dd"),'Ingest Template'!M102&amp; "|DAR|DAR|2021-01-01")),(IF(OR('Ingest Template'!F102 = "Program Type - Special", 'Ingest Template'!F102 = "Program Type - Live Event"),'Ingest Template'!M102&amp; "|Operations - Core Title|Operations - Core Title|"&amp;TEXT('Ingest Template'!C102-3, "yyyy-mm-dd")&amp;"|"&amp;TEXT('Ingest Template'!C102+3, "yyyy-mm-dd"),'Ingest Template'!M102&amp; "|Operations - Core Title|Operations - Core Title")))</f>
        <v>|Operations - Core Title|Operations - Core Title</v>
      </c>
      <c r="AK102" s="35"/>
      <c r="AL102" s="117" t="str">
        <f>if('Ingest Template'!A102="Standard",(IF(OR('Ingest Template'!F102 = "Program Type - Special", 'Ingest Template'!F102 = "Program Type - Live Event"),'Ingest Template'!Q102&amp;"|"&amp;TEXT('Ingest Template'!C102-3, "yyyy-mm-dd")&amp;"|"&amp;TEXT('Ingest Template'!C102+3, "yyyy-mm-dd"),'Ingest Template'!Q102&amp; "|2021-01-01")),(IF(OR('Ingest Template'!F102 = "Program Type - Special", 'Ingest Template'!F102 = "Program Type - Live Event"),'Ingest Template'!Q102&amp; "|"&amp;TEXT('Ingest Template'!C102-3, "yyyy-mm-dd")&amp;"|"&amp;TEXT('Ingest Template'!C102+3, "yyyy-mm-dd"),'Ingest Template'!Q102)))</f>
        <v/>
      </c>
      <c r="AM102" s="35" t="str">
        <f>'Ingest Template'!AC102</f>
        <v/>
      </c>
    </row>
    <row r="103">
      <c r="A103" s="15"/>
      <c r="B103" s="22" t="str">
        <f>'Ingest Template'!C103&amp;IF('Ingest Template'!A103 = "Standard", " - DAR","")</f>
        <v/>
      </c>
      <c r="C103" s="22" t="s">
        <v>83</v>
      </c>
      <c r="D103" s="22" t="str">
        <f t="array" ref="D103">CONCATENATE(INDEX(DropdownLists!$H$2:$H$11,MATCH(1,COUNTIF('Ingest Template'!E103,"*"&amp;DropdownLists!$I$2:$I$11&amp;"*"),0)),CHAR(10),'Ingest Template'!F103,CHAR(10),'Ingest Template'!G103,CHAR(10),VLOOKUP('Ingest Template'!D103,DropdownLists!C:D,2,FALSE))</f>
        <v>#N/A</v>
      </c>
      <c r="E103" s="22" t="str">
        <f>CONCATENATE('Ingest Template'!H103,CHAR(10),'Ingest Template'!I103,CHAR(10),'Ingest Template'!J103,CHAR(10))</f>
        <v>
</v>
      </c>
      <c r="F103" s="35" t="str">
        <f t="array" ref="F103">INDEX(DropdownLists!$O$2:$O$36,MATCH(1,COUNTIF(E103,"*"&amp;DropdownLists!$N$2:$N$36&amp;"*"),0))</f>
        <v/>
      </c>
      <c r="G103" s="35"/>
      <c r="H103" s="22" t="str">
        <f t="array" ref="H103">INDEX(DropdownLists!$E$2:$E$276,MATCH('Ingest Template'!D103,DropdownLists!$C$2:$C$276,0))</f>
        <v>#N/A</v>
      </c>
      <c r="I103" s="22"/>
      <c r="J103" s="22" t="str">
        <f t="array" ref="J103">iF('Ingest Template'!A103="Standard","Pristine Brand",INDEX(DropdownLists!$B$2:$B$246,MATCH('Ingest Template'!D103,DropdownLists!$C$2:$C$246,0)))</f>
        <v>#N/A</v>
      </c>
      <c r="K103" s="22" t="str">
        <f>iF('Ingest Template'!A103="Standard",'Ingest Template'!K103&amp;CHAR(10)&amp;'Ingest Template'!L103,"Competitive View")</f>
        <v>Competitive View</v>
      </c>
      <c r="L103" s="22" t="s">
        <v>95</v>
      </c>
      <c r="M103" s="45" t="str">
        <f>'Ingest Template'!B103</f>
        <v/>
      </c>
      <c r="N103" s="35"/>
      <c r="O103" s="35"/>
      <c r="P103" s="35"/>
      <c r="Q103" s="35"/>
      <c r="R103" s="35" t="str">
        <f>'Ingest Template'!D103</f>
        <v/>
      </c>
      <c r="S103" s="22" t="s">
        <v>101</v>
      </c>
      <c r="T103" s="35" t="str">
        <f>'Ingest Template'!V103</f>
        <v/>
      </c>
      <c r="U103" s="35" t="str">
        <f>'Ingest Template'!W103</f>
        <v/>
      </c>
      <c r="V103" s="35" t="str">
        <f>LOWER(SUBSTITUTE(SUBSTITUTE(SUBSTITUTE(SUBSTITUTE(SUBSTITUTE('Ingest Template'!X103,"https:",""),"www.",""),"/",""),"?hl=en",""),"instagram.com",""))</f>
        <v/>
      </c>
      <c r="W103" s="74" t="str">
        <f t="array" ref="W103">IF(
'Ingest Template'!Y103="",
SUBSTITUTE(
INDEX(DropdownLists!$F$2:$F$277,MATCH('Ingest Template'!D103,DropdownLists!$C$2:$C$277,0)),
CHAR(10),
"|"&amp;'Ingest Template'!C103&amp;CHAR(10)
)&amp;"|"&amp;'Ingest Template'!C103,
SUBSTITUTE(
INDEX(DropdownLists!$F$2:$F$277,MATCH('Ingest Template'!D103,DropdownLists!$C$2:$C$277,0)),
CHAR(10),
"|"&amp;'Ingest Template'!C103&amp;CHAR(10)
)&amp;"|"&amp;'Ingest Template'!C103&amp;CHAR(10)&amp;'Ingest Template'!Y103
)</f>
        <v>#N/A</v>
      </c>
      <c r="X103" s="74" t="str">
        <f>'Ingest Template'!Z103</f>
        <v/>
      </c>
      <c r="Y103" s="35" t="str">
        <f>SUBSTITUTE(SUBSTITUTE(SUBSTITUTE('Ingest Template'!AA103,"http:",""),"https:",""),"/","")</f>
        <v/>
      </c>
      <c r="Z103" s="35" t="str">
        <f t="array" ref="Z103">IF('Ingest Template'!A103="Standard",(IF(ISBLANK('Ingest Template'!AB103),"", 'Ingest Template'!AB103&amp;"|DAR")),(IF(ISBLANK('Ingest Template'!AB103),"", 'Ingest Template'!AB103&amp;"|TV Ops")))</f>
        <v/>
      </c>
      <c r="AA103" s="35"/>
      <c r="AB103" s="35" t="str">
        <f>'Ingest Template'!R103</f>
        <v/>
      </c>
      <c r="AC103" s="35" t="str">
        <f>'Ingest Template'!T103</f>
        <v/>
      </c>
      <c r="AD103" s="35" t="str">
        <f>'Ingest Template'!S103</f>
        <v/>
      </c>
      <c r="AE103" s="35" t="str">
        <f>'Ingest Template'!U103</f>
        <v/>
      </c>
      <c r="AF103" s="22"/>
      <c r="AG103" s="35" t="str">
        <f t="array" ref="AG103">IF('Ingest Template'!A103="Standard",(CONCATENATE(IF(ISBLANK('Ingest Template'!N103),"", 'Ingest Template'!N103&amp;"|DAR"),CHAR(10), IF(ISBLANK('Ingest Template'!O103),"", 'Ingest Template'!O103&amp;"|DAR"),CHAR(10), IF(ISBLANK('Ingest Template'!P103),"", 'Ingest Template'!P103&amp;"|DAR"))),(CONCATENATE(IF(ISBLANK('Ingest Template'!N103),"", 'Ingest Template'!N103&amp;"|TV Ops"),CHAR(10), IF(ISBLANK('Ingest Template'!O103),"", 'Ingest Template'!O103&amp;"|TV Ops"),CHAR(10), IF(ISBLANK('Ingest Template'!P103),"", 'Ingest Template'!P103&amp;"|TV Ops"))))</f>
        <v>
</v>
      </c>
      <c r="AH103" s="35"/>
      <c r="AI103" s="35"/>
      <c r="AJ103" s="117" t="str">
        <f>if('Ingest Template'!A103="Standard",(IF(OR('Ingest Template'!F103 = "Program Type - Special", 'Ingest Template'!F103 = "Program Type - Live Event"),'Ingest Template'!M103&amp; "|DAR|DAR|"&amp;TEXT('Ingest Template'!C103-3, "yyyy-mm-dd")&amp;"|"&amp;TEXT('Ingest Template'!C103+3, "yyyy-mm-dd"),'Ingest Template'!M103&amp; "|DAR|DAR|2021-01-01")),(IF(OR('Ingest Template'!F103 = "Program Type - Special", 'Ingest Template'!F103 = "Program Type - Live Event"),'Ingest Template'!M103&amp; "|Operations - Core Title|Operations - Core Title|"&amp;TEXT('Ingest Template'!C103-3, "yyyy-mm-dd")&amp;"|"&amp;TEXT('Ingest Template'!C103+3, "yyyy-mm-dd"),'Ingest Template'!M103&amp; "|Operations - Core Title|Operations - Core Title")))</f>
        <v>|Operations - Core Title|Operations - Core Title</v>
      </c>
      <c r="AK103" s="35"/>
      <c r="AL103" s="117" t="str">
        <f>if('Ingest Template'!A103="Standard",(IF(OR('Ingest Template'!F103 = "Program Type - Special", 'Ingest Template'!F103 = "Program Type - Live Event"),'Ingest Template'!Q103&amp;"|"&amp;TEXT('Ingest Template'!C103-3, "yyyy-mm-dd")&amp;"|"&amp;TEXT('Ingest Template'!C103+3, "yyyy-mm-dd"),'Ingest Template'!Q103&amp; "|2021-01-01")),(IF(OR('Ingest Template'!F103 = "Program Type - Special", 'Ingest Template'!F103 = "Program Type - Live Event"),'Ingest Template'!Q103&amp; "|"&amp;TEXT('Ingest Template'!C103-3, "yyyy-mm-dd")&amp;"|"&amp;TEXT('Ingest Template'!C103+3, "yyyy-mm-dd"),'Ingest Template'!Q103)))</f>
        <v/>
      </c>
      <c r="AM103" s="35" t="str">
        <f>'Ingest Template'!AC103</f>
        <v/>
      </c>
    </row>
    <row r="104">
      <c r="A104" s="15"/>
      <c r="B104" s="22" t="str">
        <f>'Ingest Template'!C104&amp;IF('Ingest Template'!A104 = "Standard", " - DAR","")</f>
        <v/>
      </c>
      <c r="C104" s="22" t="s">
        <v>83</v>
      </c>
      <c r="D104" s="22" t="str">
        <f t="array" ref="D104">CONCATENATE(INDEX(DropdownLists!$H$2:$H$11,MATCH(1,COUNTIF('Ingest Template'!E104,"*"&amp;DropdownLists!$I$2:$I$11&amp;"*"),0)),CHAR(10),'Ingest Template'!F104,CHAR(10),'Ingest Template'!G104,CHAR(10),VLOOKUP('Ingest Template'!D104,DropdownLists!C:D,2,FALSE))</f>
        <v>#N/A</v>
      </c>
      <c r="E104" s="22" t="str">
        <f>CONCATENATE('Ingest Template'!H104,CHAR(10),'Ingest Template'!I104,CHAR(10),'Ingest Template'!J104,CHAR(10))</f>
        <v>
</v>
      </c>
      <c r="F104" s="35" t="str">
        <f t="array" ref="F104">INDEX(DropdownLists!$O$2:$O$36,MATCH(1,COUNTIF(E104,"*"&amp;DropdownLists!$N$2:$N$36&amp;"*"),0))</f>
        <v/>
      </c>
      <c r="G104" s="35"/>
      <c r="H104" s="22" t="str">
        <f t="array" ref="H104">INDEX(DropdownLists!$E$2:$E$276,MATCH('Ingest Template'!D104,DropdownLists!$C$2:$C$276,0))</f>
        <v>#N/A</v>
      </c>
      <c r="I104" s="22"/>
      <c r="J104" s="22" t="str">
        <f t="array" ref="J104">iF('Ingest Template'!A104="Standard","Pristine Brand",INDEX(DropdownLists!$B$2:$B$246,MATCH('Ingest Template'!D104,DropdownLists!$C$2:$C$246,0)))</f>
        <v>#N/A</v>
      </c>
      <c r="K104" s="22" t="str">
        <f>iF('Ingest Template'!A104="Standard",'Ingest Template'!K104&amp;CHAR(10)&amp;'Ingest Template'!L104,"Competitive View")</f>
        <v>Competitive View</v>
      </c>
      <c r="L104" s="22" t="s">
        <v>95</v>
      </c>
      <c r="M104" s="45" t="str">
        <f>'Ingest Template'!B104</f>
        <v/>
      </c>
      <c r="N104" s="35"/>
      <c r="O104" s="35"/>
      <c r="P104" s="35"/>
      <c r="Q104" s="35"/>
      <c r="R104" s="35" t="str">
        <f>'Ingest Template'!D104</f>
        <v/>
      </c>
      <c r="S104" s="22" t="s">
        <v>101</v>
      </c>
      <c r="T104" s="35" t="str">
        <f>'Ingest Template'!V104</f>
        <v/>
      </c>
      <c r="U104" s="35" t="str">
        <f>'Ingest Template'!W104</f>
        <v/>
      </c>
      <c r="V104" s="35" t="str">
        <f>LOWER(SUBSTITUTE(SUBSTITUTE(SUBSTITUTE(SUBSTITUTE(SUBSTITUTE('Ingest Template'!X104,"https:",""),"www.",""),"/",""),"?hl=en",""),"instagram.com",""))</f>
        <v/>
      </c>
      <c r="W104" s="74" t="str">
        <f t="array" ref="W104">IF(
'Ingest Template'!Y104="",
SUBSTITUTE(
INDEX(DropdownLists!$F$2:$F$277,MATCH('Ingest Template'!D104,DropdownLists!$C$2:$C$277,0)),
CHAR(10),
"|"&amp;'Ingest Template'!C104&amp;CHAR(10)
)&amp;"|"&amp;'Ingest Template'!C104,
SUBSTITUTE(
INDEX(DropdownLists!$F$2:$F$277,MATCH('Ingest Template'!D104,DropdownLists!$C$2:$C$277,0)),
CHAR(10),
"|"&amp;'Ingest Template'!C104&amp;CHAR(10)
)&amp;"|"&amp;'Ingest Template'!C104&amp;CHAR(10)&amp;'Ingest Template'!Y104
)</f>
        <v>#N/A</v>
      </c>
      <c r="X104" s="74" t="str">
        <f>'Ingest Template'!Z104</f>
        <v/>
      </c>
      <c r="Y104" s="35" t="str">
        <f>SUBSTITUTE(SUBSTITUTE(SUBSTITUTE('Ingest Template'!AA104,"http:",""),"https:",""),"/","")</f>
        <v/>
      </c>
      <c r="Z104" s="35" t="str">
        <f t="array" ref="Z104">IF('Ingest Template'!A104="Standard",(IF(ISBLANK('Ingest Template'!AB104),"", 'Ingest Template'!AB104&amp;"|DAR")),(IF(ISBLANK('Ingest Template'!AB104),"", 'Ingest Template'!AB104&amp;"|TV Ops")))</f>
        <v/>
      </c>
      <c r="AA104" s="35"/>
      <c r="AB104" s="35" t="str">
        <f>'Ingest Template'!R104</f>
        <v/>
      </c>
      <c r="AC104" s="35" t="str">
        <f>'Ingest Template'!T104</f>
        <v/>
      </c>
      <c r="AD104" s="35" t="str">
        <f>'Ingest Template'!S104</f>
        <v/>
      </c>
      <c r="AE104" s="35" t="str">
        <f>'Ingest Template'!U104</f>
        <v/>
      </c>
      <c r="AF104" s="22"/>
      <c r="AG104" s="35" t="str">
        <f t="array" ref="AG104">IF('Ingest Template'!A104="Standard",(CONCATENATE(IF(ISBLANK('Ingest Template'!N104),"", 'Ingest Template'!N104&amp;"|DAR"),CHAR(10), IF(ISBLANK('Ingest Template'!O104),"", 'Ingest Template'!O104&amp;"|DAR"),CHAR(10), IF(ISBLANK('Ingest Template'!P104),"", 'Ingest Template'!P104&amp;"|DAR"))),(CONCATENATE(IF(ISBLANK('Ingest Template'!N104),"", 'Ingest Template'!N104&amp;"|TV Ops"),CHAR(10), IF(ISBLANK('Ingest Template'!O104),"", 'Ingest Template'!O104&amp;"|TV Ops"),CHAR(10), IF(ISBLANK('Ingest Template'!P104),"", 'Ingest Template'!P104&amp;"|TV Ops"))))</f>
        <v>
</v>
      </c>
      <c r="AH104" s="35"/>
      <c r="AI104" s="35"/>
      <c r="AJ104" s="117" t="str">
        <f>if('Ingest Template'!A104="Standard",(IF(OR('Ingest Template'!F104 = "Program Type - Special", 'Ingest Template'!F104 = "Program Type - Live Event"),'Ingest Template'!M104&amp; "|DAR|DAR|"&amp;TEXT('Ingest Template'!C104-3, "yyyy-mm-dd")&amp;"|"&amp;TEXT('Ingest Template'!C104+3, "yyyy-mm-dd"),'Ingest Template'!M104&amp; "|DAR|DAR|2021-01-01")),(IF(OR('Ingest Template'!F104 = "Program Type - Special", 'Ingest Template'!F104 = "Program Type - Live Event"),'Ingest Template'!M104&amp; "|Operations - Core Title|Operations - Core Title|"&amp;TEXT('Ingest Template'!C104-3, "yyyy-mm-dd")&amp;"|"&amp;TEXT('Ingest Template'!C104+3, "yyyy-mm-dd"),'Ingest Template'!M104&amp; "|Operations - Core Title|Operations - Core Title")))</f>
        <v>|Operations - Core Title|Operations - Core Title</v>
      </c>
      <c r="AK104" s="35"/>
      <c r="AL104" s="117" t="str">
        <f>if('Ingest Template'!A104="Standard",(IF(OR('Ingest Template'!F104 = "Program Type - Special", 'Ingest Template'!F104 = "Program Type - Live Event"),'Ingest Template'!Q104&amp;"|"&amp;TEXT('Ingest Template'!C104-3, "yyyy-mm-dd")&amp;"|"&amp;TEXT('Ingest Template'!C104+3, "yyyy-mm-dd"),'Ingest Template'!Q104&amp; "|2021-01-01")),(IF(OR('Ingest Template'!F104 = "Program Type - Special", 'Ingest Template'!F104 = "Program Type - Live Event"),'Ingest Template'!Q104&amp; "|"&amp;TEXT('Ingest Template'!C104-3, "yyyy-mm-dd")&amp;"|"&amp;TEXT('Ingest Template'!C104+3, "yyyy-mm-dd"),'Ingest Template'!Q104)))</f>
        <v/>
      </c>
      <c r="AM104" s="35" t="str">
        <f>'Ingest Template'!AC104</f>
        <v/>
      </c>
    </row>
    <row r="105">
      <c r="A105" s="15"/>
      <c r="B105" s="22" t="str">
        <f>'Ingest Template'!C105&amp;IF('Ingest Template'!A105 = "Standard", " - DAR","")</f>
        <v/>
      </c>
      <c r="C105" s="22" t="s">
        <v>83</v>
      </c>
      <c r="D105" s="22" t="str">
        <f t="array" ref="D105">CONCATENATE(INDEX(DropdownLists!$H$2:$H$11,MATCH(1,COUNTIF('Ingest Template'!E105,"*"&amp;DropdownLists!$I$2:$I$11&amp;"*"),0)),CHAR(10),'Ingest Template'!F105,CHAR(10),'Ingest Template'!G105,CHAR(10),VLOOKUP('Ingest Template'!D105,DropdownLists!C:D,2,FALSE))</f>
        <v>#N/A</v>
      </c>
      <c r="E105" s="22" t="str">
        <f>CONCATENATE('Ingest Template'!H105,CHAR(10),'Ingest Template'!I105,CHAR(10),'Ingest Template'!J105,CHAR(10))</f>
        <v>
</v>
      </c>
      <c r="F105" s="35" t="str">
        <f t="array" ref="F105">INDEX(DropdownLists!$O$2:$O$36,MATCH(1,COUNTIF(E105,"*"&amp;DropdownLists!$N$2:$N$36&amp;"*"),0))</f>
        <v/>
      </c>
      <c r="G105" s="35"/>
      <c r="H105" s="22" t="str">
        <f t="array" ref="H105">INDEX(DropdownLists!$E$2:$E$276,MATCH('Ingest Template'!D105,DropdownLists!$C$2:$C$276,0))</f>
        <v>#N/A</v>
      </c>
      <c r="I105" s="22"/>
      <c r="J105" s="22" t="str">
        <f t="array" ref="J105">iF('Ingest Template'!A105="Standard","Pristine Brand",INDEX(DropdownLists!$B$2:$B$246,MATCH('Ingest Template'!D105,DropdownLists!$C$2:$C$246,0)))</f>
        <v>#N/A</v>
      </c>
      <c r="K105" s="22" t="str">
        <f>iF('Ingest Template'!A105="Standard",'Ingest Template'!K105&amp;CHAR(10)&amp;'Ingest Template'!L105,"Competitive View")</f>
        <v>Competitive View</v>
      </c>
      <c r="L105" s="22" t="s">
        <v>95</v>
      </c>
      <c r="M105" s="45" t="str">
        <f>'Ingest Template'!B105</f>
        <v/>
      </c>
      <c r="N105" s="35"/>
      <c r="O105" s="35"/>
      <c r="P105" s="35"/>
      <c r="Q105" s="35"/>
      <c r="R105" s="35" t="str">
        <f>'Ingest Template'!D105</f>
        <v/>
      </c>
      <c r="S105" s="22" t="s">
        <v>101</v>
      </c>
      <c r="T105" s="35" t="str">
        <f>'Ingest Template'!V105</f>
        <v/>
      </c>
      <c r="U105" s="35" t="str">
        <f>'Ingest Template'!W105</f>
        <v/>
      </c>
      <c r="V105" s="35" t="str">
        <f>LOWER(SUBSTITUTE(SUBSTITUTE(SUBSTITUTE(SUBSTITUTE(SUBSTITUTE('Ingest Template'!X105,"https:",""),"www.",""),"/",""),"?hl=en",""),"instagram.com",""))</f>
        <v/>
      </c>
      <c r="W105" s="74" t="str">
        <f t="array" ref="W105">IF(
'Ingest Template'!Y105="",
SUBSTITUTE(
INDEX(DropdownLists!$F$2:$F$277,MATCH('Ingest Template'!D105,DropdownLists!$C$2:$C$277,0)),
CHAR(10),
"|"&amp;'Ingest Template'!C105&amp;CHAR(10)
)&amp;"|"&amp;'Ingest Template'!C105,
SUBSTITUTE(
INDEX(DropdownLists!$F$2:$F$277,MATCH('Ingest Template'!D105,DropdownLists!$C$2:$C$277,0)),
CHAR(10),
"|"&amp;'Ingest Template'!C105&amp;CHAR(10)
)&amp;"|"&amp;'Ingest Template'!C105&amp;CHAR(10)&amp;'Ingest Template'!Y105
)</f>
        <v>#N/A</v>
      </c>
      <c r="X105" s="74" t="str">
        <f>'Ingest Template'!Z105</f>
        <v/>
      </c>
      <c r="Y105" s="35" t="str">
        <f>SUBSTITUTE(SUBSTITUTE(SUBSTITUTE('Ingest Template'!AA105,"http:",""),"https:",""),"/","")</f>
        <v/>
      </c>
      <c r="Z105" s="35" t="str">
        <f t="array" ref="Z105">IF('Ingest Template'!A105="Standard",(IF(ISBLANK('Ingest Template'!AB105),"", 'Ingest Template'!AB105&amp;"|DAR")),(IF(ISBLANK('Ingest Template'!AB105),"", 'Ingest Template'!AB105&amp;"|TV Ops")))</f>
        <v/>
      </c>
      <c r="AA105" s="35"/>
      <c r="AB105" s="35" t="str">
        <f>'Ingest Template'!R105</f>
        <v/>
      </c>
      <c r="AC105" s="35" t="str">
        <f>'Ingest Template'!T105</f>
        <v/>
      </c>
      <c r="AD105" s="35" t="str">
        <f>'Ingest Template'!S105</f>
        <v/>
      </c>
      <c r="AE105" s="35" t="str">
        <f>'Ingest Template'!U105</f>
        <v/>
      </c>
      <c r="AF105" s="22"/>
      <c r="AG105" s="35" t="str">
        <f t="array" ref="AG105">IF('Ingest Template'!A105="Standard",(CONCATENATE(IF(ISBLANK('Ingest Template'!N105),"", 'Ingest Template'!N105&amp;"|DAR"),CHAR(10), IF(ISBLANK('Ingest Template'!O105),"", 'Ingest Template'!O105&amp;"|DAR"),CHAR(10), IF(ISBLANK('Ingest Template'!P105),"", 'Ingest Template'!P105&amp;"|DAR"))),(CONCATENATE(IF(ISBLANK('Ingest Template'!N105),"", 'Ingest Template'!N105&amp;"|TV Ops"),CHAR(10), IF(ISBLANK('Ingest Template'!O105),"", 'Ingest Template'!O105&amp;"|TV Ops"),CHAR(10), IF(ISBLANK('Ingest Template'!P105),"", 'Ingest Template'!P105&amp;"|TV Ops"))))</f>
        <v>
</v>
      </c>
      <c r="AH105" s="35"/>
      <c r="AI105" s="35"/>
      <c r="AJ105" s="117" t="str">
        <f>if('Ingest Template'!A105="Standard",(IF(OR('Ingest Template'!F105 = "Program Type - Special", 'Ingest Template'!F105 = "Program Type - Live Event"),'Ingest Template'!M105&amp; "|DAR|DAR|"&amp;TEXT('Ingest Template'!C105-3, "yyyy-mm-dd")&amp;"|"&amp;TEXT('Ingest Template'!C105+3, "yyyy-mm-dd"),'Ingest Template'!M105&amp; "|DAR|DAR|2021-01-01")),(IF(OR('Ingest Template'!F105 = "Program Type - Special", 'Ingest Template'!F105 = "Program Type - Live Event"),'Ingest Template'!M105&amp; "|Operations - Core Title|Operations - Core Title|"&amp;TEXT('Ingest Template'!C105-3, "yyyy-mm-dd")&amp;"|"&amp;TEXT('Ingest Template'!C105+3, "yyyy-mm-dd"),'Ingest Template'!M105&amp; "|Operations - Core Title|Operations - Core Title")))</f>
        <v>|Operations - Core Title|Operations - Core Title</v>
      </c>
      <c r="AK105" s="35"/>
      <c r="AL105" s="117" t="str">
        <f>if('Ingest Template'!A105="Standard",(IF(OR('Ingest Template'!F105 = "Program Type - Special", 'Ingest Template'!F105 = "Program Type - Live Event"),'Ingest Template'!Q105&amp;"|"&amp;TEXT('Ingest Template'!C105-3, "yyyy-mm-dd")&amp;"|"&amp;TEXT('Ingest Template'!C105+3, "yyyy-mm-dd"),'Ingest Template'!Q105&amp; "|2021-01-01")),(IF(OR('Ingest Template'!F105 = "Program Type - Special", 'Ingest Template'!F105 = "Program Type - Live Event"),'Ingest Template'!Q105&amp; "|"&amp;TEXT('Ingest Template'!C105-3, "yyyy-mm-dd")&amp;"|"&amp;TEXT('Ingest Template'!C105+3, "yyyy-mm-dd"),'Ingest Template'!Q105)))</f>
        <v/>
      </c>
      <c r="AM105" s="35" t="str">
        <f>'Ingest Template'!AC105</f>
        <v/>
      </c>
    </row>
    <row r="106">
      <c r="A106" s="15"/>
      <c r="B106" s="22" t="str">
        <f>'Ingest Template'!C106&amp;IF('Ingest Template'!A106 = "Standard", " - DAR","")</f>
        <v/>
      </c>
      <c r="C106" s="22" t="s">
        <v>83</v>
      </c>
      <c r="D106" s="22" t="str">
        <f t="array" ref="D106">CONCATENATE(INDEX(DropdownLists!$H$2:$H$11,MATCH(1,COUNTIF('Ingest Template'!E106,"*"&amp;DropdownLists!$I$2:$I$11&amp;"*"),0)),CHAR(10),'Ingest Template'!F106,CHAR(10),'Ingest Template'!G106,CHAR(10),VLOOKUP('Ingest Template'!D106,DropdownLists!C:D,2,FALSE))</f>
        <v>#N/A</v>
      </c>
      <c r="E106" s="22" t="str">
        <f>CONCATENATE('Ingest Template'!H106,CHAR(10),'Ingest Template'!I106,CHAR(10),'Ingest Template'!J106,CHAR(10))</f>
        <v>
</v>
      </c>
      <c r="F106" s="35" t="str">
        <f t="array" ref="F106">INDEX(DropdownLists!$O$2:$O$36,MATCH(1,COUNTIF(E106,"*"&amp;DropdownLists!$N$2:$N$36&amp;"*"),0))</f>
        <v/>
      </c>
      <c r="G106" s="35"/>
      <c r="H106" s="22" t="str">
        <f t="array" ref="H106">INDEX(DropdownLists!$E$2:$E$276,MATCH('Ingest Template'!D106,DropdownLists!$C$2:$C$276,0))</f>
        <v>#N/A</v>
      </c>
      <c r="I106" s="22"/>
      <c r="J106" s="22" t="str">
        <f t="array" ref="J106">iF('Ingest Template'!A106="Standard","Pristine Brand",INDEX(DropdownLists!$B$2:$B$246,MATCH('Ingest Template'!D106,DropdownLists!$C$2:$C$246,0)))</f>
        <v>#N/A</v>
      </c>
      <c r="K106" s="22" t="str">
        <f>iF('Ingest Template'!A106="Standard",'Ingest Template'!K106&amp;CHAR(10)&amp;'Ingest Template'!L106,"Competitive View")</f>
        <v>Competitive View</v>
      </c>
      <c r="L106" s="22" t="s">
        <v>95</v>
      </c>
      <c r="M106" s="45" t="str">
        <f>'Ingest Template'!B106</f>
        <v/>
      </c>
      <c r="N106" s="35"/>
      <c r="O106" s="35"/>
      <c r="P106" s="35"/>
      <c r="Q106" s="35"/>
      <c r="R106" s="35" t="str">
        <f>'Ingest Template'!D106</f>
        <v/>
      </c>
      <c r="S106" s="22" t="s">
        <v>101</v>
      </c>
      <c r="T106" s="35" t="str">
        <f>'Ingest Template'!V106</f>
        <v/>
      </c>
      <c r="U106" s="35" t="str">
        <f>'Ingest Template'!W106</f>
        <v/>
      </c>
      <c r="V106" s="35" t="str">
        <f>LOWER(SUBSTITUTE(SUBSTITUTE(SUBSTITUTE(SUBSTITUTE(SUBSTITUTE('Ingest Template'!X106,"https:",""),"www.",""),"/",""),"?hl=en",""),"instagram.com",""))</f>
        <v/>
      </c>
      <c r="W106" s="74" t="str">
        <f t="array" ref="W106">IF(
'Ingest Template'!Y106="",
SUBSTITUTE(
INDEX(DropdownLists!$F$2:$F$277,MATCH('Ingest Template'!D106,DropdownLists!$C$2:$C$277,0)),
CHAR(10),
"|"&amp;'Ingest Template'!C106&amp;CHAR(10)
)&amp;"|"&amp;'Ingest Template'!C106,
SUBSTITUTE(
INDEX(DropdownLists!$F$2:$F$277,MATCH('Ingest Template'!D106,DropdownLists!$C$2:$C$277,0)),
CHAR(10),
"|"&amp;'Ingest Template'!C106&amp;CHAR(10)
)&amp;"|"&amp;'Ingest Template'!C106&amp;CHAR(10)&amp;'Ingest Template'!Y106
)</f>
        <v>#N/A</v>
      </c>
      <c r="X106" s="74" t="str">
        <f>'Ingest Template'!Z106</f>
        <v/>
      </c>
      <c r="Y106" s="35" t="str">
        <f>SUBSTITUTE(SUBSTITUTE(SUBSTITUTE('Ingest Template'!AA106,"http:",""),"https:",""),"/","")</f>
        <v/>
      </c>
      <c r="Z106" s="35" t="str">
        <f t="array" ref="Z106">IF('Ingest Template'!A106="Standard",(IF(ISBLANK('Ingest Template'!AB106),"", 'Ingest Template'!AB106&amp;"|DAR")),(IF(ISBLANK('Ingest Template'!AB106),"", 'Ingest Template'!AB106&amp;"|TV Ops")))</f>
        <v/>
      </c>
      <c r="AA106" s="35"/>
      <c r="AB106" s="35" t="str">
        <f>'Ingest Template'!R106</f>
        <v/>
      </c>
      <c r="AC106" s="35" t="str">
        <f>'Ingest Template'!T106</f>
        <v/>
      </c>
      <c r="AD106" s="35" t="str">
        <f>'Ingest Template'!S106</f>
        <v/>
      </c>
      <c r="AE106" s="35" t="str">
        <f>'Ingest Template'!U106</f>
        <v/>
      </c>
      <c r="AF106" s="22"/>
      <c r="AG106" s="35" t="str">
        <f t="array" ref="AG106">IF('Ingest Template'!A106="Standard",(CONCATENATE(IF(ISBLANK('Ingest Template'!N106),"", 'Ingest Template'!N106&amp;"|DAR"),CHAR(10), IF(ISBLANK('Ingest Template'!O106),"", 'Ingest Template'!O106&amp;"|DAR"),CHAR(10), IF(ISBLANK('Ingest Template'!P106),"", 'Ingest Template'!P106&amp;"|DAR"))),(CONCATENATE(IF(ISBLANK('Ingest Template'!N106),"", 'Ingest Template'!N106&amp;"|TV Ops"),CHAR(10), IF(ISBLANK('Ingest Template'!O106),"", 'Ingest Template'!O106&amp;"|TV Ops"),CHAR(10), IF(ISBLANK('Ingest Template'!P106),"", 'Ingest Template'!P106&amp;"|TV Ops"))))</f>
        <v>
</v>
      </c>
      <c r="AH106" s="35"/>
      <c r="AI106" s="35"/>
      <c r="AJ106" s="117" t="str">
        <f>if('Ingest Template'!A106="Standard",(IF(OR('Ingest Template'!F106 = "Program Type - Special", 'Ingest Template'!F106 = "Program Type - Live Event"),'Ingest Template'!M106&amp; "|DAR|DAR|"&amp;TEXT('Ingest Template'!C106-3, "yyyy-mm-dd")&amp;"|"&amp;TEXT('Ingest Template'!C106+3, "yyyy-mm-dd"),'Ingest Template'!M106&amp; "|DAR|DAR|2021-01-01")),(IF(OR('Ingest Template'!F106 = "Program Type - Special", 'Ingest Template'!F106 = "Program Type - Live Event"),'Ingest Template'!M106&amp; "|Operations - Core Title|Operations - Core Title|"&amp;TEXT('Ingest Template'!C106-3, "yyyy-mm-dd")&amp;"|"&amp;TEXT('Ingest Template'!C106+3, "yyyy-mm-dd"),'Ingest Template'!M106&amp; "|Operations - Core Title|Operations - Core Title")))</f>
        <v>|Operations - Core Title|Operations - Core Title</v>
      </c>
      <c r="AK106" s="35"/>
      <c r="AL106" s="117" t="str">
        <f>if('Ingest Template'!A106="Standard",(IF(OR('Ingest Template'!F106 = "Program Type - Special", 'Ingest Template'!F106 = "Program Type - Live Event"),'Ingest Template'!Q106&amp;"|"&amp;TEXT('Ingest Template'!C106-3, "yyyy-mm-dd")&amp;"|"&amp;TEXT('Ingest Template'!C106+3, "yyyy-mm-dd"),'Ingest Template'!Q106&amp; "|2021-01-01")),(IF(OR('Ingest Template'!F106 = "Program Type - Special", 'Ingest Template'!F106 = "Program Type - Live Event"),'Ingest Template'!Q106&amp; "|"&amp;TEXT('Ingest Template'!C106-3, "yyyy-mm-dd")&amp;"|"&amp;TEXT('Ingest Template'!C106+3, "yyyy-mm-dd"),'Ingest Template'!Q106)))</f>
        <v/>
      </c>
      <c r="AM106" s="35" t="str">
        <f>'Ingest Template'!AC106</f>
        <v/>
      </c>
    </row>
    <row r="107">
      <c r="A107" s="15"/>
      <c r="B107" s="22" t="str">
        <f>'Ingest Template'!C107&amp;IF('Ingest Template'!A107 = "Standard", " - DAR","")</f>
        <v/>
      </c>
      <c r="C107" s="22" t="s">
        <v>83</v>
      </c>
      <c r="D107" s="22" t="str">
        <f t="array" ref="D107">CONCATENATE(INDEX(DropdownLists!$H$2:$H$11,MATCH(1,COUNTIF('Ingest Template'!E107,"*"&amp;DropdownLists!$I$2:$I$11&amp;"*"),0)),CHAR(10),'Ingest Template'!F107,CHAR(10),'Ingest Template'!G107,CHAR(10),VLOOKUP('Ingest Template'!D107,DropdownLists!C:D,2,FALSE))</f>
        <v>#N/A</v>
      </c>
      <c r="E107" s="22" t="str">
        <f>CONCATENATE('Ingest Template'!H107,CHAR(10),'Ingest Template'!I107,CHAR(10),'Ingest Template'!J107,CHAR(10))</f>
        <v>
</v>
      </c>
      <c r="F107" s="35" t="str">
        <f t="array" ref="F107">INDEX(DropdownLists!$O$2:$O$36,MATCH(1,COUNTIF(E107,"*"&amp;DropdownLists!$N$2:$N$36&amp;"*"),0))</f>
        <v/>
      </c>
      <c r="G107" s="35"/>
      <c r="H107" s="22" t="str">
        <f t="array" ref="H107">INDEX(DropdownLists!$E$2:$E$276,MATCH('Ingest Template'!D107,DropdownLists!$C$2:$C$276,0))</f>
        <v>#N/A</v>
      </c>
      <c r="I107" s="22"/>
      <c r="J107" s="22" t="str">
        <f t="array" ref="J107">iF('Ingest Template'!A107="Standard","Pristine Brand",INDEX(DropdownLists!$B$2:$B$246,MATCH('Ingest Template'!D107,DropdownLists!$C$2:$C$246,0)))</f>
        <v>#N/A</v>
      </c>
      <c r="K107" s="22" t="str">
        <f>iF('Ingest Template'!A107="Standard",'Ingest Template'!K107&amp;CHAR(10)&amp;'Ingest Template'!L107,"Competitive View")</f>
        <v>Competitive View</v>
      </c>
      <c r="L107" s="22" t="s">
        <v>95</v>
      </c>
      <c r="M107" s="45" t="str">
        <f>'Ingest Template'!B107</f>
        <v/>
      </c>
      <c r="N107" s="35"/>
      <c r="O107" s="35"/>
      <c r="P107" s="35"/>
      <c r="Q107" s="35"/>
      <c r="R107" s="35" t="str">
        <f>'Ingest Template'!D107</f>
        <v/>
      </c>
      <c r="S107" s="22" t="s">
        <v>101</v>
      </c>
      <c r="T107" s="35" t="str">
        <f>'Ingest Template'!V107</f>
        <v/>
      </c>
      <c r="U107" s="35" t="str">
        <f>'Ingest Template'!W107</f>
        <v/>
      </c>
      <c r="V107" s="35" t="str">
        <f>LOWER(SUBSTITUTE(SUBSTITUTE(SUBSTITUTE(SUBSTITUTE(SUBSTITUTE('Ingest Template'!X107,"https:",""),"www.",""),"/",""),"?hl=en",""),"instagram.com",""))</f>
        <v/>
      </c>
      <c r="W107" s="74" t="str">
        <f t="array" ref="W107">IF(
'Ingest Template'!Y107="",
SUBSTITUTE(
INDEX(DropdownLists!$F$2:$F$277,MATCH('Ingest Template'!D107,DropdownLists!$C$2:$C$277,0)),
CHAR(10),
"|"&amp;'Ingest Template'!C107&amp;CHAR(10)
)&amp;"|"&amp;'Ingest Template'!C107,
SUBSTITUTE(
INDEX(DropdownLists!$F$2:$F$277,MATCH('Ingest Template'!D107,DropdownLists!$C$2:$C$277,0)),
CHAR(10),
"|"&amp;'Ingest Template'!C107&amp;CHAR(10)
)&amp;"|"&amp;'Ingest Template'!C107&amp;CHAR(10)&amp;'Ingest Template'!Y107
)</f>
        <v>#N/A</v>
      </c>
      <c r="X107" s="74" t="str">
        <f>'Ingest Template'!Z107</f>
        <v/>
      </c>
      <c r="Y107" s="35" t="str">
        <f>SUBSTITUTE(SUBSTITUTE(SUBSTITUTE('Ingest Template'!AA107,"http:",""),"https:",""),"/","")</f>
        <v/>
      </c>
      <c r="Z107" s="35" t="str">
        <f t="array" ref="Z107">IF('Ingest Template'!A107="Standard",(IF(ISBLANK('Ingest Template'!AB107),"", 'Ingest Template'!AB107&amp;"|DAR")),(IF(ISBLANK('Ingest Template'!AB107),"", 'Ingest Template'!AB107&amp;"|TV Ops")))</f>
        <v/>
      </c>
      <c r="AA107" s="35"/>
      <c r="AB107" s="35" t="str">
        <f>'Ingest Template'!R107</f>
        <v/>
      </c>
      <c r="AC107" s="35" t="str">
        <f>'Ingest Template'!T107</f>
        <v/>
      </c>
      <c r="AD107" s="35" t="str">
        <f>'Ingest Template'!S107</f>
        <v/>
      </c>
      <c r="AE107" s="35" t="str">
        <f>'Ingest Template'!U107</f>
        <v/>
      </c>
      <c r="AF107" s="22"/>
      <c r="AG107" s="35" t="str">
        <f t="array" ref="AG107">IF('Ingest Template'!A107="Standard",(CONCATENATE(IF(ISBLANK('Ingest Template'!N107),"", 'Ingest Template'!N107&amp;"|DAR"),CHAR(10), IF(ISBLANK('Ingest Template'!O107),"", 'Ingest Template'!O107&amp;"|DAR"),CHAR(10), IF(ISBLANK('Ingest Template'!P107),"", 'Ingest Template'!P107&amp;"|DAR"))),(CONCATENATE(IF(ISBLANK('Ingest Template'!N107),"", 'Ingest Template'!N107&amp;"|TV Ops"),CHAR(10), IF(ISBLANK('Ingest Template'!O107),"", 'Ingest Template'!O107&amp;"|TV Ops"),CHAR(10), IF(ISBLANK('Ingest Template'!P107),"", 'Ingest Template'!P107&amp;"|TV Ops"))))</f>
        <v>
</v>
      </c>
      <c r="AH107" s="35"/>
      <c r="AI107" s="35"/>
      <c r="AJ107" s="117" t="str">
        <f>if('Ingest Template'!A107="Standard",(IF(OR('Ingest Template'!F107 = "Program Type - Special", 'Ingest Template'!F107 = "Program Type - Live Event"),'Ingest Template'!M107&amp; "|DAR|DAR|"&amp;TEXT('Ingest Template'!C107-3, "yyyy-mm-dd")&amp;"|"&amp;TEXT('Ingest Template'!C107+3, "yyyy-mm-dd"),'Ingest Template'!M107&amp; "|DAR|DAR|2021-01-01")),(IF(OR('Ingest Template'!F107 = "Program Type - Special", 'Ingest Template'!F107 = "Program Type - Live Event"),'Ingest Template'!M107&amp; "|Operations - Core Title|Operations - Core Title|"&amp;TEXT('Ingest Template'!C107-3, "yyyy-mm-dd")&amp;"|"&amp;TEXT('Ingest Template'!C107+3, "yyyy-mm-dd"),'Ingest Template'!M107&amp; "|Operations - Core Title|Operations - Core Title")))</f>
        <v>|Operations - Core Title|Operations - Core Title</v>
      </c>
      <c r="AK107" s="35"/>
      <c r="AL107" s="117" t="str">
        <f>if('Ingest Template'!A107="Standard",(IF(OR('Ingest Template'!F107 = "Program Type - Special", 'Ingest Template'!F107 = "Program Type - Live Event"),'Ingest Template'!Q107&amp;"|"&amp;TEXT('Ingest Template'!C107-3, "yyyy-mm-dd")&amp;"|"&amp;TEXT('Ingest Template'!C107+3, "yyyy-mm-dd"),'Ingest Template'!Q107&amp; "|2021-01-01")),(IF(OR('Ingest Template'!F107 = "Program Type - Special", 'Ingest Template'!F107 = "Program Type - Live Event"),'Ingest Template'!Q107&amp; "|"&amp;TEXT('Ingest Template'!C107-3, "yyyy-mm-dd")&amp;"|"&amp;TEXT('Ingest Template'!C107+3, "yyyy-mm-dd"),'Ingest Template'!Q107)))</f>
        <v/>
      </c>
      <c r="AM107" s="35" t="str">
        <f>'Ingest Template'!AC107</f>
        <v/>
      </c>
    </row>
    <row r="108">
      <c r="A108" s="15"/>
      <c r="B108" s="22" t="str">
        <f>'Ingest Template'!C108&amp;IF('Ingest Template'!A108 = "Standard", " - DAR","")</f>
        <v/>
      </c>
      <c r="C108" s="22" t="s">
        <v>83</v>
      </c>
      <c r="D108" s="22" t="str">
        <f t="array" ref="D108">CONCATENATE(INDEX(DropdownLists!$H$2:$H$11,MATCH(1,COUNTIF('Ingest Template'!E108,"*"&amp;DropdownLists!$I$2:$I$11&amp;"*"),0)),CHAR(10),'Ingest Template'!F108,CHAR(10),'Ingest Template'!G108,CHAR(10),VLOOKUP('Ingest Template'!D108,DropdownLists!C:D,2,FALSE))</f>
        <v>#N/A</v>
      </c>
      <c r="E108" s="22" t="str">
        <f>CONCATENATE('Ingest Template'!H108,CHAR(10),'Ingest Template'!I108,CHAR(10),'Ingest Template'!J108,CHAR(10))</f>
        <v>
</v>
      </c>
      <c r="F108" s="35" t="str">
        <f t="array" ref="F108">INDEX(DropdownLists!$O$2:$O$36,MATCH(1,COUNTIF(E108,"*"&amp;DropdownLists!$N$2:$N$36&amp;"*"),0))</f>
        <v/>
      </c>
      <c r="G108" s="35"/>
      <c r="H108" s="22" t="str">
        <f t="array" ref="H108">INDEX(DropdownLists!$E$2:$E$276,MATCH('Ingest Template'!D108,DropdownLists!$C$2:$C$276,0))</f>
        <v>#N/A</v>
      </c>
      <c r="I108" s="22"/>
      <c r="J108" s="22" t="str">
        <f t="array" ref="J108">iF('Ingest Template'!A108="Standard","Pristine Brand",INDEX(DropdownLists!$B$2:$B$246,MATCH('Ingest Template'!D108,DropdownLists!$C$2:$C$246,0)))</f>
        <v>#N/A</v>
      </c>
      <c r="K108" s="22" t="str">
        <f>iF('Ingest Template'!A108="Standard",'Ingest Template'!K108&amp;CHAR(10)&amp;'Ingest Template'!L108,"Competitive View")</f>
        <v>Competitive View</v>
      </c>
      <c r="L108" s="22" t="s">
        <v>95</v>
      </c>
      <c r="M108" s="45" t="str">
        <f>'Ingest Template'!B108</f>
        <v/>
      </c>
      <c r="N108" s="35"/>
      <c r="O108" s="35"/>
      <c r="P108" s="35"/>
      <c r="Q108" s="35"/>
      <c r="R108" s="35" t="str">
        <f>'Ingest Template'!D108</f>
        <v/>
      </c>
      <c r="S108" s="22" t="s">
        <v>101</v>
      </c>
      <c r="T108" s="35" t="str">
        <f>'Ingest Template'!V108</f>
        <v/>
      </c>
      <c r="U108" s="35" t="str">
        <f>'Ingest Template'!W108</f>
        <v/>
      </c>
      <c r="V108" s="35" t="str">
        <f>LOWER(SUBSTITUTE(SUBSTITUTE(SUBSTITUTE(SUBSTITUTE(SUBSTITUTE('Ingest Template'!X108,"https:",""),"www.",""),"/",""),"?hl=en",""),"instagram.com",""))</f>
        <v/>
      </c>
      <c r="W108" s="74" t="str">
        <f t="array" ref="W108">IF(
'Ingest Template'!Y108="",
SUBSTITUTE(
INDEX(DropdownLists!$F$2:$F$277,MATCH('Ingest Template'!D108,DropdownLists!$C$2:$C$277,0)),
CHAR(10),
"|"&amp;'Ingest Template'!C108&amp;CHAR(10)
)&amp;"|"&amp;'Ingest Template'!C108,
SUBSTITUTE(
INDEX(DropdownLists!$F$2:$F$277,MATCH('Ingest Template'!D108,DropdownLists!$C$2:$C$277,0)),
CHAR(10),
"|"&amp;'Ingest Template'!C108&amp;CHAR(10)
)&amp;"|"&amp;'Ingest Template'!C108&amp;CHAR(10)&amp;'Ingest Template'!Y108
)</f>
        <v>#N/A</v>
      </c>
      <c r="X108" s="74" t="str">
        <f>'Ingest Template'!Z108</f>
        <v/>
      </c>
      <c r="Y108" s="35" t="str">
        <f>SUBSTITUTE(SUBSTITUTE(SUBSTITUTE('Ingest Template'!AA108,"http:",""),"https:",""),"/","")</f>
        <v/>
      </c>
      <c r="Z108" s="35" t="str">
        <f t="array" ref="Z108">IF('Ingest Template'!A108="Standard",(IF(ISBLANK('Ingest Template'!AB108),"", 'Ingest Template'!AB108&amp;"|DAR")),(IF(ISBLANK('Ingest Template'!AB108),"", 'Ingest Template'!AB108&amp;"|TV Ops")))</f>
        <v/>
      </c>
      <c r="AA108" s="35"/>
      <c r="AB108" s="35" t="str">
        <f>'Ingest Template'!R108</f>
        <v/>
      </c>
      <c r="AC108" s="35" t="str">
        <f>'Ingest Template'!T108</f>
        <v/>
      </c>
      <c r="AD108" s="35" t="str">
        <f>'Ingest Template'!S108</f>
        <v/>
      </c>
      <c r="AE108" s="35" t="str">
        <f>'Ingest Template'!U108</f>
        <v/>
      </c>
      <c r="AF108" s="22"/>
      <c r="AG108" s="35" t="str">
        <f t="array" ref="AG108">IF('Ingest Template'!A108="Standard",(CONCATENATE(IF(ISBLANK('Ingest Template'!N108),"", 'Ingest Template'!N108&amp;"|DAR"),CHAR(10), IF(ISBLANK('Ingest Template'!O108),"", 'Ingest Template'!O108&amp;"|DAR"),CHAR(10), IF(ISBLANK('Ingest Template'!P108),"", 'Ingest Template'!P108&amp;"|DAR"))),(CONCATENATE(IF(ISBLANK('Ingest Template'!N108),"", 'Ingest Template'!N108&amp;"|TV Ops"),CHAR(10), IF(ISBLANK('Ingest Template'!O108),"", 'Ingest Template'!O108&amp;"|TV Ops"),CHAR(10), IF(ISBLANK('Ingest Template'!P108),"", 'Ingest Template'!P108&amp;"|TV Ops"))))</f>
        <v>
</v>
      </c>
      <c r="AH108" s="35"/>
      <c r="AI108" s="35"/>
      <c r="AJ108" s="117" t="str">
        <f>if('Ingest Template'!A108="Standard",(IF(OR('Ingest Template'!F108 = "Program Type - Special", 'Ingest Template'!F108 = "Program Type - Live Event"),'Ingest Template'!M108&amp; "|DAR|DAR|"&amp;TEXT('Ingest Template'!C108-3, "yyyy-mm-dd")&amp;"|"&amp;TEXT('Ingest Template'!C108+3, "yyyy-mm-dd"),'Ingest Template'!M108&amp; "|DAR|DAR|2021-01-01")),(IF(OR('Ingest Template'!F108 = "Program Type - Special", 'Ingest Template'!F108 = "Program Type - Live Event"),'Ingest Template'!M108&amp; "|Operations - Core Title|Operations - Core Title|"&amp;TEXT('Ingest Template'!C108-3, "yyyy-mm-dd")&amp;"|"&amp;TEXT('Ingest Template'!C108+3, "yyyy-mm-dd"),'Ingest Template'!M108&amp; "|Operations - Core Title|Operations - Core Title")))</f>
        <v>|Operations - Core Title|Operations - Core Title</v>
      </c>
      <c r="AK108" s="35"/>
      <c r="AL108" s="117" t="str">
        <f>if('Ingest Template'!A108="Standard",(IF(OR('Ingest Template'!F108 = "Program Type - Special", 'Ingest Template'!F108 = "Program Type - Live Event"),'Ingest Template'!Q108&amp;"|"&amp;TEXT('Ingest Template'!C108-3, "yyyy-mm-dd")&amp;"|"&amp;TEXT('Ingest Template'!C108+3, "yyyy-mm-dd"),'Ingest Template'!Q108&amp; "|2021-01-01")),(IF(OR('Ingest Template'!F108 = "Program Type - Special", 'Ingest Template'!F108 = "Program Type - Live Event"),'Ingest Template'!Q108&amp; "|"&amp;TEXT('Ingest Template'!C108-3, "yyyy-mm-dd")&amp;"|"&amp;TEXT('Ingest Template'!C108+3, "yyyy-mm-dd"),'Ingest Template'!Q108)))</f>
        <v/>
      </c>
      <c r="AM108" s="35" t="str">
        <f>'Ingest Template'!AC108</f>
        <v/>
      </c>
    </row>
    <row r="109">
      <c r="A109" s="15"/>
      <c r="B109" s="22" t="str">
        <f>'Ingest Template'!C109&amp;IF('Ingest Template'!A109 = "Standard", " - DAR","")</f>
        <v/>
      </c>
      <c r="C109" s="22" t="s">
        <v>83</v>
      </c>
      <c r="D109" s="22" t="str">
        <f t="array" ref="D109">CONCATENATE(INDEX(DropdownLists!$H$2:$H$11,MATCH(1,COUNTIF('Ingest Template'!E109,"*"&amp;DropdownLists!$I$2:$I$11&amp;"*"),0)),CHAR(10),'Ingest Template'!F109,CHAR(10),'Ingest Template'!G109,CHAR(10),VLOOKUP('Ingest Template'!D109,DropdownLists!C:D,2,FALSE))</f>
        <v>#N/A</v>
      </c>
      <c r="E109" s="22" t="str">
        <f>CONCATENATE('Ingest Template'!H109,CHAR(10),'Ingest Template'!I109,CHAR(10),'Ingest Template'!J109,CHAR(10))</f>
        <v>
</v>
      </c>
      <c r="F109" s="35" t="str">
        <f t="array" ref="F109">INDEX(DropdownLists!$O$2:$O$36,MATCH(1,COUNTIF(E109,"*"&amp;DropdownLists!$N$2:$N$36&amp;"*"),0))</f>
        <v/>
      </c>
      <c r="G109" s="35"/>
      <c r="H109" s="22" t="str">
        <f t="array" ref="H109">INDEX(DropdownLists!$E$2:$E$276,MATCH('Ingest Template'!D109,DropdownLists!$C$2:$C$276,0))</f>
        <v>#N/A</v>
      </c>
      <c r="I109" s="22"/>
      <c r="J109" s="22" t="str">
        <f t="array" ref="J109">iF('Ingest Template'!A109="Standard","Pristine Brand",INDEX(DropdownLists!$B$2:$B$246,MATCH('Ingest Template'!D109,DropdownLists!$C$2:$C$246,0)))</f>
        <v>#N/A</v>
      </c>
      <c r="K109" s="22" t="str">
        <f>iF('Ingest Template'!A109="Standard",'Ingest Template'!K109&amp;CHAR(10)&amp;'Ingest Template'!L109,"Competitive View")</f>
        <v>Competitive View</v>
      </c>
      <c r="L109" s="22" t="s">
        <v>95</v>
      </c>
      <c r="M109" s="45" t="str">
        <f>'Ingest Template'!B109</f>
        <v/>
      </c>
      <c r="N109" s="35"/>
      <c r="O109" s="35"/>
      <c r="P109" s="35"/>
      <c r="Q109" s="35"/>
      <c r="R109" s="35" t="str">
        <f>'Ingest Template'!D109</f>
        <v/>
      </c>
      <c r="S109" s="22" t="s">
        <v>101</v>
      </c>
      <c r="T109" s="35" t="str">
        <f>'Ingest Template'!V109</f>
        <v/>
      </c>
      <c r="U109" s="35" t="str">
        <f>'Ingest Template'!W109</f>
        <v/>
      </c>
      <c r="V109" s="35" t="str">
        <f>LOWER(SUBSTITUTE(SUBSTITUTE(SUBSTITUTE(SUBSTITUTE(SUBSTITUTE('Ingest Template'!X109,"https:",""),"www.",""),"/",""),"?hl=en",""),"instagram.com",""))</f>
        <v/>
      </c>
      <c r="W109" s="74" t="str">
        <f t="array" ref="W109">IF(
'Ingest Template'!Y109="",
SUBSTITUTE(
INDEX(DropdownLists!$F$2:$F$277,MATCH('Ingest Template'!D109,DropdownLists!$C$2:$C$277,0)),
CHAR(10),
"|"&amp;'Ingest Template'!C109&amp;CHAR(10)
)&amp;"|"&amp;'Ingest Template'!C109,
SUBSTITUTE(
INDEX(DropdownLists!$F$2:$F$277,MATCH('Ingest Template'!D109,DropdownLists!$C$2:$C$277,0)),
CHAR(10),
"|"&amp;'Ingest Template'!C109&amp;CHAR(10)
)&amp;"|"&amp;'Ingest Template'!C109&amp;CHAR(10)&amp;'Ingest Template'!Y109
)</f>
        <v>#N/A</v>
      </c>
      <c r="X109" s="74" t="str">
        <f>'Ingest Template'!Z109</f>
        <v/>
      </c>
      <c r="Y109" s="35" t="str">
        <f>SUBSTITUTE(SUBSTITUTE(SUBSTITUTE('Ingest Template'!AA109,"http:",""),"https:",""),"/","")</f>
        <v/>
      </c>
      <c r="Z109" s="35" t="str">
        <f t="array" ref="Z109">IF('Ingest Template'!A109="Standard",(IF(ISBLANK('Ingest Template'!AB109),"", 'Ingest Template'!AB109&amp;"|DAR")),(IF(ISBLANK('Ingest Template'!AB109),"", 'Ingest Template'!AB109&amp;"|TV Ops")))</f>
        <v/>
      </c>
      <c r="AA109" s="35"/>
      <c r="AB109" s="35" t="str">
        <f>'Ingest Template'!R109</f>
        <v/>
      </c>
      <c r="AC109" s="35" t="str">
        <f>'Ingest Template'!T109</f>
        <v/>
      </c>
      <c r="AD109" s="35" t="str">
        <f>'Ingest Template'!S109</f>
        <v/>
      </c>
      <c r="AE109" s="35" t="str">
        <f>'Ingest Template'!U109</f>
        <v/>
      </c>
      <c r="AF109" s="22"/>
      <c r="AG109" s="35" t="str">
        <f t="array" ref="AG109">IF('Ingest Template'!A109="Standard",(CONCATENATE(IF(ISBLANK('Ingest Template'!N109),"", 'Ingest Template'!N109&amp;"|DAR"),CHAR(10), IF(ISBLANK('Ingest Template'!O109),"", 'Ingest Template'!O109&amp;"|DAR"),CHAR(10), IF(ISBLANK('Ingest Template'!P109),"", 'Ingest Template'!P109&amp;"|DAR"))),(CONCATENATE(IF(ISBLANK('Ingest Template'!N109),"", 'Ingest Template'!N109&amp;"|TV Ops"),CHAR(10), IF(ISBLANK('Ingest Template'!O109),"", 'Ingest Template'!O109&amp;"|TV Ops"),CHAR(10), IF(ISBLANK('Ingest Template'!P109),"", 'Ingest Template'!P109&amp;"|TV Ops"))))</f>
        <v>
</v>
      </c>
      <c r="AH109" s="35"/>
      <c r="AI109" s="35"/>
      <c r="AJ109" s="117" t="str">
        <f>if('Ingest Template'!A109="Standard",(IF(OR('Ingest Template'!F109 = "Program Type - Special", 'Ingest Template'!F109 = "Program Type - Live Event"),'Ingest Template'!M109&amp; "|DAR|DAR|"&amp;TEXT('Ingest Template'!C109-3, "yyyy-mm-dd")&amp;"|"&amp;TEXT('Ingest Template'!C109+3, "yyyy-mm-dd"),'Ingest Template'!M109&amp; "|DAR|DAR|2021-01-01")),(IF(OR('Ingest Template'!F109 = "Program Type - Special", 'Ingest Template'!F109 = "Program Type - Live Event"),'Ingest Template'!M109&amp; "|Operations - Core Title|Operations - Core Title|"&amp;TEXT('Ingest Template'!C109-3, "yyyy-mm-dd")&amp;"|"&amp;TEXT('Ingest Template'!C109+3, "yyyy-mm-dd"),'Ingest Template'!M109&amp; "|Operations - Core Title|Operations - Core Title")))</f>
        <v>|Operations - Core Title|Operations - Core Title</v>
      </c>
      <c r="AK109" s="35"/>
      <c r="AL109" s="117" t="str">
        <f>if('Ingest Template'!A109="Standard",(IF(OR('Ingest Template'!F109 = "Program Type - Special", 'Ingest Template'!F109 = "Program Type - Live Event"),'Ingest Template'!Q109&amp;"|"&amp;TEXT('Ingest Template'!C109-3, "yyyy-mm-dd")&amp;"|"&amp;TEXT('Ingest Template'!C109+3, "yyyy-mm-dd"),'Ingest Template'!Q109&amp; "|2021-01-01")),(IF(OR('Ingest Template'!F109 = "Program Type - Special", 'Ingest Template'!F109 = "Program Type - Live Event"),'Ingest Template'!Q109&amp; "|"&amp;TEXT('Ingest Template'!C109-3, "yyyy-mm-dd")&amp;"|"&amp;TEXT('Ingest Template'!C109+3, "yyyy-mm-dd"),'Ingest Template'!Q109)))</f>
        <v/>
      </c>
      <c r="AM109" s="35" t="str">
        <f>'Ingest Template'!AC109</f>
        <v/>
      </c>
    </row>
    <row r="110">
      <c r="A110" s="15"/>
      <c r="B110" s="22" t="str">
        <f>'Ingest Template'!C110&amp;IF('Ingest Template'!A110 = "Standard", " - DAR","")</f>
        <v/>
      </c>
      <c r="C110" s="22" t="s">
        <v>83</v>
      </c>
      <c r="D110" s="22" t="str">
        <f t="array" ref="D110">CONCATENATE(INDEX(DropdownLists!$H$2:$H$11,MATCH(1,COUNTIF('Ingest Template'!E110,"*"&amp;DropdownLists!$I$2:$I$11&amp;"*"),0)),CHAR(10),'Ingest Template'!F110,CHAR(10),'Ingest Template'!G110,CHAR(10),VLOOKUP('Ingest Template'!D110,DropdownLists!C:D,2,FALSE))</f>
        <v>#N/A</v>
      </c>
      <c r="E110" s="22" t="str">
        <f>CONCATENATE('Ingest Template'!H110,CHAR(10),'Ingest Template'!I110,CHAR(10),'Ingest Template'!J110,CHAR(10))</f>
        <v>
</v>
      </c>
      <c r="F110" s="35" t="str">
        <f t="array" ref="F110">INDEX(DropdownLists!$O$2:$O$36,MATCH(1,COUNTIF(E110,"*"&amp;DropdownLists!$N$2:$N$36&amp;"*"),0))</f>
        <v/>
      </c>
      <c r="G110" s="35"/>
      <c r="H110" s="22" t="str">
        <f t="array" ref="H110">INDEX(DropdownLists!$E$2:$E$276,MATCH('Ingest Template'!D110,DropdownLists!$C$2:$C$276,0))</f>
        <v>#N/A</v>
      </c>
      <c r="I110" s="22"/>
      <c r="J110" s="22" t="str">
        <f t="array" ref="J110">iF('Ingest Template'!A110="Standard","Pristine Brand",INDEX(DropdownLists!$B$2:$B$246,MATCH('Ingest Template'!D110,DropdownLists!$C$2:$C$246,0)))</f>
        <v>#N/A</v>
      </c>
      <c r="K110" s="22" t="str">
        <f>iF('Ingest Template'!A110="Standard",'Ingest Template'!K110&amp;CHAR(10)&amp;'Ingest Template'!L110,"Competitive View")</f>
        <v>Competitive View</v>
      </c>
      <c r="L110" s="22" t="s">
        <v>95</v>
      </c>
      <c r="M110" s="45" t="str">
        <f>'Ingest Template'!B110</f>
        <v/>
      </c>
      <c r="N110" s="35"/>
      <c r="O110" s="35"/>
      <c r="P110" s="35"/>
      <c r="Q110" s="35"/>
      <c r="R110" s="35" t="str">
        <f>'Ingest Template'!D110</f>
        <v/>
      </c>
      <c r="S110" s="22" t="s">
        <v>101</v>
      </c>
      <c r="T110" s="35" t="str">
        <f>'Ingest Template'!V110</f>
        <v/>
      </c>
      <c r="U110" s="35" t="str">
        <f>'Ingest Template'!W110</f>
        <v/>
      </c>
      <c r="V110" s="35" t="str">
        <f>LOWER(SUBSTITUTE(SUBSTITUTE(SUBSTITUTE(SUBSTITUTE(SUBSTITUTE('Ingest Template'!X110,"https:",""),"www.",""),"/",""),"?hl=en",""),"instagram.com",""))</f>
        <v/>
      </c>
      <c r="W110" s="74" t="str">
        <f t="array" ref="W110">IF(
'Ingest Template'!Y110="",
SUBSTITUTE(
INDEX(DropdownLists!$F$2:$F$277,MATCH('Ingest Template'!D110,DropdownLists!$C$2:$C$277,0)),
CHAR(10),
"|"&amp;'Ingest Template'!C110&amp;CHAR(10)
)&amp;"|"&amp;'Ingest Template'!C110,
SUBSTITUTE(
INDEX(DropdownLists!$F$2:$F$277,MATCH('Ingest Template'!D110,DropdownLists!$C$2:$C$277,0)),
CHAR(10),
"|"&amp;'Ingest Template'!C110&amp;CHAR(10)
)&amp;"|"&amp;'Ingest Template'!C110&amp;CHAR(10)&amp;'Ingest Template'!Y110
)</f>
        <v>#N/A</v>
      </c>
      <c r="X110" s="74" t="str">
        <f>'Ingest Template'!Z110</f>
        <v/>
      </c>
      <c r="Y110" s="35" t="str">
        <f>SUBSTITUTE(SUBSTITUTE(SUBSTITUTE('Ingest Template'!AA110,"http:",""),"https:",""),"/","")</f>
        <v/>
      </c>
      <c r="Z110" s="35" t="str">
        <f t="array" ref="Z110">IF('Ingest Template'!A110="Standard",(IF(ISBLANK('Ingest Template'!AB110),"", 'Ingest Template'!AB110&amp;"|DAR")),(IF(ISBLANK('Ingest Template'!AB110),"", 'Ingest Template'!AB110&amp;"|TV Ops")))</f>
        <v/>
      </c>
      <c r="AA110" s="35"/>
      <c r="AB110" s="35" t="str">
        <f>'Ingest Template'!R110</f>
        <v/>
      </c>
      <c r="AC110" s="35" t="str">
        <f>'Ingest Template'!T110</f>
        <v/>
      </c>
      <c r="AD110" s="35" t="str">
        <f>'Ingest Template'!S110</f>
        <v/>
      </c>
      <c r="AE110" s="35" t="str">
        <f>'Ingest Template'!U110</f>
        <v/>
      </c>
      <c r="AF110" s="22"/>
      <c r="AG110" s="35" t="str">
        <f t="array" ref="AG110">IF('Ingest Template'!A110="Standard",(CONCATENATE(IF(ISBLANK('Ingest Template'!N110),"", 'Ingest Template'!N110&amp;"|DAR"),CHAR(10), IF(ISBLANK('Ingest Template'!O110),"", 'Ingest Template'!O110&amp;"|DAR"),CHAR(10), IF(ISBLANK('Ingest Template'!P110),"", 'Ingest Template'!P110&amp;"|DAR"))),(CONCATENATE(IF(ISBLANK('Ingest Template'!N110),"", 'Ingest Template'!N110&amp;"|TV Ops"),CHAR(10), IF(ISBLANK('Ingest Template'!O110),"", 'Ingest Template'!O110&amp;"|TV Ops"),CHAR(10), IF(ISBLANK('Ingest Template'!P110),"", 'Ingest Template'!P110&amp;"|TV Ops"))))</f>
        <v>
</v>
      </c>
      <c r="AH110" s="35"/>
      <c r="AI110" s="35"/>
      <c r="AJ110" s="117" t="str">
        <f>if('Ingest Template'!A110="Standard",(IF(OR('Ingest Template'!F110 = "Program Type - Special", 'Ingest Template'!F110 = "Program Type - Live Event"),'Ingest Template'!M110&amp; "|DAR|DAR|"&amp;TEXT('Ingest Template'!C110-3, "yyyy-mm-dd")&amp;"|"&amp;TEXT('Ingest Template'!C110+3, "yyyy-mm-dd"),'Ingest Template'!M110&amp; "|DAR|DAR|2021-01-01")),(IF(OR('Ingest Template'!F110 = "Program Type - Special", 'Ingest Template'!F110 = "Program Type - Live Event"),'Ingest Template'!M110&amp; "|Operations - Core Title|Operations - Core Title|"&amp;TEXT('Ingest Template'!C110-3, "yyyy-mm-dd")&amp;"|"&amp;TEXT('Ingest Template'!C110+3, "yyyy-mm-dd"),'Ingest Template'!M110&amp; "|Operations - Core Title|Operations - Core Title")))</f>
        <v>|Operations - Core Title|Operations - Core Title</v>
      </c>
      <c r="AK110" s="35"/>
      <c r="AL110" s="117" t="str">
        <f>if('Ingest Template'!A110="Standard",(IF(OR('Ingest Template'!F110 = "Program Type - Special", 'Ingest Template'!F110 = "Program Type - Live Event"),'Ingest Template'!Q110&amp;"|"&amp;TEXT('Ingest Template'!C110-3, "yyyy-mm-dd")&amp;"|"&amp;TEXT('Ingest Template'!C110+3, "yyyy-mm-dd"),'Ingest Template'!Q110&amp; "|2021-01-01")),(IF(OR('Ingest Template'!F110 = "Program Type - Special", 'Ingest Template'!F110 = "Program Type - Live Event"),'Ingest Template'!Q110&amp; "|"&amp;TEXT('Ingest Template'!C110-3, "yyyy-mm-dd")&amp;"|"&amp;TEXT('Ingest Template'!C110+3, "yyyy-mm-dd"),'Ingest Template'!Q110)))</f>
        <v/>
      </c>
      <c r="AM110" s="35" t="str">
        <f>'Ingest Template'!AC110</f>
        <v/>
      </c>
    </row>
    <row r="111">
      <c r="A111" s="15"/>
      <c r="B111" s="22" t="str">
        <f>'Ingest Template'!C111&amp;IF('Ingest Template'!A111 = "Standard", " - DAR","")</f>
        <v/>
      </c>
      <c r="C111" s="22" t="s">
        <v>83</v>
      </c>
      <c r="D111" s="22" t="str">
        <f t="array" ref="D111">CONCATENATE(INDEX(DropdownLists!$H$2:$H$11,MATCH(1,COUNTIF('Ingest Template'!E111,"*"&amp;DropdownLists!$I$2:$I$11&amp;"*"),0)),CHAR(10),'Ingest Template'!F111,CHAR(10),'Ingest Template'!G111,CHAR(10),VLOOKUP('Ingest Template'!D111,DropdownLists!C:D,2,FALSE))</f>
        <v>#N/A</v>
      </c>
      <c r="E111" s="22" t="str">
        <f>CONCATENATE('Ingest Template'!H111,CHAR(10),'Ingest Template'!I111,CHAR(10),'Ingest Template'!J111,CHAR(10))</f>
        <v>
</v>
      </c>
      <c r="F111" s="35" t="str">
        <f t="array" ref="F111">INDEX(DropdownLists!$O$2:$O$36,MATCH(1,COUNTIF(E111,"*"&amp;DropdownLists!$N$2:$N$36&amp;"*"),0))</f>
        <v/>
      </c>
      <c r="G111" s="35"/>
      <c r="H111" s="22" t="str">
        <f t="array" ref="H111">INDEX(DropdownLists!$E$2:$E$276,MATCH('Ingest Template'!D111,DropdownLists!$C$2:$C$276,0))</f>
        <v>#N/A</v>
      </c>
      <c r="I111" s="22"/>
      <c r="J111" s="22" t="str">
        <f t="array" ref="J111">iF('Ingest Template'!A111="Standard","Pristine Brand",INDEX(DropdownLists!$B$2:$B$246,MATCH('Ingest Template'!D111,DropdownLists!$C$2:$C$246,0)))</f>
        <v>#N/A</v>
      </c>
      <c r="K111" s="22" t="str">
        <f>iF('Ingest Template'!A111="Standard",'Ingest Template'!K111&amp;CHAR(10)&amp;'Ingest Template'!L111,"Competitive View")</f>
        <v>Competitive View</v>
      </c>
      <c r="L111" s="22" t="s">
        <v>95</v>
      </c>
      <c r="M111" s="45" t="str">
        <f>'Ingest Template'!B111</f>
        <v/>
      </c>
      <c r="N111" s="35"/>
      <c r="O111" s="35"/>
      <c r="P111" s="35"/>
      <c r="Q111" s="35"/>
      <c r="R111" s="35" t="str">
        <f>'Ingest Template'!D111</f>
        <v/>
      </c>
      <c r="S111" s="22" t="s">
        <v>101</v>
      </c>
      <c r="T111" s="35" t="str">
        <f>'Ingest Template'!V111</f>
        <v/>
      </c>
      <c r="U111" s="35" t="str">
        <f>'Ingest Template'!W111</f>
        <v/>
      </c>
      <c r="V111" s="35" t="str">
        <f>LOWER(SUBSTITUTE(SUBSTITUTE(SUBSTITUTE(SUBSTITUTE(SUBSTITUTE('Ingest Template'!X111,"https:",""),"www.",""),"/",""),"?hl=en",""),"instagram.com",""))</f>
        <v/>
      </c>
      <c r="W111" s="74" t="str">
        <f t="array" ref="W111">IF(
'Ingest Template'!Y111="",
SUBSTITUTE(
INDEX(DropdownLists!$F$2:$F$277,MATCH('Ingest Template'!D111,DropdownLists!$C$2:$C$277,0)),
CHAR(10),
"|"&amp;'Ingest Template'!C111&amp;CHAR(10)
)&amp;"|"&amp;'Ingest Template'!C111,
SUBSTITUTE(
INDEX(DropdownLists!$F$2:$F$277,MATCH('Ingest Template'!D111,DropdownLists!$C$2:$C$277,0)),
CHAR(10),
"|"&amp;'Ingest Template'!C111&amp;CHAR(10)
)&amp;"|"&amp;'Ingest Template'!C111&amp;CHAR(10)&amp;'Ingest Template'!Y111
)</f>
        <v>#N/A</v>
      </c>
      <c r="X111" s="74" t="str">
        <f>'Ingest Template'!Z111</f>
        <v/>
      </c>
      <c r="Y111" s="35" t="str">
        <f>SUBSTITUTE(SUBSTITUTE(SUBSTITUTE('Ingest Template'!AA111,"http:",""),"https:",""),"/","")</f>
        <v/>
      </c>
      <c r="Z111" s="35" t="str">
        <f t="array" ref="Z111">IF('Ingest Template'!A111="Standard",(IF(ISBLANK('Ingest Template'!AB111),"", 'Ingest Template'!AB111&amp;"|DAR")),(IF(ISBLANK('Ingest Template'!AB111),"", 'Ingest Template'!AB111&amp;"|TV Ops")))</f>
        <v/>
      </c>
      <c r="AA111" s="35"/>
      <c r="AB111" s="35" t="str">
        <f>'Ingest Template'!R111</f>
        <v/>
      </c>
      <c r="AC111" s="35" t="str">
        <f>'Ingest Template'!T111</f>
        <v/>
      </c>
      <c r="AD111" s="35" t="str">
        <f>'Ingest Template'!S111</f>
        <v/>
      </c>
      <c r="AE111" s="35" t="str">
        <f>'Ingest Template'!U111</f>
        <v/>
      </c>
      <c r="AF111" s="22"/>
      <c r="AG111" s="35" t="str">
        <f t="array" ref="AG111">IF('Ingest Template'!A111="Standard",(CONCATENATE(IF(ISBLANK('Ingest Template'!N111),"", 'Ingest Template'!N111&amp;"|DAR"),CHAR(10), IF(ISBLANK('Ingest Template'!O111),"", 'Ingest Template'!O111&amp;"|DAR"),CHAR(10), IF(ISBLANK('Ingest Template'!P111),"", 'Ingest Template'!P111&amp;"|DAR"))),(CONCATENATE(IF(ISBLANK('Ingest Template'!N111),"", 'Ingest Template'!N111&amp;"|TV Ops"),CHAR(10), IF(ISBLANK('Ingest Template'!O111),"", 'Ingest Template'!O111&amp;"|TV Ops"),CHAR(10), IF(ISBLANK('Ingest Template'!P111),"", 'Ingest Template'!P111&amp;"|TV Ops"))))</f>
        <v>
</v>
      </c>
      <c r="AH111" s="35"/>
      <c r="AI111" s="35"/>
      <c r="AJ111" s="117" t="str">
        <f>if('Ingest Template'!A111="Standard",(IF(OR('Ingest Template'!F111 = "Program Type - Special", 'Ingest Template'!F111 = "Program Type - Live Event"),'Ingest Template'!M111&amp; "|DAR|DAR|"&amp;TEXT('Ingest Template'!C111-3, "yyyy-mm-dd")&amp;"|"&amp;TEXT('Ingest Template'!C111+3, "yyyy-mm-dd"),'Ingest Template'!M111&amp; "|DAR|DAR|2021-01-01")),(IF(OR('Ingest Template'!F111 = "Program Type - Special", 'Ingest Template'!F111 = "Program Type - Live Event"),'Ingest Template'!M111&amp; "|Operations - Core Title|Operations - Core Title|"&amp;TEXT('Ingest Template'!C111-3, "yyyy-mm-dd")&amp;"|"&amp;TEXT('Ingest Template'!C111+3, "yyyy-mm-dd"),'Ingest Template'!M111&amp; "|Operations - Core Title|Operations - Core Title")))</f>
        <v>|Operations - Core Title|Operations - Core Title</v>
      </c>
      <c r="AK111" s="35"/>
      <c r="AL111" s="117" t="str">
        <f>if('Ingest Template'!A111="Standard",(IF(OR('Ingest Template'!F111 = "Program Type - Special", 'Ingest Template'!F111 = "Program Type - Live Event"),'Ingest Template'!Q111&amp;"|"&amp;TEXT('Ingest Template'!C111-3, "yyyy-mm-dd")&amp;"|"&amp;TEXT('Ingest Template'!C111+3, "yyyy-mm-dd"),'Ingest Template'!Q111&amp; "|2021-01-01")),(IF(OR('Ingest Template'!F111 = "Program Type - Special", 'Ingest Template'!F111 = "Program Type - Live Event"),'Ingest Template'!Q111&amp; "|"&amp;TEXT('Ingest Template'!C111-3, "yyyy-mm-dd")&amp;"|"&amp;TEXT('Ingest Template'!C111+3, "yyyy-mm-dd"),'Ingest Template'!Q111)))</f>
        <v/>
      </c>
      <c r="AM111" s="35" t="str">
        <f>'Ingest Template'!AC111</f>
        <v/>
      </c>
    </row>
    <row r="112">
      <c r="A112" s="15"/>
      <c r="B112" s="22" t="str">
        <f>'Ingest Template'!C112&amp;IF('Ingest Template'!A112 = "Standard", " - DAR","")</f>
        <v/>
      </c>
      <c r="C112" s="22" t="s">
        <v>83</v>
      </c>
      <c r="D112" s="22" t="str">
        <f t="array" ref="D112">CONCATENATE(INDEX(DropdownLists!$H$2:$H$11,MATCH(1,COUNTIF('Ingest Template'!E112,"*"&amp;DropdownLists!$I$2:$I$11&amp;"*"),0)),CHAR(10),'Ingest Template'!F112,CHAR(10),'Ingest Template'!G112,CHAR(10),VLOOKUP('Ingest Template'!D112,DropdownLists!C:D,2,FALSE))</f>
        <v>#N/A</v>
      </c>
      <c r="E112" s="22" t="str">
        <f>CONCATENATE('Ingest Template'!H112,CHAR(10),'Ingest Template'!I112,CHAR(10),'Ingest Template'!J112,CHAR(10))</f>
        <v>
</v>
      </c>
      <c r="F112" s="35" t="str">
        <f t="array" ref="F112">INDEX(DropdownLists!$O$2:$O$36,MATCH(1,COUNTIF(E112,"*"&amp;DropdownLists!$N$2:$N$36&amp;"*"),0))</f>
        <v/>
      </c>
      <c r="G112" s="35"/>
      <c r="H112" s="22" t="str">
        <f t="array" ref="H112">INDEX(DropdownLists!$E$2:$E$276,MATCH('Ingest Template'!D112,DropdownLists!$C$2:$C$276,0))</f>
        <v>#N/A</v>
      </c>
      <c r="I112" s="22"/>
      <c r="J112" s="22" t="str">
        <f t="array" ref="J112">iF('Ingest Template'!A112="Standard","Pristine Brand",INDEX(DropdownLists!$B$2:$B$246,MATCH('Ingest Template'!D112,DropdownLists!$C$2:$C$246,0)))</f>
        <v>#N/A</v>
      </c>
      <c r="K112" s="22" t="str">
        <f>iF('Ingest Template'!A112="Standard",'Ingest Template'!K112&amp;CHAR(10)&amp;'Ingest Template'!L112,"Competitive View")</f>
        <v>Competitive View</v>
      </c>
      <c r="L112" s="22" t="s">
        <v>95</v>
      </c>
      <c r="M112" s="45" t="str">
        <f>'Ingest Template'!B112</f>
        <v/>
      </c>
      <c r="N112" s="35"/>
      <c r="O112" s="35"/>
      <c r="P112" s="35"/>
      <c r="Q112" s="35"/>
      <c r="R112" s="35" t="str">
        <f>'Ingest Template'!D112</f>
        <v/>
      </c>
      <c r="S112" s="22" t="s">
        <v>101</v>
      </c>
      <c r="T112" s="35" t="str">
        <f>'Ingest Template'!V112</f>
        <v/>
      </c>
      <c r="U112" s="35" t="str">
        <f>'Ingest Template'!W112</f>
        <v/>
      </c>
      <c r="V112" s="35" t="str">
        <f>LOWER(SUBSTITUTE(SUBSTITUTE(SUBSTITUTE(SUBSTITUTE(SUBSTITUTE('Ingest Template'!X112,"https:",""),"www.",""),"/",""),"?hl=en",""),"instagram.com",""))</f>
        <v/>
      </c>
      <c r="W112" s="74" t="str">
        <f t="array" ref="W112">IF(
'Ingest Template'!Y112="",
SUBSTITUTE(
INDEX(DropdownLists!$F$2:$F$277,MATCH('Ingest Template'!D112,DropdownLists!$C$2:$C$277,0)),
CHAR(10),
"|"&amp;'Ingest Template'!C112&amp;CHAR(10)
)&amp;"|"&amp;'Ingest Template'!C112,
SUBSTITUTE(
INDEX(DropdownLists!$F$2:$F$277,MATCH('Ingest Template'!D112,DropdownLists!$C$2:$C$277,0)),
CHAR(10),
"|"&amp;'Ingest Template'!C112&amp;CHAR(10)
)&amp;"|"&amp;'Ingest Template'!C112&amp;CHAR(10)&amp;'Ingest Template'!Y112
)</f>
        <v>#N/A</v>
      </c>
      <c r="X112" s="74" t="str">
        <f>'Ingest Template'!Z112</f>
        <v/>
      </c>
      <c r="Y112" s="35" t="str">
        <f>SUBSTITUTE(SUBSTITUTE(SUBSTITUTE('Ingest Template'!AA112,"http:",""),"https:",""),"/","")</f>
        <v/>
      </c>
      <c r="Z112" s="35" t="str">
        <f t="array" ref="Z112">IF('Ingest Template'!A112="Standard",(IF(ISBLANK('Ingest Template'!AB112),"", 'Ingest Template'!AB112&amp;"|DAR")),(IF(ISBLANK('Ingest Template'!AB112),"", 'Ingest Template'!AB112&amp;"|TV Ops")))</f>
        <v/>
      </c>
      <c r="AA112" s="35"/>
      <c r="AB112" s="35" t="str">
        <f>'Ingest Template'!R112</f>
        <v/>
      </c>
      <c r="AC112" s="35" t="str">
        <f>'Ingest Template'!T112</f>
        <v/>
      </c>
      <c r="AD112" s="35" t="str">
        <f>'Ingest Template'!S112</f>
        <v/>
      </c>
      <c r="AE112" s="35" t="str">
        <f>'Ingest Template'!U112</f>
        <v/>
      </c>
      <c r="AF112" s="22"/>
      <c r="AG112" s="35" t="str">
        <f t="array" ref="AG112">IF('Ingest Template'!A112="Standard",(CONCATENATE(IF(ISBLANK('Ingest Template'!N112),"", 'Ingest Template'!N112&amp;"|DAR"),CHAR(10), IF(ISBLANK('Ingest Template'!O112),"", 'Ingest Template'!O112&amp;"|DAR"),CHAR(10), IF(ISBLANK('Ingest Template'!P112),"", 'Ingest Template'!P112&amp;"|DAR"))),(CONCATENATE(IF(ISBLANK('Ingest Template'!N112),"", 'Ingest Template'!N112&amp;"|TV Ops"),CHAR(10), IF(ISBLANK('Ingest Template'!O112),"", 'Ingest Template'!O112&amp;"|TV Ops"),CHAR(10), IF(ISBLANK('Ingest Template'!P112),"", 'Ingest Template'!P112&amp;"|TV Ops"))))</f>
        <v>
</v>
      </c>
      <c r="AH112" s="35"/>
      <c r="AI112" s="35"/>
      <c r="AJ112" s="117" t="str">
        <f>if('Ingest Template'!A112="Standard",(IF(OR('Ingest Template'!F112 = "Program Type - Special", 'Ingest Template'!F112 = "Program Type - Live Event"),'Ingest Template'!M112&amp; "|DAR|DAR|"&amp;TEXT('Ingest Template'!C112-3, "yyyy-mm-dd")&amp;"|"&amp;TEXT('Ingest Template'!C112+3, "yyyy-mm-dd"),'Ingest Template'!M112&amp; "|DAR|DAR|2021-01-01")),(IF(OR('Ingest Template'!F112 = "Program Type - Special", 'Ingest Template'!F112 = "Program Type - Live Event"),'Ingest Template'!M112&amp; "|Operations - Core Title|Operations - Core Title|"&amp;TEXT('Ingest Template'!C112-3, "yyyy-mm-dd")&amp;"|"&amp;TEXT('Ingest Template'!C112+3, "yyyy-mm-dd"),'Ingest Template'!M112&amp; "|Operations - Core Title|Operations - Core Title")))</f>
        <v>|Operations - Core Title|Operations - Core Title</v>
      </c>
      <c r="AK112" s="35"/>
      <c r="AL112" s="117" t="str">
        <f>if('Ingest Template'!A112="Standard",(IF(OR('Ingest Template'!F112 = "Program Type - Special", 'Ingest Template'!F112 = "Program Type - Live Event"),'Ingest Template'!Q112&amp;"|"&amp;TEXT('Ingest Template'!C112-3, "yyyy-mm-dd")&amp;"|"&amp;TEXT('Ingest Template'!C112+3, "yyyy-mm-dd"),'Ingest Template'!Q112&amp; "|2021-01-01")),(IF(OR('Ingest Template'!F112 = "Program Type - Special", 'Ingest Template'!F112 = "Program Type - Live Event"),'Ingest Template'!Q112&amp; "|"&amp;TEXT('Ingest Template'!C112-3, "yyyy-mm-dd")&amp;"|"&amp;TEXT('Ingest Template'!C112+3, "yyyy-mm-dd"),'Ingest Template'!Q112)))</f>
        <v/>
      </c>
      <c r="AM112" s="35" t="str">
        <f>'Ingest Template'!AC112</f>
        <v/>
      </c>
    </row>
    <row r="113">
      <c r="A113" s="15"/>
      <c r="B113" s="22" t="str">
        <f>'Ingest Template'!C113&amp;IF('Ingest Template'!A113 = "Standard", " - DAR","")</f>
        <v/>
      </c>
      <c r="C113" s="22" t="s">
        <v>83</v>
      </c>
      <c r="D113" s="22" t="str">
        <f t="array" ref="D113">CONCATENATE(INDEX(DropdownLists!$H$2:$H$11,MATCH(1,COUNTIF('Ingest Template'!E113,"*"&amp;DropdownLists!$I$2:$I$11&amp;"*"),0)),CHAR(10),'Ingest Template'!F113,CHAR(10),'Ingest Template'!G113,CHAR(10),VLOOKUP('Ingest Template'!D113,DropdownLists!C:D,2,FALSE))</f>
        <v>#N/A</v>
      </c>
      <c r="E113" s="22" t="str">
        <f>CONCATENATE('Ingest Template'!H113,CHAR(10),'Ingest Template'!I113,CHAR(10),'Ingest Template'!J113,CHAR(10))</f>
        <v>
</v>
      </c>
      <c r="F113" s="35" t="str">
        <f t="array" ref="F113">INDEX(DropdownLists!$O$2:$O$36,MATCH(1,COUNTIF(E113,"*"&amp;DropdownLists!$N$2:$N$36&amp;"*"),0))</f>
        <v/>
      </c>
      <c r="G113" s="35"/>
      <c r="H113" s="22" t="str">
        <f t="array" ref="H113">INDEX(DropdownLists!$E$2:$E$276,MATCH('Ingest Template'!D113,DropdownLists!$C$2:$C$276,0))</f>
        <v>#N/A</v>
      </c>
      <c r="I113" s="22"/>
      <c r="J113" s="22" t="str">
        <f t="array" ref="J113">iF('Ingest Template'!A113="Standard","Pristine Brand",INDEX(DropdownLists!$B$2:$B$246,MATCH('Ingest Template'!D113,DropdownLists!$C$2:$C$246,0)))</f>
        <v>#N/A</v>
      </c>
      <c r="K113" s="22" t="str">
        <f>iF('Ingest Template'!A113="Standard",'Ingest Template'!K113&amp;CHAR(10)&amp;'Ingest Template'!L113,"Competitive View")</f>
        <v>Competitive View</v>
      </c>
      <c r="L113" s="22" t="s">
        <v>95</v>
      </c>
      <c r="M113" s="45" t="str">
        <f>'Ingest Template'!B113</f>
        <v/>
      </c>
      <c r="N113" s="35"/>
      <c r="O113" s="35"/>
      <c r="P113" s="35"/>
      <c r="Q113" s="35"/>
      <c r="R113" s="35" t="str">
        <f>'Ingest Template'!D113</f>
        <v/>
      </c>
      <c r="S113" s="22" t="s">
        <v>101</v>
      </c>
      <c r="T113" s="35" t="str">
        <f>'Ingest Template'!V113</f>
        <v/>
      </c>
      <c r="U113" s="35" t="str">
        <f>'Ingest Template'!W113</f>
        <v/>
      </c>
      <c r="V113" s="35" t="str">
        <f>LOWER(SUBSTITUTE(SUBSTITUTE(SUBSTITUTE(SUBSTITUTE(SUBSTITUTE('Ingest Template'!X113,"https:",""),"www.",""),"/",""),"?hl=en",""),"instagram.com",""))</f>
        <v/>
      </c>
      <c r="W113" s="74" t="str">
        <f t="array" ref="W113">IF(
'Ingest Template'!Y113="",
SUBSTITUTE(
INDEX(DropdownLists!$F$2:$F$277,MATCH('Ingest Template'!D113,DropdownLists!$C$2:$C$277,0)),
CHAR(10),
"|"&amp;'Ingest Template'!C113&amp;CHAR(10)
)&amp;"|"&amp;'Ingest Template'!C113,
SUBSTITUTE(
INDEX(DropdownLists!$F$2:$F$277,MATCH('Ingest Template'!D113,DropdownLists!$C$2:$C$277,0)),
CHAR(10),
"|"&amp;'Ingest Template'!C113&amp;CHAR(10)
)&amp;"|"&amp;'Ingest Template'!C113&amp;CHAR(10)&amp;'Ingest Template'!Y113
)</f>
        <v>#N/A</v>
      </c>
      <c r="X113" s="74" t="str">
        <f>'Ingest Template'!Z113</f>
        <v/>
      </c>
      <c r="Y113" s="35" t="str">
        <f>SUBSTITUTE(SUBSTITUTE(SUBSTITUTE('Ingest Template'!AA113,"http:",""),"https:",""),"/","")</f>
        <v/>
      </c>
      <c r="Z113" s="35" t="str">
        <f t="array" ref="Z113">IF('Ingest Template'!A113="Standard",(IF(ISBLANK('Ingest Template'!AB113),"", 'Ingest Template'!AB113&amp;"|DAR")),(IF(ISBLANK('Ingest Template'!AB113),"", 'Ingest Template'!AB113&amp;"|TV Ops")))</f>
        <v/>
      </c>
      <c r="AA113" s="35"/>
      <c r="AB113" s="35" t="str">
        <f>'Ingest Template'!R113</f>
        <v/>
      </c>
      <c r="AC113" s="35" t="str">
        <f>'Ingest Template'!T113</f>
        <v/>
      </c>
      <c r="AD113" s="35" t="str">
        <f>'Ingest Template'!S113</f>
        <v/>
      </c>
      <c r="AE113" s="35" t="str">
        <f>'Ingest Template'!U113</f>
        <v/>
      </c>
      <c r="AF113" s="22"/>
      <c r="AG113" s="35" t="str">
        <f t="array" ref="AG113">IF('Ingest Template'!A113="Standard",(CONCATENATE(IF(ISBLANK('Ingest Template'!N113),"", 'Ingest Template'!N113&amp;"|DAR"),CHAR(10), IF(ISBLANK('Ingest Template'!O113),"", 'Ingest Template'!O113&amp;"|DAR"),CHAR(10), IF(ISBLANK('Ingest Template'!P113),"", 'Ingest Template'!P113&amp;"|DAR"))),(CONCATENATE(IF(ISBLANK('Ingest Template'!N113),"", 'Ingest Template'!N113&amp;"|TV Ops"),CHAR(10), IF(ISBLANK('Ingest Template'!O113),"", 'Ingest Template'!O113&amp;"|TV Ops"),CHAR(10), IF(ISBLANK('Ingest Template'!P113),"", 'Ingest Template'!P113&amp;"|TV Ops"))))</f>
        <v>
</v>
      </c>
      <c r="AH113" s="35"/>
      <c r="AI113" s="35"/>
      <c r="AJ113" s="117" t="str">
        <f>if('Ingest Template'!A113="Standard",(IF(OR('Ingest Template'!F113 = "Program Type - Special", 'Ingest Template'!F113 = "Program Type - Live Event"),'Ingest Template'!M113&amp; "|DAR|DAR|"&amp;TEXT('Ingest Template'!C113-3, "yyyy-mm-dd")&amp;"|"&amp;TEXT('Ingest Template'!C113+3, "yyyy-mm-dd"),'Ingest Template'!M113&amp; "|DAR|DAR|2021-01-01")),(IF(OR('Ingest Template'!F113 = "Program Type - Special", 'Ingest Template'!F113 = "Program Type - Live Event"),'Ingest Template'!M113&amp; "|Operations - Core Title|Operations - Core Title|"&amp;TEXT('Ingest Template'!C113-3, "yyyy-mm-dd")&amp;"|"&amp;TEXT('Ingest Template'!C113+3, "yyyy-mm-dd"),'Ingest Template'!M113&amp; "|Operations - Core Title|Operations - Core Title")))</f>
        <v>|Operations - Core Title|Operations - Core Title</v>
      </c>
      <c r="AK113" s="35"/>
      <c r="AL113" s="117" t="str">
        <f>if('Ingest Template'!A113="Standard",(IF(OR('Ingest Template'!F113 = "Program Type - Special", 'Ingest Template'!F113 = "Program Type - Live Event"),'Ingest Template'!Q113&amp;"|"&amp;TEXT('Ingest Template'!C113-3, "yyyy-mm-dd")&amp;"|"&amp;TEXT('Ingest Template'!C113+3, "yyyy-mm-dd"),'Ingest Template'!Q113&amp; "|2021-01-01")),(IF(OR('Ingest Template'!F113 = "Program Type - Special", 'Ingest Template'!F113 = "Program Type - Live Event"),'Ingest Template'!Q113&amp; "|"&amp;TEXT('Ingest Template'!C113-3, "yyyy-mm-dd")&amp;"|"&amp;TEXT('Ingest Template'!C113+3, "yyyy-mm-dd"),'Ingest Template'!Q113)))</f>
        <v/>
      </c>
      <c r="AM113" s="35" t="str">
        <f>'Ingest Template'!AC113</f>
        <v/>
      </c>
    </row>
    <row r="114">
      <c r="A114" s="15"/>
      <c r="B114" s="22" t="str">
        <f>'Ingest Template'!C114&amp;IF('Ingest Template'!A114 = "Standard", " - DAR","")</f>
        <v/>
      </c>
      <c r="C114" s="22" t="s">
        <v>83</v>
      </c>
      <c r="D114" s="22" t="str">
        <f t="array" ref="D114">CONCATENATE(INDEX(DropdownLists!$H$2:$H$11,MATCH(1,COUNTIF('Ingest Template'!E114,"*"&amp;DropdownLists!$I$2:$I$11&amp;"*"),0)),CHAR(10),'Ingest Template'!F114,CHAR(10),'Ingest Template'!G114,CHAR(10),VLOOKUP('Ingest Template'!D114,DropdownLists!C:D,2,FALSE))</f>
        <v>#N/A</v>
      </c>
      <c r="E114" s="22" t="str">
        <f>CONCATENATE('Ingest Template'!H114,CHAR(10),'Ingest Template'!I114,CHAR(10),'Ingest Template'!J114,CHAR(10))</f>
        <v>
</v>
      </c>
      <c r="F114" s="35" t="str">
        <f t="array" ref="F114">INDEX(DropdownLists!$O$2:$O$36,MATCH(1,COUNTIF(E114,"*"&amp;DropdownLists!$N$2:$N$36&amp;"*"),0))</f>
        <v/>
      </c>
      <c r="G114" s="35"/>
      <c r="H114" s="22" t="str">
        <f t="array" ref="H114">INDEX(DropdownLists!$E$2:$E$276,MATCH('Ingest Template'!D114,DropdownLists!$C$2:$C$276,0))</f>
        <v>#N/A</v>
      </c>
      <c r="I114" s="22"/>
      <c r="J114" s="22" t="str">
        <f t="array" ref="J114">iF('Ingest Template'!A114="Standard","Pristine Brand",INDEX(DropdownLists!$B$2:$B$246,MATCH('Ingest Template'!D114,DropdownLists!$C$2:$C$246,0)))</f>
        <v>#N/A</v>
      </c>
      <c r="K114" s="22" t="str">
        <f>iF('Ingest Template'!A114="Standard",'Ingest Template'!K114&amp;CHAR(10)&amp;'Ingest Template'!L114,"Competitive View")</f>
        <v>Competitive View</v>
      </c>
      <c r="L114" s="22" t="s">
        <v>95</v>
      </c>
      <c r="M114" s="45" t="str">
        <f>'Ingest Template'!B114</f>
        <v/>
      </c>
      <c r="N114" s="35"/>
      <c r="O114" s="35"/>
      <c r="P114" s="35"/>
      <c r="Q114" s="35"/>
      <c r="R114" s="35" t="str">
        <f>'Ingest Template'!D114</f>
        <v/>
      </c>
      <c r="S114" s="22" t="s">
        <v>101</v>
      </c>
      <c r="T114" s="35" t="str">
        <f>'Ingest Template'!V114</f>
        <v/>
      </c>
      <c r="U114" s="35" t="str">
        <f>'Ingest Template'!W114</f>
        <v/>
      </c>
      <c r="V114" s="35" t="str">
        <f>LOWER(SUBSTITUTE(SUBSTITUTE(SUBSTITUTE(SUBSTITUTE(SUBSTITUTE('Ingest Template'!X114,"https:",""),"www.",""),"/",""),"?hl=en",""),"instagram.com",""))</f>
        <v/>
      </c>
      <c r="W114" s="74" t="str">
        <f t="array" ref="W114">IF(
'Ingest Template'!Y114="",
SUBSTITUTE(
INDEX(DropdownLists!$F$2:$F$277,MATCH('Ingest Template'!D114,DropdownLists!$C$2:$C$277,0)),
CHAR(10),
"|"&amp;'Ingest Template'!C114&amp;CHAR(10)
)&amp;"|"&amp;'Ingest Template'!C114,
SUBSTITUTE(
INDEX(DropdownLists!$F$2:$F$277,MATCH('Ingest Template'!D114,DropdownLists!$C$2:$C$277,0)),
CHAR(10),
"|"&amp;'Ingest Template'!C114&amp;CHAR(10)
)&amp;"|"&amp;'Ingest Template'!C114&amp;CHAR(10)&amp;'Ingest Template'!Y114
)</f>
        <v>#N/A</v>
      </c>
      <c r="X114" s="74" t="str">
        <f>'Ingest Template'!Z114</f>
        <v/>
      </c>
      <c r="Y114" s="35" t="str">
        <f>SUBSTITUTE(SUBSTITUTE(SUBSTITUTE('Ingest Template'!AA114,"http:",""),"https:",""),"/","")</f>
        <v/>
      </c>
      <c r="Z114" s="35" t="str">
        <f t="array" ref="Z114">IF('Ingest Template'!A114="Standard",(IF(ISBLANK('Ingest Template'!AB114),"", 'Ingest Template'!AB114&amp;"|DAR")),(IF(ISBLANK('Ingest Template'!AB114),"", 'Ingest Template'!AB114&amp;"|TV Ops")))</f>
        <v/>
      </c>
      <c r="AA114" s="35"/>
      <c r="AB114" s="35" t="str">
        <f>'Ingest Template'!R114</f>
        <v/>
      </c>
      <c r="AC114" s="35" t="str">
        <f>'Ingest Template'!T114</f>
        <v/>
      </c>
      <c r="AD114" s="35" t="str">
        <f>'Ingest Template'!S114</f>
        <v/>
      </c>
      <c r="AE114" s="35" t="str">
        <f>'Ingest Template'!U114</f>
        <v/>
      </c>
      <c r="AF114" s="22"/>
      <c r="AG114" s="35" t="str">
        <f t="array" ref="AG114">IF('Ingest Template'!A114="Standard",(CONCATENATE(IF(ISBLANK('Ingest Template'!N114),"", 'Ingest Template'!N114&amp;"|DAR"),CHAR(10), IF(ISBLANK('Ingest Template'!O114),"", 'Ingest Template'!O114&amp;"|DAR"),CHAR(10), IF(ISBLANK('Ingest Template'!P114),"", 'Ingest Template'!P114&amp;"|DAR"))),(CONCATENATE(IF(ISBLANK('Ingest Template'!N114),"", 'Ingest Template'!N114&amp;"|TV Ops"),CHAR(10), IF(ISBLANK('Ingest Template'!O114),"", 'Ingest Template'!O114&amp;"|TV Ops"),CHAR(10), IF(ISBLANK('Ingest Template'!P114),"", 'Ingest Template'!P114&amp;"|TV Ops"))))</f>
        <v>
</v>
      </c>
      <c r="AH114" s="35"/>
      <c r="AI114" s="35"/>
      <c r="AJ114" s="117" t="str">
        <f>if('Ingest Template'!A114="Standard",(IF(OR('Ingest Template'!F114 = "Program Type - Special", 'Ingest Template'!F114 = "Program Type - Live Event"),'Ingest Template'!M114&amp; "|DAR|DAR|"&amp;TEXT('Ingest Template'!C114-3, "yyyy-mm-dd")&amp;"|"&amp;TEXT('Ingest Template'!C114+3, "yyyy-mm-dd"),'Ingest Template'!M114&amp; "|DAR|DAR|2021-01-01")),(IF(OR('Ingest Template'!F114 = "Program Type - Special", 'Ingest Template'!F114 = "Program Type - Live Event"),'Ingest Template'!M114&amp; "|Operations - Core Title|Operations - Core Title|"&amp;TEXT('Ingest Template'!C114-3, "yyyy-mm-dd")&amp;"|"&amp;TEXT('Ingest Template'!C114+3, "yyyy-mm-dd"),'Ingest Template'!M114&amp; "|Operations - Core Title|Operations - Core Title")))</f>
        <v>|Operations - Core Title|Operations - Core Title</v>
      </c>
      <c r="AK114" s="35"/>
      <c r="AL114" s="117" t="str">
        <f>if('Ingest Template'!A114="Standard",(IF(OR('Ingest Template'!F114 = "Program Type - Special", 'Ingest Template'!F114 = "Program Type - Live Event"),'Ingest Template'!Q114&amp;"|"&amp;TEXT('Ingest Template'!C114-3, "yyyy-mm-dd")&amp;"|"&amp;TEXT('Ingest Template'!C114+3, "yyyy-mm-dd"),'Ingest Template'!Q114&amp; "|2021-01-01")),(IF(OR('Ingest Template'!F114 = "Program Type - Special", 'Ingest Template'!F114 = "Program Type - Live Event"),'Ingest Template'!Q114&amp; "|"&amp;TEXT('Ingest Template'!C114-3, "yyyy-mm-dd")&amp;"|"&amp;TEXT('Ingest Template'!C114+3, "yyyy-mm-dd"),'Ingest Template'!Q114)))</f>
        <v/>
      </c>
      <c r="AM114" s="35" t="str">
        <f>'Ingest Template'!AC114</f>
        <v/>
      </c>
    </row>
    <row r="115">
      <c r="A115" s="15"/>
      <c r="B115" s="22" t="str">
        <f>'Ingest Template'!C115&amp;IF('Ingest Template'!A115 = "Standard", " - DAR","")</f>
        <v/>
      </c>
      <c r="C115" s="22" t="s">
        <v>83</v>
      </c>
      <c r="D115" s="22" t="str">
        <f t="array" ref="D115">CONCATENATE(INDEX(DropdownLists!$H$2:$H$11,MATCH(1,COUNTIF('Ingest Template'!E115,"*"&amp;DropdownLists!$I$2:$I$11&amp;"*"),0)),CHAR(10),'Ingest Template'!F115,CHAR(10),'Ingest Template'!G115,CHAR(10),VLOOKUP('Ingest Template'!D115,DropdownLists!C:D,2,FALSE))</f>
        <v>#N/A</v>
      </c>
      <c r="E115" s="22" t="str">
        <f>CONCATENATE('Ingest Template'!H115,CHAR(10),'Ingest Template'!I115,CHAR(10),'Ingest Template'!J115,CHAR(10))</f>
        <v>
</v>
      </c>
      <c r="F115" s="35" t="str">
        <f t="array" ref="F115">INDEX(DropdownLists!$O$2:$O$36,MATCH(1,COUNTIF(E115,"*"&amp;DropdownLists!$N$2:$N$36&amp;"*"),0))</f>
        <v/>
      </c>
      <c r="G115" s="35"/>
      <c r="H115" s="22" t="str">
        <f t="array" ref="H115">INDEX(DropdownLists!$E$2:$E$276,MATCH('Ingest Template'!D115,DropdownLists!$C$2:$C$276,0))</f>
        <v>#N/A</v>
      </c>
      <c r="I115" s="22"/>
      <c r="J115" s="22" t="str">
        <f t="array" ref="J115">iF('Ingest Template'!A115="Standard","Pristine Brand",INDEX(DropdownLists!$B$2:$B$246,MATCH('Ingest Template'!D115,DropdownLists!$C$2:$C$246,0)))</f>
        <v>#N/A</v>
      </c>
      <c r="K115" s="22" t="str">
        <f>iF('Ingest Template'!A115="Standard",'Ingest Template'!K115&amp;CHAR(10)&amp;'Ingest Template'!L115,"Competitive View")</f>
        <v>Competitive View</v>
      </c>
      <c r="L115" s="22" t="s">
        <v>95</v>
      </c>
      <c r="M115" s="45" t="str">
        <f>'Ingest Template'!B115</f>
        <v/>
      </c>
      <c r="N115" s="35"/>
      <c r="O115" s="35"/>
      <c r="P115" s="35"/>
      <c r="Q115" s="35"/>
      <c r="R115" s="35" t="str">
        <f>'Ingest Template'!D115</f>
        <v/>
      </c>
      <c r="S115" s="22" t="s">
        <v>101</v>
      </c>
      <c r="T115" s="35" t="str">
        <f>'Ingest Template'!V115</f>
        <v/>
      </c>
      <c r="U115" s="35" t="str">
        <f>'Ingest Template'!W115</f>
        <v/>
      </c>
      <c r="V115" s="35" t="str">
        <f>LOWER(SUBSTITUTE(SUBSTITUTE(SUBSTITUTE(SUBSTITUTE(SUBSTITUTE('Ingest Template'!X115,"https:",""),"www.",""),"/",""),"?hl=en",""),"instagram.com",""))</f>
        <v/>
      </c>
      <c r="W115" s="74" t="str">
        <f t="array" ref="W115">IF(
'Ingest Template'!Y115="",
SUBSTITUTE(
INDEX(DropdownLists!$F$2:$F$277,MATCH('Ingest Template'!D115,DropdownLists!$C$2:$C$277,0)),
CHAR(10),
"|"&amp;'Ingest Template'!C115&amp;CHAR(10)
)&amp;"|"&amp;'Ingest Template'!C115,
SUBSTITUTE(
INDEX(DropdownLists!$F$2:$F$277,MATCH('Ingest Template'!D115,DropdownLists!$C$2:$C$277,0)),
CHAR(10),
"|"&amp;'Ingest Template'!C115&amp;CHAR(10)
)&amp;"|"&amp;'Ingest Template'!C115&amp;CHAR(10)&amp;'Ingest Template'!Y115
)</f>
        <v>#N/A</v>
      </c>
      <c r="X115" s="74" t="str">
        <f>'Ingest Template'!Z115</f>
        <v/>
      </c>
      <c r="Y115" s="35" t="str">
        <f>SUBSTITUTE(SUBSTITUTE(SUBSTITUTE('Ingest Template'!AA115,"http:",""),"https:",""),"/","")</f>
        <v/>
      </c>
      <c r="Z115" s="35" t="str">
        <f t="array" ref="Z115">IF('Ingest Template'!A115="Standard",(IF(ISBLANK('Ingest Template'!AB115),"", 'Ingest Template'!AB115&amp;"|DAR")),(IF(ISBLANK('Ingest Template'!AB115),"", 'Ingest Template'!AB115&amp;"|TV Ops")))</f>
        <v/>
      </c>
      <c r="AA115" s="35"/>
      <c r="AB115" s="35" t="str">
        <f>'Ingest Template'!R115</f>
        <v/>
      </c>
      <c r="AC115" s="35" t="str">
        <f>'Ingest Template'!T115</f>
        <v/>
      </c>
      <c r="AD115" s="35" t="str">
        <f>'Ingest Template'!S115</f>
        <v/>
      </c>
      <c r="AE115" s="35" t="str">
        <f>'Ingest Template'!U115</f>
        <v/>
      </c>
      <c r="AF115" s="22"/>
      <c r="AG115" s="35" t="str">
        <f t="array" ref="AG115">IF('Ingest Template'!A115="Standard",(CONCATENATE(IF(ISBLANK('Ingest Template'!N115),"", 'Ingest Template'!N115&amp;"|DAR"),CHAR(10), IF(ISBLANK('Ingest Template'!O115),"", 'Ingest Template'!O115&amp;"|DAR"),CHAR(10), IF(ISBLANK('Ingest Template'!P115),"", 'Ingest Template'!P115&amp;"|DAR"))),(CONCATENATE(IF(ISBLANK('Ingest Template'!N115),"", 'Ingest Template'!N115&amp;"|TV Ops"),CHAR(10), IF(ISBLANK('Ingest Template'!O115),"", 'Ingest Template'!O115&amp;"|TV Ops"),CHAR(10), IF(ISBLANK('Ingest Template'!P115),"", 'Ingest Template'!P115&amp;"|TV Ops"))))</f>
        <v>
</v>
      </c>
      <c r="AH115" s="35"/>
      <c r="AI115" s="35"/>
      <c r="AJ115" s="117" t="str">
        <f>if('Ingest Template'!A115="Standard",(IF(OR('Ingest Template'!F115 = "Program Type - Special", 'Ingest Template'!F115 = "Program Type - Live Event"),'Ingest Template'!M115&amp; "|DAR|DAR|"&amp;TEXT('Ingest Template'!C115-3, "yyyy-mm-dd")&amp;"|"&amp;TEXT('Ingest Template'!C115+3, "yyyy-mm-dd"),'Ingest Template'!M115&amp; "|DAR|DAR|2021-01-01")),(IF(OR('Ingest Template'!F115 = "Program Type - Special", 'Ingest Template'!F115 = "Program Type - Live Event"),'Ingest Template'!M115&amp; "|Operations - Core Title|Operations - Core Title|"&amp;TEXT('Ingest Template'!C115-3, "yyyy-mm-dd")&amp;"|"&amp;TEXT('Ingest Template'!C115+3, "yyyy-mm-dd"),'Ingest Template'!M115&amp; "|Operations - Core Title|Operations - Core Title")))</f>
        <v>|Operations - Core Title|Operations - Core Title</v>
      </c>
      <c r="AK115" s="35"/>
      <c r="AL115" s="117" t="str">
        <f>if('Ingest Template'!A115="Standard",(IF(OR('Ingest Template'!F115 = "Program Type - Special", 'Ingest Template'!F115 = "Program Type - Live Event"),'Ingest Template'!Q115&amp;"|"&amp;TEXT('Ingest Template'!C115-3, "yyyy-mm-dd")&amp;"|"&amp;TEXT('Ingest Template'!C115+3, "yyyy-mm-dd"),'Ingest Template'!Q115&amp; "|2021-01-01")),(IF(OR('Ingest Template'!F115 = "Program Type - Special", 'Ingest Template'!F115 = "Program Type - Live Event"),'Ingest Template'!Q115&amp; "|"&amp;TEXT('Ingest Template'!C115-3, "yyyy-mm-dd")&amp;"|"&amp;TEXT('Ingest Template'!C115+3, "yyyy-mm-dd"),'Ingest Template'!Q115)))</f>
        <v/>
      </c>
      <c r="AM115" s="35" t="str">
        <f>'Ingest Template'!AC115</f>
        <v/>
      </c>
    </row>
    <row r="116">
      <c r="A116" s="15"/>
      <c r="B116" s="22" t="str">
        <f>'Ingest Template'!C116&amp;IF('Ingest Template'!A116 = "Standard", " - DAR","")</f>
        <v/>
      </c>
      <c r="C116" s="22" t="s">
        <v>83</v>
      </c>
      <c r="D116" s="22" t="str">
        <f t="array" ref="D116">CONCATENATE(INDEX(DropdownLists!$H$2:$H$11,MATCH(1,COUNTIF('Ingest Template'!E116,"*"&amp;DropdownLists!$I$2:$I$11&amp;"*"),0)),CHAR(10),'Ingest Template'!F116,CHAR(10),'Ingest Template'!G116,CHAR(10),VLOOKUP('Ingest Template'!D116,DropdownLists!C:D,2,FALSE))</f>
        <v>#N/A</v>
      </c>
      <c r="E116" s="22" t="str">
        <f>CONCATENATE('Ingest Template'!H116,CHAR(10),'Ingest Template'!I116,CHAR(10),'Ingest Template'!J116,CHAR(10))</f>
        <v>
</v>
      </c>
      <c r="F116" s="35" t="str">
        <f t="array" ref="F116">INDEX(DropdownLists!$O$2:$O$36,MATCH(1,COUNTIF(E116,"*"&amp;DropdownLists!$N$2:$N$36&amp;"*"),0))</f>
        <v/>
      </c>
      <c r="G116" s="35"/>
      <c r="H116" s="22" t="str">
        <f t="array" ref="H116">INDEX(DropdownLists!$E$2:$E$276,MATCH('Ingest Template'!D116,DropdownLists!$C$2:$C$276,0))</f>
        <v>#N/A</v>
      </c>
      <c r="I116" s="22"/>
      <c r="J116" s="22" t="str">
        <f t="array" ref="J116">iF('Ingest Template'!A116="Standard","Pristine Brand",INDEX(DropdownLists!$B$2:$B$246,MATCH('Ingest Template'!D116,DropdownLists!$C$2:$C$246,0)))</f>
        <v>#N/A</v>
      </c>
      <c r="K116" s="22" t="str">
        <f>iF('Ingest Template'!A116="Standard",'Ingest Template'!K116&amp;CHAR(10)&amp;'Ingest Template'!L116,"Competitive View")</f>
        <v>Competitive View</v>
      </c>
      <c r="L116" s="22" t="s">
        <v>95</v>
      </c>
      <c r="M116" s="45" t="str">
        <f>'Ingest Template'!B116</f>
        <v/>
      </c>
      <c r="N116" s="35"/>
      <c r="O116" s="35"/>
      <c r="P116" s="35"/>
      <c r="Q116" s="35"/>
      <c r="R116" s="35" t="str">
        <f>'Ingest Template'!D116</f>
        <v/>
      </c>
      <c r="S116" s="22" t="s">
        <v>101</v>
      </c>
      <c r="T116" s="35" t="str">
        <f>'Ingest Template'!V116</f>
        <v/>
      </c>
      <c r="U116" s="35" t="str">
        <f>'Ingest Template'!W116</f>
        <v/>
      </c>
      <c r="V116" s="35" t="str">
        <f>LOWER(SUBSTITUTE(SUBSTITUTE(SUBSTITUTE(SUBSTITUTE(SUBSTITUTE('Ingest Template'!X116,"https:",""),"www.",""),"/",""),"?hl=en",""),"instagram.com",""))</f>
        <v/>
      </c>
      <c r="W116" s="74" t="str">
        <f t="array" ref="W116">IF(
'Ingest Template'!Y116="",
SUBSTITUTE(
INDEX(DropdownLists!$F$2:$F$277,MATCH('Ingest Template'!D116,DropdownLists!$C$2:$C$277,0)),
CHAR(10),
"|"&amp;'Ingest Template'!C116&amp;CHAR(10)
)&amp;"|"&amp;'Ingest Template'!C116,
SUBSTITUTE(
INDEX(DropdownLists!$F$2:$F$277,MATCH('Ingest Template'!D116,DropdownLists!$C$2:$C$277,0)),
CHAR(10),
"|"&amp;'Ingest Template'!C116&amp;CHAR(10)
)&amp;"|"&amp;'Ingest Template'!C116&amp;CHAR(10)&amp;'Ingest Template'!Y116
)</f>
        <v>#N/A</v>
      </c>
      <c r="X116" s="74" t="str">
        <f>'Ingest Template'!Z116</f>
        <v/>
      </c>
      <c r="Y116" s="35" t="str">
        <f>SUBSTITUTE(SUBSTITUTE(SUBSTITUTE('Ingest Template'!AA116,"http:",""),"https:",""),"/","")</f>
        <v/>
      </c>
      <c r="Z116" s="35" t="str">
        <f t="array" ref="Z116">IF('Ingest Template'!A116="Standard",(IF(ISBLANK('Ingest Template'!AB116),"", 'Ingest Template'!AB116&amp;"|DAR")),(IF(ISBLANK('Ingest Template'!AB116),"", 'Ingest Template'!AB116&amp;"|TV Ops")))</f>
        <v/>
      </c>
      <c r="AA116" s="35"/>
      <c r="AB116" s="35" t="str">
        <f>'Ingest Template'!R116</f>
        <v/>
      </c>
      <c r="AC116" s="35" t="str">
        <f>'Ingest Template'!T116</f>
        <v/>
      </c>
      <c r="AD116" s="35" t="str">
        <f>'Ingest Template'!S116</f>
        <v/>
      </c>
      <c r="AE116" s="35" t="str">
        <f>'Ingest Template'!U116</f>
        <v/>
      </c>
      <c r="AF116" s="22"/>
      <c r="AG116" s="35" t="str">
        <f t="array" ref="AG116">IF('Ingest Template'!A116="Standard",(CONCATENATE(IF(ISBLANK('Ingest Template'!N116),"", 'Ingest Template'!N116&amp;"|DAR"),CHAR(10), IF(ISBLANK('Ingest Template'!O116),"", 'Ingest Template'!O116&amp;"|DAR"),CHAR(10), IF(ISBLANK('Ingest Template'!P116),"", 'Ingest Template'!P116&amp;"|DAR"))),(CONCATENATE(IF(ISBLANK('Ingest Template'!N116),"", 'Ingest Template'!N116&amp;"|TV Ops"),CHAR(10), IF(ISBLANK('Ingest Template'!O116),"", 'Ingest Template'!O116&amp;"|TV Ops"),CHAR(10), IF(ISBLANK('Ingest Template'!P116),"", 'Ingest Template'!P116&amp;"|TV Ops"))))</f>
        <v>
</v>
      </c>
      <c r="AH116" s="35"/>
      <c r="AI116" s="35"/>
      <c r="AJ116" s="117" t="str">
        <f>if('Ingest Template'!A116="Standard",(IF(OR('Ingest Template'!F116 = "Program Type - Special", 'Ingest Template'!F116 = "Program Type - Live Event"),'Ingest Template'!M116&amp; "|DAR|DAR|"&amp;TEXT('Ingest Template'!C116-3, "yyyy-mm-dd")&amp;"|"&amp;TEXT('Ingest Template'!C116+3, "yyyy-mm-dd"),'Ingest Template'!M116&amp; "|DAR|DAR|2021-01-01")),(IF(OR('Ingest Template'!F116 = "Program Type - Special", 'Ingest Template'!F116 = "Program Type - Live Event"),'Ingest Template'!M116&amp; "|Operations - Core Title|Operations - Core Title|"&amp;TEXT('Ingest Template'!C116-3, "yyyy-mm-dd")&amp;"|"&amp;TEXT('Ingest Template'!C116+3, "yyyy-mm-dd"),'Ingest Template'!M116&amp; "|Operations - Core Title|Operations - Core Title")))</f>
        <v>|Operations - Core Title|Operations - Core Title</v>
      </c>
      <c r="AK116" s="35"/>
      <c r="AL116" s="117" t="str">
        <f>if('Ingest Template'!A116="Standard",(IF(OR('Ingest Template'!F116 = "Program Type - Special", 'Ingest Template'!F116 = "Program Type - Live Event"),'Ingest Template'!Q116&amp;"|"&amp;TEXT('Ingest Template'!C116-3, "yyyy-mm-dd")&amp;"|"&amp;TEXT('Ingest Template'!C116+3, "yyyy-mm-dd"),'Ingest Template'!Q116&amp; "|2021-01-01")),(IF(OR('Ingest Template'!F116 = "Program Type - Special", 'Ingest Template'!F116 = "Program Type - Live Event"),'Ingest Template'!Q116&amp; "|"&amp;TEXT('Ingest Template'!C116-3, "yyyy-mm-dd")&amp;"|"&amp;TEXT('Ingest Template'!C116+3, "yyyy-mm-dd"),'Ingest Template'!Q116)))</f>
        <v/>
      </c>
      <c r="AM116" s="35" t="str">
        <f>'Ingest Template'!AC116</f>
        <v/>
      </c>
    </row>
    <row r="117">
      <c r="A117" s="15"/>
      <c r="B117" s="22" t="str">
        <f>'Ingest Template'!C117&amp;IF('Ingest Template'!A117 = "Standard", " - DAR","")</f>
        <v/>
      </c>
      <c r="C117" s="22" t="s">
        <v>83</v>
      </c>
      <c r="D117" s="22" t="str">
        <f t="array" ref="D117">CONCATENATE(INDEX(DropdownLists!$H$2:$H$11,MATCH(1,COUNTIF('Ingest Template'!E117,"*"&amp;DropdownLists!$I$2:$I$11&amp;"*"),0)),CHAR(10),'Ingest Template'!F117,CHAR(10),'Ingest Template'!G117,CHAR(10),VLOOKUP('Ingest Template'!D117,DropdownLists!C:D,2,FALSE))</f>
        <v>#N/A</v>
      </c>
      <c r="E117" s="22" t="str">
        <f>CONCATENATE('Ingest Template'!H117,CHAR(10),'Ingest Template'!I117,CHAR(10),'Ingest Template'!J117,CHAR(10))</f>
        <v>
</v>
      </c>
      <c r="F117" s="35" t="str">
        <f t="array" ref="F117">INDEX(DropdownLists!$O$2:$O$36,MATCH(1,COUNTIF(E117,"*"&amp;DropdownLists!$N$2:$N$36&amp;"*"),0))</f>
        <v/>
      </c>
      <c r="G117" s="35"/>
      <c r="H117" s="22" t="str">
        <f t="array" ref="H117">INDEX(DropdownLists!$E$2:$E$276,MATCH('Ingest Template'!D117,DropdownLists!$C$2:$C$276,0))</f>
        <v>#N/A</v>
      </c>
      <c r="I117" s="22"/>
      <c r="J117" s="22" t="str">
        <f t="array" ref="J117">iF('Ingest Template'!A117="Standard","Pristine Brand",INDEX(DropdownLists!$B$2:$B$246,MATCH('Ingest Template'!D117,DropdownLists!$C$2:$C$246,0)))</f>
        <v>#N/A</v>
      </c>
      <c r="K117" s="22" t="str">
        <f>iF('Ingest Template'!A117="Standard",'Ingest Template'!K117&amp;CHAR(10)&amp;'Ingest Template'!L117,"Competitive View")</f>
        <v>Competitive View</v>
      </c>
      <c r="L117" s="22" t="s">
        <v>95</v>
      </c>
      <c r="M117" s="45" t="str">
        <f>'Ingest Template'!B117</f>
        <v/>
      </c>
      <c r="N117" s="35"/>
      <c r="O117" s="35"/>
      <c r="P117" s="35"/>
      <c r="Q117" s="35"/>
      <c r="R117" s="35" t="str">
        <f>'Ingest Template'!D117</f>
        <v/>
      </c>
      <c r="S117" s="22" t="s">
        <v>101</v>
      </c>
      <c r="T117" s="35" t="str">
        <f>'Ingest Template'!V117</f>
        <v/>
      </c>
      <c r="U117" s="35" t="str">
        <f>'Ingest Template'!W117</f>
        <v/>
      </c>
      <c r="V117" s="35" t="str">
        <f>LOWER(SUBSTITUTE(SUBSTITUTE(SUBSTITUTE(SUBSTITUTE(SUBSTITUTE('Ingest Template'!X117,"https:",""),"www.",""),"/",""),"?hl=en",""),"instagram.com",""))</f>
        <v/>
      </c>
      <c r="W117" s="74" t="str">
        <f t="array" ref="W117">IF(
'Ingest Template'!Y117="",
SUBSTITUTE(
INDEX(DropdownLists!$F$2:$F$277,MATCH('Ingest Template'!D117,DropdownLists!$C$2:$C$277,0)),
CHAR(10),
"|"&amp;'Ingest Template'!C117&amp;CHAR(10)
)&amp;"|"&amp;'Ingest Template'!C117,
SUBSTITUTE(
INDEX(DropdownLists!$F$2:$F$277,MATCH('Ingest Template'!D117,DropdownLists!$C$2:$C$277,0)),
CHAR(10),
"|"&amp;'Ingest Template'!C117&amp;CHAR(10)
)&amp;"|"&amp;'Ingest Template'!C117&amp;CHAR(10)&amp;'Ingest Template'!Y117
)</f>
        <v>#N/A</v>
      </c>
      <c r="X117" s="74" t="str">
        <f>'Ingest Template'!Z117</f>
        <v/>
      </c>
      <c r="Y117" s="35" t="str">
        <f>SUBSTITUTE(SUBSTITUTE(SUBSTITUTE('Ingest Template'!AA117,"http:",""),"https:",""),"/","")</f>
        <v/>
      </c>
      <c r="Z117" s="35" t="str">
        <f t="array" ref="Z117">IF('Ingest Template'!A117="Standard",(IF(ISBLANK('Ingest Template'!AB117),"", 'Ingest Template'!AB117&amp;"|DAR")),(IF(ISBLANK('Ingest Template'!AB117),"", 'Ingest Template'!AB117&amp;"|TV Ops")))</f>
        <v/>
      </c>
      <c r="AA117" s="35"/>
      <c r="AB117" s="35" t="str">
        <f>'Ingest Template'!R117</f>
        <v/>
      </c>
      <c r="AC117" s="35" t="str">
        <f>'Ingest Template'!T117</f>
        <v/>
      </c>
      <c r="AD117" s="35" t="str">
        <f>'Ingest Template'!S117</f>
        <v/>
      </c>
      <c r="AE117" s="35" t="str">
        <f>'Ingest Template'!U117</f>
        <v/>
      </c>
      <c r="AF117" s="22"/>
      <c r="AG117" s="35" t="str">
        <f t="array" ref="AG117">IF('Ingest Template'!A117="Standard",(CONCATENATE(IF(ISBLANK('Ingest Template'!N117),"", 'Ingest Template'!N117&amp;"|DAR"),CHAR(10), IF(ISBLANK('Ingest Template'!O117),"", 'Ingest Template'!O117&amp;"|DAR"),CHAR(10), IF(ISBLANK('Ingest Template'!P117),"", 'Ingest Template'!P117&amp;"|DAR"))),(CONCATENATE(IF(ISBLANK('Ingest Template'!N117),"", 'Ingest Template'!N117&amp;"|TV Ops"),CHAR(10), IF(ISBLANK('Ingest Template'!O117),"", 'Ingest Template'!O117&amp;"|TV Ops"),CHAR(10), IF(ISBLANK('Ingest Template'!P117),"", 'Ingest Template'!P117&amp;"|TV Ops"))))</f>
        <v>
</v>
      </c>
      <c r="AH117" s="35"/>
      <c r="AI117" s="35"/>
      <c r="AJ117" s="117" t="str">
        <f>if('Ingest Template'!A117="Standard",(IF(OR('Ingest Template'!F117 = "Program Type - Special", 'Ingest Template'!F117 = "Program Type - Live Event"),'Ingest Template'!M117&amp; "|DAR|DAR|"&amp;TEXT('Ingest Template'!C117-3, "yyyy-mm-dd")&amp;"|"&amp;TEXT('Ingest Template'!C117+3, "yyyy-mm-dd"),'Ingest Template'!M117&amp; "|DAR|DAR|2021-01-01")),(IF(OR('Ingest Template'!F117 = "Program Type - Special", 'Ingest Template'!F117 = "Program Type - Live Event"),'Ingest Template'!M117&amp; "|Operations - Core Title|Operations - Core Title|"&amp;TEXT('Ingest Template'!C117-3, "yyyy-mm-dd")&amp;"|"&amp;TEXT('Ingest Template'!C117+3, "yyyy-mm-dd"),'Ingest Template'!M117&amp; "|Operations - Core Title|Operations - Core Title")))</f>
        <v>|Operations - Core Title|Operations - Core Title</v>
      </c>
      <c r="AK117" s="35"/>
      <c r="AL117" s="117" t="str">
        <f>if('Ingest Template'!A117="Standard",(IF(OR('Ingest Template'!F117 = "Program Type - Special", 'Ingest Template'!F117 = "Program Type - Live Event"),'Ingest Template'!Q117&amp;"|"&amp;TEXT('Ingest Template'!C117-3, "yyyy-mm-dd")&amp;"|"&amp;TEXT('Ingest Template'!C117+3, "yyyy-mm-dd"),'Ingest Template'!Q117&amp; "|2021-01-01")),(IF(OR('Ingest Template'!F117 = "Program Type - Special", 'Ingest Template'!F117 = "Program Type - Live Event"),'Ingest Template'!Q117&amp; "|"&amp;TEXT('Ingest Template'!C117-3, "yyyy-mm-dd")&amp;"|"&amp;TEXT('Ingest Template'!C117+3, "yyyy-mm-dd"),'Ingest Template'!Q117)))</f>
        <v/>
      </c>
      <c r="AM117" s="35" t="str">
        <f>'Ingest Template'!AC117</f>
        <v/>
      </c>
    </row>
    <row r="118">
      <c r="A118" s="15"/>
      <c r="B118" s="22" t="str">
        <f>'Ingest Template'!C118&amp;IF('Ingest Template'!A118 = "Standard", " - DAR","")</f>
        <v/>
      </c>
      <c r="C118" s="22" t="s">
        <v>83</v>
      </c>
      <c r="D118" s="22" t="str">
        <f t="array" ref="D118">CONCATENATE(INDEX(DropdownLists!$H$2:$H$11,MATCH(1,COUNTIF('Ingest Template'!E118,"*"&amp;DropdownLists!$I$2:$I$11&amp;"*"),0)),CHAR(10),'Ingest Template'!F118,CHAR(10),'Ingest Template'!G118,CHAR(10),VLOOKUP('Ingest Template'!D118,DropdownLists!C:D,2,FALSE))</f>
        <v>#N/A</v>
      </c>
      <c r="E118" s="22" t="str">
        <f>CONCATENATE('Ingest Template'!H118,CHAR(10),'Ingest Template'!I118,CHAR(10),'Ingest Template'!J118,CHAR(10))</f>
        <v>
</v>
      </c>
      <c r="F118" s="35" t="str">
        <f t="array" ref="F118">INDEX(DropdownLists!$O$2:$O$36,MATCH(1,COUNTIF(E118,"*"&amp;DropdownLists!$N$2:$N$36&amp;"*"),0))</f>
        <v/>
      </c>
      <c r="G118" s="35"/>
      <c r="H118" s="22" t="str">
        <f t="array" ref="H118">INDEX(DropdownLists!$E$2:$E$276,MATCH('Ingest Template'!D118,DropdownLists!$C$2:$C$276,0))</f>
        <v>#N/A</v>
      </c>
      <c r="I118" s="22"/>
      <c r="J118" s="22" t="str">
        <f t="array" ref="J118">iF('Ingest Template'!A118="Standard","Pristine Brand",INDEX(DropdownLists!$B$2:$B$246,MATCH('Ingest Template'!D118,DropdownLists!$C$2:$C$246,0)))</f>
        <v>#N/A</v>
      </c>
      <c r="K118" s="22" t="str">
        <f>iF('Ingest Template'!A118="Standard",'Ingest Template'!K118&amp;CHAR(10)&amp;'Ingest Template'!L118,"Competitive View")</f>
        <v>Competitive View</v>
      </c>
      <c r="L118" s="22" t="s">
        <v>95</v>
      </c>
      <c r="M118" s="45" t="str">
        <f>'Ingest Template'!B118</f>
        <v/>
      </c>
      <c r="N118" s="35"/>
      <c r="O118" s="35"/>
      <c r="P118" s="35"/>
      <c r="Q118" s="35"/>
      <c r="R118" s="35" t="str">
        <f>'Ingest Template'!D118</f>
        <v/>
      </c>
      <c r="S118" s="22" t="s">
        <v>101</v>
      </c>
      <c r="T118" s="35" t="str">
        <f>'Ingest Template'!V118</f>
        <v/>
      </c>
      <c r="U118" s="35" t="str">
        <f>'Ingest Template'!W118</f>
        <v/>
      </c>
      <c r="V118" s="35" t="str">
        <f>LOWER(SUBSTITUTE(SUBSTITUTE(SUBSTITUTE(SUBSTITUTE(SUBSTITUTE('Ingest Template'!X118,"https:",""),"www.",""),"/",""),"?hl=en",""),"instagram.com",""))</f>
        <v/>
      </c>
      <c r="W118" s="74" t="str">
        <f t="array" ref="W118">IF(
'Ingest Template'!Y118="",
SUBSTITUTE(
INDEX(DropdownLists!$F$2:$F$277,MATCH('Ingest Template'!D118,DropdownLists!$C$2:$C$277,0)),
CHAR(10),
"|"&amp;'Ingest Template'!C118&amp;CHAR(10)
)&amp;"|"&amp;'Ingest Template'!C118,
SUBSTITUTE(
INDEX(DropdownLists!$F$2:$F$277,MATCH('Ingest Template'!D118,DropdownLists!$C$2:$C$277,0)),
CHAR(10),
"|"&amp;'Ingest Template'!C118&amp;CHAR(10)
)&amp;"|"&amp;'Ingest Template'!C118&amp;CHAR(10)&amp;'Ingest Template'!Y118
)</f>
        <v>#N/A</v>
      </c>
      <c r="X118" s="74" t="str">
        <f>'Ingest Template'!Z118</f>
        <v/>
      </c>
      <c r="Y118" s="35" t="str">
        <f>SUBSTITUTE(SUBSTITUTE(SUBSTITUTE('Ingest Template'!AA118,"http:",""),"https:",""),"/","")</f>
        <v/>
      </c>
      <c r="Z118" s="35" t="str">
        <f t="array" ref="Z118">IF('Ingest Template'!A118="Standard",(IF(ISBLANK('Ingest Template'!AB118),"", 'Ingest Template'!AB118&amp;"|DAR")),(IF(ISBLANK('Ingest Template'!AB118),"", 'Ingest Template'!AB118&amp;"|TV Ops")))</f>
        <v/>
      </c>
      <c r="AA118" s="35"/>
      <c r="AB118" s="35" t="str">
        <f>'Ingest Template'!R118</f>
        <v/>
      </c>
      <c r="AC118" s="35" t="str">
        <f>'Ingest Template'!T118</f>
        <v/>
      </c>
      <c r="AD118" s="35" t="str">
        <f>'Ingest Template'!S118</f>
        <v/>
      </c>
      <c r="AE118" s="35" t="str">
        <f>'Ingest Template'!U118</f>
        <v/>
      </c>
      <c r="AF118" s="22"/>
      <c r="AG118" s="35" t="str">
        <f t="array" ref="AG118">IF('Ingest Template'!A118="Standard",(CONCATENATE(IF(ISBLANK('Ingest Template'!N118),"", 'Ingest Template'!N118&amp;"|DAR"),CHAR(10), IF(ISBLANK('Ingest Template'!O118),"", 'Ingest Template'!O118&amp;"|DAR"),CHAR(10), IF(ISBLANK('Ingest Template'!P118),"", 'Ingest Template'!P118&amp;"|DAR"))),(CONCATENATE(IF(ISBLANK('Ingest Template'!N118),"", 'Ingest Template'!N118&amp;"|TV Ops"),CHAR(10), IF(ISBLANK('Ingest Template'!O118),"", 'Ingest Template'!O118&amp;"|TV Ops"),CHAR(10), IF(ISBLANK('Ingest Template'!P118),"", 'Ingest Template'!P118&amp;"|TV Ops"))))</f>
        <v>
</v>
      </c>
      <c r="AH118" s="35"/>
      <c r="AI118" s="35"/>
      <c r="AJ118" s="117" t="str">
        <f>if('Ingest Template'!A118="Standard",(IF(OR('Ingest Template'!F118 = "Program Type - Special", 'Ingest Template'!F118 = "Program Type - Live Event"),'Ingest Template'!M118&amp; "|DAR|DAR|"&amp;TEXT('Ingest Template'!C118-3, "yyyy-mm-dd")&amp;"|"&amp;TEXT('Ingest Template'!C118+3, "yyyy-mm-dd"),'Ingest Template'!M118&amp; "|DAR|DAR|2021-01-01")),(IF(OR('Ingest Template'!F118 = "Program Type - Special", 'Ingest Template'!F118 = "Program Type - Live Event"),'Ingest Template'!M118&amp; "|Operations - Core Title|Operations - Core Title|"&amp;TEXT('Ingest Template'!C118-3, "yyyy-mm-dd")&amp;"|"&amp;TEXT('Ingest Template'!C118+3, "yyyy-mm-dd"),'Ingest Template'!M118&amp; "|Operations - Core Title|Operations - Core Title")))</f>
        <v>|Operations - Core Title|Operations - Core Title</v>
      </c>
      <c r="AK118" s="35"/>
      <c r="AL118" s="117" t="str">
        <f>if('Ingest Template'!A118="Standard",(IF(OR('Ingest Template'!F118 = "Program Type - Special", 'Ingest Template'!F118 = "Program Type - Live Event"),'Ingest Template'!Q118&amp;"|"&amp;TEXT('Ingest Template'!C118-3, "yyyy-mm-dd")&amp;"|"&amp;TEXT('Ingest Template'!C118+3, "yyyy-mm-dd"),'Ingest Template'!Q118&amp; "|2021-01-01")),(IF(OR('Ingest Template'!F118 = "Program Type - Special", 'Ingest Template'!F118 = "Program Type - Live Event"),'Ingest Template'!Q118&amp; "|"&amp;TEXT('Ingest Template'!C118-3, "yyyy-mm-dd")&amp;"|"&amp;TEXT('Ingest Template'!C118+3, "yyyy-mm-dd"),'Ingest Template'!Q118)))</f>
        <v/>
      </c>
      <c r="AM118" s="35" t="str">
        <f>'Ingest Template'!AC118</f>
        <v/>
      </c>
    </row>
    <row r="119">
      <c r="A119" s="15"/>
      <c r="B119" s="22" t="str">
        <f>'Ingest Template'!C119&amp;IF('Ingest Template'!A119 = "Standard", " - DAR","")</f>
        <v/>
      </c>
      <c r="C119" s="22" t="s">
        <v>83</v>
      </c>
      <c r="D119" s="22" t="str">
        <f t="array" ref="D119">CONCATENATE(INDEX(DropdownLists!$H$2:$H$11,MATCH(1,COUNTIF('Ingest Template'!E119,"*"&amp;DropdownLists!$I$2:$I$11&amp;"*"),0)),CHAR(10),'Ingest Template'!F119,CHAR(10),'Ingest Template'!G119,CHAR(10),VLOOKUP('Ingest Template'!D119,DropdownLists!C:D,2,FALSE))</f>
        <v>#N/A</v>
      </c>
      <c r="E119" s="22" t="str">
        <f>CONCATENATE('Ingest Template'!H119,CHAR(10),'Ingest Template'!I119,CHAR(10),'Ingest Template'!J119,CHAR(10))</f>
        <v>
</v>
      </c>
      <c r="F119" s="35" t="str">
        <f t="array" ref="F119">INDEX(DropdownLists!$O$2:$O$36,MATCH(1,COUNTIF(E119,"*"&amp;DropdownLists!$N$2:$N$36&amp;"*"),0))</f>
        <v/>
      </c>
      <c r="G119" s="35"/>
      <c r="H119" s="22" t="str">
        <f t="array" ref="H119">INDEX(DropdownLists!$E$2:$E$276,MATCH('Ingest Template'!D119,DropdownLists!$C$2:$C$276,0))</f>
        <v>#N/A</v>
      </c>
      <c r="I119" s="22"/>
      <c r="J119" s="22" t="str">
        <f t="array" ref="J119">iF('Ingest Template'!A119="Standard","Pristine Brand",INDEX(DropdownLists!$B$2:$B$246,MATCH('Ingest Template'!D119,DropdownLists!$C$2:$C$246,0)))</f>
        <v>#N/A</v>
      </c>
      <c r="K119" s="22" t="str">
        <f>iF('Ingest Template'!A119="Standard",'Ingest Template'!K119&amp;CHAR(10)&amp;'Ingest Template'!L119,"Competitive View")</f>
        <v>Competitive View</v>
      </c>
      <c r="L119" s="22" t="s">
        <v>95</v>
      </c>
      <c r="M119" s="45" t="str">
        <f>'Ingest Template'!B119</f>
        <v/>
      </c>
      <c r="N119" s="35"/>
      <c r="O119" s="35"/>
      <c r="P119" s="35"/>
      <c r="Q119" s="35"/>
      <c r="R119" s="35" t="str">
        <f>'Ingest Template'!D119</f>
        <v/>
      </c>
      <c r="S119" s="22" t="s">
        <v>101</v>
      </c>
      <c r="T119" s="35" t="str">
        <f>'Ingest Template'!V119</f>
        <v/>
      </c>
      <c r="U119" s="35" t="str">
        <f>'Ingest Template'!W119</f>
        <v/>
      </c>
      <c r="V119" s="35" t="str">
        <f>LOWER(SUBSTITUTE(SUBSTITUTE(SUBSTITUTE(SUBSTITUTE(SUBSTITUTE('Ingest Template'!X119,"https:",""),"www.",""),"/",""),"?hl=en",""),"instagram.com",""))</f>
        <v/>
      </c>
      <c r="W119" s="74" t="str">
        <f t="array" ref="W119">IF(
'Ingest Template'!Y119="",
SUBSTITUTE(
INDEX(DropdownLists!$F$2:$F$277,MATCH('Ingest Template'!D119,DropdownLists!$C$2:$C$277,0)),
CHAR(10),
"|"&amp;'Ingest Template'!C119&amp;CHAR(10)
)&amp;"|"&amp;'Ingest Template'!C119,
SUBSTITUTE(
INDEX(DropdownLists!$F$2:$F$277,MATCH('Ingest Template'!D119,DropdownLists!$C$2:$C$277,0)),
CHAR(10),
"|"&amp;'Ingest Template'!C119&amp;CHAR(10)
)&amp;"|"&amp;'Ingest Template'!C119&amp;CHAR(10)&amp;'Ingest Template'!Y119
)</f>
        <v>#N/A</v>
      </c>
      <c r="X119" s="74" t="str">
        <f>'Ingest Template'!Z119</f>
        <v/>
      </c>
      <c r="Y119" s="35" t="str">
        <f>SUBSTITUTE(SUBSTITUTE(SUBSTITUTE('Ingest Template'!AA119,"http:",""),"https:",""),"/","")</f>
        <v/>
      </c>
      <c r="Z119" s="35" t="str">
        <f t="array" ref="Z119">IF('Ingest Template'!A119="Standard",(IF(ISBLANK('Ingest Template'!AB119),"", 'Ingest Template'!AB119&amp;"|DAR")),(IF(ISBLANK('Ingest Template'!AB119),"", 'Ingest Template'!AB119&amp;"|TV Ops")))</f>
        <v/>
      </c>
      <c r="AA119" s="35"/>
      <c r="AB119" s="35" t="str">
        <f>'Ingest Template'!R119</f>
        <v/>
      </c>
      <c r="AC119" s="35" t="str">
        <f>'Ingest Template'!T119</f>
        <v/>
      </c>
      <c r="AD119" s="35" t="str">
        <f>'Ingest Template'!S119</f>
        <v/>
      </c>
      <c r="AE119" s="35" t="str">
        <f>'Ingest Template'!U119</f>
        <v/>
      </c>
      <c r="AF119" s="22"/>
      <c r="AG119" s="35" t="str">
        <f t="array" ref="AG119">IF('Ingest Template'!A119="Standard",(CONCATENATE(IF(ISBLANK('Ingest Template'!N119),"", 'Ingest Template'!N119&amp;"|DAR"),CHAR(10), IF(ISBLANK('Ingest Template'!O119),"", 'Ingest Template'!O119&amp;"|DAR"),CHAR(10), IF(ISBLANK('Ingest Template'!P119),"", 'Ingest Template'!P119&amp;"|DAR"))),(CONCATENATE(IF(ISBLANK('Ingest Template'!N119),"", 'Ingest Template'!N119&amp;"|TV Ops"),CHAR(10), IF(ISBLANK('Ingest Template'!O119),"", 'Ingest Template'!O119&amp;"|TV Ops"),CHAR(10), IF(ISBLANK('Ingest Template'!P119),"", 'Ingest Template'!P119&amp;"|TV Ops"))))</f>
        <v>
</v>
      </c>
      <c r="AH119" s="35"/>
      <c r="AI119" s="35"/>
      <c r="AJ119" s="117" t="str">
        <f>if('Ingest Template'!A119="Standard",(IF(OR('Ingest Template'!F119 = "Program Type - Special", 'Ingest Template'!F119 = "Program Type - Live Event"),'Ingest Template'!M119&amp; "|DAR|DAR|"&amp;TEXT('Ingest Template'!C119-3, "yyyy-mm-dd")&amp;"|"&amp;TEXT('Ingest Template'!C119+3, "yyyy-mm-dd"),'Ingest Template'!M119&amp; "|DAR|DAR|2021-01-01")),(IF(OR('Ingest Template'!F119 = "Program Type - Special", 'Ingest Template'!F119 = "Program Type - Live Event"),'Ingest Template'!M119&amp; "|Operations - Core Title|Operations - Core Title|"&amp;TEXT('Ingest Template'!C119-3, "yyyy-mm-dd")&amp;"|"&amp;TEXT('Ingest Template'!C119+3, "yyyy-mm-dd"),'Ingest Template'!M119&amp; "|Operations - Core Title|Operations - Core Title")))</f>
        <v>|Operations - Core Title|Operations - Core Title</v>
      </c>
      <c r="AK119" s="35"/>
      <c r="AL119" s="117" t="str">
        <f>if('Ingest Template'!A119="Standard",(IF(OR('Ingest Template'!F119 = "Program Type - Special", 'Ingest Template'!F119 = "Program Type - Live Event"),'Ingest Template'!Q119&amp;"|"&amp;TEXT('Ingest Template'!C119-3, "yyyy-mm-dd")&amp;"|"&amp;TEXT('Ingest Template'!C119+3, "yyyy-mm-dd"),'Ingest Template'!Q119&amp; "|2021-01-01")),(IF(OR('Ingest Template'!F119 = "Program Type - Special", 'Ingest Template'!F119 = "Program Type - Live Event"),'Ingest Template'!Q119&amp; "|"&amp;TEXT('Ingest Template'!C119-3, "yyyy-mm-dd")&amp;"|"&amp;TEXT('Ingest Template'!C119+3, "yyyy-mm-dd"),'Ingest Template'!Q119)))</f>
        <v/>
      </c>
      <c r="AM119" s="35" t="str">
        <f>'Ingest Template'!AC119</f>
        <v/>
      </c>
    </row>
    <row r="120">
      <c r="A120" s="15"/>
      <c r="B120" s="22" t="str">
        <f>'Ingest Template'!C120&amp;IF('Ingest Template'!A120 = "Standard", " - DAR","")</f>
        <v/>
      </c>
      <c r="C120" s="22" t="s">
        <v>83</v>
      </c>
      <c r="D120" s="22" t="str">
        <f t="array" ref="D120">CONCATENATE(INDEX(DropdownLists!$H$2:$H$11,MATCH(1,COUNTIF('Ingest Template'!E120,"*"&amp;DropdownLists!$I$2:$I$11&amp;"*"),0)),CHAR(10),'Ingest Template'!F120,CHAR(10),'Ingest Template'!G120,CHAR(10),VLOOKUP('Ingest Template'!D120,DropdownLists!C:D,2,FALSE))</f>
        <v>#N/A</v>
      </c>
      <c r="E120" s="22" t="str">
        <f>CONCATENATE('Ingest Template'!H120,CHAR(10),'Ingest Template'!I120,CHAR(10),'Ingest Template'!J120,CHAR(10))</f>
        <v>
</v>
      </c>
      <c r="F120" s="35" t="str">
        <f t="array" ref="F120">INDEX(DropdownLists!$O$2:$O$36,MATCH(1,COUNTIF(E120,"*"&amp;DropdownLists!$N$2:$N$36&amp;"*"),0))</f>
        <v/>
      </c>
      <c r="G120" s="35"/>
      <c r="H120" s="22" t="str">
        <f t="array" ref="H120">INDEX(DropdownLists!$E$2:$E$276,MATCH('Ingest Template'!D120,DropdownLists!$C$2:$C$276,0))</f>
        <v>#N/A</v>
      </c>
      <c r="I120" s="22"/>
      <c r="J120" s="22" t="str">
        <f t="array" ref="J120">iF('Ingest Template'!A120="Standard","Pristine Brand",INDEX(DropdownLists!$B$2:$B$246,MATCH('Ingest Template'!D120,DropdownLists!$C$2:$C$246,0)))</f>
        <v>#N/A</v>
      </c>
      <c r="K120" s="22" t="str">
        <f>iF('Ingest Template'!A120="Standard",'Ingest Template'!K120&amp;CHAR(10)&amp;'Ingest Template'!L120,"Competitive View")</f>
        <v>Competitive View</v>
      </c>
      <c r="L120" s="22" t="s">
        <v>95</v>
      </c>
      <c r="M120" s="45" t="str">
        <f>'Ingest Template'!B120</f>
        <v/>
      </c>
      <c r="N120" s="35"/>
      <c r="O120" s="35"/>
      <c r="P120" s="35"/>
      <c r="Q120" s="35"/>
      <c r="R120" s="35" t="str">
        <f>'Ingest Template'!D120</f>
        <v/>
      </c>
      <c r="S120" s="22" t="s">
        <v>101</v>
      </c>
      <c r="T120" s="35" t="str">
        <f>'Ingest Template'!V120</f>
        <v/>
      </c>
      <c r="U120" s="35" t="str">
        <f>'Ingest Template'!W120</f>
        <v/>
      </c>
      <c r="V120" s="35" t="str">
        <f>LOWER(SUBSTITUTE(SUBSTITUTE(SUBSTITUTE(SUBSTITUTE(SUBSTITUTE('Ingest Template'!X120,"https:",""),"www.",""),"/",""),"?hl=en",""),"instagram.com",""))</f>
        <v/>
      </c>
      <c r="W120" s="74" t="str">
        <f t="array" ref="W120">IF(
'Ingest Template'!Y120="",
SUBSTITUTE(
INDEX(DropdownLists!$F$2:$F$277,MATCH('Ingest Template'!D120,DropdownLists!$C$2:$C$277,0)),
CHAR(10),
"|"&amp;'Ingest Template'!C120&amp;CHAR(10)
)&amp;"|"&amp;'Ingest Template'!C120,
SUBSTITUTE(
INDEX(DropdownLists!$F$2:$F$277,MATCH('Ingest Template'!D120,DropdownLists!$C$2:$C$277,0)),
CHAR(10),
"|"&amp;'Ingest Template'!C120&amp;CHAR(10)
)&amp;"|"&amp;'Ingest Template'!C120&amp;CHAR(10)&amp;'Ingest Template'!Y120
)</f>
        <v>#N/A</v>
      </c>
      <c r="X120" s="74" t="str">
        <f>'Ingest Template'!Z120</f>
        <v/>
      </c>
      <c r="Y120" s="35" t="str">
        <f>SUBSTITUTE(SUBSTITUTE(SUBSTITUTE('Ingest Template'!AA120,"http:",""),"https:",""),"/","")</f>
        <v/>
      </c>
      <c r="Z120" s="35" t="str">
        <f t="array" ref="Z120">IF('Ingest Template'!A120="Standard",(IF(ISBLANK('Ingest Template'!AB120),"", 'Ingest Template'!AB120&amp;"|DAR")),(IF(ISBLANK('Ingest Template'!AB120),"", 'Ingest Template'!AB120&amp;"|TV Ops")))</f>
        <v/>
      </c>
      <c r="AA120" s="35"/>
      <c r="AB120" s="35" t="str">
        <f>'Ingest Template'!R120</f>
        <v/>
      </c>
      <c r="AC120" s="35" t="str">
        <f>'Ingest Template'!T120</f>
        <v/>
      </c>
      <c r="AD120" s="35" t="str">
        <f>'Ingest Template'!S120</f>
        <v/>
      </c>
      <c r="AE120" s="35" t="str">
        <f>'Ingest Template'!U120</f>
        <v/>
      </c>
      <c r="AF120" s="22"/>
      <c r="AG120" s="35" t="str">
        <f t="array" ref="AG120">IF('Ingest Template'!A120="Standard",(CONCATENATE(IF(ISBLANK('Ingest Template'!N120),"", 'Ingest Template'!N120&amp;"|DAR"),CHAR(10), IF(ISBLANK('Ingest Template'!O120),"", 'Ingest Template'!O120&amp;"|DAR"),CHAR(10), IF(ISBLANK('Ingest Template'!P120),"", 'Ingest Template'!P120&amp;"|DAR"))),(CONCATENATE(IF(ISBLANK('Ingest Template'!N120),"", 'Ingest Template'!N120&amp;"|TV Ops"),CHAR(10), IF(ISBLANK('Ingest Template'!O120),"", 'Ingest Template'!O120&amp;"|TV Ops"),CHAR(10), IF(ISBLANK('Ingest Template'!P120),"", 'Ingest Template'!P120&amp;"|TV Ops"))))</f>
        <v>
</v>
      </c>
      <c r="AH120" s="35"/>
      <c r="AI120" s="35"/>
      <c r="AJ120" s="117" t="str">
        <f>if('Ingest Template'!A120="Standard",(IF(OR('Ingest Template'!F120 = "Program Type - Special", 'Ingest Template'!F120 = "Program Type - Live Event"),'Ingest Template'!M120&amp; "|DAR|DAR|"&amp;TEXT('Ingest Template'!C120-3, "yyyy-mm-dd")&amp;"|"&amp;TEXT('Ingest Template'!C120+3, "yyyy-mm-dd"),'Ingest Template'!M120&amp; "|DAR|DAR|2021-01-01")),(IF(OR('Ingest Template'!F120 = "Program Type - Special", 'Ingest Template'!F120 = "Program Type - Live Event"),'Ingest Template'!M120&amp; "|Operations - Core Title|Operations - Core Title|"&amp;TEXT('Ingest Template'!C120-3, "yyyy-mm-dd")&amp;"|"&amp;TEXT('Ingest Template'!C120+3, "yyyy-mm-dd"),'Ingest Template'!M120&amp; "|Operations - Core Title|Operations - Core Title")))</f>
        <v>|Operations - Core Title|Operations - Core Title</v>
      </c>
      <c r="AK120" s="35"/>
      <c r="AL120" s="117" t="str">
        <f>if('Ingest Template'!A120="Standard",(IF(OR('Ingest Template'!F120 = "Program Type - Special", 'Ingest Template'!F120 = "Program Type - Live Event"),'Ingest Template'!Q120&amp;"|"&amp;TEXT('Ingest Template'!C120-3, "yyyy-mm-dd")&amp;"|"&amp;TEXT('Ingest Template'!C120+3, "yyyy-mm-dd"),'Ingest Template'!Q120&amp; "|2021-01-01")),(IF(OR('Ingest Template'!F120 = "Program Type - Special", 'Ingest Template'!F120 = "Program Type - Live Event"),'Ingest Template'!Q120&amp; "|"&amp;TEXT('Ingest Template'!C120-3, "yyyy-mm-dd")&amp;"|"&amp;TEXT('Ingest Template'!C120+3, "yyyy-mm-dd"),'Ingest Template'!Q120)))</f>
        <v/>
      </c>
      <c r="AM120" s="35" t="str">
        <f>'Ingest Template'!AC120</f>
        <v/>
      </c>
    </row>
    <row r="121">
      <c r="A121" s="15"/>
      <c r="B121" s="22" t="str">
        <f>'Ingest Template'!C121&amp;IF('Ingest Template'!A121 = "Standard", " - DAR","")</f>
        <v/>
      </c>
      <c r="C121" s="22" t="s">
        <v>83</v>
      </c>
      <c r="D121" s="22" t="str">
        <f t="array" ref="D121">CONCATENATE(INDEX(DropdownLists!$H$2:$H$11,MATCH(1,COUNTIF('Ingest Template'!E121,"*"&amp;DropdownLists!$I$2:$I$11&amp;"*"),0)),CHAR(10),'Ingest Template'!F121,CHAR(10),'Ingest Template'!G121,CHAR(10),VLOOKUP('Ingest Template'!D121,DropdownLists!C:D,2,FALSE))</f>
        <v>#N/A</v>
      </c>
      <c r="E121" s="22" t="str">
        <f>CONCATENATE('Ingest Template'!H121,CHAR(10),'Ingest Template'!I121,CHAR(10),'Ingest Template'!J121,CHAR(10))</f>
        <v>
</v>
      </c>
      <c r="F121" s="35" t="str">
        <f t="array" ref="F121">INDEX(DropdownLists!$O$2:$O$36,MATCH(1,COUNTIF(E121,"*"&amp;DropdownLists!$N$2:$N$36&amp;"*"),0))</f>
        <v/>
      </c>
      <c r="G121" s="35"/>
      <c r="H121" s="22" t="str">
        <f t="array" ref="H121">INDEX(DropdownLists!$E$2:$E$276,MATCH('Ingest Template'!D121,DropdownLists!$C$2:$C$276,0))</f>
        <v>#N/A</v>
      </c>
      <c r="I121" s="22"/>
      <c r="J121" s="22" t="str">
        <f t="array" ref="J121">iF('Ingest Template'!A121="Standard","Pristine Brand",INDEX(DropdownLists!$B$2:$B$246,MATCH('Ingest Template'!D121,DropdownLists!$C$2:$C$246,0)))</f>
        <v>#N/A</v>
      </c>
      <c r="K121" s="22" t="str">
        <f>iF('Ingest Template'!A121="Standard",'Ingest Template'!K121&amp;CHAR(10)&amp;'Ingest Template'!L121,"Competitive View")</f>
        <v>Competitive View</v>
      </c>
      <c r="L121" s="22" t="s">
        <v>95</v>
      </c>
      <c r="M121" s="45" t="str">
        <f>'Ingest Template'!B121</f>
        <v/>
      </c>
      <c r="N121" s="35"/>
      <c r="O121" s="35"/>
      <c r="P121" s="35"/>
      <c r="Q121" s="35"/>
      <c r="R121" s="35" t="str">
        <f>'Ingest Template'!D121</f>
        <v/>
      </c>
      <c r="S121" s="22" t="s">
        <v>101</v>
      </c>
      <c r="T121" s="35" t="str">
        <f>'Ingest Template'!V121</f>
        <v/>
      </c>
      <c r="U121" s="35" t="str">
        <f>'Ingest Template'!W121</f>
        <v/>
      </c>
      <c r="V121" s="35" t="str">
        <f>LOWER(SUBSTITUTE(SUBSTITUTE(SUBSTITUTE(SUBSTITUTE(SUBSTITUTE('Ingest Template'!X121,"https:",""),"www.",""),"/",""),"?hl=en",""),"instagram.com",""))</f>
        <v/>
      </c>
      <c r="W121" s="74" t="str">
        <f t="array" ref="W121">IF(
'Ingest Template'!Y121="",
SUBSTITUTE(
INDEX(DropdownLists!$F$2:$F$277,MATCH('Ingest Template'!D121,DropdownLists!$C$2:$C$277,0)),
CHAR(10),
"|"&amp;'Ingest Template'!C121&amp;CHAR(10)
)&amp;"|"&amp;'Ingest Template'!C121,
SUBSTITUTE(
INDEX(DropdownLists!$F$2:$F$277,MATCH('Ingest Template'!D121,DropdownLists!$C$2:$C$277,0)),
CHAR(10),
"|"&amp;'Ingest Template'!C121&amp;CHAR(10)
)&amp;"|"&amp;'Ingest Template'!C121&amp;CHAR(10)&amp;'Ingest Template'!Y121
)</f>
        <v>#N/A</v>
      </c>
      <c r="X121" s="74" t="str">
        <f>'Ingest Template'!Z121</f>
        <v/>
      </c>
      <c r="Y121" s="35" t="str">
        <f>SUBSTITUTE(SUBSTITUTE(SUBSTITUTE('Ingest Template'!AA121,"http:",""),"https:",""),"/","")</f>
        <v/>
      </c>
      <c r="Z121" s="35" t="str">
        <f t="array" ref="Z121">IF('Ingest Template'!A121="Standard",(IF(ISBLANK('Ingest Template'!AB121),"", 'Ingest Template'!AB121&amp;"|DAR")),(IF(ISBLANK('Ingest Template'!AB121),"", 'Ingest Template'!AB121&amp;"|TV Ops")))</f>
        <v/>
      </c>
      <c r="AA121" s="35"/>
      <c r="AB121" s="35" t="str">
        <f>'Ingest Template'!R121</f>
        <v/>
      </c>
      <c r="AC121" s="35" t="str">
        <f>'Ingest Template'!T121</f>
        <v/>
      </c>
      <c r="AD121" s="35" t="str">
        <f>'Ingest Template'!S121</f>
        <v/>
      </c>
      <c r="AE121" s="35" t="str">
        <f>'Ingest Template'!U121</f>
        <v/>
      </c>
      <c r="AF121" s="22"/>
      <c r="AG121" s="35" t="str">
        <f t="array" ref="AG121">IF('Ingest Template'!A121="Standard",(CONCATENATE(IF(ISBLANK('Ingest Template'!N121),"", 'Ingest Template'!N121&amp;"|DAR"),CHAR(10), IF(ISBLANK('Ingest Template'!O121),"", 'Ingest Template'!O121&amp;"|DAR"),CHAR(10), IF(ISBLANK('Ingest Template'!P121),"", 'Ingest Template'!P121&amp;"|DAR"))),(CONCATENATE(IF(ISBLANK('Ingest Template'!N121),"", 'Ingest Template'!N121&amp;"|TV Ops"),CHAR(10), IF(ISBLANK('Ingest Template'!O121),"", 'Ingest Template'!O121&amp;"|TV Ops"),CHAR(10), IF(ISBLANK('Ingest Template'!P121),"", 'Ingest Template'!P121&amp;"|TV Ops"))))</f>
        <v>
</v>
      </c>
      <c r="AH121" s="35"/>
      <c r="AI121" s="35"/>
      <c r="AJ121" s="117" t="str">
        <f>if('Ingest Template'!A121="Standard",(IF(OR('Ingest Template'!F121 = "Program Type - Special", 'Ingest Template'!F121 = "Program Type - Live Event"),'Ingest Template'!M121&amp; "|DAR|DAR|"&amp;TEXT('Ingest Template'!C121-3, "yyyy-mm-dd")&amp;"|"&amp;TEXT('Ingest Template'!C121+3, "yyyy-mm-dd"),'Ingest Template'!M121&amp; "|DAR|DAR|2021-01-01")),(IF(OR('Ingest Template'!F121 = "Program Type - Special", 'Ingest Template'!F121 = "Program Type - Live Event"),'Ingest Template'!M121&amp; "|Operations - Core Title|Operations - Core Title|"&amp;TEXT('Ingest Template'!C121-3, "yyyy-mm-dd")&amp;"|"&amp;TEXT('Ingest Template'!C121+3, "yyyy-mm-dd"),'Ingest Template'!M121&amp; "|Operations - Core Title|Operations - Core Title")))</f>
        <v>|Operations - Core Title|Operations - Core Title</v>
      </c>
      <c r="AK121" s="35"/>
      <c r="AL121" s="117" t="str">
        <f>if('Ingest Template'!A121="Standard",(IF(OR('Ingest Template'!F121 = "Program Type - Special", 'Ingest Template'!F121 = "Program Type - Live Event"),'Ingest Template'!Q121&amp;"|"&amp;TEXT('Ingest Template'!C121-3, "yyyy-mm-dd")&amp;"|"&amp;TEXT('Ingest Template'!C121+3, "yyyy-mm-dd"),'Ingest Template'!Q121&amp; "|2021-01-01")),(IF(OR('Ingest Template'!F121 = "Program Type - Special", 'Ingest Template'!F121 = "Program Type - Live Event"),'Ingest Template'!Q121&amp; "|"&amp;TEXT('Ingest Template'!C121-3, "yyyy-mm-dd")&amp;"|"&amp;TEXT('Ingest Template'!C121+3, "yyyy-mm-dd"),'Ingest Template'!Q121)))</f>
        <v/>
      </c>
      <c r="AM121" s="35" t="str">
        <f>'Ingest Template'!AC121</f>
        <v/>
      </c>
    </row>
    <row r="122">
      <c r="A122" s="15"/>
      <c r="B122" s="22" t="str">
        <f>'Ingest Template'!C122&amp;IF('Ingest Template'!A122 = "Standard", " - DAR","")</f>
        <v/>
      </c>
      <c r="C122" s="22" t="s">
        <v>83</v>
      </c>
      <c r="D122" s="22" t="str">
        <f t="array" ref="D122">CONCATENATE(INDEX(DropdownLists!$H$2:$H$11,MATCH(1,COUNTIF('Ingest Template'!E122,"*"&amp;DropdownLists!$I$2:$I$11&amp;"*"),0)),CHAR(10),'Ingest Template'!F122,CHAR(10),'Ingest Template'!G122,CHAR(10),VLOOKUP('Ingest Template'!D122,DropdownLists!C:D,2,FALSE))</f>
        <v>#N/A</v>
      </c>
      <c r="E122" s="22" t="str">
        <f>CONCATENATE('Ingest Template'!H122,CHAR(10),'Ingest Template'!I122,CHAR(10),'Ingest Template'!J122,CHAR(10))</f>
        <v>
</v>
      </c>
      <c r="F122" s="35" t="str">
        <f t="array" ref="F122">INDEX(DropdownLists!$O$2:$O$36,MATCH(1,COUNTIF(E122,"*"&amp;DropdownLists!$N$2:$N$36&amp;"*"),0))</f>
        <v/>
      </c>
      <c r="G122" s="35"/>
      <c r="H122" s="22" t="str">
        <f t="array" ref="H122">INDEX(DropdownLists!$E$2:$E$276,MATCH('Ingest Template'!D122,DropdownLists!$C$2:$C$276,0))</f>
        <v>#N/A</v>
      </c>
      <c r="I122" s="22"/>
      <c r="J122" s="22" t="str">
        <f t="array" ref="J122">iF('Ingest Template'!A122="Standard","Pristine Brand",INDEX(DropdownLists!$B$2:$B$246,MATCH('Ingest Template'!D122,DropdownLists!$C$2:$C$246,0)))</f>
        <v>#N/A</v>
      </c>
      <c r="K122" s="22" t="str">
        <f>iF('Ingest Template'!A122="Standard",'Ingest Template'!K122&amp;CHAR(10)&amp;'Ingest Template'!L122,"Competitive View")</f>
        <v>Competitive View</v>
      </c>
      <c r="L122" s="22" t="s">
        <v>95</v>
      </c>
      <c r="M122" s="45" t="str">
        <f>'Ingest Template'!B122</f>
        <v/>
      </c>
      <c r="N122" s="35"/>
      <c r="O122" s="35"/>
      <c r="P122" s="35"/>
      <c r="Q122" s="35"/>
      <c r="R122" s="35" t="str">
        <f>'Ingest Template'!D122</f>
        <v/>
      </c>
      <c r="S122" s="22" t="s">
        <v>101</v>
      </c>
      <c r="T122" s="35" t="str">
        <f>'Ingest Template'!V122</f>
        <v/>
      </c>
      <c r="U122" s="35" t="str">
        <f>'Ingest Template'!W122</f>
        <v/>
      </c>
      <c r="V122" s="35" t="str">
        <f>LOWER(SUBSTITUTE(SUBSTITUTE(SUBSTITUTE(SUBSTITUTE(SUBSTITUTE('Ingest Template'!X122,"https:",""),"www.",""),"/",""),"?hl=en",""),"instagram.com",""))</f>
        <v/>
      </c>
      <c r="W122" s="74" t="str">
        <f t="array" ref="W122">IF(
'Ingest Template'!Y122="",
SUBSTITUTE(
INDEX(DropdownLists!$F$2:$F$277,MATCH('Ingest Template'!D122,DropdownLists!$C$2:$C$277,0)),
CHAR(10),
"|"&amp;'Ingest Template'!C122&amp;CHAR(10)
)&amp;"|"&amp;'Ingest Template'!C122,
SUBSTITUTE(
INDEX(DropdownLists!$F$2:$F$277,MATCH('Ingest Template'!D122,DropdownLists!$C$2:$C$277,0)),
CHAR(10),
"|"&amp;'Ingest Template'!C122&amp;CHAR(10)
)&amp;"|"&amp;'Ingest Template'!C122&amp;CHAR(10)&amp;'Ingest Template'!Y122
)</f>
        <v>#N/A</v>
      </c>
      <c r="X122" s="74" t="str">
        <f>'Ingest Template'!Z122</f>
        <v/>
      </c>
      <c r="Y122" s="35" t="str">
        <f>SUBSTITUTE(SUBSTITUTE(SUBSTITUTE('Ingest Template'!AA122,"http:",""),"https:",""),"/","")</f>
        <v/>
      </c>
      <c r="Z122" s="35" t="str">
        <f t="array" ref="Z122">IF('Ingest Template'!A122="Standard",(IF(ISBLANK('Ingest Template'!AB122),"", 'Ingest Template'!AB122&amp;"|DAR")),(IF(ISBLANK('Ingest Template'!AB122),"", 'Ingest Template'!AB122&amp;"|TV Ops")))</f>
        <v/>
      </c>
      <c r="AA122" s="35"/>
      <c r="AB122" s="35" t="str">
        <f>'Ingest Template'!R122</f>
        <v/>
      </c>
      <c r="AC122" s="35" t="str">
        <f>'Ingest Template'!T122</f>
        <v/>
      </c>
      <c r="AD122" s="35" t="str">
        <f>'Ingest Template'!S122</f>
        <v/>
      </c>
      <c r="AE122" s="35" t="str">
        <f>'Ingest Template'!U122</f>
        <v/>
      </c>
      <c r="AF122" s="22"/>
      <c r="AG122" s="35" t="str">
        <f t="array" ref="AG122">IF('Ingest Template'!A122="Standard",(CONCATENATE(IF(ISBLANK('Ingest Template'!N122),"", 'Ingest Template'!N122&amp;"|DAR"),CHAR(10), IF(ISBLANK('Ingest Template'!O122),"", 'Ingest Template'!O122&amp;"|DAR"),CHAR(10), IF(ISBLANK('Ingest Template'!P122),"", 'Ingest Template'!P122&amp;"|DAR"))),(CONCATENATE(IF(ISBLANK('Ingest Template'!N122),"", 'Ingest Template'!N122&amp;"|TV Ops"),CHAR(10), IF(ISBLANK('Ingest Template'!O122),"", 'Ingest Template'!O122&amp;"|TV Ops"),CHAR(10), IF(ISBLANK('Ingest Template'!P122),"", 'Ingest Template'!P122&amp;"|TV Ops"))))</f>
        <v>
</v>
      </c>
      <c r="AH122" s="35"/>
      <c r="AI122" s="35"/>
      <c r="AJ122" s="117" t="str">
        <f>if('Ingest Template'!A122="Standard",(IF(OR('Ingest Template'!F122 = "Program Type - Special", 'Ingest Template'!F122 = "Program Type - Live Event"),'Ingest Template'!M122&amp; "|DAR|DAR|"&amp;TEXT('Ingest Template'!C122-3, "yyyy-mm-dd")&amp;"|"&amp;TEXT('Ingest Template'!C122+3, "yyyy-mm-dd"),'Ingest Template'!M122&amp; "|DAR|DAR|2021-01-01")),(IF(OR('Ingest Template'!F122 = "Program Type - Special", 'Ingest Template'!F122 = "Program Type - Live Event"),'Ingest Template'!M122&amp; "|Operations - Core Title|Operations - Core Title|"&amp;TEXT('Ingest Template'!C122-3, "yyyy-mm-dd")&amp;"|"&amp;TEXT('Ingest Template'!C122+3, "yyyy-mm-dd"),'Ingest Template'!M122&amp; "|Operations - Core Title|Operations - Core Title")))</f>
        <v>|Operations - Core Title|Operations - Core Title</v>
      </c>
      <c r="AK122" s="35"/>
      <c r="AL122" s="117" t="str">
        <f>if('Ingest Template'!A122="Standard",(IF(OR('Ingest Template'!F122 = "Program Type - Special", 'Ingest Template'!F122 = "Program Type - Live Event"),'Ingest Template'!Q122&amp;"|"&amp;TEXT('Ingest Template'!C122-3, "yyyy-mm-dd")&amp;"|"&amp;TEXT('Ingest Template'!C122+3, "yyyy-mm-dd"),'Ingest Template'!Q122&amp; "|2021-01-01")),(IF(OR('Ingest Template'!F122 = "Program Type - Special", 'Ingest Template'!F122 = "Program Type - Live Event"),'Ingest Template'!Q122&amp; "|"&amp;TEXT('Ingest Template'!C122-3, "yyyy-mm-dd")&amp;"|"&amp;TEXT('Ingest Template'!C122+3, "yyyy-mm-dd"),'Ingest Template'!Q122)))</f>
        <v/>
      </c>
      <c r="AM122" s="35" t="str">
        <f>'Ingest Template'!AC122</f>
        <v/>
      </c>
    </row>
    <row r="123">
      <c r="A123" s="15"/>
      <c r="B123" s="22" t="str">
        <f>'Ingest Template'!C123&amp;IF('Ingest Template'!A123 = "Standard", " - DAR","")</f>
        <v/>
      </c>
      <c r="C123" s="22" t="s">
        <v>83</v>
      </c>
      <c r="D123" s="22" t="str">
        <f t="array" ref="D123">CONCATENATE(INDEX(DropdownLists!$H$2:$H$11,MATCH(1,COUNTIF('Ingest Template'!E123,"*"&amp;DropdownLists!$I$2:$I$11&amp;"*"),0)),CHAR(10),'Ingest Template'!F123,CHAR(10),'Ingest Template'!G123,CHAR(10),VLOOKUP('Ingest Template'!D123,DropdownLists!C:D,2,FALSE))</f>
        <v>#N/A</v>
      </c>
      <c r="E123" s="22" t="str">
        <f>CONCATENATE('Ingest Template'!H123,CHAR(10),'Ingest Template'!I123,CHAR(10),'Ingest Template'!J123,CHAR(10))</f>
        <v>
</v>
      </c>
      <c r="F123" s="35" t="str">
        <f t="array" ref="F123">INDEX(DropdownLists!$O$2:$O$36,MATCH(1,COUNTIF(E123,"*"&amp;DropdownLists!$N$2:$N$36&amp;"*"),0))</f>
        <v/>
      </c>
      <c r="G123" s="35"/>
      <c r="H123" s="22" t="str">
        <f t="array" ref="H123">INDEX(DropdownLists!$E$2:$E$276,MATCH('Ingest Template'!D123,DropdownLists!$C$2:$C$276,0))</f>
        <v>#N/A</v>
      </c>
      <c r="I123" s="22"/>
      <c r="J123" s="22" t="str">
        <f t="array" ref="J123">iF('Ingest Template'!A123="Standard","Pristine Brand",INDEX(DropdownLists!$B$2:$B$246,MATCH('Ingest Template'!D123,DropdownLists!$C$2:$C$246,0)))</f>
        <v>#N/A</v>
      </c>
      <c r="K123" s="22" t="str">
        <f>iF('Ingest Template'!A123="Standard",'Ingest Template'!K123&amp;CHAR(10)&amp;'Ingest Template'!L123,"Competitive View")</f>
        <v>Competitive View</v>
      </c>
      <c r="L123" s="22" t="s">
        <v>95</v>
      </c>
      <c r="M123" s="45" t="str">
        <f>'Ingest Template'!B123</f>
        <v/>
      </c>
      <c r="N123" s="35"/>
      <c r="O123" s="35"/>
      <c r="P123" s="35"/>
      <c r="Q123" s="35"/>
      <c r="R123" s="35" t="str">
        <f>'Ingest Template'!D123</f>
        <v/>
      </c>
      <c r="S123" s="22" t="s">
        <v>101</v>
      </c>
      <c r="T123" s="35" t="str">
        <f>'Ingest Template'!V123</f>
        <v/>
      </c>
      <c r="U123" s="35" t="str">
        <f>'Ingest Template'!W123</f>
        <v/>
      </c>
      <c r="V123" s="35" t="str">
        <f>LOWER(SUBSTITUTE(SUBSTITUTE(SUBSTITUTE(SUBSTITUTE(SUBSTITUTE('Ingest Template'!X123,"https:",""),"www.",""),"/",""),"?hl=en",""),"instagram.com",""))</f>
        <v/>
      </c>
      <c r="W123" s="74" t="str">
        <f t="array" ref="W123">IF(
'Ingest Template'!Y123="",
SUBSTITUTE(
INDEX(DropdownLists!$F$2:$F$277,MATCH('Ingest Template'!D123,DropdownLists!$C$2:$C$277,0)),
CHAR(10),
"|"&amp;'Ingest Template'!C123&amp;CHAR(10)
)&amp;"|"&amp;'Ingest Template'!C123,
SUBSTITUTE(
INDEX(DropdownLists!$F$2:$F$277,MATCH('Ingest Template'!D123,DropdownLists!$C$2:$C$277,0)),
CHAR(10),
"|"&amp;'Ingest Template'!C123&amp;CHAR(10)
)&amp;"|"&amp;'Ingest Template'!C123&amp;CHAR(10)&amp;'Ingest Template'!Y123
)</f>
        <v>#N/A</v>
      </c>
      <c r="X123" s="74" t="str">
        <f>'Ingest Template'!Z123</f>
        <v/>
      </c>
      <c r="Y123" s="35" t="str">
        <f>SUBSTITUTE(SUBSTITUTE(SUBSTITUTE('Ingest Template'!AA123,"http:",""),"https:",""),"/","")</f>
        <v/>
      </c>
      <c r="Z123" s="35" t="str">
        <f t="array" ref="Z123">IF('Ingest Template'!A123="Standard",(IF(ISBLANK('Ingest Template'!AB123),"", 'Ingest Template'!AB123&amp;"|DAR")),(IF(ISBLANK('Ingest Template'!AB123),"", 'Ingest Template'!AB123&amp;"|TV Ops")))</f>
        <v/>
      </c>
      <c r="AA123" s="35"/>
      <c r="AB123" s="35" t="str">
        <f>'Ingest Template'!R123</f>
        <v/>
      </c>
      <c r="AC123" s="35" t="str">
        <f>'Ingest Template'!T123</f>
        <v/>
      </c>
      <c r="AD123" s="35" t="str">
        <f>'Ingest Template'!S123</f>
        <v/>
      </c>
      <c r="AE123" s="35" t="str">
        <f>'Ingest Template'!U123</f>
        <v/>
      </c>
      <c r="AF123" s="22"/>
      <c r="AG123" s="35" t="str">
        <f t="array" ref="AG123">IF('Ingest Template'!A123="Standard",(CONCATENATE(IF(ISBLANK('Ingest Template'!N123),"", 'Ingest Template'!N123&amp;"|DAR"),CHAR(10), IF(ISBLANK('Ingest Template'!O123),"", 'Ingest Template'!O123&amp;"|DAR"),CHAR(10), IF(ISBLANK('Ingest Template'!P123),"", 'Ingest Template'!P123&amp;"|DAR"))),(CONCATENATE(IF(ISBLANK('Ingest Template'!N123),"", 'Ingest Template'!N123&amp;"|TV Ops"),CHAR(10), IF(ISBLANK('Ingest Template'!O123),"", 'Ingest Template'!O123&amp;"|TV Ops"),CHAR(10), IF(ISBLANK('Ingest Template'!P123),"", 'Ingest Template'!P123&amp;"|TV Ops"))))</f>
        <v>
</v>
      </c>
      <c r="AH123" s="35"/>
      <c r="AI123" s="35"/>
      <c r="AJ123" s="117" t="str">
        <f>if('Ingest Template'!A123="Standard",(IF(OR('Ingest Template'!F123 = "Program Type - Special", 'Ingest Template'!F123 = "Program Type - Live Event"),'Ingest Template'!M123&amp; "|DAR|DAR|"&amp;TEXT('Ingest Template'!C123-3, "yyyy-mm-dd")&amp;"|"&amp;TEXT('Ingest Template'!C123+3, "yyyy-mm-dd"),'Ingest Template'!M123&amp; "|DAR|DAR|2021-01-01")),(IF(OR('Ingest Template'!F123 = "Program Type - Special", 'Ingest Template'!F123 = "Program Type - Live Event"),'Ingest Template'!M123&amp; "|Operations - Core Title|Operations - Core Title|"&amp;TEXT('Ingest Template'!C123-3, "yyyy-mm-dd")&amp;"|"&amp;TEXT('Ingest Template'!C123+3, "yyyy-mm-dd"),'Ingest Template'!M123&amp; "|Operations - Core Title|Operations - Core Title")))</f>
        <v>|Operations - Core Title|Operations - Core Title</v>
      </c>
      <c r="AK123" s="35"/>
      <c r="AL123" s="117" t="str">
        <f>if('Ingest Template'!A123="Standard",(IF(OR('Ingest Template'!F123 = "Program Type - Special", 'Ingest Template'!F123 = "Program Type - Live Event"),'Ingest Template'!Q123&amp;"|"&amp;TEXT('Ingest Template'!C123-3, "yyyy-mm-dd")&amp;"|"&amp;TEXT('Ingest Template'!C123+3, "yyyy-mm-dd"),'Ingest Template'!Q123&amp; "|2021-01-01")),(IF(OR('Ingest Template'!F123 = "Program Type - Special", 'Ingest Template'!F123 = "Program Type - Live Event"),'Ingest Template'!Q123&amp; "|"&amp;TEXT('Ingest Template'!C123-3, "yyyy-mm-dd")&amp;"|"&amp;TEXT('Ingest Template'!C123+3, "yyyy-mm-dd"),'Ingest Template'!Q123)))</f>
        <v/>
      </c>
      <c r="AM123" s="35" t="str">
        <f>'Ingest Template'!AC123</f>
        <v/>
      </c>
    </row>
    <row r="124">
      <c r="A124" s="15"/>
      <c r="B124" s="22" t="str">
        <f>'Ingest Template'!C124&amp;IF('Ingest Template'!A124 = "Standard", " - DAR","")</f>
        <v/>
      </c>
      <c r="C124" s="22" t="s">
        <v>83</v>
      </c>
      <c r="D124" s="22" t="str">
        <f t="array" ref="D124">CONCATENATE(INDEX(DropdownLists!$H$2:$H$11,MATCH(1,COUNTIF('Ingest Template'!E124,"*"&amp;DropdownLists!$I$2:$I$11&amp;"*"),0)),CHAR(10),'Ingest Template'!F124,CHAR(10),'Ingest Template'!G124,CHAR(10),VLOOKUP('Ingest Template'!D124,DropdownLists!C:D,2,FALSE))</f>
        <v>#N/A</v>
      </c>
      <c r="E124" s="22" t="str">
        <f>CONCATENATE('Ingest Template'!H124,CHAR(10),'Ingest Template'!I124,CHAR(10),'Ingest Template'!J124,CHAR(10))</f>
        <v>
</v>
      </c>
      <c r="F124" s="35" t="str">
        <f t="array" ref="F124">INDEX(DropdownLists!$O$2:$O$36,MATCH(1,COUNTIF(E124,"*"&amp;DropdownLists!$N$2:$N$36&amp;"*"),0))</f>
        <v/>
      </c>
      <c r="G124" s="35"/>
      <c r="H124" s="22" t="str">
        <f t="array" ref="H124">INDEX(DropdownLists!$E$2:$E$276,MATCH('Ingest Template'!D124,DropdownLists!$C$2:$C$276,0))</f>
        <v>#N/A</v>
      </c>
      <c r="I124" s="22"/>
      <c r="J124" s="22" t="str">
        <f t="array" ref="J124">iF('Ingest Template'!A124="Standard","Pristine Brand",INDEX(DropdownLists!$B$2:$B$246,MATCH('Ingest Template'!D124,DropdownLists!$C$2:$C$246,0)))</f>
        <v>#N/A</v>
      </c>
      <c r="K124" s="22" t="str">
        <f>iF('Ingest Template'!A124="Standard",'Ingest Template'!K124&amp;CHAR(10)&amp;'Ingest Template'!L124,"Competitive View")</f>
        <v>Competitive View</v>
      </c>
      <c r="L124" s="22" t="s">
        <v>95</v>
      </c>
      <c r="M124" s="45" t="str">
        <f>'Ingest Template'!B124</f>
        <v/>
      </c>
      <c r="N124" s="35"/>
      <c r="O124" s="35"/>
      <c r="P124" s="35"/>
      <c r="Q124" s="35"/>
      <c r="R124" s="35" t="str">
        <f>'Ingest Template'!D124</f>
        <v/>
      </c>
      <c r="S124" s="22" t="s">
        <v>101</v>
      </c>
      <c r="T124" s="35" t="str">
        <f>'Ingest Template'!V124</f>
        <v/>
      </c>
      <c r="U124" s="35" t="str">
        <f>'Ingest Template'!W124</f>
        <v/>
      </c>
      <c r="V124" s="35" t="str">
        <f>LOWER(SUBSTITUTE(SUBSTITUTE(SUBSTITUTE(SUBSTITUTE(SUBSTITUTE('Ingest Template'!X124,"https:",""),"www.",""),"/",""),"?hl=en",""),"instagram.com",""))</f>
        <v/>
      </c>
      <c r="W124" s="74" t="str">
        <f t="array" ref="W124">IF(
'Ingest Template'!Y124="",
SUBSTITUTE(
INDEX(DropdownLists!$F$2:$F$277,MATCH('Ingest Template'!D124,DropdownLists!$C$2:$C$277,0)),
CHAR(10),
"|"&amp;'Ingest Template'!C124&amp;CHAR(10)
)&amp;"|"&amp;'Ingest Template'!C124,
SUBSTITUTE(
INDEX(DropdownLists!$F$2:$F$277,MATCH('Ingest Template'!D124,DropdownLists!$C$2:$C$277,0)),
CHAR(10),
"|"&amp;'Ingest Template'!C124&amp;CHAR(10)
)&amp;"|"&amp;'Ingest Template'!C124&amp;CHAR(10)&amp;'Ingest Template'!Y124
)</f>
        <v>#N/A</v>
      </c>
      <c r="X124" s="74" t="str">
        <f>'Ingest Template'!Z124</f>
        <v/>
      </c>
      <c r="Y124" s="35" t="str">
        <f>SUBSTITUTE(SUBSTITUTE(SUBSTITUTE('Ingest Template'!AA124,"http:",""),"https:",""),"/","")</f>
        <v/>
      </c>
      <c r="Z124" s="35" t="str">
        <f t="array" ref="Z124">IF('Ingest Template'!A124="Standard",(IF(ISBLANK('Ingest Template'!AB124),"", 'Ingest Template'!AB124&amp;"|DAR")),(IF(ISBLANK('Ingest Template'!AB124),"", 'Ingest Template'!AB124&amp;"|TV Ops")))</f>
        <v/>
      </c>
      <c r="AA124" s="35"/>
      <c r="AB124" s="35" t="str">
        <f>'Ingest Template'!R124</f>
        <v/>
      </c>
      <c r="AC124" s="35" t="str">
        <f>'Ingest Template'!T124</f>
        <v/>
      </c>
      <c r="AD124" s="35" t="str">
        <f>'Ingest Template'!S124</f>
        <v/>
      </c>
      <c r="AE124" s="35" t="str">
        <f>'Ingest Template'!U124</f>
        <v/>
      </c>
      <c r="AF124" s="22"/>
      <c r="AG124" s="35" t="str">
        <f t="array" ref="AG124">IF('Ingest Template'!A124="Standard",(CONCATENATE(IF(ISBLANK('Ingest Template'!N124),"", 'Ingest Template'!N124&amp;"|DAR"),CHAR(10), IF(ISBLANK('Ingest Template'!O124),"", 'Ingest Template'!O124&amp;"|DAR"),CHAR(10), IF(ISBLANK('Ingest Template'!P124),"", 'Ingest Template'!P124&amp;"|DAR"))),(CONCATENATE(IF(ISBLANK('Ingest Template'!N124),"", 'Ingest Template'!N124&amp;"|TV Ops"),CHAR(10), IF(ISBLANK('Ingest Template'!O124),"", 'Ingest Template'!O124&amp;"|TV Ops"),CHAR(10), IF(ISBLANK('Ingest Template'!P124),"", 'Ingest Template'!P124&amp;"|TV Ops"))))</f>
        <v>
</v>
      </c>
      <c r="AH124" s="35"/>
      <c r="AI124" s="35"/>
      <c r="AJ124" s="117" t="str">
        <f>if('Ingest Template'!A124="Standard",(IF(OR('Ingest Template'!F124 = "Program Type - Special", 'Ingest Template'!F124 = "Program Type - Live Event"),'Ingest Template'!M124&amp; "|DAR|DAR|"&amp;TEXT('Ingest Template'!C124-3, "yyyy-mm-dd")&amp;"|"&amp;TEXT('Ingest Template'!C124+3, "yyyy-mm-dd"),'Ingest Template'!M124&amp; "|DAR|DAR|2021-01-01")),(IF(OR('Ingest Template'!F124 = "Program Type - Special", 'Ingest Template'!F124 = "Program Type - Live Event"),'Ingest Template'!M124&amp; "|Operations - Core Title|Operations - Core Title|"&amp;TEXT('Ingest Template'!C124-3, "yyyy-mm-dd")&amp;"|"&amp;TEXT('Ingest Template'!C124+3, "yyyy-mm-dd"),'Ingest Template'!M124&amp; "|Operations - Core Title|Operations - Core Title")))</f>
        <v>|Operations - Core Title|Operations - Core Title</v>
      </c>
      <c r="AK124" s="35"/>
      <c r="AL124" s="117" t="str">
        <f>if('Ingest Template'!A124="Standard",(IF(OR('Ingest Template'!F124 = "Program Type - Special", 'Ingest Template'!F124 = "Program Type - Live Event"),'Ingest Template'!Q124&amp;"|"&amp;TEXT('Ingest Template'!C124-3, "yyyy-mm-dd")&amp;"|"&amp;TEXT('Ingest Template'!C124+3, "yyyy-mm-dd"),'Ingest Template'!Q124&amp; "|2021-01-01")),(IF(OR('Ingest Template'!F124 = "Program Type - Special", 'Ingest Template'!F124 = "Program Type - Live Event"),'Ingest Template'!Q124&amp; "|"&amp;TEXT('Ingest Template'!C124-3, "yyyy-mm-dd")&amp;"|"&amp;TEXT('Ingest Template'!C124+3, "yyyy-mm-dd"),'Ingest Template'!Q124)))</f>
        <v/>
      </c>
      <c r="AM124" s="35" t="str">
        <f>'Ingest Template'!AC124</f>
        <v/>
      </c>
    </row>
    <row r="125">
      <c r="A125" s="15"/>
      <c r="B125" s="22" t="str">
        <f>'Ingest Template'!C125&amp;IF('Ingest Template'!A125 = "Standard", " - DAR","")</f>
        <v/>
      </c>
      <c r="C125" s="22" t="s">
        <v>83</v>
      </c>
      <c r="D125" s="22" t="str">
        <f t="array" ref="D125">CONCATENATE(INDEX(DropdownLists!$H$2:$H$11,MATCH(1,COUNTIF('Ingest Template'!E125,"*"&amp;DropdownLists!$I$2:$I$11&amp;"*"),0)),CHAR(10),'Ingest Template'!F125,CHAR(10),'Ingest Template'!G125,CHAR(10),VLOOKUP('Ingest Template'!D125,DropdownLists!C:D,2,FALSE))</f>
        <v>#N/A</v>
      </c>
      <c r="E125" s="22" t="str">
        <f>CONCATENATE('Ingest Template'!H125,CHAR(10),'Ingest Template'!I125,CHAR(10),'Ingest Template'!J125,CHAR(10))</f>
        <v>
</v>
      </c>
      <c r="F125" s="35" t="str">
        <f t="array" ref="F125">INDEX(DropdownLists!$O$2:$O$36,MATCH(1,COUNTIF(E125,"*"&amp;DropdownLists!$N$2:$N$36&amp;"*"),0))</f>
        <v/>
      </c>
      <c r="G125" s="35"/>
      <c r="H125" s="22" t="str">
        <f t="array" ref="H125">INDEX(DropdownLists!$E$2:$E$276,MATCH('Ingest Template'!D125,DropdownLists!$C$2:$C$276,0))</f>
        <v>#N/A</v>
      </c>
      <c r="I125" s="22"/>
      <c r="J125" s="22" t="str">
        <f t="array" ref="J125">iF('Ingest Template'!A125="Standard","Pristine Brand",INDEX(DropdownLists!$B$2:$B$246,MATCH('Ingest Template'!D125,DropdownLists!$C$2:$C$246,0)))</f>
        <v>#N/A</v>
      </c>
      <c r="K125" s="22" t="str">
        <f>iF('Ingest Template'!A125="Standard",'Ingest Template'!K125&amp;CHAR(10)&amp;'Ingest Template'!L125,"Competitive View")</f>
        <v>Competitive View</v>
      </c>
      <c r="L125" s="22" t="s">
        <v>95</v>
      </c>
      <c r="M125" s="45" t="str">
        <f>'Ingest Template'!B125</f>
        <v/>
      </c>
      <c r="N125" s="35"/>
      <c r="O125" s="35"/>
      <c r="P125" s="35"/>
      <c r="Q125" s="35"/>
      <c r="R125" s="35" t="str">
        <f>'Ingest Template'!D125</f>
        <v/>
      </c>
      <c r="S125" s="22" t="s">
        <v>101</v>
      </c>
      <c r="T125" s="35" t="str">
        <f>'Ingest Template'!V125</f>
        <v/>
      </c>
      <c r="U125" s="35" t="str">
        <f>'Ingest Template'!W125</f>
        <v/>
      </c>
      <c r="V125" s="35" t="str">
        <f>LOWER(SUBSTITUTE(SUBSTITUTE(SUBSTITUTE(SUBSTITUTE(SUBSTITUTE('Ingest Template'!X125,"https:",""),"www.",""),"/",""),"?hl=en",""),"instagram.com",""))</f>
        <v/>
      </c>
      <c r="W125" s="74" t="str">
        <f t="array" ref="W125">IF(
'Ingest Template'!Y125="",
SUBSTITUTE(
INDEX(DropdownLists!$F$2:$F$277,MATCH('Ingest Template'!D125,DropdownLists!$C$2:$C$277,0)),
CHAR(10),
"|"&amp;'Ingest Template'!C125&amp;CHAR(10)
)&amp;"|"&amp;'Ingest Template'!C125,
SUBSTITUTE(
INDEX(DropdownLists!$F$2:$F$277,MATCH('Ingest Template'!D125,DropdownLists!$C$2:$C$277,0)),
CHAR(10),
"|"&amp;'Ingest Template'!C125&amp;CHAR(10)
)&amp;"|"&amp;'Ingest Template'!C125&amp;CHAR(10)&amp;'Ingest Template'!Y125
)</f>
        <v>#N/A</v>
      </c>
      <c r="X125" s="74" t="str">
        <f>'Ingest Template'!Z125</f>
        <v/>
      </c>
      <c r="Y125" s="35" t="str">
        <f>SUBSTITUTE(SUBSTITUTE(SUBSTITUTE('Ingest Template'!AA125,"http:",""),"https:",""),"/","")</f>
        <v/>
      </c>
      <c r="Z125" s="35" t="str">
        <f t="array" ref="Z125">IF('Ingest Template'!A125="Standard",(IF(ISBLANK('Ingest Template'!AB125),"", 'Ingest Template'!AB125&amp;"|DAR")),(IF(ISBLANK('Ingest Template'!AB125),"", 'Ingest Template'!AB125&amp;"|TV Ops")))</f>
        <v/>
      </c>
      <c r="AA125" s="35"/>
      <c r="AB125" s="35" t="str">
        <f>'Ingest Template'!R125</f>
        <v/>
      </c>
      <c r="AC125" s="35" t="str">
        <f>'Ingest Template'!T125</f>
        <v/>
      </c>
      <c r="AD125" s="35" t="str">
        <f>'Ingest Template'!S125</f>
        <v/>
      </c>
      <c r="AE125" s="35" t="str">
        <f>'Ingest Template'!U125</f>
        <v/>
      </c>
      <c r="AF125" s="22"/>
      <c r="AG125" s="35" t="str">
        <f t="array" ref="AG125">IF('Ingest Template'!A125="Standard",(CONCATENATE(IF(ISBLANK('Ingest Template'!N125),"", 'Ingest Template'!N125&amp;"|DAR"),CHAR(10), IF(ISBLANK('Ingest Template'!O125),"", 'Ingest Template'!O125&amp;"|DAR"),CHAR(10), IF(ISBLANK('Ingest Template'!P125),"", 'Ingest Template'!P125&amp;"|DAR"))),(CONCATENATE(IF(ISBLANK('Ingest Template'!N125),"", 'Ingest Template'!N125&amp;"|TV Ops"),CHAR(10), IF(ISBLANK('Ingest Template'!O125),"", 'Ingest Template'!O125&amp;"|TV Ops"),CHAR(10), IF(ISBLANK('Ingest Template'!P125),"", 'Ingest Template'!P125&amp;"|TV Ops"))))</f>
        <v>
</v>
      </c>
      <c r="AH125" s="35"/>
      <c r="AI125" s="35"/>
      <c r="AJ125" s="117" t="str">
        <f>if('Ingest Template'!A125="Standard",(IF(OR('Ingest Template'!F125 = "Program Type - Special", 'Ingest Template'!F125 = "Program Type - Live Event"),'Ingest Template'!M125&amp; "|DAR|DAR|"&amp;TEXT('Ingest Template'!C125-3, "yyyy-mm-dd")&amp;"|"&amp;TEXT('Ingest Template'!C125+3, "yyyy-mm-dd"),'Ingest Template'!M125&amp; "|DAR|DAR|2021-01-01")),(IF(OR('Ingest Template'!F125 = "Program Type - Special", 'Ingest Template'!F125 = "Program Type - Live Event"),'Ingest Template'!M125&amp; "|Operations - Core Title|Operations - Core Title|"&amp;TEXT('Ingest Template'!C125-3, "yyyy-mm-dd")&amp;"|"&amp;TEXT('Ingest Template'!C125+3, "yyyy-mm-dd"),'Ingest Template'!M125&amp; "|Operations - Core Title|Operations - Core Title")))</f>
        <v>|Operations - Core Title|Operations - Core Title</v>
      </c>
      <c r="AK125" s="35"/>
      <c r="AL125" s="117" t="str">
        <f>if('Ingest Template'!A125="Standard",(IF(OR('Ingest Template'!F125 = "Program Type - Special", 'Ingest Template'!F125 = "Program Type - Live Event"),'Ingest Template'!Q125&amp;"|"&amp;TEXT('Ingest Template'!C125-3, "yyyy-mm-dd")&amp;"|"&amp;TEXT('Ingest Template'!C125+3, "yyyy-mm-dd"),'Ingest Template'!Q125&amp; "|2021-01-01")),(IF(OR('Ingest Template'!F125 = "Program Type - Special", 'Ingest Template'!F125 = "Program Type - Live Event"),'Ingest Template'!Q125&amp; "|"&amp;TEXT('Ingest Template'!C125-3, "yyyy-mm-dd")&amp;"|"&amp;TEXT('Ingest Template'!C125+3, "yyyy-mm-dd"),'Ingest Template'!Q125)))</f>
        <v/>
      </c>
      <c r="AM125" s="35" t="str">
        <f>'Ingest Template'!AC125</f>
        <v/>
      </c>
    </row>
    <row r="126">
      <c r="A126" s="15"/>
      <c r="B126" s="22" t="str">
        <f>'Ingest Template'!C126&amp;IF('Ingest Template'!A126 = "Standard", " - DAR","")</f>
        <v/>
      </c>
      <c r="C126" s="22" t="s">
        <v>83</v>
      </c>
      <c r="D126" s="22" t="str">
        <f t="array" ref="D126">CONCATENATE(INDEX(DropdownLists!$H$2:$H$11,MATCH(1,COUNTIF('Ingest Template'!E126,"*"&amp;DropdownLists!$I$2:$I$11&amp;"*"),0)),CHAR(10),'Ingest Template'!F126,CHAR(10),'Ingest Template'!G126,CHAR(10),VLOOKUP('Ingest Template'!D126,DropdownLists!C:D,2,FALSE))</f>
        <v>#N/A</v>
      </c>
      <c r="E126" s="22" t="str">
        <f>CONCATENATE('Ingest Template'!H126,CHAR(10),'Ingest Template'!I126,CHAR(10),'Ingest Template'!J126,CHAR(10))</f>
        <v>
</v>
      </c>
      <c r="F126" s="35" t="str">
        <f t="array" ref="F126">INDEX(DropdownLists!$O$2:$O$36,MATCH(1,COUNTIF(E126,"*"&amp;DropdownLists!$N$2:$N$36&amp;"*"),0))</f>
        <v/>
      </c>
      <c r="G126" s="35"/>
      <c r="H126" s="22" t="str">
        <f t="array" ref="H126">INDEX(DropdownLists!$E$2:$E$276,MATCH('Ingest Template'!D126,DropdownLists!$C$2:$C$276,0))</f>
        <v>#N/A</v>
      </c>
      <c r="I126" s="22"/>
      <c r="J126" s="22" t="str">
        <f t="array" ref="J126">iF('Ingest Template'!A126="Standard","Pristine Brand",INDEX(DropdownLists!$B$2:$B$246,MATCH('Ingest Template'!D126,DropdownLists!$C$2:$C$246,0)))</f>
        <v>#N/A</v>
      </c>
      <c r="K126" s="22" t="str">
        <f>iF('Ingest Template'!A126="Standard",'Ingest Template'!K126&amp;CHAR(10)&amp;'Ingest Template'!L126,"Competitive View")</f>
        <v>Competitive View</v>
      </c>
      <c r="L126" s="22" t="s">
        <v>95</v>
      </c>
      <c r="M126" s="45" t="str">
        <f>'Ingest Template'!B126</f>
        <v/>
      </c>
      <c r="N126" s="35"/>
      <c r="O126" s="35"/>
      <c r="P126" s="35"/>
      <c r="Q126" s="35"/>
      <c r="R126" s="35" t="str">
        <f>'Ingest Template'!D126</f>
        <v/>
      </c>
      <c r="S126" s="22" t="s">
        <v>101</v>
      </c>
      <c r="T126" s="35" t="str">
        <f>'Ingest Template'!V126</f>
        <v/>
      </c>
      <c r="U126" s="35" t="str">
        <f>'Ingest Template'!W126</f>
        <v/>
      </c>
      <c r="V126" s="35" t="str">
        <f>LOWER(SUBSTITUTE(SUBSTITUTE(SUBSTITUTE(SUBSTITUTE(SUBSTITUTE('Ingest Template'!X126,"https:",""),"www.",""),"/",""),"?hl=en",""),"instagram.com",""))</f>
        <v/>
      </c>
      <c r="W126" s="74" t="str">
        <f t="array" ref="W126">IF(
'Ingest Template'!Y126="",
SUBSTITUTE(
INDEX(DropdownLists!$F$2:$F$277,MATCH('Ingest Template'!D126,DropdownLists!$C$2:$C$277,0)),
CHAR(10),
"|"&amp;'Ingest Template'!C126&amp;CHAR(10)
)&amp;"|"&amp;'Ingest Template'!C126,
SUBSTITUTE(
INDEX(DropdownLists!$F$2:$F$277,MATCH('Ingest Template'!D126,DropdownLists!$C$2:$C$277,0)),
CHAR(10),
"|"&amp;'Ingest Template'!C126&amp;CHAR(10)
)&amp;"|"&amp;'Ingest Template'!C126&amp;CHAR(10)&amp;'Ingest Template'!Y126
)</f>
        <v>#N/A</v>
      </c>
      <c r="X126" s="74" t="str">
        <f>'Ingest Template'!Z126</f>
        <v/>
      </c>
      <c r="Y126" s="35" t="str">
        <f>SUBSTITUTE(SUBSTITUTE(SUBSTITUTE('Ingest Template'!AA126,"http:",""),"https:",""),"/","")</f>
        <v/>
      </c>
      <c r="Z126" s="35" t="str">
        <f t="array" ref="Z126">IF('Ingest Template'!A126="Standard",(IF(ISBLANK('Ingest Template'!AB126),"", 'Ingest Template'!AB126&amp;"|DAR")),(IF(ISBLANK('Ingest Template'!AB126),"", 'Ingest Template'!AB126&amp;"|TV Ops")))</f>
        <v/>
      </c>
      <c r="AA126" s="35"/>
      <c r="AB126" s="35" t="str">
        <f>'Ingest Template'!R126</f>
        <v/>
      </c>
      <c r="AC126" s="35" t="str">
        <f>'Ingest Template'!T126</f>
        <v/>
      </c>
      <c r="AD126" s="35" t="str">
        <f>'Ingest Template'!S126</f>
        <v/>
      </c>
      <c r="AE126" s="35" t="str">
        <f>'Ingest Template'!U126</f>
        <v/>
      </c>
      <c r="AF126" s="22"/>
      <c r="AG126" s="35" t="str">
        <f t="array" ref="AG126">IF('Ingest Template'!A126="Standard",(CONCATENATE(IF(ISBLANK('Ingest Template'!N126),"", 'Ingest Template'!N126&amp;"|DAR"),CHAR(10), IF(ISBLANK('Ingest Template'!O126),"", 'Ingest Template'!O126&amp;"|DAR"),CHAR(10), IF(ISBLANK('Ingest Template'!P126),"", 'Ingest Template'!P126&amp;"|DAR"))),(CONCATENATE(IF(ISBLANK('Ingest Template'!N126),"", 'Ingest Template'!N126&amp;"|TV Ops"),CHAR(10), IF(ISBLANK('Ingest Template'!O126),"", 'Ingest Template'!O126&amp;"|TV Ops"),CHAR(10), IF(ISBLANK('Ingest Template'!P126),"", 'Ingest Template'!P126&amp;"|TV Ops"))))</f>
        <v>
</v>
      </c>
      <c r="AH126" s="35"/>
      <c r="AI126" s="35"/>
      <c r="AJ126" s="117" t="str">
        <f>if('Ingest Template'!A126="Standard",(IF(OR('Ingest Template'!F126 = "Program Type - Special", 'Ingest Template'!F126 = "Program Type - Live Event"),'Ingest Template'!M126&amp; "|DAR|DAR|"&amp;TEXT('Ingest Template'!C126-3, "yyyy-mm-dd")&amp;"|"&amp;TEXT('Ingest Template'!C126+3, "yyyy-mm-dd"),'Ingest Template'!M126&amp; "|DAR|DAR|2021-01-01")),(IF(OR('Ingest Template'!F126 = "Program Type - Special", 'Ingest Template'!F126 = "Program Type - Live Event"),'Ingest Template'!M126&amp; "|Operations - Core Title|Operations - Core Title|"&amp;TEXT('Ingest Template'!C126-3, "yyyy-mm-dd")&amp;"|"&amp;TEXT('Ingest Template'!C126+3, "yyyy-mm-dd"),'Ingest Template'!M126&amp; "|Operations - Core Title|Operations - Core Title")))</f>
        <v>|Operations - Core Title|Operations - Core Title</v>
      </c>
      <c r="AK126" s="35"/>
      <c r="AL126" s="117" t="str">
        <f>if('Ingest Template'!A126="Standard",(IF(OR('Ingest Template'!F126 = "Program Type - Special", 'Ingest Template'!F126 = "Program Type - Live Event"),'Ingest Template'!Q126&amp;"|"&amp;TEXT('Ingest Template'!C126-3, "yyyy-mm-dd")&amp;"|"&amp;TEXT('Ingest Template'!C126+3, "yyyy-mm-dd"),'Ingest Template'!Q126&amp; "|2021-01-01")),(IF(OR('Ingest Template'!F126 = "Program Type - Special", 'Ingest Template'!F126 = "Program Type - Live Event"),'Ingest Template'!Q126&amp; "|"&amp;TEXT('Ingest Template'!C126-3, "yyyy-mm-dd")&amp;"|"&amp;TEXT('Ingest Template'!C126+3, "yyyy-mm-dd"),'Ingest Template'!Q126)))</f>
        <v/>
      </c>
      <c r="AM126" s="35" t="str">
        <f>'Ingest Template'!AC126</f>
        <v/>
      </c>
    </row>
    <row r="127">
      <c r="A127" s="15"/>
      <c r="B127" s="22" t="str">
        <f>'Ingest Template'!C127&amp;IF('Ingest Template'!A127 = "Standard", " - DAR","")</f>
        <v/>
      </c>
      <c r="C127" s="22" t="s">
        <v>83</v>
      </c>
      <c r="D127" s="22" t="str">
        <f t="array" ref="D127">CONCATENATE(INDEX(DropdownLists!$H$2:$H$11,MATCH(1,COUNTIF('Ingest Template'!E127,"*"&amp;DropdownLists!$I$2:$I$11&amp;"*"),0)),CHAR(10),'Ingest Template'!F127,CHAR(10),'Ingest Template'!G127,CHAR(10),VLOOKUP('Ingest Template'!D127,DropdownLists!C:D,2,FALSE))</f>
        <v>#N/A</v>
      </c>
      <c r="E127" s="22" t="str">
        <f>CONCATENATE('Ingest Template'!H127,CHAR(10),'Ingest Template'!I127,CHAR(10),'Ingest Template'!J127,CHAR(10))</f>
        <v>
</v>
      </c>
      <c r="F127" s="35" t="str">
        <f t="array" ref="F127">INDEX(DropdownLists!$O$2:$O$36,MATCH(1,COUNTIF(E127,"*"&amp;DropdownLists!$N$2:$N$36&amp;"*"),0))</f>
        <v/>
      </c>
      <c r="G127" s="35"/>
      <c r="H127" s="22" t="str">
        <f t="array" ref="H127">INDEX(DropdownLists!$E$2:$E$276,MATCH('Ingest Template'!D127,DropdownLists!$C$2:$C$276,0))</f>
        <v>#N/A</v>
      </c>
      <c r="I127" s="22"/>
      <c r="J127" s="22" t="str">
        <f t="array" ref="J127">iF('Ingest Template'!A127="Standard","Pristine Brand",INDEX(DropdownLists!$B$2:$B$246,MATCH('Ingest Template'!D127,DropdownLists!$C$2:$C$246,0)))</f>
        <v>#N/A</v>
      </c>
      <c r="K127" s="22" t="str">
        <f>iF('Ingest Template'!A127="Standard",'Ingest Template'!K127&amp;CHAR(10)&amp;'Ingest Template'!L127,"Competitive View")</f>
        <v>Competitive View</v>
      </c>
      <c r="L127" s="22" t="s">
        <v>95</v>
      </c>
      <c r="M127" s="45" t="str">
        <f>'Ingest Template'!B127</f>
        <v/>
      </c>
      <c r="N127" s="35"/>
      <c r="O127" s="35"/>
      <c r="P127" s="35"/>
      <c r="Q127" s="35"/>
      <c r="R127" s="35" t="str">
        <f>'Ingest Template'!D127</f>
        <v/>
      </c>
      <c r="S127" s="22" t="s">
        <v>101</v>
      </c>
      <c r="T127" s="35" t="str">
        <f>'Ingest Template'!V127</f>
        <v/>
      </c>
      <c r="U127" s="35" t="str">
        <f>'Ingest Template'!W127</f>
        <v/>
      </c>
      <c r="V127" s="35" t="str">
        <f>LOWER(SUBSTITUTE(SUBSTITUTE(SUBSTITUTE(SUBSTITUTE(SUBSTITUTE('Ingest Template'!X127,"https:",""),"www.",""),"/",""),"?hl=en",""),"instagram.com",""))</f>
        <v/>
      </c>
      <c r="W127" s="74" t="str">
        <f t="array" ref="W127">IF(
'Ingest Template'!Y127="",
SUBSTITUTE(
INDEX(DropdownLists!$F$2:$F$277,MATCH('Ingest Template'!D127,DropdownLists!$C$2:$C$277,0)),
CHAR(10),
"|"&amp;'Ingest Template'!C127&amp;CHAR(10)
)&amp;"|"&amp;'Ingest Template'!C127,
SUBSTITUTE(
INDEX(DropdownLists!$F$2:$F$277,MATCH('Ingest Template'!D127,DropdownLists!$C$2:$C$277,0)),
CHAR(10),
"|"&amp;'Ingest Template'!C127&amp;CHAR(10)
)&amp;"|"&amp;'Ingest Template'!C127&amp;CHAR(10)&amp;'Ingest Template'!Y127
)</f>
        <v>#N/A</v>
      </c>
      <c r="X127" s="74" t="str">
        <f>'Ingest Template'!Z127</f>
        <v/>
      </c>
      <c r="Y127" s="35" t="str">
        <f>SUBSTITUTE(SUBSTITUTE(SUBSTITUTE('Ingest Template'!AA127,"http:",""),"https:",""),"/","")</f>
        <v/>
      </c>
      <c r="Z127" s="35" t="str">
        <f t="array" ref="Z127">IF('Ingest Template'!A127="Standard",(IF(ISBLANK('Ingest Template'!AB127),"", 'Ingest Template'!AB127&amp;"|DAR")),(IF(ISBLANK('Ingest Template'!AB127),"", 'Ingest Template'!AB127&amp;"|TV Ops")))</f>
        <v/>
      </c>
      <c r="AA127" s="35"/>
      <c r="AB127" s="35" t="str">
        <f>'Ingest Template'!R127</f>
        <v/>
      </c>
      <c r="AC127" s="35" t="str">
        <f>'Ingest Template'!T127</f>
        <v/>
      </c>
      <c r="AD127" s="35" t="str">
        <f>'Ingest Template'!S127</f>
        <v/>
      </c>
      <c r="AE127" s="35" t="str">
        <f>'Ingest Template'!U127</f>
        <v/>
      </c>
      <c r="AF127" s="22"/>
      <c r="AG127" s="35" t="str">
        <f t="array" ref="AG127">IF('Ingest Template'!A127="Standard",(CONCATENATE(IF(ISBLANK('Ingest Template'!N127),"", 'Ingest Template'!N127&amp;"|DAR"),CHAR(10), IF(ISBLANK('Ingest Template'!O127),"", 'Ingest Template'!O127&amp;"|DAR"),CHAR(10), IF(ISBLANK('Ingest Template'!P127),"", 'Ingest Template'!P127&amp;"|DAR"))),(CONCATENATE(IF(ISBLANK('Ingest Template'!N127),"", 'Ingest Template'!N127&amp;"|TV Ops"),CHAR(10), IF(ISBLANK('Ingest Template'!O127),"", 'Ingest Template'!O127&amp;"|TV Ops"),CHAR(10), IF(ISBLANK('Ingest Template'!P127),"", 'Ingest Template'!P127&amp;"|TV Ops"))))</f>
        <v>
</v>
      </c>
      <c r="AH127" s="35"/>
      <c r="AI127" s="35"/>
      <c r="AJ127" s="117" t="str">
        <f>if('Ingest Template'!A127="Standard",(IF(OR('Ingest Template'!F127 = "Program Type - Special", 'Ingest Template'!F127 = "Program Type - Live Event"),'Ingest Template'!M127&amp; "|DAR|DAR|"&amp;TEXT('Ingest Template'!C127-3, "yyyy-mm-dd")&amp;"|"&amp;TEXT('Ingest Template'!C127+3, "yyyy-mm-dd"),'Ingest Template'!M127&amp; "|DAR|DAR|2021-01-01")),(IF(OR('Ingest Template'!F127 = "Program Type - Special", 'Ingest Template'!F127 = "Program Type - Live Event"),'Ingest Template'!M127&amp; "|Operations - Core Title|Operations - Core Title|"&amp;TEXT('Ingest Template'!C127-3, "yyyy-mm-dd")&amp;"|"&amp;TEXT('Ingest Template'!C127+3, "yyyy-mm-dd"),'Ingest Template'!M127&amp; "|Operations - Core Title|Operations - Core Title")))</f>
        <v>|Operations - Core Title|Operations - Core Title</v>
      </c>
      <c r="AK127" s="35"/>
      <c r="AL127" s="117" t="str">
        <f>if('Ingest Template'!A127="Standard",(IF(OR('Ingest Template'!F127 = "Program Type - Special", 'Ingest Template'!F127 = "Program Type - Live Event"),'Ingest Template'!Q127&amp;"|"&amp;TEXT('Ingest Template'!C127-3, "yyyy-mm-dd")&amp;"|"&amp;TEXT('Ingest Template'!C127+3, "yyyy-mm-dd"),'Ingest Template'!Q127&amp; "|2021-01-01")),(IF(OR('Ingest Template'!F127 = "Program Type - Special", 'Ingest Template'!F127 = "Program Type - Live Event"),'Ingest Template'!Q127&amp; "|"&amp;TEXT('Ingest Template'!C127-3, "yyyy-mm-dd")&amp;"|"&amp;TEXT('Ingest Template'!C127+3, "yyyy-mm-dd"),'Ingest Template'!Q127)))</f>
        <v/>
      </c>
      <c r="AM127" s="35" t="str">
        <f>'Ingest Template'!AC127</f>
        <v/>
      </c>
    </row>
    <row r="128">
      <c r="A128" s="15"/>
      <c r="B128" s="22" t="str">
        <f>'Ingest Template'!C128&amp;IF('Ingest Template'!A128 = "Standard", " - DAR","")</f>
        <v/>
      </c>
      <c r="C128" s="22" t="s">
        <v>83</v>
      </c>
      <c r="D128" s="22" t="str">
        <f t="array" ref="D128">CONCATENATE(INDEX(DropdownLists!$H$2:$H$11,MATCH(1,COUNTIF('Ingest Template'!E128,"*"&amp;DropdownLists!$I$2:$I$11&amp;"*"),0)),CHAR(10),'Ingest Template'!F128,CHAR(10),'Ingest Template'!G128,CHAR(10),VLOOKUP('Ingest Template'!D128,DropdownLists!C:D,2,FALSE))</f>
        <v>#N/A</v>
      </c>
      <c r="E128" s="22" t="str">
        <f>CONCATENATE('Ingest Template'!H128,CHAR(10),'Ingest Template'!I128,CHAR(10),'Ingest Template'!J128,CHAR(10))</f>
        <v>
</v>
      </c>
      <c r="F128" s="35" t="str">
        <f t="array" ref="F128">INDEX(DropdownLists!$O$2:$O$36,MATCH(1,COUNTIF(E128,"*"&amp;DropdownLists!$N$2:$N$36&amp;"*"),0))</f>
        <v/>
      </c>
      <c r="G128" s="35"/>
      <c r="H128" s="22" t="str">
        <f t="array" ref="H128">INDEX(DropdownLists!$E$2:$E$276,MATCH('Ingest Template'!D128,DropdownLists!$C$2:$C$276,0))</f>
        <v>#N/A</v>
      </c>
      <c r="I128" s="22"/>
      <c r="J128" s="22" t="str">
        <f t="array" ref="J128">iF('Ingest Template'!A128="Standard","Pristine Brand",INDEX(DropdownLists!$B$2:$B$246,MATCH('Ingest Template'!D128,DropdownLists!$C$2:$C$246,0)))</f>
        <v>#N/A</v>
      </c>
      <c r="K128" s="22" t="str">
        <f>iF('Ingest Template'!A128="Standard",'Ingest Template'!K128&amp;CHAR(10)&amp;'Ingest Template'!L128,"Competitive View")</f>
        <v>Competitive View</v>
      </c>
      <c r="L128" s="22" t="s">
        <v>95</v>
      </c>
      <c r="M128" s="45" t="str">
        <f>'Ingest Template'!B128</f>
        <v/>
      </c>
      <c r="N128" s="35"/>
      <c r="O128" s="35"/>
      <c r="P128" s="35"/>
      <c r="Q128" s="35"/>
      <c r="R128" s="35" t="str">
        <f>'Ingest Template'!D128</f>
        <v/>
      </c>
      <c r="S128" s="22" t="s">
        <v>101</v>
      </c>
      <c r="T128" s="35" t="str">
        <f>'Ingest Template'!V128</f>
        <v/>
      </c>
      <c r="U128" s="35" t="str">
        <f>'Ingest Template'!W128</f>
        <v/>
      </c>
      <c r="V128" s="35" t="str">
        <f>LOWER(SUBSTITUTE(SUBSTITUTE(SUBSTITUTE(SUBSTITUTE(SUBSTITUTE('Ingest Template'!X128,"https:",""),"www.",""),"/",""),"?hl=en",""),"instagram.com",""))</f>
        <v/>
      </c>
      <c r="W128" s="74" t="str">
        <f t="array" ref="W128">IF(
'Ingest Template'!Y128="",
SUBSTITUTE(
INDEX(DropdownLists!$F$2:$F$277,MATCH('Ingest Template'!D128,DropdownLists!$C$2:$C$277,0)),
CHAR(10),
"|"&amp;'Ingest Template'!C128&amp;CHAR(10)
)&amp;"|"&amp;'Ingest Template'!C128,
SUBSTITUTE(
INDEX(DropdownLists!$F$2:$F$277,MATCH('Ingest Template'!D128,DropdownLists!$C$2:$C$277,0)),
CHAR(10),
"|"&amp;'Ingest Template'!C128&amp;CHAR(10)
)&amp;"|"&amp;'Ingest Template'!C128&amp;CHAR(10)&amp;'Ingest Template'!Y128
)</f>
        <v>#N/A</v>
      </c>
      <c r="X128" s="74" t="str">
        <f>'Ingest Template'!Z128</f>
        <v/>
      </c>
      <c r="Y128" s="35" t="str">
        <f>SUBSTITUTE(SUBSTITUTE(SUBSTITUTE('Ingest Template'!AA128,"http:",""),"https:",""),"/","")</f>
        <v/>
      </c>
      <c r="Z128" s="35" t="str">
        <f t="array" ref="Z128">IF('Ingest Template'!A128="Standard",(IF(ISBLANK('Ingest Template'!AB128),"", 'Ingest Template'!AB128&amp;"|DAR")),(IF(ISBLANK('Ingest Template'!AB128),"", 'Ingest Template'!AB128&amp;"|TV Ops")))</f>
        <v/>
      </c>
      <c r="AA128" s="35"/>
      <c r="AB128" s="35" t="str">
        <f>'Ingest Template'!R128</f>
        <v/>
      </c>
      <c r="AC128" s="35" t="str">
        <f>'Ingest Template'!T128</f>
        <v/>
      </c>
      <c r="AD128" s="35" t="str">
        <f>'Ingest Template'!S128</f>
        <v/>
      </c>
      <c r="AE128" s="35" t="str">
        <f>'Ingest Template'!U128</f>
        <v/>
      </c>
      <c r="AF128" s="22"/>
      <c r="AG128" s="35" t="str">
        <f t="array" ref="AG128">IF('Ingest Template'!A128="Standard",(CONCATENATE(IF(ISBLANK('Ingest Template'!N128),"", 'Ingest Template'!N128&amp;"|DAR"),CHAR(10), IF(ISBLANK('Ingest Template'!O128),"", 'Ingest Template'!O128&amp;"|DAR"),CHAR(10), IF(ISBLANK('Ingest Template'!P128),"", 'Ingest Template'!P128&amp;"|DAR"))),(CONCATENATE(IF(ISBLANK('Ingest Template'!N128),"", 'Ingest Template'!N128&amp;"|TV Ops"),CHAR(10), IF(ISBLANK('Ingest Template'!O128),"", 'Ingest Template'!O128&amp;"|TV Ops"),CHAR(10), IF(ISBLANK('Ingest Template'!P128),"", 'Ingest Template'!P128&amp;"|TV Ops"))))</f>
        <v>
</v>
      </c>
      <c r="AH128" s="35"/>
      <c r="AI128" s="35"/>
      <c r="AJ128" s="117" t="str">
        <f>if('Ingest Template'!A128="Standard",(IF(OR('Ingest Template'!F128 = "Program Type - Special", 'Ingest Template'!F128 = "Program Type - Live Event"),'Ingest Template'!M128&amp; "|DAR|DAR|"&amp;TEXT('Ingest Template'!C128-3, "yyyy-mm-dd")&amp;"|"&amp;TEXT('Ingest Template'!C128+3, "yyyy-mm-dd"),'Ingest Template'!M128&amp; "|DAR|DAR|2021-01-01")),(IF(OR('Ingest Template'!F128 = "Program Type - Special", 'Ingest Template'!F128 = "Program Type - Live Event"),'Ingest Template'!M128&amp; "|Operations - Core Title|Operations - Core Title|"&amp;TEXT('Ingest Template'!C128-3, "yyyy-mm-dd")&amp;"|"&amp;TEXT('Ingest Template'!C128+3, "yyyy-mm-dd"),'Ingest Template'!M128&amp; "|Operations - Core Title|Operations - Core Title")))</f>
        <v>|Operations - Core Title|Operations - Core Title</v>
      </c>
      <c r="AK128" s="35"/>
      <c r="AL128" s="117" t="str">
        <f>if('Ingest Template'!A128="Standard",(IF(OR('Ingest Template'!F128 = "Program Type - Special", 'Ingest Template'!F128 = "Program Type - Live Event"),'Ingest Template'!Q128&amp;"|"&amp;TEXT('Ingest Template'!C128-3, "yyyy-mm-dd")&amp;"|"&amp;TEXT('Ingest Template'!C128+3, "yyyy-mm-dd"),'Ingest Template'!Q128&amp; "|2021-01-01")),(IF(OR('Ingest Template'!F128 = "Program Type - Special", 'Ingest Template'!F128 = "Program Type - Live Event"),'Ingest Template'!Q128&amp; "|"&amp;TEXT('Ingest Template'!C128-3, "yyyy-mm-dd")&amp;"|"&amp;TEXT('Ingest Template'!C128+3, "yyyy-mm-dd"),'Ingest Template'!Q128)))</f>
        <v/>
      </c>
      <c r="AM128" s="35" t="str">
        <f>'Ingest Template'!AC128</f>
        <v/>
      </c>
    </row>
    <row r="129">
      <c r="A129" s="15"/>
      <c r="B129" s="22" t="str">
        <f>'Ingest Template'!C129&amp;IF('Ingest Template'!A129 = "Standard", " - DAR","")</f>
        <v/>
      </c>
      <c r="C129" s="22" t="s">
        <v>83</v>
      </c>
      <c r="D129" s="22" t="str">
        <f t="array" ref="D129">CONCATENATE(INDEX(DropdownLists!$H$2:$H$11,MATCH(1,COUNTIF('Ingest Template'!E129,"*"&amp;DropdownLists!$I$2:$I$11&amp;"*"),0)),CHAR(10),'Ingest Template'!F129,CHAR(10),'Ingest Template'!G129,CHAR(10),VLOOKUP('Ingest Template'!D129,DropdownLists!C:D,2,FALSE))</f>
        <v>#N/A</v>
      </c>
      <c r="E129" s="22" t="str">
        <f>CONCATENATE('Ingest Template'!H129,CHAR(10),'Ingest Template'!I129,CHAR(10),'Ingest Template'!J129,CHAR(10))</f>
        <v>
</v>
      </c>
      <c r="F129" s="35" t="str">
        <f t="array" ref="F129">INDEX(DropdownLists!$O$2:$O$36,MATCH(1,COUNTIF(E129,"*"&amp;DropdownLists!$N$2:$N$36&amp;"*"),0))</f>
        <v/>
      </c>
      <c r="G129" s="35"/>
      <c r="H129" s="22" t="str">
        <f t="array" ref="H129">INDEX(DropdownLists!$E$2:$E$276,MATCH('Ingest Template'!D129,DropdownLists!$C$2:$C$276,0))</f>
        <v>#N/A</v>
      </c>
      <c r="I129" s="22"/>
      <c r="J129" s="22" t="str">
        <f t="array" ref="J129">iF('Ingest Template'!A129="Standard","Pristine Brand",INDEX(DropdownLists!$B$2:$B$246,MATCH('Ingest Template'!D129,DropdownLists!$C$2:$C$246,0)))</f>
        <v>#N/A</v>
      </c>
      <c r="K129" s="22" t="str">
        <f>iF('Ingest Template'!A129="Standard",'Ingest Template'!K129&amp;CHAR(10)&amp;'Ingest Template'!L129,"Competitive View")</f>
        <v>Competitive View</v>
      </c>
      <c r="L129" s="22" t="s">
        <v>95</v>
      </c>
      <c r="M129" s="45" t="str">
        <f>'Ingest Template'!B129</f>
        <v/>
      </c>
      <c r="N129" s="35"/>
      <c r="O129" s="35"/>
      <c r="P129" s="35"/>
      <c r="Q129" s="35"/>
      <c r="R129" s="35" t="str">
        <f>'Ingest Template'!D129</f>
        <v/>
      </c>
      <c r="S129" s="22" t="s">
        <v>101</v>
      </c>
      <c r="T129" s="35" t="str">
        <f>'Ingest Template'!V129</f>
        <v/>
      </c>
      <c r="U129" s="35" t="str">
        <f>'Ingest Template'!W129</f>
        <v/>
      </c>
      <c r="V129" s="35" t="str">
        <f>LOWER(SUBSTITUTE(SUBSTITUTE(SUBSTITUTE(SUBSTITUTE(SUBSTITUTE('Ingest Template'!X129,"https:",""),"www.",""),"/",""),"?hl=en",""),"instagram.com",""))</f>
        <v/>
      </c>
      <c r="W129" s="74" t="str">
        <f t="array" ref="W129">IF(
'Ingest Template'!Y129="",
SUBSTITUTE(
INDEX(DropdownLists!$F$2:$F$277,MATCH('Ingest Template'!D129,DropdownLists!$C$2:$C$277,0)),
CHAR(10),
"|"&amp;'Ingest Template'!C129&amp;CHAR(10)
)&amp;"|"&amp;'Ingest Template'!C129,
SUBSTITUTE(
INDEX(DropdownLists!$F$2:$F$277,MATCH('Ingest Template'!D129,DropdownLists!$C$2:$C$277,0)),
CHAR(10),
"|"&amp;'Ingest Template'!C129&amp;CHAR(10)
)&amp;"|"&amp;'Ingest Template'!C129&amp;CHAR(10)&amp;'Ingest Template'!Y129
)</f>
        <v>#N/A</v>
      </c>
      <c r="X129" s="74" t="str">
        <f>'Ingest Template'!Z129</f>
        <v/>
      </c>
      <c r="Y129" s="35" t="str">
        <f>SUBSTITUTE(SUBSTITUTE(SUBSTITUTE('Ingest Template'!AA129,"http:",""),"https:",""),"/","")</f>
        <v/>
      </c>
      <c r="Z129" s="35" t="str">
        <f t="array" ref="Z129">IF('Ingest Template'!A129="Standard",(IF(ISBLANK('Ingest Template'!AB129),"", 'Ingest Template'!AB129&amp;"|DAR")),(IF(ISBLANK('Ingest Template'!AB129),"", 'Ingest Template'!AB129&amp;"|TV Ops")))</f>
        <v/>
      </c>
      <c r="AA129" s="35"/>
      <c r="AB129" s="35" t="str">
        <f>'Ingest Template'!R129</f>
        <v/>
      </c>
      <c r="AC129" s="35" t="str">
        <f>'Ingest Template'!T129</f>
        <v/>
      </c>
      <c r="AD129" s="35" t="str">
        <f>'Ingest Template'!S129</f>
        <v/>
      </c>
      <c r="AE129" s="35" t="str">
        <f>'Ingest Template'!U129</f>
        <v/>
      </c>
      <c r="AF129" s="22"/>
      <c r="AG129" s="35" t="str">
        <f t="array" ref="AG129">IF('Ingest Template'!A129="Standard",(CONCATENATE(IF(ISBLANK('Ingest Template'!N129),"", 'Ingest Template'!N129&amp;"|DAR"),CHAR(10), IF(ISBLANK('Ingest Template'!O129),"", 'Ingest Template'!O129&amp;"|DAR"),CHAR(10), IF(ISBLANK('Ingest Template'!P129),"", 'Ingest Template'!P129&amp;"|DAR"))),(CONCATENATE(IF(ISBLANK('Ingest Template'!N129),"", 'Ingest Template'!N129&amp;"|TV Ops"),CHAR(10), IF(ISBLANK('Ingest Template'!O129),"", 'Ingest Template'!O129&amp;"|TV Ops"),CHAR(10), IF(ISBLANK('Ingest Template'!P129),"", 'Ingest Template'!P129&amp;"|TV Ops"))))</f>
        <v>
</v>
      </c>
      <c r="AH129" s="35"/>
      <c r="AI129" s="35"/>
      <c r="AJ129" s="117" t="str">
        <f>if('Ingest Template'!A129="Standard",(IF(OR('Ingest Template'!F129 = "Program Type - Special", 'Ingest Template'!F129 = "Program Type - Live Event"),'Ingest Template'!M129&amp; "|DAR|DAR|"&amp;TEXT('Ingest Template'!C129-3, "yyyy-mm-dd")&amp;"|"&amp;TEXT('Ingest Template'!C129+3, "yyyy-mm-dd"),'Ingest Template'!M129&amp; "|DAR|DAR|2021-01-01")),(IF(OR('Ingest Template'!F129 = "Program Type - Special", 'Ingest Template'!F129 = "Program Type - Live Event"),'Ingest Template'!M129&amp; "|Operations - Core Title|Operations - Core Title|"&amp;TEXT('Ingest Template'!C129-3, "yyyy-mm-dd")&amp;"|"&amp;TEXT('Ingest Template'!C129+3, "yyyy-mm-dd"),'Ingest Template'!M129&amp; "|Operations - Core Title|Operations - Core Title")))</f>
        <v>|Operations - Core Title|Operations - Core Title</v>
      </c>
      <c r="AK129" s="35"/>
      <c r="AL129" s="117" t="str">
        <f>if('Ingest Template'!A129="Standard",(IF(OR('Ingest Template'!F129 = "Program Type - Special", 'Ingest Template'!F129 = "Program Type - Live Event"),'Ingest Template'!Q129&amp;"|"&amp;TEXT('Ingest Template'!C129-3, "yyyy-mm-dd")&amp;"|"&amp;TEXT('Ingest Template'!C129+3, "yyyy-mm-dd"),'Ingest Template'!Q129&amp; "|2021-01-01")),(IF(OR('Ingest Template'!F129 = "Program Type - Special", 'Ingest Template'!F129 = "Program Type - Live Event"),'Ingest Template'!Q129&amp; "|"&amp;TEXT('Ingest Template'!C129-3, "yyyy-mm-dd")&amp;"|"&amp;TEXT('Ingest Template'!C129+3, "yyyy-mm-dd"),'Ingest Template'!Q129)))</f>
        <v/>
      </c>
      <c r="AM129" s="35" t="str">
        <f>'Ingest Template'!AC129</f>
        <v/>
      </c>
    </row>
    <row r="130">
      <c r="A130" s="15"/>
      <c r="B130" s="22" t="str">
        <f>'Ingest Template'!C130&amp;IF('Ingest Template'!A130 = "Standard", " - DAR","")</f>
        <v/>
      </c>
      <c r="C130" s="22" t="s">
        <v>83</v>
      </c>
      <c r="D130" s="22" t="str">
        <f t="array" ref="D130">CONCATENATE(INDEX(DropdownLists!$H$2:$H$11,MATCH(1,COUNTIF('Ingest Template'!E130,"*"&amp;DropdownLists!$I$2:$I$11&amp;"*"),0)),CHAR(10),'Ingest Template'!F130,CHAR(10),'Ingest Template'!G130,CHAR(10),VLOOKUP('Ingest Template'!D130,DropdownLists!C:D,2,FALSE))</f>
        <v>#N/A</v>
      </c>
      <c r="E130" s="22" t="str">
        <f>CONCATENATE('Ingest Template'!H130,CHAR(10),'Ingest Template'!I130,CHAR(10),'Ingest Template'!J130,CHAR(10))</f>
        <v>
</v>
      </c>
      <c r="F130" s="35" t="str">
        <f t="array" ref="F130">INDEX(DropdownLists!$O$2:$O$36,MATCH(1,COUNTIF(E130,"*"&amp;DropdownLists!$N$2:$N$36&amp;"*"),0))</f>
        <v/>
      </c>
      <c r="G130" s="35"/>
      <c r="H130" s="22" t="str">
        <f t="array" ref="H130">INDEX(DropdownLists!$E$2:$E$276,MATCH('Ingest Template'!D130,DropdownLists!$C$2:$C$276,0))</f>
        <v>#N/A</v>
      </c>
      <c r="I130" s="22"/>
      <c r="J130" s="22" t="str">
        <f t="array" ref="J130">iF('Ingest Template'!A130="Standard","Pristine Brand",INDEX(DropdownLists!$B$2:$B$246,MATCH('Ingest Template'!D130,DropdownLists!$C$2:$C$246,0)))</f>
        <v>#N/A</v>
      </c>
      <c r="K130" s="22" t="str">
        <f>iF('Ingest Template'!A130="Standard",'Ingest Template'!K130&amp;CHAR(10)&amp;'Ingest Template'!L130,"Competitive View")</f>
        <v>Competitive View</v>
      </c>
      <c r="L130" s="22" t="s">
        <v>95</v>
      </c>
      <c r="M130" s="45" t="str">
        <f>'Ingest Template'!B130</f>
        <v/>
      </c>
      <c r="N130" s="35"/>
      <c r="O130" s="35"/>
      <c r="P130" s="35"/>
      <c r="Q130" s="35"/>
      <c r="R130" s="35" t="str">
        <f>'Ingest Template'!D130</f>
        <v/>
      </c>
      <c r="S130" s="22" t="s">
        <v>101</v>
      </c>
      <c r="T130" s="35" t="str">
        <f>'Ingest Template'!V130</f>
        <v/>
      </c>
      <c r="U130" s="35" t="str">
        <f>'Ingest Template'!W130</f>
        <v/>
      </c>
      <c r="V130" s="35" t="str">
        <f>LOWER(SUBSTITUTE(SUBSTITUTE(SUBSTITUTE(SUBSTITUTE(SUBSTITUTE('Ingest Template'!X130,"https:",""),"www.",""),"/",""),"?hl=en",""),"instagram.com",""))</f>
        <v/>
      </c>
      <c r="W130" s="74" t="str">
        <f t="array" ref="W130">IF(
'Ingest Template'!Y130="",
SUBSTITUTE(
INDEX(DropdownLists!$F$2:$F$277,MATCH('Ingest Template'!D130,DropdownLists!$C$2:$C$277,0)),
CHAR(10),
"|"&amp;'Ingest Template'!C130&amp;CHAR(10)
)&amp;"|"&amp;'Ingest Template'!C130,
SUBSTITUTE(
INDEX(DropdownLists!$F$2:$F$277,MATCH('Ingest Template'!D130,DropdownLists!$C$2:$C$277,0)),
CHAR(10),
"|"&amp;'Ingest Template'!C130&amp;CHAR(10)
)&amp;"|"&amp;'Ingest Template'!C130&amp;CHAR(10)&amp;'Ingest Template'!Y130
)</f>
        <v>#N/A</v>
      </c>
      <c r="X130" s="74" t="str">
        <f>'Ingest Template'!Z130</f>
        <v/>
      </c>
      <c r="Y130" s="35" t="str">
        <f>SUBSTITUTE(SUBSTITUTE(SUBSTITUTE('Ingest Template'!AA130,"http:",""),"https:",""),"/","")</f>
        <v/>
      </c>
      <c r="Z130" s="35" t="str">
        <f t="array" ref="Z130">IF('Ingest Template'!A130="Standard",(IF(ISBLANK('Ingest Template'!AB130),"", 'Ingest Template'!AB130&amp;"|DAR")),(IF(ISBLANK('Ingest Template'!AB130),"", 'Ingest Template'!AB130&amp;"|TV Ops")))</f>
        <v/>
      </c>
      <c r="AA130" s="35"/>
      <c r="AB130" s="35" t="str">
        <f>'Ingest Template'!R130</f>
        <v/>
      </c>
      <c r="AC130" s="35" t="str">
        <f>'Ingest Template'!T130</f>
        <v/>
      </c>
      <c r="AD130" s="35" t="str">
        <f>'Ingest Template'!S130</f>
        <v/>
      </c>
      <c r="AE130" s="35" t="str">
        <f>'Ingest Template'!U130</f>
        <v/>
      </c>
      <c r="AF130" s="22"/>
      <c r="AG130" s="35" t="str">
        <f t="array" ref="AG130">IF('Ingest Template'!A130="Standard",(CONCATENATE(IF(ISBLANK('Ingest Template'!N130),"", 'Ingest Template'!N130&amp;"|DAR"),CHAR(10), IF(ISBLANK('Ingest Template'!O130),"", 'Ingest Template'!O130&amp;"|DAR"),CHAR(10), IF(ISBLANK('Ingest Template'!P130),"", 'Ingest Template'!P130&amp;"|DAR"))),(CONCATENATE(IF(ISBLANK('Ingest Template'!N130),"", 'Ingest Template'!N130&amp;"|TV Ops"),CHAR(10), IF(ISBLANK('Ingest Template'!O130),"", 'Ingest Template'!O130&amp;"|TV Ops"),CHAR(10), IF(ISBLANK('Ingest Template'!P130),"", 'Ingest Template'!P130&amp;"|TV Ops"))))</f>
        <v>
</v>
      </c>
      <c r="AH130" s="35"/>
      <c r="AI130" s="35"/>
      <c r="AJ130" s="117" t="str">
        <f>if('Ingest Template'!A130="Standard",(IF(OR('Ingest Template'!F130 = "Program Type - Special", 'Ingest Template'!F130 = "Program Type - Live Event"),'Ingest Template'!M130&amp; "|DAR|DAR|"&amp;TEXT('Ingest Template'!C130-3, "yyyy-mm-dd")&amp;"|"&amp;TEXT('Ingest Template'!C130+3, "yyyy-mm-dd"),'Ingest Template'!M130&amp; "|DAR|DAR|2021-01-01")),(IF(OR('Ingest Template'!F130 = "Program Type - Special", 'Ingest Template'!F130 = "Program Type - Live Event"),'Ingest Template'!M130&amp; "|Operations - Core Title|Operations - Core Title|"&amp;TEXT('Ingest Template'!C130-3, "yyyy-mm-dd")&amp;"|"&amp;TEXT('Ingest Template'!C130+3, "yyyy-mm-dd"),'Ingest Template'!M130&amp; "|Operations - Core Title|Operations - Core Title")))</f>
        <v>|Operations - Core Title|Operations - Core Title</v>
      </c>
      <c r="AK130" s="35"/>
      <c r="AL130" s="117" t="str">
        <f>if('Ingest Template'!A130="Standard",(IF(OR('Ingest Template'!F130 = "Program Type - Special", 'Ingest Template'!F130 = "Program Type - Live Event"),'Ingest Template'!Q130&amp;"|"&amp;TEXT('Ingest Template'!C130-3, "yyyy-mm-dd")&amp;"|"&amp;TEXT('Ingest Template'!C130+3, "yyyy-mm-dd"),'Ingest Template'!Q130&amp; "|2021-01-01")),(IF(OR('Ingest Template'!F130 = "Program Type - Special", 'Ingest Template'!F130 = "Program Type - Live Event"),'Ingest Template'!Q130&amp; "|"&amp;TEXT('Ingest Template'!C130-3, "yyyy-mm-dd")&amp;"|"&amp;TEXT('Ingest Template'!C130+3, "yyyy-mm-dd"),'Ingest Template'!Q130)))</f>
        <v/>
      </c>
      <c r="AM130" s="35" t="str">
        <f>'Ingest Template'!AC130</f>
        <v/>
      </c>
    </row>
    <row r="131">
      <c r="A131" s="15"/>
      <c r="B131" s="22" t="str">
        <f>'Ingest Template'!C131&amp;IF('Ingest Template'!A131 = "Standard", " - DAR","")</f>
        <v/>
      </c>
      <c r="C131" s="22" t="s">
        <v>83</v>
      </c>
      <c r="D131" s="22" t="str">
        <f t="array" ref="D131">CONCATENATE(INDEX(DropdownLists!$H$2:$H$11,MATCH(1,COUNTIF('Ingest Template'!E131,"*"&amp;DropdownLists!$I$2:$I$11&amp;"*"),0)),CHAR(10),'Ingest Template'!F131,CHAR(10),'Ingest Template'!G131,CHAR(10),VLOOKUP('Ingest Template'!D131,DropdownLists!C:D,2,FALSE))</f>
        <v>#N/A</v>
      </c>
      <c r="E131" s="22" t="str">
        <f>CONCATENATE('Ingest Template'!H131,CHAR(10),'Ingest Template'!I131,CHAR(10),'Ingest Template'!J131,CHAR(10))</f>
        <v>
</v>
      </c>
      <c r="F131" s="35" t="str">
        <f t="array" ref="F131">INDEX(DropdownLists!$O$2:$O$36,MATCH(1,COUNTIF(E131,"*"&amp;DropdownLists!$N$2:$N$36&amp;"*"),0))</f>
        <v/>
      </c>
      <c r="G131" s="35"/>
      <c r="H131" s="22" t="str">
        <f t="array" ref="H131">INDEX(DropdownLists!$E$2:$E$276,MATCH('Ingest Template'!D131,DropdownLists!$C$2:$C$276,0))</f>
        <v>#N/A</v>
      </c>
      <c r="I131" s="22"/>
      <c r="J131" s="22" t="str">
        <f t="array" ref="J131">iF('Ingest Template'!A131="Standard","Pristine Brand",INDEX(DropdownLists!$B$2:$B$246,MATCH('Ingest Template'!D131,DropdownLists!$C$2:$C$246,0)))</f>
        <v>#N/A</v>
      </c>
      <c r="K131" s="22" t="str">
        <f>iF('Ingest Template'!A131="Standard",'Ingest Template'!K131&amp;CHAR(10)&amp;'Ingest Template'!L131,"Competitive View")</f>
        <v>Competitive View</v>
      </c>
      <c r="L131" s="22" t="s">
        <v>95</v>
      </c>
      <c r="M131" s="45" t="str">
        <f>'Ingest Template'!B131</f>
        <v/>
      </c>
      <c r="N131" s="35"/>
      <c r="O131" s="35"/>
      <c r="P131" s="35"/>
      <c r="Q131" s="35"/>
      <c r="R131" s="35" t="str">
        <f>'Ingest Template'!D131</f>
        <v/>
      </c>
      <c r="S131" s="22" t="s">
        <v>101</v>
      </c>
      <c r="T131" s="35" t="str">
        <f>'Ingest Template'!V131</f>
        <v/>
      </c>
      <c r="U131" s="35" t="str">
        <f>'Ingest Template'!W131</f>
        <v/>
      </c>
      <c r="V131" s="35" t="str">
        <f>LOWER(SUBSTITUTE(SUBSTITUTE(SUBSTITUTE(SUBSTITUTE(SUBSTITUTE('Ingest Template'!X131,"https:",""),"www.",""),"/",""),"?hl=en",""),"instagram.com",""))</f>
        <v/>
      </c>
      <c r="W131" s="74" t="str">
        <f t="array" ref="W131">IF(
'Ingest Template'!Y131="",
SUBSTITUTE(
INDEX(DropdownLists!$F$2:$F$277,MATCH('Ingest Template'!D131,DropdownLists!$C$2:$C$277,0)),
CHAR(10),
"|"&amp;'Ingest Template'!C131&amp;CHAR(10)
)&amp;"|"&amp;'Ingest Template'!C131,
SUBSTITUTE(
INDEX(DropdownLists!$F$2:$F$277,MATCH('Ingest Template'!D131,DropdownLists!$C$2:$C$277,0)),
CHAR(10),
"|"&amp;'Ingest Template'!C131&amp;CHAR(10)
)&amp;"|"&amp;'Ingest Template'!C131&amp;CHAR(10)&amp;'Ingest Template'!Y131
)</f>
        <v>#N/A</v>
      </c>
      <c r="X131" s="74" t="str">
        <f>'Ingest Template'!Z131</f>
        <v/>
      </c>
      <c r="Y131" s="35" t="str">
        <f>SUBSTITUTE(SUBSTITUTE(SUBSTITUTE('Ingest Template'!AA131,"http:",""),"https:",""),"/","")</f>
        <v/>
      </c>
      <c r="Z131" s="35" t="str">
        <f t="array" ref="Z131">IF('Ingest Template'!A131="Standard",(IF(ISBLANK('Ingest Template'!AB131),"", 'Ingest Template'!AB131&amp;"|DAR")),(IF(ISBLANK('Ingest Template'!AB131),"", 'Ingest Template'!AB131&amp;"|TV Ops")))</f>
        <v/>
      </c>
      <c r="AA131" s="35"/>
      <c r="AB131" s="35" t="str">
        <f>'Ingest Template'!R131</f>
        <v/>
      </c>
      <c r="AC131" s="35" t="str">
        <f>'Ingest Template'!T131</f>
        <v/>
      </c>
      <c r="AD131" s="35" t="str">
        <f>'Ingest Template'!S131</f>
        <v/>
      </c>
      <c r="AE131" s="35" t="str">
        <f>'Ingest Template'!U131</f>
        <v/>
      </c>
      <c r="AF131" s="22"/>
      <c r="AG131" s="35" t="str">
        <f t="array" ref="AG131">IF('Ingest Template'!A131="Standard",(CONCATENATE(IF(ISBLANK('Ingest Template'!N131),"", 'Ingest Template'!N131&amp;"|DAR"),CHAR(10), IF(ISBLANK('Ingest Template'!O131),"", 'Ingest Template'!O131&amp;"|DAR"),CHAR(10), IF(ISBLANK('Ingest Template'!P131),"", 'Ingest Template'!P131&amp;"|DAR"))),(CONCATENATE(IF(ISBLANK('Ingest Template'!N131),"", 'Ingest Template'!N131&amp;"|TV Ops"),CHAR(10), IF(ISBLANK('Ingest Template'!O131),"", 'Ingest Template'!O131&amp;"|TV Ops"),CHAR(10), IF(ISBLANK('Ingest Template'!P131),"", 'Ingest Template'!P131&amp;"|TV Ops"))))</f>
        <v>
</v>
      </c>
      <c r="AH131" s="35"/>
      <c r="AI131" s="35"/>
      <c r="AJ131" s="117" t="str">
        <f>if('Ingest Template'!A131="Standard",(IF(OR('Ingest Template'!F131 = "Program Type - Special", 'Ingest Template'!F131 = "Program Type - Live Event"),'Ingest Template'!M131&amp; "|DAR|DAR|"&amp;TEXT('Ingest Template'!C131-3, "yyyy-mm-dd")&amp;"|"&amp;TEXT('Ingest Template'!C131+3, "yyyy-mm-dd"),'Ingest Template'!M131&amp; "|DAR|DAR|2021-01-01")),(IF(OR('Ingest Template'!F131 = "Program Type - Special", 'Ingest Template'!F131 = "Program Type - Live Event"),'Ingest Template'!M131&amp; "|Operations - Core Title|Operations - Core Title|"&amp;TEXT('Ingest Template'!C131-3, "yyyy-mm-dd")&amp;"|"&amp;TEXT('Ingest Template'!C131+3, "yyyy-mm-dd"),'Ingest Template'!M131&amp; "|Operations - Core Title|Operations - Core Title")))</f>
        <v>|Operations - Core Title|Operations - Core Title</v>
      </c>
      <c r="AK131" s="35"/>
      <c r="AL131" s="117" t="str">
        <f>if('Ingest Template'!A131="Standard",(IF(OR('Ingest Template'!F131 = "Program Type - Special", 'Ingest Template'!F131 = "Program Type - Live Event"),'Ingest Template'!Q131&amp;"|"&amp;TEXT('Ingest Template'!C131-3, "yyyy-mm-dd")&amp;"|"&amp;TEXT('Ingest Template'!C131+3, "yyyy-mm-dd"),'Ingest Template'!Q131&amp; "|2021-01-01")),(IF(OR('Ingest Template'!F131 = "Program Type - Special", 'Ingest Template'!F131 = "Program Type - Live Event"),'Ingest Template'!Q131&amp; "|"&amp;TEXT('Ingest Template'!C131-3, "yyyy-mm-dd")&amp;"|"&amp;TEXT('Ingest Template'!C131+3, "yyyy-mm-dd"),'Ingest Template'!Q131)))</f>
        <v/>
      </c>
      <c r="AM131" s="35" t="str">
        <f>'Ingest Template'!AC131</f>
        <v/>
      </c>
    </row>
    <row r="132">
      <c r="A132" s="15"/>
      <c r="B132" s="22" t="str">
        <f>'Ingest Template'!C132&amp;IF('Ingest Template'!A132 = "Standard", " - DAR","")</f>
        <v/>
      </c>
      <c r="C132" s="22" t="s">
        <v>83</v>
      </c>
      <c r="D132" s="22" t="str">
        <f t="array" ref="D132">CONCATENATE(INDEX(DropdownLists!$H$2:$H$11,MATCH(1,COUNTIF('Ingest Template'!E132,"*"&amp;DropdownLists!$I$2:$I$11&amp;"*"),0)),CHAR(10),'Ingest Template'!F132,CHAR(10),'Ingest Template'!G132,CHAR(10),VLOOKUP('Ingest Template'!D132,DropdownLists!C:D,2,FALSE))</f>
        <v>#N/A</v>
      </c>
      <c r="E132" s="22" t="str">
        <f>CONCATENATE('Ingest Template'!H132,CHAR(10),'Ingest Template'!I132,CHAR(10),'Ingest Template'!J132,CHAR(10))</f>
        <v>
</v>
      </c>
      <c r="F132" s="35" t="str">
        <f t="array" ref="F132">INDEX(DropdownLists!$O$2:$O$36,MATCH(1,COUNTIF(E132,"*"&amp;DropdownLists!$N$2:$N$36&amp;"*"),0))</f>
        <v/>
      </c>
      <c r="G132" s="35"/>
      <c r="H132" s="22" t="str">
        <f t="array" ref="H132">INDEX(DropdownLists!$E$2:$E$276,MATCH('Ingest Template'!D132,DropdownLists!$C$2:$C$276,0))</f>
        <v>#N/A</v>
      </c>
      <c r="I132" s="22"/>
      <c r="J132" s="22" t="str">
        <f t="array" ref="J132">iF('Ingest Template'!A132="Standard","Pristine Brand",INDEX(DropdownLists!$B$2:$B$246,MATCH('Ingest Template'!D132,DropdownLists!$C$2:$C$246,0)))</f>
        <v>#N/A</v>
      </c>
      <c r="K132" s="22" t="str">
        <f>iF('Ingest Template'!A132="Standard",'Ingest Template'!K132&amp;CHAR(10)&amp;'Ingest Template'!L132,"Competitive View")</f>
        <v>Competitive View</v>
      </c>
      <c r="L132" s="22" t="s">
        <v>95</v>
      </c>
      <c r="M132" s="45" t="str">
        <f>'Ingest Template'!B132</f>
        <v/>
      </c>
      <c r="N132" s="35"/>
      <c r="O132" s="35"/>
      <c r="P132" s="35"/>
      <c r="Q132" s="35"/>
      <c r="R132" s="35" t="str">
        <f>'Ingest Template'!D132</f>
        <v/>
      </c>
      <c r="S132" s="22" t="s">
        <v>101</v>
      </c>
      <c r="T132" s="35" t="str">
        <f>'Ingest Template'!V132</f>
        <v/>
      </c>
      <c r="U132" s="35" t="str">
        <f>'Ingest Template'!W132</f>
        <v/>
      </c>
      <c r="V132" s="35" t="str">
        <f>LOWER(SUBSTITUTE(SUBSTITUTE(SUBSTITUTE(SUBSTITUTE(SUBSTITUTE('Ingest Template'!X132,"https:",""),"www.",""),"/",""),"?hl=en",""),"instagram.com",""))</f>
        <v/>
      </c>
      <c r="W132" s="74" t="str">
        <f t="array" ref="W132">IF(
'Ingest Template'!Y132="",
SUBSTITUTE(
INDEX(DropdownLists!$F$2:$F$277,MATCH('Ingest Template'!D132,DropdownLists!$C$2:$C$277,0)),
CHAR(10),
"|"&amp;'Ingest Template'!C132&amp;CHAR(10)
)&amp;"|"&amp;'Ingest Template'!C132,
SUBSTITUTE(
INDEX(DropdownLists!$F$2:$F$277,MATCH('Ingest Template'!D132,DropdownLists!$C$2:$C$277,0)),
CHAR(10),
"|"&amp;'Ingest Template'!C132&amp;CHAR(10)
)&amp;"|"&amp;'Ingest Template'!C132&amp;CHAR(10)&amp;'Ingest Template'!Y132
)</f>
        <v>#N/A</v>
      </c>
      <c r="X132" s="74" t="str">
        <f>'Ingest Template'!Z132</f>
        <v/>
      </c>
      <c r="Y132" s="35" t="str">
        <f>SUBSTITUTE(SUBSTITUTE(SUBSTITUTE('Ingest Template'!AA132,"http:",""),"https:",""),"/","")</f>
        <v/>
      </c>
      <c r="Z132" s="35" t="str">
        <f t="array" ref="Z132">IF('Ingest Template'!A132="Standard",(IF(ISBLANK('Ingest Template'!AB132),"", 'Ingest Template'!AB132&amp;"|DAR")),(IF(ISBLANK('Ingest Template'!AB132),"", 'Ingest Template'!AB132&amp;"|TV Ops")))</f>
        <v/>
      </c>
      <c r="AA132" s="35"/>
      <c r="AB132" s="35" t="str">
        <f>'Ingest Template'!R132</f>
        <v/>
      </c>
      <c r="AC132" s="35" t="str">
        <f>'Ingest Template'!T132</f>
        <v/>
      </c>
      <c r="AD132" s="35" t="str">
        <f>'Ingest Template'!S132</f>
        <v/>
      </c>
      <c r="AE132" s="35" t="str">
        <f>'Ingest Template'!U132</f>
        <v/>
      </c>
      <c r="AF132" s="22"/>
      <c r="AG132" s="35" t="str">
        <f t="array" ref="AG132">IF('Ingest Template'!A132="Standard",(CONCATENATE(IF(ISBLANK('Ingest Template'!N132),"", 'Ingest Template'!N132&amp;"|DAR"),CHAR(10), IF(ISBLANK('Ingest Template'!O132),"", 'Ingest Template'!O132&amp;"|DAR"),CHAR(10), IF(ISBLANK('Ingest Template'!P132),"", 'Ingest Template'!P132&amp;"|DAR"))),(CONCATENATE(IF(ISBLANK('Ingest Template'!N132),"", 'Ingest Template'!N132&amp;"|TV Ops"),CHAR(10), IF(ISBLANK('Ingest Template'!O132),"", 'Ingest Template'!O132&amp;"|TV Ops"),CHAR(10), IF(ISBLANK('Ingest Template'!P132),"", 'Ingest Template'!P132&amp;"|TV Ops"))))</f>
        <v>
</v>
      </c>
      <c r="AH132" s="35"/>
      <c r="AI132" s="35"/>
      <c r="AJ132" s="117" t="str">
        <f>if('Ingest Template'!A132="Standard",(IF(OR('Ingest Template'!F132 = "Program Type - Special", 'Ingest Template'!F132 = "Program Type - Live Event"),'Ingest Template'!M132&amp; "|DAR|DAR|"&amp;TEXT('Ingest Template'!C132-3, "yyyy-mm-dd")&amp;"|"&amp;TEXT('Ingest Template'!C132+3, "yyyy-mm-dd"),'Ingest Template'!M132&amp; "|DAR|DAR|2021-01-01")),(IF(OR('Ingest Template'!F132 = "Program Type - Special", 'Ingest Template'!F132 = "Program Type - Live Event"),'Ingest Template'!M132&amp; "|Operations - Core Title|Operations - Core Title|"&amp;TEXT('Ingest Template'!C132-3, "yyyy-mm-dd")&amp;"|"&amp;TEXT('Ingest Template'!C132+3, "yyyy-mm-dd"),'Ingest Template'!M132&amp; "|Operations - Core Title|Operations - Core Title")))</f>
        <v>|Operations - Core Title|Operations - Core Title</v>
      </c>
      <c r="AK132" s="35"/>
      <c r="AL132" s="117" t="str">
        <f>if('Ingest Template'!A132="Standard",(IF(OR('Ingest Template'!F132 = "Program Type - Special", 'Ingest Template'!F132 = "Program Type - Live Event"),'Ingest Template'!Q132&amp;"|"&amp;TEXT('Ingest Template'!C132-3, "yyyy-mm-dd")&amp;"|"&amp;TEXT('Ingest Template'!C132+3, "yyyy-mm-dd"),'Ingest Template'!Q132&amp; "|2021-01-01")),(IF(OR('Ingest Template'!F132 = "Program Type - Special", 'Ingest Template'!F132 = "Program Type - Live Event"),'Ingest Template'!Q132&amp; "|"&amp;TEXT('Ingest Template'!C132-3, "yyyy-mm-dd")&amp;"|"&amp;TEXT('Ingest Template'!C132+3, "yyyy-mm-dd"),'Ingest Template'!Q132)))</f>
        <v/>
      </c>
      <c r="AM132" s="35" t="str">
        <f>'Ingest Template'!AC132</f>
        <v/>
      </c>
    </row>
    <row r="133">
      <c r="A133" s="15"/>
      <c r="B133" s="22" t="str">
        <f>'Ingest Template'!C133&amp;IF('Ingest Template'!A133 = "Standard", " - DAR","")</f>
        <v/>
      </c>
      <c r="C133" s="22" t="s">
        <v>83</v>
      </c>
      <c r="D133" s="22" t="str">
        <f t="array" ref="D133">CONCATENATE(INDEX(DropdownLists!$H$2:$H$11,MATCH(1,COUNTIF('Ingest Template'!E133,"*"&amp;DropdownLists!$I$2:$I$11&amp;"*"),0)),CHAR(10),'Ingest Template'!F133,CHAR(10),'Ingest Template'!G133,CHAR(10),VLOOKUP('Ingest Template'!D133,DropdownLists!C:D,2,FALSE))</f>
        <v>#N/A</v>
      </c>
      <c r="E133" s="22" t="str">
        <f>CONCATENATE('Ingest Template'!H133,CHAR(10),'Ingest Template'!I133,CHAR(10),'Ingest Template'!J133,CHAR(10))</f>
        <v>
</v>
      </c>
      <c r="F133" s="35" t="str">
        <f t="array" ref="F133">INDEX(DropdownLists!$O$2:$O$36,MATCH(1,COUNTIF(E133,"*"&amp;DropdownLists!$N$2:$N$36&amp;"*"),0))</f>
        <v/>
      </c>
      <c r="G133" s="35"/>
      <c r="H133" s="22" t="str">
        <f t="array" ref="H133">INDEX(DropdownLists!$E$2:$E$276,MATCH('Ingest Template'!D133,DropdownLists!$C$2:$C$276,0))</f>
        <v>#N/A</v>
      </c>
      <c r="I133" s="22"/>
      <c r="J133" s="22" t="str">
        <f t="array" ref="J133">iF('Ingest Template'!A133="Standard","Pristine Brand",INDEX(DropdownLists!$B$2:$B$246,MATCH('Ingest Template'!D133,DropdownLists!$C$2:$C$246,0)))</f>
        <v>#N/A</v>
      </c>
      <c r="K133" s="22" t="str">
        <f>iF('Ingest Template'!A133="Standard",'Ingest Template'!K133&amp;CHAR(10)&amp;'Ingest Template'!L133,"Competitive View")</f>
        <v>Competitive View</v>
      </c>
      <c r="L133" s="22" t="s">
        <v>95</v>
      </c>
      <c r="M133" s="45" t="str">
        <f>'Ingest Template'!B133</f>
        <v/>
      </c>
      <c r="N133" s="35"/>
      <c r="O133" s="35"/>
      <c r="P133" s="35"/>
      <c r="Q133" s="35"/>
      <c r="R133" s="35" t="str">
        <f>'Ingest Template'!D133</f>
        <v/>
      </c>
      <c r="S133" s="22" t="s">
        <v>101</v>
      </c>
      <c r="T133" s="35" t="str">
        <f>'Ingest Template'!V133</f>
        <v/>
      </c>
      <c r="U133" s="35" t="str">
        <f>'Ingest Template'!W133</f>
        <v/>
      </c>
      <c r="V133" s="35" t="str">
        <f>LOWER(SUBSTITUTE(SUBSTITUTE(SUBSTITUTE(SUBSTITUTE(SUBSTITUTE('Ingest Template'!X133,"https:",""),"www.",""),"/",""),"?hl=en",""),"instagram.com",""))</f>
        <v/>
      </c>
      <c r="W133" s="74" t="str">
        <f t="array" ref="W133">IF(
'Ingest Template'!Y133="",
SUBSTITUTE(
INDEX(DropdownLists!$F$2:$F$277,MATCH('Ingest Template'!D133,DropdownLists!$C$2:$C$277,0)),
CHAR(10),
"|"&amp;'Ingest Template'!C133&amp;CHAR(10)
)&amp;"|"&amp;'Ingest Template'!C133,
SUBSTITUTE(
INDEX(DropdownLists!$F$2:$F$277,MATCH('Ingest Template'!D133,DropdownLists!$C$2:$C$277,0)),
CHAR(10),
"|"&amp;'Ingest Template'!C133&amp;CHAR(10)
)&amp;"|"&amp;'Ingest Template'!C133&amp;CHAR(10)&amp;'Ingest Template'!Y133
)</f>
        <v>#N/A</v>
      </c>
      <c r="X133" s="74" t="str">
        <f>'Ingest Template'!Z133</f>
        <v/>
      </c>
      <c r="Y133" s="35" t="str">
        <f>SUBSTITUTE(SUBSTITUTE(SUBSTITUTE('Ingest Template'!AA133,"http:",""),"https:",""),"/","")</f>
        <v/>
      </c>
      <c r="Z133" s="35" t="str">
        <f t="array" ref="Z133">IF('Ingest Template'!A133="Standard",(IF(ISBLANK('Ingest Template'!AB133),"", 'Ingest Template'!AB133&amp;"|DAR")),(IF(ISBLANK('Ingest Template'!AB133),"", 'Ingest Template'!AB133&amp;"|TV Ops")))</f>
        <v/>
      </c>
      <c r="AA133" s="35"/>
      <c r="AB133" s="35" t="str">
        <f>'Ingest Template'!R133</f>
        <v/>
      </c>
      <c r="AC133" s="35" t="str">
        <f>'Ingest Template'!T133</f>
        <v/>
      </c>
      <c r="AD133" s="35" t="str">
        <f>'Ingest Template'!S133</f>
        <v/>
      </c>
      <c r="AE133" s="35" t="str">
        <f>'Ingest Template'!U133</f>
        <v/>
      </c>
      <c r="AF133" s="22"/>
      <c r="AG133" s="35" t="str">
        <f t="array" ref="AG133">IF('Ingest Template'!A133="Standard",(CONCATENATE(IF(ISBLANK('Ingest Template'!N133),"", 'Ingest Template'!N133&amp;"|DAR"),CHAR(10), IF(ISBLANK('Ingest Template'!O133),"", 'Ingest Template'!O133&amp;"|DAR"),CHAR(10), IF(ISBLANK('Ingest Template'!P133),"", 'Ingest Template'!P133&amp;"|DAR"))),(CONCATENATE(IF(ISBLANK('Ingest Template'!N133),"", 'Ingest Template'!N133&amp;"|TV Ops"),CHAR(10), IF(ISBLANK('Ingest Template'!O133),"", 'Ingest Template'!O133&amp;"|TV Ops"),CHAR(10), IF(ISBLANK('Ingest Template'!P133),"", 'Ingest Template'!P133&amp;"|TV Ops"))))</f>
        <v>
</v>
      </c>
      <c r="AH133" s="35"/>
      <c r="AI133" s="35"/>
      <c r="AJ133" s="117" t="str">
        <f>if('Ingest Template'!A133="Standard",(IF(OR('Ingest Template'!F133 = "Program Type - Special", 'Ingest Template'!F133 = "Program Type - Live Event"),'Ingest Template'!M133&amp; "|DAR|DAR|"&amp;TEXT('Ingest Template'!C133-3, "yyyy-mm-dd")&amp;"|"&amp;TEXT('Ingest Template'!C133+3, "yyyy-mm-dd"),'Ingest Template'!M133&amp; "|DAR|DAR|2021-01-01")),(IF(OR('Ingest Template'!F133 = "Program Type - Special", 'Ingest Template'!F133 = "Program Type - Live Event"),'Ingest Template'!M133&amp; "|Operations - Core Title|Operations - Core Title|"&amp;TEXT('Ingest Template'!C133-3, "yyyy-mm-dd")&amp;"|"&amp;TEXT('Ingest Template'!C133+3, "yyyy-mm-dd"),'Ingest Template'!M133&amp; "|Operations - Core Title|Operations - Core Title")))</f>
        <v>|Operations - Core Title|Operations - Core Title</v>
      </c>
      <c r="AK133" s="35"/>
      <c r="AL133" s="117" t="str">
        <f>if('Ingest Template'!A133="Standard",(IF(OR('Ingest Template'!F133 = "Program Type - Special", 'Ingest Template'!F133 = "Program Type - Live Event"),'Ingest Template'!Q133&amp;"|"&amp;TEXT('Ingest Template'!C133-3, "yyyy-mm-dd")&amp;"|"&amp;TEXT('Ingest Template'!C133+3, "yyyy-mm-dd"),'Ingest Template'!Q133&amp; "|2021-01-01")),(IF(OR('Ingest Template'!F133 = "Program Type - Special", 'Ingest Template'!F133 = "Program Type - Live Event"),'Ingest Template'!Q133&amp; "|"&amp;TEXT('Ingest Template'!C133-3, "yyyy-mm-dd")&amp;"|"&amp;TEXT('Ingest Template'!C133+3, "yyyy-mm-dd"),'Ingest Template'!Q133)))</f>
        <v/>
      </c>
      <c r="AM133" s="35" t="str">
        <f>'Ingest Template'!AC133</f>
        <v/>
      </c>
    </row>
    <row r="134">
      <c r="A134" s="15"/>
      <c r="B134" s="22" t="str">
        <f>'Ingest Template'!C134&amp;IF('Ingest Template'!A134 = "Standard", " - DAR","")</f>
        <v/>
      </c>
      <c r="C134" s="22" t="s">
        <v>83</v>
      </c>
      <c r="D134" s="22" t="str">
        <f t="array" ref="D134">CONCATENATE(INDEX(DropdownLists!$H$2:$H$11,MATCH(1,COUNTIF('Ingest Template'!E134,"*"&amp;DropdownLists!$I$2:$I$11&amp;"*"),0)),CHAR(10),'Ingest Template'!F134,CHAR(10),'Ingest Template'!G134,CHAR(10),VLOOKUP('Ingest Template'!D134,DropdownLists!C:D,2,FALSE))</f>
        <v>#N/A</v>
      </c>
      <c r="E134" s="22" t="str">
        <f>CONCATENATE('Ingest Template'!H134,CHAR(10),'Ingest Template'!I134,CHAR(10),'Ingest Template'!J134,CHAR(10))</f>
        <v>
</v>
      </c>
      <c r="F134" s="35" t="str">
        <f t="array" ref="F134">INDEX(DropdownLists!$O$2:$O$36,MATCH(1,COUNTIF(E134,"*"&amp;DropdownLists!$N$2:$N$36&amp;"*"),0))</f>
        <v/>
      </c>
      <c r="G134" s="35"/>
      <c r="H134" s="22" t="str">
        <f t="array" ref="H134">INDEX(DropdownLists!$E$2:$E$276,MATCH('Ingest Template'!D134,DropdownLists!$C$2:$C$276,0))</f>
        <v>#N/A</v>
      </c>
      <c r="I134" s="22"/>
      <c r="J134" s="22" t="str">
        <f t="array" ref="J134">iF('Ingest Template'!A134="Standard","Pristine Brand",INDEX(DropdownLists!$B$2:$B$246,MATCH('Ingest Template'!D134,DropdownLists!$C$2:$C$246,0)))</f>
        <v>#N/A</v>
      </c>
      <c r="K134" s="22" t="str">
        <f>iF('Ingest Template'!A134="Standard",'Ingest Template'!K134&amp;CHAR(10)&amp;'Ingest Template'!L134,"Competitive View")</f>
        <v>Competitive View</v>
      </c>
      <c r="L134" s="22" t="s">
        <v>95</v>
      </c>
      <c r="M134" s="45" t="str">
        <f>'Ingest Template'!B134</f>
        <v/>
      </c>
      <c r="N134" s="35"/>
      <c r="O134" s="35"/>
      <c r="P134" s="35"/>
      <c r="Q134" s="35"/>
      <c r="R134" s="35" t="str">
        <f>'Ingest Template'!D134</f>
        <v/>
      </c>
      <c r="S134" s="22" t="s">
        <v>101</v>
      </c>
      <c r="T134" s="35" t="str">
        <f>'Ingest Template'!V134</f>
        <v/>
      </c>
      <c r="U134" s="35" t="str">
        <f>'Ingest Template'!W134</f>
        <v/>
      </c>
      <c r="V134" s="35" t="str">
        <f>LOWER(SUBSTITUTE(SUBSTITUTE(SUBSTITUTE(SUBSTITUTE(SUBSTITUTE('Ingest Template'!X134,"https:",""),"www.",""),"/",""),"?hl=en",""),"instagram.com",""))</f>
        <v/>
      </c>
      <c r="W134" s="74" t="str">
        <f t="array" ref="W134">IF(
'Ingest Template'!Y134="",
SUBSTITUTE(
INDEX(DropdownLists!$F$2:$F$277,MATCH('Ingest Template'!D134,DropdownLists!$C$2:$C$277,0)),
CHAR(10),
"|"&amp;'Ingest Template'!C134&amp;CHAR(10)
)&amp;"|"&amp;'Ingest Template'!C134,
SUBSTITUTE(
INDEX(DropdownLists!$F$2:$F$277,MATCH('Ingest Template'!D134,DropdownLists!$C$2:$C$277,0)),
CHAR(10),
"|"&amp;'Ingest Template'!C134&amp;CHAR(10)
)&amp;"|"&amp;'Ingest Template'!C134&amp;CHAR(10)&amp;'Ingest Template'!Y134
)</f>
        <v>#N/A</v>
      </c>
      <c r="X134" s="74" t="str">
        <f>'Ingest Template'!Z134</f>
        <v/>
      </c>
      <c r="Y134" s="35" t="str">
        <f>SUBSTITUTE(SUBSTITUTE(SUBSTITUTE('Ingest Template'!AA134,"http:",""),"https:",""),"/","")</f>
        <v/>
      </c>
      <c r="Z134" s="35" t="str">
        <f t="array" ref="Z134">IF('Ingest Template'!A134="Standard",(IF(ISBLANK('Ingest Template'!AB134),"", 'Ingest Template'!AB134&amp;"|DAR")),(IF(ISBLANK('Ingest Template'!AB134),"", 'Ingest Template'!AB134&amp;"|TV Ops")))</f>
        <v/>
      </c>
      <c r="AA134" s="35"/>
      <c r="AB134" s="35" t="str">
        <f>'Ingest Template'!R134</f>
        <v/>
      </c>
      <c r="AC134" s="35" t="str">
        <f>'Ingest Template'!T134</f>
        <v/>
      </c>
      <c r="AD134" s="35" t="str">
        <f>'Ingest Template'!S134</f>
        <v/>
      </c>
      <c r="AE134" s="35" t="str">
        <f>'Ingest Template'!U134</f>
        <v/>
      </c>
      <c r="AF134" s="22"/>
      <c r="AG134" s="35" t="str">
        <f t="array" ref="AG134">IF('Ingest Template'!A134="Standard",(CONCATENATE(IF(ISBLANK('Ingest Template'!N134),"", 'Ingest Template'!N134&amp;"|DAR"),CHAR(10), IF(ISBLANK('Ingest Template'!O134),"", 'Ingest Template'!O134&amp;"|DAR"),CHAR(10), IF(ISBLANK('Ingest Template'!P134),"", 'Ingest Template'!P134&amp;"|DAR"))),(CONCATENATE(IF(ISBLANK('Ingest Template'!N134),"", 'Ingest Template'!N134&amp;"|TV Ops"),CHAR(10), IF(ISBLANK('Ingest Template'!O134),"", 'Ingest Template'!O134&amp;"|TV Ops"),CHAR(10), IF(ISBLANK('Ingest Template'!P134),"", 'Ingest Template'!P134&amp;"|TV Ops"))))</f>
        <v>
</v>
      </c>
      <c r="AH134" s="35"/>
      <c r="AI134" s="35"/>
      <c r="AJ134" s="117" t="str">
        <f>if('Ingest Template'!A134="Standard",(IF(OR('Ingest Template'!F134 = "Program Type - Special", 'Ingest Template'!F134 = "Program Type - Live Event"),'Ingest Template'!M134&amp; "|DAR|DAR|"&amp;TEXT('Ingest Template'!C134-3, "yyyy-mm-dd")&amp;"|"&amp;TEXT('Ingest Template'!C134+3, "yyyy-mm-dd"),'Ingest Template'!M134&amp; "|DAR|DAR|2021-01-01")),(IF(OR('Ingest Template'!F134 = "Program Type - Special", 'Ingest Template'!F134 = "Program Type - Live Event"),'Ingest Template'!M134&amp; "|Operations - Core Title|Operations - Core Title|"&amp;TEXT('Ingest Template'!C134-3, "yyyy-mm-dd")&amp;"|"&amp;TEXT('Ingest Template'!C134+3, "yyyy-mm-dd"),'Ingest Template'!M134&amp; "|Operations - Core Title|Operations - Core Title")))</f>
        <v>|Operations - Core Title|Operations - Core Title</v>
      </c>
      <c r="AK134" s="35"/>
      <c r="AL134" s="117" t="str">
        <f>if('Ingest Template'!A134="Standard",(IF(OR('Ingest Template'!F134 = "Program Type - Special", 'Ingest Template'!F134 = "Program Type - Live Event"),'Ingest Template'!Q134&amp;"|"&amp;TEXT('Ingest Template'!C134-3, "yyyy-mm-dd")&amp;"|"&amp;TEXT('Ingest Template'!C134+3, "yyyy-mm-dd"),'Ingest Template'!Q134&amp; "|2021-01-01")),(IF(OR('Ingest Template'!F134 = "Program Type - Special", 'Ingest Template'!F134 = "Program Type - Live Event"),'Ingest Template'!Q134&amp; "|"&amp;TEXT('Ingest Template'!C134-3, "yyyy-mm-dd")&amp;"|"&amp;TEXT('Ingest Template'!C134+3, "yyyy-mm-dd"),'Ingest Template'!Q134)))</f>
        <v/>
      </c>
      <c r="AM134" s="35" t="str">
        <f>'Ingest Template'!AC134</f>
        <v/>
      </c>
    </row>
    <row r="135">
      <c r="A135" s="15"/>
      <c r="B135" s="22" t="str">
        <f>'Ingest Template'!C135&amp;IF('Ingest Template'!A135 = "Standard", " - DAR","")</f>
        <v/>
      </c>
      <c r="C135" s="22" t="s">
        <v>83</v>
      </c>
      <c r="D135" s="22" t="str">
        <f t="array" ref="D135">CONCATENATE(INDEX(DropdownLists!$H$2:$H$11,MATCH(1,COUNTIF('Ingest Template'!E135,"*"&amp;DropdownLists!$I$2:$I$11&amp;"*"),0)),CHAR(10),'Ingest Template'!F135,CHAR(10),'Ingest Template'!G135,CHAR(10),VLOOKUP('Ingest Template'!D135,DropdownLists!C:D,2,FALSE))</f>
        <v>#N/A</v>
      </c>
      <c r="E135" s="22" t="str">
        <f>CONCATENATE('Ingest Template'!H135,CHAR(10),'Ingest Template'!I135,CHAR(10),'Ingest Template'!J135,CHAR(10))</f>
        <v>
</v>
      </c>
      <c r="F135" s="35" t="str">
        <f t="array" ref="F135">INDEX(DropdownLists!$O$2:$O$36,MATCH(1,COUNTIF(E135,"*"&amp;DropdownLists!$N$2:$N$36&amp;"*"),0))</f>
        <v/>
      </c>
      <c r="G135" s="35"/>
      <c r="H135" s="22" t="str">
        <f t="array" ref="H135">INDEX(DropdownLists!$E$2:$E$276,MATCH('Ingest Template'!D135,DropdownLists!$C$2:$C$276,0))</f>
        <v>#N/A</v>
      </c>
      <c r="I135" s="22"/>
      <c r="J135" s="22" t="str">
        <f t="array" ref="J135">iF('Ingest Template'!A135="Standard","Pristine Brand",INDEX(DropdownLists!$B$2:$B$246,MATCH('Ingest Template'!D135,DropdownLists!$C$2:$C$246,0)))</f>
        <v>#N/A</v>
      </c>
      <c r="K135" s="22" t="str">
        <f>iF('Ingest Template'!A135="Standard",'Ingest Template'!K135&amp;CHAR(10)&amp;'Ingest Template'!L135,"Competitive View")</f>
        <v>Competitive View</v>
      </c>
      <c r="L135" s="22" t="s">
        <v>95</v>
      </c>
      <c r="M135" s="45" t="str">
        <f>'Ingest Template'!B135</f>
        <v/>
      </c>
      <c r="N135" s="35"/>
      <c r="O135" s="35"/>
      <c r="P135" s="35"/>
      <c r="Q135" s="35"/>
      <c r="R135" s="35" t="str">
        <f>'Ingest Template'!D135</f>
        <v/>
      </c>
      <c r="S135" s="22" t="s">
        <v>101</v>
      </c>
      <c r="T135" s="35" t="str">
        <f>'Ingest Template'!V135</f>
        <v/>
      </c>
      <c r="U135" s="35" t="str">
        <f>'Ingest Template'!W135</f>
        <v/>
      </c>
      <c r="V135" s="35" t="str">
        <f>LOWER(SUBSTITUTE(SUBSTITUTE(SUBSTITUTE(SUBSTITUTE(SUBSTITUTE('Ingest Template'!X135,"https:",""),"www.",""),"/",""),"?hl=en",""),"instagram.com",""))</f>
        <v/>
      </c>
      <c r="W135" s="74" t="str">
        <f t="array" ref="W135">IF(
'Ingest Template'!Y135="",
SUBSTITUTE(
INDEX(DropdownLists!$F$2:$F$277,MATCH('Ingest Template'!D135,DropdownLists!$C$2:$C$277,0)),
CHAR(10),
"|"&amp;'Ingest Template'!C135&amp;CHAR(10)
)&amp;"|"&amp;'Ingest Template'!C135,
SUBSTITUTE(
INDEX(DropdownLists!$F$2:$F$277,MATCH('Ingest Template'!D135,DropdownLists!$C$2:$C$277,0)),
CHAR(10),
"|"&amp;'Ingest Template'!C135&amp;CHAR(10)
)&amp;"|"&amp;'Ingest Template'!C135&amp;CHAR(10)&amp;'Ingest Template'!Y135
)</f>
        <v>#N/A</v>
      </c>
      <c r="X135" s="74" t="str">
        <f>'Ingest Template'!Z135</f>
        <v/>
      </c>
      <c r="Y135" s="35" t="str">
        <f>SUBSTITUTE(SUBSTITUTE(SUBSTITUTE('Ingest Template'!AA135,"http:",""),"https:",""),"/","")</f>
        <v/>
      </c>
      <c r="Z135" s="35" t="str">
        <f t="array" ref="Z135">IF('Ingest Template'!A135="Standard",(IF(ISBLANK('Ingest Template'!AB135),"", 'Ingest Template'!AB135&amp;"|DAR")),(IF(ISBLANK('Ingest Template'!AB135),"", 'Ingest Template'!AB135&amp;"|TV Ops")))</f>
        <v/>
      </c>
      <c r="AA135" s="35"/>
      <c r="AB135" s="35" t="str">
        <f>'Ingest Template'!R135</f>
        <v/>
      </c>
      <c r="AC135" s="35" t="str">
        <f>'Ingest Template'!T135</f>
        <v/>
      </c>
      <c r="AD135" s="35" t="str">
        <f>'Ingest Template'!S135</f>
        <v/>
      </c>
      <c r="AE135" s="35" t="str">
        <f>'Ingest Template'!U135</f>
        <v/>
      </c>
      <c r="AF135" s="22"/>
      <c r="AG135" s="35" t="str">
        <f t="array" ref="AG135">IF('Ingest Template'!A135="Standard",(CONCATENATE(IF(ISBLANK('Ingest Template'!N135),"", 'Ingest Template'!N135&amp;"|DAR"),CHAR(10), IF(ISBLANK('Ingest Template'!O135),"", 'Ingest Template'!O135&amp;"|DAR"),CHAR(10), IF(ISBLANK('Ingest Template'!P135),"", 'Ingest Template'!P135&amp;"|DAR"))),(CONCATENATE(IF(ISBLANK('Ingest Template'!N135),"", 'Ingest Template'!N135&amp;"|TV Ops"),CHAR(10), IF(ISBLANK('Ingest Template'!O135),"", 'Ingest Template'!O135&amp;"|TV Ops"),CHAR(10), IF(ISBLANK('Ingest Template'!P135),"", 'Ingest Template'!P135&amp;"|TV Ops"))))</f>
        <v>
</v>
      </c>
      <c r="AH135" s="35"/>
      <c r="AI135" s="35"/>
      <c r="AJ135" s="117" t="str">
        <f>if('Ingest Template'!A135="Standard",(IF(OR('Ingest Template'!F135 = "Program Type - Special", 'Ingest Template'!F135 = "Program Type - Live Event"),'Ingest Template'!M135&amp; "|DAR|DAR|"&amp;TEXT('Ingest Template'!C135-3, "yyyy-mm-dd")&amp;"|"&amp;TEXT('Ingest Template'!C135+3, "yyyy-mm-dd"),'Ingest Template'!M135&amp; "|DAR|DAR|2021-01-01")),(IF(OR('Ingest Template'!F135 = "Program Type - Special", 'Ingest Template'!F135 = "Program Type - Live Event"),'Ingest Template'!M135&amp; "|Operations - Core Title|Operations - Core Title|"&amp;TEXT('Ingest Template'!C135-3, "yyyy-mm-dd")&amp;"|"&amp;TEXT('Ingest Template'!C135+3, "yyyy-mm-dd"),'Ingest Template'!M135&amp; "|Operations - Core Title|Operations - Core Title")))</f>
        <v>|Operations - Core Title|Operations - Core Title</v>
      </c>
      <c r="AK135" s="35"/>
      <c r="AL135" s="117" t="str">
        <f>if('Ingest Template'!A135="Standard",(IF(OR('Ingest Template'!F135 = "Program Type - Special", 'Ingest Template'!F135 = "Program Type - Live Event"),'Ingest Template'!Q135&amp;"|"&amp;TEXT('Ingest Template'!C135-3, "yyyy-mm-dd")&amp;"|"&amp;TEXT('Ingest Template'!C135+3, "yyyy-mm-dd"),'Ingest Template'!Q135&amp; "|2021-01-01")),(IF(OR('Ingest Template'!F135 = "Program Type - Special", 'Ingest Template'!F135 = "Program Type - Live Event"),'Ingest Template'!Q135&amp; "|"&amp;TEXT('Ingest Template'!C135-3, "yyyy-mm-dd")&amp;"|"&amp;TEXT('Ingest Template'!C135+3, "yyyy-mm-dd"),'Ingest Template'!Q135)))</f>
        <v/>
      </c>
      <c r="AM135" s="35" t="str">
        <f>'Ingest Template'!AC135</f>
        <v/>
      </c>
    </row>
    <row r="136">
      <c r="A136" s="15"/>
      <c r="B136" s="22" t="str">
        <f>'Ingest Template'!C136&amp;IF('Ingest Template'!A136 = "Standard", " - DAR","")</f>
        <v/>
      </c>
      <c r="C136" s="22" t="s">
        <v>83</v>
      </c>
      <c r="D136" s="22" t="str">
        <f t="array" ref="D136">CONCATENATE(INDEX(DropdownLists!$H$2:$H$11,MATCH(1,COUNTIF('Ingest Template'!E136,"*"&amp;DropdownLists!$I$2:$I$11&amp;"*"),0)),CHAR(10),'Ingest Template'!F136,CHAR(10),'Ingest Template'!G136,CHAR(10),VLOOKUP('Ingest Template'!D136,DropdownLists!C:D,2,FALSE))</f>
        <v>#N/A</v>
      </c>
      <c r="E136" s="22" t="str">
        <f>CONCATENATE('Ingest Template'!H136,CHAR(10),'Ingest Template'!I136,CHAR(10),'Ingest Template'!J136,CHAR(10))</f>
        <v>
</v>
      </c>
      <c r="F136" s="35" t="str">
        <f t="array" ref="F136">INDEX(DropdownLists!$O$2:$O$36,MATCH(1,COUNTIF(E136,"*"&amp;DropdownLists!$N$2:$N$36&amp;"*"),0))</f>
        <v/>
      </c>
      <c r="G136" s="35"/>
      <c r="H136" s="22" t="str">
        <f t="array" ref="H136">INDEX(DropdownLists!$E$2:$E$276,MATCH('Ingest Template'!D136,DropdownLists!$C$2:$C$276,0))</f>
        <v>#N/A</v>
      </c>
      <c r="I136" s="22"/>
      <c r="J136" s="22" t="str">
        <f t="array" ref="J136">iF('Ingest Template'!A136="Standard","Pristine Brand",INDEX(DropdownLists!$B$2:$B$246,MATCH('Ingest Template'!D136,DropdownLists!$C$2:$C$246,0)))</f>
        <v>#N/A</v>
      </c>
      <c r="K136" s="22" t="str">
        <f>iF('Ingest Template'!A136="Standard",'Ingest Template'!K136&amp;CHAR(10)&amp;'Ingest Template'!L136,"Competitive View")</f>
        <v>Competitive View</v>
      </c>
      <c r="L136" s="22" t="s">
        <v>95</v>
      </c>
      <c r="M136" s="45" t="str">
        <f>'Ingest Template'!B136</f>
        <v/>
      </c>
      <c r="N136" s="35"/>
      <c r="O136" s="35"/>
      <c r="P136" s="35"/>
      <c r="Q136" s="35"/>
      <c r="R136" s="35" t="str">
        <f>'Ingest Template'!D136</f>
        <v/>
      </c>
      <c r="S136" s="22" t="s">
        <v>101</v>
      </c>
      <c r="T136" s="35" t="str">
        <f>'Ingest Template'!V136</f>
        <v/>
      </c>
      <c r="U136" s="35" t="str">
        <f>'Ingest Template'!W136</f>
        <v/>
      </c>
      <c r="V136" s="35" t="str">
        <f>LOWER(SUBSTITUTE(SUBSTITUTE(SUBSTITUTE(SUBSTITUTE(SUBSTITUTE('Ingest Template'!X136,"https:",""),"www.",""),"/",""),"?hl=en",""),"instagram.com",""))</f>
        <v/>
      </c>
      <c r="W136" s="74" t="str">
        <f t="array" ref="W136">IF(
'Ingest Template'!Y136="",
SUBSTITUTE(
INDEX(DropdownLists!$F$2:$F$277,MATCH('Ingest Template'!D136,DropdownLists!$C$2:$C$277,0)),
CHAR(10),
"|"&amp;'Ingest Template'!C136&amp;CHAR(10)
)&amp;"|"&amp;'Ingest Template'!C136,
SUBSTITUTE(
INDEX(DropdownLists!$F$2:$F$277,MATCH('Ingest Template'!D136,DropdownLists!$C$2:$C$277,0)),
CHAR(10),
"|"&amp;'Ingest Template'!C136&amp;CHAR(10)
)&amp;"|"&amp;'Ingest Template'!C136&amp;CHAR(10)&amp;'Ingest Template'!Y136
)</f>
        <v>#N/A</v>
      </c>
      <c r="X136" s="74" t="str">
        <f>'Ingest Template'!Z136</f>
        <v/>
      </c>
      <c r="Y136" s="35" t="str">
        <f>SUBSTITUTE(SUBSTITUTE(SUBSTITUTE('Ingest Template'!AA136,"http:",""),"https:",""),"/","")</f>
        <v/>
      </c>
      <c r="Z136" s="35" t="str">
        <f t="array" ref="Z136">IF('Ingest Template'!A136="Standard",(IF(ISBLANK('Ingest Template'!AB136),"", 'Ingest Template'!AB136&amp;"|DAR")),(IF(ISBLANK('Ingest Template'!AB136),"", 'Ingest Template'!AB136&amp;"|TV Ops")))</f>
        <v/>
      </c>
      <c r="AA136" s="35"/>
      <c r="AB136" s="35" t="str">
        <f>'Ingest Template'!R136</f>
        <v/>
      </c>
      <c r="AC136" s="35" t="str">
        <f>'Ingest Template'!T136</f>
        <v/>
      </c>
      <c r="AD136" s="35" t="str">
        <f>'Ingest Template'!S136</f>
        <v/>
      </c>
      <c r="AE136" s="35" t="str">
        <f>'Ingest Template'!U136</f>
        <v/>
      </c>
      <c r="AF136" s="22"/>
      <c r="AG136" s="35" t="str">
        <f t="array" ref="AG136">IF('Ingest Template'!A136="Standard",(CONCATENATE(IF(ISBLANK('Ingest Template'!N136),"", 'Ingest Template'!N136&amp;"|DAR"),CHAR(10), IF(ISBLANK('Ingest Template'!O136),"", 'Ingest Template'!O136&amp;"|DAR"),CHAR(10), IF(ISBLANK('Ingest Template'!P136),"", 'Ingest Template'!P136&amp;"|DAR"))),(CONCATENATE(IF(ISBLANK('Ingest Template'!N136),"", 'Ingest Template'!N136&amp;"|TV Ops"),CHAR(10), IF(ISBLANK('Ingest Template'!O136),"", 'Ingest Template'!O136&amp;"|TV Ops"),CHAR(10), IF(ISBLANK('Ingest Template'!P136),"", 'Ingest Template'!P136&amp;"|TV Ops"))))</f>
        <v>
</v>
      </c>
      <c r="AH136" s="35"/>
      <c r="AI136" s="35"/>
      <c r="AJ136" s="117" t="str">
        <f>if('Ingest Template'!A136="Standard",(IF(OR('Ingest Template'!F136 = "Program Type - Special", 'Ingest Template'!F136 = "Program Type - Live Event"),'Ingest Template'!M136&amp; "|DAR|DAR|"&amp;TEXT('Ingest Template'!C136-3, "yyyy-mm-dd")&amp;"|"&amp;TEXT('Ingest Template'!C136+3, "yyyy-mm-dd"),'Ingest Template'!M136&amp; "|DAR|DAR|2021-01-01")),(IF(OR('Ingest Template'!F136 = "Program Type - Special", 'Ingest Template'!F136 = "Program Type - Live Event"),'Ingest Template'!M136&amp; "|Operations - Core Title|Operations - Core Title|"&amp;TEXT('Ingest Template'!C136-3, "yyyy-mm-dd")&amp;"|"&amp;TEXT('Ingest Template'!C136+3, "yyyy-mm-dd"),'Ingest Template'!M136&amp; "|Operations - Core Title|Operations - Core Title")))</f>
        <v>|Operations - Core Title|Operations - Core Title</v>
      </c>
      <c r="AK136" s="35"/>
      <c r="AL136" s="117" t="str">
        <f>if('Ingest Template'!A136="Standard",(IF(OR('Ingest Template'!F136 = "Program Type - Special", 'Ingest Template'!F136 = "Program Type - Live Event"),'Ingest Template'!Q136&amp;"|"&amp;TEXT('Ingest Template'!C136-3, "yyyy-mm-dd")&amp;"|"&amp;TEXT('Ingest Template'!C136+3, "yyyy-mm-dd"),'Ingest Template'!Q136&amp; "|2021-01-01")),(IF(OR('Ingest Template'!F136 = "Program Type - Special", 'Ingest Template'!F136 = "Program Type - Live Event"),'Ingest Template'!Q136&amp; "|"&amp;TEXT('Ingest Template'!C136-3, "yyyy-mm-dd")&amp;"|"&amp;TEXT('Ingest Template'!C136+3, "yyyy-mm-dd"),'Ingest Template'!Q136)))</f>
        <v/>
      </c>
      <c r="AM136" s="35" t="str">
        <f>'Ingest Template'!AC136</f>
        <v/>
      </c>
    </row>
    <row r="137">
      <c r="A137" s="15"/>
      <c r="B137" s="22" t="str">
        <f>'Ingest Template'!C137&amp;IF('Ingest Template'!A137 = "Standard", " - DAR","")</f>
        <v/>
      </c>
      <c r="C137" s="22" t="s">
        <v>83</v>
      </c>
      <c r="D137" s="22" t="str">
        <f t="array" ref="D137">CONCATENATE(INDEX(DropdownLists!$H$2:$H$11,MATCH(1,COUNTIF('Ingest Template'!E137,"*"&amp;DropdownLists!$I$2:$I$11&amp;"*"),0)),CHAR(10),'Ingest Template'!F137,CHAR(10),'Ingest Template'!G137,CHAR(10),VLOOKUP('Ingest Template'!D137,DropdownLists!C:D,2,FALSE))</f>
        <v>#N/A</v>
      </c>
      <c r="E137" s="22" t="str">
        <f>CONCATENATE('Ingest Template'!H137,CHAR(10),'Ingest Template'!I137,CHAR(10),'Ingest Template'!J137,CHAR(10))</f>
        <v>
</v>
      </c>
      <c r="F137" s="35" t="str">
        <f t="array" ref="F137">INDEX(DropdownLists!$O$2:$O$36,MATCH(1,COUNTIF(E137,"*"&amp;DropdownLists!$N$2:$N$36&amp;"*"),0))</f>
        <v/>
      </c>
      <c r="G137" s="35"/>
      <c r="H137" s="22" t="str">
        <f t="array" ref="H137">INDEX(DropdownLists!$E$2:$E$276,MATCH('Ingest Template'!D137,DropdownLists!$C$2:$C$276,0))</f>
        <v>#N/A</v>
      </c>
      <c r="I137" s="22"/>
      <c r="J137" s="22" t="str">
        <f t="array" ref="J137">iF('Ingest Template'!A137="Standard","Pristine Brand",INDEX(DropdownLists!$B$2:$B$246,MATCH('Ingest Template'!D137,DropdownLists!$C$2:$C$246,0)))</f>
        <v>#N/A</v>
      </c>
      <c r="K137" s="22" t="str">
        <f>iF('Ingest Template'!A137="Standard",'Ingest Template'!K137&amp;CHAR(10)&amp;'Ingest Template'!L137,"Competitive View")</f>
        <v>Competitive View</v>
      </c>
      <c r="L137" s="22" t="s">
        <v>95</v>
      </c>
      <c r="M137" s="45" t="str">
        <f>'Ingest Template'!B137</f>
        <v/>
      </c>
      <c r="N137" s="35"/>
      <c r="O137" s="35"/>
      <c r="P137" s="35"/>
      <c r="Q137" s="35"/>
      <c r="R137" s="35" t="str">
        <f>'Ingest Template'!D137</f>
        <v/>
      </c>
      <c r="S137" s="22" t="s">
        <v>101</v>
      </c>
      <c r="T137" s="35" t="str">
        <f>'Ingest Template'!V137</f>
        <v/>
      </c>
      <c r="U137" s="35" t="str">
        <f>'Ingest Template'!W137</f>
        <v/>
      </c>
      <c r="V137" s="35" t="str">
        <f>LOWER(SUBSTITUTE(SUBSTITUTE(SUBSTITUTE(SUBSTITUTE(SUBSTITUTE('Ingest Template'!X137,"https:",""),"www.",""),"/",""),"?hl=en",""),"instagram.com",""))</f>
        <v/>
      </c>
      <c r="W137" s="74" t="str">
        <f t="array" ref="W137">IF(
'Ingest Template'!Y137="",
SUBSTITUTE(
INDEX(DropdownLists!$F$2:$F$277,MATCH('Ingest Template'!D137,DropdownLists!$C$2:$C$277,0)),
CHAR(10),
"|"&amp;'Ingest Template'!C137&amp;CHAR(10)
)&amp;"|"&amp;'Ingest Template'!C137,
SUBSTITUTE(
INDEX(DropdownLists!$F$2:$F$277,MATCH('Ingest Template'!D137,DropdownLists!$C$2:$C$277,0)),
CHAR(10),
"|"&amp;'Ingest Template'!C137&amp;CHAR(10)
)&amp;"|"&amp;'Ingest Template'!C137&amp;CHAR(10)&amp;'Ingest Template'!Y137
)</f>
        <v>#N/A</v>
      </c>
      <c r="X137" s="74" t="str">
        <f>'Ingest Template'!Z137</f>
        <v/>
      </c>
      <c r="Y137" s="35" t="str">
        <f>SUBSTITUTE(SUBSTITUTE(SUBSTITUTE('Ingest Template'!AA137,"http:",""),"https:",""),"/","")</f>
        <v/>
      </c>
      <c r="Z137" s="35" t="str">
        <f t="array" ref="Z137">IF('Ingest Template'!A137="Standard",(IF(ISBLANK('Ingest Template'!AB137),"", 'Ingest Template'!AB137&amp;"|DAR")),(IF(ISBLANK('Ingest Template'!AB137),"", 'Ingest Template'!AB137&amp;"|TV Ops")))</f>
        <v/>
      </c>
      <c r="AA137" s="35"/>
      <c r="AB137" s="35" t="str">
        <f>'Ingest Template'!R137</f>
        <v/>
      </c>
      <c r="AC137" s="35" t="str">
        <f>'Ingest Template'!T137</f>
        <v/>
      </c>
      <c r="AD137" s="35" t="str">
        <f>'Ingest Template'!S137</f>
        <v/>
      </c>
      <c r="AE137" s="35" t="str">
        <f>'Ingest Template'!U137</f>
        <v/>
      </c>
      <c r="AF137" s="22"/>
      <c r="AG137" s="35" t="str">
        <f t="array" ref="AG137">IF('Ingest Template'!A137="Standard",(CONCATENATE(IF(ISBLANK('Ingest Template'!N137),"", 'Ingest Template'!N137&amp;"|DAR"),CHAR(10), IF(ISBLANK('Ingest Template'!O137),"", 'Ingest Template'!O137&amp;"|DAR"),CHAR(10), IF(ISBLANK('Ingest Template'!P137),"", 'Ingest Template'!P137&amp;"|DAR"))),(CONCATENATE(IF(ISBLANK('Ingest Template'!N137),"", 'Ingest Template'!N137&amp;"|TV Ops"),CHAR(10), IF(ISBLANK('Ingest Template'!O137),"", 'Ingest Template'!O137&amp;"|TV Ops"),CHAR(10), IF(ISBLANK('Ingest Template'!P137),"", 'Ingest Template'!P137&amp;"|TV Ops"))))</f>
        <v>
</v>
      </c>
      <c r="AH137" s="35"/>
      <c r="AI137" s="35"/>
      <c r="AJ137" s="117" t="str">
        <f>if('Ingest Template'!A137="Standard",(IF(OR('Ingest Template'!F137 = "Program Type - Special", 'Ingest Template'!F137 = "Program Type - Live Event"),'Ingest Template'!M137&amp; "|DAR|DAR|"&amp;TEXT('Ingest Template'!C137-3, "yyyy-mm-dd")&amp;"|"&amp;TEXT('Ingest Template'!C137+3, "yyyy-mm-dd"),'Ingest Template'!M137&amp; "|DAR|DAR|2021-01-01")),(IF(OR('Ingest Template'!F137 = "Program Type - Special", 'Ingest Template'!F137 = "Program Type - Live Event"),'Ingest Template'!M137&amp; "|Operations - Core Title|Operations - Core Title|"&amp;TEXT('Ingest Template'!C137-3, "yyyy-mm-dd")&amp;"|"&amp;TEXT('Ingest Template'!C137+3, "yyyy-mm-dd"),'Ingest Template'!M137&amp; "|Operations - Core Title|Operations - Core Title")))</f>
        <v>|Operations - Core Title|Operations - Core Title</v>
      </c>
      <c r="AK137" s="35"/>
      <c r="AL137" s="117" t="str">
        <f>if('Ingest Template'!A137="Standard",(IF(OR('Ingest Template'!F137 = "Program Type - Special", 'Ingest Template'!F137 = "Program Type - Live Event"),'Ingest Template'!Q137&amp;"|"&amp;TEXT('Ingest Template'!C137-3, "yyyy-mm-dd")&amp;"|"&amp;TEXT('Ingest Template'!C137+3, "yyyy-mm-dd"),'Ingest Template'!Q137&amp; "|2021-01-01")),(IF(OR('Ingest Template'!F137 = "Program Type - Special", 'Ingest Template'!F137 = "Program Type - Live Event"),'Ingest Template'!Q137&amp; "|"&amp;TEXT('Ingest Template'!C137-3, "yyyy-mm-dd")&amp;"|"&amp;TEXT('Ingest Template'!C137+3, "yyyy-mm-dd"),'Ingest Template'!Q137)))</f>
        <v/>
      </c>
      <c r="AM137" s="35" t="str">
        <f>'Ingest Template'!AC137</f>
        <v/>
      </c>
    </row>
    <row r="138">
      <c r="A138" s="15"/>
      <c r="B138" s="22" t="str">
        <f>'Ingest Template'!C138&amp;IF('Ingest Template'!A138 = "Standard", " - DAR","")</f>
        <v/>
      </c>
      <c r="C138" s="22" t="s">
        <v>83</v>
      </c>
      <c r="D138" s="22" t="str">
        <f t="array" ref="D138">CONCATENATE(INDEX(DropdownLists!$H$2:$H$11,MATCH(1,COUNTIF('Ingest Template'!E138,"*"&amp;DropdownLists!$I$2:$I$11&amp;"*"),0)),CHAR(10),'Ingest Template'!F138,CHAR(10),'Ingest Template'!G138,CHAR(10),VLOOKUP('Ingest Template'!D138,DropdownLists!C:D,2,FALSE))</f>
        <v>#N/A</v>
      </c>
      <c r="E138" s="22" t="str">
        <f>CONCATENATE('Ingest Template'!H138,CHAR(10),'Ingest Template'!I138,CHAR(10),'Ingest Template'!J138,CHAR(10))</f>
        <v>
</v>
      </c>
      <c r="F138" s="35" t="str">
        <f t="array" ref="F138">INDEX(DropdownLists!$O$2:$O$36,MATCH(1,COUNTIF(E138,"*"&amp;DropdownLists!$N$2:$N$36&amp;"*"),0))</f>
        <v/>
      </c>
      <c r="G138" s="35"/>
      <c r="H138" s="22" t="str">
        <f t="array" ref="H138">INDEX(DropdownLists!$E$2:$E$276,MATCH('Ingest Template'!D138,DropdownLists!$C$2:$C$276,0))</f>
        <v>#N/A</v>
      </c>
      <c r="I138" s="22"/>
      <c r="J138" s="22" t="str">
        <f t="array" ref="J138">iF('Ingest Template'!A138="Standard","Pristine Brand",INDEX(DropdownLists!$B$2:$B$246,MATCH('Ingest Template'!D138,DropdownLists!$C$2:$C$246,0)))</f>
        <v>#N/A</v>
      </c>
      <c r="K138" s="22" t="str">
        <f>iF('Ingest Template'!A138="Standard",'Ingest Template'!K138&amp;CHAR(10)&amp;'Ingest Template'!L138,"Competitive View")</f>
        <v>Competitive View</v>
      </c>
      <c r="L138" s="22" t="s">
        <v>95</v>
      </c>
      <c r="M138" s="45" t="str">
        <f>'Ingest Template'!B138</f>
        <v/>
      </c>
      <c r="N138" s="35"/>
      <c r="O138" s="35"/>
      <c r="P138" s="35"/>
      <c r="Q138" s="35"/>
      <c r="R138" s="35" t="str">
        <f>'Ingest Template'!D138</f>
        <v/>
      </c>
      <c r="S138" s="22" t="s">
        <v>101</v>
      </c>
      <c r="T138" s="35" t="str">
        <f>'Ingest Template'!V138</f>
        <v/>
      </c>
      <c r="U138" s="35" t="str">
        <f>'Ingest Template'!W138</f>
        <v/>
      </c>
      <c r="V138" s="35" t="str">
        <f>LOWER(SUBSTITUTE(SUBSTITUTE(SUBSTITUTE(SUBSTITUTE(SUBSTITUTE('Ingest Template'!X138,"https:",""),"www.",""),"/",""),"?hl=en",""),"instagram.com",""))</f>
        <v/>
      </c>
      <c r="W138" s="74" t="str">
        <f t="array" ref="W138">IF(
'Ingest Template'!Y138="",
SUBSTITUTE(
INDEX(DropdownLists!$F$2:$F$277,MATCH('Ingest Template'!D138,DropdownLists!$C$2:$C$277,0)),
CHAR(10),
"|"&amp;'Ingest Template'!C138&amp;CHAR(10)
)&amp;"|"&amp;'Ingest Template'!C138,
SUBSTITUTE(
INDEX(DropdownLists!$F$2:$F$277,MATCH('Ingest Template'!D138,DropdownLists!$C$2:$C$277,0)),
CHAR(10),
"|"&amp;'Ingest Template'!C138&amp;CHAR(10)
)&amp;"|"&amp;'Ingest Template'!C138&amp;CHAR(10)&amp;'Ingest Template'!Y138
)</f>
        <v>#N/A</v>
      </c>
      <c r="X138" s="74" t="str">
        <f>'Ingest Template'!Z138</f>
        <v/>
      </c>
      <c r="Y138" s="35" t="str">
        <f>SUBSTITUTE(SUBSTITUTE(SUBSTITUTE('Ingest Template'!AA138,"http:",""),"https:",""),"/","")</f>
        <v/>
      </c>
      <c r="Z138" s="35" t="str">
        <f t="array" ref="Z138">IF('Ingest Template'!A138="Standard",(IF(ISBLANK('Ingest Template'!AB138),"", 'Ingest Template'!AB138&amp;"|DAR")),(IF(ISBLANK('Ingest Template'!AB138),"", 'Ingest Template'!AB138&amp;"|TV Ops")))</f>
        <v/>
      </c>
      <c r="AA138" s="35"/>
      <c r="AB138" s="35" t="str">
        <f>'Ingest Template'!R138</f>
        <v/>
      </c>
      <c r="AC138" s="35" t="str">
        <f>'Ingest Template'!T138</f>
        <v/>
      </c>
      <c r="AD138" s="35" t="str">
        <f>'Ingest Template'!S138</f>
        <v/>
      </c>
      <c r="AE138" s="35" t="str">
        <f>'Ingest Template'!U138</f>
        <v/>
      </c>
      <c r="AF138" s="22"/>
      <c r="AG138" s="35" t="str">
        <f t="array" ref="AG138">IF('Ingest Template'!A138="Standard",(CONCATENATE(IF(ISBLANK('Ingest Template'!N138),"", 'Ingest Template'!N138&amp;"|DAR"),CHAR(10), IF(ISBLANK('Ingest Template'!O138),"", 'Ingest Template'!O138&amp;"|DAR"),CHAR(10), IF(ISBLANK('Ingest Template'!P138),"", 'Ingest Template'!P138&amp;"|DAR"))),(CONCATENATE(IF(ISBLANK('Ingest Template'!N138),"", 'Ingest Template'!N138&amp;"|TV Ops"),CHAR(10), IF(ISBLANK('Ingest Template'!O138),"", 'Ingest Template'!O138&amp;"|TV Ops"),CHAR(10), IF(ISBLANK('Ingest Template'!P138),"", 'Ingest Template'!P138&amp;"|TV Ops"))))</f>
        <v>
</v>
      </c>
      <c r="AH138" s="35"/>
      <c r="AI138" s="35"/>
      <c r="AJ138" s="117" t="str">
        <f>if('Ingest Template'!A138="Standard",(IF(OR('Ingest Template'!F138 = "Program Type - Special", 'Ingest Template'!F138 = "Program Type - Live Event"),'Ingest Template'!M138&amp; "|DAR|DAR|"&amp;TEXT('Ingest Template'!C138-3, "yyyy-mm-dd")&amp;"|"&amp;TEXT('Ingest Template'!C138+3, "yyyy-mm-dd"),'Ingest Template'!M138&amp; "|DAR|DAR|2021-01-01")),(IF(OR('Ingest Template'!F138 = "Program Type - Special", 'Ingest Template'!F138 = "Program Type - Live Event"),'Ingest Template'!M138&amp; "|Operations - Core Title|Operations - Core Title|"&amp;TEXT('Ingest Template'!C138-3, "yyyy-mm-dd")&amp;"|"&amp;TEXT('Ingest Template'!C138+3, "yyyy-mm-dd"),'Ingest Template'!M138&amp; "|Operations - Core Title|Operations - Core Title")))</f>
        <v>|Operations - Core Title|Operations - Core Title</v>
      </c>
      <c r="AK138" s="35"/>
      <c r="AL138" s="117" t="str">
        <f>if('Ingest Template'!A138="Standard",(IF(OR('Ingest Template'!F138 = "Program Type - Special", 'Ingest Template'!F138 = "Program Type - Live Event"),'Ingest Template'!Q138&amp;"|"&amp;TEXT('Ingest Template'!C138-3, "yyyy-mm-dd")&amp;"|"&amp;TEXT('Ingest Template'!C138+3, "yyyy-mm-dd"),'Ingest Template'!Q138&amp; "|2021-01-01")),(IF(OR('Ingest Template'!F138 = "Program Type - Special", 'Ingest Template'!F138 = "Program Type - Live Event"),'Ingest Template'!Q138&amp; "|"&amp;TEXT('Ingest Template'!C138-3, "yyyy-mm-dd")&amp;"|"&amp;TEXT('Ingest Template'!C138+3, "yyyy-mm-dd"),'Ingest Template'!Q138)))</f>
        <v/>
      </c>
      <c r="AM138" s="35" t="str">
        <f>'Ingest Template'!AC138</f>
        <v/>
      </c>
    </row>
    <row r="139">
      <c r="A139" s="15"/>
      <c r="B139" s="22" t="str">
        <f>'Ingest Template'!C139&amp;IF('Ingest Template'!A139 = "Standard", " - DAR","")</f>
        <v/>
      </c>
      <c r="C139" s="22" t="s">
        <v>83</v>
      </c>
      <c r="D139" s="22" t="str">
        <f t="array" ref="D139">CONCATENATE(INDEX(DropdownLists!$H$2:$H$11,MATCH(1,COUNTIF('Ingest Template'!E139,"*"&amp;DropdownLists!$I$2:$I$11&amp;"*"),0)),CHAR(10),'Ingest Template'!F139,CHAR(10),'Ingest Template'!G139,CHAR(10),VLOOKUP('Ingest Template'!D139,DropdownLists!C:D,2,FALSE))</f>
        <v>#N/A</v>
      </c>
      <c r="E139" s="22" t="str">
        <f>CONCATENATE('Ingest Template'!H139,CHAR(10),'Ingest Template'!I139,CHAR(10),'Ingest Template'!J139,CHAR(10))</f>
        <v>
</v>
      </c>
      <c r="F139" s="35" t="str">
        <f t="array" ref="F139">INDEX(DropdownLists!$O$2:$O$36,MATCH(1,COUNTIF(E139,"*"&amp;DropdownLists!$N$2:$N$36&amp;"*"),0))</f>
        <v/>
      </c>
      <c r="G139" s="35"/>
      <c r="H139" s="22" t="str">
        <f t="array" ref="H139">INDEX(DropdownLists!$E$2:$E$276,MATCH('Ingest Template'!D139,DropdownLists!$C$2:$C$276,0))</f>
        <v>#N/A</v>
      </c>
      <c r="I139" s="22"/>
      <c r="J139" s="22" t="str">
        <f t="array" ref="J139">iF('Ingest Template'!A139="Standard","Pristine Brand",INDEX(DropdownLists!$B$2:$B$246,MATCH('Ingest Template'!D139,DropdownLists!$C$2:$C$246,0)))</f>
        <v>#N/A</v>
      </c>
      <c r="K139" s="22" t="str">
        <f>iF('Ingest Template'!A139="Standard",'Ingest Template'!K139&amp;CHAR(10)&amp;'Ingest Template'!L139,"Competitive View")</f>
        <v>Competitive View</v>
      </c>
      <c r="L139" s="22" t="s">
        <v>95</v>
      </c>
      <c r="M139" s="45" t="str">
        <f>'Ingest Template'!B139</f>
        <v/>
      </c>
      <c r="N139" s="35"/>
      <c r="O139" s="35"/>
      <c r="P139" s="35"/>
      <c r="Q139" s="35"/>
      <c r="R139" s="35" t="str">
        <f>'Ingest Template'!D139</f>
        <v/>
      </c>
      <c r="S139" s="22" t="s">
        <v>101</v>
      </c>
      <c r="T139" s="35" t="str">
        <f>'Ingest Template'!V139</f>
        <v/>
      </c>
      <c r="U139" s="35" t="str">
        <f>'Ingest Template'!W139</f>
        <v/>
      </c>
      <c r="V139" s="35" t="str">
        <f>LOWER(SUBSTITUTE(SUBSTITUTE(SUBSTITUTE(SUBSTITUTE(SUBSTITUTE('Ingest Template'!X139,"https:",""),"www.",""),"/",""),"?hl=en",""),"instagram.com",""))</f>
        <v/>
      </c>
      <c r="W139" s="74" t="str">
        <f t="array" ref="W139">IF(
'Ingest Template'!Y139="",
SUBSTITUTE(
INDEX(DropdownLists!$F$2:$F$277,MATCH('Ingest Template'!D139,DropdownLists!$C$2:$C$277,0)),
CHAR(10),
"|"&amp;'Ingest Template'!C139&amp;CHAR(10)
)&amp;"|"&amp;'Ingest Template'!C139,
SUBSTITUTE(
INDEX(DropdownLists!$F$2:$F$277,MATCH('Ingest Template'!D139,DropdownLists!$C$2:$C$277,0)),
CHAR(10),
"|"&amp;'Ingest Template'!C139&amp;CHAR(10)
)&amp;"|"&amp;'Ingest Template'!C139&amp;CHAR(10)&amp;'Ingest Template'!Y139
)</f>
        <v>#N/A</v>
      </c>
      <c r="X139" s="74" t="str">
        <f>'Ingest Template'!Z139</f>
        <v/>
      </c>
      <c r="Y139" s="35" t="str">
        <f>SUBSTITUTE(SUBSTITUTE(SUBSTITUTE('Ingest Template'!AA139,"http:",""),"https:",""),"/","")</f>
        <v/>
      </c>
      <c r="Z139" s="35" t="str">
        <f t="array" ref="Z139">IF('Ingest Template'!A139="Standard",(IF(ISBLANK('Ingest Template'!AB139),"", 'Ingest Template'!AB139&amp;"|DAR")),(IF(ISBLANK('Ingest Template'!AB139),"", 'Ingest Template'!AB139&amp;"|TV Ops")))</f>
        <v/>
      </c>
      <c r="AA139" s="35"/>
      <c r="AB139" s="35" t="str">
        <f>'Ingest Template'!R139</f>
        <v/>
      </c>
      <c r="AC139" s="35" t="str">
        <f>'Ingest Template'!T139</f>
        <v/>
      </c>
      <c r="AD139" s="35" t="str">
        <f>'Ingest Template'!S139</f>
        <v/>
      </c>
      <c r="AE139" s="35" t="str">
        <f>'Ingest Template'!U139</f>
        <v/>
      </c>
      <c r="AF139" s="22"/>
      <c r="AG139" s="35" t="str">
        <f t="array" ref="AG139">IF('Ingest Template'!A139="Standard",(CONCATENATE(IF(ISBLANK('Ingest Template'!N139),"", 'Ingest Template'!N139&amp;"|DAR"),CHAR(10), IF(ISBLANK('Ingest Template'!O139),"", 'Ingest Template'!O139&amp;"|DAR"),CHAR(10), IF(ISBLANK('Ingest Template'!P139),"", 'Ingest Template'!P139&amp;"|DAR"))),(CONCATENATE(IF(ISBLANK('Ingest Template'!N139),"", 'Ingest Template'!N139&amp;"|TV Ops"),CHAR(10), IF(ISBLANK('Ingest Template'!O139),"", 'Ingest Template'!O139&amp;"|TV Ops"),CHAR(10), IF(ISBLANK('Ingest Template'!P139),"", 'Ingest Template'!P139&amp;"|TV Ops"))))</f>
        <v>
</v>
      </c>
      <c r="AH139" s="35"/>
      <c r="AI139" s="35"/>
      <c r="AJ139" s="117" t="str">
        <f>if('Ingest Template'!A139="Standard",(IF(OR('Ingest Template'!F139 = "Program Type - Special", 'Ingest Template'!F139 = "Program Type - Live Event"),'Ingest Template'!M139&amp; "|DAR|DAR|"&amp;TEXT('Ingest Template'!C139-3, "yyyy-mm-dd")&amp;"|"&amp;TEXT('Ingest Template'!C139+3, "yyyy-mm-dd"),'Ingest Template'!M139&amp; "|DAR|DAR|2021-01-01")),(IF(OR('Ingest Template'!F139 = "Program Type - Special", 'Ingest Template'!F139 = "Program Type - Live Event"),'Ingest Template'!M139&amp; "|Operations - Core Title|Operations - Core Title|"&amp;TEXT('Ingest Template'!C139-3, "yyyy-mm-dd")&amp;"|"&amp;TEXT('Ingest Template'!C139+3, "yyyy-mm-dd"),'Ingest Template'!M139&amp; "|Operations - Core Title|Operations - Core Title")))</f>
        <v>|Operations - Core Title|Operations - Core Title</v>
      </c>
      <c r="AK139" s="35"/>
      <c r="AL139" s="117" t="str">
        <f>if('Ingest Template'!A139="Standard",(IF(OR('Ingest Template'!F139 = "Program Type - Special", 'Ingest Template'!F139 = "Program Type - Live Event"),'Ingest Template'!Q139&amp;"|"&amp;TEXT('Ingest Template'!C139-3, "yyyy-mm-dd")&amp;"|"&amp;TEXT('Ingest Template'!C139+3, "yyyy-mm-dd"),'Ingest Template'!Q139&amp; "|2021-01-01")),(IF(OR('Ingest Template'!F139 = "Program Type - Special", 'Ingest Template'!F139 = "Program Type - Live Event"),'Ingest Template'!Q139&amp; "|"&amp;TEXT('Ingest Template'!C139-3, "yyyy-mm-dd")&amp;"|"&amp;TEXT('Ingest Template'!C139+3, "yyyy-mm-dd"),'Ingest Template'!Q139)))</f>
        <v/>
      </c>
      <c r="AM139" s="35" t="str">
        <f>'Ingest Template'!AC139</f>
        <v/>
      </c>
    </row>
    <row r="140">
      <c r="A140" s="15"/>
      <c r="B140" s="22" t="str">
        <f>'Ingest Template'!C140&amp;IF('Ingest Template'!A140 = "Standard", " - DAR","")</f>
        <v/>
      </c>
      <c r="C140" s="22" t="s">
        <v>83</v>
      </c>
      <c r="D140" s="22" t="str">
        <f t="array" ref="D140">CONCATENATE(INDEX(DropdownLists!$H$2:$H$11,MATCH(1,COUNTIF('Ingest Template'!E140,"*"&amp;DropdownLists!$I$2:$I$11&amp;"*"),0)),CHAR(10),'Ingest Template'!F140,CHAR(10),'Ingest Template'!G140,CHAR(10),VLOOKUP('Ingest Template'!D140,DropdownLists!C:D,2,FALSE))</f>
        <v>#N/A</v>
      </c>
      <c r="E140" s="22" t="str">
        <f>CONCATENATE('Ingest Template'!H140,CHAR(10),'Ingest Template'!I140,CHAR(10),'Ingest Template'!J140,CHAR(10))</f>
        <v>
</v>
      </c>
      <c r="F140" s="35" t="str">
        <f t="array" ref="F140">INDEX(DropdownLists!$O$2:$O$36,MATCH(1,COUNTIF(E140,"*"&amp;DropdownLists!$N$2:$N$36&amp;"*"),0))</f>
        <v/>
      </c>
      <c r="G140" s="35"/>
      <c r="H140" s="22" t="str">
        <f t="array" ref="H140">INDEX(DropdownLists!$E$2:$E$276,MATCH('Ingest Template'!D140,DropdownLists!$C$2:$C$276,0))</f>
        <v>#N/A</v>
      </c>
      <c r="I140" s="22"/>
      <c r="J140" s="22" t="str">
        <f t="array" ref="J140">iF('Ingest Template'!A140="Standard","Pristine Brand",INDEX(DropdownLists!$B$2:$B$246,MATCH('Ingest Template'!D140,DropdownLists!$C$2:$C$246,0)))</f>
        <v>#N/A</v>
      </c>
      <c r="K140" s="22" t="str">
        <f>iF('Ingest Template'!A140="Standard",'Ingest Template'!K140&amp;CHAR(10)&amp;'Ingest Template'!L140,"Competitive View")</f>
        <v>Competitive View</v>
      </c>
      <c r="L140" s="22" t="s">
        <v>95</v>
      </c>
      <c r="M140" s="45" t="str">
        <f>'Ingest Template'!B140</f>
        <v/>
      </c>
      <c r="N140" s="35"/>
      <c r="O140" s="35"/>
      <c r="P140" s="35"/>
      <c r="Q140" s="35"/>
      <c r="R140" s="35" t="str">
        <f>'Ingest Template'!D140</f>
        <v/>
      </c>
      <c r="S140" s="22" t="s">
        <v>101</v>
      </c>
      <c r="T140" s="35" t="str">
        <f>'Ingest Template'!V140</f>
        <v/>
      </c>
      <c r="U140" s="35" t="str">
        <f>'Ingest Template'!W140</f>
        <v/>
      </c>
      <c r="V140" s="35" t="str">
        <f>LOWER(SUBSTITUTE(SUBSTITUTE(SUBSTITUTE(SUBSTITUTE(SUBSTITUTE('Ingest Template'!X140,"https:",""),"www.",""),"/",""),"?hl=en",""),"instagram.com",""))</f>
        <v/>
      </c>
      <c r="W140" s="74" t="str">
        <f t="array" ref="W140">IF(
'Ingest Template'!Y140="",
SUBSTITUTE(
INDEX(DropdownLists!$F$2:$F$277,MATCH('Ingest Template'!D140,DropdownLists!$C$2:$C$277,0)),
CHAR(10),
"|"&amp;'Ingest Template'!C140&amp;CHAR(10)
)&amp;"|"&amp;'Ingest Template'!C140,
SUBSTITUTE(
INDEX(DropdownLists!$F$2:$F$277,MATCH('Ingest Template'!D140,DropdownLists!$C$2:$C$277,0)),
CHAR(10),
"|"&amp;'Ingest Template'!C140&amp;CHAR(10)
)&amp;"|"&amp;'Ingest Template'!C140&amp;CHAR(10)&amp;'Ingest Template'!Y140
)</f>
        <v>#N/A</v>
      </c>
      <c r="X140" s="74" t="str">
        <f>'Ingest Template'!Z140</f>
        <v/>
      </c>
      <c r="Y140" s="35" t="str">
        <f>SUBSTITUTE(SUBSTITUTE(SUBSTITUTE('Ingest Template'!AA140,"http:",""),"https:",""),"/","")</f>
        <v/>
      </c>
      <c r="Z140" s="35" t="str">
        <f t="array" ref="Z140">IF('Ingest Template'!A140="Standard",(IF(ISBLANK('Ingest Template'!AB140),"", 'Ingest Template'!AB140&amp;"|DAR")),(IF(ISBLANK('Ingest Template'!AB140),"", 'Ingest Template'!AB140&amp;"|TV Ops")))</f>
        <v/>
      </c>
      <c r="AA140" s="35"/>
      <c r="AB140" s="35" t="str">
        <f>'Ingest Template'!R140</f>
        <v/>
      </c>
      <c r="AC140" s="35" t="str">
        <f>'Ingest Template'!T140</f>
        <v/>
      </c>
      <c r="AD140" s="35" t="str">
        <f>'Ingest Template'!S140</f>
        <v/>
      </c>
      <c r="AE140" s="35" t="str">
        <f>'Ingest Template'!U140</f>
        <v/>
      </c>
      <c r="AF140" s="22"/>
      <c r="AG140" s="35" t="str">
        <f t="array" ref="AG140">IF('Ingest Template'!A140="Standard",(CONCATENATE(IF(ISBLANK('Ingest Template'!N140),"", 'Ingest Template'!N140&amp;"|DAR"),CHAR(10), IF(ISBLANK('Ingest Template'!O140),"", 'Ingest Template'!O140&amp;"|DAR"),CHAR(10), IF(ISBLANK('Ingest Template'!P140),"", 'Ingest Template'!P140&amp;"|DAR"))),(CONCATENATE(IF(ISBLANK('Ingest Template'!N140),"", 'Ingest Template'!N140&amp;"|TV Ops"),CHAR(10), IF(ISBLANK('Ingest Template'!O140),"", 'Ingest Template'!O140&amp;"|TV Ops"),CHAR(10), IF(ISBLANK('Ingest Template'!P140),"", 'Ingest Template'!P140&amp;"|TV Ops"))))</f>
        <v>
</v>
      </c>
      <c r="AH140" s="35"/>
      <c r="AI140" s="35"/>
      <c r="AJ140" s="117" t="str">
        <f>if('Ingest Template'!A140="Standard",(IF(OR('Ingest Template'!F140 = "Program Type - Special", 'Ingest Template'!F140 = "Program Type - Live Event"),'Ingest Template'!M140&amp; "|DAR|DAR|"&amp;TEXT('Ingest Template'!C140-3, "yyyy-mm-dd")&amp;"|"&amp;TEXT('Ingest Template'!C140+3, "yyyy-mm-dd"),'Ingest Template'!M140&amp; "|DAR|DAR|2021-01-01")),(IF(OR('Ingest Template'!F140 = "Program Type - Special", 'Ingest Template'!F140 = "Program Type - Live Event"),'Ingest Template'!M140&amp; "|Operations - Core Title|Operations - Core Title|"&amp;TEXT('Ingest Template'!C140-3, "yyyy-mm-dd")&amp;"|"&amp;TEXT('Ingest Template'!C140+3, "yyyy-mm-dd"),'Ingest Template'!M140&amp; "|Operations - Core Title|Operations - Core Title")))</f>
        <v>|Operations - Core Title|Operations - Core Title</v>
      </c>
      <c r="AK140" s="35"/>
      <c r="AL140" s="117" t="str">
        <f>if('Ingest Template'!A140="Standard",(IF(OR('Ingest Template'!F140 = "Program Type - Special", 'Ingest Template'!F140 = "Program Type - Live Event"),'Ingest Template'!Q140&amp;"|"&amp;TEXT('Ingest Template'!C140-3, "yyyy-mm-dd")&amp;"|"&amp;TEXT('Ingest Template'!C140+3, "yyyy-mm-dd"),'Ingest Template'!Q140&amp; "|2021-01-01")),(IF(OR('Ingest Template'!F140 = "Program Type - Special", 'Ingest Template'!F140 = "Program Type - Live Event"),'Ingest Template'!Q140&amp; "|"&amp;TEXT('Ingest Template'!C140-3, "yyyy-mm-dd")&amp;"|"&amp;TEXT('Ingest Template'!C140+3, "yyyy-mm-dd"),'Ingest Template'!Q140)))</f>
        <v/>
      </c>
      <c r="AM140" s="35" t="str">
        <f>'Ingest Template'!AC140</f>
        <v/>
      </c>
    </row>
    <row r="141">
      <c r="A141" s="15"/>
      <c r="B141" s="22" t="str">
        <f>'Ingest Template'!C141&amp;IF('Ingest Template'!A141 = "Standard", " - DAR","")</f>
        <v/>
      </c>
      <c r="C141" s="22" t="s">
        <v>83</v>
      </c>
      <c r="D141" s="22" t="str">
        <f t="array" ref="D141">CONCATENATE(INDEX(DropdownLists!$H$2:$H$11,MATCH(1,COUNTIF('Ingest Template'!E141,"*"&amp;DropdownLists!$I$2:$I$11&amp;"*"),0)),CHAR(10),'Ingest Template'!F141,CHAR(10),'Ingest Template'!G141,CHAR(10),VLOOKUP('Ingest Template'!D141,DropdownLists!C:D,2,FALSE))</f>
        <v>#N/A</v>
      </c>
      <c r="E141" s="22" t="str">
        <f>CONCATENATE('Ingest Template'!H141,CHAR(10),'Ingest Template'!I141,CHAR(10),'Ingest Template'!J141,CHAR(10))</f>
        <v>
</v>
      </c>
      <c r="F141" s="35" t="str">
        <f t="array" ref="F141">INDEX(DropdownLists!$O$2:$O$36,MATCH(1,COUNTIF(E141,"*"&amp;DropdownLists!$N$2:$N$36&amp;"*"),0))</f>
        <v/>
      </c>
      <c r="G141" s="35"/>
      <c r="H141" s="22" t="str">
        <f t="array" ref="H141">INDEX(DropdownLists!$E$2:$E$276,MATCH('Ingest Template'!D141,DropdownLists!$C$2:$C$276,0))</f>
        <v>#N/A</v>
      </c>
      <c r="I141" s="22"/>
      <c r="J141" s="22" t="str">
        <f t="array" ref="J141">iF('Ingest Template'!A141="Standard","Pristine Brand",INDEX(DropdownLists!$B$2:$B$246,MATCH('Ingest Template'!D141,DropdownLists!$C$2:$C$246,0)))</f>
        <v>#N/A</v>
      </c>
      <c r="K141" s="22" t="str">
        <f>iF('Ingest Template'!A141="Standard",'Ingest Template'!K141&amp;CHAR(10)&amp;'Ingest Template'!L141,"Competitive View")</f>
        <v>Competitive View</v>
      </c>
      <c r="L141" s="22" t="s">
        <v>95</v>
      </c>
      <c r="M141" s="45" t="str">
        <f>'Ingest Template'!B141</f>
        <v/>
      </c>
      <c r="N141" s="35"/>
      <c r="O141" s="35"/>
      <c r="P141" s="35"/>
      <c r="Q141" s="35"/>
      <c r="R141" s="35" t="str">
        <f>'Ingest Template'!D141</f>
        <v/>
      </c>
      <c r="S141" s="22" t="s">
        <v>101</v>
      </c>
      <c r="T141" s="35" t="str">
        <f>'Ingest Template'!V141</f>
        <v/>
      </c>
      <c r="U141" s="35" t="str">
        <f>'Ingest Template'!W141</f>
        <v/>
      </c>
      <c r="V141" s="35" t="str">
        <f>LOWER(SUBSTITUTE(SUBSTITUTE(SUBSTITUTE(SUBSTITUTE(SUBSTITUTE('Ingest Template'!X141,"https:",""),"www.",""),"/",""),"?hl=en",""),"instagram.com",""))</f>
        <v/>
      </c>
      <c r="W141" s="74" t="str">
        <f t="array" ref="W141">IF(
'Ingest Template'!Y141="",
SUBSTITUTE(
INDEX(DropdownLists!$F$2:$F$277,MATCH('Ingest Template'!D141,DropdownLists!$C$2:$C$277,0)),
CHAR(10),
"|"&amp;'Ingest Template'!C141&amp;CHAR(10)
)&amp;"|"&amp;'Ingest Template'!C141,
SUBSTITUTE(
INDEX(DropdownLists!$F$2:$F$277,MATCH('Ingest Template'!D141,DropdownLists!$C$2:$C$277,0)),
CHAR(10),
"|"&amp;'Ingest Template'!C141&amp;CHAR(10)
)&amp;"|"&amp;'Ingest Template'!C141&amp;CHAR(10)&amp;'Ingest Template'!Y141
)</f>
        <v>#N/A</v>
      </c>
      <c r="X141" s="74" t="str">
        <f>'Ingest Template'!Z141</f>
        <v/>
      </c>
      <c r="Y141" s="35" t="str">
        <f>SUBSTITUTE(SUBSTITUTE(SUBSTITUTE('Ingest Template'!AA141,"http:",""),"https:",""),"/","")</f>
        <v/>
      </c>
      <c r="Z141" s="35" t="str">
        <f t="array" ref="Z141">IF('Ingest Template'!A141="Standard",(IF(ISBLANK('Ingest Template'!AB141),"", 'Ingest Template'!AB141&amp;"|DAR")),(IF(ISBLANK('Ingest Template'!AB141),"", 'Ingest Template'!AB141&amp;"|TV Ops")))</f>
        <v/>
      </c>
      <c r="AA141" s="35"/>
      <c r="AB141" s="35" t="str">
        <f>'Ingest Template'!R141</f>
        <v/>
      </c>
      <c r="AC141" s="35" t="str">
        <f>'Ingest Template'!T141</f>
        <v/>
      </c>
      <c r="AD141" s="35" t="str">
        <f>'Ingest Template'!S141</f>
        <v/>
      </c>
      <c r="AE141" s="35" t="str">
        <f>'Ingest Template'!U141</f>
        <v/>
      </c>
      <c r="AF141" s="22"/>
      <c r="AG141" s="35" t="str">
        <f t="array" ref="AG141">IF('Ingest Template'!A141="Standard",(CONCATENATE(IF(ISBLANK('Ingest Template'!N141),"", 'Ingest Template'!N141&amp;"|DAR"),CHAR(10), IF(ISBLANK('Ingest Template'!O141),"", 'Ingest Template'!O141&amp;"|DAR"),CHAR(10), IF(ISBLANK('Ingest Template'!P141),"", 'Ingest Template'!P141&amp;"|DAR"))),(CONCATENATE(IF(ISBLANK('Ingest Template'!N141),"", 'Ingest Template'!N141&amp;"|TV Ops"),CHAR(10), IF(ISBLANK('Ingest Template'!O141),"", 'Ingest Template'!O141&amp;"|TV Ops"),CHAR(10), IF(ISBLANK('Ingest Template'!P141),"", 'Ingest Template'!P141&amp;"|TV Ops"))))</f>
        <v>
</v>
      </c>
      <c r="AH141" s="35"/>
      <c r="AI141" s="35"/>
      <c r="AJ141" s="117" t="str">
        <f>if('Ingest Template'!A141="Standard",(IF(OR('Ingest Template'!F141 = "Program Type - Special", 'Ingest Template'!F141 = "Program Type - Live Event"),'Ingest Template'!M141&amp; "|DAR|DAR|"&amp;TEXT('Ingest Template'!C141-3, "yyyy-mm-dd")&amp;"|"&amp;TEXT('Ingest Template'!C141+3, "yyyy-mm-dd"),'Ingest Template'!M141&amp; "|DAR|DAR|2021-01-01")),(IF(OR('Ingest Template'!F141 = "Program Type - Special", 'Ingest Template'!F141 = "Program Type - Live Event"),'Ingest Template'!M141&amp; "|Operations - Core Title|Operations - Core Title|"&amp;TEXT('Ingest Template'!C141-3, "yyyy-mm-dd")&amp;"|"&amp;TEXT('Ingest Template'!C141+3, "yyyy-mm-dd"),'Ingest Template'!M141&amp; "|Operations - Core Title|Operations - Core Title")))</f>
        <v>|Operations - Core Title|Operations - Core Title</v>
      </c>
      <c r="AK141" s="35"/>
      <c r="AL141" s="117" t="str">
        <f>if('Ingest Template'!A141="Standard",(IF(OR('Ingest Template'!F141 = "Program Type - Special", 'Ingest Template'!F141 = "Program Type - Live Event"),'Ingest Template'!Q141&amp;"|"&amp;TEXT('Ingest Template'!C141-3, "yyyy-mm-dd")&amp;"|"&amp;TEXT('Ingest Template'!C141+3, "yyyy-mm-dd"),'Ingest Template'!Q141&amp; "|2021-01-01")),(IF(OR('Ingest Template'!F141 = "Program Type - Special", 'Ingest Template'!F141 = "Program Type - Live Event"),'Ingest Template'!Q141&amp; "|"&amp;TEXT('Ingest Template'!C141-3, "yyyy-mm-dd")&amp;"|"&amp;TEXT('Ingest Template'!C141+3, "yyyy-mm-dd"),'Ingest Template'!Q141)))</f>
        <v/>
      </c>
      <c r="AM141" s="35" t="str">
        <f>'Ingest Template'!AC141</f>
        <v/>
      </c>
    </row>
    <row r="142">
      <c r="A142" s="15"/>
      <c r="B142" s="22" t="str">
        <f>'Ingest Template'!C142&amp;IF('Ingest Template'!A142 = "Standard", " - DAR","")</f>
        <v/>
      </c>
      <c r="C142" s="22" t="s">
        <v>83</v>
      </c>
      <c r="D142" s="22" t="str">
        <f t="array" ref="D142">CONCATENATE(INDEX(DropdownLists!$H$2:$H$11,MATCH(1,COUNTIF('Ingest Template'!E142,"*"&amp;DropdownLists!$I$2:$I$11&amp;"*"),0)),CHAR(10),'Ingest Template'!F142,CHAR(10),'Ingest Template'!G142,CHAR(10),VLOOKUP('Ingest Template'!D142,DropdownLists!C:D,2,FALSE))</f>
        <v>#N/A</v>
      </c>
      <c r="E142" s="22" t="str">
        <f>CONCATENATE('Ingest Template'!H142,CHAR(10),'Ingest Template'!I142,CHAR(10),'Ingest Template'!J142,CHAR(10))</f>
        <v>
</v>
      </c>
      <c r="F142" s="35" t="str">
        <f t="array" ref="F142">INDEX(DropdownLists!$O$2:$O$36,MATCH(1,COUNTIF(E142,"*"&amp;DropdownLists!$N$2:$N$36&amp;"*"),0))</f>
        <v/>
      </c>
      <c r="G142" s="35"/>
      <c r="H142" s="22" t="str">
        <f t="array" ref="H142">INDEX(DropdownLists!$E$2:$E$276,MATCH('Ingest Template'!D142,DropdownLists!$C$2:$C$276,0))</f>
        <v>#N/A</v>
      </c>
      <c r="I142" s="22"/>
      <c r="J142" s="22" t="str">
        <f t="array" ref="J142">iF('Ingest Template'!A142="Standard","Pristine Brand",INDEX(DropdownLists!$B$2:$B$246,MATCH('Ingest Template'!D142,DropdownLists!$C$2:$C$246,0)))</f>
        <v>#N/A</v>
      </c>
      <c r="K142" s="22" t="str">
        <f>iF('Ingest Template'!A142="Standard",'Ingest Template'!K142&amp;CHAR(10)&amp;'Ingest Template'!L142,"Competitive View")</f>
        <v>Competitive View</v>
      </c>
      <c r="L142" s="22" t="s">
        <v>95</v>
      </c>
      <c r="M142" s="45" t="str">
        <f>'Ingest Template'!B142</f>
        <v/>
      </c>
      <c r="N142" s="35"/>
      <c r="O142" s="35"/>
      <c r="P142" s="35"/>
      <c r="Q142" s="35"/>
      <c r="R142" s="35" t="str">
        <f>'Ingest Template'!D142</f>
        <v/>
      </c>
      <c r="S142" s="22" t="s">
        <v>101</v>
      </c>
      <c r="T142" s="35" t="str">
        <f>'Ingest Template'!V142</f>
        <v/>
      </c>
      <c r="U142" s="35" t="str">
        <f>'Ingest Template'!W142</f>
        <v/>
      </c>
      <c r="V142" s="35" t="str">
        <f>LOWER(SUBSTITUTE(SUBSTITUTE(SUBSTITUTE(SUBSTITUTE(SUBSTITUTE('Ingest Template'!X142,"https:",""),"www.",""),"/",""),"?hl=en",""),"instagram.com",""))</f>
        <v/>
      </c>
      <c r="W142" s="74" t="str">
        <f t="array" ref="W142">IF(
'Ingest Template'!Y142="",
SUBSTITUTE(
INDEX(DropdownLists!$F$2:$F$277,MATCH('Ingest Template'!D142,DropdownLists!$C$2:$C$277,0)),
CHAR(10),
"|"&amp;'Ingest Template'!C142&amp;CHAR(10)
)&amp;"|"&amp;'Ingest Template'!C142,
SUBSTITUTE(
INDEX(DropdownLists!$F$2:$F$277,MATCH('Ingest Template'!D142,DropdownLists!$C$2:$C$277,0)),
CHAR(10),
"|"&amp;'Ingest Template'!C142&amp;CHAR(10)
)&amp;"|"&amp;'Ingest Template'!C142&amp;CHAR(10)&amp;'Ingest Template'!Y142
)</f>
        <v>#N/A</v>
      </c>
      <c r="X142" s="74" t="str">
        <f>'Ingest Template'!Z142</f>
        <v/>
      </c>
      <c r="Y142" s="35" t="str">
        <f>SUBSTITUTE(SUBSTITUTE(SUBSTITUTE('Ingest Template'!AA142,"http:",""),"https:",""),"/","")</f>
        <v/>
      </c>
      <c r="Z142" s="35" t="str">
        <f t="array" ref="Z142">IF('Ingest Template'!A142="Standard",(IF(ISBLANK('Ingest Template'!AB142),"", 'Ingest Template'!AB142&amp;"|DAR")),(IF(ISBLANK('Ingest Template'!AB142),"", 'Ingest Template'!AB142&amp;"|TV Ops")))</f>
        <v/>
      </c>
      <c r="AA142" s="35"/>
      <c r="AB142" s="35" t="str">
        <f>'Ingest Template'!R142</f>
        <v/>
      </c>
      <c r="AC142" s="35" t="str">
        <f>'Ingest Template'!T142</f>
        <v/>
      </c>
      <c r="AD142" s="35" t="str">
        <f>'Ingest Template'!S142</f>
        <v/>
      </c>
      <c r="AE142" s="35" t="str">
        <f>'Ingest Template'!U142</f>
        <v/>
      </c>
      <c r="AF142" s="22"/>
      <c r="AG142" s="35" t="str">
        <f t="array" ref="AG142">IF('Ingest Template'!A142="Standard",(CONCATENATE(IF(ISBLANK('Ingest Template'!N142),"", 'Ingest Template'!N142&amp;"|DAR"),CHAR(10), IF(ISBLANK('Ingest Template'!O142),"", 'Ingest Template'!O142&amp;"|DAR"),CHAR(10), IF(ISBLANK('Ingest Template'!P142),"", 'Ingest Template'!P142&amp;"|DAR"))),(CONCATENATE(IF(ISBLANK('Ingest Template'!N142),"", 'Ingest Template'!N142&amp;"|TV Ops"),CHAR(10), IF(ISBLANK('Ingest Template'!O142),"", 'Ingest Template'!O142&amp;"|TV Ops"),CHAR(10), IF(ISBLANK('Ingest Template'!P142),"", 'Ingest Template'!P142&amp;"|TV Ops"))))</f>
        <v>
</v>
      </c>
      <c r="AH142" s="35"/>
      <c r="AI142" s="35"/>
      <c r="AJ142" s="117" t="str">
        <f>if('Ingest Template'!A142="Standard",(IF(OR('Ingest Template'!F142 = "Program Type - Special", 'Ingest Template'!F142 = "Program Type - Live Event"),'Ingest Template'!M142&amp; "|DAR|DAR|"&amp;TEXT('Ingest Template'!C142-3, "yyyy-mm-dd")&amp;"|"&amp;TEXT('Ingest Template'!C142+3, "yyyy-mm-dd"),'Ingest Template'!M142&amp; "|DAR|DAR|2021-01-01")),(IF(OR('Ingest Template'!F142 = "Program Type - Special", 'Ingest Template'!F142 = "Program Type - Live Event"),'Ingest Template'!M142&amp; "|Operations - Core Title|Operations - Core Title|"&amp;TEXT('Ingest Template'!C142-3, "yyyy-mm-dd")&amp;"|"&amp;TEXT('Ingest Template'!C142+3, "yyyy-mm-dd"),'Ingest Template'!M142&amp; "|Operations - Core Title|Operations - Core Title")))</f>
        <v>|Operations - Core Title|Operations - Core Title</v>
      </c>
      <c r="AK142" s="35"/>
      <c r="AL142" s="117" t="str">
        <f>if('Ingest Template'!A142="Standard",(IF(OR('Ingest Template'!F142 = "Program Type - Special", 'Ingest Template'!F142 = "Program Type - Live Event"),'Ingest Template'!Q142&amp;"|"&amp;TEXT('Ingest Template'!C142-3, "yyyy-mm-dd")&amp;"|"&amp;TEXT('Ingest Template'!C142+3, "yyyy-mm-dd"),'Ingest Template'!Q142&amp; "|2021-01-01")),(IF(OR('Ingest Template'!F142 = "Program Type - Special", 'Ingest Template'!F142 = "Program Type - Live Event"),'Ingest Template'!Q142&amp; "|"&amp;TEXT('Ingest Template'!C142-3, "yyyy-mm-dd")&amp;"|"&amp;TEXT('Ingest Template'!C142+3, "yyyy-mm-dd"),'Ingest Template'!Q142)))</f>
        <v/>
      </c>
      <c r="AM142" s="35" t="str">
        <f>'Ingest Template'!AC142</f>
        <v/>
      </c>
    </row>
    <row r="143">
      <c r="A143" s="15"/>
      <c r="B143" s="22" t="str">
        <f>'Ingest Template'!C143&amp;IF('Ingest Template'!A143 = "Standard", " - DAR","")</f>
        <v/>
      </c>
      <c r="C143" s="22" t="s">
        <v>83</v>
      </c>
      <c r="D143" s="22" t="str">
        <f t="array" ref="D143">CONCATENATE(INDEX(DropdownLists!$H$2:$H$11,MATCH(1,COUNTIF('Ingest Template'!E143,"*"&amp;DropdownLists!$I$2:$I$11&amp;"*"),0)),CHAR(10),'Ingest Template'!F143,CHAR(10),'Ingest Template'!G143,CHAR(10),VLOOKUP('Ingest Template'!D143,DropdownLists!C:D,2,FALSE))</f>
        <v>#N/A</v>
      </c>
      <c r="E143" s="22" t="str">
        <f>CONCATENATE('Ingest Template'!H143,CHAR(10),'Ingest Template'!I143,CHAR(10),'Ingest Template'!J143,CHAR(10))</f>
        <v>
</v>
      </c>
      <c r="F143" s="35" t="str">
        <f t="array" ref="F143">INDEX(DropdownLists!$O$2:$O$36,MATCH(1,COUNTIF(E143,"*"&amp;DropdownLists!$N$2:$N$36&amp;"*"),0))</f>
        <v/>
      </c>
      <c r="G143" s="35"/>
      <c r="H143" s="22" t="str">
        <f t="array" ref="H143">INDEX(DropdownLists!$E$2:$E$276,MATCH('Ingest Template'!D143,DropdownLists!$C$2:$C$276,0))</f>
        <v>#N/A</v>
      </c>
      <c r="I143" s="22"/>
      <c r="J143" s="22" t="str">
        <f t="array" ref="J143">iF('Ingest Template'!A143="Standard","Pristine Brand",INDEX(DropdownLists!$B$2:$B$246,MATCH('Ingest Template'!D143,DropdownLists!$C$2:$C$246,0)))</f>
        <v>#N/A</v>
      </c>
      <c r="K143" s="22" t="str">
        <f>iF('Ingest Template'!A143="Standard",'Ingest Template'!K143&amp;CHAR(10)&amp;'Ingest Template'!L143,"Competitive View")</f>
        <v>Competitive View</v>
      </c>
      <c r="L143" s="22" t="s">
        <v>95</v>
      </c>
      <c r="M143" s="45" t="str">
        <f>'Ingest Template'!B143</f>
        <v/>
      </c>
      <c r="N143" s="35"/>
      <c r="O143" s="35"/>
      <c r="P143" s="35"/>
      <c r="Q143" s="35"/>
      <c r="R143" s="35" t="str">
        <f>'Ingest Template'!D143</f>
        <v/>
      </c>
      <c r="S143" s="22" t="s">
        <v>101</v>
      </c>
      <c r="T143" s="35" t="str">
        <f>'Ingest Template'!V143</f>
        <v/>
      </c>
      <c r="U143" s="35" t="str">
        <f>'Ingest Template'!W143</f>
        <v/>
      </c>
      <c r="V143" s="35" t="str">
        <f>LOWER(SUBSTITUTE(SUBSTITUTE(SUBSTITUTE(SUBSTITUTE(SUBSTITUTE('Ingest Template'!X143,"https:",""),"www.",""),"/",""),"?hl=en",""),"instagram.com",""))</f>
        <v/>
      </c>
      <c r="W143" s="74" t="str">
        <f t="array" ref="W143">IF(
'Ingest Template'!Y143="",
SUBSTITUTE(
INDEX(DropdownLists!$F$2:$F$277,MATCH('Ingest Template'!D143,DropdownLists!$C$2:$C$277,0)),
CHAR(10),
"|"&amp;'Ingest Template'!C143&amp;CHAR(10)
)&amp;"|"&amp;'Ingest Template'!C143,
SUBSTITUTE(
INDEX(DropdownLists!$F$2:$F$277,MATCH('Ingest Template'!D143,DropdownLists!$C$2:$C$277,0)),
CHAR(10),
"|"&amp;'Ingest Template'!C143&amp;CHAR(10)
)&amp;"|"&amp;'Ingest Template'!C143&amp;CHAR(10)&amp;'Ingest Template'!Y143
)</f>
        <v>#N/A</v>
      </c>
      <c r="X143" s="74" t="str">
        <f>'Ingest Template'!Z143</f>
        <v/>
      </c>
      <c r="Y143" s="35" t="str">
        <f>SUBSTITUTE(SUBSTITUTE(SUBSTITUTE('Ingest Template'!AA143,"http:",""),"https:",""),"/","")</f>
        <v/>
      </c>
      <c r="Z143" s="35" t="str">
        <f t="array" ref="Z143">IF('Ingest Template'!A143="Standard",(IF(ISBLANK('Ingest Template'!AB143),"", 'Ingest Template'!AB143&amp;"|DAR")),(IF(ISBLANK('Ingest Template'!AB143),"", 'Ingest Template'!AB143&amp;"|TV Ops")))</f>
        <v/>
      </c>
      <c r="AA143" s="35"/>
      <c r="AB143" s="35" t="str">
        <f>'Ingest Template'!R143</f>
        <v/>
      </c>
      <c r="AC143" s="35" t="str">
        <f>'Ingest Template'!T143</f>
        <v/>
      </c>
      <c r="AD143" s="35" t="str">
        <f>'Ingest Template'!S143</f>
        <v/>
      </c>
      <c r="AE143" s="35" t="str">
        <f>'Ingest Template'!U143</f>
        <v/>
      </c>
      <c r="AF143" s="22"/>
      <c r="AG143" s="35" t="str">
        <f t="array" ref="AG143">IF('Ingest Template'!A143="Standard",(CONCATENATE(IF(ISBLANK('Ingest Template'!N143),"", 'Ingest Template'!N143&amp;"|DAR"),CHAR(10), IF(ISBLANK('Ingest Template'!O143),"", 'Ingest Template'!O143&amp;"|DAR"),CHAR(10), IF(ISBLANK('Ingest Template'!P143),"", 'Ingest Template'!P143&amp;"|DAR"))),(CONCATENATE(IF(ISBLANK('Ingest Template'!N143),"", 'Ingest Template'!N143&amp;"|TV Ops"),CHAR(10), IF(ISBLANK('Ingest Template'!O143),"", 'Ingest Template'!O143&amp;"|TV Ops"),CHAR(10), IF(ISBLANK('Ingest Template'!P143),"", 'Ingest Template'!P143&amp;"|TV Ops"))))</f>
        <v>
</v>
      </c>
      <c r="AH143" s="35"/>
      <c r="AI143" s="35"/>
      <c r="AJ143" s="117" t="str">
        <f>if('Ingest Template'!A143="Standard",(IF(OR('Ingest Template'!F143 = "Program Type - Special", 'Ingest Template'!F143 = "Program Type - Live Event"),'Ingest Template'!M143&amp; "|DAR|DAR|"&amp;TEXT('Ingest Template'!C143-3, "yyyy-mm-dd")&amp;"|"&amp;TEXT('Ingest Template'!C143+3, "yyyy-mm-dd"),'Ingest Template'!M143&amp; "|DAR|DAR|2021-01-01")),(IF(OR('Ingest Template'!F143 = "Program Type - Special", 'Ingest Template'!F143 = "Program Type - Live Event"),'Ingest Template'!M143&amp; "|Operations - Core Title|Operations - Core Title|"&amp;TEXT('Ingest Template'!C143-3, "yyyy-mm-dd")&amp;"|"&amp;TEXT('Ingest Template'!C143+3, "yyyy-mm-dd"),'Ingest Template'!M143&amp; "|Operations - Core Title|Operations - Core Title")))</f>
        <v>|Operations - Core Title|Operations - Core Title</v>
      </c>
      <c r="AK143" s="35"/>
      <c r="AL143" s="117" t="str">
        <f>if('Ingest Template'!A143="Standard",(IF(OR('Ingest Template'!F143 = "Program Type - Special", 'Ingest Template'!F143 = "Program Type - Live Event"),'Ingest Template'!Q143&amp;"|"&amp;TEXT('Ingest Template'!C143-3, "yyyy-mm-dd")&amp;"|"&amp;TEXT('Ingest Template'!C143+3, "yyyy-mm-dd"),'Ingest Template'!Q143&amp; "|2021-01-01")),(IF(OR('Ingest Template'!F143 = "Program Type - Special", 'Ingest Template'!F143 = "Program Type - Live Event"),'Ingest Template'!Q143&amp; "|"&amp;TEXT('Ingest Template'!C143-3, "yyyy-mm-dd")&amp;"|"&amp;TEXT('Ingest Template'!C143+3, "yyyy-mm-dd"),'Ingest Template'!Q143)))</f>
        <v/>
      </c>
      <c r="AM143" s="35" t="str">
        <f>'Ingest Template'!AC143</f>
        <v/>
      </c>
    </row>
    <row r="144">
      <c r="A144" s="15"/>
      <c r="B144" s="22" t="str">
        <f>'Ingest Template'!C144&amp;IF('Ingest Template'!A144 = "Standard", " - DAR","")</f>
        <v/>
      </c>
      <c r="C144" s="22" t="s">
        <v>83</v>
      </c>
      <c r="D144" s="22" t="str">
        <f t="array" ref="D144">CONCATENATE(INDEX(DropdownLists!$H$2:$H$11,MATCH(1,COUNTIF('Ingest Template'!E144,"*"&amp;DropdownLists!$I$2:$I$11&amp;"*"),0)),CHAR(10),'Ingest Template'!F144,CHAR(10),'Ingest Template'!G144,CHAR(10),VLOOKUP('Ingest Template'!D144,DropdownLists!C:D,2,FALSE))</f>
        <v>#N/A</v>
      </c>
      <c r="E144" s="22" t="str">
        <f>CONCATENATE('Ingest Template'!H144,CHAR(10),'Ingest Template'!I144,CHAR(10),'Ingest Template'!J144,CHAR(10))</f>
        <v>
</v>
      </c>
      <c r="F144" s="35" t="str">
        <f t="array" ref="F144">INDEX(DropdownLists!$O$2:$O$36,MATCH(1,COUNTIF(E144,"*"&amp;DropdownLists!$N$2:$N$36&amp;"*"),0))</f>
        <v/>
      </c>
      <c r="G144" s="35"/>
      <c r="H144" s="22" t="str">
        <f t="array" ref="H144">INDEX(DropdownLists!$E$2:$E$276,MATCH('Ingest Template'!D144,DropdownLists!$C$2:$C$276,0))</f>
        <v>#N/A</v>
      </c>
      <c r="I144" s="22"/>
      <c r="J144" s="22" t="str">
        <f t="array" ref="J144">iF('Ingest Template'!A144="Standard","Pristine Brand",INDEX(DropdownLists!$B$2:$B$246,MATCH('Ingest Template'!D144,DropdownLists!$C$2:$C$246,0)))</f>
        <v>#N/A</v>
      </c>
      <c r="K144" s="22" t="str">
        <f>iF('Ingest Template'!A144="Standard",'Ingest Template'!K144&amp;CHAR(10)&amp;'Ingest Template'!L144,"Competitive View")</f>
        <v>Competitive View</v>
      </c>
      <c r="L144" s="22" t="s">
        <v>95</v>
      </c>
      <c r="M144" s="45" t="str">
        <f>'Ingest Template'!B144</f>
        <v/>
      </c>
      <c r="N144" s="35"/>
      <c r="O144" s="35"/>
      <c r="P144" s="35"/>
      <c r="Q144" s="35"/>
      <c r="R144" s="35" t="str">
        <f>'Ingest Template'!D144</f>
        <v/>
      </c>
      <c r="S144" s="22" t="s">
        <v>101</v>
      </c>
      <c r="T144" s="35" t="str">
        <f>'Ingest Template'!V144</f>
        <v/>
      </c>
      <c r="U144" s="35" t="str">
        <f>'Ingest Template'!W144</f>
        <v/>
      </c>
      <c r="V144" s="35" t="str">
        <f>LOWER(SUBSTITUTE(SUBSTITUTE(SUBSTITUTE(SUBSTITUTE(SUBSTITUTE('Ingest Template'!X144,"https:",""),"www.",""),"/",""),"?hl=en",""),"instagram.com",""))</f>
        <v/>
      </c>
      <c r="W144" s="74" t="str">
        <f t="array" ref="W144">IF(
'Ingest Template'!Y144="",
SUBSTITUTE(
INDEX(DropdownLists!$F$2:$F$277,MATCH('Ingest Template'!D144,DropdownLists!$C$2:$C$277,0)),
CHAR(10),
"|"&amp;'Ingest Template'!C144&amp;CHAR(10)
)&amp;"|"&amp;'Ingest Template'!C144,
SUBSTITUTE(
INDEX(DropdownLists!$F$2:$F$277,MATCH('Ingest Template'!D144,DropdownLists!$C$2:$C$277,0)),
CHAR(10),
"|"&amp;'Ingest Template'!C144&amp;CHAR(10)
)&amp;"|"&amp;'Ingest Template'!C144&amp;CHAR(10)&amp;'Ingest Template'!Y144
)</f>
        <v>#N/A</v>
      </c>
      <c r="X144" s="74" t="str">
        <f>'Ingest Template'!Z144</f>
        <v/>
      </c>
      <c r="Y144" s="35" t="str">
        <f>SUBSTITUTE(SUBSTITUTE(SUBSTITUTE('Ingest Template'!AA144,"http:",""),"https:",""),"/","")</f>
        <v/>
      </c>
      <c r="Z144" s="35" t="str">
        <f t="array" ref="Z144">IF('Ingest Template'!A144="Standard",(IF(ISBLANK('Ingest Template'!AB144),"", 'Ingest Template'!AB144&amp;"|DAR")),(IF(ISBLANK('Ingest Template'!AB144),"", 'Ingest Template'!AB144&amp;"|TV Ops")))</f>
        <v/>
      </c>
      <c r="AA144" s="35"/>
      <c r="AB144" s="35" t="str">
        <f>'Ingest Template'!R144</f>
        <v/>
      </c>
      <c r="AC144" s="35" t="str">
        <f>'Ingest Template'!T144</f>
        <v/>
      </c>
      <c r="AD144" s="35" t="str">
        <f>'Ingest Template'!S144</f>
        <v/>
      </c>
      <c r="AE144" s="35" t="str">
        <f>'Ingest Template'!U144</f>
        <v/>
      </c>
      <c r="AF144" s="22"/>
      <c r="AG144" s="35" t="str">
        <f t="array" ref="AG144">IF('Ingest Template'!A144="Standard",(CONCATENATE(IF(ISBLANK('Ingest Template'!N144),"", 'Ingest Template'!N144&amp;"|DAR"),CHAR(10), IF(ISBLANK('Ingest Template'!O144),"", 'Ingest Template'!O144&amp;"|DAR"),CHAR(10), IF(ISBLANK('Ingest Template'!P144),"", 'Ingest Template'!P144&amp;"|DAR"))),(CONCATENATE(IF(ISBLANK('Ingest Template'!N144),"", 'Ingest Template'!N144&amp;"|TV Ops"),CHAR(10), IF(ISBLANK('Ingest Template'!O144),"", 'Ingest Template'!O144&amp;"|TV Ops"),CHAR(10), IF(ISBLANK('Ingest Template'!P144),"", 'Ingest Template'!P144&amp;"|TV Ops"))))</f>
        <v>
</v>
      </c>
      <c r="AH144" s="35"/>
      <c r="AI144" s="35"/>
      <c r="AJ144" s="117" t="str">
        <f>if('Ingest Template'!A144="Standard",(IF(OR('Ingest Template'!F144 = "Program Type - Special", 'Ingest Template'!F144 = "Program Type - Live Event"),'Ingest Template'!M144&amp; "|DAR|DAR|"&amp;TEXT('Ingest Template'!C144-3, "yyyy-mm-dd")&amp;"|"&amp;TEXT('Ingest Template'!C144+3, "yyyy-mm-dd"),'Ingest Template'!M144&amp; "|DAR|DAR|2021-01-01")),(IF(OR('Ingest Template'!F144 = "Program Type - Special", 'Ingest Template'!F144 = "Program Type - Live Event"),'Ingest Template'!M144&amp; "|Operations - Core Title|Operations - Core Title|"&amp;TEXT('Ingest Template'!C144-3, "yyyy-mm-dd")&amp;"|"&amp;TEXT('Ingest Template'!C144+3, "yyyy-mm-dd"),'Ingest Template'!M144&amp; "|Operations - Core Title|Operations - Core Title")))</f>
        <v>|Operations - Core Title|Operations - Core Title</v>
      </c>
      <c r="AK144" s="35"/>
      <c r="AL144" s="117" t="str">
        <f>if('Ingest Template'!A144="Standard",(IF(OR('Ingest Template'!F144 = "Program Type - Special", 'Ingest Template'!F144 = "Program Type - Live Event"),'Ingest Template'!Q144&amp;"|"&amp;TEXT('Ingest Template'!C144-3, "yyyy-mm-dd")&amp;"|"&amp;TEXT('Ingest Template'!C144+3, "yyyy-mm-dd"),'Ingest Template'!Q144&amp; "|2021-01-01")),(IF(OR('Ingest Template'!F144 = "Program Type - Special", 'Ingest Template'!F144 = "Program Type - Live Event"),'Ingest Template'!Q144&amp; "|"&amp;TEXT('Ingest Template'!C144-3, "yyyy-mm-dd")&amp;"|"&amp;TEXT('Ingest Template'!C144+3, "yyyy-mm-dd"),'Ingest Template'!Q144)))</f>
        <v/>
      </c>
      <c r="AM144" s="35" t="str">
        <f>'Ingest Template'!AC144</f>
        <v/>
      </c>
    </row>
    <row r="145">
      <c r="A145" s="15"/>
      <c r="B145" s="22" t="str">
        <f>'Ingest Template'!C145&amp;IF('Ingest Template'!A145 = "Standard", " - DAR","")</f>
        <v/>
      </c>
      <c r="C145" s="22" t="s">
        <v>83</v>
      </c>
      <c r="D145" s="22" t="str">
        <f t="array" ref="D145">CONCATENATE(INDEX(DropdownLists!$H$2:$H$11,MATCH(1,COUNTIF('Ingest Template'!E145,"*"&amp;DropdownLists!$I$2:$I$11&amp;"*"),0)),CHAR(10),'Ingest Template'!F145,CHAR(10),'Ingest Template'!G145,CHAR(10),VLOOKUP('Ingest Template'!D145,DropdownLists!C:D,2,FALSE))</f>
        <v>#N/A</v>
      </c>
      <c r="E145" s="22" t="str">
        <f>CONCATENATE('Ingest Template'!H145,CHAR(10),'Ingest Template'!I145,CHAR(10),'Ingest Template'!J145,CHAR(10))</f>
        <v>
</v>
      </c>
      <c r="F145" s="35" t="str">
        <f t="array" ref="F145">INDEX(DropdownLists!$O$2:$O$36,MATCH(1,COUNTIF(E145,"*"&amp;DropdownLists!$N$2:$N$36&amp;"*"),0))</f>
        <v/>
      </c>
      <c r="G145" s="35"/>
      <c r="H145" s="22" t="str">
        <f t="array" ref="H145">INDEX(DropdownLists!$E$2:$E$276,MATCH('Ingest Template'!D145,DropdownLists!$C$2:$C$276,0))</f>
        <v>#N/A</v>
      </c>
      <c r="I145" s="22"/>
      <c r="J145" s="22" t="str">
        <f t="array" ref="J145">iF('Ingest Template'!A145="Standard","Pristine Brand",INDEX(DropdownLists!$B$2:$B$246,MATCH('Ingest Template'!D145,DropdownLists!$C$2:$C$246,0)))</f>
        <v>#N/A</v>
      </c>
      <c r="K145" s="22" t="str">
        <f>iF('Ingest Template'!A145="Standard",'Ingest Template'!K145&amp;CHAR(10)&amp;'Ingest Template'!L145,"Competitive View")</f>
        <v>Competitive View</v>
      </c>
      <c r="L145" s="22" t="s">
        <v>95</v>
      </c>
      <c r="M145" s="45" t="str">
        <f>'Ingest Template'!B145</f>
        <v/>
      </c>
      <c r="N145" s="35"/>
      <c r="O145" s="35"/>
      <c r="P145" s="35"/>
      <c r="Q145" s="35"/>
      <c r="R145" s="35" t="str">
        <f>'Ingest Template'!D145</f>
        <v/>
      </c>
      <c r="S145" s="22" t="s">
        <v>101</v>
      </c>
      <c r="T145" s="35" t="str">
        <f>'Ingest Template'!V145</f>
        <v/>
      </c>
      <c r="U145" s="35" t="str">
        <f>'Ingest Template'!W145</f>
        <v/>
      </c>
      <c r="V145" s="35" t="str">
        <f>LOWER(SUBSTITUTE(SUBSTITUTE(SUBSTITUTE(SUBSTITUTE(SUBSTITUTE('Ingest Template'!X145,"https:",""),"www.",""),"/",""),"?hl=en",""),"instagram.com",""))</f>
        <v/>
      </c>
      <c r="W145" s="74" t="str">
        <f t="array" ref="W145">IF(
'Ingest Template'!Y145="",
SUBSTITUTE(
INDEX(DropdownLists!$F$2:$F$277,MATCH('Ingest Template'!D145,DropdownLists!$C$2:$C$277,0)),
CHAR(10),
"|"&amp;'Ingest Template'!C145&amp;CHAR(10)
)&amp;"|"&amp;'Ingest Template'!C145,
SUBSTITUTE(
INDEX(DropdownLists!$F$2:$F$277,MATCH('Ingest Template'!D145,DropdownLists!$C$2:$C$277,0)),
CHAR(10),
"|"&amp;'Ingest Template'!C145&amp;CHAR(10)
)&amp;"|"&amp;'Ingest Template'!C145&amp;CHAR(10)&amp;'Ingest Template'!Y145
)</f>
        <v>#N/A</v>
      </c>
      <c r="X145" s="74" t="str">
        <f>'Ingest Template'!Z145</f>
        <v/>
      </c>
      <c r="Y145" s="35" t="str">
        <f>SUBSTITUTE(SUBSTITUTE(SUBSTITUTE('Ingest Template'!AA145,"http:",""),"https:",""),"/","")</f>
        <v/>
      </c>
      <c r="Z145" s="35" t="str">
        <f t="array" ref="Z145">IF('Ingest Template'!A145="Standard",(IF(ISBLANK('Ingest Template'!AB145),"", 'Ingest Template'!AB145&amp;"|DAR")),(IF(ISBLANK('Ingest Template'!AB145),"", 'Ingest Template'!AB145&amp;"|TV Ops")))</f>
        <v/>
      </c>
      <c r="AA145" s="35"/>
      <c r="AB145" s="35" t="str">
        <f>'Ingest Template'!R145</f>
        <v/>
      </c>
      <c r="AC145" s="35" t="str">
        <f>'Ingest Template'!T145</f>
        <v/>
      </c>
      <c r="AD145" s="35" t="str">
        <f>'Ingest Template'!S145</f>
        <v/>
      </c>
      <c r="AE145" s="35" t="str">
        <f>'Ingest Template'!U145</f>
        <v/>
      </c>
      <c r="AF145" s="22"/>
      <c r="AG145" s="35" t="str">
        <f t="array" ref="AG145">IF('Ingest Template'!A145="Standard",(CONCATENATE(IF(ISBLANK('Ingest Template'!N145),"", 'Ingest Template'!N145&amp;"|DAR"),CHAR(10), IF(ISBLANK('Ingest Template'!O145),"", 'Ingest Template'!O145&amp;"|DAR"),CHAR(10), IF(ISBLANK('Ingest Template'!P145),"", 'Ingest Template'!P145&amp;"|DAR"))),(CONCATENATE(IF(ISBLANK('Ingest Template'!N145),"", 'Ingest Template'!N145&amp;"|TV Ops"),CHAR(10), IF(ISBLANK('Ingest Template'!O145),"", 'Ingest Template'!O145&amp;"|TV Ops"),CHAR(10), IF(ISBLANK('Ingest Template'!P145),"", 'Ingest Template'!P145&amp;"|TV Ops"))))</f>
        <v>
</v>
      </c>
      <c r="AH145" s="35"/>
      <c r="AI145" s="35"/>
      <c r="AJ145" s="117" t="str">
        <f>if('Ingest Template'!A145="Standard",(IF(OR('Ingest Template'!F145 = "Program Type - Special", 'Ingest Template'!F145 = "Program Type - Live Event"),'Ingest Template'!M145&amp; "|DAR|DAR|"&amp;TEXT('Ingest Template'!C145-3, "yyyy-mm-dd")&amp;"|"&amp;TEXT('Ingest Template'!C145+3, "yyyy-mm-dd"),'Ingest Template'!M145&amp; "|DAR|DAR|2021-01-01")),(IF(OR('Ingest Template'!F145 = "Program Type - Special", 'Ingest Template'!F145 = "Program Type - Live Event"),'Ingest Template'!M145&amp; "|Operations - Core Title|Operations - Core Title|"&amp;TEXT('Ingest Template'!C145-3, "yyyy-mm-dd")&amp;"|"&amp;TEXT('Ingest Template'!C145+3, "yyyy-mm-dd"),'Ingest Template'!M145&amp; "|Operations - Core Title|Operations - Core Title")))</f>
        <v>|Operations - Core Title|Operations - Core Title</v>
      </c>
      <c r="AK145" s="35"/>
      <c r="AL145" s="117" t="str">
        <f>if('Ingest Template'!A145="Standard",(IF(OR('Ingest Template'!F145 = "Program Type - Special", 'Ingest Template'!F145 = "Program Type - Live Event"),'Ingest Template'!Q145&amp;"|"&amp;TEXT('Ingest Template'!C145-3, "yyyy-mm-dd")&amp;"|"&amp;TEXT('Ingest Template'!C145+3, "yyyy-mm-dd"),'Ingest Template'!Q145&amp; "|2021-01-01")),(IF(OR('Ingest Template'!F145 = "Program Type - Special", 'Ingest Template'!F145 = "Program Type - Live Event"),'Ingest Template'!Q145&amp; "|"&amp;TEXT('Ingest Template'!C145-3, "yyyy-mm-dd")&amp;"|"&amp;TEXT('Ingest Template'!C145+3, "yyyy-mm-dd"),'Ingest Template'!Q145)))</f>
        <v/>
      </c>
      <c r="AM145" s="35" t="str">
        <f>'Ingest Template'!AC145</f>
        <v/>
      </c>
    </row>
    <row r="146">
      <c r="A146" s="15"/>
      <c r="B146" s="22" t="str">
        <f>'Ingest Template'!C146&amp;IF('Ingest Template'!A146 = "Standard", " - DAR","")</f>
        <v/>
      </c>
      <c r="C146" s="22" t="s">
        <v>83</v>
      </c>
      <c r="D146" s="22" t="str">
        <f t="array" ref="D146">CONCATENATE(INDEX(DropdownLists!$H$2:$H$11,MATCH(1,COUNTIF('Ingest Template'!E146,"*"&amp;DropdownLists!$I$2:$I$11&amp;"*"),0)),CHAR(10),'Ingest Template'!F146,CHAR(10),'Ingest Template'!G146,CHAR(10),VLOOKUP('Ingest Template'!D146,DropdownLists!C:D,2,FALSE))</f>
        <v>#N/A</v>
      </c>
      <c r="E146" s="22" t="str">
        <f>CONCATENATE('Ingest Template'!H146,CHAR(10),'Ingest Template'!I146,CHAR(10),'Ingest Template'!J146,CHAR(10))</f>
        <v>
</v>
      </c>
      <c r="F146" s="35" t="str">
        <f t="array" ref="F146">INDEX(DropdownLists!$O$2:$O$36,MATCH(1,COUNTIF(E146,"*"&amp;DropdownLists!$N$2:$N$36&amp;"*"),0))</f>
        <v/>
      </c>
      <c r="G146" s="35"/>
      <c r="H146" s="22" t="str">
        <f t="array" ref="H146">INDEX(DropdownLists!$E$2:$E$276,MATCH('Ingest Template'!D146,DropdownLists!$C$2:$C$276,0))</f>
        <v>#N/A</v>
      </c>
      <c r="I146" s="22"/>
      <c r="J146" s="22" t="str">
        <f t="array" ref="J146">iF('Ingest Template'!A146="Standard","Pristine Brand",INDEX(DropdownLists!$B$2:$B$246,MATCH('Ingest Template'!D146,DropdownLists!$C$2:$C$246,0)))</f>
        <v>#N/A</v>
      </c>
      <c r="K146" s="22" t="str">
        <f>iF('Ingest Template'!A146="Standard",'Ingest Template'!K146&amp;CHAR(10)&amp;'Ingest Template'!L146,"Competitive View")</f>
        <v>Competitive View</v>
      </c>
      <c r="L146" s="22" t="s">
        <v>95</v>
      </c>
      <c r="M146" s="45" t="str">
        <f>'Ingest Template'!B146</f>
        <v/>
      </c>
      <c r="N146" s="35"/>
      <c r="O146" s="35"/>
      <c r="P146" s="35"/>
      <c r="Q146" s="35"/>
      <c r="R146" s="35" t="str">
        <f>'Ingest Template'!D146</f>
        <v/>
      </c>
      <c r="S146" s="22" t="s">
        <v>101</v>
      </c>
      <c r="T146" s="35" t="str">
        <f>'Ingest Template'!V146</f>
        <v/>
      </c>
      <c r="U146" s="35" t="str">
        <f>'Ingest Template'!W146</f>
        <v/>
      </c>
      <c r="V146" s="35" t="str">
        <f>LOWER(SUBSTITUTE(SUBSTITUTE(SUBSTITUTE(SUBSTITUTE(SUBSTITUTE('Ingest Template'!X146,"https:",""),"www.",""),"/",""),"?hl=en",""),"instagram.com",""))</f>
        <v/>
      </c>
      <c r="W146" s="74" t="str">
        <f t="array" ref="W146">IF(
'Ingest Template'!Y146="",
SUBSTITUTE(
INDEX(DropdownLists!$F$2:$F$277,MATCH('Ingest Template'!D146,DropdownLists!$C$2:$C$277,0)),
CHAR(10),
"|"&amp;'Ingest Template'!C146&amp;CHAR(10)
)&amp;"|"&amp;'Ingest Template'!C146,
SUBSTITUTE(
INDEX(DropdownLists!$F$2:$F$277,MATCH('Ingest Template'!D146,DropdownLists!$C$2:$C$277,0)),
CHAR(10),
"|"&amp;'Ingest Template'!C146&amp;CHAR(10)
)&amp;"|"&amp;'Ingest Template'!C146&amp;CHAR(10)&amp;'Ingest Template'!Y146
)</f>
        <v>#N/A</v>
      </c>
      <c r="X146" s="74" t="str">
        <f>'Ingest Template'!Z146</f>
        <v/>
      </c>
      <c r="Y146" s="35" t="str">
        <f>SUBSTITUTE(SUBSTITUTE(SUBSTITUTE('Ingest Template'!AA146,"http:",""),"https:",""),"/","")</f>
        <v/>
      </c>
      <c r="Z146" s="35" t="str">
        <f t="array" ref="Z146">IF('Ingest Template'!A146="Standard",(IF(ISBLANK('Ingest Template'!AB146),"", 'Ingest Template'!AB146&amp;"|DAR")),(IF(ISBLANK('Ingest Template'!AB146),"", 'Ingest Template'!AB146&amp;"|TV Ops")))</f>
        <v/>
      </c>
      <c r="AA146" s="35"/>
      <c r="AB146" s="35" t="str">
        <f>'Ingest Template'!R146</f>
        <v/>
      </c>
      <c r="AC146" s="35" t="str">
        <f>'Ingest Template'!T146</f>
        <v/>
      </c>
      <c r="AD146" s="35" t="str">
        <f>'Ingest Template'!S146</f>
        <v/>
      </c>
      <c r="AE146" s="35" t="str">
        <f>'Ingest Template'!U146</f>
        <v/>
      </c>
      <c r="AF146" s="22"/>
      <c r="AG146" s="35" t="str">
        <f t="array" ref="AG146">IF('Ingest Template'!A146="Standard",(CONCATENATE(IF(ISBLANK('Ingest Template'!N146),"", 'Ingest Template'!N146&amp;"|DAR"),CHAR(10), IF(ISBLANK('Ingest Template'!O146),"", 'Ingest Template'!O146&amp;"|DAR"),CHAR(10), IF(ISBLANK('Ingest Template'!P146),"", 'Ingest Template'!P146&amp;"|DAR"))),(CONCATENATE(IF(ISBLANK('Ingest Template'!N146),"", 'Ingest Template'!N146&amp;"|TV Ops"),CHAR(10), IF(ISBLANK('Ingest Template'!O146),"", 'Ingest Template'!O146&amp;"|TV Ops"),CHAR(10), IF(ISBLANK('Ingest Template'!P146),"", 'Ingest Template'!P146&amp;"|TV Ops"))))</f>
        <v>
</v>
      </c>
      <c r="AH146" s="35"/>
      <c r="AI146" s="35"/>
      <c r="AJ146" s="117" t="str">
        <f>if('Ingest Template'!A146="Standard",(IF(OR('Ingest Template'!F146 = "Program Type - Special", 'Ingest Template'!F146 = "Program Type - Live Event"),'Ingest Template'!M146&amp; "|DAR|DAR|"&amp;TEXT('Ingest Template'!C146-3, "yyyy-mm-dd")&amp;"|"&amp;TEXT('Ingest Template'!C146+3, "yyyy-mm-dd"),'Ingest Template'!M146&amp; "|DAR|DAR|2021-01-01")),(IF(OR('Ingest Template'!F146 = "Program Type - Special", 'Ingest Template'!F146 = "Program Type - Live Event"),'Ingest Template'!M146&amp; "|Operations - Core Title|Operations - Core Title|"&amp;TEXT('Ingest Template'!C146-3, "yyyy-mm-dd")&amp;"|"&amp;TEXT('Ingest Template'!C146+3, "yyyy-mm-dd"),'Ingest Template'!M146&amp; "|Operations - Core Title|Operations - Core Title")))</f>
        <v>|Operations - Core Title|Operations - Core Title</v>
      </c>
      <c r="AK146" s="35"/>
      <c r="AL146" s="117" t="str">
        <f>if('Ingest Template'!A146="Standard",(IF(OR('Ingest Template'!F146 = "Program Type - Special", 'Ingest Template'!F146 = "Program Type - Live Event"),'Ingest Template'!Q146&amp;"|"&amp;TEXT('Ingest Template'!C146-3, "yyyy-mm-dd")&amp;"|"&amp;TEXT('Ingest Template'!C146+3, "yyyy-mm-dd"),'Ingest Template'!Q146&amp; "|2021-01-01")),(IF(OR('Ingest Template'!F146 = "Program Type - Special", 'Ingest Template'!F146 = "Program Type - Live Event"),'Ingest Template'!Q146&amp; "|"&amp;TEXT('Ingest Template'!C146-3, "yyyy-mm-dd")&amp;"|"&amp;TEXT('Ingest Template'!C146+3, "yyyy-mm-dd"),'Ingest Template'!Q146)))</f>
        <v/>
      </c>
      <c r="AM146" s="35" t="str">
        <f>'Ingest Template'!AC146</f>
        <v/>
      </c>
    </row>
    <row r="147">
      <c r="A147" s="15"/>
      <c r="B147" s="22" t="str">
        <f>'Ingest Template'!C147&amp;IF('Ingest Template'!A147 = "Standard", " - DAR","")</f>
        <v/>
      </c>
      <c r="C147" s="22" t="s">
        <v>83</v>
      </c>
      <c r="D147" s="22" t="str">
        <f t="array" ref="D147">CONCATENATE(INDEX(DropdownLists!$H$2:$H$11,MATCH(1,COUNTIF('Ingest Template'!E147,"*"&amp;DropdownLists!$I$2:$I$11&amp;"*"),0)),CHAR(10),'Ingest Template'!F147,CHAR(10),'Ingest Template'!G147,CHAR(10),VLOOKUP('Ingest Template'!D147,DropdownLists!C:D,2,FALSE))</f>
        <v>#N/A</v>
      </c>
      <c r="E147" s="22" t="str">
        <f>CONCATENATE('Ingest Template'!H147,CHAR(10),'Ingest Template'!I147,CHAR(10),'Ingest Template'!J147,CHAR(10))</f>
        <v>
</v>
      </c>
      <c r="F147" s="35" t="str">
        <f t="array" ref="F147">INDEX(DropdownLists!$O$2:$O$36,MATCH(1,COUNTIF(E147,"*"&amp;DropdownLists!$N$2:$N$36&amp;"*"),0))</f>
        <v/>
      </c>
      <c r="G147" s="35"/>
      <c r="H147" s="22" t="str">
        <f t="array" ref="H147">INDEX(DropdownLists!$E$2:$E$276,MATCH('Ingest Template'!D147,DropdownLists!$C$2:$C$276,0))</f>
        <v>#N/A</v>
      </c>
      <c r="I147" s="22"/>
      <c r="J147" s="22" t="str">
        <f t="array" ref="J147">iF('Ingest Template'!A147="Standard","Pristine Brand",INDEX(DropdownLists!$B$2:$B$246,MATCH('Ingest Template'!D147,DropdownLists!$C$2:$C$246,0)))</f>
        <v>#N/A</v>
      </c>
      <c r="K147" s="22" t="str">
        <f>iF('Ingest Template'!A147="Standard",'Ingest Template'!K147&amp;CHAR(10)&amp;'Ingest Template'!L147,"Competitive View")</f>
        <v>Competitive View</v>
      </c>
      <c r="L147" s="22" t="s">
        <v>95</v>
      </c>
      <c r="M147" s="45" t="str">
        <f>'Ingest Template'!B147</f>
        <v/>
      </c>
      <c r="N147" s="35"/>
      <c r="O147" s="35"/>
      <c r="P147" s="35"/>
      <c r="Q147" s="35"/>
      <c r="R147" s="35" t="str">
        <f>'Ingest Template'!D147</f>
        <v/>
      </c>
      <c r="S147" s="22" t="s">
        <v>101</v>
      </c>
      <c r="T147" s="35" t="str">
        <f>'Ingest Template'!V147</f>
        <v/>
      </c>
      <c r="U147" s="35" t="str">
        <f>'Ingest Template'!W147</f>
        <v/>
      </c>
      <c r="V147" s="35" t="str">
        <f>LOWER(SUBSTITUTE(SUBSTITUTE(SUBSTITUTE(SUBSTITUTE(SUBSTITUTE('Ingest Template'!X147,"https:",""),"www.",""),"/",""),"?hl=en",""),"instagram.com",""))</f>
        <v/>
      </c>
      <c r="W147" s="74" t="str">
        <f t="array" ref="W147">IF(
'Ingest Template'!Y147="",
SUBSTITUTE(
INDEX(DropdownLists!$F$2:$F$277,MATCH('Ingest Template'!D147,DropdownLists!$C$2:$C$277,0)),
CHAR(10),
"|"&amp;'Ingest Template'!C147&amp;CHAR(10)
)&amp;"|"&amp;'Ingest Template'!C147,
SUBSTITUTE(
INDEX(DropdownLists!$F$2:$F$277,MATCH('Ingest Template'!D147,DropdownLists!$C$2:$C$277,0)),
CHAR(10),
"|"&amp;'Ingest Template'!C147&amp;CHAR(10)
)&amp;"|"&amp;'Ingest Template'!C147&amp;CHAR(10)&amp;'Ingest Template'!Y147
)</f>
        <v>#N/A</v>
      </c>
      <c r="X147" s="74" t="str">
        <f>'Ingest Template'!Z147</f>
        <v/>
      </c>
      <c r="Y147" s="35" t="str">
        <f>SUBSTITUTE(SUBSTITUTE(SUBSTITUTE('Ingest Template'!AA147,"http:",""),"https:",""),"/","")</f>
        <v/>
      </c>
      <c r="Z147" s="35" t="str">
        <f t="array" ref="Z147">IF('Ingest Template'!A147="Standard",(IF(ISBLANK('Ingest Template'!AB147),"", 'Ingest Template'!AB147&amp;"|DAR")),(IF(ISBLANK('Ingest Template'!AB147),"", 'Ingest Template'!AB147&amp;"|TV Ops")))</f>
        <v/>
      </c>
      <c r="AA147" s="35"/>
      <c r="AB147" s="35" t="str">
        <f>'Ingest Template'!R147</f>
        <v/>
      </c>
      <c r="AC147" s="35" t="str">
        <f>'Ingest Template'!T147</f>
        <v/>
      </c>
      <c r="AD147" s="35" t="str">
        <f>'Ingest Template'!S147</f>
        <v/>
      </c>
      <c r="AE147" s="35" t="str">
        <f>'Ingest Template'!U147</f>
        <v/>
      </c>
      <c r="AF147" s="22"/>
      <c r="AG147" s="35" t="str">
        <f t="array" ref="AG147">IF('Ingest Template'!A147="Standard",(CONCATENATE(IF(ISBLANK('Ingest Template'!N147),"", 'Ingest Template'!N147&amp;"|DAR"),CHAR(10), IF(ISBLANK('Ingest Template'!O147),"", 'Ingest Template'!O147&amp;"|DAR"),CHAR(10), IF(ISBLANK('Ingest Template'!P147),"", 'Ingest Template'!P147&amp;"|DAR"))),(CONCATENATE(IF(ISBLANK('Ingest Template'!N147),"", 'Ingest Template'!N147&amp;"|TV Ops"),CHAR(10), IF(ISBLANK('Ingest Template'!O147),"", 'Ingest Template'!O147&amp;"|TV Ops"),CHAR(10), IF(ISBLANK('Ingest Template'!P147),"", 'Ingest Template'!P147&amp;"|TV Ops"))))</f>
        <v>
</v>
      </c>
      <c r="AH147" s="35"/>
      <c r="AI147" s="35"/>
      <c r="AJ147" s="117" t="str">
        <f>if('Ingest Template'!A147="Standard",(IF(OR('Ingest Template'!F147 = "Program Type - Special", 'Ingest Template'!F147 = "Program Type - Live Event"),'Ingest Template'!M147&amp; "|DAR|DAR|"&amp;TEXT('Ingest Template'!C147-3, "yyyy-mm-dd")&amp;"|"&amp;TEXT('Ingest Template'!C147+3, "yyyy-mm-dd"),'Ingest Template'!M147&amp; "|DAR|DAR|2021-01-01")),(IF(OR('Ingest Template'!F147 = "Program Type - Special", 'Ingest Template'!F147 = "Program Type - Live Event"),'Ingest Template'!M147&amp; "|Operations - Core Title|Operations - Core Title|"&amp;TEXT('Ingest Template'!C147-3, "yyyy-mm-dd")&amp;"|"&amp;TEXT('Ingest Template'!C147+3, "yyyy-mm-dd"),'Ingest Template'!M147&amp; "|Operations - Core Title|Operations - Core Title")))</f>
        <v>|Operations - Core Title|Operations - Core Title</v>
      </c>
      <c r="AK147" s="35"/>
      <c r="AL147" s="117" t="str">
        <f>if('Ingest Template'!A147="Standard",(IF(OR('Ingest Template'!F147 = "Program Type - Special", 'Ingest Template'!F147 = "Program Type - Live Event"),'Ingest Template'!Q147&amp;"|"&amp;TEXT('Ingest Template'!C147-3, "yyyy-mm-dd")&amp;"|"&amp;TEXT('Ingest Template'!C147+3, "yyyy-mm-dd"),'Ingest Template'!Q147&amp; "|2021-01-01")),(IF(OR('Ingest Template'!F147 = "Program Type - Special", 'Ingest Template'!F147 = "Program Type - Live Event"),'Ingest Template'!Q147&amp; "|"&amp;TEXT('Ingest Template'!C147-3, "yyyy-mm-dd")&amp;"|"&amp;TEXT('Ingest Template'!C147+3, "yyyy-mm-dd"),'Ingest Template'!Q147)))</f>
        <v/>
      </c>
      <c r="AM147" s="35" t="str">
        <f>'Ingest Template'!AC147</f>
        <v/>
      </c>
    </row>
    <row r="148">
      <c r="A148" s="15"/>
      <c r="B148" s="22" t="str">
        <f>'Ingest Template'!C148&amp;IF('Ingest Template'!A148 = "Standard", " - DAR","")</f>
        <v/>
      </c>
      <c r="C148" s="22" t="s">
        <v>83</v>
      </c>
      <c r="D148" s="22" t="str">
        <f t="array" ref="D148">CONCATENATE(INDEX(DropdownLists!$H$2:$H$11,MATCH(1,COUNTIF('Ingest Template'!E148,"*"&amp;DropdownLists!$I$2:$I$11&amp;"*"),0)),CHAR(10),'Ingest Template'!F148,CHAR(10),'Ingest Template'!G148,CHAR(10),VLOOKUP('Ingest Template'!D148,DropdownLists!C:D,2,FALSE))</f>
        <v>#N/A</v>
      </c>
      <c r="E148" s="22" t="str">
        <f>CONCATENATE('Ingest Template'!H148,CHAR(10),'Ingest Template'!I148,CHAR(10),'Ingest Template'!J148,CHAR(10))</f>
        <v>
</v>
      </c>
      <c r="F148" s="35" t="str">
        <f t="array" ref="F148">INDEX(DropdownLists!$O$2:$O$36,MATCH(1,COUNTIF(E148,"*"&amp;DropdownLists!$N$2:$N$36&amp;"*"),0))</f>
        <v/>
      </c>
      <c r="G148" s="35"/>
      <c r="H148" s="22" t="str">
        <f t="array" ref="H148">INDEX(DropdownLists!$E$2:$E$276,MATCH('Ingest Template'!D148,DropdownLists!$C$2:$C$276,0))</f>
        <v>#N/A</v>
      </c>
      <c r="I148" s="22"/>
      <c r="J148" s="22" t="str">
        <f t="array" ref="J148">iF('Ingest Template'!A148="Standard","Pristine Brand",INDEX(DropdownLists!$B$2:$B$246,MATCH('Ingest Template'!D148,DropdownLists!$C$2:$C$246,0)))</f>
        <v>#N/A</v>
      </c>
      <c r="K148" s="22" t="str">
        <f>iF('Ingest Template'!A148="Standard",'Ingest Template'!K148&amp;CHAR(10)&amp;'Ingest Template'!L148,"Competitive View")</f>
        <v>Competitive View</v>
      </c>
      <c r="L148" s="22" t="s">
        <v>95</v>
      </c>
      <c r="M148" s="45" t="str">
        <f>'Ingest Template'!B148</f>
        <v/>
      </c>
      <c r="N148" s="35"/>
      <c r="O148" s="35"/>
      <c r="P148" s="35"/>
      <c r="Q148" s="35"/>
      <c r="R148" s="35" t="str">
        <f>'Ingest Template'!D148</f>
        <v/>
      </c>
      <c r="S148" s="22" t="s">
        <v>101</v>
      </c>
      <c r="T148" s="35" t="str">
        <f>'Ingest Template'!V148</f>
        <v/>
      </c>
      <c r="U148" s="35" t="str">
        <f>'Ingest Template'!W148</f>
        <v/>
      </c>
      <c r="V148" s="35" t="str">
        <f>LOWER(SUBSTITUTE(SUBSTITUTE(SUBSTITUTE(SUBSTITUTE(SUBSTITUTE('Ingest Template'!X148,"https:",""),"www.",""),"/",""),"?hl=en",""),"instagram.com",""))</f>
        <v/>
      </c>
      <c r="W148" s="74" t="str">
        <f t="array" ref="W148">IF(
'Ingest Template'!Y148="",
SUBSTITUTE(
INDEX(DropdownLists!$F$2:$F$277,MATCH('Ingest Template'!D148,DropdownLists!$C$2:$C$277,0)),
CHAR(10),
"|"&amp;'Ingest Template'!C148&amp;CHAR(10)
)&amp;"|"&amp;'Ingest Template'!C148,
SUBSTITUTE(
INDEX(DropdownLists!$F$2:$F$277,MATCH('Ingest Template'!D148,DropdownLists!$C$2:$C$277,0)),
CHAR(10),
"|"&amp;'Ingest Template'!C148&amp;CHAR(10)
)&amp;"|"&amp;'Ingest Template'!C148&amp;CHAR(10)&amp;'Ingest Template'!Y148
)</f>
        <v>#N/A</v>
      </c>
      <c r="X148" s="74" t="str">
        <f>'Ingest Template'!Z148</f>
        <v/>
      </c>
      <c r="Y148" s="35" t="str">
        <f>SUBSTITUTE(SUBSTITUTE(SUBSTITUTE('Ingest Template'!AA148,"http:",""),"https:",""),"/","")</f>
        <v/>
      </c>
      <c r="Z148" s="35" t="str">
        <f t="array" ref="Z148">IF('Ingest Template'!A148="Standard",(IF(ISBLANK('Ingest Template'!AB148),"", 'Ingest Template'!AB148&amp;"|DAR")),(IF(ISBLANK('Ingest Template'!AB148),"", 'Ingest Template'!AB148&amp;"|TV Ops")))</f>
        <v/>
      </c>
      <c r="AA148" s="35"/>
      <c r="AB148" s="35" t="str">
        <f>'Ingest Template'!R148</f>
        <v/>
      </c>
      <c r="AC148" s="35" t="str">
        <f>'Ingest Template'!T148</f>
        <v/>
      </c>
      <c r="AD148" s="35" t="str">
        <f>'Ingest Template'!S148</f>
        <v/>
      </c>
      <c r="AE148" s="35" t="str">
        <f>'Ingest Template'!U148</f>
        <v/>
      </c>
      <c r="AF148" s="22"/>
      <c r="AG148" s="35" t="str">
        <f t="array" ref="AG148">IF('Ingest Template'!A148="Standard",(CONCATENATE(IF(ISBLANK('Ingest Template'!N148),"", 'Ingest Template'!N148&amp;"|DAR"),CHAR(10), IF(ISBLANK('Ingest Template'!O148),"", 'Ingest Template'!O148&amp;"|DAR"),CHAR(10), IF(ISBLANK('Ingest Template'!P148),"", 'Ingest Template'!P148&amp;"|DAR"))),(CONCATENATE(IF(ISBLANK('Ingest Template'!N148),"", 'Ingest Template'!N148&amp;"|TV Ops"),CHAR(10), IF(ISBLANK('Ingest Template'!O148),"", 'Ingest Template'!O148&amp;"|TV Ops"),CHAR(10), IF(ISBLANK('Ingest Template'!P148),"", 'Ingest Template'!P148&amp;"|TV Ops"))))</f>
        <v>
</v>
      </c>
      <c r="AH148" s="35"/>
      <c r="AI148" s="35"/>
      <c r="AJ148" s="117" t="str">
        <f>if('Ingest Template'!A148="Standard",(IF(OR('Ingest Template'!F148 = "Program Type - Special", 'Ingest Template'!F148 = "Program Type - Live Event"),'Ingest Template'!M148&amp; "|DAR|DAR|"&amp;TEXT('Ingest Template'!C148-3, "yyyy-mm-dd")&amp;"|"&amp;TEXT('Ingest Template'!C148+3, "yyyy-mm-dd"),'Ingest Template'!M148&amp; "|DAR|DAR|2021-01-01")),(IF(OR('Ingest Template'!F148 = "Program Type - Special", 'Ingest Template'!F148 = "Program Type - Live Event"),'Ingest Template'!M148&amp; "|Operations - Core Title|Operations - Core Title|"&amp;TEXT('Ingest Template'!C148-3, "yyyy-mm-dd")&amp;"|"&amp;TEXT('Ingest Template'!C148+3, "yyyy-mm-dd"),'Ingest Template'!M148&amp; "|Operations - Core Title|Operations - Core Title")))</f>
        <v>|Operations - Core Title|Operations - Core Title</v>
      </c>
      <c r="AK148" s="35"/>
      <c r="AL148" s="117" t="str">
        <f>if('Ingest Template'!A148="Standard",(IF(OR('Ingest Template'!F148 = "Program Type - Special", 'Ingest Template'!F148 = "Program Type - Live Event"),'Ingest Template'!Q148&amp;"|"&amp;TEXT('Ingest Template'!C148-3, "yyyy-mm-dd")&amp;"|"&amp;TEXT('Ingest Template'!C148+3, "yyyy-mm-dd"),'Ingest Template'!Q148&amp; "|2021-01-01")),(IF(OR('Ingest Template'!F148 = "Program Type - Special", 'Ingest Template'!F148 = "Program Type - Live Event"),'Ingest Template'!Q148&amp; "|"&amp;TEXT('Ingest Template'!C148-3, "yyyy-mm-dd")&amp;"|"&amp;TEXT('Ingest Template'!C148+3, "yyyy-mm-dd"),'Ingest Template'!Q148)))</f>
        <v/>
      </c>
      <c r="AM148" s="35" t="str">
        <f>'Ingest Template'!AC148</f>
        <v/>
      </c>
    </row>
    <row r="149">
      <c r="A149" s="15"/>
      <c r="B149" s="22" t="str">
        <f>'Ingest Template'!C149&amp;IF('Ingest Template'!A149 = "Standard", " - DAR","")</f>
        <v/>
      </c>
      <c r="C149" s="22" t="s">
        <v>83</v>
      </c>
      <c r="D149" s="22" t="str">
        <f t="array" ref="D149">CONCATENATE(INDEX(DropdownLists!$H$2:$H$11,MATCH(1,COUNTIF('Ingest Template'!E149,"*"&amp;DropdownLists!$I$2:$I$11&amp;"*"),0)),CHAR(10),'Ingest Template'!F149,CHAR(10),'Ingest Template'!G149,CHAR(10),VLOOKUP('Ingest Template'!D149,DropdownLists!C:D,2,FALSE))</f>
        <v>#N/A</v>
      </c>
      <c r="E149" s="22" t="str">
        <f>CONCATENATE('Ingest Template'!H149,CHAR(10),'Ingest Template'!I149,CHAR(10),'Ingest Template'!J149,CHAR(10))</f>
        <v>
</v>
      </c>
      <c r="F149" s="35" t="str">
        <f t="array" ref="F149">INDEX(DropdownLists!$O$2:$O$36,MATCH(1,COUNTIF(E149,"*"&amp;DropdownLists!$N$2:$N$36&amp;"*"),0))</f>
        <v/>
      </c>
      <c r="G149" s="35"/>
      <c r="H149" s="22" t="str">
        <f t="array" ref="H149">INDEX(DropdownLists!$E$2:$E$276,MATCH('Ingest Template'!D149,DropdownLists!$C$2:$C$276,0))</f>
        <v>#N/A</v>
      </c>
      <c r="I149" s="22"/>
      <c r="J149" s="22" t="str">
        <f t="array" ref="J149">iF('Ingest Template'!A149="Standard","Pristine Brand",INDEX(DropdownLists!$B$2:$B$246,MATCH('Ingest Template'!D149,DropdownLists!$C$2:$C$246,0)))</f>
        <v>#N/A</v>
      </c>
      <c r="K149" s="22" t="str">
        <f>iF('Ingest Template'!A149="Standard",'Ingest Template'!K149&amp;CHAR(10)&amp;'Ingest Template'!L149,"Competitive View")</f>
        <v>Competitive View</v>
      </c>
      <c r="L149" s="22" t="s">
        <v>95</v>
      </c>
      <c r="M149" s="45" t="str">
        <f>'Ingest Template'!B149</f>
        <v/>
      </c>
      <c r="N149" s="35"/>
      <c r="O149" s="35"/>
      <c r="P149" s="35"/>
      <c r="Q149" s="35"/>
      <c r="R149" s="35" t="str">
        <f>'Ingest Template'!D149</f>
        <v/>
      </c>
      <c r="S149" s="22" t="s">
        <v>101</v>
      </c>
      <c r="T149" s="35" t="str">
        <f>'Ingest Template'!V149</f>
        <v/>
      </c>
      <c r="U149" s="35" t="str">
        <f>'Ingest Template'!W149</f>
        <v/>
      </c>
      <c r="V149" s="35" t="str">
        <f>LOWER(SUBSTITUTE(SUBSTITUTE(SUBSTITUTE(SUBSTITUTE(SUBSTITUTE('Ingest Template'!X149,"https:",""),"www.",""),"/",""),"?hl=en",""),"instagram.com",""))</f>
        <v/>
      </c>
      <c r="W149" s="74" t="str">
        <f t="array" ref="W149">IF(
'Ingest Template'!Y149="",
SUBSTITUTE(
INDEX(DropdownLists!$F$2:$F$277,MATCH('Ingest Template'!D149,DropdownLists!$C$2:$C$277,0)),
CHAR(10),
"|"&amp;'Ingest Template'!C149&amp;CHAR(10)
)&amp;"|"&amp;'Ingest Template'!C149,
SUBSTITUTE(
INDEX(DropdownLists!$F$2:$F$277,MATCH('Ingest Template'!D149,DropdownLists!$C$2:$C$277,0)),
CHAR(10),
"|"&amp;'Ingest Template'!C149&amp;CHAR(10)
)&amp;"|"&amp;'Ingest Template'!C149&amp;CHAR(10)&amp;'Ingest Template'!Y149
)</f>
        <v>#N/A</v>
      </c>
      <c r="X149" s="74" t="str">
        <f>'Ingest Template'!Z149</f>
        <v/>
      </c>
      <c r="Y149" s="35" t="str">
        <f>SUBSTITUTE(SUBSTITUTE(SUBSTITUTE('Ingest Template'!AA149,"http:",""),"https:",""),"/","")</f>
        <v/>
      </c>
      <c r="Z149" s="35" t="str">
        <f t="array" ref="Z149">IF('Ingest Template'!A149="Standard",(IF(ISBLANK('Ingest Template'!AB149),"", 'Ingest Template'!AB149&amp;"|DAR")),(IF(ISBLANK('Ingest Template'!AB149),"", 'Ingest Template'!AB149&amp;"|TV Ops")))</f>
        <v/>
      </c>
      <c r="AA149" s="35"/>
      <c r="AB149" s="35" t="str">
        <f>'Ingest Template'!R149</f>
        <v/>
      </c>
      <c r="AC149" s="35" t="str">
        <f>'Ingest Template'!T149</f>
        <v/>
      </c>
      <c r="AD149" s="35" t="str">
        <f>'Ingest Template'!S149</f>
        <v/>
      </c>
      <c r="AE149" s="35" t="str">
        <f>'Ingest Template'!U149</f>
        <v/>
      </c>
      <c r="AF149" s="22"/>
      <c r="AG149" s="35" t="str">
        <f t="array" ref="AG149">IF('Ingest Template'!A149="Standard",(CONCATENATE(IF(ISBLANK('Ingest Template'!N149),"", 'Ingest Template'!N149&amp;"|DAR"),CHAR(10), IF(ISBLANK('Ingest Template'!O149),"", 'Ingest Template'!O149&amp;"|DAR"),CHAR(10), IF(ISBLANK('Ingest Template'!P149),"", 'Ingest Template'!P149&amp;"|DAR"))),(CONCATENATE(IF(ISBLANK('Ingest Template'!N149),"", 'Ingest Template'!N149&amp;"|TV Ops"),CHAR(10), IF(ISBLANK('Ingest Template'!O149),"", 'Ingest Template'!O149&amp;"|TV Ops"),CHAR(10), IF(ISBLANK('Ingest Template'!P149),"", 'Ingest Template'!P149&amp;"|TV Ops"))))</f>
        <v>
</v>
      </c>
      <c r="AH149" s="35"/>
      <c r="AI149" s="35"/>
      <c r="AJ149" s="117" t="str">
        <f>if('Ingest Template'!A149="Standard",(IF(OR('Ingest Template'!F149 = "Program Type - Special", 'Ingest Template'!F149 = "Program Type - Live Event"),'Ingest Template'!M149&amp; "|DAR|DAR|"&amp;TEXT('Ingest Template'!C149-3, "yyyy-mm-dd")&amp;"|"&amp;TEXT('Ingest Template'!C149+3, "yyyy-mm-dd"),'Ingest Template'!M149&amp; "|DAR|DAR|2021-01-01")),(IF(OR('Ingest Template'!F149 = "Program Type - Special", 'Ingest Template'!F149 = "Program Type - Live Event"),'Ingest Template'!M149&amp; "|Operations - Core Title|Operations - Core Title|"&amp;TEXT('Ingest Template'!C149-3, "yyyy-mm-dd")&amp;"|"&amp;TEXT('Ingest Template'!C149+3, "yyyy-mm-dd"),'Ingest Template'!M149&amp; "|Operations - Core Title|Operations - Core Title")))</f>
        <v>|Operations - Core Title|Operations - Core Title</v>
      </c>
      <c r="AK149" s="35"/>
      <c r="AL149" s="117" t="str">
        <f>if('Ingest Template'!A149="Standard",(IF(OR('Ingest Template'!F149 = "Program Type - Special", 'Ingest Template'!F149 = "Program Type - Live Event"),'Ingest Template'!Q149&amp;"|"&amp;TEXT('Ingest Template'!C149-3, "yyyy-mm-dd")&amp;"|"&amp;TEXT('Ingest Template'!C149+3, "yyyy-mm-dd"),'Ingest Template'!Q149&amp; "|2021-01-01")),(IF(OR('Ingest Template'!F149 = "Program Type - Special", 'Ingest Template'!F149 = "Program Type - Live Event"),'Ingest Template'!Q149&amp; "|"&amp;TEXT('Ingest Template'!C149-3, "yyyy-mm-dd")&amp;"|"&amp;TEXT('Ingest Template'!C149+3, "yyyy-mm-dd"),'Ingest Template'!Q149)))</f>
        <v/>
      </c>
      <c r="AM149" s="35" t="str">
        <f>'Ingest Template'!AC149</f>
        <v/>
      </c>
    </row>
    <row r="150">
      <c r="A150" s="15"/>
      <c r="B150" s="22" t="str">
        <f>'Ingest Template'!C150&amp;IF('Ingest Template'!A150 = "Standard", " - DAR","")</f>
        <v/>
      </c>
      <c r="C150" s="22" t="s">
        <v>83</v>
      </c>
      <c r="D150" s="22" t="str">
        <f t="array" ref="D150">CONCATENATE(INDEX(DropdownLists!$H$2:$H$11,MATCH(1,COUNTIF('Ingest Template'!E150,"*"&amp;DropdownLists!$I$2:$I$11&amp;"*"),0)),CHAR(10),'Ingest Template'!F150,CHAR(10),'Ingest Template'!G150,CHAR(10),VLOOKUP('Ingest Template'!D150,DropdownLists!C:D,2,FALSE))</f>
        <v>#N/A</v>
      </c>
      <c r="E150" s="22" t="str">
        <f>CONCATENATE('Ingest Template'!H150,CHAR(10),'Ingest Template'!I150,CHAR(10),'Ingest Template'!J150,CHAR(10))</f>
        <v>
</v>
      </c>
      <c r="F150" s="35" t="str">
        <f t="array" ref="F150">INDEX(DropdownLists!$O$2:$O$36,MATCH(1,COUNTIF(E150,"*"&amp;DropdownLists!$N$2:$N$36&amp;"*"),0))</f>
        <v/>
      </c>
      <c r="G150" s="35"/>
      <c r="H150" s="22" t="str">
        <f t="array" ref="H150">INDEX(DropdownLists!$E$2:$E$276,MATCH('Ingest Template'!D150,DropdownLists!$C$2:$C$276,0))</f>
        <v>#N/A</v>
      </c>
      <c r="I150" s="22"/>
      <c r="J150" s="22" t="str">
        <f t="array" ref="J150">iF('Ingest Template'!A150="Standard","Pristine Brand",INDEX(DropdownLists!$B$2:$B$246,MATCH('Ingest Template'!D150,DropdownLists!$C$2:$C$246,0)))</f>
        <v>#N/A</v>
      </c>
      <c r="K150" s="22" t="str">
        <f>iF('Ingest Template'!A150="Standard",'Ingest Template'!K150&amp;CHAR(10)&amp;'Ingest Template'!L150,"Competitive View")</f>
        <v>Competitive View</v>
      </c>
      <c r="L150" s="22" t="s">
        <v>95</v>
      </c>
      <c r="M150" s="45" t="str">
        <f>'Ingest Template'!B150</f>
        <v/>
      </c>
      <c r="N150" s="35"/>
      <c r="O150" s="35"/>
      <c r="P150" s="35"/>
      <c r="Q150" s="35"/>
      <c r="R150" s="35" t="str">
        <f>'Ingest Template'!D150</f>
        <v/>
      </c>
      <c r="S150" s="22" t="s">
        <v>101</v>
      </c>
      <c r="T150" s="35" t="str">
        <f>'Ingest Template'!V150</f>
        <v/>
      </c>
      <c r="U150" s="35" t="str">
        <f>'Ingest Template'!W150</f>
        <v/>
      </c>
      <c r="V150" s="35" t="str">
        <f>LOWER(SUBSTITUTE(SUBSTITUTE(SUBSTITUTE(SUBSTITUTE(SUBSTITUTE('Ingest Template'!X150,"https:",""),"www.",""),"/",""),"?hl=en",""),"instagram.com",""))</f>
        <v/>
      </c>
      <c r="W150" s="74" t="str">
        <f t="array" ref="W150">IF(
'Ingest Template'!Y150="",
SUBSTITUTE(
INDEX(DropdownLists!$F$2:$F$277,MATCH('Ingest Template'!D150,DropdownLists!$C$2:$C$277,0)),
CHAR(10),
"|"&amp;'Ingest Template'!C150&amp;CHAR(10)
)&amp;"|"&amp;'Ingest Template'!C150,
SUBSTITUTE(
INDEX(DropdownLists!$F$2:$F$277,MATCH('Ingest Template'!D150,DropdownLists!$C$2:$C$277,0)),
CHAR(10),
"|"&amp;'Ingest Template'!C150&amp;CHAR(10)
)&amp;"|"&amp;'Ingest Template'!C150&amp;CHAR(10)&amp;'Ingest Template'!Y150
)</f>
        <v>#N/A</v>
      </c>
      <c r="X150" s="74" t="str">
        <f>'Ingest Template'!Z150</f>
        <v/>
      </c>
      <c r="Y150" s="35" t="str">
        <f>SUBSTITUTE(SUBSTITUTE(SUBSTITUTE('Ingest Template'!AA150,"http:",""),"https:",""),"/","")</f>
        <v/>
      </c>
      <c r="Z150" s="35" t="str">
        <f t="array" ref="Z150">IF('Ingest Template'!A150="Standard",(IF(ISBLANK('Ingest Template'!AB150),"", 'Ingest Template'!AB150&amp;"|DAR")),(IF(ISBLANK('Ingest Template'!AB150),"", 'Ingest Template'!AB150&amp;"|TV Ops")))</f>
        <v/>
      </c>
      <c r="AA150" s="35"/>
      <c r="AB150" s="35" t="str">
        <f>'Ingest Template'!R150</f>
        <v/>
      </c>
      <c r="AC150" s="35" t="str">
        <f>'Ingest Template'!T150</f>
        <v/>
      </c>
      <c r="AD150" s="35" t="str">
        <f>'Ingest Template'!S150</f>
        <v/>
      </c>
      <c r="AE150" s="35" t="str">
        <f>'Ingest Template'!U150</f>
        <v/>
      </c>
      <c r="AF150" s="22"/>
      <c r="AG150" s="35" t="str">
        <f t="array" ref="AG150">IF('Ingest Template'!A150="Standard",(CONCATENATE(IF(ISBLANK('Ingest Template'!N150),"", 'Ingest Template'!N150&amp;"|DAR"),CHAR(10), IF(ISBLANK('Ingest Template'!O150),"", 'Ingest Template'!O150&amp;"|DAR"),CHAR(10), IF(ISBLANK('Ingest Template'!P150),"", 'Ingest Template'!P150&amp;"|DAR"))),(CONCATENATE(IF(ISBLANK('Ingest Template'!N150),"", 'Ingest Template'!N150&amp;"|TV Ops"),CHAR(10), IF(ISBLANK('Ingest Template'!O150),"", 'Ingest Template'!O150&amp;"|TV Ops"),CHAR(10), IF(ISBLANK('Ingest Template'!P150),"", 'Ingest Template'!P150&amp;"|TV Ops"))))</f>
        <v>
</v>
      </c>
      <c r="AH150" s="35"/>
      <c r="AI150" s="35"/>
      <c r="AJ150" s="117" t="str">
        <f>if('Ingest Template'!A150="Standard",(IF(OR('Ingest Template'!F150 = "Program Type - Special", 'Ingest Template'!F150 = "Program Type - Live Event"),'Ingest Template'!M150&amp; "|DAR|DAR|"&amp;TEXT('Ingest Template'!C150-3, "yyyy-mm-dd")&amp;"|"&amp;TEXT('Ingest Template'!C150+3, "yyyy-mm-dd"),'Ingest Template'!M150&amp; "|DAR|DAR|2021-01-01")),(IF(OR('Ingest Template'!F150 = "Program Type - Special", 'Ingest Template'!F150 = "Program Type - Live Event"),'Ingest Template'!M150&amp; "|Operations - Core Title|Operations - Core Title|"&amp;TEXT('Ingest Template'!C150-3, "yyyy-mm-dd")&amp;"|"&amp;TEXT('Ingest Template'!C150+3, "yyyy-mm-dd"),'Ingest Template'!M150&amp; "|Operations - Core Title|Operations - Core Title")))</f>
        <v>|Operations - Core Title|Operations - Core Title</v>
      </c>
      <c r="AK150" s="35"/>
      <c r="AL150" s="117" t="str">
        <f>if('Ingest Template'!A150="Standard",(IF(OR('Ingest Template'!F150 = "Program Type - Special", 'Ingest Template'!F150 = "Program Type - Live Event"),'Ingest Template'!Q150&amp;"|"&amp;TEXT('Ingest Template'!C150-3, "yyyy-mm-dd")&amp;"|"&amp;TEXT('Ingest Template'!C150+3, "yyyy-mm-dd"),'Ingest Template'!Q150&amp; "|2021-01-01")),(IF(OR('Ingest Template'!F150 = "Program Type - Special", 'Ingest Template'!F150 = "Program Type - Live Event"),'Ingest Template'!Q150&amp; "|"&amp;TEXT('Ingest Template'!C150-3, "yyyy-mm-dd")&amp;"|"&amp;TEXT('Ingest Template'!C150+3, "yyyy-mm-dd"),'Ingest Template'!Q150)))</f>
        <v/>
      </c>
      <c r="AM150" s="35" t="str">
        <f>'Ingest Template'!AC150</f>
        <v/>
      </c>
    </row>
    <row r="151">
      <c r="A151" s="15"/>
      <c r="B151" s="22" t="str">
        <f>'Ingest Template'!C151&amp;IF('Ingest Template'!A151 = "Standard", " - DAR","")</f>
        <v/>
      </c>
      <c r="C151" s="22" t="s">
        <v>83</v>
      </c>
      <c r="D151" s="22" t="str">
        <f t="array" ref="D151">CONCATENATE(INDEX(DropdownLists!$H$2:$H$11,MATCH(1,COUNTIF('Ingest Template'!E151,"*"&amp;DropdownLists!$I$2:$I$11&amp;"*"),0)),CHAR(10),'Ingest Template'!F151,CHAR(10),'Ingest Template'!G151,CHAR(10),VLOOKUP('Ingest Template'!D151,DropdownLists!C:D,2,FALSE))</f>
        <v>#N/A</v>
      </c>
      <c r="E151" s="22" t="str">
        <f>CONCATENATE('Ingest Template'!H151,CHAR(10),'Ingest Template'!I151,CHAR(10),'Ingest Template'!J151,CHAR(10))</f>
        <v>
</v>
      </c>
      <c r="F151" s="35" t="str">
        <f t="array" ref="F151">INDEX(DropdownLists!$O$2:$O$36,MATCH(1,COUNTIF(E151,"*"&amp;DropdownLists!$N$2:$N$36&amp;"*"),0))</f>
        <v/>
      </c>
      <c r="G151" s="35"/>
      <c r="H151" s="22" t="str">
        <f t="array" ref="H151">INDEX(DropdownLists!$E$2:$E$276,MATCH('Ingest Template'!D151,DropdownLists!$C$2:$C$276,0))</f>
        <v>#N/A</v>
      </c>
      <c r="I151" s="22"/>
      <c r="J151" s="22" t="str">
        <f t="array" ref="J151">iF('Ingest Template'!A151="Standard","Pristine Brand",INDEX(DropdownLists!$B$2:$B$246,MATCH('Ingest Template'!D151,DropdownLists!$C$2:$C$246,0)))</f>
        <v>#N/A</v>
      </c>
      <c r="K151" s="22" t="str">
        <f>iF('Ingest Template'!A151="Standard",'Ingest Template'!K151&amp;CHAR(10)&amp;'Ingest Template'!L151,"Competitive View")</f>
        <v>Competitive View</v>
      </c>
      <c r="L151" s="22" t="s">
        <v>95</v>
      </c>
      <c r="M151" s="45" t="str">
        <f>'Ingest Template'!B151</f>
        <v/>
      </c>
      <c r="N151" s="35"/>
      <c r="O151" s="35"/>
      <c r="P151" s="35"/>
      <c r="Q151" s="35"/>
      <c r="R151" s="35" t="str">
        <f>'Ingest Template'!D151</f>
        <v/>
      </c>
      <c r="S151" s="22" t="s">
        <v>101</v>
      </c>
      <c r="T151" s="35" t="str">
        <f>'Ingest Template'!V151</f>
        <v/>
      </c>
      <c r="U151" s="35" t="str">
        <f>'Ingest Template'!W151</f>
        <v/>
      </c>
      <c r="V151" s="35" t="str">
        <f>LOWER(SUBSTITUTE(SUBSTITUTE(SUBSTITUTE(SUBSTITUTE(SUBSTITUTE('Ingest Template'!X151,"https:",""),"www.",""),"/",""),"?hl=en",""),"instagram.com",""))</f>
        <v/>
      </c>
      <c r="W151" s="74" t="str">
        <f t="array" ref="W151">IF(
'Ingest Template'!Y151="",
SUBSTITUTE(
INDEX(DropdownLists!$F$2:$F$277,MATCH('Ingest Template'!D151,DropdownLists!$C$2:$C$277,0)),
CHAR(10),
"|"&amp;'Ingest Template'!C151&amp;CHAR(10)
)&amp;"|"&amp;'Ingest Template'!C151,
SUBSTITUTE(
INDEX(DropdownLists!$F$2:$F$277,MATCH('Ingest Template'!D151,DropdownLists!$C$2:$C$277,0)),
CHAR(10),
"|"&amp;'Ingest Template'!C151&amp;CHAR(10)
)&amp;"|"&amp;'Ingest Template'!C151&amp;CHAR(10)&amp;'Ingest Template'!Y151
)</f>
        <v>#N/A</v>
      </c>
      <c r="X151" s="74" t="str">
        <f>'Ingest Template'!Z151</f>
        <v/>
      </c>
      <c r="Y151" s="35" t="str">
        <f>SUBSTITUTE(SUBSTITUTE(SUBSTITUTE('Ingest Template'!AA151,"http:",""),"https:",""),"/","")</f>
        <v/>
      </c>
      <c r="Z151" s="35" t="str">
        <f t="array" ref="Z151">IF('Ingest Template'!A151="Standard",(IF(ISBLANK('Ingest Template'!AB151),"", 'Ingest Template'!AB151&amp;"|DAR")),(IF(ISBLANK('Ingest Template'!AB151),"", 'Ingest Template'!AB151&amp;"|TV Ops")))</f>
        <v/>
      </c>
      <c r="AA151" s="35"/>
      <c r="AB151" s="35" t="str">
        <f>'Ingest Template'!R151</f>
        <v/>
      </c>
      <c r="AC151" s="35" t="str">
        <f>'Ingest Template'!T151</f>
        <v/>
      </c>
      <c r="AD151" s="35" t="str">
        <f>'Ingest Template'!S151</f>
        <v/>
      </c>
      <c r="AE151" s="35" t="str">
        <f>'Ingest Template'!U151</f>
        <v/>
      </c>
      <c r="AF151" s="22"/>
      <c r="AG151" s="35" t="str">
        <f t="array" ref="AG151">IF('Ingest Template'!A151="Standard",(CONCATENATE(IF(ISBLANK('Ingest Template'!N151),"", 'Ingest Template'!N151&amp;"|DAR"),CHAR(10), IF(ISBLANK('Ingest Template'!O151),"", 'Ingest Template'!O151&amp;"|DAR"),CHAR(10), IF(ISBLANK('Ingest Template'!P151),"", 'Ingest Template'!P151&amp;"|DAR"))),(CONCATENATE(IF(ISBLANK('Ingest Template'!N151),"", 'Ingest Template'!N151&amp;"|TV Ops"),CHAR(10), IF(ISBLANK('Ingest Template'!O151),"", 'Ingest Template'!O151&amp;"|TV Ops"),CHAR(10), IF(ISBLANK('Ingest Template'!P151),"", 'Ingest Template'!P151&amp;"|TV Ops"))))</f>
        <v>
</v>
      </c>
      <c r="AH151" s="35"/>
      <c r="AI151" s="35"/>
      <c r="AJ151" s="117" t="str">
        <f>if('Ingest Template'!A151="Standard",(IF(OR('Ingest Template'!F151 = "Program Type - Special", 'Ingest Template'!F151 = "Program Type - Live Event"),'Ingest Template'!M151&amp; "|DAR|DAR|"&amp;TEXT('Ingest Template'!C151-3, "yyyy-mm-dd")&amp;"|"&amp;TEXT('Ingest Template'!C151+3, "yyyy-mm-dd"),'Ingest Template'!M151&amp; "|DAR|DAR|2021-01-01")),(IF(OR('Ingest Template'!F151 = "Program Type - Special", 'Ingest Template'!F151 = "Program Type - Live Event"),'Ingest Template'!M151&amp; "|Operations - Core Title|Operations - Core Title|"&amp;TEXT('Ingest Template'!C151-3, "yyyy-mm-dd")&amp;"|"&amp;TEXT('Ingest Template'!C151+3, "yyyy-mm-dd"),'Ingest Template'!M151&amp; "|Operations - Core Title|Operations - Core Title")))</f>
        <v>|Operations - Core Title|Operations - Core Title</v>
      </c>
      <c r="AK151" s="35"/>
      <c r="AL151" s="117" t="str">
        <f>if('Ingest Template'!A151="Standard",(IF(OR('Ingest Template'!F151 = "Program Type - Special", 'Ingest Template'!F151 = "Program Type - Live Event"),'Ingest Template'!Q151&amp;"|"&amp;TEXT('Ingest Template'!C151-3, "yyyy-mm-dd")&amp;"|"&amp;TEXT('Ingest Template'!C151+3, "yyyy-mm-dd"),'Ingest Template'!Q151&amp; "|2021-01-01")),(IF(OR('Ingest Template'!F151 = "Program Type - Special", 'Ingest Template'!F151 = "Program Type - Live Event"),'Ingest Template'!Q151&amp; "|"&amp;TEXT('Ingest Template'!C151-3, "yyyy-mm-dd")&amp;"|"&amp;TEXT('Ingest Template'!C151+3, "yyyy-mm-dd"),'Ingest Template'!Q151)))</f>
        <v/>
      </c>
      <c r="AM151" s="35" t="str">
        <f>'Ingest Template'!AC151</f>
        <v/>
      </c>
    </row>
    <row r="152">
      <c r="A152" s="15"/>
      <c r="B152" s="22" t="str">
        <f>'Ingest Template'!C152&amp;IF('Ingest Template'!A152 = "Standard", " - DAR","")</f>
        <v/>
      </c>
      <c r="C152" s="22" t="s">
        <v>83</v>
      </c>
      <c r="D152" s="22" t="str">
        <f t="array" ref="D152">CONCATENATE(INDEX(DropdownLists!$H$2:$H$11,MATCH(1,COUNTIF('Ingest Template'!E152,"*"&amp;DropdownLists!$I$2:$I$11&amp;"*"),0)),CHAR(10),'Ingest Template'!F152,CHAR(10),'Ingest Template'!G152,CHAR(10),VLOOKUP('Ingest Template'!D152,DropdownLists!C:D,2,FALSE))</f>
        <v>#N/A</v>
      </c>
      <c r="E152" s="22" t="str">
        <f>CONCATENATE('Ingest Template'!H152,CHAR(10),'Ingest Template'!I152,CHAR(10),'Ingest Template'!J152,CHAR(10))</f>
        <v>
</v>
      </c>
      <c r="F152" s="35" t="str">
        <f t="array" ref="F152">INDEX(DropdownLists!$O$2:$O$36,MATCH(1,COUNTIF(E152,"*"&amp;DropdownLists!$N$2:$N$36&amp;"*"),0))</f>
        <v/>
      </c>
      <c r="G152" s="35"/>
      <c r="H152" s="22" t="str">
        <f t="array" ref="H152">INDEX(DropdownLists!$E$2:$E$276,MATCH('Ingest Template'!D152,DropdownLists!$C$2:$C$276,0))</f>
        <v>#N/A</v>
      </c>
      <c r="I152" s="22"/>
      <c r="J152" s="22" t="str">
        <f t="array" ref="J152">iF('Ingest Template'!A152="Standard","Pristine Brand",INDEX(DropdownLists!$B$2:$B$246,MATCH('Ingest Template'!D152,DropdownLists!$C$2:$C$246,0)))</f>
        <v>#N/A</v>
      </c>
      <c r="K152" s="22" t="str">
        <f>iF('Ingest Template'!A152="Standard",'Ingest Template'!K152&amp;CHAR(10)&amp;'Ingest Template'!L152,"Competitive View")</f>
        <v>Competitive View</v>
      </c>
      <c r="L152" s="22" t="s">
        <v>95</v>
      </c>
      <c r="M152" s="45" t="str">
        <f>'Ingest Template'!B152</f>
        <v/>
      </c>
      <c r="N152" s="35"/>
      <c r="O152" s="35"/>
      <c r="P152" s="35"/>
      <c r="Q152" s="35"/>
      <c r="R152" s="35" t="str">
        <f>'Ingest Template'!D152</f>
        <v/>
      </c>
      <c r="S152" s="22" t="s">
        <v>101</v>
      </c>
      <c r="T152" s="35" t="str">
        <f>'Ingest Template'!V152</f>
        <v/>
      </c>
      <c r="U152" s="35" t="str">
        <f>'Ingest Template'!W152</f>
        <v/>
      </c>
      <c r="V152" s="35" t="str">
        <f>LOWER(SUBSTITUTE(SUBSTITUTE(SUBSTITUTE(SUBSTITUTE(SUBSTITUTE('Ingest Template'!X152,"https:",""),"www.",""),"/",""),"?hl=en",""),"instagram.com",""))</f>
        <v/>
      </c>
      <c r="W152" s="74" t="str">
        <f t="array" ref="W152">IF(
'Ingest Template'!Y152="",
SUBSTITUTE(
INDEX(DropdownLists!$F$2:$F$277,MATCH('Ingest Template'!D152,DropdownLists!$C$2:$C$277,0)),
CHAR(10),
"|"&amp;'Ingest Template'!C152&amp;CHAR(10)
)&amp;"|"&amp;'Ingest Template'!C152,
SUBSTITUTE(
INDEX(DropdownLists!$F$2:$F$277,MATCH('Ingest Template'!D152,DropdownLists!$C$2:$C$277,0)),
CHAR(10),
"|"&amp;'Ingest Template'!C152&amp;CHAR(10)
)&amp;"|"&amp;'Ingest Template'!C152&amp;CHAR(10)&amp;'Ingest Template'!Y152
)</f>
        <v>#N/A</v>
      </c>
      <c r="X152" s="74" t="str">
        <f>'Ingest Template'!Z152</f>
        <v/>
      </c>
      <c r="Y152" s="35" t="str">
        <f>SUBSTITUTE(SUBSTITUTE(SUBSTITUTE('Ingest Template'!AA152,"http:",""),"https:",""),"/","")</f>
        <v/>
      </c>
      <c r="Z152" s="35" t="str">
        <f t="array" ref="Z152">IF('Ingest Template'!A152="Standard",(IF(ISBLANK('Ingest Template'!AB152),"", 'Ingest Template'!AB152&amp;"|DAR")),(IF(ISBLANK('Ingest Template'!AB152),"", 'Ingest Template'!AB152&amp;"|TV Ops")))</f>
        <v/>
      </c>
      <c r="AA152" s="35"/>
      <c r="AB152" s="35" t="str">
        <f>'Ingest Template'!R152</f>
        <v/>
      </c>
      <c r="AC152" s="35" t="str">
        <f>'Ingest Template'!T152</f>
        <v/>
      </c>
      <c r="AD152" s="35" t="str">
        <f>'Ingest Template'!S152</f>
        <v/>
      </c>
      <c r="AE152" s="35" t="str">
        <f>'Ingest Template'!U152</f>
        <v/>
      </c>
      <c r="AF152" s="22"/>
      <c r="AG152" s="35" t="str">
        <f t="array" ref="AG152">IF('Ingest Template'!A152="Standard",(CONCATENATE(IF(ISBLANK('Ingest Template'!N152),"", 'Ingest Template'!N152&amp;"|DAR"),CHAR(10), IF(ISBLANK('Ingest Template'!O152),"", 'Ingest Template'!O152&amp;"|DAR"),CHAR(10), IF(ISBLANK('Ingest Template'!P152),"", 'Ingest Template'!P152&amp;"|DAR"))),(CONCATENATE(IF(ISBLANK('Ingest Template'!N152),"", 'Ingest Template'!N152&amp;"|TV Ops"),CHAR(10), IF(ISBLANK('Ingest Template'!O152),"", 'Ingest Template'!O152&amp;"|TV Ops"),CHAR(10), IF(ISBLANK('Ingest Template'!P152),"", 'Ingest Template'!P152&amp;"|TV Ops"))))</f>
        <v>
</v>
      </c>
      <c r="AH152" s="35"/>
      <c r="AI152" s="35"/>
      <c r="AJ152" s="117" t="str">
        <f>if('Ingest Template'!A152="Standard",(IF(OR('Ingest Template'!F152 = "Program Type - Special", 'Ingest Template'!F152 = "Program Type - Live Event"),'Ingest Template'!M152&amp; "|DAR|DAR|"&amp;TEXT('Ingest Template'!C152-3, "yyyy-mm-dd")&amp;"|"&amp;TEXT('Ingest Template'!C152+3, "yyyy-mm-dd"),'Ingest Template'!M152&amp; "|DAR|DAR|2021-01-01")),(IF(OR('Ingest Template'!F152 = "Program Type - Special", 'Ingest Template'!F152 = "Program Type - Live Event"),'Ingest Template'!M152&amp; "|Operations - Core Title|Operations - Core Title|"&amp;TEXT('Ingest Template'!C152-3, "yyyy-mm-dd")&amp;"|"&amp;TEXT('Ingest Template'!C152+3, "yyyy-mm-dd"),'Ingest Template'!M152&amp; "|Operations - Core Title|Operations - Core Title")))</f>
        <v>|Operations - Core Title|Operations - Core Title</v>
      </c>
      <c r="AK152" s="35"/>
      <c r="AL152" s="117" t="str">
        <f>if('Ingest Template'!A152="Standard",(IF(OR('Ingest Template'!F152 = "Program Type - Special", 'Ingest Template'!F152 = "Program Type - Live Event"),'Ingest Template'!Q152&amp;"|"&amp;TEXT('Ingest Template'!C152-3, "yyyy-mm-dd")&amp;"|"&amp;TEXT('Ingest Template'!C152+3, "yyyy-mm-dd"),'Ingest Template'!Q152&amp; "|2021-01-01")),(IF(OR('Ingest Template'!F152 = "Program Type - Special", 'Ingest Template'!F152 = "Program Type - Live Event"),'Ingest Template'!Q152&amp; "|"&amp;TEXT('Ingest Template'!C152-3, "yyyy-mm-dd")&amp;"|"&amp;TEXT('Ingest Template'!C152+3, "yyyy-mm-dd"),'Ingest Template'!Q152)))</f>
        <v/>
      </c>
      <c r="AM152" s="35" t="str">
        <f>'Ingest Template'!AC152</f>
        <v/>
      </c>
    </row>
    <row r="153">
      <c r="A153" s="15"/>
      <c r="B153" s="22" t="str">
        <f>'Ingest Template'!C153&amp;IF('Ingest Template'!A153 = "Standard", " - DAR","")</f>
        <v/>
      </c>
      <c r="C153" s="22" t="s">
        <v>83</v>
      </c>
      <c r="D153" s="22" t="str">
        <f t="array" ref="D153">CONCATENATE(INDEX(DropdownLists!$H$2:$H$11,MATCH(1,COUNTIF('Ingest Template'!E153,"*"&amp;DropdownLists!$I$2:$I$11&amp;"*"),0)),CHAR(10),'Ingest Template'!F153,CHAR(10),'Ingest Template'!G153,CHAR(10),VLOOKUP('Ingest Template'!D153,DropdownLists!C:D,2,FALSE))</f>
        <v>#N/A</v>
      </c>
      <c r="E153" s="22" t="str">
        <f>CONCATENATE('Ingest Template'!H153,CHAR(10),'Ingest Template'!I153,CHAR(10),'Ingest Template'!J153,CHAR(10))</f>
        <v>
</v>
      </c>
      <c r="F153" s="35" t="str">
        <f t="array" ref="F153">INDEX(DropdownLists!$O$2:$O$36,MATCH(1,COUNTIF(E153,"*"&amp;DropdownLists!$N$2:$N$36&amp;"*"),0))</f>
        <v/>
      </c>
      <c r="G153" s="35"/>
      <c r="H153" s="22" t="str">
        <f t="array" ref="H153">INDEX(DropdownLists!$E$2:$E$276,MATCH('Ingest Template'!D153,DropdownLists!$C$2:$C$276,0))</f>
        <v>#N/A</v>
      </c>
      <c r="I153" s="22"/>
      <c r="J153" s="22" t="str">
        <f t="array" ref="J153">iF('Ingest Template'!A153="Standard","Pristine Brand",INDEX(DropdownLists!$B$2:$B$246,MATCH('Ingest Template'!D153,DropdownLists!$C$2:$C$246,0)))</f>
        <v>#N/A</v>
      </c>
      <c r="K153" s="22" t="str">
        <f>iF('Ingest Template'!A153="Standard",'Ingest Template'!K153&amp;CHAR(10)&amp;'Ingest Template'!L153,"Competitive View")</f>
        <v>Competitive View</v>
      </c>
      <c r="L153" s="22" t="s">
        <v>95</v>
      </c>
      <c r="M153" s="45" t="str">
        <f>'Ingest Template'!B153</f>
        <v/>
      </c>
      <c r="N153" s="35"/>
      <c r="O153" s="35"/>
      <c r="P153" s="35"/>
      <c r="Q153" s="35"/>
      <c r="R153" s="35" t="str">
        <f>'Ingest Template'!D153</f>
        <v/>
      </c>
      <c r="S153" s="22" t="s">
        <v>101</v>
      </c>
      <c r="T153" s="35" t="str">
        <f>'Ingest Template'!V153</f>
        <v/>
      </c>
      <c r="U153" s="35" t="str">
        <f>'Ingest Template'!W153</f>
        <v/>
      </c>
      <c r="V153" s="35" t="str">
        <f>LOWER(SUBSTITUTE(SUBSTITUTE(SUBSTITUTE(SUBSTITUTE(SUBSTITUTE('Ingest Template'!X153,"https:",""),"www.",""),"/",""),"?hl=en",""),"instagram.com",""))</f>
        <v/>
      </c>
      <c r="W153" s="74" t="str">
        <f t="array" ref="W153">IF(
'Ingest Template'!Y153="",
SUBSTITUTE(
INDEX(DropdownLists!$F$2:$F$277,MATCH('Ingest Template'!D153,DropdownLists!$C$2:$C$277,0)),
CHAR(10),
"|"&amp;'Ingest Template'!C153&amp;CHAR(10)
)&amp;"|"&amp;'Ingest Template'!C153,
SUBSTITUTE(
INDEX(DropdownLists!$F$2:$F$277,MATCH('Ingest Template'!D153,DropdownLists!$C$2:$C$277,0)),
CHAR(10),
"|"&amp;'Ingest Template'!C153&amp;CHAR(10)
)&amp;"|"&amp;'Ingest Template'!C153&amp;CHAR(10)&amp;'Ingest Template'!Y153
)</f>
        <v>#N/A</v>
      </c>
      <c r="X153" s="74" t="str">
        <f>'Ingest Template'!Z153</f>
        <v/>
      </c>
      <c r="Y153" s="35" t="str">
        <f>SUBSTITUTE(SUBSTITUTE(SUBSTITUTE('Ingest Template'!AA153,"http:",""),"https:",""),"/","")</f>
        <v/>
      </c>
      <c r="Z153" s="35" t="str">
        <f t="array" ref="Z153">IF('Ingest Template'!A153="Standard",(IF(ISBLANK('Ingest Template'!AB153),"", 'Ingest Template'!AB153&amp;"|DAR")),(IF(ISBLANK('Ingest Template'!AB153),"", 'Ingest Template'!AB153&amp;"|TV Ops")))</f>
        <v/>
      </c>
      <c r="AA153" s="35"/>
      <c r="AB153" s="35" t="str">
        <f>'Ingest Template'!R153</f>
        <v/>
      </c>
      <c r="AC153" s="35" t="str">
        <f>'Ingest Template'!T153</f>
        <v/>
      </c>
      <c r="AD153" s="35" t="str">
        <f>'Ingest Template'!S153</f>
        <v/>
      </c>
      <c r="AE153" s="35" t="str">
        <f>'Ingest Template'!U153</f>
        <v/>
      </c>
      <c r="AF153" s="22"/>
      <c r="AG153" s="35" t="str">
        <f t="array" ref="AG153">IF('Ingest Template'!A153="Standard",(CONCATENATE(IF(ISBLANK('Ingest Template'!N153),"", 'Ingest Template'!N153&amp;"|DAR"),CHAR(10), IF(ISBLANK('Ingest Template'!O153),"", 'Ingest Template'!O153&amp;"|DAR"),CHAR(10), IF(ISBLANK('Ingest Template'!P153),"", 'Ingest Template'!P153&amp;"|DAR"))),(CONCATENATE(IF(ISBLANK('Ingest Template'!N153),"", 'Ingest Template'!N153&amp;"|TV Ops"),CHAR(10), IF(ISBLANK('Ingest Template'!O153),"", 'Ingest Template'!O153&amp;"|TV Ops"),CHAR(10), IF(ISBLANK('Ingest Template'!P153),"", 'Ingest Template'!P153&amp;"|TV Ops"))))</f>
        <v>
</v>
      </c>
      <c r="AH153" s="35"/>
      <c r="AI153" s="35"/>
      <c r="AJ153" s="117" t="str">
        <f>if('Ingest Template'!A153="Standard",(IF(OR('Ingest Template'!F153 = "Program Type - Special", 'Ingest Template'!F153 = "Program Type - Live Event"),'Ingest Template'!M153&amp; "|DAR|DAR|"&amp;TEXT('Ingest Template'!C153-3, "yyyy-mm-dd")&amp;"|"&amp;TEXT('Ingest Template'!C153+3, "yyyy-mm-dd"),'Ingest Template'!M153&amp; "|DAR|DAR|2021-01-01")),(IF(OR('Ingest Template'!F153 = "Program Type - Special", 'Ingest Template'!F153 = "Program Type - Live Event"),'Ingest Template'!M153&amp; "|Operations - Core Title|Operations - Core Title|"&amp;TEXT('Ingest Template'!C153-3, "yyyy-mm-dd")&amp;"|"&amp;TEXT('Ingest Template'!C153+3, "yyyy-mm-dd"),'Ingest Template'!M153&amp; "|Operations - Core Title|Operations - Core Title")))</f>
        <v>|Operations - Core Title|Operations - Core Title</v>
      </c>
      <c r="AK153" s="35"/>
      <c r="AL153" s="117" t="str">
        <f>if('Ingest Template'!A153="Standard",(IF(OR('Ingest Template'!F153 = "Program Type - Special", 'Ingest Template'!F153 = "Program Type - Live Event"),'Ingest Template'!Q153&amp;"|"&amp;TEXT('Ingest Template'!C153-3, "yyyy-mm-dd")&amp;"|"&amp;TEXT('Ingest Template'!C153+3, "yyyy-mm-dd"),'Ingest Template'!Q153&amp; "|2021-01-01")),(IF(OR('Ingest Template'!F153 = "Program Type - Special", 'Ingest Template'!F153 = "Program Type - Live Event"),'Ingest Template'!Q153&amp; "|"&amp;TEXT('Ingest Template'!C153-3, "yyyy-mm-dd")&amp;"|"&amp;TEXT('Ingest Template'!C153+3, "yyyy-mm-dd"),'Ingest Template'!Q153)))</f>
        <v/>
      </c>
      <c r="AM153" s="35" t="str">
        <f>'Ingest Template'!AC153</f>
        <v/>
      </c>
    </row>
    <row r="154">
      <c r="A154" s="15"/>
      <c r="B154" s="22" t="str">
        <f>'Ingest Template'!C154&amp;IF('Ingest Template'!A154 = "Standard", " - DAR","")</f>
        <v/>
      </c>
      <c r="C154" s="22" t="s">
        <v>83</v>
      </c>
      <c r="D154" s="22" t="str">
        <f t="array" ref="D154">CONCATENATE(INDEX(DropdownLists!$H$2:$H$11,MATCH(1,COUNTIF('Ingest Template'!E154,"*"&amp;DropdownLists!$I$2:$I$11&amp;"*"),0)),CHAR(10),'Ingest Template'!F154,CHAR(10),'Ingest Template'!G154,CHAR(10),VLOOKUP('Ingest Template'!D154,DropdownLists!C:D,2,FALSE))</f>
        <v>#N/A</v>
      </c>
      <c r="E154" s="22" t="str">
        <f>CONCATENATE('Ingest Template'!H154,CHAR(10),'Ingest Template'!I154,CHAR(10),'Ingest Template'!J154,CHAR(10))</f>
        <v>
</v>
      </c>
      <c r="F154" s="35" t="str">
        <f t="array" ref="F154">INDEX(DropdownLists!$O$2:$O$36,MATCH(1,COUNTIF(E154,"*"&amp;DropdownLists!$N$2:$N$36&amp;"*"),0))</f>
        <v/>
      </c>
      <c r="G154" s="35"/>
      <c r="H154" s="22" t="str">
        <f t="array" ref="H154">INDEX(DropdownLists!$E$2:$E$276,MATCH('Ingest Template'!D154,DropdownLists!$C$2:$C$276,0))</f>
        <v>#N/A</v>
      </c>
      <c r="I154" s="22"/>
      <c r="J154" s="22" t="str">
        <f t="array" ref="J154">iF('Ingest Template'!A154="Standard","Pristine Brand",INDEX(DropdownLists!$B$2:$B$246,MATCH('Ingest Template'!D154,DropdownLists!$C$2:$C$246,0)))</f>
        <v>#N/A</v>
      </c>
      <c r="K154" s="22" t="str">
        <f>iF('Ingest Template'!A154="Standard",'Ingest Template'!K154&amp;CHAR(10)&amp;'Ingest Template'!L154,"Competitive View")</f>
        <v>Competitive View</v>
      </c>
      <c r="L154" s="22" t="s">
        <v>95</v>
      </c>
      <c r="M154" s="45" t="str">
        <f>'Ingest Template'!B154</f>
        <v/>
      </c>
      <c r="N154" s="35"/>
      <c r="O154" s="35"/>
      <c r="P154" s="35"/>
      <c r="Q154" s="35"/>
      <c r="R154" s="35" t="str">
        <f>'Ingest Template'!D154</f>
        <v/>
      </c>
      <c r="S154" s="22" t="s">
        <v>101</v>
      </c>
      <c r="T154" s="35" t="str">
        <f>'Ingest Template'!V154</f>
        <v/>
      </c>
      <c r="U154" s="35" t="str">
        <f>'Ingest Template'!W154</f>
        <v/>
      </c>
      <c r="V154" s="35" t="str">
        <f>LOWER(SUBSTITUTE(SUBSTITUTE(SUBSTITUTE(SUBSTITUTE(SUBSTITUTE('Ingest Template'!X154,"https:",""),"www.",""),"/",""),"?hl=en",""),"instagram.com",""))</f>
        <v/>
      </c>
      <c r="W154" s="74" t="str">
        <f t="array" ref="W154">IF(
'Ingest Template'!Y154="",
SUBSTITUTE(
INDEX(DropdownLists!$F$2:$F$277,MATCH('Ingest Template'!D154,DropdownLists!$C$2:$C$277,0)),
CHAR(10),
"|"&amp;'Ingest Template'!C154&amp;CHAR(10)
)&amp;"|"&amp;'Ingest Template'!C154,
SUBSTITUTE(
INDEX(DropdownLists!$F$2:$F$277,MATCH('Ingest Template'!D154,DropdownLists!$C$2:$C$277,0)),
CHAR(10),
"|"&amp;'Ingest Template'!C154&amp;CHAR(10)
)&amp;"|"&amp;'Ingest Template'!C154&amp;CHAR(10)&amp;'Ingest Template'!Y154
)</f>
        <v>#N/A</v>
      </c>
      <c r="X154" s="74" t="str">
        <f>'Ingest Template'!Z154</f>
        <v/>
      </c>
      <c r="Y154" s="35" t="str">
        <f>SUBSTITUTE(SUBSTITUTE(SUBSTITUTE('Ingest Template'!AA154,"http:",""),"https:",""),"/","")</f>
        <v/>
      </c>
      <c r="Z154" s="35" t="str">
        <f t="array" ref="Z154">IF('Ingest Template'!A154="Standard",(IF(ISBLANK('Ingest Template'!AB154),"", 'Ingest Template'!AB154&amp;"|DAR")),(IF(ISBLANK('Ingest Template'!AB154),"", 'Ingest Template'!AB154&amp;"|TV Ops")))</f>
        <v/>
      </c>
      <c r="AA154" s="35"/>
      <c r="AB154" s="35" t="str">
        <f>'Ingest Template'!R154</f>
        <v/>
      </c>
      <c r="AC154" s="35" t="str">
        <f>'Ingest Template'!T154</f>
        <v/>
      </c>
      <c r="AD154" s="35" t="str">
        <f>'Ingest Template'!S154</f>
        <v/>
      </c>
      <c r="AE154" s="35" t="str">
        <f>'Ingest Template'!U154</f>
        <v/>
      </c>
      <c r="AF154" s="22"/>
      <c r="AG154" s="35" t="str">
        <f t="array" ref="AG154">IF('Ingest Template'!A154="Standard",(CONCATENATE(IF(ISBLANK('Ingest Template'!N154),"", 'Ingest Template'!N154&amp;"|DAR"),CHAR(10), IF(ISBLANK('Ingest Template'!O154),"", 'Ingest Template'!O154&amp;"|DAR"),CHAR(10), IF(ISBLANK('Ingest Template'!P154),"", 'Ingest Template'!P154&amp;"|DAR"))),(CONCATENATE(IF(ISBLANK('Ingest Template'!N154),"", 'Ingest Template'!N154&amp;"|TV Ops"),CHAR(10), IF(ISBLANK('Ingest Template'!O154),"", 'Ingest Template'!O154&amp;"|TV Ops"),CHAR(10), IF(ISBLANK('Ingest Template'!P154),"", 'Ingest Template'!P154&amp;"|TV Ops"))))</f>
        <v>
</v>
      </c>
      <c r="AH154" s="35"/>
      <c r="AI154" s="35"/>
      <c r="AJ154" s="117" t="str">
        <f>if('Ingest Template'!A154="Standard",(IF(OR('Ingest Template'!F154 = "Program Type - Special", 'Ingest Template'!F154 = "Program Type - Live Event"),'Ingest Template'!M154&amp; "|DAR|DAR|"&amp;TEXT('Ingest Template'!C154-3, "yyyy-mm-dd")&amp;"|"&amp;TEXT('Ingest Template'!C154+3, "yyyy-mm-dd"),'Ingest Template'!M154&amp; "|DAR|DAR|2021-01-01")),(IF(OR('Ingest Template'!F154 = "Program Type - Special", 'Ingest Template'!F154 = "Program Type - Live Event"),'Ingest Template'!M154&amp; "|Operations - Core Title|Operations - Core Title|"&amp;TEXT('Ingest Template'!C154-3, "yyyy-mm-dd")&amp;"|"&amp;TEXT('Ingest Template'!C154+3, "yyyy-mm-dd"),'Ingest Template'!M154&amp; "|Operations - Core Title|Operations - Core Title")))</f>
        <v>|Operations - Core Title|Operations - Core Title</v>
      </c>
      <c r="AK154" s="35"/>
      <c r="AL154" s="117" t="str">
        <f>if('Ingest Template'!A154="Standard",(IF(OR('Ingest Template'!F154 = "Program Type - Special", 'Ingest Template'!F154 = "Program Type - Live Event"),'Ingest Template'!Q154&amp;"|"&amp;TEXT('Ingest Template'!C154-3, "yyyy-mm-dd")&amp;"|"&amp;TEXT('Ingest Template'!C154+3, "yyyy-mm-dd"),'Ingest Template'!Q154&amp; "|2021-01-01")),(IF(OR('Ingest Template'!F154 = "Program Type - Special", 'Ingest Template'!F154 = "Program Type - Live Event"),'Ingest Template'!Q154&amp; "|"&amp;TEXT('Ingest Template'!C154-3, "yyyy-mm-dd")&amp;"|"&amp;TEXT('Ingest Template'!C154+3, "yyyy-mm-dd"),'Ingest Template'!Q154)))</f>
        <v/>
      </c>
      <c r="AM154" s="35" t="str">
        <f>'Ingest Template'!AC154</f>
        <v/>
      </c>
    </row>
    <row r="155">
      <c r="A155" s="15"/>
      <c r="B155" s="22" t="str">
        <f>'Ingest Template'!C155&amp;IF('Ingest Template'!A155 = "Standard", " - DAR","")</f>
        <v/>
      </c>
      <c r="C155" s="22" t="s">
        <v>83</v>
      </c>
      <c r="D155" s="22" t="str">
        <f t="array" ref="D155">CONCATENATE(INDEX(DropdownLists!$H$2:$H$11,MATCH(1,COUNTIF('Ingest Template'!E155,"*"&amp;DropdownLists!$I$2:$I$11&amp;"*"),0)),CHAR(10),'Ingest Template'!F155,CHAR(10),'Ingest Template'!G155,CHAR(10),VLOOKUP('Ingest Template'!D155,DropdownLists!C:D,2,FALSE))</f>
        <v>#N/A</v>
      </c>
      <c r="E155" s="22" t="str">
        <f>CONCATENATE('Ingest Template'!H155,CHAR(10),'Ingest Template'!I155,CHAR(10),'Ingest Template'!J155,CHAR(10))</f>
        <v>
</v>
      </c>
      <c r="F155" s="35" t="str">
        <f t="array" ref="F155">INDEX(DropdownLists!$O$2:$O$36,MATCH(1,COUNTIF(E155,"*"&amp;DropdownLists!$N$2:$N$36&amp;"*"),0))</f>
        <v/>
      </c>
      <c r="G155" s="35"/>
      <c r="H155" s="22" t="str">
        <f t="array" ref="H155">INDEX(DropdownLists!$E$2:$E$276,MATCH('Ingest Template'!D155,DropdownLists!$C$2:$C$276,0))</f>
        <v>#N/A</v>
      </c>
      <c r="I155" s="22"/>
      <c r="J155" s="22" t="str">
        <f t="array" ref="J155">iF('Ingest Template'!A155="Standard","Pristine Brand",INDEX(DropdownLists!$B$2:$B$246,MATCH('Ingest Template'!D155,DropdownLists!$C$2:$C$246,0)))</f>
        <v>#N/A</v>
      </c>
      <c r="K155" s="22" t="str">
        <f>iF('Ingest Template'!A155="Standard",'Ingest Template'!K155&amp;CHAR(10)&amp;'Ingest Template'!L155,"Competitive View")</f>
        <v>Competitive View</v>
      </c>
      <c r="L155" s="22" t="s">
        <v>95</v>
      </c>
      <c r="M155" s="45" t="str">
        <f>'Ingest Template'!B155</f>
        <v/>
      </c>
      <c r="N155" s="35"/>
      <c r="O155" s="35"/>
      <c r="P155" s="35"/>
      <c r="Q155" s="35"/>
      <c r="R155" s="35" t="str">
        <f>'Ingest Template'!D155</f>
        <v/>
      </c>
      <c r="S155" s="22" t="s">
        <v>101</v>
      </c>
      <c r="T155" s="35" t="str">
        <f>'Ingest Template'!V155</f>
        <v/>
      </c>
      <c r="U155" s="35" t="str">
        <f>'Ingest Template'!W155</f>
        <v/>
      </c>
      <c r="V155" s="35" t="str">
        <f>LOWER(SUBSTITUTE(SUBSTITUTE(SUBSTITUTE(SUBSTITUTE(SUBSTITUTE('Ingest Template'!X155,"https:",""),"www.",""),"/",""),"?hl=en",""),"instagram.com",""))</f>
        <v/>
      </c>
      <c r="W155" s="74" t="str">
        <f t="array" ref="W155">IF(
'Ingest Template'!Y155="",
SUBSTITUTE(
INDEX(DropdownLists!$F$2:$F$277,MATCH('Ingest Template'!D155,DropdownLists!$C$2:$C$277,0)),
CHAR(10),
"|"&amp;'Ingest Template'!C155&amp;CHAR(10)
)&amp;"|"&amp;'Ingest Template'!C155,
SUBSTITUTE(
INDEX(DropdownLists!$F$2:$F$277,MATCH('Ingest Template'!D155,DropdownLists!$C$2:$C$277,0)),
CHAR(10),
"|"&amp;'Ingest Template'!C155&amp;CHAR(10)
)&amp;"|"&amp;'Ingest Template'!C155&amp;CHAR(10)&amp;'Ingest Template'!Y155
)</f>
        <v>#N/A</v>
      </c>
      <c r="X155" s="74" t="str">
        <f>'Ingest Template'!Z155</f>
        <v/>
      </c>
      <c r="Y155" s="35" t="str">
        <f>SUBSTITUTE(SUBSTITUTE(SUBSTITUTE('Ingest Template'!AA155,"http:",""),"https:",""),"/","")</f>
        <v/>
      </c>
      <c r="Z155" s="35" t="str">
        <f t="array" ref="Z155">IF('Ingest Template'!A155="Standard",(IF(ISBLANK('Ingest Template'!AB155),"", 'Ingest Template'!AB155&amp;"|DAR")),(IF(ISBLANK('Ingest Template'!AB155),"", 'Ingest Template'!AB155&amp;"|TV Ops")))</f>
        <v/>
      </c>
      <c r="AA155" s="35"/>
      <c r="AB155" s="35" t="str">
        <f>'Ingest Template'!R155</f>
        <v/>
      </c>
      <c r="AC155" s="35" t="str">
        <f>'Ingest Template'!T155</f>
        <v/>
      </c>
      <c r="AD155" s="35" t="str">
        <f>'Ingest Template'!S155</f>
        <v/>
      </c>
      <c r="AE155" s="35" t="str">
        <f>'Ingest Template'!U155</f>
        <v/>
      </c>
      <c r="AF155" s="22"/>
      <c r="AG155" s="35" t="str">
        <f t="array" ref="AG155">IF('Ingest Template'!A155="Standard",(CONCATENATE(IF(ISBLANK('Ingest Template'!N155),"", 'Ingest Template'!N155&amp;"|DAR"),CHAR(10), IF(ISBLANK('Ingest Template'!O155),"", 'Ingest Template'!O155&amp;"|DAR"),CHAR(10), IF(ISBLANK('Ingest Template'!P155),"", 'Ingest Template'!P155&amp;"|DAR"))),(CONCATENATE(IF(ISBLANK('Ingest Template'!N155),"", 'Ingest Template'!N155&amp;"|TV Ops"),CHAR(10), IF(ISBLANK('Ingest Template'!O155),"", 'Ingest Template'!O155&amp;"|TV Ops"),CHAR(10), IF(ISBLANK('Ingest Template'!P155),"", 'Ingest Template'!P155&amp;"|TV Ops"))))</f>
        <v>
</v>
      </c>
      <c r="AH155" s="35"/>
      <c r="AI155" s="35"/>
      <c r="AJ155" s="117" t="str">
        <f>if('Ingest Template'!A155="Standard",(IF(OR('Ingest Template'!F155 = "Program Type - Special", 'Ingest Template'!F155 = "Program Type - Live Event"),'Ingest Template'!M155&amp; "|DAR|DAR|"&amp;TEXT('Ingest Template'!C155-3, "yyyy-mm-dd")&amp;"|"&amp;TEXT('Ingest Template'!C155+3, "yyyy-mm-dd"),'Ingest Template'!M155&amp; "|DAR|DAR|2021-01-01")),(IF(OR('Ingest Template'!F155 = "Program Type - Special", 'Ingest Template'!F155 = "Program Type - Live Event"),'Ingest Template'!M155&amp; "|Operations - Core Title|Operations - Core Title|"&amp;TEXT('Ingest Template'!C155-3, "yyyy-mm-dd")&amp;"|"&amp;TEXT('Ingest Template'!C155+3, "yyyy-mm-dd"),'Ingest Template'!M155&amp; "|Operations - Core Title|Operations - Core Title")))</f>
        <v>|Operations - Core Title|Operations - Core Title</v>
      </c>
      <c r="AK155" s="35"/>
      <c r="AL155" s="117" t="str">
        <f>if('Ingest Template'!A155="Standard",(IF(OR('Ingest Template'!F155 = "Program Type - Special", 'Ingest Template'!F155 = "Program Type - Live Event"),'Ingest Template'!Q155&amp;"|"&amp;TEXT('Ingest Template'!C155-3, "yyyy-mm-dd")&amp;"|"&amp;TEXT('Ingest Template'!C155+3, "yyyy-mm-dd"),'Ingest Template'!Q155&amp; "|2021-01-01")),(IF(OR('Ingest Template'!F155 = "Program Type - Special", 'Ingest Template'!F155 = "Program Type - Live Event"),'Ingest Template'!Q155&amp; "|"&amp;TEXT('Ingest Template'!C155-3, "yyyy-mm-dd")&amp;"|"&amp;TEXT('Ingest Template'!C155+3, "yyyy-mm-dd"),'Ingest Template'!Q155)))</f>
        <v/>
      </c>
      <c r="AM155" s="35" t="str">
        <f>'Ingest Template'!AC155</f>
        <v/>
      </c>
    </row>
    <row r="156">
      <c r="A156" s="15"/>
      <c r="B156" s="22" t="str">
        <f>'Ingest Template'!C156&amp;IF('Ingest Template'!A156 = "Standard", " - DAR","")</f>
        <v/>
      </c>
      <c r="C156" s="22" t="s">
        <v>83</v>
      </c>
      <c r="D156" s="22" t="str">
        <f t="array" ref="D156">CONCATENATE(INDEX(DropdownLists!$H$2:$H$11,MATCH(1,COUNTIF('Ingest Template'!E156,"*"&amp;DropdownLists!$I$2:$I$11&amp;"*"),0)),CHAR(10),'Ingest Template'!F156,CHAR(10),'Ingest Template'!G156,CHAR(10),VLOOKUP('Ingest Template'!D156,DropdownLists!C:D,2,FALSE))</f>
        <v>#N/A</v>
      </c>
      <c r="E156" s="22" t="str">
        <f>CONCATENATE('Ingest Template'!H156,CHAR(10),'Ingest Template'!I156,CHAR(10),'Ingest Template'!J156,CHAR(10))</f>
        <v>
</v>
      </c>
      <c r="F156" s="35" t="str">
        <f t="array" ref="F156">INDEX(DropdownLists!$O$2:$O$36,MATCH(1,COUNTIF(E156,"*"&amp;DropdownLists!$N$2:$N$36&amp;"*"),0))</f>
        <v/>
      </c>
      <c r="G156" s="35"/>
      <c r="H156" s="22" t="str">
        <f t="array" ref="H156">INDEX(DropdownLists!$E$2:$E$276,MATCH('Ingest Template'!D156,DropdownLists!$C$2:$C$276,0))</f>
        <v>#N/A</v>
      </c>
      <c r="I156" s="22"/>
      <c r="J156" s="22" t="str">
        <f t="array" ref="J156">iF('Ingest Template'!A156="Standard","Pristine Brand",INDEX(DropdownLists!$B$2:$B$246,MATCH('Ingest Template'!D156,DropdownLists!$C$2:$C$246,0)))</f>
        <v>#N/A</v>
      </c>
      <c r="K156" s="22" t="str">
        <f>iF('Ingest Template'!A156="Standard",'Ingest Template'!K156&amp;CHAR(10)&amp;'Ingest Template'!L156,"Competitive View")</f>
        <v>Competitive View</v>
      </c>
      <c r="L156" s="22" t="s">
        <v>95</v>
      </c>
      <c r="M156" s="45" t="str">
        <f>'Ingest Template'!B156</f>
        <v/>
      </c>
      <c r="N156" s="35"/>
      <c r="O156" s="35"/>
      <c r="P156" s="35"/>
      <c r="Q156" s="35"/>
      <c r="R156" s="35" t="str">
        <f>'Ingest Template'!D156</f>
        <v/>
      </c>
      <c r="S156" s="22" t="s">
        <v>101</v>
      </c>
      <c r="T156" s="35" t="str">
        <f>'Ingest Template'!V156</f>
        <v/>
      </c>
      <c r="U156" s="35" t="str">
        <f>'Ingest Template'!W156</f>
        <v/>
      </c>
      <c r="V156" s="35" t="str">
        <f>LOWER(SUBSTITUTE(SUBSTITUTE(SUBSTITUTE(SUBSTITUTE(SUBSTITUTE('Ingest Template'!X156,"https:",""),"www.",""),"/",""),"?hl=en",""),"instagram.com",""))</f>
        <v/>
      </c>
      <c r="W156" s="74" t="str">
        <f t="array" ref="W156">IF(
'Ingest Template'!Y156="",
SUBSTITUTE(
INDEX(DropdownLists!$F$2:$F$277,MATCH('Ingest Template'!D156,DropdownLists!$C$2:$C$277,0)),
CHAR(10),
"|"&amp;'Ingest Template'!C156&amp;CHAR(10)
)&amp;"|"&amp;'Ingest Template'!C156,
SUBSTITUTE(
INDEX(DropdownLists!$F$2:$F$277,MATCH('Ingest Template'!D156,DropdownLists!$C$2:$C$277,0)),
CHAR(10),
"|"&amp;'Ingest Template'!C156&amp;CHAR(10)
)&amp;"|"&amp;'Ingest Template'!C156&amp;CHAR(10)&amp;'Ingest Template'!Y156
)</f>
        <v>#N/A</v>
      </c>
      <c r="X156" s="74" t="str">
        <f>'Ingest Template'!Z156</f>
        <v/>
      </c>
      <c r="Y156" s="35" t="str">
        <f>SUBSTITUTE(SUBSTITUTE(SUBSTITUTE('Ingest Template'!AA156,"http:",""),"https:",""),"/","")</f>
        <v/>
      </c>
      <c r="Z156" s="35" t="str">
        <f t="array" ref="Z156">IF('Ingest Template'!A156="Standard",(IF(ISBLANK('Ingest Template'!AB156),"", 'Ingest Template'!AB156&amp;"|DAR")),(IF(ISBLANK('Ingest Template'!AB156),"", 'Ingest Template'!AB156&amp;"|TV Ops")))</f>
        <v/>
      </c>
      <c r="AA156" s="35"/>
      <c r="AB156" s="35" t="str">
        <f>'Ingest Template'!R156</f>
        <v/>
      </c>
      <c r="AC156" s="35" t="str">
        <f>'Ingest Template'!T156</f>
        <v/>
      </c>
      <c r="AD156" s="35" t="str">
        <f>'Ingest Template'!S156</f>
        <v/>
      </c>
      <c r="AE156" s="35" t="str">
        <f>'Ingest Template'!U156</f>
        <v/>
      </c>
      <c r="AF156" s="22"/>
      <c r="AG156" s="35" t="str">
        <f t="array" ref="AG156">IF('Ingest Template'!A156="Standard",(CONCATENATE(IF(ISBLANK('Ingest Template'!N156),"", 'Ingest Template'!N156&amp;"|DAR"),CHAR(10), IF(ISBLANK('Ingest Template'!O156),"", 'Ingest Template'!O156&amp;"|DAR"),CHAR(10), IF(ISBLANK('Ingest Template'!P156),"", 'Ingest Template'!P156&amp;"|DAR"))),(CONCATENATE(IF(ISBLANK('Ingest Template'!N156),"", 'Ingest Template'!N156&amp;"|TV Ops"),CHAR(10), IF(ISBLANK('Ingest Template'!O156),"", 'Ingest Template'!O156&amp;"|TV Ops"),CHAR(10), IF(ISBLANK('Ingest Template'!P156),"", 'Ingest Template'!P156&amp;"|TV Ops"))))</f>
        <v>
</v>
      </c>
      <c r="AH156" s="35"/>
      <c r="AI156" s="35"/>
      <c r="AJ156" s="117" t="str">
        <f>if('Ingest Template'!A156="Standard",(IF(OR('Ingest Template'!F156 = "Program Type - Special", 'Ingest Template'!F156 = "Program Type - Live Event"),'Ingest Template'!M156&amp; "|DAR|DAR|"&amp;TEXT('Ingest Template'!C156-3, "yyyy-mm-dd")&amp;"|"&amp;TEXT('Ingest Template'!C156+3, "yyyy-mm-dd"),'Ingest Template'!M156&amp; "|DAR|DAR|2021-01-01")),(IF(OR('Ingest Template'!F156 = "Program Type - Special", 'Ingest Template'!F156 = "Program Type - Live Event"),'Ingest Template'!M156&amp; "|Operations - Core Title|Operations - Core Title|"&amp;TEXT('Ingest Template'!C156-3, "yyyy-mm-dd")&amp;"|"&amp;TEXT('Ingest Template'!C156+3, "yyyy-mm-dd"),'Ingest Template'!M156&amp; "|Operations - Core Title|Operations - Core Title")))</f>
        <v>|Operations - Core Title|Operations - Core Title</v>
      </c>
      <c r="AK156" s="35"/>
      <c r="AL156" s="117" t="str">
        <f>if('Ingest Template'!A156="Standard",(IF(OR('Ingest Template'!F156 = "Program Type - Special", 'Ingest Template'!F156 = "Program Type - Live Event"),'Ingest Template'!Q156&amp;"|"&amp;TEXT('Ingest Template'!C156-3, "yyyy-mm-dd")&amp;"|"&amp;TEXT('Ingest Template'!C156+3, "yyyy-mm-dd"),'Ingest Template'!Q156&amp; "|2021-01-01")),(IF(OR('Ingest Template'!F156 = "Program Type - Special", 'Ingest Template'!F156 = "Program Type - Live Event"),'Ingest Template'!Q156&amp; "|"&amp;TEXT('Ingest Template'!C156-3, "yyyy-mm-dd")&amp;"|"&amp;TEXT('Ingest Template'!C156+3, "yyyy-mm-dd"),'Ingest Template'!Q156)))</f>
        <v/>
      </c>
      <c r="AM156" s="35" t="str">
        <f>'Ingest Template'!AC156</f>
        <v/>
      </c>
    </row>
    <row r="157">
      <c r="A157" s="15"/>
      <c r="B157" s="22" t="str">
        <f>'Ingest Template'!C157&amp;IF('Ingest Template'!A157 = "Standard", " - DAR","")</f>
        <v/>
      </c>
      <c r="C157" s="22" t="s">
        <v>83</v>
      </c>
      <c r="D157" s="22" t="str">
        <f t="array" ref="D157">CONCATENATE(INDEX(DropdownLists!$H$2:$H$11,MATCH(1,COUNTIF('Ingest Template'!E157,"*"&amp;DropdownLists!$I$2:$I$11&amp;"*"),0)),CHAR(10),'Ingest Template'!F157,CHAR(10),'Ingest Template'!G157,CHAR(10),VLOOKUP('Ingest Template'!D157,DropdownLists!C:D,2,FALSE))</f>
        <v>#N/A</v>
      </c>
      <c r="E157" s="22" t="str">
        <f>CONCATENATE('Ingest Template'!H157,CHAR(10),'Ingest Template'!I157,CHAR(10),'Ingest Template'!J157,CHAR(10))</f>
        <v>
</v>
      </c>
      <c r="F157" s="35" t="str">
        <f t="array" ref="F157">INDEX(DropdownLists!$O$2:$O$36,MATCH(1,COUNTIF(E157,"*"&amp;DropdownLists!$N$2:$N$36&amp;"*"),0))</f>
        <v/>
      </c>
      <c r="G157" s="35"/>
      <c r="H157" s="22" t="str">
        <f t="array" ref="H157">INDEX(DropdownLists!$E$2:$E$276,MATCH('Ingest Template'!D157,DropdownLists!$C$2:$C$276,0))</f>
        <v>#N/A</v>
      </c>
      <c r="I157" s="22"/>
      <c r="J157" s="22" t="str">
        <f t="array" ref="J157">iF('Ingest Template'!A157="Standard","Pristine Brand",INDEX(DropdownLists!$B$2:$B$246,MATCH('Ingest Template'!D157,DropdownLists!$C$2:$C$246,0)))</f>
        <v>#N/A</v>
      </c>
      <c r="K157" s="22" t="str">
        <f>iF('Ingest Template'!A157="Standard",'Ingest Template'!K157&amp;CHAR(10)&amp;'Ingest Template'!L157,"Competitive View")</f>
        <v>Competitive View</v>
      </c>
      <c r="L157" s="22" t="s">
        <v>95</v>
      </c>
      <c r="M157" s="45" t="str">
        <f>'Ingest Template'!B157</f>
        <v/>
      </c>
      <c r="N157" s="35"/>
      <c r="O157" s="35"/>
      <c r="P157" s="35"/>
      <c r="Q157" s="35"/>
      <c r="R157" s="35" t="str">
        <f>'Ingest Template'!D157</f>
        <v/>
      </c>
      <c r="S157" s="22" t="s">
        <v>101</v>
      </c>
      <c r="T157" s="35" t="str">
        <f>'Ingest Template'!V157</f>
        <v/>
      </c>
      <c r="U157" s="35" t="str">
        <f>'Ingest Template'!W157</f>
        <v/>
      </c>
      <c r="V157" s="35" t="str">
        <f>LOWER(SUBSTITUTE(SUBSTITUTE(SUBSTITUTE(SUBSTITUTE(SUBSTITUTE('Ingest Template'!X157,"https:",""),"www.",""),"/",""),"?hl=en",""),"instagram.com",""))</f>
        <v/>
      </c>
      <c r="W157" s="74" t="str">
        <f t="array" ref="W157">IF(
'Ingest Template'!Y157="",
SUBSTITUTE(
INDEX(DropdownLists!$F$2:$F$277,MATCH('Ingest Template'!D157,DropdownLists!$C$2:$C$277,0)),
CHAR(10),
"|"&amp;'Ingest Template'!C157&amp;CHAR(10)
)&amp;"|"&amp;'Ingest Template'!C157,
SUBSTITUTE(
INDEX(DropdownLists!$F$2:$F$277,MATCH('Ingest Template'!D157,DropdownLists!$C$2:$C$277,0)),
CHAR(10),
"|"&amp;'Ingest Template'!C157&amp;CHAR(10)
)&amp;"|"&amp;'Ingest Template'!C157&amp;CHAR(10)&amp;'Ingest Template'!Y157
)</f>
        <v>#N/A</v>
      </c>
      <c r="X157" s="74" t="str">
        <f>'Ingest Template'!Z157</f>
        <v/>
      </c>
      <c r="Y157" s="35" t="str">
        <f>SUBSTITUTE(SUBSTITUTE(SUBSTITUTE('Ingest Template'!AA157,"http:",""),"https:",""),"/","")</f>
        <v/>
      </c>
      <c r="Z157" s="35" t="str">
        <f t="array" ref="Z157">IF('Ingest Template'!A157="Standard",(IF(ISBLANK('Ingest Template'!AB157),"", 'Ingest Template'!AB157&amp;"|DAR")),(IF(ISBLANK('Ingest Template'!AB157),"", 'Ingest Template'!AB157&amp;"|TV Ops")))</f>
        <v/>
      </c>
      <c r="AA157" s="35"/>
      <c r="AB157" s="35" t="str">
        <f>'Ingest Template'!R157</f>
        <v/>
      </c>
      <c r="AC157" s="35" t="str">
        <f>'Ingest Template'!T157</f>
        <v/>
      </c>
      <c r="AD157" s="35" t="str">
        <f>'Ingest Template'!S157</f>
        <v/>
      </c>
      <c r="AE157" s="35" t="str">
        <f>'Ingest Template'!U157</f>
        <v/>
      </c>
      <c r="AF157" s="22"/>
      <c r="AG157" s="35" t="str">
        <f t="array" ref="AG157">IF('Ingest Template'!A157="Standard",(CONCATENATE(IF(ISBLANK('Ingest Template'!N157),"", 'Ingest Template'!N157&amp;"|DAR"),CHAR(10), IF(ISBLANK('Ingest Template'!O157),"", 'Ingest Template'!O157&amp;"|DAR"),CHAR(10), IF(ISBLANK('Ingest Template'!P157),"", 'Ingest Template'!P157&amp;"|DAR"))),(CONCATENATE(IF(ISBLANK('Ingest Template'!N157),"", 'Ingest Template'!N157&amp;"|TV Ops"),CHAR(10), IF(ISBLANK('Ingest Template'!O157),"", 'Ingest Template'!O157&amp;"|TV Ops"),CHAR(10), IF(ISBLANK('Ingest Template'!P157),"", 'Ingest Template'!P157&amp;"|TV Ops"))))</f>
        <v>
</v>
      </c>
      <c r="AH157" s="35"/>
      <c r="AI157" s="35"/>
      <c r="AJ157" s="117" t="str">
        <f>if('Ingest Template'!A157="Standard",(IF(OR('Ingest Template'!F157 = "Program Type - Special", 'Ingest Template'!F157 = "Program Type - Live Event"),'Ingest Template'!M157&amp; "|DAR|DAR|"&amp;TEXT('Ingest Template'!C157-3, "yyyy-mm-dd")&amp;"|"&amp;TEXT('Ingest Template'!C157+3, "yyyy-mm-dd"),'Ingest Template'!M157&amp; "|DAR|DAR|2021-01-01")),(IF(OR('Ingest Template'!F157 = "Program Type - Special", 'Ingest Template'!F157 = "Program Type - Live Event"),'Ingest Template'!M157&amp; "|Operations - Core Title|Operations - Core Title|"&amp;TEXT('Ingest Template'!C157-3, "yyyy-mm-dd")&amp;"|"&amp;TEXT('Ingest Template'!C157+3, "yyyy-mm-dd"),'Ingest Template'!M157&amp; "|Operations - Core Title|Operations - Core Title")))</f>
        <v>|Operations - Core Title|Operations - Core Title</v>
      </c>
      <c r="AK157" s="35"/>
      <c r="AL157" s="117" t="str">
        <f>if('Ingest Template'!A157="Standard",(IF(OR('Ingest Template'!F157 = "Program Type - Special", 'Ingest Template'!F157 = "Program Type - Live Event"),'Ingest Template'!Q157&amp;"|"&amp;TEXT('Ingest Template'!C157-3, "yyyy-mm-dd")&amp;"|"&amp;TEXT('Ingest Template'!C157+3, "yyyy-mm-dd"),'Ingest Template'!Q157&amp; "|2021-01-01")),(IF(OR('Ingest Template'!F157 = "Program Type - Special", 'Ingest Template'!F157 = "Program Type - Live Event"),'Ingest Template'!Q157&amp; "|"&amp;TEXT('Ingest Template'!C157-3, "yyyy-mm-dd")&amp;"|"&amp;TEXT('Ingest Template'!C157+3, "yyyy-mm-dd"),'Ingest Template'!Q157)))</f>
        <v/>
      </c>
      <c r="AM157" s="35" t="str">
        <f>'Ingest Template'!AC157</f>
        <v/>
      </c>
    </row>
    <row r="158">
      <c r="A158" s="15"/>
      <c r="B158" s="22" t="str">
        <f>'Ingest Template'!C158&amp;IF('Ingest Template'!A158 = "Standard", " - DAR","")</f>
        <v/>
      </c>
      <c r="C158" s="22" t="s">
        <v>83</v>
      </c>
      <c r="D158" s="22" t="str">
        <f t="array" ref="D158">CONCATENATE(INDEX(DropdownLists!$H$2:$H$11,MATCH(1,COUNTIF('Ingest Template'!E158,"*"&amp;DropdownLists!$I$2:$I$11&amp;"*"),0)),CHAR(10),'Ingest Template'!F158,CHAR(10),'Ingest Template'!G158,CHAR(10),VLOOKUP('Ingest Template'!D158,DropdownLists!C:D,2,FALSE))</f>
        <v>#N/A</v>
      </c>
      <c r="E158" s="22" t="str">
        <f>CONCATENATE('Ingest Template'!H158,CHAR(10),'Ingest Template'!I158,CHAR(10),'Ingest Template'!J158,CHAR(10))</f>
        <v>
</v>
      </c>
      <c r="F158" s="35" t="str">
        <f t="array" ref="F158">INDEX(DropdownLists!$O$2:$O$36,MATCH(1,COUNTIF(E158,"*"&amp;DropdownLists!$N$2:$N$36&amp;"*"),0))</f>
        <v/>
      </c>
      <c r="G158" s="35"/>
      <c r="H158" s="22" t="str">
        <f t="array" ref="H158">INDEX(DropdownLists!$E$2:$E$276,MATCH('Ingest Template'!D158,DropdownLists!$C$2:$C$276,0))</f>
        <v>#N/A</v>
      </c>
      <c r="I158" s="22"/>
      <c r="J158" s="22" t="str">
        <f t="array" ref="J158">iF('Ingest Template'!A158="Standard","Pristine Brand",INDEX(DropdownLists!$B$2:$B$246,MATCH('Ingest Template'!D158,DropdownLists!$C$2:$C$246,0)))</f>
        <v>#N/A</v>
      </c>
      <c r="K158" s="22" t="str">
        <f>iF('Ingest Template'!A158="Standard",'Ingest Template'!K158&amp;CHAR(10)&amp;'Ingest Template'!L158,"Competitive View")</f>
        <v>Competitive View</v>
      </c>
      <c r="L158" s="22" t="s">
        <v>95</v>
      </c>
      <c r="M158" s="45" t="str">
        <f>'Ingest Template'!B158</f>
        <v/>
      </c>
      <c r="N158" s="35"/>
      <c r="O158" s="35"/>
      <c r="P158" s="35"/>
      <c r="Q158" s="35"/>
      <c r="R158" s="35" t="str">
        <f>'Ingest Template'!D158</f>
        <v/>
      </c>
      <c r="S158" s="22" t="s">
        <v>101</v>
      </c>
      <c r="T158" s="35" t="str">
        <f>'Ingest Template'!V158</f>
        <v/>
      </c>
      <c r="U158" s="35" t="str">
        <f>'Ingest Template'!W158</f>
        <v/>
      </c>
      <c r="V158" s="35" t="str">
        <f>LOWER(SUBSTITUTE(SUBSTITUTE(SUBSTITUTE(SUBSTITUTE(SUBSTITUTE('Ingest Template'!X158,"https:",""),"www.",""),"/",""),"?hl=en",""),"instagram.com",""))</f>
        <v/>
      </c>
      <c r="W158" s="74" t="str">
        <f t="array" ref="W158">IF(
'Ingest Template'!Y158="",
SUBSTITUTE(
INDEX(DropdownLists!$F$2:$F$277,MATCH('Ingest Template'!D158,DropdownLists!$C$2:$C$277,0)),
CHAR(10),
"|"&amp;'Ingest Template'!C158&amp;CHAR(10)
)&amp;"|"&amp;'Ingest Template'!C158,
SUBSTITUTE(
INDEX(DropdownLists!$F$2:$F$277,MATCH('Ingest Template'!D158,DropdownLists!$C$2:$C$277,0)),
CHAR(10),
"|"&amp;'Ingest Template'!C158&amp;CHAR(10)
)&amp;"|"&amp;'Ingest Template'!C158&amp;CHAR(10)&amp;'Ingest Template'!Y158
)</f>
        <v>#N/A</v>
      </c>
      <c r="X158" s="74" t="str">
        <f>'Ingest Template'!Z158</f>
        <v/>
      </c>
      <c r="Y158" s="35" t="str">
        <f>SUBSTITUTE(SUBSTITUTE(SUBSTITUTE('Ingest Template'!AA158,"http:",""),"https:",""),"/","")</f>
        <v/>
      </c>
      <c r="Z158" s="35" t="str">
        <f t="array" ref="Z158">IF('Ingest Template'!A158="Standard",(IF(ISBLANK('Ingest Template'!AB158),"", 'Ingest Template'!AB158&amp;"|DAR")),(IF(ISBLANK('Ingest Template'!AB158),"", 'Ingest Template'!AB158&amp;"|TV Ops")))</f>
        <v/>
      </c>
      <c r="AA158" s="35"/>
      <c r="AB158" s="35" t="str">
        <f>'Ingest Template'!R158</f>
        <v/>
      </c>
      <c r="AC158" s="35" t="str">
        <f>'Ingest Template'!T158</f>
        <v/>
      </c>
      <c r="AD158" s="35" t="str">
        <f>'Ingest Template'!S158</f>
        <v/>
      </c>
      <c r="AE158" s="35" t="str">
        <f>'Ingest Template'!U158</f>
        <v/>
      </c>
      <c r="AF158" s="22"/>
      <c r="AG158" s="35" t="str">
        <f t="array" ref="AG158">IF('Ingest Template'!A158="Standard",(CONCATENATE(IF(ISBLANK('Ingest Template'!N158),"", 'Ingest Template'!N158&amp;"|DAR"),CHAR(10), IF(ISBLANK('Ingest Template'!O158),"", 'Ingest Template'!O158&amp;"|DAR"),CHAR(10), IF(ISBLANK('Ingest Template'!P158),"", 'Ingest Template'!P158&amp;"|DAR"))),(CONCATENATE(IF(ISBLANK('Ingest Template'!N158),"", 'Ingest Template'!N158&amp;"|TV Ops"),CHAR(10), IF(ISBLANK('Ingest Template'!O158),"", 'Ingest Template'!O158&amp;"|TV Ops"),CHAR(10), IF(ISBLANK('Ingest Template'!P158),"", 'Ingest Template'!P158&amp;"|TV Ops"))))</f>
        <v>
</v>
      </c>
      <c r="AH158" s="35"/>
      <c r="AI158" s="35"/>
      <c r="AJ158" s="117" t="str">
        <f>if('Ingest Template'!A158="Standard",(IF(OR('Ingest Template'!F158 = "Program Type - Special", 'Ingest Template'!F158 = "Program Type - Live Event"),'Ingest Template'!M158&amp; "|DAR|DAR|"&amp;TEXT('Ingest Template'!C158-3, "yyyy-mm-dd")&amp;"|"&amp;TEXT('Ingest Template'!C158+3, "yyyy-mm-dd"),'Ingest Template'!M158&amp; "|DAR|DAR|2021-01-01")),(IF(OR('Ingest Template'!F158 = "Program Type - Special", 'Ingest Template'!F158 = "Program Type - Live Event"),'Ingest Template'!M158&amp; "|Operations - Core Title|Operations - Core Title|"&amp;TEXT('Ingest Template'!C158-3, "yyyy-mm-dd")&amp;"|"&amp;TEXT('Ingest Template'!C158+3, "yyyy-mm-dd"),'Ingest Template'!M158&amp; "|Operations - Core Title|Operations - Core Title")))</f>
        <v>|Operations - Core Title|Operations - Core Title</v>
      </c>
      <c r="AK158" s="35"/>
      <c r="AL158" s="117" t="str">
        <f>if('Ingest Template'!A158="Standard",(IF(OR('Ingest Template'!F158 = "Program Type - Special", 'Ingest Template'!F158 = "Program Type - Live Event"),'Ingest Template'!Q158&amp;"|"&amp;TEXT('Ingest Template'!C158-3, "yyyy-mm-dd")&amp;"|"&amp;TEXT('Ingest Template'!C158+3, "yyyy-mm-dd"),'Ingest Template'!Q158&amp; "|2021-01-01")),(IF(OR('Ingest Template'!F158 = "Program Type - Special", 'Ingest Template'!F158 = "Program Type - Live Event"),'Ingest Template'!Q158&amp; "|"&amp;TEXT('Ingest Template'!C158-3, "yyyy-mm-dd")&amp;"|"&amp;TEXT('Ingest Template'!C158+3, "yyyy-mm-dd"),'Ingest Template'!Q158)))</f>
        <v/>
      </c>
      <c r="AM158" s="35" t="str">
        <f>'Ingest Template'!AC158</f>
        <v/>
      </c>
    </row>
    <row r="159">
      <c r="A159" s="15"/>
      <c r="B159" s="22" t="str">
        <f>'Ingest Template'!C159&amp;IF('Ingest Template'!A159 = "Standard", " - DAR","")</f>
        <v/>
      </c>
      <c r="C159" s="22" t="s">
        <v>83</v>
      </c>
      <c r="D159" s="22" t="str">
        <f t="array" ref="D159">CONCATENATE(INDEX(DropdownLists!$H$2:$H$11,MATCH(1,COUNTIF('Ingest Template'!E159,"*"&amp;DropdownLists!$I$2:$I$11&amp;"*"),0)),CHAR(10),'Ingest Template'!F159,CHAR(10),'Ingest Template'!G159,CHAR(10),VLOOKUP('Ingest Template'!D159,DropdownLists!C:D,2,FALSE))</f>
        <v>#N/A</v>
      </c>
      <c r="E159" s="22" t="str">
        <f>CONCATENATE('Ingest Template'!H159,CHAR(10),'Ingest Template'!I159,CHAR(10),'Ingest Template'!J159,CHAR(10))</f>
        <v>
</v>
      </c>
      <c r="F159" s="35" t="str">
        <f t="array" ref="F159">INDEX(DropdownLists!$O$2:$O$36,MATCH(1,COUNTIF(E159,"*"&amp;DropdownLists!$N$2:$N$36&amp;"*"),0))</f>
        <v/>
      </c>
      <c r="G159" s="35"/>
      <c r="H159" s="22" t="str">
        <f t="array" ref="H159">INDEX(DropdownLists!$E$2:$E$276,MATCH('Ingest Template'!D159,DropdownLists!$C$2:$C$276,0))</f>
        <v>#N/A</v>
      </c>
      <c r="I159" s="22"/>
      <c r="J159" s="22" t="str">
        <f t="array" ref="J159">iF('Ingest Template'!A159="Standard","Pristine Brand",INDEX(DropdownLists!$B$2:$B$246,MATCH('Ingest Template'!D159,DropdownLists!$C$2:$C$246,0)))</f>
        <v>#N/A</v>
      </c>
      <c r="K159" s="22" t="str">
        <f>iF('Ingest Template'!A159="Standard",'Ingest Template'!K159&amp;CHAR(10)&amp;'Ingest Template'!L159,"Competitive View")</f>
        <v>Competitive View</v>
      </c>
      <c r="L159" s="22" t="s">
        <v>95</v>
      </c>
      <c r="M159" s="45" t="str">
        <f>'Ingest Template'!B159</f>
        <v/>
      </c>
      <c r="N159" s="35"/>
      <c r="O159" s="35"/>
      <c r="P159" s="35"/>
      <c r="Q159" s="35"/>
      <c r="R159" s="35" t="str">
        <f>'Ingest Template'!D159</f>
        <v/>
      </c>
      <c r="S159" s="22" t="s">
        <v>101</v>
      </c>
      <c r="T159" s="35" t="str">
        <f>'Ingest Template'!V159</f>
        <v/>
      </c>
      <c r="U159" s="35" t="str">
        <f>'Ingest Template'!W159</f>
        <v/>
      </c>
      <c r="V159" s="35" t="str">
        <f>LOWER(SUBSTITUTE(SUBSTITUTE(SUBSTITUTE(SUBSTITUTE(SUBSTITUTE('Ingest Template'!X159,"https:",""),"www.",""),"/",""),"?hl=en",""),"instagram.com",""))</f>
        <v/>
      </c>
      <c r="W159" s="74" t="str">
        <f t="array" ref="W159">IF(
'Ingest Template'!Y159="",
SUBSTITUTE(
INDEX(DropdownLists!$F$2:$F$277,MATCH('Ingest Template'!D159,DropdownLists!$C$2:$C$277,0)),
CHAR(10),
"|"&amp;'Ingest Template'!C159&amp;CHAR(10)
)&amp;"|"&amp;'Ingest Template'!C159,
SUBSTITUTE(
INDEX(DropdownLists!$F$2:$F$277,MATCH('Ingest Template'!D159,DropdownLists!$C$2:$C$277,0)),
CHAR(10),
"|"&amp;'Ingest Template'!C159&amp;CHAR(10)
)&amp;"|"&amp;'Ingest Template'!C159&amp;CHAR(10)&amp;'Ingest Template'!Y159
)</f>
        <v>#N/A</v>
      </c>
      <c r="X159" s="74" t="str">
        <f>'Ingest Template'!Z159</f>
        <v/>
      </c>
      <c r="Y159" s="35" t="str">
        <f>SUBSTITUTE(SUBSTITUTE(SUBSTITUTE('Ingest Template'!AA159,"http:",""),"https:",""),"/","")</f>
        <v/>
      </c>
      <c r="Z159" s="35" t="str">
        <f t="array" ref="Z159">IF('Ingest Template'!A159="Standard",(IF(ISBLANK('Ingest Template'!AB159),"", 'Ingest Template'!AB159&amp;"|DAR")),(IF(ISBLANK('Ingest Template'!AB159),"", 'Ingest Template'!AB159&amp;"|TV Ops")))</f>
        <v/>
      </c>
      <c r="AA159" s="35"/>
      <c r="AB159" s="35" t="str">
        <f>'Ingest Template'!R159</f>
        <v/>
      </c>
      <c r="AC159" s="35" t="str">
        <f>'Ingest Template'!T159</f>
        <v/>
      </c>
      <c r="AD159" s="35" t="str">
        <f>'Ingest Template'!S159</f>
        <v/>
      </c>
      <c r="AE159" s="35" t="str">
        <f>'Ingest Template'!U159</f>
        <v/>
      </c>
      <c r="AF159" s="22"/>
      <c r="AG159" s="35" t="str">
        <f t="array" ref="AG159">IF('Ingest Template'!A159="Standard",(CONCATENATE(IF(ISBLANK('Ingest Template'!N159),"", 'Ingest Template'!N159&amp;"|DAR"),CHAR(10), IF(ISBLANK('Ingest Template'!O159),"", 'Ingest Template'!O159&amp;"|DAR"),CHAR(10), IF(ISBLANK('Ingest Template'!P159),"", 'Ingest Template'!P159&amp;"|DAR"))),(CONCATENATE(IF(ISBLANK('Ingest Template'!N159),"", 'Ingest Template'!N159&amp;"|TV Ops"),CHAR(10), IF(ISBLANK('Ingest Template'!O159),"", 'Ingest Template'!O159&amp;"|TV Ops"),CHAR(10), IF(ISBLANK('Ingest Template'!P159),"", 'Ingest Template'!P159&amp;"|TV Ops"))))</f>
        <v>
</v>
      </c>
      <c r="AH159" s="35"/>
      <c r="AI159" s="35"/>
      <c r="AJ159" s="117" t="str">
        <f>if('Ingest Template'!A159="Standard",(IF(OR('Ingest Template'!F159 = "Program Type - Special", 'Ingest Template'!F159 = "Program Type - Live Event"),'Ingest Template'!M159&amp; "|DAR|DAR|"&amp;TEXT('Ingest Template'!C159-3, "yyyy-mm-dd")&amp;"|"&amp;TEXT('Ingest Template'!C159+3, "yyyy-mm-dd"),'Ingest Template'!M159&amp; "|DAR|DAR|2021-01-01")),(IF(OR('Ingest Template'!F159 = "Program Type - Special", 'Ingest Template'!F159 = "Program Type - Live Event"),'Ingest Template'!M159&amp; "|Operations - Core Title|Operations - Core Title|"&amp;TEXT('Ingest Template'!C159-3, "yyyy-mm-dd")&amp;"|"&amp;TEXT('Ingest Template'!C159+3, "yyyy-mm-dd"),'Ingest Template'!M159&amp; "|Operations - Core Title|Operations - Core Title")))</f>
        <v>|Operations - Core Title|Operations - Core Title</v>
      </c>
      <c r="AK159" s="35"/>
      <c r="AL159" s="117" t="str">
        <f>if('Ingest Template'!A159="Standard",(IF(OR('Ingest Template'!F159 = "Program Type - Special", 'Ingest Template'!F159 = "Program Type - Live Event"),'Ingest Template'!Q159&amp;"|"&amp;TEXT('Ingest Template'!C159-3, "yyyy-mm-dd")&amp;"|"&amp;TEXT('Ingest Template'!C159+3, "yyyy-mm-dd"),'Ingest Template'!Q159&amp; "|2021-01-01")),(IF(OR('Ingest Template'!F159 = "Program Type - Special", 'Ingest Template'!F159 = "Program Type - Live Event"),'Ingest Template'!Q159&amp; "|"&amp;TEXT('Ingest Template'!C159-3, "yyyy-mm-dd")&amp;"|"&amp;TEXT('Ingest Template'!C159+3, "yyyy-mm-dd"),'Ingest Template'!Q159)))</f>
        <v/>
      </c>
      <c r="AM159" s="35" t="str">
        <f>'Ingest Template'!AC159</f>
        <v/>
      </c>
    </row>
    <row r="160">
      <c r="A160" s="15"/>
      <c r="B160" s="22" t="str">
        <f>'Ingest Template'!C160&amp;IF('Ingest Template'!A160 = "Standard", " - DAR","")</f>
        <v/>
      </c>
      <c r="C160" s="22" t="s">
        <v>83</v>
      </c>
      <c r="D160" s="22" t="str">
        <f t="array" ref="D160">CONCATENATE(INDEX(DropdownLists!$H$2:$H$11,MATCH(1,COUNTIF('Ingest Template'!E160,"*"&amp;DropdownLists!$I$2:$I$11&amp;"*"),0)),CHAR(10),'Ingest Template'!F160,CHAR(10),'Ingest Template'!G160,CHAR(10),VLOOKUP('Ingest Template'!D160,DropdownLists!C:D,2,FALSE))</f>
        <v>#N/A</v>
      </c>
      <c r="E160" s="22" t="str">
        <f>CONCATENATE('Ingest Template'!H160,CHAR(10),'Ingest Template'!I160,CHAR(10),'Ingest Template'!J160,CHAR(10))</f>
        <v>
</v>
      </c>
      <c r="F160" s="35" t="str">
        <f t="array" ref="F160">INDEX(DropdownLists!$O$2:$O$36,MATCH(1,COUNTIF(E160,"*"&amp;DropdownLists!$N$2:$N$36&amp;"*"),0))</f>
        <v/>
      </c>
      <c r="G160" s="35"/>
      <c r="H160" s="22" t="str">
        <f t="array" ref="H160">INDEX(DropdownLists!$E$2:$E$276,MATCH('Ingest Template'!D160,DropdownLists!$C$2:$C$276,0))</f>
        <v>#N/A</v>
      </c>
      <c r="I160" s="22"/>
      <c r="J160" s="22" t="str">
        <f t="array" ref="J160">iF('Ingest Template'!A160="Standard","Pristine Brand",INDEX(DropdownLists!$B$2:$B$246,MATCH('Ingest Template'!D160,DropdownLists!$C$2:$C$246,0)))</f>
        <v>#N/A</v>
      </c>
      <c r="K160" s="22" t="str">
        <f>iF('Ingest Template'!A160="Standard",'Ingest Template'!K160&amp;CHAR(10)&amp;'Ingest Template'!L160,"Competitive View")</f>
        <v>Competitive View</v>
      </c>
      <c r="L160" s="22" t="s">
        <v>95</v>
      </c>
      <c r="M160" s="45" t="str">
        <f>'Ingest Template'!B160</f>
        <v/>
      </c>
      <c r="N160" s="35"/>
      <c r="O160" s="35"/>
      <c r="P160" s="35"/>
      <c r="Q160" s="35"/>
      <c r="R160" s="35" t="str">
        <f>'Ingest Template'!D160</f>
        <v/>
      </c>
      <c r="S160" s="22" t="s">
        <v>101</v>
      </c>
      <c r="T160" s="35" t="str">
        <f>'Ingest Template'!V160</f>
        <v/>
      </c>
      <c r="U160" s="35" t="str">
        <f>'Ingest Template'!W160</f>
        <v/>
      </c>
      <c r="V160" s="35" t="str">
        <f>LOWER(SUBSTITUTE(SUBSTITUTE(SUBSTITUTE(SUBSTITUTE(SUBSTITUTE('Ingest Template'!X160,"https:",""),"www.",""),"/",""),"?hl=en",""),"instagram.com",""))</f>
        <v/>
      </c>
      <c r="W160" s="74" t="str">
        <f t="array" ref="W160">IF(
'Ingest Template'!Y160="",
SUBSTITUTE(
INDEX(DropdownLists!$F$2:$F$277,MATCH('Ingest Template'!D160,DropdownLists!$C$2:$C$277,0)),
CHAR(10),
"|"&amp;'Ingest Template'!C160&amp;CHAR(10)
)&amp;"|"&amp;'Ingest Template'!C160,
SUBSTITUTE(
INDEX(DropdownLists!$F$2:$F$277,MATCH('Ingest Template'!D160,DropdownLists!$C$2:$C$277,0)),
CHAR(10),
"|"&amp;'Ingest Template'!C160&amp;CHAR(10)
)&amp;"|"&amp;'Ingest Template'!C160&amp;CHAR(10)&amp;'Ingest Template'!Y160
)</f>
        <v>#N/A</v>
      </c>
      <c r="X160" s="74" t="str">
        <f>'Ingest Template'!Z160</f>
        <v/>
      </c>
      <c r="Y160" s="35" t="str">
        <f>SUBSTITUTE(SUBSTITUTE(SUBSTITUTE('Ingest Template'!AA160,"http:",""),"https:",""),"/","")</f>
        <v/>
      </c>
      <c r="Z160" s="35" t="str">
        <f t="array" ref="Z160">IF('Ingest Template'!A160="Standard",(IF(ISBLANK('Ingest Template'!AB160),"", 'Ingest Template'!AB160&amp;"|DAR")),(IF(ISBLANK('Ingest Template'!AB160),"", 'Ingest Template'!AB160&amp;"|TV Ops")))</f>
        <v/>
      </c>
      <c r="AA160" s="35"/>
      <c r="AB160" s="35" t="str">
        <f>'Ingest Template'!R160</f>
        <v/>
      </c>
      <c r="AC160" s="35" t="str">
        <f>'Ingest Template'!T160</f>
        <v/>
      </c>
      <c r="AD160" s="35" t="str">
        <f>'Ingest Template'!S160</f>
        <v/>
      </c>
      <c r="AE160" s="35" t="str">
        <f>'Ingest Template'!U160</f>
        <v/>
      </c>
      <c r="AF160" s="22"/>
      <c r="AG160" s="35" t="str">
        <f t="array" ref="AG160">IF('Ingest Template'!A160="Standard",(CONCATENATE(IF(ISBLANK('Ingest Template'!N160),"", 'Ingest Template'!N160&amp;"|DAR"),CHAR(10), IF(ISBLANK('Ingest Template'!O160),"", 'Ingest Template'!O160&amp;"|DAR"),CHAR(10), IF(ISBLANK('Ingest Template'!P160),"", 'Ingest Template'!P160&amp;"|DAR"))),(CONCATENATE(IF(ISBLANK('Ingest Template'!N160),"", 'Ingest Template'!N160&amp;"|TV Ops"),CHAR(10), IF(ISBLANK('Ingest Template'!O160),"", 'Ingest Template'!O160&amp;"|TV Ops"),CHAR(10), IF(ISBLANK('Ingest Template'!P160),"", 'Ingest Template'!P160&amp;"|TV Ops"))))</f>
        <v>
</v>
      </c>
      <c r="AH160" s="35"/>
      <c r="AI160" s="35"/>
      <c r="AJ160" s="117" t="str">
        <f>if('Ingest Template'!A160="Standard",(IF(OR('Ingest Template'!F160 = "Program Type - Special", 'Ingest Template'!F160 = "Program Type - Live Event"),'Ingest Template'!M160&amp; "|DAR|DAR|"&amp;TEXT('Ingest Template'!C160-3, "yyyy-mm-dd")&amp;"|"&amp;TEXT('Ingest Template'!C160+3, "yyyy-mm-dd"),'Ingest Template'!M160&amp; "|DAR|DAR|2021-01-01")),(IF(OR('Ingest Template'!F160 = "Program Type - Special", 'Ingest Template'!F160 = "Program Type - Live Event"),'Ingest Template'!M160&amp; "|Operations - Core Title|Operations - Core Title|"&amp;TEXT('Ingest Template'!C160-3, "yyyy-mm-dd")&amp;"|"&amp;TEXT('Ingest Template'!C160+3, "yyyy-mm-dd"),'Ingest Template'!M160&amp; "|Operations - Core Title|Operations - Core Title")))</f>
        <v>|Operations - Core Title|Operations - Core Title</v>
      </c>
      <c r="AK160" s="35"/>
      <c r="AL160" s="117" t="str">
        <f>if('Ingest Template'!A160="Standard",(IF(OR('Ingest Template'!F160 = "Program Type - Special", 'Ingest Template'!F160 = "Program Type - Live Event"),'Ingest Template'!Q160&amp;"|"&amp;TEXT('Ingest Template'!C160-3, "yyyy-mm-dd")&amp;"|"&amp;TEXT('Ingest Template'!C160+3, "yyyy-mm-dd"),'Ingest Template'!Q160&amp; "|2021-01-01")),(IF(OR('Ingest Template'!F160 = "Program Type - Special", 'Ingest Template'!F160 = "Program Type - Live Event"),'Ingest Template'!Q160&amp; "|"&amp;TEXT('Ingest Template'!C160-3, "yyyy-mm-dd")&amp;"|"&amp;TEXT('Ingest Template'!C160+3, "yyyy-mm-dd"),'Ingest Template'!Q160)))</f>
        <v/>
      </c>
      <c r="AM160" s="35" t="str">
        <f>'Ingest Template'!AC160</f>
        <v/>
      </c>
    </row>
    <row r="161">
      <c r="A161" s="15"/>
      <c r="B161" s="22" t="str">
        <f>'Ingest Template'!C161&amp;IF('Ingest Template'!A161 = "Standard", " - DAR","")</f>
        <v/>
      </c>
      <c r="C161" s="22" t="s">
        <v>83</v>
      </c>
      <c r="D161" s="22" t="str">
        <f t="array" ref="D161">CONCATENATE(INDEX(DropdownLists!$H$2:$H$11,MATCH(1,COUNTIF('Ingest Template'!E161,"*"&amp;DropdownLists!$I$2:$I$11&amp;"*"),0)),CHAR(10),'Ingest Template'!F161,CHAR(10),'Ingest Template'!G161,CHAR(10),VLOOKUP('Ingest Template'!D161,DropdownLists!C:D,2,FALSE))</f>
        <v>#N/A</v>
      </c>
      <c r="E161" s="22" t="str">
        <f>CONCATENATE('Ingest Template'!H161,CHAR(10),'Ingest Template'!I161,CHAR(10),'Ingest Template'!J161,CHAR(10))</f>
        <v>
</v>
      </c>
      <c r="F161" s="35" t="str">
        <f t="array" ref="F161">INDEX(DropdownLists!$O$2:$O$36,MATCH(1,COUNTIF(E161,"*"&amp;DropdownLists!$N$2:$N$36&amp;"*"),0))</f>
        <v/>
      </c>
      <c r="G161" s="35"/>
      <c r="H161" s="22" t="str">
        <f t="array" ref="H161">INDEX(DropdownLists!$E$2:$E$276,MATCH('Ingest Template'!D161,DropdownLists!$C$2:$C$276,0))</f>
        <v>#N/A</v>
      </c>
      <c r="I161" s="22"/>
      <c r="J161" s="22" t="str">
        <f t="array" ref="J161">iF('Ingest Template'!A161="Standard","Pristine Brand",INDEX(DropdownLists!$B$2:$B$246,MATCH('Ingest Template'!D161,DropdownLists!$C$2:$C$246,0)))</f>
        <v>#N/A</v>
      </c>
      <c r="K161" s="22" t="str">
        <f>iF('Ingest Template'!A161="Standard",'Ingest Template'!K161&amp;CHAR(10)&amp;'Ingest Template'!L161,"Competitive View")</f>
        <v>Competitive View</v>
      </c>
      <c r="L161" s="22" t="s">
        <v>95</v>
      </c>
      <c r="M161" s="45" t="str">
        <f>'Ingest Template'!B161</f>
        <v/>
      </c>
      <c r="N161" s="35"/>
      <c r="O161" s="35"/>
      <c r="P161" s="35"/>
      <c r="Q161" s="35"/>
      <c r="R161" s="35" t="str">
        <f>'Ingest Template'!D161</f>
        <v/>
      </c>
      <c r="S161" s="22" t="s">
        <v>101</v>
      </c>
      <c r="T161" s="35" t="str">
        <f>'Ingest Template'!V161</f>
        <v/>
      </c>
      <c r="U161" s="35" t="str">
        <f>'Ingest Template'!W161</f>
        <v/>
      </c>
      <c r="V161" s="35" t="str">
        <f>LOWER(SUBSTITUTE(SUBSTITUTE(SUBSTITUTE(SUBSTITUTE(SUBSTITUTE('Ingest Template'!X161,"https:",""),"www.",""),"/",""),"?hl=en",""),"instagram.com",""))</f>
        <v/>
      </c>
      <c r="W161" s="74" t="str">
        <f t="array" ref="W161">IF(
'Ingest Template'!Y161="",
SUBSTITUTE(
INDEX(DropdownLists!$F$2:$F$277,MATCH('Ingest Template'!D161,DropdownLists!$C$2:$C$277,0)),
CHAR(10),
"|"&amp;'Ingest Template'!C161&amp;CHAR(10)
)&amp;"|"&amp;'Ingest Template'!C161,
SUBSTITUTE(
INDEX(DropdownLists!$F$2:$F$277,MATCH('Ingest Template'!D161,DropdownLists!$C$2:$C$277,0)),
CHAR(10),
"|"&amp;'Ingest Template'!C161&amp;CHAR(10)
)&amp;"|"&amp;'Ingest Template'!C161&amp;CHAR(10)&amp;'Ingest Template'!Y161
)</f>
        <v>#N/A</v>
      </c>
      <c r="X161" s="74" t="str">
        <f>'Ingest Template'!Z161</f>
        <v/>
      </c>
      <c r="Y161" s="35" t="str">
        <f>SUBSTITUTE(SUBSTITUTE(SUBSTITUTE('Ingest Template'!AA161,"http:",""),"https:",""),"/","")</f>
        <v/>
      </c>
      <c r="Z161" s="35" t="str">
        <f t="array" ref="Z161">IF('Ingest Template'!A161="Standard",(IF(ISBLANK('Ingest Template'!AB161),"", 'Ingest Template'!AB161&amp;"|DAR")),(IF(ISBLANK('Ingest Template'!AB161),"", 'Ingest Template'!AB161&amp;"|TV Ops")))</f>
        <v/>
      </c>
      <c r="AA161" s="35"/>
      <c r="AB161" s="35" t="str">
        <f>'Ingest Template'!R161</f>
        <v/>
      </c>
      <c r="AC161" s="35" t="str">
        <f>'Ingest Template'!T161</f>
        <v/>
      </c>
      <c r="AD161" s="35" t="str">
        <f>'Ingest Template'!S161</f>
        <v/>
      </c>
      <c r="AE161" s="35" t="str">
        <f>'Ingest Template'!U161</f>
        <v/>
      </c>
      <c r="AF161" s="22"/>
      <c r="AG161" s="35" t="str">
        <f t="array" ref="AG161">IF('Ingest Template'!A161="Standard",(CONCATENATE(IF(ISBLANK('Ingest Template'!N161),"", 'Ingest Template'!N161&amp;"|DAR"),CHAR(10), IF(ISBLANK('Ingest Template'!O161),"", 'Ingest Template'!O161&amp;"|DAR"),CHAR(10), IF(ISBLANK('Ingest Template'!P161),"", 'Ingest Template'!P161&amp;"|DAR"))),(CONCATENATE(IF(ISBLANK('Ingest Template'!N161),"", 'Ingest Template'!N161&amp;"|TV Ops"),CHAR(10), IF(ISBLANK('Ingest Template'!O161),"", 'Ingest Template'!O161&amp;"|TV Ops"),CHAR(10), IF(ISBLANK('Ingest Template'!P161),"", 'Ingest Template'!P161&amp;"|TV Ops"))))</f>
        <v>
</v>
      </c>
      <c r="AH161" s="35"/>
      <c r="AI161" s="35"/>
      <c r="AJ161" s="117" t="str">
        <f>if('Ingest Template'!A161="Standard",(IF(OR('Ingest Template'!F161 = "Program Type - Special", 'Ingest Template'!F161 = "Program Type - Live Event"),'Ingest Template'!M161&amp; "|DAR|DAR|"&amp;TEXT('Ingest Template'!C161-3, "yyyy-mm-dd")&amp;"|"&amp;TEXT('Ingest Template'!C161+3, "yyyy-mm-dd"),'Ingest Template'!M161&amp; "|DAR|DAR|2021-01-01")),(IF(OR('Ingest Template'!F161 = "Program Type - Special", 'Ingest Template'!F161 = "Program Type - Live Event"),'Ingest Template'!M161&amp; "|Operations - Core Title|Operations - Core Title|"&amp;TEXT('Ingest Template'!C161-3, "yyyy-mm-dd")&amp;"|"&amp;TEXT('Ingest Template'!C161+3, "yyyy-mm-dd"),'Ingest Template'!M161&amp; "|Operations - Core Title|Operations - Core Title")))</f>
        <v>|Operations - Core Title|Operations - Core Title</v>
      </c>
      <c r="AK161" s="35"/>
      <c r="AL161" s="117" t="str">
        <f>if('Ingest Template'!A161="Standard",(IF(OR('Ingest Template'!F161 = "Program Type - Special", 'Ingest Template'!F161 = "Program Type - Live Event"),'Ingest Template'!Q161&amp;"|"&amp;TEXT('Ingest Template'!C161-3, "yyyy-mm-dd")&amp;"|"&amp;TEXT('Ingest Template'!C161+3, "yyyy-mm-dd"),'Ingest Template'!Q161&amp; "|2021-01-01")),(IF(OR('Ingest Template'!F161 = "Program Type - Special", 'Ingest Template'!F161 = "Program Type - Live Event"),'Ingest Template'!Q161&amp; "|"&amp;TEXT('Ingest Template'!C161-3, "yyyy-mm-dd")&amp;"|"&amp;TEXT('Ingest Template'!C161+3, "yyyy-mm-dd"),'Ingest Template'!Q161)))</f>
        <v/>
      </c>
      <c r="AM161" s="35" t="str">
        <f>'Ingest Template'!AC161</f>
        <v/>
      </c>
    </row>
    <row r="162">
      <c r="A162" s="15"/>
      <c r="B162" s="22" t="str">
        <f>'Ingest Template'!C162&amp;IF('Ingest Template'!A162 = "Standard", " - DAR","")</f>
        <v/>
      </c>
      <c r="C162" s="22" t="s">
        <v>83</v>
      </c>
      <c r="D162" s="22" t="str">
        <f t="array" ref="D162">CONCATENATE(INDEX(DropdownLists!$H$2:$H$11,MATCH(1,COUNTIF('Ingest Template'!E162,"*"&amp;DropdownLists!$I$2:$I$11&amp;"*"),0)),CHAR(10),'Ingest Template'!F162,CHAR(10),'Ingest Template'!G162,CHAR(10),VLOOKUP('Ingest Template'!D162,DropdownLists!C:D,2,FALSE))</f>
        <v>#N/A</v>
      </c>
      <c r="E162" s="22" t="str">
        <f>CONCATENATE('Ingest Template'!H162,CHAR(10),'Ingest Template'!I162,CHAR(10),'Ingest Template'!J162,CHAR(10))</f>
        <v>
</v>
      </c>
      <c r="F162" s="35" t="str">
        <f t="array" ref="F162">INDEX(DropdownLists!$O$2:$O$36,MATCH(1,COUNTIF(E162,"*"&amp;DropdownLists!$N$2:$N$36&amp;"*"),0))</f>
        <v/>
      </c>
      <c r="G162" s="35"/>
      <c r="H162" s="22" t="str">
        <f t="array" ref="H162">INDEX(DropdownLists!$E$2:$E$276,MATCH('Ingest Template'!D162,DropdownLists!$C$2:$C$276,0))</f>
        <v>#N/A</v>
      </c>
      <c r="I162" s="22"/>
      <c r="J162" s="22" t="str">
        <f t="array" ref="J162">iF('Ingest Template'!A162="Standard","Pristine Brand",INDEX(DropdownLists!$B$2:$B$246,MATCH('Ingest Template'!D162,DropdownLists!$C$2:$C$246,0)))</f>
        <v>#N/A</v>
      </c>
      <c r="K162" s="22" t="str">
        <f>iF('Ingest Template'!A162="Standard",'Ingest Template'!K162&amp;CHAR(10)&amp;'Ingest Template'!L162,"Competitive View")</f>
        <v>Competitive View</v>
      </c>
      <c r="L162" s="22" t="s">
        <v>95</v>
      </c>
      <c r="M162" s="45" t="str">
        <f>'Ingest Template'!B162</f>
        <v/>
      </c>
      <c r="N162" s="35"/>
      <c r="O162" s="35"/>
      <c r="P162" s="35"/>
      <c r="Q162" s="35"/>
      <c r="R162" s="35" t="str">
        <f>'Ingest Template'!D162</f>
        <v/>
      </c>
      <c r="S162" s="22" t="s">
        <v>101</v>
      </c>
      <c r="T162" s="35" t="str">
        <f>'Ingest Template'!V162</f>
        <v/>
      </c>
      <c r="U162" s="35" t="str">
        <f>'Ingest Template'!W162</f>
        <v/>
      </c>
      <c r="V162" s="35" t="str">
        <f>LOWER(SUBSTITUTE(SUBSTITUTE(SUBSTITUTE(SUBSTITUTE(SUBSTITUTE('Ingest Template'!X162,"https:",""),"www.",""),"/",""),"?hl=en",""),"instagram.com",""))</f>
        <v/>
      </c>
      <c r="W162" s="74" t="str">
        <f t="array" ref="W162">IF(
'Ingest Template'!Y162="",
SUBSTITUTE(
INDEX(DropdownLists!$F$2:$F$277,MATCH('Ingest Template'!D162,DropdownLists!$C$2:$C$277,0)),
CHAR(10),
"|"&amp;'Ingest Template'!C162&amp;CHAR(10)
)&amp;"|"&amp;'Ingest Template'!C162,
SUBSTITUTE(
INDEX(DropdownLists!$F$2:$F$277,MATCH('Ingest Template'!D162,DropdownLists!$C$2:$C$277,0)),
CHAR(10),
"|"&amp;'Ingest Template'!C162&amp;CHAR(10)
)&amp;"|"&amp;'Ingest Template'!C162&amp;CHAR(10)&amp;'Ingest Template'!Y162
)</f>
        <v>#N/A</v>
      </c>
      <c r="X162" s="74" t="str">
        <f>'Ingest Template'!Z162</f>
        <v/>
      </c>
      <c r="Y162" s="35" t="str">
        <f>SUBSTITUTE(SUBSTITUTE(SUBSTITUTE('Ingest Template'!AA162,"http:",""),"https:",""),"/","")</f>
        <v/>
      </c>
      <c r="Z162" s="35" t="str">
        <f t="array" ref="Z162">IF('Ingest Template'!A162="Standard",(IF(ISBLANK('Ingest Template'!AB162),"", 'Ingest Template'!AB162&amp;"|DAR")),(IF(ISBLANK('Ingest Template'!AB162),"", 'Ingest Template'!AB162&amp;"|TV Ops")))</f>
        <v/>
      </c>
      <c r="AA162" s="35"/>
      <c r="AB162" s="35" t="str">
        <f>'Ingest Template'!R162</f>
        <v/>
      </c>
      <c r="AC162" s="35" t="str">
        <f>'Ingest Template'!T162</f>
        <v/>
      </c>
      <c r="AD162" s="35" t="str">
        <f>'Ingest Template'!S162</f>
        <v/>
      </c>
      <c r="AE162" s="35" t="str">
        <f>'Ingest Template'!U162</f>
        <v/>
      </c>
      <c r="AF162" s="22"/>
      <c r="AG162" s="35" t="str">
        <f t="array" ref="AG162">IF('Ingest Template'!A162="Standard",(CONCATENATE(IF(ISBLANK('Ingest Template'!N162),"", 'Ingest Template'!N162&amp;"|DAR"),CHAR(10), IF(ISBLANK('Ingest Template'!O162),"", 'Ingest Template'!O162&amp;"|DAR"),CHAR(10), IF(ISBLANK('Ingest Template'!P162),"", 'Ingest Template'!P162&amp;"|DAR"))),(CONCATENATE(IF(ISBLANK('Ingest Template'!N162),"", 'Ingest Template'!N162&amp;"|TV Ops"),CHAR(10), IF(ISBLANK('Ingest Template'!O162),"", 'Ingest Template'!O162&amp;"|TV Ops"),CHAR(10), IF(ISBLANK('Ingest Template'!P162),"", 'Ingest Template'!P162&amp;"|TV Ops"))))</f>
        <v>
</v>
      </c>
      <c r="AH162" s="35"/>
      <c r="AI162" s="35"/>
      <c r="AJ162" s="117" t="str">
        <f>if('Ingest Template'!A162="Standard",(IF(OR('Ingest Template'!F162 = "Program Type - Special", 'Ingest Template'!F162 = "Program Type - Live Event"),'Ingest Template'!M162&amp; "|DAR|DAR|"&amp;TEXT('Ingest Template'!C162-3, "yyyy-mm-dd")&amp;"|"&amp;TEXT('Ingest Template'!C162+3, "yyyy-mm-dd"),'Ingest Template'!M162&amp; "|DAR|DAR|2021-01-01")),(IF(OR('Ingest Template'!F162 = "Program Type - Special", 'Ingest Template'!F162 = "Program Type - Live Event"),'Ingest Template'!M162&amp; "|Operations - Core Title|Operations - Core Title|"&amp;TEXT('Ingest Template'!C162-3, "yyyy-mm-dd")&amp;"|"&amp;TEXT('Ingest Template'!C162+3, "yyyy-mm-dd"),'Ingest Template'!M162&amp; "|Operations - Core Title|Operations - Core Title")))</f>
        <v>|Operations - Core Title|Operations - Core Title</v>
      </c>
      <c r="AK162" s="35"/>
      <c r="AL162" s="117" t="str">
        <f>if('Ingest Template'!A162="Standard",(IF(OR('Ingest Template'!F162 = "Program Type - Special", 'Ingest Template'!F162 = "Program Type - Live Event"),'Ingest Template'!Q162&amp;"|"&amp;TEXT('Ingest Template'!C162-3, "yyyy-mm-dd")&amp;"|"&amp;TEXT('Ingest Template'!C162+3, "yyyy-mm-dd"),'Ingest Template'!Q162&amp; "|2021-01-01")),(IF(OR('Ingest Template'!F162 = "Program Type - Special", 'Ingest Template'!F162 = "Program Type - Live Event"),'Ingest Template'!Q162&amp; "|"&amp;TEXT('Ingest Template'!C162-3, "yyyy-mm-dd")&amp;"|"&amp;TEXT('Ingest Template'!C162+3, "yyyy-mm-dd"),'Ingest Template'!Q162)))</f>
        <v/>
      </c>
      <c r="AM162" s="35" t="str">
        <f>'Ingest Template'!AC162</f>
        <v/>
      </c>
    </row>
    <row r="163">
      <c r="A163" s="15"/>
      <c r="B163" s="22" t="str">
        <f>'Ingest Template'!C163&amp;IF('Ingest Template'!A163 = "Standard", " - DAR","")</f>
        <v/>
      </c>
      <c r="C163" s="22" t="s">
        <v>83</v>
      </c>
      <c r="D163" s="22" t="str">
        <f t="array" ref="D163">CONCATENATE(INDEX(DropdownLists!$H$2:$H$11,MATCH(1,COUNTIF('Ingest Template'!E163,"*"&amp;DropdownLists!$I$2:$I$11&amp;"*"),0)),CHAR(10),'Ingest Template'!F163,CHAR(10),'Ingest Template'!G163,CHAR(10),VLOOKUP('Ingest Template'!D163,DropdownLists!C:D,2,FALSE))</f>
        <v>#N/A</v>
      </c>
      <c r="E163" s="22" t="str">
        <f>CONCATENATE('Ingest Template'!H163,CHAR(10),'Ingest Template'!I163,CHAR(10),'Ingest Template'!J163,CHAR(10))</f>
        <v>
</v>
      </c>
      <c r="F163" s="35" t="str">
        <f t="array" ref="F163">INDEX(DropdownLists!$O$2:$O$36,MATCH(1,COUNTIF(E163,"*"&amp;DropdownLists!$N$2:$N$36&amp;"*"),0))</f>
        <v/>
      </c>
      <c r="G163" s="35"/>
      <c r="H163" s="22" t="str">
        <f t="array" ref="H163">INDEX(DropdownLists!$E$2:$E$276,MATCH('Ingest Template'!D163,DropdownLists!$C$2:$C$276,0))</f>
        <v>#N/A</v>
      </c>
      <c r="I163" s="22"/>
      <c r="J163" s="22" t="str">
        <f t="array" ref="J163">iF('Ingest Template'!A163="Standard","Pristine Brand",INDEX(DropdownLists!$B$2:$B$246,MATCH('Ingest Template'!D163,DropdownLists!$C$2:$C$246,0)))</f>
        <v>#N/A</v>
      </c>
      <c r="K163" s="22" t="str">
        <f>iF('Ingest Template'!A163="Standard",'Ingest Template'!K163&amp;CHAR(10)&amp;'Ingest Template'!L163,"Competitive View")</f>
        <v>Competitive View</v>
      </c>
      <c r="L163" s="22" t="s">
        <v>95</v>
      </c>
      <c r="M163" s="45" t="str">
        <f>'Ingest Template'!B163</f>
        <v/>
      </c>
      <c r="N163" s="35"/>
      <c r="O163" s="35"/>
      <c r="P163" s="35"/>
      <c r="Q163" s="35"/>
      <c r="R163" s="35" t="str">
        <f>'Ingest Template'!D163</f>
        <v/>
      </c>
      <c r="S163" s="22" t="s">
        <v>101</v>
      </c>
      <c r="T163" s="35" t="str">
        <f>'Ingest Template'!V163</f>
        <v/>
      </c>
      <c r="U163" s="35" t="str">
        <f>'Ingest Template'!W163</f>
        <v/>
      </c>
      <c r="V163" s="35" t="str">
        <f>LOWER(SUBSTITUTE(SUBSTITUTE(SUBSTITUTE(SUBSTITUTE(SUBSTITUTE('Ingest Template'!X163,"https:",""),"www.",""),"/",""),"?hl=en",""),"instagram.com",""))</f>
        <v/>
      </c>
      <c r="W163" s="74" t="str">
        <f t="array" ref="W163">IF(
'Ingest Template'!Y163="",
SUBSTITUTE(
INDEX(DropdownLists!$F$2:$F$277,MATCH('Ingest Template'!D163,DropdownLists!$C$2:$C$277,0)),
CHAR(10),
"|"&amp;'Ingest Template'!C163&amp;CHAR(10)
)&amp;"|"&amp;'Ingest Template'!C163,
SUBSTITUTE(
INDEX(DropdownLists!$F$2:$F$277,MATCH('Ingest Template'!D163,DropdownLists!$C$2:$C$277,0)),
CHAR(10),
"|"&amp;'Ingest Template'!C163&amp;CHAR(10)
)&amp;"|"&amp;'Ingest Template'!C163&amp;CHAR(10)&amp;'Ingest Template'!Y163
)</f>
        <v>#N/A</v>
      </c>
      <c r="X163" s="74" t="str">
        <f>'Ingest Template'!Z163</f>
        <v/>
      </c>
      <c r="Y163" s="35" t="str">
        <f>SUBSTITUTE(SUBSTITUTE(SUBSTITUTE('Ingest Template'!AA163,"http:",""),"https:",""),"/","")</f>
        <v/>
      </c>
      <c r="Z163" s="35" t="str">
        <f t="array" ref="Z163">IF('Ingest Template'!A163="Standard",(IF(ISBLANK('Ingest Template'!AB163),"", 'Ingest Template'!AB163&amp;"|DAR")),(IF(ISBLANK('Ingest Template'!AB163),"", 'Ingest Template'!AB163&amp;"|TV Ops")))</f>
        <v/>
      </c>
      <c r="AA163" s="35"/>
      <c r="AB163" s="35" t="str">
        <f>'Ingest Template'!R163</f>
        <v/>
      </c>
      <c r="AC163" s="35" t="str">
        <f>'Ingest Template'!T163</f>
        <v/>
      </c>
      <c r="AD163" s="35" t="str">
        <f>'Ingest Template'!S163</f>
        <v/>
      </c>
      <c r="AE163" s="35" t="str">
        <f>'Ingest Template'!U163</f>
        <v/>
      </c>
      <c r="AF163" s="22"/>
      <c r="AG163" s="35" t="str">
        <f t="array" ref="AG163">IF('Ingest Template'!A163="Standard",(CONCATENATE(IF(ISBLANK('Ingest Template'!N163),"", 'Ingest Template'!N163&amp;"|DAR"),CHAR(10), IF(ISBLANK('Ingest Template'!O163),"", 'Ingest Template'!O163&amp;"|DAR"),CHAR(10), IF(ISBLANK('Ingest Template'!P163),"", 'Ingest Template'!P163&amp;"|DAR"))),(CONCATENATE(IF(ISBLANK('Ingest Template'!N163),"", 'Ingest Template'!N163&amp;"|TV Ops"),CHAR(10), IF(ISBLANK('Ingest Template'!O163),"", 'Ingest Template'!O163&amp;"|TV Ops"),CHAR(10), IF(ISBLANK('Ingest Template'!P163),"", 'Ingest Template'!P163&amp;"|TV Ops"))))</f>
        <v>
</v>
      </c>
      <c r="AH163" s="35"/>
      <c r="AI163" s="35"/>
      <c r="AJ163" s="117" t="str">
        <f>if('Ingest Template'!A163="Standard",(IF(OR('Ingest Template'!F163 = "Program Type - Special", 'Ingest Template'!F163 = "Program Type - Live Event"),'Ingest Template'!M163&amp; "|DAR|DAR|"&amp;TEXT('Ingest Template'!C163-3, "yyyy-mm-dd")&amp;"|"&amp;TEXT('Ingest Template'!C163+3, "yyyy-mm-dd"),'Ingest Template'!M163&amp; "|DAR|DAR|2021-01-01")),(IF(OR('Ingest Template'!F163 = "Program Type - Special", 'Ingest Template'!F163 = "Program Type - Live Event"),'Ingest Template'!M163&amp; "|Operations - Core Title|Operations - Core Title|"&amp;TEXT('Ingest Template'!C163-3, "yyyy-mm-dd")&amp;"|"&amp;TEXT('Ingest Template'!C163+3, "yyyy-mm-dd"),'Ingest Template'!M163&amp; "|Operations - Core Title|Operations - Core Title")))</f>
        <v>|Operations - Core Title|Operations - Core Title</v>
      </c>
      <c r="AK163" s="35"/>
      <c r="AL163" s="117" t="str">
        <f>if('Ingest Template'!A163="Standard",(IF(OR('Ingest Template'!F163 = "Program Type - Special", 'Ingest Template'!F163 = "Program Type - Live Event"),'Ingest Template'!Q163&amp;"|"&amp;TEXT('Ingest Template'!C163-3, "yyyy-mm-dd")&amp;"|"&amp;TEXT('Ingest Template'!C163+3, "yyyy-mm-dd"),'Ingest Template'!Q163&amp; "|2021-01-01")),(IF(OR('Ingest Template'!F163 = "Program Type - Special", 'Ingest Template'!F163 = "Program Type - Live Event"),'Ingest Template'!Q163&amp; "|"&amp;TEXT('Ingest Template'!C163-3, "yyyy-mm-dd")&amp;"|"&amp;TEXT('Ingest Template'!C163+3, "yyyy-mm-dd"),'Ingest Template'!Q163)))</f>
        <v/>
      </c>
      <c r="AM163" s="35" t="str">
        <f>'Ingest Template'!AC163</f>
        <v/>
      </c>
    </row>
    <row r="164">
      <c r="A164" s="15"/>
      <c r="B164" s="22" t="str">
        <f>'Ingest Template'!C164&amp;IF('Ingest Template'!A164 = "Standard", " - DAR","")</f>
        <v/>
      </c>
      <c r="C164" s="22" t="s">
        <v>83</v>
      </c>
      <c r="D164" s="22" t="str">
        <f t="array" ref="D164">CONCATENATE(INDEX(DropdownLists!$H$2:$H$11,MATCH(1,COUNTIF('Ingest Template'!E164,"*"&amp;DropdownLists!$I$2:$I$11&amp;"*"),0)),CHAR(10),'Ingest Template'!F164,CHAR(10),'Ingest Template'!G164,CHAR(10),VLOOKUP('Ingest Template'!D164,DropdownLists!C:D,2,FALSE))</f>
        <v>#N/A</v>
      </c>
      <c r="E164" s="22" t="str">
        <f>CONCATENATE('Ingest Template'!H164,CHAR(10),'Ingest Template'!I164,CHAR(10),'Ingest Template'!J164,CHAR(10))</f>
        <v>
</v>
      </c>
      <c r="F164" s="35" t="str">
        <f t="array" ref="F164">INDEX(DropdownLists!$O$2:$O$36,MATCH(1,COUNTIF(E164,"*"&amp;DropdownLists!$N$2:$N$36&amp;"*"),0))</f>
        <v/>
      </c>
      <c r="G164" s="35"/>
      <c r="H164" s="22" t="str">
        <f t="array" ref="H164">INDEX(DropdownLists!$E$2:$E$276,MATCH('Ingest Template'!D164,DropdownLists!$C$2:$C$276,0))</f>
        <v>#N/A</v>
      </c>
      <c r="I164" s="22"/>
      <c r="J164" s="22" t="str">
        <f t="array" ref="J164">iF('Ingest Template'!A164="Standard","Pristine Brand",INDEX(DropdownLists!$B$2:$B$246,MATCH('Ingest Template'!D164,DropdownLists!$C$2:$C$246,0)))</f>
        <v>#N/A</v>
      </c>
      <c r="K164" s="22" t="str">
        <f>iF('Ingest Template'!A164="Standard",'Ingest Template'!K164&amp;CHAR(10)&amp;'Ingest Template'!L164,"Competitive View")</f>
        <v>Competitive View</v>
      </c>
      <c r="L164" s="22" t="s">
        <v>95</v>
      </c>
      <c r="M164" s="45" t="str">
        <f>'Ingest Template'!B164</f>
        <v/>
      </c>
      <c r="N164" s="35"/>
      <c r="O164" s="35"/>
      <c r="P164" s="35"/>
      <c r="Q164" s="35"/>
      <c r="R164" s="35" t="str">
        <f>'Ingest Template'!D164</f>
        <v/>
      </c>
      <c r="S164" s="22" t="s">
        <v>101</v>
      </c>
      <c r="T164" s="35" t="str">
        <f>'Ingest Template'!V164</f>
        <v/>
      </c>
      <c r="U164" s="35" t="str">
        <f>'Ingest Template'!W164</f>
        <v/>
      </c>
      <c r="V164" s="35" t="str">
        <f>LOWER(SUBSTITUTE(SUBSTITUTE(SUBSTITUTE(SUBSTITUTE(SUBSTITUTE('Ingest Template'!X164,"https:",""),"www.",""),"/",""),"?hl=en",""),"instagram.com",""))</f>
        <v/>
      </c>
      <c r="W164" s="74" t="str">
        <f t="array" ref="W164">IF(
'Ingest Template'!Y164="",
SUBSTITUTE(
INDEX(DropdownLists!$F$2:$F$277,MATCH('Ingest Template'!D164,DropdownLists!$C$2:$C$277,0)),
CHAR(10),
"|"&amp;'Ingest Template'!C164&amp;CHAR(10)
)&amp;"|"&amp;'Ingest Template'!C164,
SUBSTITUTE(
INDEX(DropdownLists!$F$2:$F$277,MATCH('Ingest Template'!D164,DropdownLists!$C$2:$C$277,0)),
CHAR(10),
"|"&amp;'Ingest Template'!C164&amp;CHAR(10)
)&amp;"|"&amp;'Ingest Template'!C164&amp;CHAR(10)&amp;'Ingest Template'!Y164
)</f>
        <v>#N/A</v>
      </c>
      <c r="X164" s="74" t="str">
        <f>'Ingest Template'!Z164</f>
        <v/>
      </c>
      <c r="Y164" s="35" t="str">
        <f>SUBSTITUTE(SUBSTITUTE(SUBSTITUTE('Ingest Template'!AA164,"http:",""),"https:",""),"/","")</f>
        <v/>
      </c>
      <c r="Z164" s="35" t="str">
        <f t="array" ref="Z164">IF('Ingest Template'!A164="Standard",(IF(ISBLANK('Ingest Template'!AB164),"", 'Ingest Template'!AB164&amp;"|DAR")),(IF(ISBLANK('Ingest Template'!AB164),"", 'Ingest Template'!AB164&amp;"|TV Ops")))</f>
        <v/>
      </c>
      <c r="AA164" s="35"/>
      <c r="AB164" s="35" t="str">
        <f>'Ingest Template'!R164</f>
        <v/>
      </c>
      <c r="AC164" s="35" t="str">
        <f>'Ingest Template'!T164</f>
        <v/>
      </c>
      <c r="AD164" s="35" t="str">
        <f>'Ingest Template'!S164</f>
        <v/>
      </c>
      <c r="AE164" s="35" t="str">
        <f>'Ingest Template'!U164</f>
        <v/>
      </c>
      <c r="AF164" s="22"/>
      <c r="AG164" s="35" t="str">
        <f t="array" ref="AG164">IF('Ingest Template'!A164="Standard",(CONCATENATE(IF(ISBLANK('Ingest Template'!N164),"", 'Ingest Template'!N164&amp;"|DAR"),CHAR(10), IF(ISBLANK('Ingest Template'!O164),"", 'Ingest Template'!O164&amp;"|DAR"),CHAR(10), IF(ISBLANK('Ingest Template'!P164),"", 'Ingest Template'!P164&amp;"|DAR"))),(CONCATENATE(IF(ISBLANK('Ingest Template'!N164),"", 'Ingest Template'!N164&amp;"|TV Ops"),CHAR(10), IF(ISBLANK('Ingest Template'!O164),"", 'Ingest Template'!O164&amp;"|TV Ops"),CHAR(10), IF(ISBLANK('Ingest Template'!P164),"", 'Ingest Template'!P164&amp;"|TV Ops"))))</f>
        <v>
</v>
      </c>
      <c r="AH164" s="35"/>
      <c r="AI164" s="35"/>
      <c r="AJ164" s="117" t="str">
        <f>if('Ingest Template'!A164="Standard",(IF(OR('Ingest Template'!F164 = "Program Type - Special", 'Ingest Template'!F164 = "Program Type - Live Event"),'Ingest Template'!M164&amp; "|DAR|DAR|"&amp;TEXT('Ingest Template'!C164-3, "yyyy-mm-dd")&amp;"|"&amp;TEXT('Ingest Template'!C164+3, "yyyy-mm-dd"),'Ingest Template'!M164&amp; "|DAR|DAR|2021-01-01")),(IF(OR('Ingest Template'!F164 = "Program Type - Special", 'Ingest Template'!F164 = "Program Type - Live Event"),'Ingest Template'!M164&amp; "|Operations - Core Title|Operations - Core Title|"&amp;TEXT('Ingest Template'!C164-3, "yyyy-mm-dd")&amp;"|"&amp;TEXT('Ingest Template'!C164+3, "yyyy-mm-dd"),'Ingest Template'!M164&amp; "|Operations - Core Title|Operations - Core Title")))</f>
        <v>|Operations - Core Title|Operations - Core Title</v>
      </c>
      <c r="AK164" s="35"/>
      <c r="AL164" s="117" t="str">
        <f>if('Ingest Template'!A164="Standard",(IF(OR('Ingest Template'!F164 = "Program Type - Special", 'Ingest Template'!F164 = "Program Type - Live Event"),'Ingest Template'!Q164&amp;"|"&amp;TEXT('Ingest Template'!C164-3, "yyyy-mm-dd")&amp;"|"&amp;TEXT('Ingest Template'!C164+3, "yyyy-mm-dd"),'Ingest Template'!Q164&amp; "|2021-01-01")),(IF(OR('Ingest Template'!F164 = "Program Type - Special", 'Ingest Template'!F164 = "Program Type - Live Event"),'Ingest Template'!Q164&amp; "|"&amp;TEXT('Ingest Template'!C164-3, "yyyy-mm-dd")&amp;"|"&amp;TEXT('Ingest Template'!C164+3, "yyyy-mm-dd"),'Ingest Template'!Q164)))</f>
        <v/>
      </c>
      <c r="AM164" s="35" t="str">
        <f>'Ingest Template'!AC164</f>
        <v/>
      </c>
    </row>
    <row r="165">
      <c r="A165" s="15"/>
      <c r="B165" s="22" t="str">
        <f>'Ingest Template'!C165&amp;IF('Ingest Template'!A165 = "Standard", " - DAR","")</f>
        <v/>
      </c>
      <c r="C165" s="22" t="s">
        <v>83</v>
      </c>
      <c r="D165" s="22" t="str">
        <f t="array" ref="D165">CONCATENATE(INDEX(DropdownLists!$H$2:$H$11,MATCH(1,COUNTIF('Ingest Template'!E165,"*"&amp;DropdownLists!$I$2:$I$11&amp;"*"),0)),CHAR(10),'Ingest Template'!F165,CHAR(10),'Ingest Template'!G165,CHAR(10),VLOOKUP('Ingest Template'!D165,DropdownLists!C:D,2,FALSE))</f>
        <v>#N/A</v>
      </c>
      <c r="E165" s="22" t="str">
        <f>CONCATENATE('Ingest Template'!H165,CHAR(10),'Ingest Template'!I165,CHAR(10),'Ingest Template'!J165,CHAR(10))</f>
        <v>
</v>
      </c>
      <c r="F165" s="35" t="str">
        <f t="array" ref="F165">INDEX(DropdownLists!$O$2:$O$36,MATCH(1,COUNTIF(E165,"*"&amp;DropdownLists!$N$2:$N$36&amp;"*"),0))</f>
        <v/>
      </c>
      <c r="G165" s="35"/>
      <c r="H165" s="22" t="str">
        <f t="array" ref="H165">INDEX(DropdownLists!$E$2:$E$276,MATCH('Ingest Template'!D165,DropdownLists!$C$2:$C$276,0))</f>
        <v>#N/A</v>
      </c>
      <c r="I165" s="22"/>
      <c r="J165" s="22" t="str">
        <f t="array" ref="J165">iF('Ingest Template'!A165="Standard","Pristine Brand",INDEX(DropdownLists!$B$2:$B$246,MATCH('Ingest Template'!D165,DropdownLists!$C$2:$C$246,0)))</f>
        <v>#N/A</v>
      </c>
      <c r="K165" s="22" t="str">
        <f>iF('Ingest Template'!A165="Standard",'Ingest Template'!K165&amp;CHAR(10)&amp;'Ingest Template'!L165,"Competitive View")</f>
        <v>Competitive View</v>
      </c>
      <c r="L165" s="22" t="s">
        <v>95</v>
      </c>
      <c r="M165" s="45" t="str">
        <f>'Ingest Template'!B165</f>
        <v/>
      </c>
      <c r="N165" s="35"/>
      <c r="O165" s="35"/>
      <c r="P165" s="35"/>
      <c r="Q165" s="35"/>
      <c r="R165" s="35" t="str">
        <f>'Ingest Template'!D165</f>
        <v/>
      </c>
      <c r="S165" s="22" t="s">
        <v>101</v>
      </c>
      <c r="T165" s="35" t="str">
        <f>'Ingest Template'!V165</f>
        <v/>
      </c>
      <c r="U165" s="35" t="str">
        <f>'Ingest Template'!W165</f>
        <v/>
      </c>
      <c r="V165" s="35" t="str">
        <f>LOWER(SUBSTITUTE(SUBSTITUTE(SUBSTITUTE(SUBSTITUTE(SUBSTITUTE('Ingest Template'!X165,"https:",""),"www.",""),"/",""),"?hl=en",""),"instagram.com",""))</f>
        <v/>
      </c>
      <c r="W165" s="74" t="str">
        <f t="array" ref="W165">IF(
'Ingest Template'!Y165="",
SUBSTITUTE(
INDEX(DropdownLists!$F$2:$F$277,MATCH('Ingest Template'!D165,DropdownLists!$C$2:$C$277,0)),
CHAR(10),
"|"&amp;'Ingest Template'!C165&amp;CHAR(10)
)&amp;"|"&amp;'Ingest Template'!C165,
SUBSTITUTE(
INDEX(DropdownLists!$F$2:$F$277,MATCH('Ingest Template'!D165,DropdownLists!$C$2:$C$277,0)),
CHAR(10),
"|"&amp;'Ingest Template'!C165&amp;CHAR(10)
)&amp;"|"&amp;'Ingest Template'!C165&amp;CHAR(10)&amp;'Ingest Template'!Y165
)</f>
        <v>#N/A</v>
      </c>
      <c r="X165" s="74" t="str">
        <f>'Ingest Template'!Z165</f>
        <v/>
      </c>
      <c r="Y165" s="35" t="str">
        <f>SUBSTITUTE(SUBSTITUTE(SUBSTITUTE('Ingest Template'!AA165,"http:",""),"https:",""),"/","")</f>
        <v/>
      </c>
      <c r="Z165" s="35" t="str">
        <f t="array" ref="Z165">IF('Ingest Template'!A165="Standard",(IF(ISBLANK('Ingest Template'!AB165),"", 'Ingest Template'!AB165&amp;"|DAR")),(IF(ISBLANK('Ingest Template'!AB165),"", 'Ingest Template'!AB165&amp;"|TV Ops")))</f>
        <v/>
      </c>
      <c r="AA165" s="35"/>
      <c r="AB165" s="35" t="str">
        <f>'Ingest Template'!R165</f>
        <v/>
      </c>
      <c r="AC165" s="35" t="str">
        <f>'Ingest Template'!T165</f>
        <v/>
      </c>
      <c r="AD165" s="35" t="str">
        <f>'Ingest Template'!S165</f>
        <v/>
      </c>
      <c r="AE165" s="35" t="str">
        <f>'Ingest Template'!U165</f>
        <v/>
      </c>
      <c r="AF165" s="22"/>
      <c r="AG165" s="35" t="str">
        <f t="array" ref="AG165">IF('Ingest Template'!A165="Standard",(CONCATENATE(IF(ISBLANK('Ingest Template'!N165),"", 'Ingest Template'!N165&amp;"|DAR"),CHAR(10), IF(ISBLANK('Ingest Template'!O165),"", 'Ingest Template'!O165&amp;"|DAR"),CHAR(10), IF(ISBLANK('Ingest Template'!P165),"", 'Ingest Template'!P165&amp;"|DAR"))),(CONCATENATE(IF(ISBLANK('Ingest Template'!N165),"", 'Ingest Template'!N165&amp;"|TV Ops"),CHAR(10), IF(ISBLANK('Ingest Template'!O165),"", 'Ingest Template'!O165&amp;"|TV Ops"),CHAR(10), IF(ISBLANK('Ingest Template'!P165),"", 'Ingest Template'!P165&amp;"|TV Ops"))))</f>
        <v>
</v>
      </c>
      <c r="AH165" s="35"/>
      <c r="AI165" s="35"/>
      <c r="AJ165" s="117" t="str">
        <f>if('Ingest Template'!A165="Standard",(IF(OR('Ingest Template'!F165 = "Program Type - Special", 'Ingest Template'!F165 = "Program Type - Live Event"),'Ingest Template'!M165&amp; "|DAR|DAR|"&amp;TEXT('Ingest Template'!C165-3, "yyyy-mm-dd")&amp;"|"&amp;TEXT('Ingest Template'!C165+3, "yyyy-mm-dd"),'Ingest Template'!M165&amp; "|DAR|DAR|2021-01-01")),(IF(OR('Ingest Template'!F165 = "Program Type - Special", 'Ingest Template'!F165 = "Program Type - Live Event"),'Ingest Template'!M165&amp; "|Operations - Core Title|Operations - Core Title|"&amp;TEXT('Ingest Template'!C165-3, "yyyy-mm-dd")&amp;"|"&amp;TEXT('Ingest Template'!C165+3, "yyyy-mm-dd"),'Ingest Template'!M165&amp; "|Operations - Core Title|Operations - Core Title")))</f>
        <v>|Operations - Core Title|Operations - Core Title</v>
      </c>
      <c r="AK165" s="35"/>
      <c r="AL165" s="117" t="str">
        <f>if('Ingest Template'!A165="Standard",(IF(OR('Ingest Template'!F165 = "Program Type - Special", 'Ingest Template'!F165 = "Program Type - Live Event"),'Ingest Template'!Q165&amp;"|"&amp;TEXT('Ingest Template'!C165-3, "yyyy-mm-dd")&amp;"|"&amp;TEXT('Ingest Template'!C165+3, "yyyy-mm-dd"),'Ingest Template'!Q165&amp; "|2021-01-01")),(IF(OR('Ingest Template'!F165 = "Program Type - Special", 'Ingest Template'!F165 = "Program Type - Live Event"),'Ingest Template'!Q165&amp; "|"&amp;TEXT('Ingest Template'!C165-3, "yyyy-mm-dd")&amp;"|"&amp;TEXT('Ingest Template'!C165+3, "yyyy-mm-dd"),'Ingest Template'!Q165)))</f>
        <v/>
      </c>
      <c r="AM165" s="35" t="str">
        <f>'Ingest Template'!AC165</f>
        <v/>
      </c>
    </row>
    <row r="166">
      <c r="A166" s="15"/>
      <c r="B166" s="22" t="str">
        <f>'Ingest Template'!C166&amp;IF('Ingest Template'!A166 = "Standard", " - DAR","")</f>
        <v/>
      </c>
      <c r="C166" s="22" t="s">
        <v>83</v>
      </c>
      <c r="D166" s="22" t="str">
        <f t="array" ref="D166">CONCATENATE(INDEX(DropdownLists!$H$2:$H$11,MATCH(1,COUNTIF('Ingest Template'!E166,"*"&amp;DropdownLists!$I$2:$I$11&amp;"*"),0)),CHAR(10),'Ingest Template'!F166,CHAR(10),'Ingest Template'!G166,CHAR(10),VLOOKUP('Ingest Template'!D166,DropdownLists!C:D,2,FALSE))</f>
        <v>#N/A</v>
      </c>
      <c r="E166" s="22" t="str">
        <f>CONCATENATE('Ingest Template'!H166,CHAR(10),'Ingest Template'!I166,CHAR(10),'Ingest Template'!J166,CHAR(10))</f>
        <v>
</v>
      </c>
      <c r="F166" s="35" t="str">
        <f t="array" ref="F166">INDEX(DropdownLists!$O$2:$O$36,MATCH(1,COUNTIF(E166,"*"&amp;DropdownLists!$N$2:$N$36&amp;"*"),0))</f>
        <v/>
      </c>
      <c r="G166" s="35"/>
      <c r="H166" s="22" t="str">
        <f t="array" ref="H166">INDEX(DropdownLists!$E$2:$E$276,MATCH('Ingest Template'!D166,DropdownLists!$C$2:$C$276,0))</f>
        <v>#N/A</v>
      </c>
      <c r="I166" s="22"/>
      <c r="J166" s="22" t="str">
        <f t="array" ref="J166">iF('Ingest Template'!A166="Standard","Pristine Brand",INDEX(DropdownLists!$B$2:$B$246,MATCH('Ingest Template'!D166,DropdownLists!$C$2:$C$246,0)))</f>
        <v>#N/A</v>
      </c>
      <c r="K166" s="22" t="str">
        <f>iF('Ingest Template'!A166="Standard",'Ingest Template'!K166&amp;CHAR(10)&amp;'Ingest Template'!L166,"Competitive View")</f>
        <v>Competitive View</v>
      </c>
      <c r="L166" s="22" t="s">
        <v>95</v>
      </c>
      <c r="M166" s="45" t="str">
        <f>'Ingest Template'!B166</f>
        <v/>
      </c>
      <c r="N166" s="35"/>
      <c r="O166" s="35"/>
      <c r="P166" s="35"/>
      <c r="Q166" s="35"/>
      <c r="R166" s="35" t="str">
        <f>'Ingest Template'!D166</f>
        <v/>
      </c>
      <c r="S166" s="22" t="s">
        <v>101</v>
      </c>
      <c r="T166" s="35" t="str">
        <f>'Ingest Template'!V166</f>
        <v/>
      </c>
      <c r="U166" s="35" t="str">
        <f>'Ingest Template'!W166</f>
        <v/>
      </c>
      <c r="V166" s="35" t="str">
        <f>LOWER(SUBSTITUTE(SUBSTITUTE(SUBSTITUTE(SUBSTITUTE(SUBSTITUTE('Ingest Template'!X166,"https:",""),"www.",""),"/",""),"?hl=en",""),"instagram.com",""))</f>
        <v/>
      </c>
      <c r="W166" s="74" t="str">
        <f t="array" ref="W166">IF(
'Ingest Template'!Y166="",
SUBSTITUTE(
INDEX(DropdownLists!$F$2:$F$277,MATCH('Ingest Template'!D166,DropdownLists!$C$2:$C$277,0)),
CHAR(10),
"|"&amp;'Ingest Template'!C166&amp;CHAR(10)
)&amp;"|"&amp;'Ingest Template'!C166,
SUBSTITUTE(
INDEX(DropdownLists!$F$2:$F$277,MATCH('Ingest Template'!D166,DropdownLists!$C$2:$C$277,0)),
CHAR(10),
"|"&amp;'Ingest Template'!C166&amp;CHAR(10)
)&amp;"|"&amp;'Ingest Template'!C166&amp;CHAR(10)&amp;'Ingest Template'!Y166
)</f>
        <v>#N/A</v>
      </c>
      <c r="X166" s="74" t="str">
        <f>'Ingest Template'!Z166</f>
        <v/>
      </c>
      <c r="Y166" s="35" t="str">
        <f>SUBSTITUTE(SUBSTITUTE(SUBSTITUTE('Ingest Template'!AA166,"http:",""),"https:",""),"/","")</f>
        <v/>
      </c>
      <c r="Z166" s="35" t="str">
        <f t="array" ref="Z166">IF('Ingest Template'!A166="Standard",(IF(ISBLANK('Ingest Template'!AB166),"", 'Ingest Template'!AB166&amp;"|DAR")),(IF(ISBLANK('Ingest Template'!AB166),"", 'Ingest Template'!AB166&amp;"|TV Ops")))</f>
        <v/>
      </c>
      <c r="AA166" s="35"/>
      <c r="AB166" s="35" t="str">
        <f>'Ingest Template'!R166</f>
        <v/>
      </c>
      <c r="AC166" s="35" t="str">
        <f>'Ingest Template'!T166</f>
        <v/>
      </c>
      <c r="AD166" s="35" t="str">
        <f>'Ingest Template'!S166</f>
        <v/>
      </c>
      <c r="AE166" s="35" t="str">
        <f>'Ingest Template'!U166</f>
        <v/>
      </c>
      <c r="AF166" s="22"/>
      <c r="AG166" s="35" t="str">
        <f t="array" ref="AG166">IF('Ingest Template'!A166="Standard",(CONCATENATE(IF(ISBLANK('Ingest Template'!N166),"", 'Ingest Template'!N166&amp;"|DAR"),CHAR(10), IF(ISBLANK('Ingest Template'!O166),"", 'Ingest Template'!O166&amp;"|DAR"),CHAR(10), IF(ISBLANK('Ingest Template'!P166),"", 'Ingest Template'!P166&amp;"|DAR"))),(CONCATENATE(IF(ISBLANK('Ingest Template'!N166),"", 'Ingest Template'!N166&amp;"|TV Ops"),CHAR(10), IF(ISBLANK('Ingest Template'!O166),"", 'Ingest Template'!O166&amp;"|TV Ops"),CHAR(10), IF(ISBLANK('Ingest Template'!P166),"", 'Ingest Template'!P166&amp;"|TV Ops"))))</f>
        <v>
</v>
      </c>
      <c r="AH166" s="35"/>
      <c r="AI166" s="35"/>
      <c r="AJ166" s="117" t="str">
        <f>if('Ingest Template'!A166="Standard",(IF(OR('Ingest Template'!F166 = "Program Type - Special", 'Ingest Template'!F166 = "Program Type - Live Event"),'Ingest Template'!M166&amp; "|DAR|DAR|"&amp;TEXT('Ingest Template'!C166-3, "yyyy-mm-dd")&amp;"|"&amp;TEXT('Ingest Template'!C166+3, "yyyy-mm-dd"),'Ingest Template'!M166&amp; "|DAR|DAR|2021-01-01")),(IF(OR('Ingest Template'!F166 = "Program Type - Special", 'Ingest Template'!F166 = "Program Type - Live Event"),'Ingest Template'!M166&amp; "|Operations - Core Title|Operations - Core Title|"&amp;TEXT('Ingest Template'!C166-3, "yyyy-mm-dd")&amp;"|"&amp;TEXT('Ingest Template'!C166+3, "yyyy-mm-dd"),'Ingest Template'!M166&amp; "|Operations - Core Title|Operations - Core Title")))</f>
        <v>|Operations - Core Title|Operations - Core Title</v>
      </c>
      <c r="AK166" s="35"/>
      <c r="AL166" s="117" t="str">
        <f>if('Ingest Template'!A166="Standard",(IF(OR('Ingest Template'!F166 = "Program Type - Special", 'Ingest Template'!F166 = "Program Type - Live Event"),'Ingest Template'!Q166&amp;"|"&amp;TEXT('Ingest Template'!C166-3, "yyyy-mm-dd")&amp;"|"&amp;TEXT('Ingest Template'!C166+3, "yyyy-mm-dd"),'Ingest Template'!Q166&amp; "|2021-01-01")),(IF(OR('Ingest Template'!F166 = "Program Type - Special", 'Ingest Template'!F166 = "Program Type - Live Event"),'Ingest Template'!Q166&amp; "|"&amp;TEXT('Ingest Template'!C166-3, "yyyy-mm-dd")&amp;"|"&amp;TEXT('Ingest Template'!C166+3, "yyyy-mm-dd"),'Ingest Template'!Q166)))</f>
        <v/>
      </c>
      <c r="AM166" s="35" t="str">
        <f>'Ingest Template'!AC166</f>
        <v/>
      </c>
    </row>
    <row r="167">
      <c r="A167" s="15"/>
      <c r="B167" s="22" t="str">
        <f>'Ingest Template'!C167&amp;IF('Ingest Template'!A167 = "Standard", " - DAR","")</f>
        <v/>
      </c>
      <c r="C167" s="22" t="s">
        <v>83</v>
      </c>
      <c r="D167" s="22" t="str">
        <f t="array" ref="D167">CONCATENATE(INDEX(DropdownLists!$H$2:$H$11,MATCH(1,COUNTIF('Ingest Template'!E167,"*"&amp;DropdownLists!$I$2:$I$11&amp;"*"),0)),CHAR(10),'Ingest Template'!F167,CHAR(10),'Ingest Template'!G167,CHAR(10),VLOOKUP('Ingest Template'!D167,DropdownLists!C:D,2,FALSE))</f>
        <v>#N/A</v>
      </c>
      <c r="E167" s="22" t="str">
        <f>CONCATENATE('Ingest Template'!H167,CHAR(10),'Ingest Template'!I167,CHAR(10),'Ingest Template'!J167,CHAR(10))</f>
        <v>
</v>
      </c>
      <c r="F167" s="35" t="str">
        <f t="array" ref="F167">INDEX(DropdownLists!$O$2:$O$36,MATCH(1,COUNTIF(E167,"*"&amp;DropdownLists!$N$2:$N$36&amp;"*"),0))</f>
        <v/>
      </c>
      <c r="G167" s="35"/>
      <c r="H167" s="22" t="str">
        <f t="array" ref="H167">INDEX(DropdownLists!$E$2:$E$276,MATCH('Ingest Template'!D167,DropdownLists!$C$2:$C$276,0))</f>
        <v>#N/A</v>
      </c>
      <c r="I167" s="22"/>
      <c r="J167" s="22" t="str">
        <f t="array" ref="J167">iF('Ingest Template'!A167="Standard","Pristine Brand",INDEX(DropdownLists!$B$2:$B$246,MATCH('Ingest Template'!D167,DropdownLists!$C$2:$C$246,0)))</f>
        <v>#N/A</v>
      </c>
      <c r="K167" s="22" t="str">
        <f>iF('Ingest Template'!A167="Standard",'Ingest Template'!K167&amp;CHAR(10)&amp;'Ingest Template'!L167,"Competitive View")</f>
        <v>Competitive View</v>
      </c>
      <c r="L167" s="22" t="s">
        <v>95</v>
      </c>
      <c r="M167" s="45" t="str">
        <f>'Ingest Template'!B167</f>
        <v/>
      </c>
      <c r="N167" s="35"/>
      <c r="O167" s="35"/>
      <c r="P167" s="35"/>
      <c r="Q167" s="35"/>
      <c r="R167" s="35" t="str">
        <f>'Ingest Template'!D167</f>
        <v/>
      </c>
      <c r="S167" s="22" t="s">
        <v>101</v>
      </c>
      <c r="T167" s="35" t="str">
        <f>'Ingest Template'!V167</f>
        <v/>
      </c>
      <c r="U167" s="35" t="str">
        <f>'Ingest Template'!W167</f>
        <v/>
      </c>
      <c r="V167" s="35" t="str">
        <f>LOWER(SUBSTITUTE(SUBSTITUTE(SUBSTITUTE(SUBSTITUTE(SUBSTITUTE('Ingest Template'!X167,"https:",""),"www.",""),"/",""),"?hl=en",""),"instagram.com",""))</f>
        <v/>
      </c>
      <c r="W167" s="74" t="str">
        <f t="array" ref="W167">IF(
'Ingest Template'!Y167="",
SUBSTITUTE(
INDEX(DropdownLists!$F$2:$F$277,MATCH('Ingest Template'!D167,DropdownLists!$C$2:$C$277,0)),
CHAR(10),
"|"&amp;'Ingest Template'!C167&amp;CHAR(10)
)&amp;"|"&amp;'Ingest Template'!C167,
SUBSTITUTE(
INDEX(DropdownLists!$F$2:$F$277,MATCH('Ingest Template'!D167,DropdownLists!$C$2:$C$277,0)),
CHAR(10),
"|"&amp;'Ingest Template'!C167&amp;CHAR(10)
)&amp;"|"&amp;'Ingest Template'!C167&amp;CHAR(10)&amp;'Ingest Template'!Y167
)</f>
        <v>#N/A</v>
      </c>
      <c r="X167" s="74" t="str">
        <f>'Ingest Template'!Z167</f>
        <v/>
      </c>
      <c r="Y167" s="35" t="str">
        <f>SUBSTITUTE(SUBSTITUTE(SUBSTITUTE('Ingest Template'!AA167,"http:",""),"https:",""),"/","")</f>
        <v/>
      </c>
      <c r="Z167" s="35" t="str">
        <f t="array" ref="Z167">IF('Ingest Template'!A167="Standard",(IF(ISBLANK('Ingest Template'!AB167),"", 'Ingest Template'!AB167&amp;"|DAR")),(IF(ISBLANK('Ingest Template'!AB167),"", 'Ingest Template'!AB167&amp;"|TV Ops")))</f>
        <v/>
      </c>
      <c r="AA167" s="35"/>
      <c r="AB167" s="35" t="str">
        <f>'Ingest Template'!R167</f>
        <v/>
      </c>
      <c r="AC167" s="35" t="str">
        <f>'Ingest Template'!T167</f>
        <v/>
      </c>
      <c r="AD167" s="35" t="str">
        <f>'Ingest Template'!S167</f>
        <v/>
      </c>
      <c r="AE167" s="35" t="str">
        <f>'Ingest Template'!U167</f>
        <v/>
      </c>
      <c r="AF167" s="22"/>
      <c r="AG167" s="35" t="str">
        <f t="array" ref="AG167">IF('Ingest Template'!A167="Standard",(CONCATENATE(IF(ISBLANK('Ingest Template'!N167),"", 'Ingest Template'!N167&amp;"|DAR"),CHAR(10), IF(ISBLANK('Ingest Template'!O167),"", 'Ingest Template'!O167&amp;"|DAR"),CHAR(10), IF(ISBLANK('Ingest Template'!P167),"", 'Ingest Template'!P167&amp;"|DAR"))),(CONCATENATE(IF(ISBLANK('Ingest Template'!N167),"", 'Ingest Template'!N167&amp;"|TV Ops"),CHAR(10), IF(ISBLANK('Ingest Template'!O167),"", 'Ingest Template'!O167&amp;"|TV Ops"),CHAR(10), IF(ISBLANK('Ingest Template'!P167),"", 'Ingest Template'!P167&amp;"|TV Ops"))))</f>
        <v>
</v>
      </c>
      <c r="AH167" s="35"/>
      <c r="AI167" s="35"/>
      <c r="AJ167" s="117" t="str">
        <f>if('Ingest Template'!A167="Standard",(IF(OR('Ingest Template'!F167 = "Program Type - Special", 'Ingest Template'!F167 = "Program Type - Live Event"),'Ingest Template'!M167&amp; "|DAR|DAR|"&amp;TEXT('Ingest Template'!C167-3, "yyyy-mm-dd")&amp;"|"&amp;TEXT('Ingest Template'!C167+3, "yyyy-mm-dd"),'Ingest Template'!M167&amp; "|DAR|DAR|2021-01-01")),(IF(OR('Ingest Template'!F167 = "Program Type - Special", 'Ingest Template'!F167 = "Program Type - Live Event"),'Ingest Template'!M167&amp; "|Operations - Core Title|Operations - Core Title|"&amp;TEXT('Ingest Template'!C167-3, "yyyy-mm-dd")&amp;"|"&amp;TEXT('Ingest Template'!C167+3, "yyyy-mm-dd"),'Ingest Template'!M167&amp; "|Operations - Core Title|Operations - Core Title")))</f>
        <v>|Operations - Core Title|Operations - Core Title</v>
      </c>
      <c r="AK167" s="35"/>
      <c r="AL167" s="117" t="str">
        <f>if('Ingest Template'!A167="Standard",(IF(OR('Ingest Template'!F167 = "Program Type - Special", 'Ingest Template'!F167 = "Program Type - Live Event"),'Ingest Template'!Q167&amp;"|"&amp;TEXT('Ingest Template'!C167-3, "yyyy-mm-dd")&amp;"|"&amp;TEXT('Ingest Template'!C167+3, "yyyy-mm-dd"),'Ingest Template'!Q167&amp; "|2021-01-01")),(IF(OR('Ingest Template'!F167 = "Program Type - Special", 'Ingest Template'!F167 = "Program Type - Live Event"),'Ingest Template'!Q167&amp; "|"&amp;TEXT('Ingest Template'!C167-3, "yyyy-mm-dd")&amp;"|"&amp;TEXT('Ingest Template'!C167+3, "yyyy-mm-dd"),'Ingest Template'!Q167)))</f>
        <v/>
      </c>
      <c r="AM167" s="35" t="str">
        <f>'Ingest Template'!AC167</f>
        <v/>
      </c>
    </row>
    <row r="168">
      <c r="A168" s="15"/>
      <c r="B168" s="22" t="str">
        <f>'Ingest Template'!C168&amp;IF('Ingest Template'!A168 = "Standard", " - DAR","")</f>
        <v/>
      </c>
      <c r="C168" s="22" t="s">
        <v>83</v>
      </c>
      <c r="D168" s="22" t="str">
        <f t="array" ref="D168">CONCATENATE(INDEX(DropdownLists!$H$2:$H$11,MATCH(1,COUNTIF('Ingest Template'!E168,"*"&amp;DropdownLists!$I$2:$I$11&amp;"*"),0)),CHAR(10),'Ingest Template'!F168,CHAR(10),'Ingest Template'!G168,CHAR(10),VLOOKUP('Ingest Template'!D168,DropdownLists!C:D,2,FALSE))</f>
        <v>#N/A</v>
      </c>
      <c r="E168" s="22" t="str">
        <f>CONCATENATE('Ingest Template'!H168,CHAR(10),'Ingest Template'!I168,CHAR(10),'Ingest Template'!J168,CHAR(10))</f>
        <v>
</v>
      </c>
      <c r="F168" s="35" t="str">
        <f t="array" ref="F168">INDEX(DropdownLists!$O$2:$O$36,MATCH(1,COUNTIF(E168,"*"&amp;DropdownLists!$N$2:$N$36&amp;"*"),0))</f>
        <v/>
      </c>
      <c r="G168" s="35"/>
      <c r="H168" s="22" t="str">
        <f t="array" ref="H168">INDEX(DropdownLists!$E$2:$E$276,MATCH('Ingest Template'!D168,DropdownLists!$C$2:$C$276,0))</f>
        <v>#N/A</v>
      </c>
      <c r="I168" s="22"/>
      <c r="J168" s="22" t="str">
        <f t="array" ref="J168">iF('Ingest Template'!A168="Standard","Pristine Brand",INDEX(DropdownLists!$B$2:$B$246,MATCH('Ingest Template'!D168,DropdownLists!$C$2:$C$246,0)))</f>
        <v>#N/A</v>
      </c>
      <c r="K168" s="22" t="str">
        <f>iF('Ingest Template'!A168="Standard",'Ingest Template'!K168&amp;CHAR(10)&amp;'Ingest Template'!L168,"Competitive View")</f>
        <v>Competitive View</v>
      </c>
      <c r="L168" s="22" t="s">
        <v>95</v>
      </c>
      <c r="M168" s="45" t="str">
        <f>'Ingest Template'!B168</f>
        <v/>
      </c>
      <c r="N168" s="35"/>
      <c r="O168" s="35"/>
      <c r="P168" s="35"/>
      <c r="Q168" s="35"/>
      <c r="R168" s="35" t="str">
        <f>'Ingest Template'!D168</f>
        <v/>
      </c>
      <c r="S168" s="22" t="s">
        <v>101</v>
      </c>
      <c r="T168" s="35" t="str">
        <f>'Ingest Template'!V168</f>
        <v/>
      </c>
      <c r="U168" s="35" t="str">
        <f>'Ingest Template'!W168</f>
        <v/>
      </c>
      <c r="V168" s="35" t="str">
        <f>LOWER(SUBSTITUTE(SUBSTITUTE(SUBSTITUTE(SUBSTITUTE(SUBSTITUTE('Ingest Template'!X168,"https:",""),"www.",""),"/",""),"?hl=en",""),"instagram.com",""))</f>
        <v/>
      </c>
      <c r="W168" s="74" t="str">
        <f t="array" ref="W168">IF(
'Ingest Template'!Y168="",
SUBSTITUTE(
INDEX(DropdownLists!$F$2:$F$277,MATCH('Ingest Template'!D168,DropdownLists!$C$2:$C$277,0)),
CHAR(10),
"|"&amp;'Ingest Template'!C168&amp;CHAR(10)
)&amp;"|"&amp;'Ingest Template'!C168,
SUBSTITUTE(
INDEX(DropdownLists!$F$2:$F$277,MATCH('Ingest Template'!D168,DropdownLists!$C$2:$C$277,0)),
CHAR(10),
"|"&amp;'Ingest Template'!C168&amp;CHAR(10)
)&amp;"|"&amp;'Ingest Template'!C168&amp;CHAR(10)&amp;'Ingest Template'!Y168
)</f>
        <v>#N/A</v>
      </c>
      <c r="X168" s="74" t="str">
        <f>'Ingest Template'!Z168</f>
        <v/>
      </c>
      <c r="Y168" s="35" t="str">
        <f>SUBSTITUTE(SUBSTITUTE(SUBSTITUTE('Ingest Template'!AA168,"http:",""),"https:",""),"/","")</f>
        <v/>
      </c>
      <c r="Z168" s="35" t="str">
        <f t="array" ref="Z168">IF('Ingest Template'!A168="Standard",(IF(ISBLANK('Ingest Template'!AB168),"", 'Ingest Template'!AB168&amp;"|DAR")),(IF(ISBLANK('Ingest Template'!AB168),"", 'Ingest Template'!AB168&amp;"|TV Ops")))</f>
        <v/>
      </c>
      <c r="AA168" s="35"/>
      <c r="AB168" s="35" t="str">
        <f>'Ingest Template'!R168</f>
        <v/>
      </c>
      <c r="AC168" s="35" t="str">
        <f>'Ingest Template'!T168</f>
        <v/>
      </c>
      <c r="AD168" s="35" t="str">
        <f>'Ingest Template'!S168</f>
        <v/>
      </c>
      <c r="AE168" s="35" t="str">
        <f>'Ingest Template'!U168</f>
        <v/>
      </c>
      <c r="AF168" s="22"/>
      <c r="AG168" s="35" t="str">
        <f t="array" ref="AG168">IF('Ingest Template'!A168="Standard",(CONCATENATE(IF(ISBLANK('Ingest Template'!N168),"", 'Ingest Template'!N168&amp;"|DAR"),CHAR(10), IF(ISBLANK('Ingest Template'!O168),"", 'Ingest Template'!O168&amp;"|DAR"),CHAR(10), IF(ISBLANK('Ingest Template'!P168),"", 'Ingest Template'!P168&amp;"|DAR"))),(CONCATENATE(IF(ISBLANK('Ingest Template'!N168),"", 'Ingest Template'!N168&amp;"|TV Ops"),CHAR(10), IF(ISBLANK('Ingest Template'!O168),"", 'Ingest Template'!O168&amp;"|TV Ops"),CHAR(10), IF(ISBLANK('Ingest Template'!P168),"", 'Ingest Template'!P168&amp;"|TV Ops"))))</f>
        <v>
</v>
      </c>
      <c r="AH168" s="35"/>
      <c r="AI168" s="35"/>
      <c r="AJ168" s="117" t="str">
        <f>if('Ingest Template'!A168="Standard",(IF(OR('Ingest Template'!F168 = "Program Type - Special", 'Ingest Template'!F168 = "Program Type - Live Event"),'Ingest Template'!M168&amp; "|DAR|DAR|"&amp;TEXT('Ingest Template'!C168-3, "yyyy-mm-dd")&amp;"|"&amp;TEXT('Ingest Template'!C168+3, "yyyy-mm-dd"),'Ingest Template'!M168&amp; "|DAR|DAR|2021-01-01")),(IF(OR('Ingest Template'!F168 = "Program Type - Special", 'Ingest Template'!F168 = "Program Type - Live Event"),'Ingest Template'!M168&amp; "|Operations - Core Title|Operations - Core Title|"&amp;TEXT('Ingest Template'!C168-3, "yyyy-mm-dd")&amp;"|"&amp;TEXT('Ingest Template'!C168+3, "yyyy-mm-dd"),'Ingest Template'!M168&amp; "|Operations - Core Title|Operations - Core Title")))</f>
        <v>|Operations - Core Title|Operations - Core Title</v>
      </c>
      <c r="AK168" s="35"/>
      <c r="AL168" s="117" t="str">
        <f>if('Ingest Template'!A168="Standard",(IF(OR('Ingest Template'!F168 = "Program Type - Special", 'Ingest Template'!F168 = "Program Type - Live Event"),'Ingest Template'!Q168&amp;"|"&amp;TEXT('Ingest Template'!C168-3, "yyyy-mm-dd")&amp;"|"&amp;TEXT('Ingest Template'!C168+3, "yyyy-mm-dd"),'Ingest Template'!Q168&amp; "|2021-01-01")),(IF(OR('Ingest Template'!F168 = "Program Type - Special", 'Ingest Template'!F168 = "Program Type - Live Event"),'Ingest Template'!Q168&amp; "|"&amp;TEXT('Ingest Template'!C168-3, "yyyy-mm-dd")&amp;"|"&amp;TEXT('Ingest Template'!C168+3, "yyyy-mm-dd"),'Ingest Template'!Q168)))</f>
        <v/>
      </c>
      <c r="AM168" s="35" t="str">
        <f>'Ingest Template'!AC168</f>
        <v/>
      </c>
    </row>
    <row r="169">
      <c r="A169" s="15"/>
      <c r="B169" s="22" t="str">
        <f>'Ingest Template'!C169&amp;IF('Ingest Template'!A169 = "Standard", " - DAR","")</f>
        <v/>
      </c>
      <c r="C169" s="22" t="s">
        <v>83</v>
      </c>
      <c r="D169" s="22" t="str">
        <f t="array" ref="D169">CONCATENATE(INDEX(DropdownLists!$H$2:$H$11,MATCH(1,COUNTIF('Ingest Template'!E169,"*"&amp;DropdownLists!$I$2:$I$11&amp;"*"),0)),CHAR(10),'Ingest Template'!F169,CHAR(10),'Ingest Template'!G169,CHAR(10),VLOOKUP('Ingest Template'!D169,DropdownLists!C:D,2,FALSE))</f>
        <v>#N/A</v>
      </c>
      <c r="E169" s="22" t="str">
        <f>CONCATENATE('Ingest Template'!H169,CHAR(10),'Ingest Template'!I169,CHAR(10),'Ingest Template'!J169,CHAR(10))</f>
        <v>
</v>
      </c>
      <c r="F169" s="35" t="str">
        <f t="array" ref="F169">INDEX(DropdownLists!$O$2:$O$36,MATCH(1,COUNTIF(E169,"*"&amp;DropdownLists!$N$2:$N$36&amp;"*"),0))</f>
        <v/>
      </c>
      <c r="G169" s="35"/>
      <c r="H169" s="22" t="str">
        <f t="array" ref="H169">INDEX(DropdownLists!$E$2:$E$276,MATCH('Ingest Template'!D169,DropdownLists!$C$2:$C$276,0))</f>
        <v>#N/A</v>
      </c>
      <c r="I169" s="22"/>
      <c r="J169" s="22" t="str">
        <f t="array" ref="J169">iF('Ingest Template'!A169="Standard","Pristine Brand",INDEX(DropdownLists!$B$2:$B$246,MATCH('Ingest Template'!D169,DropdownLists!$C$2:$C$246,0)))</f>
        <v>#N/A</v>
      </c>
      <c r="K169" s="22" t="str">
        <f>iF('Ingest Template'!A169="Standard",'Ingest Template'!K169&amp;CHAR(10)&amp;'Ingest Template'!L169,"Competitive View")</f>
        <v>Competitive View</v>
      </c>
      <c r="L169" s="22" t="s">
        <v>95</v>
      </c>
      <c r="M169" s="45" t="str">
        <f>'Ingest Template'!B169</f>
        <v/>
      </c>
      <c r="N169" s="35"/>
      <c r="O169" s="35"/>
      <c r="P169" s="35"/>
      <c r="Q169" s="35"/>
      <c r="R169" s="35" t="str">
        <f>'Ingest Template'!D169</f>
        <v/>
      </c>
      <c r="S169" s="22" t="s">
        <v>101</v>
      </c>
      <c r="T169" s="35" t="str">
        <f>'Ingest Template'!V169</f>
        <v/>
      </c>
      <c r="U169" s="35" t="str">
        <f>'Ingest Template'!W169</f>
        <v/>
      </c>
      <c r="V169" s="35" t="str">
        <f>LOWER(SUBSTITUTE(SUBSTITUTE(SUBSTITUTE(SUBSTITUTE(SUBSTITUTE('Ingest Template'!X169,"https:",""),"www.",""),"/",""),"?hl=en",""),"instagram.com",""))</f>
        <v/>
      </c>
      <c r="W169" s="74" t="str">
        <f t="array" ref="W169">IF(
'Ingest Template'!Y169="",
SUBSTITUTE(
INDEX(DropdownLists!$F$2:$F$277,MATCH('Ingest Template'!D169,DropdownLists!$C$2:$C$277,0)),
CHAR(10),
"|"&amp;'Ingest Template'!C169&amp;CHAR(10)
)&amp;"|"&amp;'Ingest Template'!C169,
SUBSTITUTE(
INDEX(DropdownLists!$F$2:$F$277,MATCH('Ingest Template'!D169,DropdownLists!$C$2:$C$277,0)),
CHAR(10),
"|"&amp;'Ingest Template'!C169&amp;CHAR(10)
)&amp;"|"&amp;'Ingest Template'!C169&amp;CHAR(10)&amp;'Ingest Template'!Y169
)</f>
        <v>#N/A</v>
      </c>
      <c r="X169" s="74" t="str">
        <f>'Ingest Template'!Z169</f>
        <v/>
      </c>
      <c r="Y169" s="35" t="str">
        <f>SUBSTITUTE(SUBSTITUTE(SUBSTITUTE('Ingest Template'!AA169,"http:",""),"https:",""),"/","")</f>
        <v/>
      </c>
      <c r="Z169" s="35" t="str">
        <f t="array" ref="Z169">IF('Ingest Template'!A169="Standard",(IF(ISBLANK('Ingest Template'!AB169),"", 'Ingest Template'!AB169&amp;"|DAR")),(IF(ISBLANK('Ingest Template'!AB169),"", 'Ingest Template'!AB169&amp;"|TV Ops")))</f>
        <v/>
      </c>
      <c r="AA169" s="35"/>
      <c r="AB169" s="35" t="str">
        <f>'Ingest Template'!R169</f>
        <v/>
      </c>
      <c r="AC169" s="35" t="str">
        <f>'Ingest Template'!T169</f>
        <v/>
      </c>
      <c r="AD169" s="35" t="str">
        <f>'Ingest Template'!S169</f>
        <v/>
      </c>
      <c r="AE169" s="35" t="str">
        <f>'Ingest Template'!U169</f>
        <v/>
      </c>
      <c r="AF169" s="22"/>
      <c r="AG169" s="35" t="str">
        <f t="array" ref="AG169">IF('Ingest Template'!A169="Standard",(CONCATENATE(IF(ISBLANK('Ingest Template'!N169),"", 'Ingest Template'!N169&amp;"|DAR"),CHAR(10), IF(ISBLANK('Ingest Template'!O169),"", 'Ingest Template'!O169&amp;"|DAR"),CHAR(10), IF(ISBLANK('Ingest Template'!P169),"", 'Ingest Template'!P169&amp;"|DAR"))),(CONCATENATE(IF(ISBLANK('Ingest Template'!N169),"", 'Ingest Template'!N169&amp;"|TV Ops"),CHAR(10), IF(ISBLANK('Ingest Template'!O169),"", 'Ingest Template'!O169&amp;"|TV Ops"),CHAR(10), IF(ISBLANK('Ingest Template'!P169),"", 'Ingest Template'!P169&amp;"|TV Ops"))))</f>
        <v>
</v>
      </c>
      <c r="AH169" s="35"/>
      <c r="AI169" s="35"/>
      <c r="AJ169" s="117" t="str">
        <f>if('Ingest Template'!A169="Standard",(IF(OR('Ingest Template'!F169 = "Program Type - Special", 'Ingest Template'!F169 = "Program Type - Live Event"),'Ingest Template'!M169&amp; "|DAR|DAR|"&amp;TEXT('Ingest Template'!C169-3, "yyyy-mm-dd")&amp;"|"&amp;TEXT('Ingest Template'!C169+3, "yyyy-mm-dd"),'Ingest Template'!M169&amp; "|DAR|DAR|2021-01-01")),(IF(OR('Ingest Template'!F169 = "Program Type - Special", 'Ingest Template'!F169 = "Program Type - Live Event"),'Ingest Template'!M169&amp; "|Operations - Core Title|Operations - Core Title|"&amp;TEXT('Ingest Template'!C169-3, "yyyy-mm-dd")&amp;"|"&amp;TEXT('Ingest Template'!C169+3, "yyyy-mm-dd"),'Ingest Template'!M169&amp; "|Operations - Core Title|Operations - Core Title")))</f>
        <v>|Operations - Core Title|Operations - Core Title</v>
      </c>
      <c r="AK169" s="35"/>
      <c r="AL169" s="117" t="str">
        <f>if('Ingest Template'!A169="Standard",(IF(OR('Ingest Template'!F169 = "Program Type - Special", 'Ingest Template'!F169 = "Program Type - Live Event"),'Ingest Template'!Q169&amp;"|"&amp;TEXT('Ingest Template'!C169-3, "yyyy-mm-dd")&amp;"|"&amp;TEXT('Ingest Template'!C169+3, "yyyy-mm-dd"),'Ingest Template'!Q169&amp; "|2021-01-01")),(IF(OR('Ingest Template'!F169 = "Program Type - Special", 'Ingest Template'!F169 = "Program Type - Live Event"),'Ingest Template'!Q169&amp; "|"&amp;TEXT('Ingest Template'!C169-3, "yyyy-mm-dd")&amp;"|"&amp;TEXT('Ingest Template'!C169+3, "yyyy-mm-dd"),'Ingest Template'!Q169)))</f>
        <v/>
      </c>
      <c r="AM169" s="35" t="str">
        <f>'Ingest Template'!AC169</f>
        <v/>
      </c>
    </row>
    <row r="170">
      <c r="A170" s="15"/>
      <c r="B170" s="22" t="str">
        <f>'Ingest Template'!C170&amp;IF('Ingest Template'!A170 = "Standard", " - DAR","")</f>
        <v/>
      </c>
      <c r="C170" s="22" t="s">
        <v>83</v>
      </c>
      <c r="D170" s="22" t="str">
        <f t="array" ref="D170">CONCATENATE(INDEX(DropdownLists!$H$2:$H$11,MATCH(1,COUNTIF('Ingest Template'!E170,"*"&amp;DropdownLists!$I$2:$I$11&amp;"*"),0)),CHAR(10),'Ingest Template'!F170,CHAR(10),'Ingest Template'!G170,CHAR(10),VLOOKUP('Ingest Template'!D170,DropdownLists!C:D,2,FALSE))</f>
        <v>#N/A</v>
      </c>
      <c r="E170" s="22" t="str">
        <f>CONCATENATE('Ingest Template'!H170,CHAR(10),'Ingest Template'!I170,CHAR(10),'Ingest Template'!J170,CHAR(10))</f>
        <v>
</v>
      </c>
      <c r="F170" s="35" t="str">
        <f t="array" ref="F170">INDEX(DropdownLists!$O$2:$O$36,MATCH(1,COUNTIF(E170,"*"&amp;DropdownLists!$N$2:$N$36&amp;"*"),0))</f>
        <v/>
      </c>
      <c r="G170" s="35"/>
      <c r="H170" s="22" t="str">
        <f t="array" ref="H170">INDEX(DropdownLists!$E$2:$E$276,MATCH('Ingest Template'!D170,DropdownLists!$C$2:$C$276,0))</f>
        <v>#N/A</v>
      </c>
      <c r="I170" s="22"/>
      <c r="J170" s="22" t="str">
        <f t="array" ref="J170">iF('Ingest Template'!A170="Standard","Pristine Brand",INDEX(DropdownLists!$B$2:$B$246,MATCH('Ingest Template'!D170,DropdownLists!$C$2:$C$246,0)))</f>
        <v>#N/A</v>
      </c>
      <c r="K170" s="22" t="str">
        <f>iF('Ingest Template'!A170="Standard",'Ingest Template'!K170&amp;CHAR(10)&amp;'Ingest Template'!L170,"Competitive View")</f>
        <v>Competitive View</v>
      </c>
      <c r="L170" s="22" t="s">
        <v>95</v>
      </c>
      <c r="M170" s="45" t="str">
        <f>'Ingest Template'!B170</f>
        <v/>
      </c>
      <c r="N170" s="35"/>
      <c r="O170" s="35"/>
      <c r="P170" s="35"/>
      <c r="Q170" s="35"/>
      <c r="R170" s="35" t="str">
        <f>'Ingest Template'!D170</f>
        <v/>
      </c>
      <c r="S170" s="22" t="s">
        <v>101</v>
      </c>
      <c r="T170" s="35" t="str">
        <f>'Ingest Template'!V170</f>
        <v/>
      </c>
      <c r="U170" s="35" t="str">
        <f>'Ingest Template'!W170</f>
        <v/>
      </c>
      <c r="V170" s="35" t="str">
        <f>LOWER(SUBSTITUTE(SUBSTITUTE(SUBSTITUTE(SUBSTITUTE(SUBSTITUTE('Ingest Template'!X170,"https:",""),"www.",""),"/",""),"?hl=en",""),"instagram.com",""))</f>
        <v/>
      </c>
      <c r="W170" s="74" t="str">
        <f t="array" ref="W170">IF(
'Ingest Template'!Y170="",
SUBSTITUTE(
INDEX(DropdownLists!$F$2:$F$277,MATCH('Ingest Template'!D170,DropdownLists!$C$2:$C$277,0)),
CHAR(10),
"|"&amp;'Ingest Template'!C170&amp;CHAR(10)
)&amp;"|"&amp;'Ingest Template'!C170,
SUBSTITUTE(
INDEX(DropdownLists!$F$2:$F$277,MATCH('Ingest Template'!D170,DropdownLists!$C$2:$C$277,0)),
CHAR(10),
"|"&amp;'Ingest Template'!C170&amp;CHAR(10)
)&amp;"|"&amp;'Ingest Template'!C170&amp;CHAR(10)&amp;'Ingest Template'!Y170
)</f>
        <v>#N/A</v>
      </c>
      <c r="X170" s="74" t="str">
        <f>'Ingest Template'!Z170</f>
        <v/>
      </c>
      <c r="Y170" s="35" t="str">
        <f>SUBSTITUTE(SUBSTITUTE(SUBSTITUTE('Ingest Template'!AA170,"http:",""),"https:",""),"/","")</f>
        <v/>
      </c>
      <c r="Z170" s="35" t="str">
        <f t="array" ref="Z170">IF('Ingest Template'!A170="Standard",(IF(ISBLANK('Ingest Template'!AB170),"", 'Ingest Template'!AB170&amp;"|DAR")),(IF(ISBLANK('Ingest Template'!AB170),"", 'Ingest Template'!AB170&amp;"|TV Ops")))</f>
        <v/>
      </c>
      <c r="AA170" s="35"/>
      <c r="AB170" s="35" t="str">
        <f>'Ingest Template'!R170</f>
        <v/>
      </c>
      <c r="AC170" s="35" t="str">
        <f>'Ingest Template'!T170</f>
        <v/>
      </c>
      <c r="AD170" s="35" t="str">
        <f>'Ingest Template'!S170</f>
        <v/>
      </c>
      <c r="AE170" s="35" t="str">
        <f>'Ingest Template'!U170</f>
        <v/>
      </c>
      <c r="AF170" s="22"/>
      <c r="AG170" s="35" t="str">
        <f t="array" ref="AG170">IF('Ingest Template'!A170="Standard",(CONCATENATE(IF(ISBLANK('Ingest Template'!N170),"", 'Ingest Template'!N170&amp;"|DAR"),CHAR(10), IF(ISBLANK('Ingest Template'!O170),"", 'Ingest Template'!O170&amp;"|DAR"),CHAR(10), IF(ISBLANK('Ingest Template'!P170),"", 'Ingest Template'!P170&amp;"|DAR"))),(CONCATENATE(IF(ISBLANK('Ingest Template'!N170),"", 'Ingest Template'!N170&amp;"|TV Ops"),CHAR(10), IF(ISBLANK('Ingest Template'!O170),"", 'Ingest Template'!O170&amp;"|TV Ops"),CHAR(10), IF(ISBLANK('Ingest Template'!P170),"", 'Ingest Template'!P170&amp;"|TV Ops"))))</f>
        <v>
</v>
      </c>
      <c r="AH170" s="35"/>
      <c r="AI170" s="35"/>
      <c r="AJ170" s="117" t="str">
        <f>if('Ingest Template'!A170="Standard",(IF(OR('Ingest Template'!F170 = "Program Type - Special", 'Ingest Template'!F170 = "Program Type - Live Event"),'Ingest Template'!M170&amp; "|DAR|DAR|"&amp;TEXT('Ingest Template'!C170-3, "yyyy-mm-dd")&amp;"|"&amp;TEXT('Ingest Template'!C170+3, "yyyy-mm-dd"),'Ingest Template'!M170&amp; "|DAR|DAR|2021-01-01")),(IF(OR('Ingest Template'!F170 = "Program Type - Special", 'Ingest Template'!F170 = "Program Type - Live Event"),'Ingest Template'!M170&amp; "|Operations - Core Title|Operations - Core Title|"&amp;TEXT('Ingest Template'!C170-3, "yyyy-mm-dd")&amp;"|"&amp;TEXT('Ingest Template'!C170+3, "yyyy-mm-dd"),'Ingest Template'!M170&amp; "|Operations - Core Title|Operations - Core Title")))</f>
        <v>|Operations - Core Title|Operations - Core Title</v>
      </c>
      <c r="AK170" s="35"/>
      <c r="AL170" s="117" t="str">
        <f>if('Ingest Template'!A170="Standard",(IF(OR('Ingest Template'!F170 = "Program Type - Special", 'Ingest Template'!F170 = "Program Type - Live Event"),'Ingest Template'!Q170&amp;"|"&amp;TEXT('Ingest Template'!C170-3, "yyyy-mm-dd")&amp;"|"&amp;TEXT('Ingest Template'!C170+3, "yyyy-mm-dd"),'Ingest Template'!Q170&amp; "|2021-01-01")),(IF(OR('Ingest Template'!F170 = "Program Type - Special", 'Ingest Template'!F170 = "Program Type - Live Event"),'Ingest Template'!Q170&amp; "|"&amp;TEXT('Ingest Template'!C170-3, "yyyy-mm-dd")&amp;"|"&amp;TEXT('Ingest Template'!C170+3, "yyyy-mm-dd"),'Ingest Template'!Q170)))</f>
        <v/>
      </c>
      <c r="AM170" s="35" t="str">
        <f>'Ingest Template'!AC170</f>
        <v/>
      </c>
    </row>
    <row r="171">
      <c r="A171" s="15"/>
      <c r="B171" s="22" t="str">
        <f>'Ingest Template'!C171&amp;IF('Ingest Template'!A171 = "Standard", " - DAR","")</f>
        <v/>
      </c>
      <c r="C171" s="22" t="s">
        <v>83</v>
      </c>
      <c r="D171" s="22" t="str">
        <f t="array" ref="D171">CONCATENATE(INDEX(DropdownLists!$H$2:$H$11,MATCH(1,COUNTIF('Ingest Template'!E171,"*"&amp;DropdownLists!$I$2:$I$11&amp;"*"),0)),CHAR(10),'Ingest Template'!F171,CHAR(10),'Ingest Template'!G171,CHAR(10),VLOOKUP('Ingest Template'!D171,DropdownLists!C:D,2,FALSE))</f>
        <v>#N/A</v>
      </c>
      <c r="E171" s="22" t="str">
        <f>CONCATENATE('Ingest Template'!H171,CHAR(10),'Ingest Template'!I171,CHAR(10),'Ingest Template'!J171,CHAR(10))</f>
        <v>
</v>
      </c>
      <c r="F171" s="35" t="str">
        <f t="array" ref="F171">INDEX(DropdownLists!$O$2:$O$36,MATCH(1,COUNTIF(E171,"*"&amp;DropdownLists!$N$2:$N$36&amp;"*"),0))</f>
        <v/>
      </c>
      <c r="G171" s="35"/>
      <c r="H171" s="22" t="str">
        <f t="array" ref="H171">INDEX(DropdownLists!$E$2:$E$276,MATCH('Ingest Template'!D171,DropdownLists!$C$2:$C$276,0))</f>
        <v>#N/A</v>
      </c>
      <c r="I171" s="22"/>
      <c r="J171" s="22" t="str">
        <f t="array" ref="J171">iF('Ingest Template'!A171="Standard","Pristine Brand",INDEX(DropdownLists!$B$2:$B$246,MATCH('Ingest Template'!D171,DropdownLists!$C$2:$C$246,0)))</f>
        <v>#N/A</v>
      </c>
      <c r="K171" s="22" t="str">
        <f>iF('Ingest Template'!A171="Standard",'Ingest Template'!K171&amp;CHAR(10)&amp;'Ingest Template'!L171,"Competitive View")</f>
        <v>Competitive View</v>
      </c>
      <c r="L171" s="22" t="s">
        <v>95</v>
      </c>
      <c r="M171" s="45" t="str">
        <f>'Ingest Template'!B171</f>
        <v/>
      </c>
      <c r="N171" s="35"/>
      <c r="O171" s="35"/>
      <c r="P171" s="35"/>
      <c r="Q171" s="35"/>
      <c r="R171" s="35" t="str">
        <f>'Ingest Template'!D171</f>
        <v/>
      </c>
      <c r="S171" s="22" t="s">
        <v>101</v>
      </c>
      <c r="T171" s="35" t="str">
        <f>'Ingest Template'!V171</f>
        <v/>
      </c>
      <c r="U171" s="35" t="str">
        <f>'Ingest Template'!W171</f>
        <v/>
      </c>
      <c r="V171" s="35" t="str">
        <f>LOWER(SUBSTITUTE(SUBSTITUTE(SUBSTITUTE(SUBSTITUTE(SUBSTITUTE('Ingest Template'!X171,"https:",""),"www.",""),"/",""),"?hl=en",""),"instagram.com",""))</f>
        <v/>
      </c>
      <c r="W171" s="74" t="str">
        <f t="array" ref="W171">IF(
'Ingest Template'!Y171="",
SUBSTITUTE(
INDEX(DropdownLists!$F$2:$F$277,MATCH('Ingest Template'!D171,DropdownLists!$C$2:$C$277,0)),
CHAR(10),
"|"&amp;'Ingest Template'!C171&amp;CHAR(10)
)&amp;"|"&amp;'Ingest Template'!C171,
SUBSTITUTE(
INDEX(DropdownLists!$F$2:$F$277,MATCH('Ingest Template'!D171,DropdownLists!$C$2:$C$277,0)),
CHAR(10),
"|"&amp;'Ingest Template'!C171&amp;CHAR(10)
)&amp;"|"&amp;'Ingest Template'!C171&amp;CHAR(10)&amp;'Ingest Template'!Y171
)</f>
        <v>#N/A</v>
      </c>
      <c r="X171" s="74" t="str">
        <f>'Ingest Template'!Z171</f>
        <v/>
      </c>
      <c r="Y171" s="35" t="str">
        <f>SUBSTITUTE(SUBSTITUTE(SUBSTITUTE('Ingest Template'!AA171,"http:",""),"https:",""),"/","")</f>
        <v/>
      </c>
      <c r="Z171" s="35" t="str">
        <f t="array" ref="Z171">IF('Ingest Template'!A171="Standard",(IF(ISBLANK('Ingest Template'!AB171),"", 'Ingest Template'!AB171&amp;"|DAR")),(IF(ISBLANK('Ingest Template'!AB171),"", 'Ingest Template'!AB171&amp;"|TV Ops")))</f>
        <v/>
      </c>
      <c r="AA171" s="35"/>
      <c r="AB171" s="35" t="str">
        <f>'Ingest Template'!R171</f>
        <v/>
      </c>
      <c r="AC171" s="35" t="str">
        <f>'Ingest Template'!T171</f>
        <v/>
      </c>
      <c r="AD171" s="35" t="str">
        <f>'Ingest Template'!S171</f>
        <v/>
      </c>
      <c r="AE171" s="35" t="str">
        <f>'Ingest Template'!U171</f>
        <v/>
      </c>
      <c r="AF171" s="22"/>
      <c r="AG171" s="35" t="str">
        <f t="array" ref="AG171">IF('Ingest Template'!A171="Standard",(CONCATENATE(IF(ISBLANK('Ingest Template'!N171),"", 'Ingest Template'!N171&amp;"|DAR"),CHAR(10), IF(ISBLANK('Ingest Template'!O171),"", 'Ingest Template'!O171&amp;"|DAR"),CHAR(10), IF(ISBLANK('Ingest Template'!P171),"", 'Ingest Template'!P171&amp;"|DAR"))),(CONCATENATE(IF(ISBLANK('Ingest Template'!N171),"", 'Ingest Template'!N171&amp;"|TV Ops"),CHAR(10), IF(ISBLANK('Ingest Template'!O171),"", 'Ingest Template'!O171&amp;"|TV Ops"),CHAR(10), IF(ISBLANK('Ingest Template'!P171),"", 'Ingest Template'!P171&amp;"|TV Ops"))))</f>
        <v>
</v>
      </c>
      <c r="AH171" s="35"/>
      <c r="AI171" s="35"/>
      <c r="AJ171" s="117" t="str">
        <f>if('Ingest Template'!A171="Standard",(IF(OR('Ingest Template'!F171 = "Program Type - Special", 'Ingest Template'!F171 = "Program Type - Live Event"),'Ingest Template'!M171&amp; "|DAR|DAR|"&amp;TEXT('Ingest Template'!C171-3, "yyyy-mm-dd")&amp;"|"&amp;TEXT('Ingest Template'!C171+3, "yyyy-mm-dd"),'Ingest Template'!M171&amp; "|DAR|DAR|2021-01-01")),(IF(OR('Ingest Template'!F171 = "Program Type - Special", 'Ingest Template'!F171 = "Program Type - Live Event"),'Ingest Template'!M171&amp; "|Operations - Core Title|Operations - Core Title|"&amp;TEXT('Ingest Template'!C171-3, "yyyy-mm-dd")&amp;"|"&amp;TEXT('Ingest Template'!C171+3, "yyyy-mm-dd"),'Ingest Template'!M171&amp; "|Operations - Core Title|Operations - Core Title")))</f>
        <v>|Operations - Core Title|Operations - Core Title</v>
      </c>
      <c r="AK171" s="35"/>
      <c r="AL171" s="117" t="str">
        <f>if('Ingest Template'!A171="Standard",(IF(OR('Ingest Template'!F171 = "Program Type - Special", 'Ingest Template'!F171 = "Program Type - Live Event"),'Ingest Template'!Q171&amp;"|"&amp;TEXT('Ingest Template'!C171-3, "yyyy-mm-dd")&amp;"|"&amp;TEXT('Ingest Template'!C171+3, "yyyy-mm-dd"),'Ingest Template'!Q171&amp; "|2021-01-01")),(IF(OR('Ingest Template'!F171 = "Program Type - Special", 'Ingest Template'!F171 = "Program Type - Live Event"),'Ingest Template'!Q171&amp; "|"&amp;TEXT('Ingest Template'!C171-3, "yyyy-mm-dd")&amp;"|"&amp;TEXT('Ingest Template'!C171+3, "yyyy-mm-dd"),'Ingest Template'!Q171)))</f>
        <v/>
      </c>
      <c r="AM171" s="35" t="str">
        <f>'Ingest Template'!AC171</f>
        <v/>
      </c>
    </row>
    <row r="172">
      <c r="A172" s="15"/>
      <c r="B172" s="22" t="str">
        <f>'Ingest Template'!C172&amp;IF('Ingest Template'!A172 = "Standard", " - DAR","")</f>
        <v/>
      </c>
      <c r="C172" s="22" t="s">
        <v>83</v>
      </c>
      <c r="D172" s="22" t="str">
        <f t="array" ref="D172">CONCATENATE(INDEX(DropdownLists!$H$2:$H$11,MATCH(1,COUNTIF('Ingest Template'!E172,"*"&amp;DropdownLists!$I$2:$I$11&amp;"*"),0)),CHAR(10),'Ingest Template'!F172,CHAR(10),'Ingest Template'!G172,CHAR(10),VLOOKUP('Ingest Template'!D172,DropdownLists!C:D,2,FALSE))</f>
        <v>#N/A</v>
      </c>
      <c r="E172" s="22" t="str">
        <f>CONCATENATE('Ingest Template'!H172,CHAR(10),'Ingest Template'!I172,CHAR(10),'Ingest Template'!J172,CHAR(10))</f>
        <v>
</v>
      </c>
      <c r="F172" s="35" t="str">
        <f t="array" ref="F172">INDEX(DropdownLists!$O$2:$O$36,MATCH(1,COUNTIF(E172,"*"&amp;DropdownLists!$N$2:$N$36&amp;"*"),0))</f>
        <v/>
      </c>
      <c r="G172" s="35"/>
      <c r="H172" s="22" t="str">
        <f t="array" ref="H172">INDEX(DropdownLists!$E$2:$E$276,MATCH('Ingest Template'!D172,DropdownLists!$C$2:$C$276,0))</f>
        <v>#N/A</v>
      </c>
      <c r="I172" s="22"/>
      <c r="J172" s="22" t="str">
        <f t="array" ref="J172">iF('Ingest Template'!A172="Standard","Pristine Brand",INDEX(DropdownLists!$B$2:$B$246,MATCH('Ingest Template'!D172,DropdownLists!$C$2:$C$246,0)))</f>
        <v>#N/A</v>
      </c>
      <c r="K172" s="22" t="str">
        <f>iF('Ingest Template'!A172="Standard",'Ingest Template'!K172&amp;CHAR(10)&amp;'Ingest Template'!L172,"Competitive View")</f>
        <v>Competitive View</v>
      </c>
      <c r="L172" s="22" t="s">
        <v>95</v>
      </c>
      <c r="M172" s="45" t="str">
        <f>'Ingest Template'!B172</f>
        <v/>
      </c>
      <c r="N172" s="35"/>
      <c r="O172" s="35"/>
      <c r="P172" s="35"/>
      <c r="Q172" s="35"/>
      <c r="R172" s="35" t="str">
        <f>'Ingest Template'!D172</f>
        <v/>
      </c>
      <c r="S172" s="22" t="s">
        <v>101</v>
      </c>
      <c r="T172" s="35" t="str">
        <f>'Ingest Template'!V172</f>
        <v/>
      </c>
      <c r="U172" s="35" t="str">
        <f>'Ingest Template'!W172</f>
        <v/>
      </c>
      <c r="V172" s="35" t="str">
        <f>LOWER(SUBSTITUTE(SUBSTITUTE(SUBSTITUTE(SUBSTITUTE(SUBSTITUTE('Ingest Template'!X172,"https:",""),"www.",""),"/",""),"?hl=en",""),"instagram.com",""))</f>
        <v/>
      </c>
      <c r="W172" s="74" t="str">
        <f t="array" ref="W172">IF(
'Ingest Template'!Y172="",
SUBSTITUTE(
INDEX(DropdownLists!$F$2:$F$277,MATCH('Ingest Template'!D172,DropdownLists!$C$2:$C$277,0)),
CHAR(10),
"|"&amp;'Ingest Template'!C172&amp;CHAR(10)
)&amp;"|"&amp;'Ingest Template'!C172,
SUBSTITUTE(
INDEX(DropdownLists!$F$2:$F$277,MATCH('Ingest Template'!D172,DropdownLists!$C$2:$C$277,0)),
CHAR(10),
"|"&amp;'Ingest Template'!C172&amp;CHAR(10)
)&amp;"|"&amp;'Ingest Template'!C172&amp;CHAR(10)&amp;'Ingest Template'!Y172
)</f>
        <v>#N/A</v>
      </c>
      <c r="X172" s="74" t="str">
        <f>'Ingest Template'!Z172</f>
        <v/>
      </c>
      <c r="Y172" s="35" t="str">
        <f>SUBSTITUTE(SUBSTITUTE(SUBSTITUTE('Ingest Template'!AA172,"http:",""),"https:",""),"/","")</f>
        <v/>
      </c>
      <c r="Z172" s="35" t="str">
        <f t="array" ref="Z172">IF('Ingest Template'!A172="Standard",(IF(ISBLANK('Ingest Template'!AB172),"", 'Ingest Template'!AB172&amp;"|DAR")),(IF(ISBLANK('Ingest Template'!AB172),"", 'Ingest Template'!AB172&amp;"|TV Ops")))</f>
        <v/>
      </c>
      <c r="AA172" s="35"/>
      <c r="AB172" s="35" t="str">
        <f>'Ingest Template'!R172</f>
        <v/>
      </c>
      <c r="AC172" s="35" t="str">
        <f>'Ingest Template'!T172</f>
        <v/>
      </c>
      <c r="AD172" s="35" t="str">
        <f>'Ingest Template'!S172</f>
        <v/>
      </c>
      <c r="AE172" s="35" t="str">
        <f>'Ingest Template'!U172</f>
        <v/>
      </c>
      <c r="AF172" s="22"/>
      <c r="AG172" s="35" t="str">
        <f t="array" ref="AG172">IF('Ingest Template'!A172="Standard",(CONCATENATE(IF(ISBLANK('Ingest Template'!N172),"", 'Ingest Template'!N172&amp;"|DAR"),CHAR(10), IF(ISBLANK('Ingest Template'!O172),"", 'Ingest Template'!O172&amp;"|DAR"),CHAR(10), IF(ISBLANK('Ingest Template'!P172),"", 'Ingest Template'!P172&amp;"|DAR"))),(CONCATENATE(IF(ISBLANK('Ingest Template'!N172),"", 'Ingest Template'!N172&amp;"|TV Ops"),CHAR(10), IF(ISBLANK('Ingest Template'!O172),"", 'Ingest Template'!O172&amp;"|TV Ops"),CHAR(10), IF(ISBLANK('Ingest Template'!P172),"", 'Ingest Template'!P172&amp;"|TV Ops"))))</f>
        <v>
</v>
      </c>
      <c r="AH172" s="35"/>
      <c r="AI172" s="35"/>
      <c r="AJ172" s="117" t="str">
        <f>if('Ingest Template'!A172="Standard",(IF(OR('Ingest Template'!F172 = "Program Type - Special", 'Ingest Template'!F172 = "Program Type - Live Event"),'Ingest Template'!M172&amp; "|DAR|DAR|"&amp;TEXT('Ingest Template'!C172-3, "yyyy-mm-dd")&amp;"|"&amp;TEXT('Ingest Template'!C172+3, "yyyy-mm-dd"),'Ingest Template'!M172&amp; "|DAR|DAR|2021-01-01")),(IF(OR('Ingest Template'!F172 = "Program Type - Special", 'Ingest Template'!F172 = "Program Type - Live Event"),'Ingest Template'!M172&amp; "|Operations - Core Title|Operations - Core Title|"&amp;TEXT('Ingest Template'!C172-3, "yyyy-mm-dd")&amp;"|"&amp;TEXT('Ingest Template'!C172+3, "yyyy-mm-dd"),'Ingest Template'!M172&amp; "|Operations - Core Title|Operations - Core Title")))</f>
        <v>|Operations - Core Title|Operations - Core Title</v>
      </c>
      <c r="AK172" s="35"/>
      <c r="AL172" s="117" t="str">
        <f>if('Ingest Template'!A172="Standard",(IF(OR('Ingest Template'!F172 = "Program Type - Special", 'Ingest Template'!F172 = "Program Type - Live Event"),'Ingest Template'!Q172&amp;"|"&amp;TEXT('Ingest Template'!C172-3, "yyyy-mm-dd")&amp;"|"&amp;TEXT('Ingest Template'!C172+3, "yyyy-mm-dd"),'Ingest Template'!Q172&amp; "|2021-01-01")),(IF(OR('Ingest Template'!F172 = "Program Type - Special", 'Ingest Template'!F172 = "Program Type - Live Event"),'Ingest Template'!Q172&amp; "|"&amp;TEXT('Ingest Template'!C172-3, "yyyy-mm-dd")&amp;"|"&amp;TEXT('Ingest Template'!C172+3, "yyyy-mm-dd"),'Ingest Template'!Q172)))</f>
        <v/>
      </c>
      <c r="AM172" s="35" t="str">
        <f>'Ingest Template'!AC172</f>
        <v/>
      </c>
    </row>
    <row r="173">
      <c r="A173" s="15"/>
      <c r="B173" s="22" t="str">
        <f>'Ingest Template'!C173&amp;IF('Ingest Template'!A173 = "Standard", " - DAR","")</f>
        <v/>
      </c>
      <c r="C173" s="22" t="s">
        <v>83</v>
      </c>
      <c r="D173" s="22" t="str">
        <f t="array" ref="D173">CONCATENATE(INDEX(DropdownLists!$H$2:$H$11,MATCH(1,COUNTIF('Ingest Template'!E173,"*"&amp;DropdownLists!$I$2:$I$11&amp;"*"),0)),CHAR(10),'Ingest Template'!F173,CHAR(10),'Ingest Template'!G173,CHAR(10),VLOOKUP('Ingest Template'!D173,DropdownLists!C:D,2,FALSE))</f>
        <v>#N/A</v>
      </c>
      <c r="E173" s="22" t="str">
        <f>CONCATENATE('Ingest Template'!H173,CHAR(10),'Ingest Template'!I173,CHAR(10),'Ingest Template'!J173,CHAR(10))</f>
        <v>
</v>
      </c>
      <c r="F173" s="35" t="str">
        <f t="array" ref="F173">INDEX(DropdownLists!$O$2:$O$36,MATCH(1,COUNTIF(E173,"*"&amp;DropdownLists!$N$2:$N$36&amp;"*"),0))</f>
        <v/>
      </c>
      <c r="G173" s="35"/>
      <c r="H173" s="22" t="str">
        <f t="array" ref="H173">INDEX(DropdownLists!$E$2:$E$276,MATCH('Ingest Template'!D173,DropdownLists!$C$2:$C$276,0))</f>
        <v>#N/A</v>
      </c>
      <c r="I173" s="22"/>
      <c r="J173" s="22" t="str">
        <f t="array" ref="J173">iF('Ingest Template'!A173="Standard","Pristine Brand",INDEX(DropdownLists!$B$2:$B$246,MATCH('Ingest Template'!D173,DropdownLists!$C$2:$C$246,0)))</f>
        <v>#N/A</v>
      </c>
      <c r="K173" s="22" t="str">
        <f>iF('Ingest Template'!A173="Standard",'Ingest Template'!K173&amp;CHAR(10)&amp;'Ingest Template'!L173,"Competitive View")</f>
        <v>Competitive View</v>
      </c>
      <c r="L173" s="22" t="s">
        <v>95</v>
      </c>
      <c r="M173" s="45" t="str">
        <f>'Ingest Template'!B173</f>
        <v/>
      </c>
      <c r="N173" s="35"/>
      <c r="O173" s="35"/>
      <c r="P173" s="35"/>
      <c r="Q173" s="35"/>
      <c r="R173" s="35" t="str">
        <f>'Ingest Template'!D173</f>
        <v/>
      </c>
      <c r="S173" s="22" t="s">
        <v>101</v>
      </c>
      <c r="T173" s="35" t="str">
        <f>'Ingest Template'!V173</f>
        <v/>
      </c>
      <c r="U173" s="35" t="str">
        <f>'Ingest Template'!W173</f>
        <v/>
      </c>
      <c r="V173" s="35" t="str">
        <f>LOWER(SUBSTITUTE(SUBSTITUTE(SUBSTITUTE(SUBSTITUTE(SUBSTITUTE('Ingest Template'!X173,"https:",""),"www.",""),"/",""),"?hl=en",""),"instagram.com",""))</f>
        <v/>
      </c>
      <c r="W173" s="74" t="str">
        <f t="array" ref="W173">IF(
'Ingest Template'!Y173="",
SUBSTITUTE(
INDEX(DropdownLists!$F$2:$F$277,MATCH('Ingest Template'!D173,DropdownLists!$C$2:$C$277,0)),
CHAR(10),
"|"&amp;'Ingest Template'!C173&amp;CHAR(10)
)&amp;"|"&amp;'Ingest Template'!C173,
SUBSTITUTE(
INDEX(DropdownLists!$F$2:$F$277,MATCH('Ingest Template'!D173,DropdownLists!$C$2:$C$277,0)),
CHAR(10),
"|"&amp;'Ingest Template'!C173&amp;CHAR(10)
)&amp;"|"&amp;'Ingest Template'!C173&amp;CHAR(10)&amp;'Ingest Template'!Y173
)</f>
        <v>#N/A</v>
      </c>
      <c r="X173" s="74" t="str">
        <f>'Ingest Template'!Z173</f>
        <v/>
      </c>
      <c r="Y173" s="35" t="str">
        <f>SUBSTITUTE(SUBSTITUTE(SUBSTITUTE('Ingest Template'!AA173,"http:",""),"https:",""),"/","")</f>
        <v/>
      </c>
      <c r="Z173" s="35" t="str">
        <f t="array" ref="Z173">IF('Ingest Template'!A173="Standard",(IF(ISBLANK('Ingest Template'!AB173),"", 'Ingest Template'!AB173&amp;"|DAR")),(IF(ISBLANK('Ingest Template'!AB173),"", 'Ingest Template'!AB173&amp;"|TV Ops")))</f>
        <v/>
      </c>
      <c r="AA173" s="35"/>
      <c r="AB173" s="35" t="str">
        <f>'Ingest Template'!R173</f>
        <v/>
      </c>
      <c r="AC173" s="35" t="str">
        <f>'Ingest Template'!T173</f>
        <v/>
      </c>
      <c r="AD173" s="35" t="str">
        <f>'Ingest Template'!S173</f>
        <v/>
      </c>
      <c r="AE173" s="35" t="str">
        <f>'Ingest Template'!U173</f>
        <v/>
      </c>
      <c r="AF173" s="22"/>
      <c r="AG173" s="35" t="str">
        <f t="array" ref="AG173">IF('Ingest Template'!A173="Standard",(CONCATENATE(IF(ISBLANK('Ingest Template'!N173),"", 'Ingest Template'!N173&amp;"|DAR"),CHAR(10), IF(ISBLANK('Ingest Template'!O173),"", 'Ingest Template'!O173&amp;"|DAR"),CHAR(10), IF(ISBLANK('Ingest Template'!P173),"", 'Ingest Template'!P173&amp;"|DAR"))),(CONCATENATE(IF(ISBLANK('Ingest Template'!N173),"", 'Ingest Template'!N173&amp;"|TV Ops"),CHAR(10), IF(ISBLANK('Ingest Template'!O173),"", 'Ingest Template'!O173&amp;"|TV Ops"),CHAR(10), IF(ISBLANK('Ingest Template'!P173),"", 'Ingest Template'!P173&amp;"|TV Ops"))))</f>
        <v>
</v>
      </c>
      <c r="AH173" s="35"/>
      <c r="AI173" s="35"/>
      <c r="AJ173" s="117" t="str">
        <f>if('Ingest Template'!A173="Standard",(IF(OR('Ingest Template'!F173 = "Program Type - Special", 'Ingest Template'!F173 = "Program Type - Live Event"),'Ingest Template'!M173&amp; "|DAR|DAR|"&amp;TEXT('Ingest Template'!C173-3, "yyyy-mm-dd")&amp;"|"&amp;TEXT('Ingest Template'!C173+3, "yyyy-mm-dd"),'Ingest Template'!M173&amp; "|DAR|DAR|2021-01-01")),(IF(OR('Ingest Template'!F173 = "Program Type - Special", 'Ingest Template'!F173 = "Program Type - Live Event"),'Ingest Template'!M173&amp; "|Operations - Core Title|Operations - Core Title|"&amp;TEXT('Ingest Template'!C173-3, "yyyy-mm-dd")&amp;"|"&amp;TEXT('Ingest Template'!C173+3, "yyyy-mm-dd"),'Ingest Template'!M173&amp; "|Operations - Core Title|Operations - Core Title")))</f>
        <v>|Operations - Core Title|Operations - Core Title</v>
      </c>
      <c r="AK173" s="35"/>
      <c r="AL173" s="117" t="str">
        <f>if('Ingest Template'!A173="Standard",(IF(OR('Ingest Template'!F173 = "Program Type - Special", 'Ingest Template'!F173 = "Program Type - Live Event"),'Ingest Template'!Q173&amp;"|"&amp;TEXT('Ingest Template'!C173-3, "yyyy-mm-dd")&amp;"|"&amp;TEXT('Ingest Template'!C173+3, "yyyy-mm-dd"),'Ingest Template'!Q173&amp; "|2021-01-01")),(IF(OR('Ingest Template'!F173 = "Program Type - Special", 'Ingest Template'!F173 = "Program Type - Live Event"),'Ingest Template'!Q173&amp; "|"&amp;TEXT('Ingest Template'!C173-3, "yyyy-mm-dd")&amp;"|"&amp;TEXT('Ingest Template'!C173+3, "yyyy-mm-dd"),'Ingest Template'!Q173)))</f>
        <v/>
      </c>
      <c r="AM173" s="35" t="str">
        <f>'Ingest Template'!AC173</f>
        <v/>
      </c>
    </row>
    <row r="174">
      <c r="A174" s="15"/>
      <c r="B174" s="22" t="str">
        <f>'Ingest Template'!C174&amp;IF('Ingest Template'!A174 = "Standard", " - DAR","")</f>
        <v/>
      </c>
      <c r="C174" s="22" t="s">
        <v>83</v>
      </c>
      <c r="D174" s="22" t="str">
        <f t="array" ref="D174">CONCATENATE(INDEX(DropdownLists!$H$2:$H$11,MATCH(1,COUNTIF('Ingest Template'!E174,"*"&amp;DropdownLists!$I$2:$I$11&amp;"*"),0)),CHAR(10),'Ingest Template'!F174,CHAR(10),'Ingest Template'!G174,CHAR(10),VLOOKUP('Ingest Template'!D174,DropdownLists!C:D,2,FALSE))</f>
        <v>#N/A</v>
      </c>
      <c r="E174" s="22" t="str">
        <f>CONCATENATE('Ingest Template'!H174,CHAR(10),'Ingest Template'!I174,CHAR(10),'Ingest Template'!J174,CHAR(10))</f>
        <v>
</v>
      </c>
      <c r="F174" s="35" t="str">
        <f t="array" ref="F174">INDEX(DropdownLists!$O$2:$O$36,MATCH(1,COUNTIF(E174,"*"&amp;DropdownLists!$N$2:$N$36&amp;"*"),0))</f>
        <v/>
      </c>
      <c r="G174" s="35"/>
      <c r="H174" s="22" t="str">
        <f t="array" ref="H174">INDEX(DropdownLists!$E$2:$E$276,MATCH('Ingest Template'!D174,DropdownLists!$C$2:$C$276,0))</f>
        <v>#N/A</v>
      </c>
      <c r="I174" s="22"/>
      <c r="J174" s="22" t="str">
        <f t="array" ref="J174">iF('Ingest Template'!A174="Standard","Pristine Brand",INDEX(DropdownLists!$B$2:$B$246,MATCH('Ingest Template'!D174,DropdownLists!$C$2:$C$246,0)))</f>
        <v>#N/A</v>
      </c>
      <c r="K174" s="22" t="str">
        <f>iF('Ingest Template'!A174="Standard",'Ingest Template'!K174&amp;CHAR(10)&amp;'Ingest Template'!L174,"Competitive View")</f>
        <v>Competitive View</v>
      </c>
      <c r="L174" s="22" t="s">
        <v>95</v>
      </c>
      <c r="M174" s="45" t="str">
        <f>'Ingest Template'!B174</f>
        <v/>
      </c>
      <c r="N174" s="35"/>
      <c r="O174" s="35"/>
      <c r="P174" s="35"/>
      <c r="Q174" s="35"/>
      <c r="R174" s="35" t="str">
        <f>'Ingest Template'!D174</f>
        <v/>
      </c>
      <c r="S174" s="22" t="s">
        <v>101</v>
      </c>
      <c r="T174" s="35" t="str">
        <f>'Ingest Template'!V174</f>
        <v/>
      </c>
      <c r="U174" s="35" t="str">
        <f>'Ingest Template'!W174</f>
        <v/>
      </c>
      <c r="V174" s="35" t="str">
        <f>LOWER(SUBSTITUTE(SUBSTITUTE(SUBSTITUTE(SUBSTITUTE(SUBSTITUTE('Ingest Template'!X174,"https:",""),"www.",""),"/",""),"?hl=en",""),"instagram.com",""))</f>
        <v/>
      </c>
      <c r="W174" s="74" t="str">
        <f t="array" ref="W174">IF(
'Ingest Template'!Y174="",
SUBSTITUTE(
INDEX(DropdownLists!$F$2:$F$277,MATCH('Ingest Template'!D174,DropdownLists!$C$2:$C$277,0)),
CHAR(10),
"|"&amp;'Ingest Template'!C174&amp;CHAR(10)
)&amp;"|"&amp;'Ingest Template'!C174,
SUBSTITUTE(
INDEX(DropdownLists!$F$2:$F$277,MATCH('Ingest Template'!D174,DropdownLists!$C$2:$C$277,0)),
CHAR(10),
"|"&amp;'Ingest Template'!C174&amp;CHAR(10)
)&amp;"|"&amp;'Ingest Template'!C174&amp;CHAR(10)&amp;'Ingest Template'!Y174
)</f>
        <v>#N/A</v>
      </c>
      <c r="X174" s="74" t="str">
        <f>'Ingest Template'!Z174</f>
        <v/>
      </c>
      <c r="Y174" s="35" t="str">
        <f>SUBSTITUTE(SUBSTITUTE(SUBSTITUTE('Ingest Template'!AA174,"http:",""),"https:",""),"/","")</f>
        <v/>
      </c>
      <c r="Z174" s="35" t="str">
        <f t="array" ref="Z174">IF('Ingest Template'!A174="Standard",(IF(ISBLANK('Ingest Template'!AB174),"", 'Ingest Template'!AB174&amp;"|DAR")),(IF(ISBLANK('Ingest Template'!AB174),"", 'Ingest Template'!AB174&amp;"|TV Ops")))</f>
        <v/>
      </c>
      <c r="AA174" s="35"/>
      <c r="AB174" s="35" t="str">
        <f>'Ingest Template'!R174</f>
        <v/>
      </c>
      <c r="AC174" s="35" t="str">
        <f>'Ingest Template'!T174</f>
        <v/>
      </c>
      <c r="AD174" s="35" t="str">
        <f>'Ingest Template'!S174</f>
        <v/>
      </c>
      <c r="AE174" s="35" t="str">
        <f>'Ingest Template'!U174</f>
        <v/>
      </c>
      <c r="AF174" s="22"/>
      <c r="AG174" s="35" t="str">
        <f t="array" ref="AG174">IF('Ingest Template'!A174="Standard",(CONCATENATE(IF(ISBLANK('Ingest Template'!N174),"", 'Ingest Template'!N174&amp;"|DAR"),CHAR(10), IF(ISBLANK('Ingest Template'!O174),"", 'Ingest Template'!O174&amp;"|DAR"),CHAR(10), IF(ISBLANK('Ingest Template'!P174),"", 'Ingest Template'!P174&amp;"|DAR"))),(CONCATENATE(IF(ISBLANK('Ingest Template'!N174),"", 'Ingest Template'!N174&amp;"|TV Ops"),CHAR(10), IF(ISBLANK('Ingest Template'!O174),"", 'Ingest Template'!O174&amp;"|TV Ops"),CHAR(10), IF(ISBLANK('Ingest Template'!P174),"", 'Ingest Template'!P174&amp;"|TV Ops"))))</f>
        <v>
</v>
      </c>
      <c r="AH174" s="35"/>
      <c r="AI174" s="35"/>
      <c r="AJ174" s="117" t="str">
        <f>if('Ingest Template'!A174="Standard",(IF(OR('Ingest Template'!F174 = "Program Type - Special", 'Ingest Template'!F174 = "Program Type - Live Event"),'Ingest Template'!M174&amp; "|DAR|DAR|"&amp;TEXT('Ingest Template'!C174-3, "yyyy-mm-dd")&amp;"|"&amp;TEXT('Ingest Template'!C174+3, "yyyy-mm-dd"),'Ingest Template'!M174&amp; "|DAR|DAR|2021-01-01")),(IF(OR('Ingest Template'!F174 = "Program Type - Special", 'Ingest Template'!F174 = "Program Type - Live Event"),'Ingest Template'!M174&amp; "|Operations - Core Title|Operations - Core Title|"&amp;TEXT('Ingest Template'!C174-3, "yyyy-mm-dd")&amp;"|"&amp;TEXT('Ingest Template'!C174+3, "yyyy-mm-dd"),'Ingest Template'!M174&amp; "|Operations - Core Title|Operations - Core Title")))</f>
        <v>|Operations - Core Title|Operations - Core Title</v>
      </c>
      <c r="AK174" s="35"/>
      <c r="AL174" s="117" t="str">
        <f>if('Ingest Template'!A174="Standard",(IF(OR('Ingest Template'!F174 = "Program Type - Special", 'Ingest Template'!F174 = "Program Type - Live Event"),'Ingest Template'!Q174&amp;"|"&amp;TEXT('Ingest Template'!C174-3, "yyyy-mm-dd")&amp;"|"&amp;TEXT('Ingest Template'!C174+3, "yyyy-mm-dd"),'Ingest Template'!Q174&amp; "|2021-01-01")),(IF(OR('Ingest Template'!F174 = "Program Type - Special", 'Ingest Template'!F174 = "Program Type - Live Event"),'Ingest Template'!Q174&amp; "|"&amp;TEXT('Ingest Template'!C174-3, "yyyy-mm-dd")&amp;"|"&amp;TEXT('Ingest Template'!C174+3, "yyyy-mm-dd"),'Ingest Template'!Q174)))</f>
        <v/>
      </c>
      <c r="AM174" s="35" t="str">
        <f>'Ingest Template'!AC174</f>
        <v/>
      </c>
    </row>
    <row r="175">
      <c r="A175" s="15"/>
      <c r="B175" s="22" t="str">
        <f>'Ingest Template'!C175&amp;IF('Ingest Template'!A175 = "Standard", " - DAR","")</f>
        <v/>
      </c>
      <c r="C175" s="22" t="s">
        <v>83</v>
      </c>
      <c r="D175" s="22" t="str">
        <f t="array" ref="D175">CONCATENATE(INDEX(DropdownLists!$H$2:$H$11,MATCH(1,COUNTIF('Ingest Template'!E175,"*"&amp;DropdownLists!$I$2:$I$11&amp;"*"),0)),CHAR(10),'Ingest Template'!F175,CHAR(10),'Ingest Template'!G175,CHAR(10),VLOOKUP('Ingest Template'!D175,DropdownLists!C:D,2,FALSE))</f>
        <v>#N/A</v>
      </c>
      <c r="E175" s="22" t="str">
        <f>CONCATENATE('Ingest Template'!H175,CHAR(10),'Ingest Template'!I175,CHAR(10),'Ingest Template'!J175,CHAR(10))</f>
        <v>
</v>
      </c>
      <c r="F175" s="35" t="str">
        <f t="array" ref="F175">INDEX(DropdownLists!$O$2:$O$36,MATCH(1,COUNTIF(E175,"*"&amp;DropdownLists!$N$2:$N$36&amp;"*"),0))</f>
        <v/>
      </c>
      <c r="G175" s="35"/>
      <c r="H175" s="22" t="str">
        <f t="array" ref="H175">INDEX(DropdownLists!$E$2:$E$276,MATCH('Ingest Template'!D175,DropdownLists!$C$2:$C$276,0))</f>
        <v>#N/A</v>
      </c>
      <c r="I175" s="22"/>
      <c r="J175" s="22" t="str">
        <f t="array" ref="J175">iF('Ingest Template'!A175="Standard","Pristine Brand",INDEX(DropdownLists!$B$2:$B$246,MATCH('Ingest Template'!D175,DropdownLists!$C$2:$C$246,0)))</f>
        <v>#N/A</v>
      </c>
      <c r="K175" s="22" t="str">
        <f>iF('Ingest Template'!A175="Standard",'Ingest Template'!K175&amp;CHAR(10)&amp;'Ingest Template'!L175,"Competitive View")</f>
        <v>Competitive View</v>
      </c>
      <c r="L175" s="22" t="s">
        <v>95</v>
      </c>
      <c r="M175" s="45" t="str">
        <f>'Ingest Template'!B175</f>
        <v/>
      </c>
      <c r="N175" s="35"/>
      <c r="O175" s="35"/>
      <c r="P175" s="35"/>
      <c r="Q175" s="35"/>
      <c r="R175" s="35" t="str">
        <f>'Ingest Template'!D175</f>
        <v/>
      </c>
      <c r="S175" s="22" t="s">
        <v>101</v>
      </c>
      <c r="T175" s="35" t="str">
        <f>'Ingest Template'!V175</f>
        <v/>
      </c>
      <c r="U175" s="35" t="str">
        <f>'Ingest Template'!W175</f>
        <v/>
      </c>
      <c r="V175" s="35" t="str">
        <f>LOWER(SUBSTITUTE(SUBSTITUTE(SUBSTITUTE(SUBSTITUTE(SUBSTITUTE('Ingest Template'!X175,"https:",""),"www.",""),"/",""),"?hl=en",""),"instagram.com",""))</f>
        <v/>
      </c>
      <c r="W175" s="74" t="str">
        <f t="array" ref="W175">IF(
'Ingest Template'!Y175="",
SUBSTITUTE(
INDEX(DropdownLists!$F$2:$F$277,MATCH('Ingest Template'!D175,DropdownLists!$C$2:$C$277,0)),
CHAR(10),
"|"&amp;'Ingest Template'!C175&amp;CHAR(10)
)&amp;"|"&amp;'Ingest Template'!C175,
SUBSTITUTE(
INDEX(DropdownLists!$F$2:$F$277,MATCH('Ingest Template'!D175,DropdownLists!$C$2:$C$277,0)),
CHAR(10),
"|"&amp;'Ingest Template'!C175&amp;CHAR(10)
)&amp;"|"&amp;'Ingest Template'!C175&amp;CHAR(10)&amp;'Ingest Template'!Y175
)</f>
        <v>#N/A</v>
      </c>
      <c r="X175" s="74" t="str">
        <f>'Ingest Template'!Z175</f>
        <v/>
      </c>
      <c r="Y175" s="35" t="str">
        <f>SUBSTITUTE(SUBSTITUTE(SUBSTITUTE('Ingest Template'!AA175,"http:",""),"https:",""),"/","")</f>
        <v/>
      </c>
      <c r="Z175" s="35" t="str">
        <f t="array" ref="Z175">IF('Ingest Template'!A175="Standard",(IF(ISBLANK('Ingest Template'!AB175),"", 'Ingest Template'!AB175&amp;"|DAR")),(IF(ISBLANK('Ingest Template'!AB175),"", 'Ingest Template'!AB175&amp;"|TV Ops")))</f>
        <v/>
      </c>
      <c r="AA175" s="35"/>
      <c r="AB175" s="35" t="str">
        <f>'Ingest Template'!R175</f>
        <v/>
      </c>
      <c r="AC175" s="35" t="str">
        <f>'Ingest Template'!T175</f>
        <v/>
      </c>
      <c r="AD175" s="35" t="str">
        <f>'Ingest Template'!S175</f>
        <v/>
      </c>
      <c r="AE175" s="35" t="str">
        <f>'Ingest Template'!U175</f>
        <v/>
      </c>
      <c r="AF175" s="22"/>
      <c r="AG175" s="35" t="str">
        <f t="array" ref="AG175">IF('Ingest Template'!A175="Standard",(CONCATENATE(IF(ISBLANK('Ingest Template'!N175),"", 'Ingest Template'!N175&amp;"|DAR"),CHAR(10), IF(ISBLANK('Ingest Template'!O175),"", 'Ingest Template'!O175&amp;"|DAR"),CHAR(10), IF(ISBLANK('Ingest Template'!P175),"", 'Ingest Template'!P175&amp;"|DAR"))),(CONCATENATE(IF(ISBLANK('Ingest Template'!N175),"", 'Ingest Template'!N175&amp;"|TV Ops"),CHAR(10), IF(ISBLANK('Ingest Template'!O175),"", 'Ingest Template'!O175&amp;"|TV Ops"),CHAR(10), IF(ISBLANK('Ingest Template'!P175),"", 'Ingest Template'!P175&amp;"|TV Ops"))))</f>
        <v>
</v>
      </c>
      <c r="AH175" s="35"/>
      <c r="AI175" s="35"/>
      <c r="AJ175" s="117" t="str">
        <f>if('Ingest Template'!A175="Standard",(IF(OR('Ingest Template'!F175 = "Program Type - Special", 'Ingest Template'!F175 = "Program Type - Live Event"),'Ingest Template'!M175&amp; "|DAR|DAR|"&amp;TEXT('Ingest Template'!C175-3, "yyyy-mm-dd")&amp;"|"&amp;TEXT('Ingest Template'!C175+3, "yyyy-mm-dd"),'Ingest Template'!M175&amp; "|DAR|DAR|2021-01-01")),(IF(OR('Ingest Template'!F175 = "Program Type - Special", 'Ingest Template'!F175 = "Program Type - Live Event"),'Ingest Template'!M175&amp; "|Operations - Core Title|Operations - Core Title|"&amp;TEXT('Ingest Template'!C175-3, "yyyy-mm-dd")&amp;"|"&amp;TEXT('Ingest Template'!C175+3, "yyyy-mm-dd"),'Ingest Template'!M175&amp; "|Operations - Core Title|Operations - Core Title")))</f>
        <v>|Operations - Core Title|Operations - Core Title</v>
      </c>
      <c r="AK175" s="35"/>
      <c r="AL175" s="117" t="str">
        <f>if('Ingest Template'!A175="Standard",(IF(OR('Ingest Template'!F175 = "Program Type - Special", 'Ingest Template'!F175 = "Program Type - Live Event"),'Ingest Template'!Q175&amp;"|"&amp;TEXT('Ingest Template'!C175-3, "yyyy-mm-dd")&amp;"|"&amp;TEXT('Ingest Template'!C175+3, "yyyy-mm-dd"),'Ingest Template'!Q175&amp; "|2021-01-01")),(IF(OR('Ingest Template'!F175 = "Program Type - Special", 'Ingest Template'!F175 = "Program Type - Live Event"),'Ingest Template'!Q175&amp; "|"&amp;TEXT('Ingest Template'!C175-3, "yyyy-mm-dd")&amp;"|"&amp;TEXT('Ingest Template'!C175+3, "yyyy-mm-dd"),'Ingest Template'!Q175)))</f>
        <v/>
      </c>
      <c r="AM175" s="35" t="str">
        <f>'Ingest Template'!AC175</f>
        <v/>
      </c>
    </row>
    <row r="176">
      <c r="A176" s="15"/>
      <c r="B176" s="22" t="str">
        <f>'Ingest Template'!C176&amp;IF('Ingest Template'!A176 = "Standard", " - DAR","")</f>
        <v/>
      </c>
      <c r="C176" s="22" t="s">
        <v>83</v>
      </c>
      <c r="D176" s="22" t="str">
        <f t="array" ref="D176">CONCATENATE(INDEX(DropdownLists!$H$2:$H$11,MATCH(1,COUNTIF('Ingest Template'!E176,"*"&amp;DropdownLists!$I$2:$I$11&amp;"*"),0)),CHAR(10),'Ingest Template'!F176,CHAR(10),'Ingest Template'!G176,CHAR(10),VLOOKUP('Ingest Template'!D176,DropdownLists!C:D,2,FALSE))</f>
        <v>#N/A</v>
      </c>
      <c r="E176" s="22" t="str">
        <f>CONCATENATE('Ingest Template'!H176,CHAR(10),'Ingest Template'!I176,CHAR(10),'Ingest Template'!J176,CHAR(10))</f>
        <v>
</v>
      </c>
      <c r="F176" s="35" t="str">
        <f t="array" ref="F176">INDEX(DropdownLists!$O$2:$O$36,MATCH(1,COUNTIF(E176,"*"&amp;DropdownLists!$N$2:$N$36&amp;"*"),0))</f>
        <v/>
      </c>
      <c r="G176" s="35"/>
      <c r="H176" s="22" t="str">
        <f t="array" ref="H176">INDEX(DropdownLists!$E$2:$E$276,MATCH('Ingest Template'!D176,DropdownLists!$C$2:$C$276,0))</f>
        <v>#N/A</v>
      </c>
      <c r="I176" s="22"/>
      <c r="J176" s="22" t="str">
        <f t="array" ref="J176">iF('Ingest Template'!A176="Standard","Pristine Brand",INDEX(DropdownLists!$B$2:$B$246,MATCH('Ingest Template'!D176,DropdownLists!$C$2:$C$246,0)))</f>
        <v>#N/A</v>
      </c>
      <c r="K176" s="22" t="str">
        <f>iF('Ingest Template'!A176="Standard",'Ingest Template'!K176&amp;CHAR(10)&amp;'Ingest Template'!L176,"Competitive View")</f>
        <v>Competitive View</v>
      </c>
      <c r="L176" s="22" t="s">
        <v>95</v>
      </c>
      <c r="M176" s="45" t="str">
        <f>'Ingest Template'!B176</f>
        <v/>
      </c>
      <c r="N176" s="35"/>
      <c r="O176" s="35"/>
      <c r="P176" s="35"/>
      <c r="Q176" s="35"/>
      <c r="R176" s="35" t="str">
        <f>'Ingest Template'!D176</f>
        <v/>
      </c>
      <c r="S176" s="22" t="s">
        <v>101</v>
      </c>
      <c r="T176" s="35" t="str">
        <f>'Ingest Template'!V176</f>
        <v/>
      </c>
      <c r="U176" s="35" t="str">
        <f>'Ingest Template'!W176</f>
        <v/>
      </c>
      <c r="V176" s="35" t="str">
        <f>LOWER(SUBSTITUTE(SUBSTITUTE(SUBSTITUTE(SUBSTITUTE(SUBSTITUTE('Ingest Template'!X176,"https:",""),"www.",""),"/",""),"?hl=en",""),"instagram.com",""))</f>
        <v/>
      </c>
      <c r="W176" s="74" t="str">
        <f t="array" ref="W176">IF(
'Ingest Template'!Y176="",
SUBSTITUTE(
INDEX(DropdownLists!$F$2:$F$277,MATCH('Ingest Template'!D176,DropdownLists!$C$2:$C$277,0)),
CHAR(10),
"|"&amp;'Ingest Template'!C176&amp;CHAR(10)
)&amp;"|"&amp;'Ingest Template'!C176,
SUBSTITUTE(
INDEX(DropdownLists!$F$2:$F$277,MATCH('Ingest Template'!D176,DropdownLists!$C$2:$C$277,0)),
CHAR(10),
"|"&amp;'Ingest Template'!C176&amp;CHAR(10)
)&amp;"|"&amp;'Ingest Template'!C176&amp;CHAR(10)&amp;'Ingest Template'!Y176
)</f>
        <v>#N/A</v>
      </c>
      <c r="X176" s="74" t="str">
        <f>'Ingest Template'!Z176</f>
        <v/>
      </c>
      <c r="Y176" s="35" t="str">
        <f>SUBSTITUTE(SUBSTITUTE(SUBSTITUTE('Ingest Template'!AA176,"http:",""),"https:",""),"/","")</f>
        <v/>
      </c>
      <c r="Z176" s="35" t="str">
        <f t="array" ref="Z176">IF('Ingest Template'!A176="Standard",(IF(ISBLANK('Ingest Template'!AB176),"", 'Ingest Template'!AB176&amp;"|DAR")),(IF(ISBLANK('Ingest Template'!AB176),"", 'Ingest Template'!AB176&amp;"|TV Ops")))</f>
        <v/>
      </c>
      <c r="AA176" s="35"/>
      <c r="AB176" s="35" t="str">
        <f>'Ingest Template'!R176</f>
        <v/>
      </c>
      <c r="AC176" s="35" t="str">
        <f>'Ingest Template'!T176</f>
        <v/>
      </c>
      <c r="AD176" s="35" t="str">
        <f>'Ingest Template'!S176</f>
        <v/>
      </c>
      <c r="AE176" s="35" t="str">
        <f>'Ingest Template'!U176</f>
        <v/>
      </c>
      <c r="AF176" s="22"/>
      <c r="AG176" s="35" t="str">
        <f t="array" ref="AG176">IF('Ingest Template'!A176="Standard",(CONCATENATE(IF(ISBLANK('Ingest Template'!N176),"", 'Ingest Template'!N176&amp;"|DAR"),CHAR(10), IF(ISBLANK('Ingest Template'!O176),"", 'Ingest Template'!O176&amp;"|DAR"),CHAR(10), IF(ISBLANK('Ingest Template'!P176),"", 'Ingest Template'!P176&amp;"|DAR"))),(CONCATENATE(IF(ISBLANK('Ingest Template'!N176),"", 'Ingest Template'!N176&amp;"|TV Ops"),CHAR(10), IF(ISBLANK('Ingest Template'!O176),"", 'Ingest Template'!O176&amp;"|TV Ops"),CHAR(10), IF(ISBLANK('Ingest Template'!P176),"", 'Ingest Template'!P176&amp;"|TV Ops"))))</f>
        <v>
</v>
      </c>
      <c r="AH176" s="35"/>
      <c r="AI176" s="35"/>
      <c r="AJ176" s="117" t="str">
        <f>if('Ingest Template'!A176="Standard",(IF(OR('Ingest Template'!F176 = "Program Type - Special", 'Ingest Template'!F176 = "Program Type - Live Event"),'Ingest Template'!M176&amp; "|DAR|DAR|"&amp;TEXT('Ingest Template'!C176-3, "yyyy-mm-dd")&amp;"|"&amp;TEXT('Ingest Template'!C176+3, "yyyy-mm-dd"),'Ingest Template'!M176&amp; "|DAR|DAR|2021-01-01")),(IF(OR('Ingest Template'!F176 = "Program Type - Special", 'Ingest Template'!F176 = "Program Type - Live Event"),'Ingest Template'!M176&amp; "|Operations - Core Title|Operations - Core Title|"&amp;TEXT('Ingest Template'!C176-3, "yyyy-mm-dd")&amp;"|"&amp;TEXT('Ingest Template'!C176+3, "yyyy-mm-dd"),'Ingest Template'!M176&amp; "|Operations - Core Title|Operations - Core Title")))</f>
        <v>|Operations - Core Title|Operations - Core Title</v>
      </c>
      <c r="AK176" s="35"/>
      <c r="AL176" s="117" t="str">
        <f>if('Ingest Template'!A176="Standard",(IF(OR('Ingest Template'!F176 = "Program Type - Special", 'Ingest Template'!F176 = "Program Type - Live Event"),'Ingest Template'!Q176&amp;"|"&amp;TEXT('Ingest Template'!C176-3, "yyyy-mm-dd")&amp;"|"&amp;TEXT('Ingest Template'!C176+3, "yyyy-mm-dd"),'Ingest Template'!Q176&amp; "|2021-01-01")),(IF(OR('Ingest Template'!F176 = "Program Type - Special", 'Ingest Template'!F176 = "Program Type - Live Event"),'Ingest Template'!Q176&amp; "|"&amp;TEXT('Ingest Template'!C176-3, "yyyy-mm-dd")&amp;"|"&amp;TEXT('Ingest Template'!C176+3, "yyyy-mm-dd"),'Ingest Template'!Q176)))</f>
        <v/>
      </c>
      <c r="AM176" s="35" t="str">
        <f>'Ingest Template'!AC176</f>
        <v/>
      </c>
    </row>
    <row r="177">
      <c r="A177" s="15"/>
      <c r="B177" s="22" t="str">
        <f>'Ingest Template'!C177&amp;IF('Ingest Template'!A177 = "Standard", " - DAR","")</f>
        <v/>
      </c>
      <c r="C177" s="22" t="s">
        <v>83</v>
      </c>
      <c r="D177" s="22" t="str">
        <f t="array" ref="D177">CONCATENATE(INDEX(DropdownLists!$H$2:$H$11,MATCH(1,COUNTIF('Ingest Template'!E177,"*"&amp;DropdownLists!$I$2:$I$11&amp;"*"),0)),CHAR(10),'Ingest Template'!F177,CHAR(10),'Ingest Template'!G177,CHAR(10),VLOOKUP('Ingest Template'!D177,DropdownLists!C:D,2,FALSE))</f>
        <v>#N/A</v>
      </c>
      <c r="E177" s="22" t="str">
        <f>CONCATENATE('Ingest Template'!H177,CHAR(10),'Ingest Template'!I177,CHAR(10),'Ingest Template'!J177,CHAR(10))</f>
        <v>
</v>
      </c>
      <c r="F177" s="35" t="str">
        <f t="array" ref="F177">INDEX(DropdownLists!$O$2:$O$36,MATCH(1,COUNTIF(E177,"*"&amp;DropdownLists!$N$2:$N$36&amp;"*"),0))</f>
        <v/>
      </c>
      <c r="G177" s="35"/>
      <c r="H177" s="22" t="str">
        <f t="array" ref="H177">INDEX(DropdownLists!$E$2:$E$276,MATCH('Ingest Template'!D177,DropdownLists!$C$2:$C$276,0))</f>
        <v>#N/A</v>
      </c>
      <c r="I177" s="22"/>
      <c r="J177" s="22" t="str">
        <f t="array" ref="J177">iF('Ingest Template'!A177="Standard","Pristine Brand",INDEX(DropdownLists!$B$2:$B$246,MATCH('Ingest Template'!D177,DropdownLists!$C$2:$C$246,0)))</f>
        <v>#N/A</v>
      </c>
      <c r="K177" s="22" t="str">
        <f>iF('Ingest Template'!A177="Standard",'Ingest Template'!K177&amp;CHAR(10)&amp;'Ingest Template'!L177,"Competitive View")</f>
        <v>Competitive View</v>
      </c>
      <c r="L177" s="22" t="s">
        <v>95</v>
      </c>
      <c r="M177" s="45" t="str">
        <f>'Ingest Template'!B177</f>
        <v/>
      </c>
      <c r="N177" s="35"/>
      <c r="O177" s="35"/>
      <c r="P177" s="35"/>
      <c r="Q177" s="35"/>
      <c r="R177" s="35" t="str">
        <f>'Ingest Template'!D177</f>
        <v/>
      </c>
      <c r="S177" s="22" t="s">
        <v>101</v>
      </c>
      <c r="T177" s="35" t="str">
        <f>'Ingest Template'!V177</f>
        <v/>
      </c>
      <c r="U177" s="35" t="str">
        <f>'Ingest Template'!W177</f>
        <v/>
      </c>
      <c r="V177" s="35" t="str">
        <f>LOWER(SUBSTITUTE(SUBSTITUTE(SUBSTITUTE(SUBSTITUTE(SUBSTITUTE('Ingest Template'!X177,"https:",""),"www.",""),"/",""),"?hl=en",""),"instagram.com",""))</f>
        <v/>
      </c>
      <c r="W177" s="74" t="str">
        <f t="array" ref="W177">IF(
'Ingest Template'!Y177="",
SUBSTITUTE(
INDEX(DropdownLists!$F$2:$F$277,MATCH('Ingest Template'!D177,DropdownLists!$C$2:$C$277,0)),
CHAR(10),
"|"&amp;'Ingest Template'!C177&amp;CHAR(10)
)&amp;"|"&amp;'Ingest Template'!C177,
SUBSTITUTE(
INDEX(DropdownLists!$F$2:$F$277,MATCH('Ingest Template'!D177,DropdownLists!$C$2:$C$277,0)),
CHAR(10),
"|"&amp;'Ingest Template'!C177&amp;CHAR(10)
)&amp;"|"&amp;'Ingest Template'!C177&amp;CHAR(10)&amp;'Ingest Template'!Y177
)</f>
        <v>#N/A</v>
      </c>
      <c r="X177" s="74" t="str">
        <f>'Ingest Template'!Z177</f>
        <v/>
      </c>
      <c r="Y177" s="35" t="str">
        <f>SUBSTITUTE(SUBSTITUTE(SUBSTITUTE('Ingest Template'!AA177,"http:",""),"https:",""),"/","")</f>
        <v/>
      </c>
      <c r="Z177" s="35" t="str">
        <f t="array" ref="Z177">IF('Ingest Template'!A177="Standard",(IF(ISBLANK('Ingest Template'!AB177),"", 'Ingest Template'!AB177&amp;"|DAR")),(IF(ISBLANK('Ingest Template'!AB177),"", 'Ingest Template'!AB177&amp;"|TV Ops")))</f>
        <v/>
      </c>
      <c r="AA177" s="35"/>
      <c r="AB177" s="35" t="str">
        <f>'Ingest Template'!R177</f>
        <v/>
      </c>
      <c r="AC177" s="35" t="str">
        <f>'Ingest Template'!T177</f>
        <v/>
      </c>
      <c r="AD177" s="35" t="str">
        <f>'Ingest Template'!S177</f>
        <v/>
      </c>
      <c r="AE177" s="35" t="str">
        <f>'Ingest Template'!U177</f>
        <v/>
      </c>
      <c r="AF177" s="22"/>
      <c r="AG177" s="35" t="str">
        <f t="array" ref="AG177">IF('Ingest Template'!A177="Standard",(CONCATENATE(IF(ISBLANK('Ingest Template'!N177),"", 'Ingest Template'!N177&amp;"|DAR"),CHAR(10), IF(ISBLANK('Ingest Template'!O177),"", 'Ingest Template'!O177&amp;"|DAR"),CHAR(10), IF(ISBLANK('Ingest Template'!P177),"", 'Ingest Template'!P177&amp;"|DAR"))),(CONCATENATE(IF(ISBLANK('Ingest Template'!N177),"", 'Ingest Template'!N177&amp;"|TV Ops"),CHAR(10), IF(ISBLANK('Ingest Template'!O177),"", 'Ingest Template'!O177&amp;"|TV Ops"),CHAR(10), IF(ISBLANK('Ingest Template'!P177),"", 'Ingest Template'!P177&amp;"|TV Ops"))))</f>
        <v>
</v>
      </c>
      <c r="AH177" s="35"/>
      <c r="AI177" s="35"/>
      <c r="AJ177" s="117" t="str">
        <f>if('Ingest Template'!A177="Standard",(IF(OR('Ingest Template'!F177 = "Program Type - Special", 'Ingest Template'!F177 = "Program Type - Live Event"),'Ingest Template'!M177&amp; "|DAR|DAR|"&amp;TEXT('Ingest Template'!C177-3, "yyyy-mm-dd")&amp;"|"&amp;TEXT('Ingest Template'!C177+3, "yyyy-mm-dd"),'Ingest Template'!M177&amp; "|DAR|DAR|2021-01-01")),(IF(OR('Ingest Template'!F177 = "Program Type - Special", 'Ingest Template'!F177 = "Program Type - Live Event"),'Ingest Template'!M177&amp; "|Operations - Core Title|Operations - Core Title|"&amp;TEXT('Ingest Template'!C177-3, "yyyy-mm-dd")&amp;"|"&amp;TEXT('Ingest Template'!C177+3, "yyyy-mm-dd"),'Ingest Template'!M177&amp; "|Operations - Core Title|Operations - Core Title")))</f>
        <v>|Operations - Core Title|Operations - Core Title</v>
      </c>
      <c r="AK177" s="35"/>
      <c r="AL177" s="117" t="str">
        <f>if('Ingest Template'!A177="Standard",(IF(OR('Ingest Template'!F177 = "Program Type - Special", 'Ingest Template'!F177 = "Program Type - Live Event"),'Ingest Template'!Q177&amp;"|"&amp;TEXT('Ingest Template'!C177-3, "yyyy-mm-dd")&amp;"|"&amp;TEXT('Ingest Template'!C177+3, "yyyy-mm-dd"),'Ingest Template'!Q177&amp; "|2021-01-01")),(IF(OR('Ingest Template'!F177 = "Program Type - Special", 'Ingest Template'!F177 = "Program Type - Live Event"),'Ingest Template'!Q177&amp; "|"&amp;TEXT('Ingest Template'!C177-3, "yyyy-mm-dd")&amp;"|"&amp;TEXT('Ingest Template'!C177+3, "yyyy-mm-dd"),'Ingest Template'!Q177)))</f>
        <v/>
      </c>
      <c r="AM177" s="35" t="str">
        <f>'Ingest Template'!AC177</f>
        <v/>
      </c>
    </row>
    <row r="178">
      <c r="A178" s="15"/>
      <c r="B178" s="22" t="str">
        <f>'Ingest Template'!C178&amp;IF('Ingest Template'!A178 = "Standard", " - DAR","")</f>
        <v/>
      </c>
      <c r="C178" s="22" t="s">
        <v>83</v>
      </c>
      <c r="D178" s="22" t="str">
        <f t="array" ref="D178">CONCATENATE(INDEX(DropdownLists!$H$2:$H$11,MATCH(1,COUNTIF('Ingest Template'!E178,"*"&amp;DropdownLists!$I$2:$I$11&amp;"*"),0)),CHAR(10),'Ingest Template'!F178,CHAR(10),'Ingest Template'!G178,CHAR(10),VLOOKUP('Ingest Template'!D178,DropdownLists!C:D,2,FALSE))</f>
        <v>#N/A</v>
      </c>
      <c r="E178" s="22" t="str">
        <f>CONCATENATE('Ingest Template'!H178,CHAR(10),'Ingest Template'!I178,CHAR(10),'Ingest Template'!J178,CHAR(10))</f>
        <v>
</v>
      </c>
      <c r="F178" s="35" t="str">
        <f t="array" ref="F178">INDEX(DropdownLists!$O$2:$O$36,MATCH(1,COUNTIF(E178,"*"&amp;DropdownLists!$N$2:$N$36&amp;"*"),0))</f>
        <v/>
      </c>
      <c r="G178" s="35"/>
      <c r="H178" s="22" t="str">
        <f t="array" ref="H178">INDEX(DropdownLists!$E$2:$E$276,MATCH('Ingest Template'!D178,DropdownLists!$C$2:$C$276,0))</f>
        <v>#N/A</v>
      </c>
      <c r="I178" s="22"/>
      <c r="J178" s="22" t="str">
        <f t="array" ref="J178">iF('Ingest Template'!A178="Standard","Pristine Brand",INDEX(DropdownLists!$B$2:$B$246,MATCH('Ingest Template'!D178,DropdownLists!$C$2:$C$246,0)))</f>
        <v>#N/A</v>
      </c>
      <c r="K178" s="22" t="str">
        <f>iF('Ingest Template'!A178="Standard",'Ingest Template'!K178&amp;CHAR(10)&amp;'Ingest Template'!L178,"Competitive View")</f>
        <v>Competitive View</v>
      </c>
      <c r="L178" s="22" t="s">
        <v>95</v>
      </c>
      <c r="M178" s="45" t="str">
        <f>'Ingest Template'!B178</f>
        <v/>
      </c>
      <c r="N178" s="35"/>
      <c r="O178" s="35"/>
      <c r="P178" s="35"/>
      <c r="Q178" s="35"/>
      <c r="R178" s="35" t="str">
        <f>'Ingest Template'!D178</f>
        <v/>
      </c>
      <c r="S178" s="22" t="s">
        <v>101</v>
      </c>
      <c r="T178" s="35" t="str">
        <f>'Ingest Template'!V178</f>
        <v/>
      </c>
      <c r="U178" s="35" t="str">
        <f>'Ingest Template'!W178</f>
        <v/>
      </c>
      <c r="V178" s="35" t="str">
        <f>LOWER(SUBSTITUTE(SUBSTITUTE(SUBSTITUTE(SUBSTITUTE(SUBSTITUTE('Ingest Template'!X178,"https:",""),"www.",""),"/",""),"?hl=en",""),"instagram.com",""))</f>
        <v/>
      </c>
      <c r="W178" s="74" t="str">
        <f t="array" ref="W178">IF(
'Ingest Template'!Y178="",
SUBSTITUTE(
INDEX(DropdownLists!$F$2:$F$277,MATCH('Ingest Template'!D178,DropdownLists!$C$2:$C$277,0)),
CHAR(10),
"|"&amp;'Ingest Template'!C178&amp;CHAR(10)
)&amp;"|"&amp;'Ingest Template'!C178,
SUBSTITUTE(
INDEX(DropdownLists!$F$2:$F$277,MATCH('Ingest Template'!D178,DropdownLists!$C$2:$C$277,0)),
CHAR(10),
"|"&amp;'Ingest Template'!C178&amp;CHAR(10)
)&amp;"|"&amp;'Ingest Template'!C178&amp;CHAR(10)&amp;'Ingest Template'!Y178
)</f>
        <v>#N/A</v>
      </c>
      <c r="X178" s="74" t="str">
        <f>'Ingest Template'!Z178</f>
        <v/>
      </c>
      <c r="Y178" s="35" t="str">
        <f>SUBSTITUTE(SUBSTITUTE(SUBSTITUTE('Ingest Template'!AA178,"http:",""),"https:",""),"/","")</f>
        <v/>
      </c>
      <c r="Z178" s="35" t="str">
        <f t="array" ref="Z178">IF('Ingest Template'!A178="Standard",(IF(ISBLANK('Ingest Template'!AB178),"", 'Ingest Template'!AB178&amp;"|DAR")),(IF(ISBLANK('Ingest Template'!AB178),"", 'Ingest Template'!AB178&amp;"|TV Ops")))</f>
        <v/>
      </c>
      <c r="AA178" s="35"/>
      <c r="AB178" s="35" t="str">
        <f>'Ingest Template'!R178</f>
        <v/>
      </c>
      <c r="AC178" s="35" t="str">
        <f>'Ingest Template'!T178</f>
        <v/>
      </c>
      <c r="AD178" s="35" t="str">
        <f>'Ingest Template'!S178</f>
        <v/>
      </c>
      <c r="AE178" s="35" t="str">
        <f>'Ingest Template'!U178</f>
        <v/>
      </c>
      <c r="AF178" s="22"/>
      <c r="AG178" s="35" t="str">
        <f t="array" ref="AG178">IF('Ingest Template'!A178="Standard",(CONCATENATE(IF(ISBLANK('Ingest Template'!N178),"", 'Ingest Template'!N178&amp;"|DAR"),CHAR(10), IF(ISBLANK('Ingest Template'!O178),"", 'Ingest Template'!O178&amp;"|DAR"),CHAR(10), IF(ISBLANK('Ingest Template'!P178),"", 'Ingest Template'!P178&amp;"|DAR"))),(CONCATENATE(IF(ISBLANK('Ingest Template'!N178),"", 'Ingest Template'!N178&amp;"|TV Ops"),CHAR(10), IF(ISBLANK('Ingest Template'!O178),"", 'Ingest Template'!O178&amp;"|TV Ops"),CHAR(10), IF(ISBLANK('Ingest Template'!P178),"", 'Ingest Template'!P178&amp;"|TV Ops"))))</f>
        <v>
</v>
      </c>
      <c r="AH178" s="35"/>
      <c r="AI178" s="35"/>
      <c r="AJ178" s="117" t="str">
        <f>if('Ingest Template'!A178="Standard",(IF(OR('Ingest Template'!F178 = "Program Type - Special", 'Ingest Template'!F178 = "Program Type - Live Event"),'Ingest Template'!M178&amp; "|DAR|DAR|"&amp;TEXT('Ingest Template'!C178-3, "yyyy-mm-dd")&amp;"|"&amp;TEXT('Ingest Template'!C178+3, "yyyy-mm-dd"),'Ingest Template'!M178&amp; "|DAR|DAR|2021-01-01")),(IF(OR('Ingest Template'!F178 = "Program Type - Special", 'Ingest Template'!F178 = "Program Type - Live Event"),'Ingest Template'!M178&amp; "|Operations - Core Title|Operations - Core Title|"&amp;TEXT('Ingest Template'!C178-3, "yyyy-mm-dd")&amp;"|"&amp;TEXT('Ingest Template'!C178+3, "yyyy-mm-dd"),'Ingest Template'!M178&amp; "|Operations - Core Title|Operations - Core Title")))</f>
        <v>|Operations - Core Title|Operations - Core Title</v>
      </c>
      <c r="AK178" s="35"/>
      <c r="AL178" s="117" t="str">
        <f>if('Ingest Template'!A178="Standard",(IF(OR('Ingest Template'!F178 = "Program Type - Special", 'Ingest Template'!F178 = "Program Type - Live Event"),'Ingest Template'!Q178&amp;"|"&amp;TEXT('Ingest Template'!C178-3, "yyyy-mm-dd")&amp;"|"&amp;TEXT('Ingest Template'!C178+3, "yyyy-mm-dd"),'Ingest Template'!Q178&amp; "|2021-01-01")),(IF(OR('Ingest Template'!F178 = "Program Type - Special", 'Ingest Template'!F178 = "Program Type - Live Event"),'Ingest Template'!Q178&amp; "|"&amp;TEXT('Ingest Template'!C178-3, "yyyy-mm-dd")&amp;"|"&amp;TEXT('Ingest Template'!C178+3, "yyyy-mm-dd"),'Ingest Template'!Q178)))</f>
        <v/>
      </c>
      <c r="AM178" s="35" t="str">
        <f>'Ingest Template'!AC178</f>
        <v/>
      </c>
    </row>
    <row r="179">
      <c r="A179" s="15"/>
      <c r="B179" s="22" t="str">
        <f>'Ingest Template'!C179&amp;IF('Ingest Template'!A179 = "Standard", " - DAR","")</f>
        <v/>
      </c>
      <c r="C179" s="22" t="s">
        <v>83</v>
      </c>
      <c r="D179" s="22" t="str">
        <f t="array" ref="D179">CONCATENATE(INDEX(DropdownLists!$H$2:$H$11,MATCH(1,COUNTIF('Ingest Template'!E179,"*"&amp;DropdownLists!$I$2:$I$11&amp;"*"),0)),CHAR(10),'Ingest Template'!F179,CHAR(10),'Ingest Template'!G179,CHAR(10),VLOOKUP('Ingest Template'!D179,DropdownLists!C:D,2,FALSE))</f>
        <v>#N/A</v>
      </c>
      <c r="E179" s="22" t="str">
        <f>CONCATENATE('Ingest Template'!H179,CHAR(10),'Ingest Template'!I179,CHAR(10),'Ingest Template'!J179,CHAR(10))</f>
        <v>
</v>
      </c>
      <c r="F179" s="35" t="str">
        <f t="array" ref="F179">INDEX(DropdownLists!$O$2:$O$36,MATCH(1,COUNTIF(E179,"*"&amp;DropdownLists!$N$2:$N$36&amp;"*"),0))</f>
        <v/>
      </c>
      <c r="G179" s="35"/>
      <c r="H179" s="22" t="str">
        <f t="array" ref="H179">INDEX(DropdownLists!$E$2:$E$276,MATCH('Ingest Template'!D179,DropdownLists!$C$2:$C$276,0))</f>
        <v>#N/A</v>
      </c>
      <c r="I179" s="22"/>
      <c r="J179" s="22" t="str">
        <f t="array" ref="J179">iF('Ingest Template'!A179="Standard","Pristine Brand",INDEX(DropdownLists!$B$2:$B$246,MATCH('Ingest Template'!D179,DropdownLists!$C$2:$C$246,0)))</f>
        <v>#N/A</v>
      </c>
      <c r="K179" s="22" t="str">
        <f>iF('Ingest Template'!A179="Standard",'Ingest Template'!K179&amp;CHAR(10)&amp;'Ingest Template'!L179,"Competitive View")</f>
        <v>Competitive View</v>
      </c>
      <c r="L179" s="22" t="s">
        <v>95</v>
      </c>
      <c r="M179" s="45" t="str">
        <f>'Ingest Template'!B179</f>
        <v/>
      </c>
      <c r="N179" s="35"/>
      <c r="O179" s="35"/>
      <c r="P179" s="35"/>
      <c r="Q179" s="35"/>
      <c r="R179" s="35" t="str">
        <f>'Ingest Template'!D179</f>
        <v/>
      </c>
      <c r="S179" s="22" t="s">
        <v>101</v>
      </c>
      <c r="T179" s="35" t="str">
        <f>'Ingest Template'!V179</f>
        <v/>
      </c>
      <c r="U179" s="35" t="str">
        <f>'Ingest Template'!W179</f>
        <v/>
      </c>
      <c r="V179" s="35" t="str">
        <f>LOWER(SUBSTITUTE(SUBSTITUTE(SUBSTITUTE(SUBSTITUTE(SUBSTITUTE('Ingest Template'!X179,"https:",""),"www.",""),"/",""),"?hl=en",""),"instagram.com",""))</f>
        <v/>
      </c>
      <c r="W179" s="74" t="str">
        <f t="array" ref="W179">IF(
'Ingest Template'!Y179="",
SUBSTITUTE(
INDEX(DropdownLists!$F$2:$F$277,MATCH('Ingest Template'!D179,DropdownLists!$C$2:$C$277,0)),
CHAR(10),
"|"&amp;'Ingest Template'!C179&amp;CHAR(10)
)&amp;"|"&amp;'Ingest Template'!C179,
SUBSTITUTE(
INDEX(DropdownLists!$F$2:$F$277,MATCH('Ingest Template'!D179,DropdownLists!$C$2:$C$277,0)),
CHAR(10),
"|"&amp;'Ingest Template'!C179&amp;CHAR(10)
)&amp;"|"&amp;'Ingest Template'!C179&amp;CHAR(10)&amp;'Ingest Template'!Y179
)</f>
        <v>#N/A</v>
      </c>
      <c r="X179" s="74" t="str">
        <f>'Ingest Template'!Z179</f>
        <v/>
      </c>
      <c r="Y179" s="35" t="str">
        <f>SUBSTITUTE(SUBSTITUTE(SUBSTITUTE('Ingest Template'!AA179,"http:",""),"https:",""),"/","")</f>
        <v/>
      </c>
      <c r="Z179" s="35" t="str">
        <f t="array" ref="Z179">IF('Ingest Template'!A179="Standard",(IF(ISBLANK('Ingest Template'!AB179),"", 'Ingest Template'!AB179&amp;"|DAR")),(IF(ISBLANK('Ingest Template'!AB179),"", 'Ingest Template'!AB179&amp;"|TV Ops")))</f>
        <v/>
      </c>
      <c r="AA179" s="35"/>
      <c r="AB179" s="35" t="str">
        <f>'Ingest Template'!R179</f>
        <v/>
      </c>
      <c r="AC179" s="35" t="str">
        <f>'Ingest Template'!T179</f>
        <v/>
      </c>
      <c r="AD179" s="35" t="str">
        <f>'Ingest Template'!S179</f>
        <v/>
      </c>
      <c r="AE179" s="35" t="str">
        <f>'Ingest Template'!U179</f>
        <v/>
      </c>
      <c r="AF179" s="22"/>
      <c r="AG179" s="35" t="str">
        <f t="array" ref="AG179">IF('Ingest Template'!A179="Standard",(CONCATENATE(IF(ISBLANK('Ingest Template'!N179),"", 'Ingest Template'!N179&amp;"|DAR"),CHAR(10), IF(ISBLANK('Ingest Template'!O179),"", 'Ingest Template'!O179&amp;"|DAR"),CHAR(10), IF(ISBLANK('Ingest Template'!P179),"", 'Ingest Template'!P179&amp;"|DAR"))),(CONCATENATE(IF(ISBLANK('Ingest Template'!N179),"", 'Ingest Template'!N179&amp;"|TV Ops"),CHAR(10), IF(ISBLANK('Ingest Template'!O179),"", 'Ingest Template'!O179&amp;"|TV Ops"),CHAR(10), IF(ISBLANK('Ingest Template'!P179),"", 'Ingest Template'!P179&amp;"|TV Ops"))))</f>
        <v>
</v>
      </c>
      <c r="AH179" s="35"/>
      <c r="AI179" s="35"/>
      <c r="AJ179" s="117" t="str">
        <f>if('Ingest Template'!A179="Standard",(IF(OR('Ingest Template'!F179 = "Program Type - Special", 'Ingest Template'!F179 = "Program Type - Live Event"),'Ingest Template'!M179&amp; "|DAR|DAR|"&amp;TEXT('Ingest Template'!C179-3, "yyyy-mm-dd")&amp;"|"&amp;TEXT('Ingest Template'!C179+3, "yyyy-mm-dd"),'Ingest Template'!M179&amp; "|DAR|DAR|2021-01-01")),(IF(OR('Ingest Template'!F179 = "Program Type - Special", 'Ingest Template'!F179 = "Program Type - Live Event"),'Ingest Template'!M179&amp; "|Operations - Core Title|Operations - Core Title|"&amp;TEXT('Ingest Template'!C179-3, "yyyy-mm-dd")&amp;"|"&amp;TEXT('Ingest Template'!C179+3, "yyyy-mm-dd"),'Ingest Template'!M179&amp; "|Operations - Core Title|Operations - Core Title")))</f>
        <v>|Operations - Core Title|Operations - Core Title</v>
      </c>
      <c r="AK179" s="35"/>
      <c r="AL179" s="117" t="str">
        <f>if('Ingest Template'!A179="Standard",(IF(OR('Ingest Template'!F179 = "Program Type - Special", 'Ingest Template'!F179 = "Program Type - Live Event"),'Ingest Template'!Q179&amp;"|"&amp;TEXT('Ingest Template'!C179-3, "yyyy-mm-dd")&amp;"|"&amp;TEXT('Ingest Template'!C179+3, "yyyy-mm-dd"),'Ingest Template'!Q179&amp; "|2021-01-01")),(IF(OR('Ingest Template'!F179 = "Program Type - Special", 'Ingest Template'!F179 = "Program Type - Live Event"),'Ingest Template'!Q179&amp; "|"&amp;TEXT('Ingest Template'!C179-3, "yyyy-mm-dd")&amp;"|"&amp;TEXT('Ingest Template'!C179+3, "yyyy-mm-dd"),'Ingest Template'!Q179)))</f>
        <v/>
      </c>
      <c r="AM179" s="35" t="str">
        <f>'Ingest Template'!AC179</f>
        <v/>
      </c>
    </row>
    <row r="180">
      <c r="A180" s="15"/>
      <c r="B180" s="22" t="str">
        <f>'Ingest Template'!C180&amp;IF('Ingest Template'!A180 = "Standard", " - DAR","")</f>
        <v/>
      </c>
      <c r="C180" s="22" t="s">
        <v>83</v>
      </c>
      <c r="D180" s="22" t="str">
        <f t="array" ref="D180">CONCATENATE(INDEX(DropdownLists!$H$2:$H$11,MATCH(1,COUNTIF('Ingest Template'!E180,"*"&amp;DropdownLists!$I$2:$I$11&amp;"*"),0)),CHAR(10),'Ingest Template'!F180,CHAR(10),'Ingest Template'!G180,CHAR(10),VLOOKUP('Ingest Template'!D180,DropdownLists!C:D,2,FALSE))</f>
        <v>#N/A</v>
      </c>
      <c r="E180" s="22" t="str">
        <f>CONCATENATE('Ingest Template'!H180,CHAR(10),'Ingest Template'!I180,CHAR(10),'Ingest Template'!J180,CHAR(10))</f>
        <v>
</v>
      </c>
      <c r="F180" s="35" t="str">
        <f t="array" ref="F180">INDEX(DropdownLists!$O$2:$O$36,MATCH(1,COUNTIF(E180,"*"&amp;DropdownLists!$N$2:$N$36&amp;"*"),0))</f>
        <v/>
      </c>
      <c r="G180" s="35"/>
      <c r="H180" s="22" t="str">
        <f t="array" ref="H180">INDEX(DropdownLists!$E$2:$E$276,MATCH('Ingest Template'!D180,DropdownLists!$C$2:$C$276,0))</f>
        <v>#N/A</v>
      </c>
      <c r="I180" s="22"/>
      <c r="J180" s="22" t="str">
        <f t="array" ref="J180">iF('Ingest Template'!A180="Standard","Pristine Brand",INDEX(DropdownLists!$B$2:$B$246,MATCH('Ingest Template'!D180,DropdownLists!$C$2:$C$246,0)))</f>
        <v>#N/A</v>
      </c>
      <c r="K180" s="22" t="str">
        <f>iF('Ingest Template'!A180="Standard",'Ingest Template'!K180&amp;CHAR(10)&amp;'Ingest Template'!L180,"Competitive View")</f>
        <v>Competitive View</v>
      </c>
      <c r="L180" s="22" t="s">
        <v>95</v>
      </c>
      <c r="M180" s="45" t="str">
        <f>'Ingest Template'!B180</f>
        <v/>
      </c>
      <c r="N180" s="35"/>
      <c r="O180" s="35"/>
      <c r="P180" s="35"/>
      <c r="Q180" s="35"/>
      <c r="R180" s="35" t="str">
        <f>'Ingest Template'!D180</f>
        <v/>
      </c>
      <c r="S180" s="22" t="s">
        <v>101</v>
      </c>
      <c r="T180" s="35" t="str">
        <f>'Ingest Template'!V180</f>
        <v/>
      </c>
      <c r="U180" s="35" t="str">
        <f>'Ingest Template'!W180</f>
        <v/>
      </c>
      <c r="V180" s="35" t="str">
        <f>LOWER(SUBSTITUTE(SUBSTITUTE(SUBSTITUTE(SUBSTITUTE(SUBSTITUTE('Ingest Template'!X180,"https:",""),"www.",""),"/",""),"?hl=en",""),"instagram.com",""))</f>
        <v/>
      </c>
      <c r="W180" s="74" t="str">
        <f t="array" ref="W180">IF(
'Ingest Template'!Y180="",
SUBSTITUTE(
INDEX(DropdownLists!$F$2:$F$277,MATCH('Ingest Template'!D180,DropdownLists!$C$2:$C$277,0)),
CHAR(10),
"|"&amp;'Ingest Template'!C180&amp;CHAR(10)
)&amp;"|"&amp;'Ingest Template'!C180,
SUBSTITUTE(
INDEX(DropdownLists!$F$2:$F$277,MATCH('Ingest Template'!D180,DropdownLists!$C$2:$C$277,0)),
CHAR(10),
"|"&amp;'Ingest Template'!C180&amp;CHAR(10)
)&amp;"|"&amp;'Ingest Template'!C180&amp;CHAR(10)&amp;'Ingest Template'!Y180
)</f>
        <v>#N/A</v>
      </c>
      <c r="X180" s="74" t="str">
        <f>'Ingest Template'!Z180</f>
        <v/>
      </c>
      <c r="Y180" s="35" t="str">
        <f>SUBSTITUTE(SUBSTITUTE(SUBSTITUTE('Ingest Template'!AA180,"http:",""),"https:",""),"/","")</f>
        <v/>
      </c>
      <c r="Z180" s="35" t="str">
        <f t="array" ref="Z180">IF('Ingest Template'!A180="Standard",(IF(ISBLANK('Ingest Template'!AB180),"", 'Ingest Template'!AB180&amp;"|DAR")),(IF(ISBLANK('Ingest Template'!AB180),"", 'Ingest Template'!AB180&amp;"|TV Ops")))</f>
        <v/>
      </c>
      <c r="AA180" s="35"/>
      <c r="AB180" s="35" t="str">
        <f>'Ingest Template'!R180</f>
        <v/>
      </c>
      <c r="AC180" s="35" t="str">
        <f>'Ingest Template'!T180</f>
        <v/>
      </c>
      <c r="AD180" s="35" t="str">
        <f>'Ingest Template'!S180</f>
        <v/>
      </c>
      <c r="AE180" s="35" t="str">
        <f>'Ingest Template'!U180</f>
        <v/>
      </c>
      <c r="AF180" s="22"/>
      <c r="AG180" s="35" t="str">
        <f t="array" ref="AG180">IF('Ingest Template'!A180="Standard",(CONCATENATE(IF(ISBLANK('Ingest Template'!N180),"", 'Ingest Template'!N180&amp;"|DAR"),CHAR(10), IF(ISBLANK('Ingest Template'!O180),"", 'Ingest Template'!O180&amp;"|DAR"),CHAR(10), IF(ISBLANK('Ingest Template'!P180),"", 'Ingest Template'!P180&amp;"|DAR"))),(CONCATENATE(IF(ISBLANK('Ingest Template'!N180),"", 'Ingest Template'!N180&amp;"|TV Ops"),CHAR(10), IF(ISBLANK('Ingest Template'!O180),"", 'Ingest Template'!O180&amp;"|TV Ops"),CHAR(10), IF(ISBLANK('Ingest Template'!P180),"", 'Ingest Template'!P180&amp;"|TV Ops"))))</f>
        <v>
</v>
      </c>
      <c r="AH180" s="35"/>
      <c r="AI180" s="35"/>
      <c r="AJ180" s="117" t="str">
        <f>if('Ingest Template'!A180="Standard",(IF(OR('Ingest Template'!F180 = "Program Type - Special", 'Ingest Template'!F180 = "Program Type - Live Event"),'Ingest Template'!M180&amp; "|DAR|DAR|"&amp;TEXT('Ingest Template'!C180-3, "yyyy-mm-dd")&amp;"|"&amp;TEXT('Ingest Template'!C180+3, "yyyy-mm-dd"),'Ingest Template'!M180&amp; "|DAR|DAR|2021-01-01")),(IF(OR('Ingest Template'!F180 = "Program Type - Special", 'Ingest Template'!F180 = "Program Type - Live Event"),'Ingest Template'!M180&amp; "|Operations - Core Title|Operations - Core Title|"&amp;TEXT('Ingest Template'!C180-3, "yyyy-mm-dd")&amp;"|"&amp;TEXT('Ingest Template'!C180+3, "yyyy-mm-dd"),'Ingest Template'!M180&amp; "|Operations - Core Title|Operations - Core Title")))</f>
        <v>|Operations - Core Title|Operations - Core Title</v>
      </c>
      <c r="AK180" s="35"/>
      <c r="AL180" s="117" t="str">
        <f>if('Ingest Template'!A180="Standard",(IF(OR('Ingest Template'!F180 = "Program Type - Special", 'Ingest Template'!F180 = "Program Type - Live Event"),'Ingest Template'!Q180&amp;"|"&amp;TEXT('Ingest Template'!C180-3, "yyyy-mm-dd")&amp;"|"&amp;TEXT('Ingest Template'!C180+3, "yyyy-mm-dd"),'Ingest Template'!Q180&amp; "|2021-01-01")),(IF(OR('Ingest Template'!F180 = "Program Type - Special", 'Ingest Template'!F180 = "Program Type - Live Event"),'Ingest Template'!Q180&amp; "|"&amp;TEXT('Ingest Template'!C180-3, "yyyy-mm-dd")&amp;"|"&amp;TEXT('Ingest Template'!C180+3, "yyyy-mm-dd"),'Ingest Template'!Q180)))</f>
        <v/>
      </c>
      <c r="AM180" s="35" t="str">
        <f>'Ingest Template'!AC180</f>
        <v/>
      </c>
    </row>
    <row r="181">
      <c r="A181" s="15"/>
      <c r="B181" s="22" t="str">
        <f>'Ingest Template'!C181&amp;IF('Ingest Template'!A181 = "Standard", " - DAR","")</f>
        <v/>
      </c>
      <c r="C181" s="22" t="s">
        <v>83</v>
      </c>
      <c r="D181" s="22" t="str">
        <f t="array" ref="D181">CONCATENATE(INDEX(DropdownLists!$H$2:$H$11,MATCH(1,COUNTIF('Ingest Template'!E181,"*"&amp;DropdownLists!$I$2:$I$11&amp;"*"),0)),CHAR(10),'Ingest Template'!F181,CHAR(10),'Ingest Template'!G181,CHAR(10),VLOOKUP('Ingest Template'!D181,DropdownLists!C:D,2,FALSE))</f>
        <v>#N/A</v>
      </c>
      <c r="E181" s="22" t="str">
        <f>CONCATENATE('Ingest Template'!H181,CHAR(10),'Ingest Template'!I181,CHAR(10),'Ingest Template'!J181,CHAR(10))</f>
        <v>
</v>
      </c>
      <c r="F181" s="35" t="str">
        <f t="array" ref="F181">INDEX(DropdownLists!$O$2:$O$36,MATCH(1,COUNTIF(E181,"*"&amp;DropdownLists!$N$2:$N$36&amp;"*"),0))</f>
        <v/>
      </c>
      <c r="G181" s="35"/>
      <c r="H181" s="22" t="str">
        <f t="array" ref="H181">INDEX(DropdownLists!$E$2:$E$276,MATCH('Ingest Template'!D181,DropdownLists!$C$2:$C$276,0))</f>
        <v>#N/A</v>
      </c>
      <c r="I181" s="22"/>
      <c r="J181" s="22" t="str">
        <f t="array" ref="J181">iF('Ingest Template'!A181="Standard","Pristine Brand",INDEX(DropdownLists!$B$2:$B$246,MATCH('Ingest Template'!D181,DropdownLists!$C$2:$C$246,0)))</f>
        <v>#N/A</v>
      </c>
      <c r="K181" s="22" t="str">
        <f>iF('Ingest Template'!A181="Standard",'Ingest Template'!K181&amp;CHAR(10)&amp;'Ingest Template'!L181,"Competitive View")</f>
        <v>Competitive View</v>
      </c>
      <c r="L181" s="22" t="s">
        <v>95</v>
      </c>
      <c r="M181" s="45" t="str">
        <f>'Ingest Template'!B181</f>
        <v/>
      </c>
      <c r="N181" s="35"/>
      <c r="O181" s="35"/>
      <c r="P181" s="35"/>
      <c r="Q181" s="35"/>
      <c r="R181" s="35" t="str">
        <f>'Ingest Template'!D181</f>
        <v/>
      </c>
      <c r="S181" s="22" t="s">
        <v>101</v>
      </c>
      <c r="T181" s="35" t="str">
        <f>'Ingest Template'!V181</f>
        <v/>
      </c>
      <c r="U181" s="35" t="str">
        <f>'Ingest Template'!W181</f>
        <v/>
      </c>
      <c r="V181" s="35" t="str">
        <f>LOWER(SUBSTITUTE(SUBSTITUTE(SUBSTITUTE(SUBSTITUTE(SUBSTITUTE('Ingest Template'!X181,"https:",""),"www.",""),"/",""),"?hl=en",""),"instagram.com",""))</f>
        <v/>
      </c>
      <c r="W181" s="74" t="str">
        <f t="array" ref="W181">IF(
'Ingest Template'!Y181="",
SUBSTITUTE(
INDEX(DropdownLists!$F$2:$F$277,MATCH('Ingest Template'!D181,DropdownLists!$C$2:$C$277,0)),
CHAR(10),
"|"&amp;'Ingest Template'!C181&amp;CHAR(10)
)&amp;"|"&amp;'Ingest Template'!C181,
SUBSTITUTE(
INDEX(DropdownLists!$F$2:$F$277,MATCH('Ingest Template'!D181,DropdownLists!$C$2:$C$277,0)),
CHAR(10),
"|"&amp;'Ingest Template'!C181&amp;CHAR(10)
)&amp;"|"&amp;'Ingest Template'!C181&amp;CHAR(10)&amp;'Ingest Template'!Y181
)</f>
        <v>#N/A</v>
      </c>
      <c r="X181" s="74" t="str">
        <f>'Ingest Template'!Z181</f>
        <v/>
      </c>
      <c r="Y181" s="35" t="str">
        <f>SUBSTITUTE(SUBSTITUTE(SUBSTITUTE('Ingest Template'!AA181,"http:",""),"https:",""),"/","")</f>
        <v/>
      </c>
      <c r="Z181" s="35" t="str">
        <f t="array" ref="Z181">IF('Ingest Template'!A181="Standard",(IF(ISBLANK('Ingest Template'!AB181),"", 'Ingest Template'!AB181&amp;"|DAR")),(IF(ISBLANK('Ingest Template'!AB181),"", 'Ingest Template'!AB181&amp;"|TV Ops")))</f>
        <v/>
      </c>
      <c r="AA181" s="35"/>
      <c r="AB181" s="35" t="str">
        <f>'Ingest Template'!R181</f>
        <v/>
      </c>
      <c r="AC181" s="35" t="str">
        <f>'Ingest Template'!T181</f>
        <v/>
      </c>
      <c r="AD181" s="35" t="str">
        <f>'Ingest Template'!S181</f>
        <v/>
      </c>
      <c r="AE181" s="35" t="str">
        <f>'Ingest Template'!U181</f>
        <v/>
      </c>
      <c r="AF181" s="22"/>
      <c r="AG181" s="35" t="str">
        <f t="array" ref="AG181">IF('Ingest Template'!A181="Standard",(CONCATENATE(IF(ISBLANK('Ingest Template'!N181),"", 'Ingest Template'!N181&amp;"|DAR"),CHAR(10), IF(ISBLANK('Ingest Template'!O181),"", 'Ingest Template'!O181&amp;"|DAR"),CHAR(10), IF(ISBLANK('Ingest Template'!P181),"", 'Ingest Template'!P181&amp;"|DAR"))),(CONCATENATE(IF(ISBLANK('Ingest Template'!N181),"", 'Ingest Template'!N181&amp;"|TV Ops"),CHAR(10), IF(ISBLANK('Ingest Template'!O181),"", 'Ingest Template'!O181&amp;"|TV Ops"),CHAR(10), IF(ISBLANK('Ingest Template'!P181),"", 'Ingest Template'!P181&amp;"|TV Ops"))))</f>
        <v>
</v>
      </c>
      <c r="AH181" s="35"/>
      <c r="AI181" s="35"/>
      <c r="AJ181" s="117" t="str">
        <f>if('Ingest Template'!A181="Standard",(IF(OR('Ingest Template'!F181 = "Program Type - Special", 'Ingest Template'!F181 = "Program Type - Live Event"),'Ingest Template'!M181&amp; "|DAR|DAR|"&amp;TEXT('Ingest Template'!C181-3, "yyyy-mm-dd")&amp;"|"&amp;TEXT('Ingest Template'!C181+3, "yyyy-mm-dd"),'Ingest Template'!M181&amp; "|DAR|DAR|2021-01-01")),(IF(OR('Ingest Template'!F181 = "Program Type - Special", 'Ingest Template'!F181 = "Program Type - Live Event"),'Ingest Template'!M181&amp; "|Operations - Core Title|Operations - Core Title|"&amp;TEXT('Ingest Template'!C181-3, "yyyy-mm-dd")&amp;"|"&amp;TEXT('Ingest Template'!C181+3, "yyyy-mm-dd"),'Ingest Template'!M181&amp; "|Operations - Core Title|Operations - Core Title")))</f>
        <v>|Operations - Core Title|Operations - Core Title</v>
      </c>
      <c r="AK181" s="35"/>
      <c r="AL181" s="117" t="str">
        <f>if('Ingest Template'!A181="Standard",(IF(OR('Ingest Template'!F181 = "Program Type - Special", 'Ingest Template'!F181 = "Program Type - Live Event"),'Ingest Template'!Q181&amp;"|"&amp;TEXT('Ingest Template'!C181-3, "yyyy-mm-dd")&amp;"|"&amp;TEXT('Ingest Template'!C181+3, "yyyy-mm-dd"),'Ingest Template'!Q181&amp; "|2021-01-01")),(IF(OR('Ingest Template'!F181 = "Program Type - Special", 'Ingest Template'!F181 = "Program Type - Live Event"),'Ingest Template'!Q181&amp; "|"&amp;TEXT('Ingest Template'!C181-3, "yyyy-mm-dd")&amp;"|"&amp;TEXT('Ingest Template'!C181+3, "yyyy-mm-dd"),'Ingest Template'!Q181)))</f>
        <v/>
      </c>
      <c r="AM181" s="35" t="str">
        <f>'Ingest Template'!AC181</f>
        <v/>
      </c>
    </row>
    <row r="182">
      <c r="A182" s="15"/>
      <c r="B182" s="22" t="str">
        <f>'Ingest Template'!C182&amp;IF('Ingest Template'!A182 = "Standard", " - DAR","")</f>
        <v/>
      </c>
      <c r="C182" s="22" t="s">
        <v>83</v>
      </c>
      <c r="D182" s="22" t="str">
        <f t="array" ref="D182">CONCATENATE(INDEX(DropdownLists!$H$2:$H$11,MATCH(1,COUNTIF('Ingest Template'!E182,"*"&amp;DropdownLists!$I$2:$I$11&amp;"*"),0)),CHAR(10),'Ingest Template'!F182,CHAR(10),'Ingest Template'!G182,CHAR(10),VLOOKUP('Ingest Template'!D182,DropdownLists!C:D,2,FALSE))</f>
        <v>#N/A</v>
      </c>
      <c r="E182" s="22" t="str">
        <f>CONCATENATE('Ingest Template'!H182,CHAR(10),'Ingest Template'!I182,CHAR(10),'Ingest Template'!J182,CHAR(10))</f>
        <v>
</v>
      </c>
      <c r="F182" s="35" t="str">
        <f t="array" ref="F182">INDEX(DropdownLists!$O$2:$O$36,MATCH(1,COUNTIF(E182,"*"&amp;DropdownLists!$N$2:$N$36&amp;"*"),0))</f>
        <v/>
      </c>
      <c r="G182" s="35"/>
      <c r="H182" s="22" t="str">
        <f t="array" ref="H182">INDEX(DropdownLists!$E$2:$E$276,MATCH('Ingest Template'!D182,DropdownLists!$C$2:$C$276,0))</f>
        <v>#N/A</v>
      </c>
      <c r="I182" s="22"/>
      <c r="J182" s="22" t="str">
        <f t="array" ref="J182">iF('Ingest Template'!A182="Standard","Pristine Brand",INDEX(DropdownLists!$B$2:$B$246,MATCH('Ingest Template'!D182,DropdownLists!$C$2:$C$246,0)))</f>
        <v>#N/A</v>
      </c>
      <c r="K182" s="22" t="str">
        <f>iF('Ingest Template'!A182="Standard",'Ingest Template'!K182&amp;CHAR(10)&amp;'Ingest Template'!L182,"Competitive View")</f>
        <v>Competitive View</v>
      </c>
      <c r="L182" s="22" t="s">
        <v>95</v>
      </c>
      <c r="M182" s="45" t="str">
        <f>'Ingest Template'!B182</f>
        <v/>
      </c>
      <c r="N182" s="35"/>
      <c r="O182" s="35"/>
      <c r="P182" s="35"/>
      <c r="Q182" s="35"/>
      <c r="R182" s="35" t="str">
        <f>'Ingest Template'!D182</f>
        <v/>
      </c>
      <c r="S182" s="22" t="s">
        <v>101</v>
      </c>
      <c r="T182" s="35" t="str">
        <f>'Ingest Template'!V182</f>
        <v/>
      </c>
      <c r="U182" s="35" t="str">
        <f>'Ingest Template'!W182</f>
        <v/>
      </c>
      <c r="V182" s="35" t="str">
        <f>LOWER(SUBSTITUTE(SUBSTITUTE(SUBSTITUTE(SUBSTITUTE(SUBSTITUTE('Ingest Template'!X182,"https:",""),"www.",""),"/",""),"?hl=en",""),"instagram.com",""))</f>
        <v/>
      </c>
      <c r="W182" s="74" t="str">
        <f t="array" ref="W182">IF(
'Ingest Template'!Y182="",
SUBSTITUTE(
INDEX(DropdownLists!$F$2:$F$277,MATCH('Ingest Template'!D182,DropdownLists!$C$2:$C$277,0)),
CHAR(10),
"|"&amp;'Ingest Template'!C182&amp;CHAR(10)
)&amp;"|"&amp;'Ingest Template'!C182,
SUBSTITUTE(
INDEX(DropdownLists!$F$2:$F$277,MATCH('Ingest Template'!D182,DropdownLists!$C$2:$C$277,0)),
CHAR(10),
"|"&amp;'Ingest Template'!C182&amp;CHAR(10)
)&amp;"|"&amp;'Ingest Template'!C182&amp;CHAR(10)&amp;'Ingest Template'!Y182
)</f>
        <v>#N/A</v>
      </c>
      <c r="X182" s="74" t="str">
        <f>'Ingest Template'!Z182</f>
        <v/>
      </c>
      <c r="Y182" s="35" t="str">
        <f>SUBSTITUTE(SUBSTITUTE(SUBSTITUTE('Ingest Template'!AA182,"http:",""),"https:",""),"/","")</f>
        <v/>
      </c>
      <c r="Z182" s="35" t="str">
        <f t="array" ref="Z182">IF('Ingest Template'!A182="Standard",(IF(ISBLANK('Ingest Template'!AB182),"", 'Ingest Template'!AB182&amp;"|DAR")),(IF(ISBLANK('Ingest Template'!AB182),"", 'Ingest Template'!AB182&amp;"|TV Ops")))</f>
        <v/>
      </c>
      <c r="AA182" s="35"/>
      <c r="AB182" s="35" t="str">
        <f>'Ingest Template'!R182</f>
        <v/>
      </c>
      <c r="AC182" s="35" t="str">
        <f>'Ingest Template'!T182</f>
        <v/>
      </c>
      <c r="AD182" s="35" t="str">
        <f>'Ingest Template'!S182</f>
        <v/>
      </c>
      <c r="AE182" s="35" t="str">
        <f>'Ingest Template'!U182</f>
        <v/>
      </c>
      <c r="AF182" s="22"/>
      <c r="AG182" s="35" t="str">
        <f t="array" ref="AG182">IF('Ingest Template'!A182="Standard",(CONCATENATE(IF(ISBLANK('Ingest Template'!N182),"", 'Ingest Template'!N182&amp;"|DAR"),CHAR(10), IF(ISBLANK('Ingest Template'!O182),"", 'Ingest Template'!O182&amp;"|DAR"),CHAR(10), IF(ISBLANK('Ingest Template'!P182),"", 'Ingest Template'!P182&amp;"|DAR"))),(CONCATENATE(IF(ISBLANK('Ingest Template'!N182),"", 'Ingest Template'!N182&amp;"|TV Ops"),CHAR(10), IF(ISBLANK('Ingest Template'!O182),"", 'Ingest Template'!O182&amp;"|TV Ops"),CHAR(10), IF(ISBLANK('Ingest Template'!P182),"", 'Ingest Template'!P182&amp;"|TV Ops"))))</f>
        <v>
</v>
      </c>
      <c r="AH182" s="35"/>
      <c r="AI182" s="35"/>
      <c r="AJ182" s="117" t="str">
        <f>if('Ingest Template'!A182="Standard",(IF(OR('Ingest Template'!F182 = "Program Type - Special", 'Ingest Template'!F182 = "Program Type - Live Event"),'Ingest Template'!M182&amp; "|DAR|DAR|"&amp;TEXT('Ingest Template'!C182-3, "yyyy-mm-dd")&amp;"|"&amp;TEXT('Ingest Template'!C182+3, "yyyy-mm-dd"),'Ingest Template'!M182&amp; "|DAR|DAR|2021-01-01")),(IF(OR('Ingest Template'!F182 = "Program Type - Special", 'Ingest Template'!F182 = "Program Type - Live Event"),'Ingest Template'!M182&amp; "|Operations - Core Title|Operations - Core Title|"&amp;TEXT('Ingest Template'!C182-3, "yyyy-mm-dd")&amp;"|"&amp;TEXT('Ingest Template'!C182+3, "yyyy-mm-dd"),'Ingest Template'!M182&amp; "|Operations - Core Title|Operations - Core Title")))</f>
        <v>|Operations - Core Title|Operations - Core Title</v>
      </c>
      <c r="AK182" s="35"/>
      <c r="AL182" s="117" t="str">
        <f>if('Ingest Template'!A182="Standard",(IF(OR('Ingest Template'!F182 = "Program Type - Special", 'Ingest Template'!F182 = "Program Type - Live Event"),'Ingest Template'!Q182&amp;"|"&amp;TEXT('Ingest Template'!C182-3, "yyyy-mm-dd")&amp;"|"&amp;TEXT('Ingest Template'!C182+3, "yyyy-mm-dd"),'Ingest Template'!Q182&amp; "|2021-01-01")),(IF(OR('Ingest Template'!F182 = "Program Type - Special", 'Ingest Template'!F182 = "Program Type - Live Event"),'Ingest Template'!Q182&amp; "|"&amp;TEXT('Ingest Template'!C182-3, "yyyy-mm-dd")&amp;"|"&amp;TEXT('Ingest Template'!C182+3, "yyyy-mm-dd"),'Ingest Template'!Q182)))</f>
        <v/>
      </c>
      <c r="AM182" s="35" t="str">
        <f>'Ingest Template'!AC182</f>
        <v/>
      </c>
    </row>
    <row r="183">
      <c r="A183" s="15"/>
      <c r="B183" s="22" t="str">
        <f>'Ingest Template'!C183&amp;IF('Ingest Template'!A183 = "Standard", " - DAR","")</f>
        <v/>
      </c>
      <c r="C183" s="22" t="s">
        <v>83</v>
      </c>
      <c r="D183" s="22" t="str">
        <f t="array" ref="D183">CONCATENATE(INDEX(DropdownLists!$H$2:$H$11,MATCH(1,COUNTIF('Ingest Template'!E183,"*"&amp;DropdownLists!$I$2:$I$11&amp;"*"),0)),CHAR(10),'Ingest Template'!F183,CHAR(10),'Ingest Template'!G183,CHAR(10),VLOOKUP('Ingest Template'!D183,DropdownLists!C:D,2,FALSE))</f>
        <v>#N/A</v>
      </c>
      <c r="E183" s="22" t="str">
        <f>CONCATENATE('Ingest Template'!H183,CHAR(10),'Ingest Template'!I183,CHAR(10),'Ingest Template'!J183,CHAR(10))</f>
        <v>
</v>
      </c>
      <c r="F183" s="35" t="str">
        <f t="array" ref="F183">INDEX(DropdownLists!$O$2:$O$36,MATCH(1,COUNTIF(E183,"*"&amp;DropdownLists!$N$2:$N$36&amp;"*"),0))</f>
        <v/>
      </c>
      <c r="G183" s="35"/>
      <c r="H183" s="22" t="str">
        <f t="array" ref="H183">INDEX(DropdownLists!$E$2:$E$276,MATCH('Ingest Template'!D183,DropdownLists!$C$2:$C$276,0))</f>
        <v>#N/A</v>
      </c>
      <c r="I183" s="22"/>
      <c r="J183" s="22" t="str">
        <f t="array" ref="J183">iF('Ingest Template'!A183="Standard","Pristine Brand",INDEX(DropdownLists!$B$2:$B$246,MATCH('Ingest Template'!D183,DropdownLists!$C$2:$C$246,0)))</f>
        <v>#N/A</v>
      </c>
      <c r="K183" s="22" t="str">
        <f>iF('Ingest Template'!A183="Standard",'Ingest Template'!K183&amp;CHAR(10)&amp;'Ingest Template'!L183,"Competitive View")</f>
        <v>Competitive View</v>
      </c>
      <c r="L183" s="22" t="s">
        <v>95</v>
      </c>
      <c r="M183" s="45" t="str">
        <f>'Ingest Template'!B183</f>
        <v/>
      </c>
      <c r="N183" s="35"/>
      <c r="O183" s="35"/>
      <c r="P183" s="35"/>
      <c r="Q183" s="35"/>
      <c r="R183" s="35" t="str">
        <f>'Ingest Template'!D183</f>
        <v/>
      </c>
      <c r="S183" s="22" t="s">
        <v>101</v>
      </c>
      <c r="T183" s="35" t="str">
        <f>'Ingest Template'!V183</f>
        <v/>
      </c>
      <c r="U183" s="35" t="str">
        <f>'Ingest Template'!W183</f>
        <v/>
      </c>
      <c r="V183" s="35" t="str">
        <f>LOWER(SUBSTITUTE(SUBSTITUTE(SUBSTITUTE(SUBSTITUTE(SUBSTITUTE('Ingest Template'!X183,"https:",""),"www.",""),"/",""),"?hl=en",""),"instagram.com",""))</f>
        <v/>
      </c>
      <c r="W183" s="74" t="str">
        <f t="array" ref="W183">IF(
'Ingest Template'!Y183="",
SUBSTITUTE(
INDEX(DropdownLists!$F$2:$F$277,MATCH('Ingest Template'!D183,DropdownLists!$C$2:$C$277,0)),
CHAR(10),
"|"&amp;'Ingest Template'!C183&amp;CHAR(10)
)&amp;"|"&amp;'Ingest Template'!C183,
SUBSTITUTE(
INDEX(DropdownLists!$F$2:$F$277,MATCH('Ingest Template'!D183,DropdownLists!$C$2:$C$277,0)),
CHAR(10),
"|"&amp;'Ingest Template'!C183&amp;CHAR(10)
)&amp;"|"&amp;'Ingest Template'!C183&amp;CHAR(10)&amp;'Ingest Template'!Y183
)</f>
        <v>#N/A</v>
      </c>
      <c r="X183" s="74" t="str">
        <f>'Ingest Template'!Z183</f>
        <v/>
      </c>
      <c r="Y183" s="35" t="str">
        <f>SUBSTITUTE(SUBSTITUTE(SUBSTITUTE('Ingest Template'!AA183,"http:",""),"https:",""),"/","")</f>
        <v/>
      </c>
      <c r="Z183" s="35" t="str">
        <f t="array" ref="Z183">IF('Ingest Template'!A183="Standard",(IF(ISBLANK('Ingest Template'!AB183),"", 'Ingest Template'!AB183&amp;"|DAR")),(IF(ISBLANK('Ingest Template'!AB183),"", 'Ingest Template'!AB183&amp;"|TV Ops")))</f>
        <v/>
      </c>
      <c r="AA183" s="35"/>
      <c r="AB183" s="35" t="str">
        <f>'Ingest Template'!R183</f>
        <v/>
      </c>
      <c r="AC183" s="35" t="str">
        <f>'Ingest Template'!T183</f>
        <v/>
      </c>
      <c r="AD183" s="35" t="str">
        <f>'Ingest Template'!S183</f>
        <v/>
      </c>
      <c r="AE183" s="35" t="str">
        <f>'Ingest Template'!U183</f>
        <v/>
      </c>
      <c r="AF183" s="22"/>
      <c r="AG183" s="35" t="str">
        <f t="array" ref="AG183">IF('Ingest Template'!A183="Standard",(CONCATENATE(IF(ISBLANK('Ingest Template'!N183),"", 'Ingest Template'!N183&amp;"|DAR"),CHAR(10), IF(ISBLANK('Ingest Template'!O183),"", 'Ingest Template'!O183&amp;"|DAR"),CHAR(10), IF(ISBLANK('Ingest Template'!P183),"", 'Ingest Template'!P183&amp;"|DAR"))),(CONCATENATE(IF(ISBLANK('Ingest Template'!N183),"", 'Ingest Template'!N183&amp;"|TV Ops"),CHAR(10), IF(ISBLANK('Ingest Template'!O183),"", 'Ingest Template'!O183&amp;"|TV Ops"),CHAR(10), IF(ISBLANK('Ingest Template'!P183),"", 'Ingest Template'!P183&amp;"|TV Ops"))))</f>
        <v>
</v>
      </c>
      <c r="AH183" s="35"/>
      <c r="AI183" s="35"/>
      <c r="AJ183" s="117" t="str">
        <f>if('Ingest Template'!A183="Standard",(IF(OR('Ingest Template'!F183 = "Program Type - Special", 'Ingest Template'!F183 = "Program Type - Live Event"),'Ingest Template'!M183&amp; "|DAR|DAR|"&amp;TEXT('Ingest Template'!C183-3, "yyyy-mm-dd")&amp;"|"&amp;TEXT('Ingest Template'!C183+3, "yyyy-mm-dd"),'Ingest Template'!M183&amp; "|DAR|DAR|2021-01-01")),(IF(OR('Ingest Template'!F183 = "Program Type - Special", 'Ingest Template'!F183 = "Program Type - Live Event"),'Ingest Template'!M183&amp; "|Operations - Core Title|Operations - Core Title|"&amp;TEXT('Ingest Template'!C183-3, "yyyy-mm-dd")&amp;"|"&amp;TEXT('Ingest Template'!C183+3, "yyyy-mm-dd"),'Ingest Template'!M183&amp; "|Operations - Core Title|Operations - Core Title")))</f>
        <v>|Operations - Core Title|Operations - Core Title</v>
      </c>
      <c r="AK183" s="35"/>
      <c r="AL183" s="117" t="str">
        <f>if('Ingest Template'!A183="Standard",(IF(OR('Ingest Template'!F183 = "Program Type - Special", 'Ingest Template'!F183 = "Program Type - Live Event"),'Ingest Template'!Q183&amp;"|"&amp;TEXT('Ingest Template'!C183-3, "yyyy-mm-dd")&amp;"|"&amp;TEXT('Ingest Template'!C183+3, "yyyy-mm-dd"),'Ingest Template'!Q183&amp; "|2021-01-01")),(IF(OR('Ingest Template'!F183 = "Program Type - Special", 'Ingest Template'!F183 = "Program Type - Live Event"),'Ingest Template'!Q183&amp; "|"&amp;TEXT('Ingest Template'!C183-3, "yyyy-mm-dd")&amp;"|"&amp;TEXT('Ingest Template'!C183+3, "yyyy-mm-dd"),'Ingest Template'!Q183)))</f>
        <v/>
      </c>
      <c r="AM183" s="35" t="str">
        <f>'Ingest Template'!AC183</f>
        <v/>
      </c>
    </row>
    <row r="184">
      <c r="A184" s="15"/>
      <c r="B184" s="22" t="str">
        <f>'Ingest Template'!C184&amp;IF('Ingest Template'!A184 = "Standard", " - DAR","")</f>
        <v/>
      </c>
      <c r="C184" s="22" t="s">
        <v>83</v>
      </c>
      <c r="D184" s="22" t="str">
        <f t="array" ref="D184">CONCATENATE(INDEX(DropdownLists!$H$2:$H$11,MATCH(1,COUNTIF('Ingest Template'!E184,"*"&amp;DropdownLists!$I$2:$I$11&amp;"*"),0)),CHAR(10),'Ingest Template'!F184,CHAR(10),'Ingest Template'!G184,CHAR(10),VLOOKUP('Ingest Template'!D184,DropdownLists!C:D,2,FALSE))</f>
        <v>#N/A</v>
      </c>
      <c r="E184" s="22" t="str">
        <f>CONCATENATE('Ingest Template'!H184,CHAR(10),'Ingest Template'!I184,CHAR(10),'Ingest Template'!J184,CHAR(10))</f>
        <v>
</v>
      </c>
      <c r="F184" s="35" t="str">
        <f t="array" ref="F184">INDEX(DropdownLists!$O$2:$O$36,MATCH(1,COUNTIF(E184,"*"&amp;DropdownLists!$N$2:$N$36&amp;"*"),0))</f>
        <v/>
      </c>
      <c r="G184" s="35"/>
      <c r="H184" s="22" t="str">
        <f t="array" ref="H184">INDEX(DropdownLists!$E$2:$E$276,MATCH('Ingest Template'!D184,DropdownLists!$C$2:$C$276,0))</f>
        <v>#N/A</v>
      </c>
      <c r="I184" s="22"/>
      <c r="J184" s="22" t="str">
        <f t="array" ref="J184">iF('Ingest Template'!A184="Standard","Pristine Brand",INDEX(DropdownLists!$B$2:$B$246,MATCH('Ingest Template'!D184,DropdownLists!$C$2:$C$246,0)))</f>
        <v>#N/A</v>
      </c>
      <c r="K184" s="22" t="str">
        <f>iF('Ingest Template'!A184="Standard",'Ingest Template'!K184&amp;CHAR(10)&amp;'Ingest Template'!L184,"Competitive View")</f>
        <v>Competitive View</v>
      </c>
      <c r="L184" s="22" t="s">
        <v>95</v>
      </c>
      <c r="M184" s="45" t="str">
        <f>'Ingest Template'!B184</f>
        <v/>
      </c>
      <c r="N184" s="35"/>
      <c r="O184" s="35"/>
      <c r="P184" s="35"/>
      <c r="Q184" s="35"/>
      <c r="R184" s="35" t="str">
        <f>'Ingest Template'!D184</f>
        <v/>
      </c>
      <c r="S184" s="22" t="s">
        <v>101</v>
      </c>
      <c r="T184" s="35" t="str">
        <f>'Ingest Template'!V184</f>
        <v/>
      </c>
      <c r="U184" s="35" t="str">
        <f>'Ingest Template'!W184</f>
        <v/>
      </c>
      <c r="V184" s="35" t="str">
        <f>LOWER(SUBSTITUTE(SUBSTITUTE(SUBSTITUTE(SUBSTITUTE(SUBSTITUTE('Ingest Template'!X184,"https:",""),"www.",""),"/",""),"?hl=en",""),"instagram.com",""))</f>
        <v/>
      </c>
      <c r="W184" s="74" t="str">
        <f t="array" ref="W184">IF(
'Ingest Template'!Y184="",
SUBSTITUTE(
INDEX(DropdownLists!$F$2:$F$277,MATCH('Ingest Template'!D184,DropdownLists!$C$2:$C$277,0)),
CHAR(10),
"|"&amp;'Ingest Template'!C184&amp;CHAR(10)
)&amp;"|"&amp;'Ingest Template'!C184,
SUBSTITUTE(
INDEX(DropdownLists!$F$2:$F$277,MATCH('Ingest Template'!D184,DropdownLists!$C$2:$C$277,0)),
CHAR(10),
"|"&amp;'Ingest Template'!C184&amp;CHAR(10)
)&amp;"|"&amp;'Ingest Template'!C184&amp;CHAR(10)&amp;'Ingest Template'!Y184
)</f>
        <v>#N/A</v>
      </c>
      <c r="X184" s="74" t="str">
        <f>'Ingest Template'!Z184</f>
        <v/>
      </c>
      <c r="Y184" s="35" t="str">
        <f>SUBSTITUTE(SUBSTITUTE(SUBSTITUTE('Ingest Template'!AA184,"http:",""),"https:",""),"/","")</f>
        <v/>
      </c>
      <c r="Z184" s="35" t="str">
        <f t="array" ref="Z184">IF('Ingest Template'!A184="Standard",(IF(ISBLANK('Ingest Template'!AB184),"", 'Ingest Template'!AB184&amp;"|DAR")),(IF(ISBLANK('Ingest Template'!AB184),"", 'Ingest Template'!AB184&amp;"|TV Ops")))</f>
        <v/>
      </c>
      <c r="AA184" s="35"/>
      <c r="AB184" s="35" t="str">
        <f>'Ingest Template'!R184</f>
        <v/>
      </c>
      <c r="AC184" s="35" t="str">
        <f>'Ingest Template'!T184</f>
        <v/>
      </c>
      <c r="AD184" s="35" t="str">
        <f>'Ingest Template'!S184</f>
        <v/>
      </c>
      <c r="AE184" s="35" t="str">
        <f>'Ingest Template'!U184</f>
        <v/>
      </c>
      <c r="AF184" s="22"/>
      <c r="AG184" s="35" t="str">
        <f t="array" ref="AG184">IF('Ingest Template'!A184="Standard",(CONCATENATE(IF(ISBLANK('Ingest Template'!N184),"", 'Ingest Template'!N184&amp;"|DAR"),CHAR(10), IF(ISBLANK('Ingest Template'!O184),"", 'Ingest Template'!O184&amp;"|DAR"),CHAR(10), IF(ISBLANK('Ingest Template'!P184),"", 'Ingest Template'!P184&amp;"|DAR"))),(CONCATENATE(IF(ISBLANK('Ingest Template'!N184),"", 'Ingest Template'!N184&amp;"|TV Ops"),CHAR(10), IF(ISBLANK('Ingest Template'!O184),"", 'Ingest Template'!O184&amp;"|TV Ops"),CHAR(10), IF(ISBLANK('Ingest Template'!P184),"", 'Ingest Template'!P184&amp;"|TV Ops"))))</f>
        <v>
</v>
      </c>
      <c r="AH184" s="35"/>
      <c r="AI184" s="35"/>
      <c r="AJ184" s="117" t="str">
        <f>if('Ingest Template'!A184="Standard",(IF(OR('Ingest Template'!F184 = "Program Type - Special", 'Ingest Template'!F184 = "Program Type - Live Event"),'Ingest Template'!M184&amp; "|DAR|DAR|"&amp;TEXT('Ingest Template'!C184-3, "yyyy-mm-dd")&amp;"|"&amp;TEXT('Ingest Template'!C184+3, "yyyy-mm-dd"),'Ingest Template'!M184&amp; "|DAR|DAR|2021-01-01")),(IF(OR('Ingest Template'!F184 = "Program Type - Special", 'Ingest Template'!F184 = "Program Type - Live Event"),'Ingest Template'!M184&amp; "|Operations - Core Title|Operations - Core Title|"&amp;TEXT('Ingest Template'!C184-3, "yyyy-mm-dd")&amp;"|"&amp;TEXT('Ingest Template'!C184+3, "yyyy-mm-dd"),'Ingest Template'!M184&amp; "|Operations - Core Title|Operations - Core Title")))</f>
        <v>|Operations - Core Title|Operations - Core Title</v>
      </c>
      <c r="AK184" s="35"/>
      <c r="AL184" s="117" t="str">
        <f>if('Ingest Template'!A184="Standard",(IF(OR('Ingest Template'!F184 = "Program Type - Special", 'Ingest Template'!F184 = "Program Type - Live Event"),'Ingest Template'!Q184&amp;"|"&amp;TEXT('Ingest Template'!C184-3, "yyyy-mm-dd")&amp;"|"&amp;TEXT('Ingest Template'!C184+3, "yyyy-mm-dd"),'Ingest Template'!Q184&amp; "|2021-01-01")),(IF(OR('Ingest Template'!F184 = "Program Type - Special", 'Ingest Template'!F184 = "Program Type - Live Event"),'Ingest Template'!Q184&amp; "|"&amp;TEXT('Ingest Template'!C184-3, "yyyy-mm-dd")&amp;"|"&amp;TEXT('Ingest Template'!C184+3, "yyyy-mm-dd"),'Ingest Template'!Q184)))</f>
        <v/>
      </c>
      <c r="AM184" s="35" t="str">
        <f>'Ingest Template'!AC184</f>
        <v/>
      </c>
    </row>
    <row r="185">
      <c r="A185" s="15"/>
      <c r="B185" s="22" t="str">
        <f>'Ingest Template'!C185&amp;IF('Ingest Template'!A185 = "Standard", " - DAR","")</f>
        <v/>
      </c>
      <c r="C185" s="22" t="s">
        <v>83</v>
      </c>
      <c r="D185" s="22" t="str">
        <f t="array" ref="D185">CONCATENATE(INDEX(DropdownLists!$H$2:$H$11,MATCH(1,COUNTIF('Ingest Template'!E185,"*"&amp;DropdownLists!$I$2:$I$11&amp;"*"),0)),CHAR(10),'Ingest Template'!F185,CHAR(10),'Ingest Template'!G185,CHAR(10),VLOOKUP('Ingest Template'!D185,DropdownLists!C:D,2,FALSE))</f>
        <v>#N/A</v>
      </c>
      <c r="E185" s="22" t="str">
        <f>CONCATENATE('Ingest Template'!H185,CHAR(10),'Ingest Template'!I185,CHAR(10),'Ingest Template'!J185,CHAR(10))</f>
        <v>
</v>
      </c>
      <c r="F185" s="35" t="str">
        <f t="array" ref="F185">INDEX(DropdownLists!$O$2:$O$36,MATCH(1,COUNTIF(E185,"*"&amp;DropdownLists!$N$2:$N$36&amp;"*"),0))</f>
        <v/>
      </c>
      <c r="G185" s="35"/>
      <c r="H185" s="22" t="str">
        <f t="array" ref="H185">INDEX(DropdownLists!$E$2:$E$276,MATCH('Ingest Template'!D185,DropdownLists!$C$2:$C$276,0))</f>
        <v>#N/A</v>
      </c>
      <c r="I185" s="22"/>
      <c r="J185" s="22" t="str">
        <f t="array" ref="J185">iF('Ingest Template'!A185="Standard","Pristine Brand",INDEX(DropdownLists!$B$2:$B$246,MATCH('Ingest Template'!D185,DropdownLists!$C$2:$C$246,0)))</f>
        <v>#N/A</v>
      </c>
      <c r="K185" s="22" t="str">
        <f>iF('Ingest Template'!A185="Standard",'Ingest Template'!K185&amp;CHAR(10)&amp;'Ingest Template'!L185,"Competitive View")</f>
        <v>Competitive View</v>
      </c>
      <c r="L185" s="22" t="s">
        <v>95</v>
      </c>
      <c r="M185" s="45" t="str">
        <f>'Ingest Template'!B185</f>
        <v/>
      </c>
      <c r="N185" s="35"/>
      <c r="O185" s="35"/>
      <c r="P185" s="35"/>
      <c r="Q185" s="35"/>
      <c r="R185" s="35" t="str">
        <f>'Ingest Template'!D185</f>
        <v/>
      </c>
      <c r="S185" s="22" t="s">
        <v>101</v>
      </c>
      <c r="T185" s="35" t="str">
        <f>'Ingest Template'!V185</f>
        <v/>
      </c>
      <c r="U185" s="35" t="str">
        <f>'Ingest Template'!W185</f>
        <v/>
      </c>
      <c r="V185" s="35" t="str">
        <f>LOWER(SUBSTITUTE(SUBSTITUTE(SUBSTITUTE(SUBSTITUTE(SUBSTITUTE('Ingest Template'!X185,"https:",""),"www.",""),"/",""),"?hl=en",""),"instagram.com",""))</f>
        <v/>
      </c>
      <c r="W185" s="74" t="str">
        <f t="array" ref="W185">IF(
'Ingest Template'!Y185="",
SUBSTITUTE(
INDEX(DropdownLists!$F$2:$F$277,MATCH('Ingest Template'!D185,DropdownLists!$C$2:$C$277,0)),
CHAR(10),
"|"&amp;'Ingest Template'!C185&amp;CHAR(10)
)&amp;"|"&amp;'Ingest Template'!C185,
SUBSTITUTE(
INDEX(DropdownLists!$F$2:$F$277,MATCH('Ingest Template'!D185,DropdownLists!$C$2:$C$277,0)),
CHAR(10),
"|"&amp;'Ingest Template'!C185&amp;CHAR(10)
)&amp;"|"&amp;'Ingest Template'!C185&amp;CHAR(10)&amp;'Ingest Template'!Y185
)</f>
        <v>#N/A</v>
      </c>
      <c r="X185" s="74" t="str">
        <f>'Ingest Template'!Z185</f>
        <v/>
      </c>
      <c r="Y185" s="35" t="str">
        <f>SUBSTITUTE(SUBSTITUTE(SUBSTITUTE('Ingest Template'!AA185,"http:",""),"https:",""),"/","")</f>
        <v/>
      </c>
      <c r="Z185" s="35" t="str">
        <f t="array" ref="Z185">IF('Ingest Template'!A185="Standard",(IF(ISBLANK('Ingest Template'!AB185),"", 'Ingest Template'!AB185&amp;"|DAR")),(IF(ISBLANK('Ingest Template'!AB185),"", 'Ingest Template'!AB185&amp;"|TV Ops")))</f>
        <v/>
      </c>
      <c r="AA185" s="35"/>
      <c r="AB185" s="35" t="str">
        <f>'Ingest Template'!R185</f>
        <v/>
      </c>
      <c r="AC185" s="35" t="str">
        <f>'Ingest Template'!T185</f>
        <v/>
      </c>
      <c r="AD185" s="35" t="str">
        <f>'Ingest Template'!S185</f>
        <v/>
      </c>
      <c r="AE185" s="35" t="str">
        <f>'Ingest Template'!U185</f>
        <v/>
      </c>
      <c r="AF185" s="22"/>
      <c r="AG185" s="35" t="str">
        <f t="array" ref="AG185">IF('Ingest Template'!A185="Standard",(CONCATENATE(IF(ISBLANK('Ingest Template'!N185),"", 'Ingest Template'!N185&amp;"|DAR"),CHAR(10), IF(ISBLANK('Ingest Template'!O185),"", 'Ingest Template'!O185&amp;"|DAR"),CHAR(10), IF(ISBLANK('Ingest Template'!P185),"", 'Ingest Template'!P185&amp;"|DAR"))),(CONCATENATE(IF(ISBLANK('Ingest Template'!N185),"", 'Ingest Template'!N185&amp;"|TV Ops"),CHAR(10), IF(ISBLANK('Ingest Template'!O185),"", 'Ingest Template'!O185&amp;"|TV Ops"),CHAR(10), IF(ISBLANK('Ingest Template'!P185),"", 'Ingest Template'!P185&amp;"|TV Ops"))))</f>
        <v>
</v>
      </c>
      <c r="AH185" s="35"/>
      <c r="AI185" s="35"/>
      <c r="AJ185" s="117" t="str">
        <f>if('Ingest Template'!A185="Standard",(IF(OR('Ingest Template'!F185 = "Program Type - Special", 'Ingest Template'!F185 = "Program Type - Live Event"),'Ingest Template'!M185&amp; "|DAR|DAR|"&amp;TEXT('Ingest Template'!C185-3, "yyyy-mm-dd")&amp;"|"&amp;TEXT('Ingest Template'!C185+3, "yyyy-mm-dd"),'Ingest Template'!M185&amp; "|DAR|DAR|2021-01-01")),(IF(OR('Ingest Template'!F185 = "Program Type - Special", 'Ingest Template'!F185 = "Program Type - Live Event"),'Ingest Template'!M185&amp; "|Operations - Core Title|Operations - Core Title|"&amp;TEXT('Ingest Template'!C185-3, "yyyy-mm-dd")&amp;"|"&amp;TEXT('Ingest Template'!C185+3, "yyyy-mm-dd"),'Ingest Template'!M185&amp; "|Operations - Core Title|Operations - Core Title")))</f>
        <v>|Operations - Core Title|Operations - Core Title</v>
      </c>
      <c r="AK185" s="35"/>
      <c r="AL185" s="117" t="str">
        <f>if('Ingest Template'!A185="Standard",(IF(OR('Ingest Template'!F185 = "Program Type - Special", 'Ingest Template'!F185 = "Program Type - Live Event"),'Ingest Template'!Q185&amp;"|"&amp;TEXT('Ingest Template'!C185-3, "yyyy-mm-dd")&amp;"|"&amp;TEXT('Ingest Template'!C185+3, "yyyy-mm-dd"),'Ingest Template'!Q185&amp; "|2021-01-01")),(IF(OR('Ingest Template'!F185 = "Program Type - Special", 'Ingest Template'!F185 = "Program Type - Live Event"),'Ingest Template'!Q185&amp; "|"&amp;TEXT('Ingest Template'!C185-3, "yyyy-mm-dd")&amp;"|"&amp;TEXT('Ingest Template'!C185+3, "yyyy-mm-dd"),'Ingest Template'!Q185)))</f>
        <v/>
      </c>
      <c r="AM185" s="35" t="str">
        <f>'Ingest Template'!AC185</f>
        <v/>
      </c>
    </row>
    <row r="186">
      <c r="A186" s="15"/>
      <c r="B186" s="22" t="str">
        <f>'Ingest Template'!C186&amp;IF('Ingest Template'!A186 = "Standard", " - DAR","")</f>
        <v/>
      </c>
      <c r="C186" s="22" t="s">
        <v>83</v>
      </c>
      <c r="D186" s="22" t="str">
        <f t="array" ref="D186">CONCATENATE(INDEX(DropdownLists!$H$2:$H$11,MATCH(1,COUNTIF('Ingest Template'!E186,"*"&amp;DropdownLists!$I$2:$I$11&amp;"*"),0)),CHAR(10),'Ingest Template'!F186,CHAR(10),'Ingest Template'!G186,CHAR(10),VLOOKUP('Ingest Template'!D186,DropdownLists!C:D,2,FALSE))</f>
        <v>#N/A</v>
      </c>
      <c r="E186" s="22" t="str">
        <f>CONCATENATE('Ingest Template'!H186,CHAR(10),'Ingest Template'!I186,CHAR(10),'Ingest Template'!J186,CHAR(10))</f>
        <v>
</v>
      </c>
      <c r="F186" s="35" t="str">
        <f t="array" ref="F186">INDEX(DropdownLists!$O$2:$O$36,MATCH(1,COUNTIF(E186,"*"&amp;DropdownLists!$N$2:$N$36&amp;"*"),0))</f>
        <v/>
      </c>
      <c r="G186" s="35"/>
      <c r="H186" s="22" t="str">
        <f t="array" ref="H186">INDEX(DropdownLists!$E$2:$E$276,MATCH('Ingest Template'!D186,DropdownLists!$C$2:$C$276,0))</f>
        <v>#N/A</v>
      </c>
      <c r="I186" s="22"/>
      <c r="J186" s="22" t="str">
        <f t="array" ref="J186">iF('Ingest Template'!A186="Standard","Pristine Brand",INDEX(DropdownLists!$B$2:$B$246,MATCH('Ingest Template'!D186,DropdownLists!$C$2:$C$246,0)))</f>
        <v>#N/A</v>
      </c>
      <c r="K186" s="22" t="str">
        <f>iF('Ingest Template'!A186="Standard",'Ingest Template'!K186&amp;CHAR(10)&amp;'Ingest Template'!L186,"Competitive View")</f>
        <v>Competitive View</v>
      </c>
      <c r="L186" s="22" t="s">
        <v>95</v>
      </c>
      <c r="M186" s="45" t="str">
        <f>'Ingest Template'!B186</f>
        <v/>
      </c>
      <c r="N186" s="35"/>
      <c r="O186" s="35"/>
      <c r="P186" s="35"/>
      <c r="Q186" s="35"/>
      <c r="R186" s="35" t="str">
        <f>'Ingest Template'!D186</f>
        <v/>
      </c>
      <c r="S186" s="22" t="s">
        <v>101</v>
      </c>
      <c r="T186" s="35" t="str">
        <f>'Ingest Template'!V186</f>
        <v/>
      </c>
      <c r="U186" s="35" t="str">
        <f>'Ingest Template'!W186</f>
        <v/>
      </c>
      <c r="V186" s="35" t="str">
        <f>LOWER(SUBSTITUTE(SUBSTITUTE(SUBSTITUTE(SUBSTITUTE(SUBSTITUTE('Ingest Template'!X186,"https:",""),"www.",""),"/",""),"?hl=en",""),"instagram.com",""))</f>
        <v/>
      </c>
      <c r="W186" s="74" t="str">
        <f t="array" ref="W186">IF(
'Ingest Template'!Y186="",
SUBSTITUTE(
INDEX(DropdownLists!$F$2:$F$277,MATCH('Ingest Template'!D186,DropdownLists!$C$2:$C$277,0)),
CHAR(10),
"|"&amp;'Ingest Template'!C186&amp;CHAR(10)
)&amp;"|"&amp;'Ingest Template'!C186,
SUBSTITUTE(
INDEX(DropdownLists!$F$2:$F$277,MATCH('Ingest Template'!D186,DropdownLists!$C$2:$C$277,0)),
CHAR(10),
"|"&amp;'Ingest Template'!C186&amp;CHAR(10)
)&amp;"|"&amp;'Ingest Template'!C186&amp;CHAR(10)&amp;'Ingest Template'!Y186
)</f>
        <v>#N/A</v>
      </c>
      <c r="X186" s="74" t="str">
        <f>'Ingest Template'!Z186</f>
        <v/>
      </c>
      <c r="Y186" s="35" t="str">
        <f>SUBSTITUTE(SUBSTITUTE(SUBSTITUTE('Ingest Template'!AA186,"http:",""),"https:",""),"/","")</f>
        <v/>
      </c>
      <c r="Z186" s="35" t="str">
        <f t="array" ref="Z186">IF('Ingest Template'!A186="Standard",(IF(ISBLANK('Ingest Template'!AB186),"", 'Ingest Template'!AB186&amp;"|DAR")),(IF(ISBLANK('Ingest Template'!AB186),"", 'Ingest Template'!AB186&amp;"|TV Ops")))</f>
        <v/>
      </c>
      <c r="AA186" s="35"/>
      <c r="AB186" s="35" t="str">
        <f>'Ingest Template'!R186</f>
        <v/>
      </c>
      <c r="AC186" s="35" t="str">
        <f>'Ingest Template'!T186</f>
        <v/>
      </c>
      <c r="AD186" s="35" t="str">
        <f>'Ingest Template'!S186</f>
        <v/>
      </c>
      <c r="AE186" s="35" t="str">
        <f>'Ingest Template'!U186</f>
        <v/>
      </c>
      <c r="AF186" s="22"/>
      <c r="AG186" s="35" t="str">
        <f t="array" ref="AG186">IF('Ingest Template'!A186="Standard",(CONCATENATE(IF(ISBLANK('Ingest Template'!N186),"", 'Ingest Template'!N186&amp;"|DAR"),CHAR(10), IF(ISBLANK('Ingest Template'!O186),"", 'Ingest Template'!O186&amp;"|DAR"),CHAR(10), IF(ISBLANK('Ingest Template'!P186),"", 'Ingest Template'!P186&amp;"|DAR"))),(CONCATENATE(IF(ISBLANK('Ingest Template'!N186),"", 'Ingest Template'!N186&amp;"|TV Ops"),CHAR(10), IF(ISBLANK('Ingest Template'!O186),"", 'Ingest Template'!O186&amp;"|TV Ops"),CHAR(10), IF(ISBLANK('Ingest Template'!P186),"", 'Ingest Template'!P186&amp;"|TV Ops"))))</f>
        <v>
</v>
      </c>
      <c r="AH186" s="35"/>
      <c r="AI186" s="35"/>
      <c r="AJ186" s="117" t="str">
        <f>if('Ingest Template'!A186="Standard",(IF(OR('Ingest Template'!F186 = "Program Type - Special", 'Ingest Template'!F186 = "Program Type - Live Event"),'Ingest Template'!M186&amp; "|DAR|DAR|"&amp;TEXT('Ingest Template'!C186-3, "yyyy-mm-dd")&amp;"|"&amp;TEXT('Ingest Template'!C186+3, "yyyy-mm-dd"),'Ingest Template'!M186&amp; "|DAR|DAR|2021-01-01")),(IF(OR('Ingest Template'!F186 = "Program Type - Special", 'Ingest Template'!F186 = "Program Type - Live Event"),'Ingest Template'!M186&amp; "|Operations - Core Title|Operations - Core Title|"&amp;TEXT('Ingest Template'!C186-3, "yyyy-mm-dd")&amp;"|"&amp;TEXT('Ingest Template'!C186+3, "yyyy-mm-dd"),'Ingest Template'!M186&amp; "|Operations - Core Title|Operations - Core Title")))</f>
        <v>|Operations - Core Title|Operations - Core Title</v>
      </c>
      <c r="AK186" s="35"/>
      <c r="AL186" s="117" t="str">
        <f>if('Ingest Template'!A186="Standard",(IF(OR('Ingest Template'!F186 = "Program Type - Special", 'Ingest Template'!F186 = "Program Type - Live Event"),'Ingest Template'!Q186&amp;"|"&amp;TEXT('Ingest Template'!C186-3, "yyyy-mm-dd")&amp;"|"&amp;TEXT('Ingest Template'!C186+3, "yyyy-mm-dd"),'Ingest Template'!Q186&amp; "|2021-01-01")),(IF(OR('Ingest Template'!F186 = "Program Type - Special", 'Ingest Template'!F186 = "Program Type - Live Event"),'Ingest Template'!Q186&amp; "|"&amp;TEXT('Ingest Template'!C186-3, "yyyy-mm-dd")&amp;"|"&amp;TEXT('Ingest Template'!C186+3, "yyyy-mm-dd"),'Ingest Template'!Q186)))</f>
        <v/>
      </c>
      <c r="AM186" s="35" t="str">
        <f>'Ingest Template'!AC186</f>
        <v/>
      </c>
    </row>
    <row r="187">
      <c r="A187" s="15"/>
      <c r="B187" s="22" t="str">
        <f>'Ingest Template'!C187&amp;IF('Ingest Template'!A187 = "Standard", " - DAR","")</f>
        <v/>
      </c>
      <c r="C187" s="22" t="s">
        <v>83</v>
      </c>
      <c r="D187" s="22" t="str">
        <f t="array" ref="D187">CONCATENATE(INDEX(DropdownLists!$H$2:$H$11,MATCH(1,COUNTIF('Ingest Template'!E187,"*"&amp;DropdownLists!$I$2:$I$11&amp;"*"),0)),CHAR(10),'Ingest Template'!F187,CHAR(10),'Ingest Template'!G187,CHAR(10),VLOOKUP('Ingest Template'!D187,DropdownLists!C:D,2,FALSE))</f>
        <v>#N/A</v>
      </c>
      <c r="E187" s="22" t="str">
        <f>CONCATENATE('Ingest Template'!H187,CHAR(10),'Ingest Template'!I187,CHAR(10),'Ingest Template'!J187,CHAR(10))</f>
        <v>
</v>
      </c>
      <c r="F187" s="35" t="str">
        <f t="array" ref="F187">INDEX(DropdownLists!$O$2:$O$36,MATCH(1,COUNTIF(E187,"*"&amp;DropdownLists!$N$2:$N$36&amp;"*"),0))</f>
        <v/>
      </c>
      <c r="G187" s="35"/>
      <c r="H187" s="22" t="str">
        <f t="array" ref="H187">INDEX(DropdownLists!$E$2:$E$276,MATCH('Ingest Template'!D187,DropdownLists!$C$2:$C$276,0))</f>
        <v>#N/A</v>
      </c>
      <c r="I187" s="22"/>
      <c r="J187" s="22" t="str">
        <f t="array" ref="J187">iF('Ingest Template'!A187="Standard","Pristine Brand",INDEX(DropdownLists!$B$2:$B$246,MATCH('Ingest Template'!D187,DropdownLists!$C$2:$C$246,0)))</f>
        <v>#N/A</v>
      </c>
      <c r="K187" s="22" t="str">
        <f>iF('Ingest Template'!A187="Standard",'Ingest Template'!K187&amp;CHAR(10)&amp;'Ingest Template'!L187,"Competitive View")</f>
        <v>Competitive View</v>
      </c>
      <c r="L187" s="22" t="s">
        <v>95</v>
      </c>
      <c r="M187" s="45" t="str">
        <f>'Ingest Template'!B187</f>
        <v/>
      </c>
      <c r="N187" s="35"/>
      <c r="O187" s="35"/>
      <c r="P187" s="35"/>
      <c r="Q187" s="35"/>
      <c r="R187" s="35" t="str">
        <f>'Ingest Template'!D187</f>
        <v/>
      </c>
      <c r="S187" s="22" t="s">
        <v>101</v>
      </c>
      <c r="T187" s="35" t="str">
        <f>'Ingest Template'!V187</f>
        <v/>
      </c>
      <c r="U187" s="35" t="str">
        <f>'Ingest Template'!W187</f>
        <v/>
      </c>
      <c r="V187" s="35" t="str">
        <f>LOWER(SUBSTITUTE(SUBSTITUTE(SUBSTITUTE(SUBSTITUTE(SUBSTITUTE('Ingest Template'!X187,"https:",""),"www.",""),"/",""),"?hl=en",""),"instagram.com",""))</f>
        <v/>
      </c>
      <c r="W187" s="74" t="str">
        <f t="array" ref="W187">IF(
'Ingest Template'!Y187="",
SUBSTITUTE(
INDEX(DropdownLists!$F$2:$F$277,MATCH('Ingest Template'!D187,DropdownLists!$C$2:$C$277,0)),
CHAR(10),
"|"&amp;'Ingest Template'!C187&amp;CHAR(10)
)&amp;"|"&amp;'Ingest Template'!C187,
SUBSTITUTE(
INDEX(DropdownLists!$F$2:$F$277,MATCH('Ingest Template'!D187,DropdownLists!$C$2:$C$277,0)),
CHAR(10),
"|"&amp;'Ingest Template'!C187&amp;CHAR(10)
)&amp;"|"&amp;'Ingest Template'!C187&amp;CHAR(10)&amp;'Ingest Template'!Y187
)</f>
        <v>#N/A</v>
      </c>
      <c r="X187" s="74" t="str">
        <f>'Ingest Template'!Z187</f>
        <v/>
      </c>
      <c r="Y187" s="35" t="str">
        <f>SUBSTITUTE(SUBSTITUTE(SUBSTITUTE('Ingest Template'!AA187,"http:",""),"https:",""),"/","")</f>
        <v/>
      </c>
      <c r="Z187" s="35" t="str">
        <f t="array" ref="Z187">IF('Ingest Template'!A187="Standard",(IF(ISBLANK('Ingest Template'!AB187),"", 'Ingest Template'!AB187&amp;"|DAR")),(IF(ISBLANK('Ingest Template'!AB187),"", 'Ingest Template'!AB187&amp;"|TV Ops")))</f>
        <v/>
      </c>
      <c r="AA187" s="35"/>
      <c r="AB187" s="35" t="str">
        <f>'Ingest Template'!R187</f>
        <v/>
      </c>
      <c r="AC187" s="35" t="str">
        <f>'Ingest Template'!T187</f>
        <v/>
      </c>
      <c r="AD187" s="35" t="str">
        <f>'Ingest Template'!S187</f>
        <v/>
      </c>
      <c r="AE187" s="35" t="str">
        <f>'Ingest Template'!U187</f>
        <v/>
      </c>
      <c r="AF187" s="22"/>
      <c r="AG187" s="35" t="str">
        <f t="array" ref="AG187">IF('Ingest Template'!A187="Standard",(CONCATENATE(IF(ISBLANK('Ingest Template'!N187),"", 'Ingest Template'!N187&amp;"|DAR"),CHAR(10), IF(ISBLANK('Ingest Template'!O187),"", 'Ingest Template'!O187&amp;"|DAR"),CHAR(10), IF(ISBLANK('Ingest Template'!P187),"", 'Ingest Template'!P187&amp;"|DAR"))),(CONCATENATE(IF(ISBLANK('Ingest Template'!N187),"", 'Ingest Template'!N187&amp;"|TV Ops"),CHAR(10), IF(ISBLANK('Ingest Template'!O187),"", 'Ingest Template'!O187&amp;"|TV Ops"),CHAR(10), IF(ISBLANK('Ingest Template'!P187),"", 'Ingest Template'!P187&amp;"|TV Ops"))))</f>
        <v>
</v>
      </c>
      <c r="AH187" s="35"/>
      <c r="AI187" s="35"/>
      <c r="AJ187" s="117" t="str">
        <f>if('Ingest Template'!A187="Standard",(IF(OR('Ingest Template'!F187 = "Program Type - Special", 'Ingest Template'!F187 = "Program Type - Live Event"),'Ingest Template'!M187&amp; "|DAR|DAR|"&amp;TEXT('Ingest Template'!C187-3, "yyyy-mm-dd")&amp;"|"&amp;TEXT('Ingest Template'!C187+3, "yyyy-mm-dd"),'Ingest Template'!M187&amp; "|DAR|DAR|2021-01-01")),(IF(OR('Ingest Template'!F187 = "Program Type - Special", 'Ingest Template'!F187 = "Program Type - Live Event"),'Ingest Template'!M187&amp; "|Operations - Core Title|Operations - Core Title|"&amp;TEXT('Ingest Template'!C187-3, "yyyy-mm-dd")&amp;"|"&amp;TEXT('Ingest Template'!C187+3, "yyyy-mm-dd"),'Ingest Template'!M187&amp; "|Operations - Core Title|Operations - Core Title")))</f>
        <v>|Operations - Core Title|Operations - Core Title</v>
      </c>
      <c r="AK187" s="35"/>
      <c r="AL187" s="117" t="str">
        <f>if('Ingest Template'!A187="Standard",(IF(OR('Ingest Template'!F187 = "Program Type - Special", 'Ingest Template'!F187 = "Program Type - Live Event"),'Ingest Template'!Q187&amp;"|"&amp;TEXT('Ingest Template'!C187-3, "yyyy-mm-dd")&amp;"|"&amp;TEXT('Ingest Template'!C187+3, "yyyy-mm-dd"),'Ingest Template'!Q187&amp; "|2021-01-01")),(IF(OR('Ingest Template'!F187 = "Program Type - Special", 'Ingest Template'!F187 = "Program Type - Live Event"),'Ingest Template'!Q187&amp; "|"&amp;TEXT('Ingest Template'!C187-3, "yyyy-mm-dd")&amp;"|"&amp;TEXT('Ingest Template'!C187+3, "yyyy-mm-dd"),'Ingest Template'!Q187)))</f>
        <v/>
      </c>
      <c r="AM187" s="35" t="str">
        <f>'Ingest Template'!AC187</f>
        <v/>
      </c>
    </row>
    <row r="188">
      <c r="A188" s="15"/>
      <c r="B188" s="22" t="str">
        <f>'Ingest Template'!C188&amp;IF('Ingest Template'!A188 = "Standard", " - DAR","")</f>
        <v/>
      </c>
      <c r="C188" s="22" t="s">
        <v>83</v>
      </c>
      <c r="D188" s="22" t="str">
        <f t="array" ref="D188">CONCATENATE(INDEX(DropdownLists!$H$2:$H$11,MATCH(1,COUNTIF('Ingest Template'!E188,"*"&amp;DropdownLists!$I$2:$I$11&amp;"*"),0)),CHAR(10),'Ingest Template'!F188,CHAR(10),'Ingest Template'!G188,CHAR(10),VLOOKUP('Ingest Template'!D188,DropdownLists!C:D,2,FALSE))</f>
        <v>#N/A</v>
      </c>
      <c r="E188" s="22" t="str">
        <f>CONCATENATE('Ingest Template'!H188,CHAR(10),'Ingest Template'!I188,CHAR(10),'Ingest Template'!J188,CHAR(10))</f>
        <v>
</v>
      </c>
      <c r="F188" s="35" t="str">
        <f t="array" ref="F188">INDEX(DropdownLists!$O$2:$O$36,MATCH(1,COUNTIF(E188,"*"&amp;DropdownLists!$N$2:$N$36&amp;"*"),0))</f>
        <v/>
      </c>
      <c r="G188" s="35"/>
      <c r="H188" s="22" t="str">
        <f t="array" ref="H188">INDEX(DropdownLists!$E$2:$E$276,MATCH('Ingest Template'!D188,DropdownLists!$C$2:$C$276,0))</f>
        <v>#N/A</v>
      </c>
      <c r="I188" s="22"/>
      <c r="J188" s="22" t="str">
        <f t="array" ref="J188">iF('Ingest Template'!A188="Standard","Pristine Brand",INDEX(DropdownLists!$B$2:$B$246,MATCH('Ingest Template'!D188,DropdownLists!$C$2:$C$246,0)))</f>
        <v>#N/A</v>
      </c>
      <c r="K188" s="22" t="str">
        <f>iF('Ingest Template'!A188="Standard",'Ingest Template'!K188&amp;CHAR(10)&amp;'Ingest Template'!L188,"Competitive View")</f>
        <v>Competitive View</v>
      </c>
      <c r="L188" s="22" t="s">
        <v>95</v>
      </c>
      <c r="M188" s="45" t="str">
        <f>'Ingest Template'!B188</f>
        <v/>
      </c>
      <c r="N188" s="35"/>
      <c r="O188" s="35"/>
      <c r="P188" s="35"/>
      <c r="Q188" s="35"/>
      <c r="R188" s="35" t="str">
        <f>'Ingest Template'!D188</f>
        <v/>
      </c>
      <c r="S188" s="22" t="s">
        <v>101</v>
      </c>
      <c r="T188" s="35" t="str">
        <f>'Ingest Template'!V188</f>
        <v/>
      </c>
      <c r="U188" s="35" t="str">
        <f>'Ingest Template'!W188</f>
        <v/>
      </c>
      <c r="V188" s="35" t="str">
        <f>LOWER(SUBSTITUTE(SUBSTITUTE(SUBSTITUTE(SUBSTITUTE(SUBSTITUTE('Ingest Template'!X188,"https:",""),"www.",""),"/",""),"?hl=en",""),"instagram.com",""))</f>
        <v/>
      </c>
      <c r="W188" s="74" t="str">
        <f t="array" ref="W188">IF(
'Ingest Template'!Y188="",
SUBSTITUTE(
INDEX(DropdownLists!$F$2:$F$277,MATCH('Ingest Template'!D188,DropdownLists!$C$2:$C$277,0)),
CHAR(10),
"|"&amp;'Ingest Template'!C188&amp;CHAR(10)
)&amp;"|"&amp;'Ingest Template'!C188,
SUBSTITUTE(
INDEX(DropdownLists!$F$2:$F$277,MATCH('Ingest Template'!D188,DropdownLists!$C$2:$C$277,0)),
CHAR(10),
"|"&amp;'Ingest Template'!C188&amp;CHAR(10)
)&amp;"|"&amp;'Ingest Template'!C188&amp;CHAR(10)&amp;'Ingest Template'!Y188
)</f>
        <v>#N/A</v>
      </c>
      <c r="X188" s="74" t="str">
        <f>'Ingest Template'!Z188</f>
        <v/>
      </c>
      <c r="Y188" s="35" t="str">
        <f>SUBSTITUTE(SUBSTITUTE(SUBSTITUTE('Ingest Template'!AA188,"http:",""),"https:",""),"/","")</f>
        <v/>
      </c>
      <c r="Z188" s="35" t="str">
        <f t="array" ref="Z188">IF('Ingest Template'!A188="Standard",(IF(ISBLANK('Ingest Template'!AB188),"", 'Ingest Template'!AB188&amp;"|DAR")),(IF(ISBLANK('Ingest Template'!AB188),"", 'Ingest Template'!AB188&amp;"|TV Ops")))</f>
        <v/>
      </c>
      <c r="AA188" s="35"/>
      <c r="AB188" s="35" t="str">
        <f>'Ingest Template'!R188</f>
        <v/>
      </c>
      <c r="AC188" s="35" t="str">
        <f>'Ingest Template'!T188</f>
        <v/>
      </c>
      <c r="AD188" s="35" t="str">
        <f>'Ingest Template'!S188</f>
        <v/>
      </c>
      <c r="AE188" s="35" t="str">
        <f>'Ingest Template'!U188</f>
        <v/>
      </c>
      <c r="AF188" s="22"/>
      <c r="AG188" s="35" t="str">
        <f t="array" ref="AG188">IF('Ingest Template'!A188="Standard",(CONCATENATE(IF(ISBLANK('Ingest Template'!N188),"", 'Ingest Template'!N188&amp;"|DAR"),CHAR(10), IF(ISBLANK('Ingest Template'!O188),"", 'Ingest Template'!O188&amp;"|DAR"),CHAR(10), IF(ISBLANK('Ingest Template'!P188),"", 'Ingest Template'!P188&amp;"|DAR"))),(CONCATENATE(IF(ISBLANK('Ingest Template'!N188),"", 'Ingest Template'!N188&amp;"|TV Ops"),CHAR(10), IF(ISBLANK('Ingest Template'!O188),"", 'Ingest Template'!O188&amp;"|TV Ops"),CHAR(10), IF(ISBLANK('Ingest Template'!P188),"", 'Ingest Template'!P188&amp;"|TV Ops"))))</f>
        <v>
</v>
      </c>
      <c r="AH188" s="35"/>
      <c r="AI188" s="35"/>
      <c r="AJ188" s="117" t="str">
        <f>if('Ingest Template'!A188="Standard",(IF(OR('Ingest Template'!F188 = "Program Type - Special", 'Ingest Template'!F188 = "Program Type - Live Event"),'Ingest Template'!M188&amp; "|DAR|DAR|"&amp;TEXT('Ingest Template'!C188-3, "yyyy-mm-dd")&amp;"|"&amp;TEXT('Ingest Template'!C188+3, "yyyy-mm-dd"),'Ingest Template'!M188&amp; "|DAR|DAR|2021-01-01")),(IF(OR('Ingest Template'!F188 = "Program Type - Special", 'Ingest Template'!F188 = "Program Type - Live Event"),'Ingest Template'!M188&amp; "|Operations - Core Title|Operations - Core Title|"&amp;TEXT('Ingest Template'!C188-3, "yyyy-mm-dd")&amp;"|"&amp;TEXT('Ingest Template'!C188+3, "yyyy-mm-dd"),'Ingest Template'!M188&amp; "|Operations - Core Title|Operations - Core Title")))</f>
        <v>|Operations - Core Title|Operations - Core Title</v>
      </c>
      <c r="AK188" s="35"/>
      <c r="AL188" s="117" t="str">
        <f>if('Ingest Template'!A188="Standard",(IF(OR('Ingest Template'!F188 = "Program Type - Special", 'Ingest Template'!F188 = "Program Type - Live Event"),'Ingest Template'!Q188&amp;"|"&amp;TEXT('Ingest Template'!C188-3, "yyyy-mm-dd")&amp;"|"&amp;TEXT('Ingest Template'!C188+3, "yyyy-mm-dd"),'Ingest Template'!Q188&amp; "|2021-01-01")),(IF(OR('Ingest Template'!F188 = "Program Type - Special", 'Ingest Template'!F188 = "Program Type - Live Event"),'Ingest Template'!Q188&amp; "|"&amp;TEXT('Ingest Template'!C188-3, "yyyy-mm-dd")&amp;"|"&amp;TEXT('Ingest Template'!C188+3, "yyyy-mm-dd"),'Ingest Template'!Q188)))</f>
        <v/>
      </c>
      <c r="AM188" s="35" t="str">
        <f>'Ingest Template'!AC188</f>
        <v/>
      </c>
    </row>
    <row r="189">
      <c r="A189" s="15"/>
      <c r="B189" s="22" t="str">
        <f>'Ingest Template'!C189&amp;IF('Ingest Template'!A189 = "Standard", " - DAR","")</f>
        <v/>
      </c>
      <c r="C189" s="22" t="s">
        <v>83</v>
      </c>
      <c r="D189" s="22" t="str">
        <f t="array" ref="D189">CONCATENATE(INDEX(DropdownLists!$H$2:$H$11,MATCH(1,COUNTIF('Ingest Template'!E189,"*"&amp;DropdownLists!$I$2:$I$11&amp;"*"),0)),CHAR(10),'Ingest Template'!F189,CHAR(10),'Ingest Template'!G189,CHAR(10),VLOOKUP('Ingest Template'!D189,DropdownLists!C:D,2,FALSE))</f>
        <v>#N/A</v>
      </c>
      <c r="E189" s="22" t="str">
        <f>CONCATENATE('Ingest Template'!H189,CHAR(10),'Ingest Template'!I189,CHAR(10),'Ingest Template'!J189,CHAR(10))</f>
        <v>
</v>
      </c>
      <c r="F189" s="35" t="str">
        <f t="array" ref="F189">INDEX(DropdownLists!$O$2:$O$36,MATCH(1,COUNTIF(E189,"*"&amp;DropdownLists!$N$2:$N$36&amp;"*"),0))</f>
        <v/>
      </c>
      <c r="G189" s="35"/>
      <c r="H189" s="22" t="str">
        <f t="array" ref="H189">INDEX(DropdownLists!$E$2:$E$276,MATCH('Ingest Template'!D189,DropdownLists!$C$2:$C$276,0))</f>
        <v>#N/A</v>
      </c>
      <c r="I189" s="22"/>
      <c r="J189" s="22" t="str">
        <f t="array" ref="J189">iF('Ingest Template'!A189="Standard","Pristine Brand",INDEX(DropdownLists!$B$2:$B$246,MATCH('Ingest Template'!D189,DropdownLists!$C$2:$C$246,0)))</f>
        <v>#N/A</v>
      </c>
      <c r="K189" s="22" t="str">
        <f>iF('Ingest Template'!A189="Standard",'Ingest Template'!K189&amp;CHAR(10)&amp;'Ingest Template'!L189,"Competitive View")</f>
        <v>Competitive View</v>
      </c>
      <c r="L189" s="22" t="s">
        <v>95</v>
      </c>
      <c r="M189" s="45" t="str">
        <f>'Ingest Template'!B189</f>
        <v/>
      </c>
      <c r="N189" s="35"/>
      <c r="O189" s="35"/>
      <c r="P189" s="35"/>
      <c r="Q189" s="35"/>
      <c r="R189" s="35" t="str">
        <f>'Ingest Template'!D189</f>
        <v/>
      </c>
      <c r="S189" s="22" t="s">
        <v>101</v>
      </c>
      <c r="T189" s="35" t="str">
        <f>'Ingest Template'!V189</f>
        <v/>
      </c>
      <c r="U189" s="35" t="str">
        <f>'Ingest Template'!W189</f>
        <v/>
      </c>
      <c r="V189" s="35" t="str">
        <f>LOWER(SUBSTITUTE(SUBSTITUTE(SUBSTITUTE(SUBSTITUTE(SUBSTITUTE('Ingest Template'!X189,"https:",""),"www.",""),"/",""),"?hl=en",""),"instagram.com",""))</f>
        <v/>
      </c>
      <c r="W189" s="74" t="str">
        <f t="array" ref="W189">IF(
'Ingest Template'!Y189="",
SUBSTITUTE(
INDEX(DropdownLists!$F$2:$F$277,MATCH('Ingest Template'!D189,DropdownLists!$C$2:$C$277,0)),
CHAR(10),
"|"&amp;'Ingest Template'!C189&amp;CHAR(10)
)&amp;"|"&amp;'Ingest Template'!C189,
SUBSTITUTE(
INDEX(DropdownLists!$F$2:$F$277,MATCH('Ingest Template'!D189,DropdownLists!$C$2:$C$277,0)),
CHAR(10),
"|"&amp;'Ingest Template'!C189&amp;CHAR(10)
)&amp;"|"&amp;'Ingest Template'!C189&amp;CHAR(10)&amp;'Ingest Template'!Y189
)</f>
        <v>#N/A</v>
      </c>
      <c r="X189" s="74" t="str">
        <f>'Ingest Template'!Z189</f>
        <v/>
      </c>
      <c r="Y189" s="35" t="str">
        <f>SUBSTITUTE(SUBSTITUTE(SUBSTITUTE('Ingest Template'!AA189,"http:",""),"https:",""),"/","")</f>
        <v/>
      </c>
      <c r="Z189" s="35" t="str">
        <f t="array" ref="Z189">IF('Ingest Template'!A189="Standard",(IF(ISBLANK('Ingest Template'!AB189),"", 'Ingest Template'!AB189&amp;"|DAR")),(IF(ISBLANK('Ingest Template'!AB189),"", 'Ingest Template'!AB189&amp;"|TV Ops")))</f>
        <v/>
      </c>
      <c r="AA189" s="35"/>
      <c r="AB189" s="35" t="str">
        <f>'Ingest Template'!R189</f>
        <v/>
      </c>
      <c r="AC189" s="35" t="str">
        <f>'Ingest Template'!T189</f>
        <v/>
      </c>
      <c r="AD189" s="35" t="str">
        <f>'Ingest Template'!S189</f>
        <v/>
      </c>
      <c r="AE189" s="35" t="str">
        <f>'Ingest Template'!U189</f>
        <v/>
      </c>
      <c r="AF189" s="22"/>
      <c r="AG189" s="35" t="str">
        <f t="array" ref="AG189">IF('Ingest Template'!A189="Standard",(CONCATENATE(IF(ISBLANK('Ingest Template'!N189),"", 'Ingest Template'!N189&amp;"|DAR"),CHAR(10), IF(ISBLANK('Ingest Template'!O189),"", 'Ingest Template'!O189&amp;"|DAR"),CHAR(10), IF(ISBLANK('Ingest Template'!P189),"", 'Ingest Template'!P189&amp;"|DAR"))),(CONCATENATE(IF(ISBLANK('Ingest Template'!N189),"", 'Ingest Template'!N189&amp;"|TV Ops"),CHAR(10), IF(ISBLANK('Ingest Template'!O189),"", 'Ingest Template'!O189&amp;"|TV Ops"),CHAR(10), IF(ISBLANK('Ingest Template'!P189),"", 'Ingest Template'!P189&amp;"|TV Ops"))))</f>
        <v>
</v>
      </c>
      <c r="AH189" s="35"/>
      <c r="AI189" s="35"/>
      <c r="AJ189" s="117" t="str">
        <f>if('Ingest Template'!A189="Standard",(IF(OR('Ingest Template'!F189 = "Program Type - Special", 'Ingest Template'!F189 = "Program Type - Live Event"),'Ingest Template'!M189&amp; "|DAR|DAR|"&amp;TEXT('Ingest Template'!C189-3, "yyyy-mm-dd")&amp;"|"&amp;TEXT('Ingest Template'!C189+3, "yyyy-mm-dd"),'Ingest Template'!M189&amp; "|DAR|DAR|2021-01-01")),(IF(OR('Ingest Template'!F189 = "Program Type - Special", 'Ingest Template'!F189 = "Program Type - Live Event"),'Ingest Template'!M189&amp; "|Operations - Core Title|Operations - Core Title|"&amp;TEXT('Ingest Template'!C189-3, "yyyy-mm-dd")&amp;"|"&amp;TEXT('Ingest Template'!C189+3, "yyyy-mm-dd"),'Ingest Template'!M189&amp; "|Operations - Core Title|Operations - Core Title")))</f>
        <v>|Operations - Core Title|Operations - Core Title</v>
      </c>
      <c r="AK189" s="35"/>
      <c r="AL189" s="117" t="str">
        <f>if('Ingest Template'!A189="Standard",(IF(OR('Ingest Template'!F189 = "Program Type - Special", 'Ingest Template'!F189 = "Program Type - Live Event"),'Ingest Template'!Q189&amp;"|"&amp;TEXT('Ingest Template'!C189-3, "yyyy-mm-dd")&amp;"|"&amp;TEXT('Ingest Template'!C189+3, "yyyy-mm-dd"),'Ingest Template'!Q189&amp; "|2021-01-01")),(IF(OR('Ingest Template'!F189 = "Program Type - Special", 'Ingest Template'!F189 = "Program Type - Live Event"),'Ingest Template'!Q189&amp; "|"&amp;TEXT('Ingest Template'!C189-3, "yyyy-mm-dd")&amp;"|"&amp;TEXT('Ingest Template'!C189+3, "yyyy-mm-dd"),'Ingest Template'!Q189)))</f>
        <v/>
      </c>
      <c r="AM189" s="35" t="str">
        <f>'Ingest Template'!AC189</f>
        <v/>
      </c>
    </row>
    <row r="190">
      <c r="A190" s="15"/>
      <c r="B190" s="22" t="str">
        <f>'Ingest Template'!C190&amp;IF('Ingest Template'!A190 = "Standard", " - DAR","")</f>
        <v/>
      </c>
      <c r="C190" s="22" t="s">
        <v>83</v>
      </c>
      <c r="D190" s="22" t="str">
        <f t="array" ref="D190">CONCATENATE(INDEX(DropdownLists!$H$2:$H$11,MATCH(1,COUNTIF('Ingest Template'!E190,"*"&amp;DropdownLists!$I$2:$I$11&amp;"*"),0)),CHAR(10),'Ingest Template'!F190,CHAR(10),'Ingest Template'!G190,CHAR(10),VLOOKUP('Ingest Template'!D190,DropdownLists!C:D,2,FALSE))</f>
        <v>#N/A</v>
      </c>
      <c r="E190" s="22" t="str">
        <f>CONCATENATE('Ingest Template'!H190,CHAR(10),'Ingest Template'!I190,CHAR(10),'Ingest Template'!J190,CHAR(10))</f>
        <v>
</v>
      </c>
      <c r="F190" s="35" t="str">
        <f t="array" ref="F190">INDEX(DropdownLists!$O$2:$O$36,MATCH(1,COUNTIF(E190,"*"&amp;DropdownLists!$N$2:$N$36&amp;"*"),0))</f>
        <v/>
      </c>
      <c r="G190" s="35"/>
      <c r="H190" s="22" t="str">
        <f t="array" ref="H190">INDEX(DropdownLists!$E$2:$E$276,MATCH('Ingest Template'!D190,DropdownLists!$C$2:$C$276,0))</f>
        <v>#N/A</v>
      </c>
      <c r="I190" s="22"/>
      <c r="J190" s="22" t="str">
        <f t="array" ref="J190">iF('Ingest Template'!A190="Standard","Pristine Brand",INDEX(DropdownLists!$B$2:$B$246,MATCH('Ingest Template'!D190,DropdownLists!$C$2:$C$246,0)))</f>
        <v>#N/A</v>
      </c>
      <c r="K190" s="22" t="str">
        <f>iF('Ingest Template'!A190="Standard",'Ingest Template'!K190&amp;CHAR(10)&amp;'Ingest Template'!L190,"Competitive View")</f>
        <v>Competitive View</v>
      </c>
      <c r="L190" s="22" t="s">
        <v>95</v>
      </c>
      <c r="M190" s="45" t="str">
        <f>'Ingest Template'!B190</f>
        <v/>
      </c>
      <c r="N190" s="35"/>
      <c r="O190" s="35"/>
      <c r="P190" s="35"/>
      <c r="Q190" s="35"/>
      <c r="R190" s="35" t="str">
        <f>'Ingest Template'!D190</f>
        <v/>
      </c>
      <c r="S190" s="22" t="s">
        <v>101</v>
      </c>
      <c r="T190" s="35" t="str">
        <f>'Ingest Template'!V190</f>
        <v/>
      </c>
      <c r="U190" s="35" t="str">
        <f>'Ingest Template'!W190</f>
        <v/>
      </c>
      <c r="V190" s="35" t="str">
        <f>LOWER(SUBSTITUTE(SUBSTITUTE(SUBSTITUTE(SUBSTITUTE(SUBSTITUTE('Ingest Template'!X190,"https:",""),"www.",""),"/",""),"?hl=en",""),"instagram.com",""))</f>
        <v/>
      </c>
      <c r="W190" s="74" t="str">
        <f t="array" ref="W190">IF(
'Ingest Template'!Y190="",
SUBSTITUTE(
INDEX(DropdownLists!$F$2:$F$277,MATCH('Ingest Template'!D190,DropdownLists!$C$2:$C$277,0)),
CHAR(10),
"|"&amp;'Ingest Template'!C190&amp;CHAR(10)
)&amp;"|"&amp;'Ingest Template'!C190,
SUBSTITUTE(
INDEX(DropdownLists!$F$2:$F$277,MATCH('Ingest Template'!D190,DropdownLists!$C$2:$C$277,0)),
CHAR(10),
"|"&amp;'Ingest Template'!C190&amp;CHAR(10)
)&amp;"|"&amp;'Ingest Template'!C190&amp;CHAR(10)&amp;'Ingest Template'!Y190
)</f>
        <v>#N/A</v>
      </c>
      <c r="X190" s="74" t="str">
        <f>'Ingest Template'!Z190</f>
        <v/>
      </c>
      <c r="Y190" s="35" t="str">
        <f>SUBSTITUTE(SUBSTITUTE(SUBSTITUTE('Ingest Template'!AA190,"http:",""),"https:",""),"/","")</f>
        <v/>
      </c>
      <c r="Z190" s="35" t="str">
        <f t="array" ref="Z190">IF('Ingest Template'!A190="Standard",(IF(ISBLANK('Ingest Template'!AB190),"", 'Ingest Template'!AB190&amp;"|DAR")),(IF(ISBLANK('Ingest Template'!AB190),"", 'Ingest Template'!AB190&amp;"|TV Ops")))</f>
        <v/>
      </c>
      <c r="AA190" s="35"/>
      <c r="AB190" s="35" t="str">
        <f>'Ingest Template'!R190</f>
        <v/>
      </c>
      <c r="AC190" s="35" t="str">
        <f>'Ingest Template'!T190</f>
        <v/>
      </c>
      <c r="AD190" s="35" t="str">
        <f>'Ingest Template'!S190</f>
        <v/>
      </c>
      <c r="AE190" s="35" t="str">
        <f>'Ingest Template'!U190</f>
        <v/>
      </c>
      <c r="AF190" s="22"/>
      <c r="AG190" s="35" t="str">
        <f t="array" ref="AG190">IF('Ingest Template'!A190="Standard",(CONCATENATE(IF(ISBLANK('Ingest Template'!N190),"", 'Ingest Template'!N190&amp;"|DAR"),CHAR(10), IF(ISBLANK('Ingest Template'!O190),"", 'Ingest Template'!O190&amp;"|DAR"),CHAR(10), IF(ISBLANK('Ingest Template'!P190),"", 'Ingest Template'!P190&amp;"|DAR"))),(CONCATENATE(IF(ISBLANK('Ingest Template'!N190),"", 'Ingest Template'!N190&amp;"|TV Ops"),CHAR(10), IF(ISBLANK('Ingest Template'!O190),"", 'Ingest Template'!O190&amp;"|TV Ops"),CHAR(10), IF(ISBLANK('Ingest Template'!P190),"", 'Ingest Template'!P190&amp;"|TV Ops"))))</f>
        <v>
</v>
      </c>
      <c r="AH190" s="35"/>
      <c r="AI190" s="35"/>
      <c r="AJ190" s="117" t="str">
        <f>if('Ingest Template'!A190="Standard",(IF(OR('Ingest Template'!F190 = "Program Type - Special", 'Ingest Template'!F190 = "Program Type - Live Event"),'Ingest Template'!M190&amp; "|DAR|DAR|"&amp;TEXT('Ingest Template'!C190-3, "yyyy-mm-dd")&amp;"|"&amp;TEXT('Ingest Template'!C190+3, "yyyy-mm-dd"),'Ingest Template'!M190&amp; "|DAR|DAR|2021-01-01")),(IF(OR('Ingest Template'!F190 = "Program Type - Special", 'Ingest Template'!F190 = "Program Type - Live Event"),'Ingest Template'!M190&amp; "|Operations - Core Title|Operations - Core Title|"&amp;TEXT('Ingest Template'!C190-3, "yyyy-mm-dd")&amp;"|"&amp;TEXT('Ingest Template'!C190+3, "yyyy-mm-dd"),'Ingest Template'!M190&amp; "|Operations - Core Title|Operations - Core Title")))</f>
        <v>|Operations - Core Title|Operations - Core Title</v>
      </c>
      <c r="AK190" s="35"/>
      <c r="AL190" s="117" t="str">
        <f>if('Ingest Template'!A190="Standard",(IF(OR('Ingest Template'!F190 = "Program Type - Special", 'Ingest Template'!F190 = "Program Type - Live Event"),'Ingest Template'!Q190&amp;"|"&amp;TEXT('Ingest Template'!C190-3, "yyyy-mm-dd")&amp;"|"&amp;TEXT('Ingest Template'!C190+3, "yyyy-mm-dd"),'Ingest Template'!Q190&amp; "|2021-01-01")),(IF(OR('Ingest Template'!F190 = "Program Type - Special", 'Ingest Template'!F190 = "Program Type - Live Event"),'Ingest Template'!Q190&amp; "|"&amp;TEXT('Ingest Template'!C190-3, "yyyy-mm-dd")&amp;"|"&amp;TEXT('Ingest Template'!C190+3, "yyyy-mm-dd"),'Ingest Template'!Q190)))</f>
        <v/>
      </c>
      <c r="AM190" s="35" t="str">
        <f>'Ingest Template'!AC190</f>
        <v/>
      </c>
    </row>
    <row r="191">
      <c r="A191" s="15"/>
      <c r="B191" s="22" t="str">
        <f>'Ingest Template'!C191&amp;IF('Ingest Template'!A191 = "Standard", " - DAR","")</f>
        <v/>
      </c>
      <c r="C191" s="22" t="s">
        <v>83</v>
      </c>
      <c r="D191" s="22" t="str">
        <f t="array" ref="D191">CONCATENATE(INDEX(DropdownLists!$H$2:$H$11,MATCH(1,COUNTIF('Ingest Template'!E191,"*"&amp;DropdownLists!$I$2:$I$11&amp;"*"),0)),CHAR(10),'Ingest Template'!F191,CHAR(10),'Ingest Template'!G191,CHAR(10),VLOOKUP('Ingest Template'!D191,DropdownLists!C:D,2,FALSE))</f>
        <v>#N/A</v>
      </c>
      <c r="E191" s="22" t="str">
        <f>CONCATENATE('Ingest Template'!H191,CHAR(10),'Ingest Template'!I191,CHAR(10),'Ingest Template'!J191,CHAR(10))</f>
        <v>
</v>
      </c>
      <c r="F191" s="35" t="str">
        <f t="array" ref="F191">INDEX(DropdownLists!$O$2:$O$36,MATCH(1,COUNTIF(E191,"*"&amp;DropdownLists!$N$2:$N$36&amp;"*"),0))</f>
        <v/>
      </c>
      <c r="G191" s="35"/>
      <c r="H191" s="22" t="str">
        <f t="array" ref="H191">INDEX(DropdownLists!$E$2:$E$276,MATCH('Ingest Template'!D191,DropdownLists!$C$2:$C$276,0))</f>
        <v>#N/A</v>
      </c>
      <c r="I191" s="22"/>
      <c r="J191" s="22" t="str">
        <f t="array" ref="J191">iF('Ingest Template'!A191="Standard","Pristine Brand",INDEX(DropdownLists!$B$2:$B$246,MATCH('Ingest Template'!D191,DropdownLists!$C$2:$C$246,0)))</f>
        <v>#N/A</v>
      </c>
      <c r="K191" s="22" t="str">
        <f>iF('Ingest Template'!A191="Standard",'Ingest Template'!K191&amp;CHAR(10)&amp;'Ingest Template'!L191,"Competitive View")</f>
        <v>Competitive View</v>
      </c>
      <c r="L191" s="22" t="s">
        <v>95</v>
      </c>
      <c r="M191" s="45" t="str">
        <f>'Ingest Template'!B191</f>
        <v/>
      </c>
      <c r="N191" s="35"/>
      <c r="O191" s="35"/>
      <c r="P191" s="35"/>
      <c r="Q191" s="35"/>
      <c r="R191" s="35" t="str">
        <f>'Ingest Template'!D191</f>
        <v/>
      </c>
      <c r="S191" s="22" t="s">
        <v>101</v>
      </c>
      <c r="T191" s="35" t="str">
        <f>'Ingest Template'!V191</f>
        <v/>
      </c>
      <c r="U191" s="35" t="str">
        <f>'Ingest Template'!W191</f>
        <v/>
      </c>
      <c r="V191" s="35" t="str">
        <f>LOWER(SUBSTITUTE(SUBSTITUTE(SUBSTITUTE(SUBSTITUTE(SUBSTITUTE('Ingest Template'!X191,"https:",""),"www.",""),"/",""),"?hl=en",""),"instagram.com",""))</f>
        <v/>
      </c>
      <c r="W191" s="74" t="str">
        <f t="array" ref="W191">IF(
'Ingest Template'!Y191="",
SUBSTITUTE(
INDEX(DropdownLists!$F$2:$F$277,MATCH('Ingest Template'!D191,DropdownLists!$C$2:$C$277,0)),
CHAR(10),
"|"&amp;'Ingest Template'!C191&amp;CHAR(10)
)&amp;"|"&amp;'Ingest Template'!C191,
SUBSTITUTE(
INDEX(DropdownLists!$F$2:$F$277,MATCH('Ingest Template'!D191,DropdownLists!$C$2:$C$277,0)),
CHAR(10),
"|"&amp;'Ingest Template'!C191&amp;CHAR(10)
)&amp;"|"&amp;'Ingest Template'!C191&amp;CHAR(10)&amp;'Ingest Template'!Y191
)</f>
        <v>#N/A</v>
      </c>
      <c r="X191" s="74" t="str">
        <f>'Ingest Template'!Z191</f>
        <v/>
      </c>
      <c r="Y191" s="35" t="str">
        <f>SUBSTITUTE(SUBSTITUTE(SUBSTITUTE('Ingest Template'!AA191,"http:",""),"https:",""),"/","")</f>
        <v/>
      </c>
      <c r="Z191" s="35" t="str">
        <f t="array" ref="Z191">IF('Ingest Template'!A191="Standard",(IF(ISBLANK('Ingest Template'!AB191),"", 'Ingest Template'!AB191&amp;"|DAR")),(IF(ISBLANK('Ingest Template'!AB191),"", 'Ingest Template'!AB191&amp;"|TV Ops")))</f>
        <v/>
      </c>
      <c r="AA191" s="35"/>
      <c r="AB191" s="35" t="str">
        <f>'Ingest Template'!R191</f>
        <v/>
      </c>
      <c r="AC191" s="35" t="str">
        <f>'Ingest Template'!T191</f>
        <v/>
      </c>
      <c r="AD191" s="35" t="str">
        <f>'Ingest Template'!S191</f>
        <v/>
      </c>
      <c r="AE191" s="35" t="str">
        <f>'Ingest Template'!U191</f>
        <v/>
      </c>
      <c r="AF191" s="22"/>
      <c r="AG191" s="35" t="str">
        <f t="array" ref="AG191">IF('Ingest Template'!A191="Standard",(CONCATENATE(IF(ISBLANK('Ingest Template'!N191),"", 'Ingest Template'!N191&amp;"|DAR"),CHAR(10), IF(ISBLANK('Ingest Template'!O191),"", 'Ingest Template'!O191&amp;"|DAR"),CHAR(10), IF(ISBLANK('Ingest Template'!P191),"", 'Ingest Template'!P191&amp;"|DAR"))),(CONCATENATE(IF(ISBLANK('Ingest Template'!N191),"", 'Ingest Template'!N191&amp;"|TV Ops"),CHAR(10), IF(ISBLANK('Ingest Template'!O191),"", 'Ingest Template'!O191&amp;"|TV Ops"),CHAR(10), IF(ISBLANK('Ingest Template'!P191),"", 'Ingest Template'!P191&amp;"|TV Ops"))))</f>
        <v>
</v>
      </c>
      <c r="AH191" s="35"/>
      <c r="AI191" s="35"/>
      <c r="AJ191" s="117" t="str">
        <f>if('Ingest Template'!A191="Standard",(IF(OR('Ingest Template'!F191 = "Program Type - Special", 'Ingest Template'!F191 = "Program Type - Live Event"),'Ingest Template'!M191&amp; "|DAR|DAR|"&amp;TEXT('Ingest Template'!C191-3, "yyyy-mm-dd")&amp;"|"&amp;TEXT('Ingest Template'!C191+3, "yyyy-mm-dd"),'Ingest Template'!M191&amp; "|DAR|DAR|2021-01-01")),(IF(OR('Ingest Template'!F191 = "Program Type - Special", 'Ingest Template'!F191 = "Program Type - Live Event"),'Ingest Template'!M191&amp; "|Operations - Core Title|Operations - Core Title|"&amp;TEXT('Ingest Template'!C191-3, "yyyy-mm-dd")&amp;"|"&amp;TEXT('Ingest Template'!C191+3, "yyyy-mm-dd"),'Ingest Template'!M191&amp; "|Operations - Core Title|Operations - Core Title")))</f>
        <v>|Operations - Core Title|Operations - Core Title</v>
      </c>
      <c r="AK191" s="35"/>
      <c r="AL191" s="117" t="str">
        <f>if('Ingest Template'!A191="Standard",(IF(OR('Ingest Template'!F191 = "Program Type - Special", 'Ingest Template'!F191 = "Program Type - Live Event"),'Ingest Template'!Q191&amp;"|"&amp;TEXT('Ingest Template'!C191-3, "yyyy-mm-dd")&amp;"|"&amp;TEXT('Ingest Template'!C191+3, "yyyy-mm-dd"),'Ingest Template'!Q191&amp; "|2021-01-01")),(IF(OR('Ingest Template'!F191 = "Program Type - Special", 'Ingest Template'!F191 = "Program Type - Live Event"),'Ingest Template'!Q191&amp; "|"&amp;TEXT('Ingest Template'!C191-3, "yyyy-mm-dd")&amp;"|"&amp;TEXT('Ingest Template'!C191+3, "yyyy-mm-dd"),'Ingest Template'!Q191)))</f>
        <v/>
      </c>
      <c r="AM191" s="35" t="str">
        <f>'Ingest Template'!AC191</f>
        <v/>
      </c>
    </row>
    <row r="192">
      <c r="A192" s="15"/>
      <c r="B192" s="22" t="str">
        <f>'Ingest Template'!C192&amp;IF('Ingest Template'!A192 = "Standard", " - DAR","")</f>
        <v/>
      </c>
      <c r="C192" s="22" t="s">
        <v>83</v>
      </c>
      <c r="D192" s="22" t="str">
        <f t="array" ref="D192">CONCATENATE(INDEX(DropdownLists!$H$2:$H$11,MATCH(1,COUNTIF('Ingest Template'!E192,"*"&amp;DropdownLists!$I$2:$I$11&amp;"*"),0)),CHAR(10),'Ingest Template'!F192,CHAR(10),'Ingest Template'!G192,CHAR(10),VLOOKUP('Ingest Template'!D192,DropdownLists!C:D,2,FALSE))</f>
        <v>#N/A</v>
      </c>
      <c r="E192" s="22" t="str">
        <f>CONCATENATE('Ingest Template'!H192,CHAR(10),'Ingest Template'!I192,CHAR(10),'Ingest Template'!J192,CHAR(10))</f>
        <v>
</v>
      </c>
      <c r="F192" s="35" t="str">
        <f t="array" ref="F192">INDEX(DropdownLists!$O$2:$O$36,MATCH(1,COUNTIF(E192,"*"&amp;DropdownLists!$N$2:$N$36&amp;"*"),0))</f>
        <v/>
      </c>
      <c r="G192" s="35"/>
      <c r="H192" s="22" t="str">
        <f t="array" ref="H192">INDEX(DropdownLists!$E$2:$E$276,MATCH('Ingest Template'!D192,DropdownLists!$C$2:$C$276,0))</f>
        <v>#N/A</v>
      </c>
      <c r="I192" s="22"/>
      <c r="J192" s="22" t="str">
        <f t="array" ref="J192">iF('Ingest Template'!A192="Standard","Pristine Brand",INDEX(DropdownLists!$B$2:$B$246,MATCH('Ingest Template'!D192,DropdownLists!$C$2:$C$246,0)))</f>
        <v>#N/A</v>
      </c>
      <c r="K192" s="22" t="str">
        <f>iF('Ingest Template'!A192="Standard",'Ingest Template'!K192&amp;CHAR(10)&amp;'Ingest Template'!L192,"Competitive View")</f>
        <v>Competitive View</v>
      </c>
      <c r="L192" s="22" t="s">
        <v>95</v>
      </c>
      <c r="M192" s="45" t="str">
        <f>'Ingest Template'!B192</f>
        <v/>
      </c>
      <c r="N192" s="35"/>
      <c r="O192" s="35"/>
      <c r="P192" s="35"/>
      <c r="Q192" s="35"/>
      <c r="R192" s="35" t="str">
        <f>'Ingest Template'!D192</f>
        <v/>
      </c>
      <c r="S192" s="22" t="s">
        <v>101</v>
      </c>
      <c r="T192" s="35" t="str">
        <f>'Ingest Template'!V192</f>
        <v/>
      </c>
      <c r="U192" s="35" t="str">
        <f>'Ingest Template'!W192</f>
        <v/>
      </c>
      <c r="V192" s="35" t="str">
        <f>LOWER(SUBSTITUTE(SUBSTITUTE(SUBSTITUTE(SUBSTITUTE(SUBSTITUTE('Ingest Template'!X192,"https:",""),"www.",""),"/",""),"?hl=en",""),"instagram.com",""))</f>
        <v/>
      </c>
      <c r="W192" s="74" t="str">
        <f t="array" ref="W192">IF(
'Ingest Template'!Y192="",
SUBSTITUTE(
INDEX(DropdownLists!$F$2:$F$277,MATCH('Ingest Template'!D192,DropdownLists!$C$2:$C$277,0)),
CHAR(10),
"|"&amp;'Ingest Template'!C192&amp;CHAR(10)
)&amp;"|"&amp;'Ingest Template'!C192,
SUBSTITUTE(
INDEX(DropdownLists!$F$2:$F$277,MATCH('Ingest Template'!D192,DropdownLists!$C$2:$C$277,0)),
CHAR(10),
"|"&amp;'Ingest Template'!C192&amp;CHAR(10)
)&amp;"|"&amp;'Ingest Template'!C192&amp;CHAR(10)&amp;'Ingest Template'!Y192
)</f>
        <v>#N/A</v>
      </c>
      <c r="X192" s="74" t="str">
        <f>'Ingest Template'!Z192</f>
        <v/>
      </c>
      <c r="Y192" s="35" t="str">
        <f>SUBSTITUTE(SUBSTITUTE(SUBSTITUTE('Ingest Template'!AA192,"http:",""),"https:",""),"/","")</f>
        <v/>
      </c>
      <c r="Z192" s="35" t="str">
        <f t="array" ref="Z192">IF('Ingest Template'!A192="Standard",(IF(ISBLANK('Ingest Template'!AB192),"", 'Ingest Template'!AB192&amp;"|DAR")),(IF(ISBLANK('Ingest Template'!AB192),"", 'Ingest Template'!AB192&amp;"|TV Ops")))</f>
        <v/>
      </c>
      <c r="AA192" s="35"/>
      <c r="AB192" s="35" t="str">
        <f>'Ingest Template'!R192</f>
        <v/>
      </c>
      <c r="AC192" s="35" t="str">
        <f>'Ingest Template'!T192</f>
        <v/>
      </c>
      <c r="AD192" s="35" t="str">
        <f>'Ingest Template'!S192</f>
        <v/>
      </c>
      <c r="AE192" s="35" t="str">
        <f>'Ingest Template'!U192</f>
        <v/>
      </c>
      <c r="AF192" s="22"/>
      <c r="AG192" s="35" t="str">
        <f t="array" ref="AG192">IF('Ingest Template'!A192="Standard",(CONCATENATE(IF(ISBLANK('Ingest Template'!N192),"", 'Ingest Template'!N192&amp;"|DAR"),CHAR(10), IF(ISBLANK('Ingest Template'!O192),"", 'Ingest Template'!O192&amp;"|DAR"),CHAR(10), IF(ISBLANK('Ingest Template'!P192),"", 'Ingest Template'!P192&amp;"|DAR"))),(CONCATENATE(IF(ISBLANK('Ingest Template'!N192),"", 'Ingest Template'!N192&amp;"|TV Ops"),CHAR(10), IF(ISBLANK('Ingest Template'!O192),"", 'Ingest Template'!O192&amp;"|TV Ops"),CHAR(10), IF(ISBLANK('Ingest Template'!P192),"", 'Ingest Template'!P192&amp;"|TV Ops"))))</f>
        <v>
</v>
      </c>
      <c r="AH192" s="35"/>
      <c r="AI192" s="35"/>
      <c r="AJ192" s="117" t="str">
        <f>if('Ingest Template'!A192="Standard",(IF(OR('Ingest Template'!F192 = "Program Type - Special", 'Ingest Template'!F192 = "Program Type - Live Event"),'Ingest Template'!M192&amp; "|DAR|DAR|"&amp;TEXT('Ingest Template'!C192-3, "yyyy-mm-dd")&amp;"|"&amp;TEXT('Ingest Template'!C192+3, "yyyy-mm-dd"),'Ingest Template'!M192&amp; "|DAR|DAR|2021-01-01")),(IF(OR('Ingest Template'!F192 = "Program Type - Special", 'Ingest Template'!F192 = "Program Type - Live Event"),'Ingest Template'!M192&amp; "|Operations - Core Title|Operations - Core Title|"&amp;TEXT('Ingest Template'!C192-3, "yyyy-mm-dd")&amp;"|"&amp;TEXT('Ingest Template'!C192+3, "yyyy-mm-dd"),'Ingest Template'!M192&amp; "|Operations - Core Title|Operations - Core Title")))</f>
        <v>|Operations - Core Title|Operations - Core Title</v>
      </c>
      <c r="AK192" s="35"/>
      <c r="AL192" s="117" t="str">
        <f>if('Ingest Template'!A192="Standard",(IF(OR('Ingest Template'!F192 = "Program Type - Special", 'Ingest Template'!F192 = "Program Type - Live Event"),'Ingest Template'!Q192&amp;"|"&amp;TEXT('Ingest Template'!C192-3, "yyyy-mm-dd")&amp;"|"&amp;TEXT('Ingest Template'!C192+3, "yyyy-mm-dd"),'Ingest Template'!Q192&amp; "|2021-01-01")),(IF(OR('Ingest Template'!F192 = "Program Type - Special", 'Ingest Template'!F192 = "Program Type - Live Event"),'Ingest Template'!Q192&amp; "|"&amp;TEXT('Ingest Template'!C192-3, "yyyy-mm-dd")&amp;"|"&amp;TEXT('Ingest Template'!C192+3, "yyyy-mm-dd"),'Ingest Template'!Q192)))</f>
        <v/>
      </c>
      <c r="AM192" s="35" t="str">
        <f>'Ingest Template'!AC192</f>
        <v/>
      </c>
    </row>
    <row r="193">
      <c r="A193" s="15"/>
      <c r="B193" s="22" t="str">
        <f>'Ingest Template'!C193&amp;IF('Ingest Template'!A193 = "Standard", " - DAR","")</f>
        <v/>
      </c>
      <c r="C193" s="22" t="s">
        <v>83</v>
      </c>
      <c r="D193" s="22" t="str">
        <f t="array" ref="D193">CONCATENATE(INDEX(DropdownLists!$H$2:$H$11,MATCH(1,COUNTIF('Ingest Template'!E193,"*"&amp;DropdownLists!$I$2:$I$11&amp;"*"),0)),CHAR(10),'Ingest Template'!F193,CHAR(10),'Ingest Template'!G193,CHAR(10),VLOOKUP('Ingest Template'!D193,DropdownLists!C:D,2,FALSE))</f>
        <v>#N/A</v>
      </c>
      <c r="E193" s="22" t="str">
        <f>CONCATENATE('Ingest Template'!H193,CHAR(10),'Ingest Template'!I193,CHAR(10),'Ingest Template'!J193,CHAR(10))</f>
        <v>
</v>
      </c>
      <c r="F193" s="35" t="str">
        <f t="array" ref="F193">INDEX(DropdownLists!$O$2:$O$36,MATCH(1,COUNTIF(E193,"*"&amp;DropdownLists!$N$2:$N$36&amp;"*"),0))</f>
        <v/>
      </c>
      <c r="G193" s="35"/>
      <c r="H193" s="22" t="str">
        <f t="array" ref="H193">INDEX(DropdownLists!$E$2:$E$276,MATCH('Ingest Template'!D193,DropdownLists!$C$2:$C$276,0))</f>
        <v>#N/A</v>
      </c>
      <c r="I193" s="22"/>
      <c r="J193" s="22" t="str">
        <f t="array" ref="J193">iF('Ingest Template'!A193="Standard","Pristine Brand",INDEX(DropdownLists!$B$2:$B$246,MATCH('Ingest Template'!D193,DropdownLists!$C$2:$C$246,0)))</f>
        <v>#N/A</v>
      </c>
      <c r="K193" s="22" t="str">
        <f>iF('Ingest Template'!A193="Standard",'Ingest Template'!K193&amp;CHAR(10)&amp;'Ingest Template'!L193,"Competitive View")</f>
        <v>Competitive View</v>
      </c>
      <c r="L193" s="22" t="s">
        <v>95</v>
      </c>
      <c r="M193" s="45" t="str">
        <f>'Ingest Template'!B193</f>
        <v/>
      </c>
      <c r="N193" s="35"/>
      <c r="O193" s="35"/>
      <c r="P193" s="35"/>
      <c r="Q193" s="35"/>
      <c r="R193" s="35" t="str">
        <f>'Ingest Template'!D193</f>
        <v/>
      </c>
      <c r="S193" s="22" t="s">
        <v>101</v>
      </c>
      <c r="T193" s="35" t="str">
        <f>'Ingest Template'!V193</f>
        <v/>
      </c>
      <c r="U193" s="35" t="str">
        <f>'Ingest Template'!W193</f>
        <v/>
      </c>
      <c r="V193" s="35" t="str">
        <f>LOWER(SUBSTITUTE(SUBSTITUTE(SUBSTITUTE(SUBSTITUTE(SUBSTITUTE('Ingest Template'!X193,"https:",""),"www.",""),"/",""),"?hl=en",""),"instagram.com",""))</f>
        <v/>
      </c>
      <c r="W193" s="74" t="str">
        <f t="array" ref="W193">IF(
'Ingest Template'!Y193="",
SUBSTITUTE(
INDEX(DropdownLists!$F$2:$F$277,MATCH('Ingest Template'!D193,DropdownLists!$C$2:$C$277,0)),
CHAR(10),
"|"&amp;'Ingest Template'!C193&amp;CHAR(10)
)&amp;"|"&amp;'Ingest Template'!C193,
SUBSTITUTE(
INDEX(DropdownLists!$F$2:$F$277,MATCH('Ingest Template'!D193,DropdownLists!$C$2:$C$277,0)),
CHAR(10),
"|"&amp;'Ingest Template'!C193&amp;CHAR(10)
)&amp;"|"&amp;'Ingest Template'!C193&amp;CHAR(10)&amp;'Ingest Template'!Y193
)</f>
        <v>#N/A</v>
      </c>
      <c r="X193" s="74" t="str">
        <f>'Ingest Template'!Z193</f>
        <v/>
      </c>
      <c r="Y193" s="35" t="str">
        <f>SUBSTITUTE(SUBSTITUTE(SUBSTITUTE('Ingest Template'!AA193,"http:",""),"https:",""),"/","")</f>
        <v/>
      </c>
      <c r="Z193" s="35" t="str">
        <f t="array" ref="Z193">IF('Ingest Template'!A193="Standard",(IF(ISBLANK('Ingest Template'!AB193),"", 'Ingest Template'!AB193&amp;"|DAR")),(IF(ISBLANK('Ingest Template'!AB193),"", 'Ingest Template'!AB193&amp;"|TV Ops")))</f>
        <v/>
      </c>
      <c r="AA193" s="35"/>
      <c r="AB193" s="35" t="str">
        <f>'Ingest Template'!R193</f>
        <v/>
      </c>
      <c r="AC193" s="35" t="str">
        <f>'Ingest Template'!T193</f>
        <v/>
      </c>
      <c r="AD193" s="35" t="str">
        <f>'Ingest Template'!S193</f>
        <v/>
      </c>
      <c r="AE193" s="35" t="str">
        <f>'Ingest Template'!U193</f>
        <v/>
      </c>
      <c r="AF193" s="22"/>
      <c r="AG193" s="35" t="str">
        <f t="array" ref="AG193">IF('Ingest Template'!A193="Standard",(CONCATENATE(IF(ISBLANK('Ingest Template'!N193),"", 'Ingest Template'!N193&amp;"|DAR"),CHAR(10), IF(ISBLANK('Ingest Template'!O193),"", 'Ingest Template'!O193&amp;"|DAR"),CHAR(10), IF(ISBLANK('Ingest Template'!P193),"", 'Ingest Template'!P193&amp;"|DAR"))),(CONCATENATE(IF(ISBLANK('Ingest Template'!N193),"", 'Ingest Template'!N193&amp;"|TV Ops"),CHAR(10), IF(ISBLANK('Ingest Template'!O193),"", 'Ingest Template'!O193&amp;"|TV Ops"),CHAR(10), IF(ISBLANK('Ingest Template'!P193),"", 'Ingest Template'!P193&amp;"|TV Ops"))))</f>
        <v>
</v>
      </c>
      <c r="AH193" s="35"/>
      <c r="AI193" s="35"/>
      <c r="AJ193" s="117" t="str">
        <f>if('Ingest Template'!A193="Standard",(IF(OR('Ingest Template'!F193 = "Program Type - Special", 'Ingest Template'!F193 = "Program Type - Live Event"),'Ingest Template'!M193&amp; "|DAR|DAR|"&amp;TEXT('Ingest Template'!C193-3, "yyyy-mm-dd")&amp;"|"&amp;TEXT('Ingest Template'!C193+3, "yyyy-mm-dd"),'Ingest Template'!M193&amp; "|DAR|DAR|2021-01-01")),(IF(OR('Ingest Template'!F193 = "Program Type - Special", 'Ingest Template'!F193 = "Program Type - Live Event"),'Ingest Template'!M193&amp; "|Operations - Core Title|Operations - Core Title|"&amp;TEXT('Ingest Template'!C193-3, "yyyy-mm-dd")&amp;"|"&amp;TEXT('Ingest Template'!C193+3, "yyyy-mm-dd"),'Ingest Template'!M193&amp; "|Operations - Core Title|Operations - Core Title")))</f>
        <v>|Operations - Core Title|Operations - Core Title</v>
      </c>
      <c r="AK193" s="35"/>
      <c r="AL193" s="117" t="str">
        <f>if('Ingest Template'!A193="Standard",(IF(OR('Ingest Template'!F193 = "Program Type - Special", 'Ingest Template'!F193 = "Program Type - Live Event"),'Ingest Template'!Q193&amp;"|"&amp;TEXT('Ingest Template'!C193-3, "yyyy-mm-dd")&amp;"|"&amp;TEXT('Ingest Template'!C193+3, "yyyy-mm-dd"),'Ingest Template'!Q193&amp; "|2021-01-01")),(IF(OR('Ingest Template'!F193 = "Program Type - Special", 'Ingest Template'!F193 = "Program Type - Live Event"),'Ingest Template'!Q193&amp; "|"&amp;TEXT('Ingest Template'!C193-3, "yyyy-mm-dd")&amp;"|"&amp;TEXT('Ingest Template'!C193+3, "yyyy-mm-dd"),'Ingest Template'!Q193)))</f>
        <v/>
      </c>
      <c r="AM193" s="35" t="str">
        <f>'Ingest Template'!AC193</f>
        <v/>
      </c>
    </row>
    <row r="194">
      <c r="A194" s="15"/>
      <c r="B194" s="22" t="str">
        <f>'Ingest Template'!C194&amp;IF('Ingest Template'!A194 = "Standard", " - DAR","")</f>
        <v/>
      </c>
      <c r="C194" s="22" t="s">
        <v>83</v>
      </c>
      <c r="D194" s="22" t="str">
        <f t="array" ref="D194">CONCATENATE(INDEX(DropdownLists!$H$2:$H$11,MATCH(1,COUNTIF('Ingest Template'!E194,"*"&amp;DropdownLists!$I$2:$I$11&amp;"*"),0)),CHAR(10),'Ingest Template'!F194,CHAR(10),'Ingest Template'!G194,CHAR(10),VLOOKUP('Ingest Template'!D194,DropdownLists!C:D,2,FALSE))</f>
        <v>#N/A</v>
      </c>
      <c r="E194" s="22" t="str">
        <f>CONCATENATE('Ingest Template'!H194,CHAR(10),'Ingest Template'!I194,CHAR(10),'Ingest Template'!J194,CHAR(10))</f>
        <v>
</v>
      </c>
      <c r="F194" s="35" t="str">
        <f t="array" ref="F194">INDEX(DropdownLists!$O$2:$O$36,MATCH(1,COUNTIF(E194,"*"&amp;DropdownLists!$N$2:$N$36&amp;"*"),0))</f>
        <v/>
      </c>
      <c r="G194" s="35"/>
      <c r="H194" s="22" t="str">
        <f t="array" ref="H194">INDEX(DropdownLists!$E$2:$E$276,MATCH('Ingest Template'!D194,DropdownLists!$C$2:$C$276,0))</f>
        <v>#N/A</v>
      </c>
      <c r="I194" s="22"/>
      <c r="J194" s="22" t="str">
        <f t="array" ref="J194">iF('Ingest Template'!A194="Standard","Pristine Brand",INDEX(DropdownLists!$B$2:$B$246,MATCH('Ingest Template'!D194,DropdownLists!$C$2:$C$246,0)))</f>
        <v>#N/A</v>
      </c>
      <c r="K194" s="22" t="str">
        <f>iF('Ingest Template'!A194="Standard",'Ingest Template'!K194&amp;CHAR(10)&amp;'Ingest Template'!L194,"Competitive View")</f>
        <v>Competitive View</v>
      </c>
      <c r="L194" s="22" t="s">
        <v>95</v>
      </c>
      <c r="M194" s="45" t="str">
        <f>'Ingest Template'!B194</f>
        <v/>
      </c>
      <c r="N194" s="35"/>
      <c r="O194" s="35"/>
      <c r="P194" s="35"/>
      <c r="Q194" s="35"/>
      <c r="R194" s="35" t="str">
        <f>'Ingest Template'!D194</f>
        <v/>
      </c>
      <c r="S194" s="22" t="s">
        <v>101</v>
      </c>
      <c r="T194" s="35" t="str">
        <f>'Ingest Template'!V194</f>
        <v/>
      </c>
      <c r="U194" s="35" t="str">
        <f>'Ingest Template'!W194</f>
        <v/>
      </c>
      <c r="V194" s="35" t="str">
        <f>LOWER(SUBSTITUTE(SUBSTITUTE(SUBSTITUTE(SUBSTITUTE(SUBSTITUTE('Ingest Template'!X194,"https:",""),"www.",""),"/",""),"?hl=en",""),"instagram.com",""))</f>
        <v/>
      </c>
      <c r="W194" s="74" t="str">
        <f t="array" ref="W194">IF(
'Ingest Template'!Y194="",
SUBSTITUTE(
INDEX(DropdownLists!$F$2:$F$277,MATCH('Ingest Template'!D194,DropdownLists!$C$2:$C$277,0)),
CHAR(10),
"|"&amp;'Ingest Template'!C194&amp;CHAR(10)
)&amp;"|"&amp;'Ingest Template'!C194,
SUBSTITUTE(
INDEX(DropdownLists!$F$2:$F$277,MATCH('Ingest Template'!D194,DropdownLists!$C$2:$C$277,0)),
CHAR(10),
"|"&amp;'Ingest Template'!C194&amp;CHAR(10)
)&amp;"|"&amp;'Ingest Template'!C194&amp;CHAR(10)&amp;'Ingest Template'!Y194
)</f>
        <v>#N/A</v>
      </c>
      <c r="X194" s="74" t="str">
        <f>'Ingest Template'!Z194</f>
        <v/>
      </c>
      <c r="Y194" s="35" t="str">
        <f>SUBSTITUTE(SUBSTITUTE(SUBSTITUTE('Ingest Template'!AA194,"http:",""),"https:",""),"/","")</f>
        <v/>
      </c>
      <c r="Z194" s="35" t="str">
        <f t="array" ref="Z194">IF('Ingest Template'!A194="Standard",(IF(ISBLANK('Ingest Template'!AB194),"", 'Ingest Template'!AB194&amp;"|DAR")),(IF(ISBLANK('Ingest Template'!AB194),"", 'Ingest Template'!AB194&amp;"|TV Ops")))</f>
        <v/>
      </c>
      <c r="AA194" s="35"/>
      <c r="AB194" s="35" t="str">
        <f>'Ingest Template'!R194</f>
        <v/>
      </c>
      <c r="AC194" s="35" t="str">
        <f>'Ingest Template'!T194</f>
        <v/>
      </c>
      <c r="AD194" s="35" t="str">
        <f>'Ingest Template'!S194</f>
        <v/>
      </c>
      <c r="AE194" s="35" t="str">
        <f>'Ingest Template'!U194</f>
        <v/>
      </c>
      <c r="AF194" s="22"/>
      <c r="AG194" s="35" t="str">
        <f t="array" ref="AG194">IF('Ingest Template'!A194="Standard",(CONCATENATE(IF(ISBLANK('Ingest Template'!N194),"", 'Ingest Template'!N194&amp;"|DAR"),CHAR(10), IF(ISBLANK('Ingest Template'!O194),"", 'Ingest Template'!O194&amp;"|DAR"),CHAR(10), IF(ISBLANK('Ingest Template'!P194),"", 'Ingest Template'!P194&amp;"|DAR"))),(CONCATENATE(IF(ISBLANK('Ingest Template'!N194),"", 'Ingest Template'!N194&amp;"|TV Ops"),CHAR(10), IF(ISBLANK('Ingest Template'!O194),"", 'Ingest Template'!O194&amp;"|TV Ops"),CHAR(10), IF(ISBLANK('Ingest Template'!P194),"", 'Ingest Template'!P194&amp;"|TV Ops"))))</f>
        <v>
</v>
      </c>
      <c r="AH194" s="35"/>
      <c r="AI194" s="35"/>
      <c r="AJ194" s="117" t="str">
        <f>if('Ingest Template'!A194="Standard",(IF(OR('Ingest Template'!F194 = "Program Type - Special", 'Ingest Template'!F194 = "Program Type - Live Event"),'Ingest Template'!M194&amp; "|DAR|DAR|"&amp;TEXT('Ingest Template'!C194-3, "yyyy-mm-dd")&amp;"|"&amp;TEXT('Ingest Template'!C194+3, "yyyy-mm-dd"),'Ingest Template'!M194&amp; "|DAR|DAR|2021-01-01")),(IF(OR('Ingest Template'!F194 = "Program Type - Special", 'Ingest Template'!F194 = "Program Type - Live Event"),'Ingest Template'!M194&amp; "|Operations - Core Title|Operations - Core Title|"&amp;TEXT('Ingest Template'!C194-3, "yyyy-mm-dd")&amp;"|"&amp;TEXT('Ingest Template'!C194+3, "yyyy-mm-dd"),'Ingest Template'!M194&amp; "|Operations - Core Title|Operations - Core Title")))</f>
        <v>|Operations - Core Title|Operations - Core Title</v>
      </c>
      <c r="AK194" s="35"/>
      <c r="AL194" s="117" t="str">
        <f>if('Ingest Template'!A194="Standard",(IF(OR('Ingest Template'!F194 = "Program Type - Special", 'Ingest Template'!F194 = "Program Type - Live Event"),'Ingest Template'!Q194&amp;"|"&amp;TEXT('Ingest Template'!C194-3, "yyyy-mm-dd")&amp;"|"&amp;TEXT('Ingest Template'!C194+3, "yyyy-mm-dd"),'Ingest Template'!Q194&amp; "|2021-01-01")),(IF(OR('Ingest Template'!F194 = "Program Type - Special", 'Ingest Template'!F194 = "Program Type - Live Event"),'Ingest Template'!Q194&amp; "|"&amp;TEXT('Ingest Template'!C194-3, "yyyy-mm-dd")&amp;"|"&amp;TEXT('Ingest Template'!C194+3, "yyyy-mm-dd"),'Ingest Template'!Q194)))</f>
        <v/>
      </c>
      <c r="AM194" s="35" t="str">
        <f>'Ingest Template'!AC194</f>
        <v/>
      </c>
    </row>
    <row r="195">
      <c r="A195" s="15"/>
      <c r="B195" s="22" t="str">
        <f>'Ingest Template'!C195&amp;IF('Ingest Template'!A195 = "Standard", " - DAR","")</f>
        <v/>
      </c>
      <c r="C195" s="22" t="s">
        <v>83</v>
      </c>
      <c r="D195" s="22" t="str">
        <f t="array" ref="D195">CONCATENATE(INDEX(DropdownLists!$H$2:$H$11,MATCH(1,COUNTIF('Ingest Template'!E195,"*"&amp;DropdownLists!$I$2:$I$11&amp;"*"),0)),CHAR(10),'Ingest Template'!F195,CHAR(10),'Ingest Template'!G195,CHAR(10),VLOOKUP('Ingest Template'!D195,DropdownLists!C:D,2,FALSE))</f>
        <v>#N/A</v>
      </c>
      <c r="E195" s="22" t="str">
        <f>CONCATENATE('Ingest Template'!H195,CHAR(10),'Ingest Template'!I195,CHAR(10),'Ingest Template'!J195,CHAR(10))</f>
        <v>
</v>
      </c>
      <c r="F195" s="35" t="str">
        <f t="array" ref="F195">INDEX(DropdownLists!$O$2:$O$36,MATCH(1,COUNTIF(E195,"*"&amp;DropdownLists!$N$2:$N$36&amp;"*"),0))</f>
        <v/>
      </c>
      <c r="G195" s="35"/>
      <c r="H195" s="22" t="str">
        <f t="array" ref="H195">INDEX(DropdownLists!$E$2:$E$276,MATCH('Ingest Template'!D195,DropdownLists!$C$2:$C$276,0))</f>
        <v>#N/A</v>
      </c>
      <c r="I195" s="22"/>
      <c r="J195" s="22" t="str">
        <f t="array" ref="J195">iF('Ingest Template'!A195="Standard","Pristine Brand",INDEX(DropdownLists!$B$2:$B$246,MATCH('Ingest Template'!D195,DropdownLists!$C$2:$C$246,0)))</f>
        <v>#N/A</v>
      </c>
      <c r="K195" s="22" t="str">
        <f>iF('Ingest Template'!A195="Standard",'Ingest Template'!K195&amp;CHAR(10)&amp;'Ingest Template'!L195,"Competitive View")</f>
        <v>Competitive View</v>
      </c>
      <c r="L195" s="22" t="s">
        <v>95</v>
      </c>
      <c r="M195" s="45" t="str">
        <f>'Ingest Template'!B195</f>
        <v/>
      </c>
      <c r="N195" s="35"/>
      <c r="O195" s="35"/>
      <c r="P195" s="35"/>
      <c r="Q195" s="35"/>
      <c r="R195" s="35" t="str">
        <f>'Ingest Template'!D195</f>
        <v/>
      </c>
      <c r="S195" s="22" t="s">
        <v>101</v>
      </c>
      <c r="T195" s="35" t="str">
        <f>'Ingest Template'!V195</f>
        <v/>
      </c>
      <c r="U195" s="35" t="str">
        <f>'Ingest Template'!W195</f>
        <v/>
      </c>
      <c r="V195" s="35" t="str">
        <f>LOWER(SUBSTITUTE(SUBSTITUTE(SUBSTITUTE(SUBSTITUTE(SUBSTITUTE('Ingest Template'!X195,"https:",""),"www.",""),"/",""),"?hl=en",""),"instagram.com",""))</f>
        <v/>
      </c>
      <c r="W195" s="74" t="str">
        <f t="array" ref="W195">IF(
'Ingest Template'!Y195="",
SUBSTITUTE(
INDEX(DropdownLists!$F$2:$F$277,MATCH('Ingest Template'!D195,DropdownLists!$C$2:$C$277,0)),
CHAR(10),
"|"&amp;'Ingest Template'!C195&amp;CHAR(10)
)&amp;"|"&amp;'Ingest Template'!C195,
SUBSTITUTE(
INDEX(DropdownLists!$F$2:$F$277,MATCH('Ingest Template'!D195,DropdownLists!$C$2:$C$277,0)),
CHAR(10),
"|"&amp;'Ingest Template'!C195&amp;CHAR(10)
)&amp;"|"&amp;'Ingest Template'!C195&amp;CHAR(10)&amp;'Ingest Template'!Y195
)</f>
        <v>#N/A</v>
      </c>
      <c r="X195" s="74" t="str">
        <f>'Ingest Template'!Z195</f>
        <v/>
      </c>
      <c r="Y195" s="35" t="str">
        <f>SUBSTITUTE(SUBSTITUTE(SUBSTITUTE('Ingest Template'!AA195,"http:",""),"https:",""),"/","")</f>
        <v/>
      </c>
      <c r="Z195" s="35" t="str">
        <f t="array" ref="Z195">IF('Ingest Template'!A195="Standard",(IF(ISBLANK('Ingest Template'!AB195),"", 'Ingest Template'!AB195&amp;"|DAR")),(IF(ISBLANK('Ingest Template'!AB195),"", 'Ingest Template'!AB195&amp;"|TV Ops")))</f>
        <v/>
      </c>
      <c r="AA195" s="35"/>
      <c r="AB195" s="35" t="str">
        <f>'Ingest Template'!R195</f>
        <v/>
      </c>
      <c r="AC195" s="35" t="str">
        <f>'Ingest Template'!T195</f>
        <v/>
      </c>
      <c r="AD195" s="35" t="str">
        <f>'Ingest Template'!S195</f>
        <v/>
      </c>
      <c r="AE195" s="35" t="str">
        <f>'Ingest Template'!U195</f>
        <v/>
      </c>
      <c r="AF195" s="22"/>
      <c r="AG195" s="35" t="str">
        <f t="array" ref="AG195">IF('Ingest Template'!A195="Standard",(CONCATENATE(IF(ISBLANK('Ingest Template'!N195),"", 'Ingest Template'!N195&amp;"|DAR"),CHAR(10), IF(ISBLANK('Ingest Template'!O195),"", 'Ingest Template'!O195&amp;"|DAR"),CHAR(10), IF(ISBLANK('Ingest Template'!P195),"", 'Ingest Template'!P195&amp;"|DAR"))),(CONCATENATE(IF(ISBLANK('Ingest Template'!N195),"", 'Ingest Template'!N195&amp;"|TV Ops"),CHAR(10), IF(ISBLANK('Ingest Template'!O195),"", 'Ingest Template'!O195&amp;"|TV Ops"),CHAR(10), IF(ISBLANK('Ingest Template'!P195),"", 'Ingest Template'!P195&amp;"|TV Ops"))))</f>
        <v>
</v>
      </c>
      <c r="AH195" s="35"/>
      <c r="AI195" s="35"/>
      <c r="AJ195" s="117" t="str">
        <f>if('Ingest Template'!A195="Standard",(IF(OR('Ingest Template'!F195 = "Program Type - Special", 'Ingest Template'!F195 = "Program Type - Live Event"),'Ingest Template'!M195&amp; "|DAR|DAR|"&amp;TEXT('Ingest Template'!C195-3, "yyyy-mm-dd")&amp;"|"&amp;TEXT('Ingest Template'!C195+3, "yyyy-mm-dd"),'Ingest Template'!M195&amp; "|DAR|DAR|2021-01-01")),(IF(OR('Ingest Template'!F195 = "Program Type - Special", 'Ingest Template'!F195 = "Program Type - Live Event"),'Ingest Template'!M195&amp; "|Operations - Core Title|Operations - Core Title|"&amp;TEXT('Ingest Template'!C195-3, "yyyy-mm-dd")&amp;"|"&amp;TEXT('Ingest Template'!C195+3, "yyyy-mm-dd"),'Ingest Template'!M195&amp; "|Operations - Core Title|Operations - Core Title")))</f>
        <v>|Operations - Core Title|Operations - Core Title</v>
      </c>
      <c r="AK195" s="35"/>
      <c r="AL195" s="117" t="str">
        <f>if('Ingest Template'!A195="Standard",(IF(OR('Ingest Template'!F195 = "Program Type - Special", 'Ingest Template'!F195 = "Program Type - Live Event"),'Ingest Template'!Q195&amp;"|"&amp;TEXT('Ingest Template'!C195-3, "yyyy-mm-dd")&amp;"|"&amp;TEXT('Ingest Template'!C195+3, "yyyy-mm-dd"),'Ingest Template'!Q195&amp; "|2021-01-01")),(IF(OR('Ingest Template'!F195 = "Program Type - Special", 'Ingest Template'!F195 = "Program Type - Live Event"),'Ingest Template'!Q195&amp; "|"&amp;TEXT('Ingest Template'!C195-3, "yyyy-mm-dd")&amp;"|"&amp;TEXT('Ingest Template'!C195+3, "yyyy-mm-dd"),'Ingest Template'!Q195)))</f>
        <v/>
      </c>
      <c r="AM195" s="35" t="str">
        <f>'Ingest Template'!AC195</f>
        <v/>
      </c>
    </row>
    <row r="196">
      <c r="A196" s="15"/>
      <c r="B196" s="22" t="str">
        <f>'Ingest Template'!C196&amp;IF('Ingest Template'!A196 = "Standard", " - DAR","")</f>
        <v/>
      </c>
      <c r="C196" s="22" t="s">
        <v>83</v>
      </c>
      <c r="D196" s="22" t="str">
        <f t="array" ref="D196">CONCATENATE(INDEX(DropdownLists!$H$2:$H$11,MATCH(1,COUNTIF('Ingest Template'!E196,"*"&amp;DropdownLists!$I$2:$I$11&amp;"*"),0)),CHAR(10),'Ingest Template'!F196,CHAR(10),'Ingest Template'!G196,CHAR(10),VLOOKUP('Ingest Template'!D196,DropdownLists!C:D,2,FALSE))</f>
        <v>#N/A</v>
      </c>
      <c r="E196" s="22" t="str">
        <f>CONCATENATE('Ingest Template'!H196,CHAR(10),'Ingest Template'!I196,CHAR(10),'Ingest Template'!J196,CHAR(10))</f>
        <v>
</v>
      </c>
      <c r="F196" s="35" t="str">
        <f t="array" ref="F196">INDEX(DropdownLists!$O$2:$O$36,MATCH(1,COUNTIF(E196,"*"&amp;DropdownLists!$N$2:$N$36&amp;"*"),0))</f>
        <v/>
      </c>
      <c r="G196" s="35"/>
      <c r="H196" s="22" t="str">
        <f t="array" ref="H196">INDEX(DropdownLists!$E$2:$E$276,MATCH('Ingest Template'!D196,DropdownLists!$C$2:$C$276,0))</f>
        <v>#N/A</v>
      </c>
      <c r="I196" s="22"/>
      <c r="J196" s="22" t="str">
        <f t="array" ref="J196">iF('Ingest Template'!A196="Standard","Pristine Brand",INDEX(DropdownLists!$B$2:$B$246,MATCH('Ingest Template'!D196,DropdownLists!$C$2:$C$246,0)))</f>
        <v>#N/A</v>
      </c>
      <c r="K196" s="22" t="str">
        <f>iF('Ingest Template'!A196="Standard",'Ingest Template'!K196&amp;CHAR(10)&amp;'Ingest Template'!L196,"Competitive View")</f>
        <v>Competitive View</v>
      </c>
      <c r="L196" s="22" t="s">
        <v>95</v>
      </c>
      <c r="M196" s="45" t="str">
        <f>'Ingest Template'!B196</f>
        <v/>
      </c>
      <c r="N196" s="35"/>
      <c r="O196" s="35"/>
      <c r="P196" s="35"/>
      <c r="Q196" s="35"/>
      <c r="R196" s="35" t="str">
        <f>'Ingest Template'!D196</f>
        <v/>
      </c>
      <c r="S196" s="22" t="s">
        <v>101</v>
      </c>
      <c r="T196" s="35" t="str">
        <f>'Ingest Template'!V196</f>
        <v/>
      </c>
      <c r="U196" s="35" t="str">
        <f>'Ingest Template'!W196</f>
        <v/>
      </c>
      <c r="V196" s="35" t="str">
        <f>LOWER(SUBSTITUTE(SUBSTITUTE(SUBSTITUTE(SUBSTITUTE(SUBSTITUTE('Ingest Template'!X196,"https:",""),"www.",""),"/",""),"?hl=en",""),"instagram.com",""))</f>
        <v/>
      </c>
      <c r="W196" s="74" t="str">
        <f t="array" ref="W196">IF(
'Ingest Template'!Y196="",
SUBSTITUTE(
INDEX(DropdownLists!$F$2:$F$277,MATCH('Ingest Template'!D196,DropdownLists!$C$2:$C$277,0)),
CHAR(10),
"|"&amp;'Ingest Template'!C196&amp;CHAR(10)
)&amp;"|"&amp;'Ingest Template'!C196,
SUBSTITUTE(
INDEX(DropdownLists!$F$2:$F$277,MATCH('Ingest Template'!D196,DropdownLists!$C$2:$C$277,0)),
CHAR(10),
"|"&amp;'Ingest Template'!C196&amp;CHAR(10)
)&amp;"|"&amp;'Ingest Template'!C196&amp;CHAR(10)&amp;'Ingest Template'!Y196
)</f>
        <v>#N/A</v>
      </c>
      <c r="X196" s="74" t="str">
        <f>'Ingest Template'!Z196</f>
        <v/>
      </c>
      <c r="Y196" s="35" t="str">
        <f>SUBSTITUTE(SUBSTITUTE(SUBSTITUTE('Ingest Template'!AA196,"http:",""),"https:",""),"/","")</f>
        <v/>
      </c>
      <c r="Z196" s="35" t="str">
        <f t="array" ref="Z196">IF('Ingest Template'!A196="Standard",(IF(ISBLANK('Ingest Template'!AB196),"", 'Ingest Template'!AB196&amp;"|DAR")),(IF(ISBLANK('Ingest Template'!AB196),"", 'Ingest Template'!AB196&amp;"|TV Ops")))</f>
        <v/>
      </c>
      <c r="AA196" s="35"/>
      <c r="AB196" s="35" t="str">
        <f>'Ingest Template'!R196</f>
        <v/>
      </c>
      <c r="AC196" s="35" t="str">
        <f>'Ingest Template'!T196</f>
        <v/>
      </c>
      <c r="AD196" s="35" t="str">
        <f>'Ingest Template'!S196</f>
        <v/>
      </c>
      <c r="AE196" s="35" t="str">
        <f>'Ingest Template'!U196</f>
        <v/>
      </c>
      <c r="AF196" s="22"/>
      <c r="AG196" s="35" t="str">
        <f t="array" ref="AG196">IF('Ingest Template'!A196="Standard",(CONCATENATE(IF(ISBLANK('Ingest Template'!N196),"", 'Ingest Template'!N196&amp;"|DAR"),CHAR(10), IF(ISBLANK('Ingest Template'!O196),"", 'Ingest Template'!O196&amp;"|DAR"),CHAR(10), IF(ISBLANK('Ingest Template'!P196),"", 'Ingest Template'!P196&amp;"|DAR"))),(CONCATENATE(IF(ISBLANK('Ingest Template'!N196),"", 'Ingest Template'!N196&amp;"|TV Ops"),CHAR(10), IF(ISBLANK('Ingest Template'!O196),"", 'Ingest Template'!O196&amp;"|TV Ops"),CHAR(10), IF(ISBLANK('Ingest Template'!P196),"", 'Ingest Template'!P196&amp;"|TV Ops"))))</f>
        <v>
</v>
      </c>
      <c r="AH196" s="35"/>
      <c r="AI196" s="35"/>
      <c r="AJ196" s="117" t="str">
        <f>if('Ingest Template'!A196="Standard",(IF(OR('Ingest Template'!F196 = "Program Type - Special", 'Ingest Template'!F196 = "Program Type - Live Event"),'Ingest Template'!M196&amp; "|DAR|DAR|"&amp;TEXT('Ingest Template'!C196-3, "yyyy-mm-dd")&amp;"|"&amp;TEXT('Ingest Template'!C196+3, "yyyy-mm-dd"),'Ingest Template'!M196&amp; "|DAR|DAR|2021-01-01")),(IF(OR('Ingest Template'!F196 = "Program Type - Special", 'Ingest Template'!F196 = "Program Type - Live Event"),'Ingest Template'!M196&amp; "|Operations - Core Title|Operations - Core Title|"&amp;TEXT('Ingest Template'!C196-3, "yyyy-mm-dd")&amp;"|"&amp;TEXT('Ingest Template'!C196+3, "yyyy-mm-dd"),'Ingest Template'!M196&amp; "|Operations - Core Title|Operations - Core Title")))</f>
        <v>|Operations - Core Title|Operations - Core Title</v>
      </c>
      <c r="AK196" s="35"/>
      <c r="AL196" s="117" t="str">
        <f>if('Ingest Template'!A196="Standard",(IF(OR('Ingest Template'!F196 = "Program Type - Special", 'Ingest Template'!F196 = "Program Type - Live Event"),'Ingest Template'!Q196&amp;"|"&amp;TEXT('Ingest Template'!C196-3, "yyyy-mm-dd")&amp;"|"&amp;TEXT('Ingest Template'!C196+3, "yyyy-mm-dd"),'Ingest Template'!Q196&amp; "|2021-01-01")),(IF(OR('Ingest Template'!F196 = "Program Type - Special", 'Ingest Template'!F196 = "Program Type - Live Event"),'Ingest Template'!Q196&amp; "|"&amp;TEXT('Ingest Template'!C196-3, "yyyy-mm-dd")&amp;"|"&amp;TEXT('Ingest Template'!C196+3, "yyyy-mm-dd"),'Ingest Template'!Q196)))</f>
        <v/>
      </c>
      <c r="AM196" s="35" t="str">
        <f>'Ingest Template'!AC196</f>
        <v/>
      </c>
    </row>
    <row r="197">
      <c r="A197" s="15"/>
      <c r="B197" s="22" t="str">
        <f>'Ingest Template'!C197&amp;IF('Ingest Template'!A197 = "Standard", " - DAR","")</f>
        <v/>
      </c>
      <c r="C197" s="22" t="s">
        <v>83</v>
      </c>
      <c r="D197" s="22" t="str">
        <f t="array" ref="D197">CONCATENATE(INDEX(DropdownLists!$H$2:$H$11,MATCH(1,COUNTIF('Ingest Template'!E197,"*"&amp;DropdownLists!$I$2:$I$11&amp;"*"),0)),CHAR(10),'Ingest Template'!F197,CHAR(10),'Ingest Template'!G197,CHAR(10),VLOOKUP('Ingest Template'!D197,DropdownLists!C:D,2,FALSE))</f>
        <v>#N/A</v>
      </c>
      <c r="E197" s="22" t="str">
        <f>CONCATENATE('Ingest Template'!H197,CHAR(10),'Ingest Template'!I197,CHAR(10),'Ingest Template'!J197,CHAR(10))</f>
        <v>
</v>
      </c>
      <c r="F197" s="35" t="str">
        <f t="array" ref="F197">INDEX(DropdownLists!$O$2:$O$36,MATCH(1,COUNTIF(E197,"*"&amp;DropdownLists!$N$2:$N$36&amp;"*"),0))</f>
        <v/>
      </c>
      <c r="G197" s="35"/>
      <c r="H197" s="22" t="str">
        <f t="array" ref="H197">INDEX(DropdownLists!$E$2:$E$276,MATCH('Ingest Template'!D197,DropdownLists!$C$2:$C$276,0))</f>
        <v>#N/A</v>
      </c>
      <c r="I197" s="22"/>
      <c r="J197" s="22" t="str">
        <f t="array" ref="J197">iF('Ingest Template'!A197="Standard","Pristine Brand",INDEX(DropdownLists!$B$2:$B$246,MATCH('Ingest Template'!D197,DropdownLists!$C$2:$C$246,0)))</f>
        <v>#N/A</v>
      </c>
      <c r="K197" s="22" t="str">
        <f>iF('Ingest Template'!A197="Standard",'Ingest Template'!K197&amp;CHAR(10)&amp;'Ingest Template'!L197,"Competitive View")</f>
        <v>Competitive View</v>
      </c>
      <c r="L197" s="22" t="s">
        <v>95</v>
      </c>
      <c r="M197" s="45" t="str">
        <f>'Ingest Template'!B197</f>
        <v/>
      </c>
      <c r="N197" s="35"/>
      <c r="O197" s="35"/>
      <c r="P197" s="35"/>
      <c r="Q197" s="35"/>
      <c r="R197" s="35" t="str">
        <f>'Ingest Template'!D197</f>
        <v/>
      </c>
      <c r="S197" s="22" t="s">
        <v>101</v>
      </c>
      <c r="T197" s="35" t="str">
        <f>'Ingest Template'!V197</f>
        <v/>
      </c>
      <c r="U197" s="35" t="str">
        <f>'Ingest Template'!W197</f>
        <v/>
      </c>
      <c r="V197" s="35" t="str">
        <f>LOWER(SUBSTITUTE(SUBSTITUTE(SUBSTITUTE(SUBSTITUTE(SUBSTITUTE('Ingest Template'!X197,"https:",""),"www.",""),"/",""),"?hl=en",""),"instagram.com",""))</f>
        <v/>
      </c>
      <c r="W197" s="74" t="str">
        <f t="array" ref="W197">IF(
'Ingest Template'!Y197="",
SUBSTITUTE(
INDEX(DropdownLists!$F$2:$F$277,MATCH('Ingest Template'!D197,DropdownLists!$C$2:$C$277,0)),
CHAR(10),
"|"&amp;'Ingest Template'!C197&amp;CHAR(10)
)&amp;"|"&amp;'Ingest Template'!C197,
SUBSTITUTE(
INDEX(DropdownLists!$F$2:$F$277,MATCH('Ingest Template'!D197,DropdownLists!$C$2:$C$277,0)),
CHAR(10),
"|"&amp;'Ingest Template'!C197&amp;CHAR(10)
)&amp;"|"&amp;'Ingest Template'!C197&amp;CHAR(10)&amp;'Ingest Template'!Y197
)</f>
        <v>#N/A</v>
      </c>
      <c r="X197" s="74" t="str">
        <f>'Ingest Template'!Z197</f>
        <v/>
      </c>
      <c r="Y197" s="35" t="str">
        <f>SUBSTITUTE(SUBSTITUTE(SUBSTITUTE('Ingest Template'!AA197,"http:",""),"https:",""),"/","")</f>
        <v/>
      </c>
      <c r="Z197" s="35" t="str">
        <f t="array" ref="Z197">IF('Ingest Template'!A197="Standard",(IF(ISBLANK('Ingest Template'!AB197),"", 'Ingest Template'!AB197&amp;"|DAR")),(IF(ISBLANK('Ingest Template'!AB197),"", 'Ingest Template'!AB197&amp;"|TV Ops")))</f>
        <v/>
      </c>
      <c r="AA197" s="35"/>
      <c r="AB197" s="35" t="str">
        <f>'Ingest Template'!R197</f>
        <v/>
      </c>
      <c r="AC197" s="35" t="str">
        <f>'Ingest Template'!T197</f>
        <v/>
      </c>
      <c r="AD197" s="35" t="str">
        <f>'Ingest Template'!S197</f>
        <v/>
      </c>
      <c r="AE197" s="35" t="str">
        <f>'Ingest Template'!U197</f>
        <v/>
      </c>
      <c r="AF197" s="22"/>
      <c r="AG197" s="35" t="str">
        <f t="array" ref="AG197">IF('Ingest Template'!A197="Standard",(CONCATENATE(IF(ISBLANK('Ingest Template'!N197),"", 'Ingest Template'!N197&amp;"|DAR"),CHAR(10), IF(ISBLANK('Ingest Template'!O197),"", 'Ingest Template'!O197&amp;"|DAR"),CHAR(10), IF(ISBLANK('Ingest Template'!P197),"", 'Ingest Template'!P197&amp;"|DAR"))),(CONCATENATE(IF(ISBLANK('Ingest Template'!N197),"", 'Ingest Template'!N197&amp;"|TV Ops"),CHAR(10), IF(ISBLANK('Ingest Template'!O197),"", 'Ingest Template'!O197&amp;"|TV Ops"),CHAR(10), IF(ISBLANK('Ingest Template'!P197),"", 'Ingest Template'!P197&amp;"|TV Ops"))))</f>
        <v>
</v>
      </c>
      <c r="AH197" s="35"/>
      <c r="AI197" s="35"/>
      <c r="AJ197" s="117" t="str">
        <f>if('Ingest Template'!A197="Standard",(IF(OR('Ingest Template'!F197 = "Program Type - Special", 'Ingest Template'!F197 = "Program Type - Live Event"),'Ingest Template'!M197&amp; "|DAR|DAR|"&amp;TEXT('Ingest Template'!C197-3, "yyyy-mm-dd")&amp;"|"&amp;TEXT('Ingest Template'!C197+3, "yyyy-mm-dd"),'Ingest Template'!M197&amp; "|DAR|DAR|2021-01-01")),(IF(OR('Ingest Template'!F197 = "Program Type - Special", 'Ingest Template'!F197 = "Program Type - Live Event"),'Ingest Template'!M197&amp; "|Operations - Core Title|Operations - Core Title|"&amp;TEXT('Ingest Template'!C197-3, "yyyy-mm-dd")&amp;"|"&amp;TEXT('Ingest Template'!C197+3, "yyyy-mm-dd"),'Ingest Template'!M197&amp; "|Operations - Core Title|Operations - Core Title")))</f>
        <v>|Operations - Core Title|Operations - Core Title</v>
      </c>
      <c r="AK197" s="35"/>
      <c r="AL197" s="117" t="str">
        <f>if('Ingest Template'!A197="Standard",(IF(OR('Ingest Template'!F197 = "Program Type - Special", 'Ingest Template'!F197 = "Program Type - Live Event"),'Ingest Template'!Q197&amp;"|"&amp;TEXT('Ingest Template'!C197-3, "yyyy-mm-dd")&amp;"|"&amp;TEXT('Ingest Template'!C197+3, "yyyy-mm-dd"),'Ingest Template'!Q197&amp; "|2021-01-01")),(IF(OR('Ingest Template'!F197 = "Program Type - Special", 'Ingest Template'!F197 = "Program Type - Live Event"),'Ingest Template'!Q197&amp; "|"&amp;TEXT('Ingest Template'!C197-3, "yyyy-mm-dd")&amp;"|"&amp;TEXT('Ingest Template'!C197+3, "yyyy-mm-dd"),'Ingest Template'!Q197)))</f>
        <v/>
      </c>
      <c r="AM197" s="35" t="str">
        <f>'Ingest Template'!AC197</f>
        <v/>
      </c>
    </row>
    <row r="198">
      <c r="A198" s="15"/>
      <c r="B198" s="22" t="str">
        <f>'Ingest Template'!C198&amp;IF('Ingest Template'!A198 = "Standard", " - DAR","")</f>
        <v/>
      </c>
      <c r="C198" s="22" t="s">
        <v>83</v>
      </c>
      <c r="D198" s="22" t="str">
        <f t="array" ref="D198">CONCATENATE(INDEX(DropdownLists!$H$2:$H$11,MATCH(1,COUNTIF('Ingest Template'!E198,"*"&amp;DropdownLists!$I$2:$I$11&amp;"*"),0)),CHAR(10),'Ingest Template'!F198,CHAR(10),'Ingest Template'!G198,CHAR(10),VLOOKUP('Ingest Template'!D198,DropdownLists!C:D,2,FALSE))</f>
        <v>#N/A</v>
      </c>
      <c r="E198" s="22" t="str">
        <f>CONCATENATE('Ingest Template'!H198,CHAR(10),'Ingest Template'!I198,CHAR(10),'Ingest Template'!J198,CHAR(10))</f>
        <v>
</v>
      </c>
      <c r="F198" s="35" t="str">
        <f t="array" ref="F198">INDEX(DropdownLists!$O$2:$O$36,MATCH(1,COUNTIF(E198,"*"&amp;DropdownLists!$N$2:$N$36&amp;"*"),0))</f>
        <v/>
      </c>
      <c r="G198" s="35"/>
      <c r="H198" s="22" t="str">
        <f t="array" ref="H198">INDEX(DropdownLists!$E$2:$E$276,MATCH('Ingest Template'!D198,DropdownLists!$C$2:$C$276,0))</f>
        <v>#N/A</v>
      </c>
      <c r="I198" s="22"/>
      <c r="J198" s="22" t="str">
        <f t="array" ref="J198">iF('Ingest Template'!A198="Standard","Pristine Brand",INDEX(DropdownLists!$B$2:$B$246,MATCH('Ingest Template'!D198,DropdownLists!$C$2:$C$246,0)))</f>
        <v>#N/A</v>
      </c>
      <c r="K198" s="22" t="str">
        <f>iF('Ingest Template'!A198="Standard",'Ingest Template'!K198&amp;CHAR(10)&amp;'Ingest Template'!L198,"Competitive View")</f>
        <v>Competitive View</v>
      </c>
      <c r="L198" s="22" t="s">
        <v>95</v>
      </c>
      <c r="M198" s="45" t="str">
        <f>'Ingest Template'!B198</f>
        <v/>
      </c>
      <c r="N198" s="35"/>
      <c r="O198" s="35"/>
      <c r="P198" s="35"/>
      <c r="Q198" s="35"/>
      <c r="R198" s="35" t="str">
        <f>'Ingest Template'!D198</f>
        <v/>
      </c>
      <c r="S198" s="22" t="s">
        <v>101</v>
      </c>
      <c r="T198" s="35" t="str">
        <f>'Ingest Template'!V198</f>
        <v/>
      </c>
      <c r="U198" s="35" t="str">
        <f>'Ingest Template'!W198</f>
        <v/>
      </c>
      <c r="V198" s="35" t="str">
        <f>LOWER(SUBSTITUTE(SUBSTITUTE(SUBSTITUTE(SUBSTITUTE(SUBSTITUTE('Ingest Template'!X198,"https:",""),"www.",""),"/",""),"?hl=en",""),"instagram.com",""))</f>
        <v/>
      </c>
      <c r="W198" s="74" t="str">
        <f t="array" ref="W198">IF(
'Ingest Template'!Y198="",
SUBSTITUTE(
INDEX(DropdownLists!$F$2:$F$277,MATCH('Ingest Template'!D198,DropdownLists!$C$2:$C$277,0)),
CHAR(10),
"|"&amp;'Ingest Template'!C198&amp;CHAR(10)
)&amp;"|"&amp;'Ingest Template'!C198,
SUBSTITUTE(
INDEX(DropdownLists!$F$2:$F$277,MATCH('Ingest Template'!D198,DropdownLists!$C$2:$C$277,0)),
CHAR(10),
"|"&amp;'Ingest Template'!C198&amp;CHAR(10)
)&amp;"|"&amp;'Ingest Template'!C198&amp;CHAR(10)&amp;'Ingest Template'!Y198
)</f>
        <v>#N/A</v>
      </c>
      <c r="X198" s="74" t="str">
        <f>'Ingest Template'!Z198</f>
        <v/>
      </c>
      <c r="Y198" s="35" t="str">
        <f>SUBSTITUTE(SUBSTITUTE(SUBSTITUTE('Ingest Template'!AA198,"http:",""),"https:",""),"/","")</f>
        <v/>
      </c>
      <c r="Z198" s="35" t="str">
        <f t="array" ref="Z198">IF('Ingest Template'!A198="Standard",(IF(ISBLANK('Ingest Template'!AB198),"", 'Ingest Template'!AB198&amp;"|DAR")),(IF(ISBLANK('Ingest Template'!AB198),"", 'Ingest Template'!AB198&amp;"|TV Ops")))</f>
        <v/>
      </c>
      <c r="AA198" s="35"/>
      <c r="AB198" s="35" t="str">
        <f>'Ingest Template'!R198</f>
        <v/>
      </c>
      <c r="AC198" s="35" t="str">
        <f>'Ingest Template'!T198</f>
        <v/>
      </c>
      <c r="AD198" s="35" t="str">
        <f>'Ingest Template'!S198</f>
        <v/>
      </c>
      <c r="AE198" s="35" t="str">
        <f>'Ingest Template'!U198</f>
        <v/>
      </c>
      <c r="AF198" s="22"/>
      <c r="AG198" s="35" t="str">
        <f t="array" ref="AG198">IF('Ingest Template'!A198="Standard",(CONCATENATE(IF(ISBLANK('Ingest Template'!N198),"", 'Ingest Template'!N198&amp;"|DAR"),CHAR(10), IF(ISBLANK('Ingest Template'!O198),"", 'Ingest Template'!O198&amp;"|DAR"),CHAR(10), IF(ISBLANK('Ingest Template'!P198),"", 'Ingest Template'!P198&amp;"|DAR"))),(CONCATENATE(IF(ISBLANK('Ingest Template'!N198),"", 'Ingest Template'!N198&amp;"|TV Ops"),CHAR(10), IF(ISBLANK('Ingest Template'!O198),"", 'Ingest Template'!O198&amp;"|TV Ops"),CHAR(10), IF(ISBLANK('Ingest Template'!P198),"", 'Ingest Template'!P198&amp;"|TV Ops"))))</f>
        <v>
</v>
      </c>
      <c r="AH198" s="35"/>
      <c r="AI198" s="35"/>
      <c r="AJ198" s="117" t="str">
        <f>if('Ingest Template'!A198="Standard",(IF(OR('Ingest Template'!F198 = "Program Type - Special", 'Ingest Template'!F198 = "Program Type - Live Event"),'Ingest Template'!M198&amp; "|DAR|DAR|"&amp;TEXT('Ingest Template'!C198-3, "yyyy-mm-dd")&amp;"|"&amp;TEXT('Ingest Template'!C198+3, "yyyy-mm-dd"),'Ingest Template'!M198&amp; "|DAR|DAR|2021-01-01")),(IF(OR('Ingest Template'!F198 = "Program Type - Special", 'Ingest Template'!F198 = "Program Type - Live Event"),'Ingest Template'!M198&amp; "|Operations - Core Title|Operations - Core Title|"&amp;TEXT('Ingest Template'!C198-3, "yyyy-mm-dd")&amp;"|"&amp;TEXT('Ingest Template'!C198+3, "yyyy-mm-dd"),'Ingest Template'!M198&amp; "|Operations - Core Title|Operations - Core Title")))</f>
        <v>|Operations - Core Title|Operations - Core Title</v>
      </c>
      <c r="AK198" s="35"/>
      <c r="AL198" s="117" t="str">
        <f>if('Ingest Template'!A198="Standard",(IF(OR('Ingest Template'!F198 = "Program Type - Special", 'Ingest Template'!F198 = "Program Type - Live Event"),'Ingest Template'!Q198&amp;"|"&amp;TEXT('Ingest Template'!C198-3, "yyyy-mm-dd")&amp;"|"&amp;TEXT('Ingest Template'!C198+3, "yyyy-mm-dd"),'Ingest Template'!Q198&amp; "|2021-01-01")),(IF(OR('Ingest Template'!F198 = "Program Type - Special", 'Ingest Template'!F198 = "Program Type - Live Event"),'Ingest Template'!Q198&amp; "|"&amp;TEXT('Ingest Template'!C198-3, "yyyy-mm-dd")&amp;"|"&amp;TEXT('Ingest Template'!C198+3, "yyyy-mm-dd"),'Ingest Template'!Q198)))</f>
        <v/>
      </c>
      <c r="AM198" s="35" t="str">
        <f>'Ingest Template'!AC198</f>
        <v/>
      </c>
    </row>
    <row r="199">
      <c r="A199" s="15"/>
      <c r="B199" s="22" t="str">
        <f>'Ingest Template'!C199&amp;IF('Ingest Template'!A199 = "Standard", " - DAR","")</f>
        <v/>
      </c>
      <c r="C199" s="22" t="s">
        <v>83</v>
      </c>
      <c r="D199" s="22" t="str">
        <f t="array" ref="D199">CONCATENATE(INDEX(DropdownLists!$H$2:$H$11,MATCH(1,COUNTIF('Ingest Template'!E199,"*"&amp;DropdownLists!$I$2:$I$11&amp;"*"),0)),CHAR(10),'Ingest Template'!F199,CHAR(10),'Ingest Template'!G199,CHAR(10),VLOOKUP('Ingest Template'!D199,DropdownLists!C:D,2,FALSE))</f>
        <v>#N/A</v>
      </c>
      <c r="E199" s="22" t="str">
        <f>CONCATENATE('Ingest Template'!H199,CHAR(10),'Ingest Template'!I199,CHAR(10),'Ingest Template'!J199,CHAR(10))</f>
        <v>
</v>
      </c>
      <c r="F199" s="35" t="str">
        <f t="array" ref="F199">INDEX(DropdownLists!$O$2:$O$36,MATCH(1,COUNTIF(E199,"*"&amp;DropdownLists!$N$2:$N$36&amp;"*"),0))</f>
        <v/>
      </c>
      <c r="G199" s="35"/>
      <c r="H199" s="22" t="str">
        <f t="array" ref="H199">INDEX(DropdownLists!$E$2:$E$276,MATCH('Ingest Template'!D199,DropdownLists!$C$2:$C$276,0))</f>
        <v>#N/A</v>
      </c>
      <c r="I199" s="22"/>
      <c r="J199" s="22" t="str">
        <f t="array" ref="J199">iF('Ingest Template'!A199="Standard","Pristine Brand",INDEX(DropdownLists!$B$2:$B$246,MATCH('Ingest Template'!D199,DropdownLists!$C$2:$C$246,0)))</f>
        <v>#N/A</v>
      </c>
      <c r="K199" s="22" t="str">
        <f>iF('Ingest Template'!A199="Standard",'Ingest Template'!K199&amp;CHAR(10)&amp;'Ingest Template'!L199,"Competitive View")</f>
        <v>Competitive View</v>
      </c>
      <c r="L199" s="22" t="s">
        <v>95</v>
      </c>
      <c r="M199" s="45" t="str">
        <f>'Ingest Template'!B199</f>
        <v/>
      </c>
      <c r="N199" s="35"/>
      <c r="O199" s="35"/>
      <c r="P199" s="35"/>
      <c r="Q199" s="35"/>
      <c r="R199" s="35" t="str">
        <f>'Ingest Template'!D199</f>
        <v/>
      </c>
      <c r="S199" s="22" t="s">
        <v>101</v>
      </c>
      <c r="T199" s="35" t="str">
        <f>'Ingest Template'!V199</f>
        <v/>
      </c>
      <c r="U199" s="35" t="str">
        <f>'Ingest Template'!W199</f>
        <v/>
      </c>
      <c r="V199" s="35" t="str">
        <f>LOWER(SUBSTITUTE(SUBSTITUTE(SUBSTITUTE(SUBSTITUTE(SUBSTITUTE('Ingest Template'!X199,"https:",""),"www.",""),"/",""),"?hl=en",""),"instagram.com",""))</f>
        <v/>
      </c>
      <c r="W199" s="74" t="str">
        <f t="array" ref="W199">IF(
'Ingest Template'!Y199="",
SUBSTITUTE(
INDEX(DropdownLists!$F$2:$F$277,MATCH('Ingest Template'!D199,DropdownLists!$C$2:$C$277,0)),
CHAR(10),
"|"&amp;'Ingest Template'!C199&amp;CHAR(10)
)&amp;"|"&amp;'Ingest Template'!C199,
SUBSTITUTE(
INDEX(DropdownLists!$F$2:$F$277,MATCH('Ingest Template'!D199,DropdownLists!$C$2:$C$277,0)),
CHAR(10),
"|"&amp;'Ingest Template'!C199&amp;CHAR(10)
)&amp;"|"&amp;'Ingest Template'!C199&amp;CHAR(10)&amp;'Ingest Template'!Y199
)</f>
        <v>#N/A</v>
      </c>
      <c r="X199" s="74" t="str">
        <f>'Ingest Template'!Z199</f>
        <v/>
      </c>
      <c r="Y199" s="35" t="str">
        <f>SUBSTITUTE(SUBSTITUTE(SUBSTITUTE('Ingest Template'!AA199,"http:",""),"https:",""),"/","")</f>
        <v/>
      </c>
      <c r="Z199" s="35" t="str">
        <f t="array" ref="Z199">IF('Ingest Template'!A199="Standard",(IF(ISBLANK('Ingest Template'!AB199),"", 'Ingest Template'!AB199&amp;"|DAR")),(IF(ISBLANK('Ingest Template'!AB199),"", 'Ingest Template'!AB199&amp;"|TV Ops")))</f>
        <v/>
      </c>
      <c r="AA199" s="35"/>
      <c r="AB199" s="35" t="str">
        <f>'Ingest Template'!R199</f>
        <v/>
      </c>
      <c r="AC199" s="35" t="str">
        <f>'Ingest Template'!T199</f>
        <v/>
      </c>
      <c r="AD199" s="35" t="str">
        <f>'Ingest Template'!S199</f>
        <v/>
      </c>
      <c r="AE199" s="35" t="str">
        <f>'Ingest Template'!U199</f>
        <v/>
      </c>
      <c r="AF199" s="22"/>
      <c r="AG199" s="35" t="str">
        <f t="array" ref="AG199">IF('Ingest Template'!A199="Standard",(CONCATENATE(IF(ISBLANK('Ingest Template'!N199),"", 'Ingest Template'!N199&amp;"|DAR"),CHAR(10), IF(ISBLANK('Ingest Template'!O199),"", 'Ingest Template'!O199&amp;"|DAR"),CHAR(10), IF(ISBLANK('Ingest Template'!P199),"", 'Ingest Template'!P199&amp;"|DAR"))),(CONCATENATE(IF(ISBLANK('Ingest Template'!N199),"", 'Ingest Template'!N199&amp;"|TV Ops"),CHAR(10), IF(ISBLANK('Ingest Template'!O199),"", 'Ingest Template'!O199&amp;"|TV Ops"),CHAR(10), IF(ISBLANK('Ingest Template'!P199),"", 'Ingest Template'!P199&amp;"|TV Ops"))))</f>
        <v>
</v>
      </c>
      <c r="AH199" s="35"/>
      <c r="AI199" s="35"/>
      <c r="AJ199" s="117" t="str">
        <f>if('Ingest Template'!A199="Standard",(IF(OR('Ingest Template'!F199 = "Program Type - Special", 'Ingest Template'!F199 = "Program Type - Live Event"),'Ingest Template'!M199&amp; "|DAR|DAR|"&amp;TEXT('Ingest Template'!C199-3, "yyyy-mm-dd")&amp;"|"&amp;TEXT('Ingest Template'!C199+3, "yyyy-mm-dd"),'Ingest Template'!M199&amp; "|DAR|DAR|2021-01-01")),(IF(OR('Ingest Template'!F199 = "Program Type - Special", 'Ingest Template'!F199 = "Program Type - Live Event"),'Ingest Template'!M199&amp; "|Operations - Core Title|Operations - Core Title|"&amp;TEXT('Ingest Template'!C199-3, "yyyy-mm-dd")&amp;"|"&amp;TEXT('Ingest Template'!C199+3, "yyyy-mm-dd"),'Ingest Template'!M199&amp; "|Operations - Core Title|Operations - Core Title")))</f>
        <v>|Operations - Core Title|Operations - Core Title</v>
      </c>
      <c r="AK199" s="35"/>
      <c r="AL199" s="117" t="str">
        <f>if('Ingest Template'!A199="Standard",(IF(OR('Ingest Template'!F199 = "Program Type - Special", 'Ingest Template'!F199 = "Program Type - Live Event"),'Ingest Template'!Q199&amp;"|"&amp;TEXT('Ingest Template'!C199-3, "yyyy-mm-dd")&amp;"|"&amp;TEXT('Ingest Template'!C199+3, "yyyy-mm-dd"),'Ingest Template'!Q199&amp; "|2021-01-01")),(IF(OR('Ingest Template'!F199 = "Program Type - Special", 'Ingest Template'!F199 = "Program Type - Live Event"),'Ingest Template'!Q199&amp; "|"&amp;TEXT('Ingest Template'!C199-3, "yyyy-mm-dd")&amp;"|"&amp;TEXT('Ingest Template'!C199+3, "yyyy-mm-dd"),'Ingest Template'!Q199)))</f>
        <v/>
      </c>
      <c r="AM199" s="35" t="str">
        <f>'Ingest Template'!AC199</f>
        <v/>
      </c>
    </row>
    <row r="200">
      <c r="A200" s="15"/>
      <c r="B200" s="22" t="str">
        <f>'Ingest Template'!C200&amp;IF('Ingest Template'!A200 = "Standard", " - DAR","")</f>
        <v/>
      </c>
      <c r="C200" s="22" t="s">
        <v>83</v>
      </c>
      <c r="D200" s="22" t="str">
        <f t="array" ref="D200">CONCATENATE(INDEX(DropdownLists!$H$2:$H$11,MATCH(1,COUNTIF('Ingest Template'!E200,"*"&amp;DropdownLists!$I$2:$I$11&amp;"*"),0)),CHAR(10),'Ingest Template'!F200,CHAR(10),'Ingest Template'!G200,CHAR(10),VLOOKUP('Ingest Template'!D200,DropdownLists!C:D,2,FALSE))</f>
        <v>#N/A</v>
      </c>
      <c r="E200" s="22" t="str">
        <f>CONCATENATE('Ingest Template'!H200,CHAR(10),'Ingest Template'!I200,CHAR(10),'Ingest Template'!J200,CHAR(10))</f>
        <v>
</v>
      </c>
      <c r="F200" s="35" t="str">
        <f t="array" ref="F200">INDEX(DropdownLists!$O$2:$O$36,MATCH(1,COUNTIF(E200,"*"&amp;DropdownLists!$N$2:$N$36&amp;"*"),0))</f>
        <v/>
      </c>
      <c r="G200" s="35"/>
      <c r="H200" s="22" t="str">
        <f t="array" ref="H200">INDEX(DropdownLists!$E$2:$E$276,MATCH('Ingest Template'!D200,DropdownLists!$C$2:$C$276,0))</f>
        <v>#N/A</v>
      </c>
      <c r="I200" s="22"/>
      <c r="J200" s="22" t="str">
        <f t="array" ref="J200">iF('Ingest Template'!A200="Standard","Pristine Brand",INDEX(DropdownLists!$B$2:$B$246,MATCH('Ingest Template'!D200,DropdownLists!$C$2:$C$246,0)))</f>
        <v>#N/A</v>
      </c>
      <c r="K200" s="22" t="str">
        <f>iF('Ingest Template'!A200="Standard",'Ingest Template'!K200&amp;CHAR(10)&amp;'Ingest Template'!L200,"Competitive View")</f>
        <v>Competitive View</v>
      </c>
      <c r="L200" s="22" t="s">
        <v>95</v>
      </c>
      <c r="M200" s="45" t="str">
        <f>'Ingest Template'!B200</f>
        <v/>
      </c>
      <c r="N200" s="35"/>
      <c r="O200" s="35"/>
      <c r="P200" s="35"/>
      <c r="Q200" s="35"/>
      <c r="R200" s="35" t="str">
        <f>'Ingest Template'!D200</f>
        <v/>
      </c>
      <c r="S200" s="22" t="s">
        <v>101</v>
      </c>
      <c r="T200" s="35" t="str">
        <f>'Ingest Template'!V200</f>
        <v/>
      </c>
      <c r="U200" s="35" t="str">
        <f>'Ingest Template'!W200</f>
        <v/>
      </c>
      <c r="V200" s="35" t="str">
        <f>LOWER(SUBSTITUTE(SUBSTITUTE(SUBSTITUTE(SUBSTITUTE(SUBSTITUTE('Ingest Template'!X200,"https:",""),"www.",""),"/",""),"?hl=en",""),"instagram.com",""))</f>
        <v/>
      </c>
      <c r="W200" s="74" t="str">
        <f t="array" ref="W200">IF(
'Ingest Template'!Y200="",
SUBSTITUTE(
INDEX(DropdownLists!$F$2:$F$277,MATCH('Ingest Template'!D200,DropdownLists!$C$2:$C$277,0)),
CHAR(10),
"|"&amp;'Ingest Template'!C200&amp;CHAR(10)
)&amp;"|"&amp;'Ingest Template'!C200,
SUBSTITUTE(
INDEX(DropdownLists!$F$2:$F$277,MATCH('Ingest Template'!D200,DropdownLists!$C$2:$C$277,0)),
CHAR(10),
"|"&amp;'Ingest Template'!C200&amp;CHAR(10)
)&amp;"|"&amp;'Ingest Template'!C200&amp;CHAR(10)&amp;'Ingest Template'!Y200
)</f>
        <v>#N/A</v>
      </c>
      <c r="X200" s="74" t="str">
        <f>'Ingest Template'!Z200</f>
        <v/>
      </c>
      <c r="Y200" s="35" t="str">
        <f>SUBSTITUTE(SUBSTITUTE(SUBSTITUTE('Ingest Template'!AA200,"http:",""),"https:",""),"/","")</f>
        <v/>
      </c>
      <c r="Z200" s="35" t="str">
        <f t="array" ref="Z200">IF('Ingest Template'!A200="Standard",(IF(ISBLANK('Ingest Template'!AB200),"", 'Ingest Template'!AB200&amp;"|DAR")),(IF(ISBLANK('Ingest Template'!AB200),"", 'Ingest Template'!AB200&amp;"|TV Ops")))</f>
        <v/>
      </c>
      <c r="AA200" s="35"/>
      <c r="AB200" s="35" t="str">
        <f>'Ingest Template'!R200</f>
        <v/>
      </c>
      <c r="AC200" s="35" t="str">
        <f>'Ingest Template'!T200</f>
        <v/>
      </c>
      <c r="AD200" s="35" t="str">
        <f>'Ingest Template'!S200</f>
        <v/>
      </c>
      <c r="AE200" s="35" t="str">
        <f>'Ingest Template'!U200</f>
        <v/>
      </c>
      <c r="AF200" s="22"/>
      <c r="AG200" s="35" t="str">
        <f t="array" ref="AG200">IF('Ingest Template'!A200="Standard",(CONCATENATE(IF(ISBLANK('Ingest Template'!N200),"", 'Ingest Template'!N200&amp;"|DAR"),CHAR(10), IF(ISBLANK('Ingest Template'!O200),"", 'Ingest Template'!O200&amp;"|DAR"),CHAR(10), IF(ISBLANK('Ingest Template'!P200),"", 'Ingest Template'!P200&amp;"|DAR"))),(CONCATENATE(IF(ISBLANK('Ingest Template'!N200),"", 'Ingest Template'!N200&amp;"|TV Ops"),CHAR(10), IF(ISBLANK('Ingest Template'!O200),"", 'Ingest Template'!O200&amp;"|TV Ops"),CHAR(10), IF(ISBLANK('Ingest Template'!P200),"", 'Ingest Template'!P200&amp;"|TV Ops"))))</f>
        <v>
</v>
      </c>
      <c r="AH200" s="35"/>
      <c r="AI200" s="35"/>
      <c r="AJ200" s="117" t="str">
        <f>if('Ingest Template'!A200="Standard",(IF(OR('Ingest Template'!F200 = "Program Type - Special", 'Ingest Template'!F200 = "Program Type - Live Event"),'Ingest Template'!M200&amp; "|DAR|DAR|"&amp;TEXT('Ingest Template'!C200-3, "yyyy-mm-dd")&amp;"|"&amp;TEXT('Ingest Template'!C200+3, "yyyy-mm-dd"),'Ingest Template'!M200&amp; "|DAR|DAR|2021-01-01")),(IF(OR('Ingest Template'!F200 = "Program Type - Special", 'Ingest Template'!F200 = "Program Type - Live Event"),'Ingest Template'!M200&amp; "|Operations - Core Title|Operations - Core Title|"&amp;TEXT('Ingest Template'!C200-3, "yyyy-mm-dd")&amp;"|"&amp;TEXT('Ingest Template'!C200+3, "yyyy-mm-dd"),'Ingest Template'!M200&amp; "|Operations - Core Title|Operations - Core Title")))</f>
        <v>|Operations - Core Title|Operations - Core Title</v>
      </c>
      <c r="AK200" s="35"/>
      <c r="AL200" s="117" t="str">
        <f>if('Ingest Template'!A200="Standard",(IF(OR('Ingest Template'!F200 = "Program Type - Special", 'Ingest Template'!F200 = "Program Type - Live Event"),'Ingest Template'!Q200&amp;"|"&amp;TEXT('Ingest Template'!C200-3, "yyyy-mm-dd")&amp;"|"&amp;TEXT('Ingest Template'!C200+3, "yyyy-mm-dd"),'Ingest Template'!Q200&amp; "|2021-01-01")),(IF(OR('Ingest Template'!F200 = "Program Type - Special", 'Ingest Template'!F200 = "Program Type - Live Event"),'Ingest Template'!Q200&amp; "|"&amp;TEXT('Ingest Template'!C200-3, "yyyy-mm-dd")&amp;"|"&amp;TEXT('Ingest Template'!C200+3, "yyyy-mm-dd"),'Ingest Template'!Q200)))</f>
        <v/>
      </c>
      <c r="AM200" s="35" t="str">
        <f>'Ingest Template'!AC200</f>
        <v/>
      </c>
    </row>
    <row r="201">
      <c r="A201" s="15"/>
      <c r="B201" s="22" t="str">
        <f>'Ingest Template'!C201&amp;IF('Ingest Template'!A201 = "Standard", " - DAR","")</f>
        <v/>
      </c>
      <c r="C201" s="22" t="s">
        <v>83</v>
      </c>
      <c r="D201" s="22" t="str">
        <f t="array" ref="D201">CONCATENATE(INDEX(DropdownLists!$H$2:$H$11,MATCH(1,COUNTIF('Ingest Template'!E201,"*"&amp;DropdownLists!$I$2:$I$11&amp;"*"),0)),CHAR(10),'Ingest Template'!F201,CHAR(10),'Ingest Template'!G201,CHAR(10),VLOOKUP('Ingest Template'!D201,DropdownLists!C:D,2,FALSE))</f>
        <v>#N/A</v>
      </c>
      <c r="E201" s="22" t="str">
        <f>CONCATENATE('Ingest Template'!H201,CHAR(10),'Ingest Template'!I201,CHAR(10),'Ingest Template'!J201,CHAR(10))</f>
        <v>
</v>
      </c>
      <c r="F201" s="35" t="str">
        <f t="array" ref="F201">INDEX(DropdownLists!$O$2:$O$36,MATCH(1,COUNTIF(E201,"*"&amp;DropdownLists!$N$2:$N$36&amp;"*"),0))</f>
        <v/>
      </c>
      <c r="G201" s="35"/>
      <c r="H201" s="22" t="str">
        <f t="array" ref="H201">INDEX(DropdownLists!$E$2:$E$276,MATCH('Ingest Template'!D201,DropdownLists!$C$2:$C$276,0))</f>
        <v>#N/A</v>
      </c>
      <c r="I201" s="22"/>
      <c r="J201" s="22" t="str">
        <f t="array" ref="J201">iF('Ingest Template'!A201="Standard","Pristine Brand",INDEX(DropdownLists!$B$2:$B$246,MATCH('Ingest Template'!D201,DropdownLists!$C$2:$C$246,0)))</f>
        <v>#N/A</v>
      </c>
      <c r="K201" s="22" t="str">
        <f>iF('Ingest Template'!A201="Standard",'Ingest Template'!K201&amp;CHAR(10)&amp;'Ingest Template'!L201,"Competitive View")</f>
        <v>Competitive View</v>
      </c>
      <c r="L201" s="22" t="s">
        <v>95</v>
      </c>
      <c r="M201" s="45" t="str">
        <f>'Ingest Template'!B201</f>
        <v/>
      </c>
      <c r="N201" s="35"/>
      <c r="O201" s="35"/>
      <c r="P201" s="35"/>
      <c r="Q201" s="35"/>
      <c r="R201" s="35" t="str">
        <f>'Ingest Template'!D201</f>
        <v/>
      </c>
      <c r="S201" s="22" t="s">
        <v>101</v>
      </c>
      <c r="T201" s="35" t="str">
        <f>'Ingest Template'!V201</f>
        <v/>
      </c>
      <c r="U201" s="35" t="str">
        <f>'Ingest Template'!W201</f>
        <v/>
      </c>
      <c r="V201" s="35" t="str">
        <f>LOWER(SUBSTITUTE(SUBSTITUTE(SUBSTITUTE(SUBSTITUTE(SUBSTITUTE('Ingest Template'!X201,"https:",""),"www.",""),"/",""),"?hl=en",""),"instagram.com",""))</f>
        <v/>
      </c>
      <c r="W201" s="74" t="str">
        <f t="array" ref="W201">IF(
'Ingest Template'!Y201="",
SUBSTITUTE(
INDEX(DropdownLists!$F$2:$F$277,MATCH('Ingest Template'!D201,DropdownLists!$C$2:$C$277,0)),
CHAR(10),
"|"&amp;'Ingest Template'!C201&amp;CHAR(10)
)&amp;"|"&amp;'Ingest Template'!C201,
SUBSTITUTE(
INDEX(DropdownLists!$F$2:$F$277,MATCH('Ingest Template'!D201,DropdownLists!$C$2:$C$277,0)),
CHAR(10),
"|"&amp;'Ingest Template'!C201&amp;CHAR(10)
)&amp;"|"&amp;'Ingest Template'!C201&amp;CHAR(10)&amp;'Ingest Template'!Y201
)</f>
        <v>#N/A</v>
      </c>
      <c r="X201" s="74" t="str">
        <f>'Ingest Template'!Z201</f>
        <v/>
      </c>
      <c r="Y201" s="35" t="str">
        <f>SUBSTITUTE(SUBSTITUTE(SUBSTITUTE('Ingest Template'!AA201,"http:",""),"https:",""),"/","")</f>
        <v/>
      </c>
      <c r="Z201" s="35" t="str">
        <f t="array" ref="Z201">IF('Ingest Template'!A201="Standard",(IF(ISBLANK('Ingest Template'!AB201),"", 'Ingest Template'!AB201&amp;"|DAR")),(IF(ISBLANK('Ingest Template'!AB201),"", 'Ingest Template'!AB201&amp;"|TV Ops")))</f>
        <v/>
      </c>
      <c r="AA201" s="35"/>
      <c r="AB201" s="35" t="str">
        <f>'Ingest Template'!R201</f>
        <v/>
      </c>
      <c r="AC201" s="35" t="str">
        <f>'Ingest Template'!T201</f>
        <v/>
      </c>
      <c r="AD201" s="35" t="str">
        <f>'Ingest Template'!S201</f>
        <v/>
      </c>
      <c r="AE201" s="35" t="str">
        <f>'Ingest Template'!U201</f>
        <v/>
      </c>
      <c r="AF201" s="22"/>
      <c r="AG201" s="35" t="str">
        <f t="array" ref="AG201">IF('Ingest Template'!A201="Standard",(CONCATENATE(IF(ISBLANK('Ingest Template'!N201),"", 'Ingest Template'!N201&amp;"|DAR"),CHAR(10), IF(ISBLANK('Ingest Template'!O201),"", 'Ingest Template'!O201&amp;"|DAR"),CHAR(10), IF(ISBLANK('Ingest Template'!P201),"", 'Ingest Template'!P201&amp;"|DAR"))),(CONCATENATE(IF(ISBLANK('Ingest Template'!N201),"", 'Ingest Template'!N201&amp;"|TV Ops"),CHAR(10), IF(ISBLANK('Ingest Template'!O201),"", 'Ingest Template'!O201&amp;"|TV Ops"),CHAR(10), IF(ISBLANK('Ingest Template'!P201),"", 'Ingest Template'!P201&amp;"|TV Ops"))))</f>
        <v>
</v>
      </c>
      <c r="AH201" s="35"/>
      <c r="AI201" s="35"/>
      <c r="AJ201" s="117" t="str">
        <f>if('Ingest Template'!A201="Standard",(IF(OR('Ingest Template'!F201 = "Program Type - Special", 'Ingest Template'!F201 = "Program Type - Live Event"),'Ingest Template'!M201&amp; "|DAR|DAR|"&amp;TEXT('Ingest Template'!C201-3, "yyyy-mm-dd")&amp;"|"&amp;TEXT('Ingest Template'!C201+3, "yyyy-mm-dd"),'Ingest Template'!M201&amp; "|DAR|DAR|2021-01-01")),(IF(OR('Ingest Template'!F201 = "Program Type - Special", 'Ingest Template'!F201 = "Program Type - Live Event"),'Ingest Template'!M201&amp; "|Operations - Core Title|Operations - Core Title|"&amp;TEXT('Ingest Template'!C201-3, "yyyy-mm-dd")&amp;"|"&amp;TEXT('Ingest Template'!C201+3, "yyyy-mm-dd"),'Ingest Template'!M201&amp; "|Operations - Core Title|Operations - Core Title")))</f>
        <v>|Operations - Core Title|Operations - Core Title</v>
      </c>
      <c r="AK201" s="35"/>
      <c r="AL201" s="117" t="str">
        <f>if('Ingest Template'!A201="Standard",(IF(OR('Ingest Template'!F201 = "Program Type - Special", 'Ingest Template'!F201 = "Program Type - Live Event"),'Ingest Template'!Q201&amp;"|"&amp;TEXT('Ingest Template'!C201-3, "yyyy-mm-dd")&amp;"|"&amp;TEXT('Ingest Template'!C201+3, "yyyy-mm-dd"),'Ingest Template'!Q201&amp; "|2021-01-01")),(IF(OR('Ingest Template'!F201 = "Program Type - Special", 'Ingest Template'!F201 = "Program Type - Live Event"),'Ingest Template'!Q201&amp; "|"&amp;TEXT('Ingest Template'!C201-3, "yyyy-mm-dd")&amp;"|"&amp;TEXT('Ingest Template'!C201+3, "yyyy-mm-dd"),'Ingest Template'!Q201)))</f>
        <v/>
      </c>
      <c r="AM201" s="35" t="str">
        <f>'Ingest Template'!AC201</f>
        <v/>
      </c>
    </row>
    <row r="202">
      <c r="A202" s="15"/>
      <c r="B202" s="22" t="str">
        <f>'Ingest Template'!C202&amp;IF('Ingest Template'!A202 = "Standard", " - DAR","")</f>
        <v/>
      </c>
      <c r="C202" s="22" t="s">
        <v>83</v>
      </c>
      <c r="D202" s="22" t="str">
        <f t="array" ref="D202">CONCATENATE(INDEX(DropdownLists!$H$2:$H$11,MATCH(1,COUNTIF('Ingest Template'!E202,"*"&amp;DropdownLists!$I$2:$I$11&amp;"*"),0)),CHAR(10),'Ingest Template'!F202,CHAR(10),'Ingest Template'!G202,CHAR(10),VLOOKUP('Ingest Template'!D202,DropdownLists!C:D,2,FALSE))</f>
        <v>#N/A</v>
      </c>
      <c r="E202" s="22" t="str">
        <f>CONCATENATE('Ingest Template'!H202,CHAR(10),'Ingest Template'!I202,CHAR(10),'Ingest Template'!J202,CHAR(10))</f>
        <v>
</v>
      </c>
      <c r="F202" s="35" t="str">
        <f t="array" ref="F202">INDEX(DropdownLists!$O$2:$O$36,MATCH(1,COUNTIF(E202,"*"&amp;DropdownLists!$N$2:$N$36&amp;"*"),0))</f>
        <v/>
      </c>
      <c r="G202" s="35"/>
      <c r="H202" s="22" t="str">
        <f t="array" ref="H202">INDEX(DropdownLists!$E$2:$E$276,MATCH('Ingest Template'!D202,DropdownLists!$C$2:$C$276,0))</f>
        <v>#N/A</v>
      </c>
      <c r="I202" s="22"/>
      <c r="J202" s="22" t="str">
        <f t="array" ref="J202">iF('Ingest Template'!A202="Standard","Pristine Brand",INDEX(DropdownLists!$B$2:$B$246,MATCH('Ingest Template'!D202,DropdownLists!$C$2:$C$246,0)))</f>
        <v>#N/A</v>
      </c>
      <c r="K202" s="22" t="str">
        <f>iF('Ingest Template'!A202="Standard",'Ingest Template'!K202&amp;CHAR(10)&amp;'Ingest Template'!L202,"Competitive View")</f>
        <v>Competitive View</v>
      </c>
      <c r="L202" s="22" t="s">
        <v>95</v>
      </c>
      <c r="M202" s="45" t="str">
        <f>'Ingest Template'!B202</f>
        <v/>
      </c>
      <c r="N202" s="35"/>
      <c r="O202" s="35"/>
      <c r="P202" s="35"/>
      <c r="Q202" s="35"/>
      <c r="R202" s="35" t="str">
        <f>'Ingest Template'!D202</f>
        <v/>
      </c>
      <c r="S202" s="22" t="s">
        <v>101</v>
      </c>
      <c r="T202" s="35" t="str">
        <f>'Ingest Template'!V202</f>
        <v/>
      </c>
      <c r="U202" s="35" t="str">
        <f>'Ingest Template'!W202</f>
        <v/>
      </c>
      <c r="V202" s="35" t="str">
        <f>LOWER(SUBSTITUTE(SUBSTITUTE(SUBSTITUTE(SUBSTITUTE(SUBSTITUTE('Ingest Template'!X202,"https:",""),"www.",""),"/",""),"?hl=en",""),"instagram.com",""))</f>
        <v/>
      </c>
      <c r="W202" s="74" t="str">
        <f t="array" ref="W202">IF(
'Ingest Template'!Y202="",
SUBSTITUTE(
INDEX(DropdownLists!$F$2:$F$277,MATCH('Ingest Template'!D202,DropdownLists!$C$2:$C$277,0)),
CHAR(10),
"|"&amp;'Ingest Template'!C202&amp;CHAR(10)
)&amp;"|"&amp;'Ingest Template'!C202,
SUBSTITUTE(
INDEX(DropdownLists!$F$2:$F$277,MATCH('Ingest Template'!D202,DropdownLists!$C$2:$C$277,0)),
CHAR(10),
"|"&amp;'Ingest Template'!C202&amp;CHAR(10)
)&amp;"|"&amp;'Ingest Template'!C202&amp;CHAR(10)&amp;'Ingest Template'!Y202
)</f>
        <v>#N/A</v>
      </c>
      <c r="X202" s="74" t="str">
        <f>'Ingest Template'!Z202</f>
        <v/>
      </c>
      <c r="Y202" s="35" t="str">
        <f>SUBSTITUTE(SUBSTITUTE(SUBSTITUTE('Ingest Template'!AA202,"http:",""),"https:",""),"/","")</f>
        <v/>
      </c>
      <c r="Z202" s="35" t="str">
        <f t="array" ref="Z202">IF('Ingest Template'!A202="Standard",(IF(ISBLANK('Ingest Template'!AB202),"", 'Ingest Template'!AB202&amp;"|DAR")),(IF(ISBLANK('Ingest Template'!AB202),"", 'Ingest Template'!AB202&amp;"|TV Ops")))</f>
        <v/>
      </c>
      <c r="AA202" s="35"/>
      <c r="AB202" s="35" t="str">
        <f>'Ingest Template'!R202</f>
        <v/>
      </c>
      <c r="AC202" s="35" t="str">
        <f>'Ingest Template'!T202</f>
        <v/>
      </c>
      <c r="AD202" s="35" t="str">
        <f>'Ingest Template'!S202</f>
        <v/>
      </c>
      <c r="AE202" s="35" t="str">
        <f>'Ingest Template'!U202</f>
        <v/>
      </c>
      <c r="AF202" s="22"/>
      <c r="AG202" s="35" t="str">
        <f t="array" ref="AG202">IF('Ingest Template'!A202="Standard",(CONCATENATE(IF(ISBLANK('Ingest Template'!N202),"", 'Ingest Template'!N202&amp;"|DAR"),CHAR(10), IF(ISBLANK('Ingest Template'!O202),"", 'Ingest Template'!O202&amp;"|DAR"),CHAR(10), IF(ISBLANK('Ingest Template'!P202),"", 'Ingest Template'!P202&amp;"|DAR"))),(CONCATENATE(IF(ISBLANK('Ingest Template'!N202),"", 'Ingest Template'!N202&amp;"|TV Ops"),CHAR(10), IF(ISBLANK('Ingest Template'!O202),"", 'Ingest Template'!O202&amp;"|TV Ops"),CHAR(10), IF(ISBLANK('Ingest Template'!P202),"", 'Ingest Template'!P202&amp;"|TV Ops"))))</f>
        <v>
</v>
      </c>
      <c r="AH202" s="35"/>
      <c r="AI202" s="35"/>
      <c r="AJ202" s="117" t="str">
        <f>if('Ingest Template'!A202="Standard",(IF(OR('Ingest Template'!F202 = "Program Type - Special", 'Ingest Template'!F202 = "Program Type - Live Event"),'Ingest Template'!M202&amp; "|DAR|DAR|"&amp;TEXT('Ingest Template'!C202-3, "yyyy-mm-dd")&amp;"|"&amp;TEXT('Ingest Template'!C202+3, "yyyy-mm-dd"),'Ingest Template'!M202&amp; "|DAR|DAR|2021-01-01")),(IF(OR('Ingest Template'!F202 = "Program Type - Special", 'Ingest Template'!F202 = "Program Type - Live Event"),'Ingest Template'!M202&amp; "|Operations - Core Title|Operations - Core Title|"&amp;TEXT('Ingest Template'!C202-3, "yyyy-mm-dd")&amp;"|"&amp;TEXT('Ingest Template'!C202+3, "yyyy-mm-dd"),'Ingest Template'!M202&amp; "|Operations - Core Title|Operations - Core Title")))</f>
        <v>|Operations - Core Title|Operations - Core Title</v>
      </c>
      <c r="AK202" s="35"/>
      <c r="AL202" s="117" t="str">
        <f>if('Ingest Template'!A202="Standard",(IF(OR('Ingest Template'!F202 = "Program Type - Special", 'Ingest Template'!F202 = "Program Type - Live Event"),'Ingest Template'!Q202&amp;"|"&amp;TEXT('Ingest Template'!C202-3, "yyyy-mm-dd")&amp;"|"&amp;TEXT('Ingest Template'!C202+3, "yyyy-mm-dd"),'Ingest Template'!Q202&amp; "|2021-01-01")),(IF(OR('Ingest Template'!F202 = "Program Type - Special", 'Ingest Template'!F202 = "Program Type - Live Event"),'Ingest Template'!Q202&amp; "|"&amp;TEXT('Ingest Template'!C202-3, "yyyy-mm-dd")&amp;"|"&amp;TEXT('Ingest Template'!C202+3, "yyyy-mm-dd"),'Ingest Template'!Q202)))</f>
        <v/>
      </c>
      <c r="AM202" s="35" t="str">
        <f>'Ingest Template'!AC202</f>
        <v/>
      </c>
    </row>
    <row r="203">
      <c r="A203" s="15"/>
      <c r="B203" s="22" t="str">
        <f>'Ingest Template'!C203&amp;IF('Ingest Template'!A203 = "Standard", " - DAR","")</f>
        <v/>
      </c>
      <c r="C203" s="22" t="s">
        <v>83</v>
      </c>
      <c r="D203" s="22" t="str">
        <f t="array" ref="D203">CONCATENATE(INDEX(DropdownLists!$H$2:$H$11,MATCH(1,COUNTIF('Ingest Template'!E203,"*"&amp;DropdownLists!$I$2:$I$11&amp;"*"),0)),CHAR(10),'Ingest Template'!F203,CHAR(10),'Ingest Template'!G203,CHAR(10),VLOOKUP('Ingest Template'!D203,DropdownLists!C:D,2,FALSE))</f>
        <v>#N/A</v>
      </c>
      <c r="E203" s="22" t="str">
        <f>CONCATENATE('Ingest Template'!H203,CHAR(10),'Ingest Template'!I203,CHAR(10),'Ingest Template'!J203,CHAR(10))</f>
        <v>
</v>
      </c>
      <c r="F203" s="35" t="str">
        <f t="array" ref="F203">INDEX(DropdownLists!$O$2:$O$36,MATCH(1,COUNTIF(E203,"*"&amp;DropdownLists!$N$2:$N$36&amp;"*"),0))</f>
        <v/>
      </c>
      <c r="G203" s="35"/>
      <c r="H203" s="22" t="str">
        <f t="array" ref="H203">INDEX(DropdownLists!$E$2:$E$276,MATCH('Ingest Template'!D203,DropdownLists!$C$2:$C$276,0))</f>
        <v>#N/A</v>
      </c>
      <c r="I203" s="22"/>
      <c r="J203" s="22" t="str">
        <f t="array" ref="J203">iF('Ingest Template'!A203="Standard","Pristine Brand",INDEX(DropdownLists!$B$2:$B$246,MATCH('Ingest Template'!D203,DropdownLists!$C$2:$C$246,0)))</f>
        <v>#N/A</v>
      </c>
      <c r="K203" s="22" t="str">
        <f>iF('Ingest Template'!A203="Standard",'Ingest Template'!K203&amp;CHAR(10)&amp;'Ingest Template'!L203,"Competitive View")</f>
        <v>Competitive View</v>
      </c>
      <c r="L203" s="22" t="s">
        <v>95</v>
      </c>
      <c r="M203" s="45" t="str">
        <f>'Ingest Template'!B203</f>
        <v/>
      </c>
      <c r="N203" s="35"/>
      <c r="O203" s="35"/>
      <c r="P203" s="35"/>
      <c r="Q203" s="35"/>
      <c r="R203" s="35" t="str">
        <f>'Ingest Template'!D203</f>
        <v/>
      </c>
      <c r="S203" s="22" t="s">
        <v>101</v>
      </c>
      <c r="T203" s="35" t="str">
        <f>'Ingest Template'!V203</f>
        <v/>
      </c>
      <c r="U203" s="35" t="str">
        <f>'Ingest Template'!W203</f>
        <v/>
      </c>
      <c r="V203" s="35" t="str">
        <f>LOWER(SUBSTITUTE(SUBSTITUTE(SUBSTITUTE(SUBSTITUTE(SUBSTITUTE('Ingest Template'!X203,"https:",""),"www.",""),"/",""),"?hl=en",""),"instagram.com",""))</f>
        <v/>
      </c>
      <c r="W203" s="74" t="str">
        <f t="array" ref="W203">IF(
'Ingest Template'!Y203="",
SUBSTITUTE(
INDEX(DropdownLists!$F$2:$F$277,MATCH('Ingest Template'!D203,DropdownLists!$C$2:$C$277,0)),
CHAR(10),
"|"&amp;'Ingest Template'!C203&amp;CHAR(10)
)&amp;"|"&amp;'Ingest Template'!C203,
SUBSTITUTE(
INDEX(DropdownLists!$F$2:$F$277,MATCH('Ingest Template'!D203,DropdownLists!$C$2:$C$277,0)),
CHAR(10),
"|"&amp;'Ingest Template'!C203&amp;CHAR(10)
)&amp;"|"&amp;'Ingest Template'!C203&amp;CHAR(10)&amp;'Ingest Template'!Y203
)</f>
        <v>#N/A</v>
      </c>
      <c r="X203" s="74" t="str">
        <f>'Ingest Template'!Z203</f>
        <v/>
      </c>
      <c r="Y203" s="35" t="str">
        <f>SUBSTITUTE(SUBSTITUTE(SUBSTITUTE('Ingest Template'!AA203,"http:",""),"https:",""),"/","")</f>
        <v/>
      </c>
      <c r="Z203" s="35" t="str">
        <f t="array" ref="Z203">IF('Ingest Template'!A203="Standard",(IF(ISBLANK('Ingest Template'!AB203),"", 'Ingest Template'!AB203&amp;"|DAR")),(IF(ISBLANK('Ingest Template'!AB203),"", 'Ingest Template'!AB203&amp;"|TV Ops")))</f>
        <v/>
      </c>
      <c r="AA203" s="35"/>
      <c r="AB203" s="35" t="str">
        <f>'Ingest Template'!R203</f>
        <v/>
      </c>
      <c r="AC203" s="35" t="str">
        <f>'Ingest Template'!T203</f>
        <v/>
      </c>
      <c r="AD203" s="35" t="str">
        <f>'Ingest Template'!S203</f>
        <v/>
      </c>
      <c r="AE203" s="35" t="str">
        <f>'Ingest Template'!U203</f>
        <v/>
      </c>
      <c r="AF203" s="22"/>
      <c r="AG203" s="35" t="str">
        <f t="array" ref="AG203">IF('Ingest Template'!A203="Standard",(CONCATENATE(IF(ISBLANK('Ingest Template'!N203),"", 'Ingest Template'!N203&amp;"|DAR"),CHAR(10), IF(ISBLANK('Ingest Template'!O203),"", 'Ingest Template'!O203&amp;"|DAR"),CHAR(10), IF(ISBLANK('Ingest Template'!P203),"", 'Ingest Template'!P203&amp;"|DAR"))),(CONCATENATE(IF(ISBLANK('Ingest Template'!N203),"", 'Ingest Template'!N203&amp;"|TV Ops"),CHAR(10), IF(ISBLANK('Ingest Template'!O203),"", 'Ingest Template'!O203&amp;"|TV Ops"),CHAR(10), IF(ISBLANK('Ingest Template'!P203),"", 'Ingest Template'!P203&amp;"|TV Ops"))))</f>
        <v>
</v>
      </c>
      <c r="AH203" s="35"/>
      <c r="AI203" s="35"/>
      <c r="AJ203" s="117" t="str">
        <f>if('Ingest Template'!A203="Standard",(IF(OR('Ingest Template'!F203 = "Program Type - Special", 'Ingest Template'!F203 = "Program Type - Live Event"),'Ingest Template'!M203&amp; "|DAR|DAR|"&amp;TEXT('Ingest Template'!C203-3, "yyyy-mm-dd")&amp;"|"&amp;TEXT('Ingest Template'!C203+3, "yyyy-mm-dd"),'Ingest Template'!M203&amp; "|DAR|DAR|2021-01-01")),(IF(OR('Ingest Template'!F203 = "Program Type - Special", 'Ingest Template'!F203 = "Program Type - Live Event"),'Ingest Template'!M203&amp; "|Operations - Core Title|Operations - Core Title|"&amp;TEXT('Ingest Template'!C203-3, "yyyy-mm-dd")&amp;"|"&amp;TEXT('Ingest Template'!C203+3, "yyyy-mm-dd"),'Ingest Template'!M203&amp; "|Operations - Core Title|Operations - Core Title")))</f>
        <v>|Operations - Core Title|Operations - Core Title</v>
      </c>
      <c r="AK203" s="35"/>
      <c r="AL203" s="117" t="str">
        <f>if('Ingest Template'!A203="Standard",(IF(OR('Ingest Template'!F203 = "Program Type - Special", 'Ingest Template'!F203 = "Program Type - Live Event"),'Ingest Template'!Q203&amp;"|"&amp;TEXT('Ingest Template'!C203-3, "yyyy-mm-dd")&amp;"|"&amp;TEXT('Ingest Template'!C203+3, "yyyy-mm-dd"),'Ingest Template'!Q203&amp; "|2021-01-01")),(IF(OR('Ingest Template'!F203 = "Program Type - Special", 'Ingest Template'!F203 = "Program Type - Live Event"),'Ingest Template'!Q203&amp; "|"&amp;TEXT('Ingest Template'!C203-3, "yyyy-mm-dd")&amp;"|"&amp;TEXT('Ingest Template'!C203+3, "yyyy-mm-dd"),'Ingest Template'!Q203)))</f>
        <v/>
      </c>
      <c r="AM203" s="35" t="str">
        <f>'Ingest Template'!AC203</f>
        <v/>
      </c>
    </row>
    <row r="204">
      <c r="A204" s="15"/>
      <c r="B204" s="22" t="str">
        <f>'Ingest Template'!C204&amp;IF('Ingest Template'!A204 = "Standard", " - DAR","")</f>
        <v/>
      </c>
      <c r="C204" s="22" t="s">
        <v>83</v>
      </c>
      <c r="D204" s="22" t="str">
        <f t="array" ref="D204">CONCATENATE(INDEX(DropdownLists!$H$2:$H$11,MATCH(1,COUNTIF('Ingest Template'!E204,"*"&amp;DropdownLists!$I$2:$I$11&amp;"*"),0)),CHAR(10),'Ingest Template'!F204,CHAR(10),'Ingest Template'!G204,CHAR(10),VLOOKUP('Ingest Template'!D204,DropdownLists!C:D,2,FALSE))</f>
        <v>#N/A</v>
      </c>
      <c r="E204" s="22" t="str">
        <f>CONCATENATE('Ingest Template'!H204,CHAR(10),'Ingest Template'!I204,CHAR(10),'Ingest Template'!J204,CHAR(10))</f>
        <v>
</v>
      </c>
      <c r="F204" s="35" t="str">
        <f t="array" ref="F204">INDEX(DropdownLists!$O$2:$O$36,MATCH(1,COUNTIF(E204,"*"&amp;DropdownLists!$N$2:$N$36&amp;"*"),0))</f>
        <v/>
      </c>
      <c r="G204" s="35"/>
      <c r="H204" s="22" t="str">
        <f t="array" ref="H204">INDEX(DropdownLists!$E$2:$E$276,MATCH('Ingest Template'!D204,DropdownLists!$C$2:$C$276,0))</f>
        <v>#N/A</v>
      </c>
      <c r="I204" s="22"/>
      <c r="J204" s="22" t="str">
        <f t="array" ref="J204">iF('Ingest Template'!A204="Standard","Pristine Brand",INDEX(DropdownLists!$B$2:$B$246,MATCH('Ingest Template'!D204,DropdownLists!$C$2:$C$246,0)))</f>
        <v>#N/A</v>
      </c>
      <c r="K204" s="22" t="str">
        <f>iF('Ingest Template'!A204="Standard",'Ingest Template'!K204&amp;CHAR(10)&amp;'Ingest Template'!L204,"Competitive View")</f>
        <v>Competitive View</v>
      </c>
      <c r="L204" s="22" t="s">
        <v>95</v>
      </c>
      <c r="M204" s="45" t="str">
        <f>'Ingest Template'!B204</f>
        <v/>
      </c>
      <c r="N204" s="35"/>
      <c r="O204" s="35"/>
      <c r="P204" s="35"/>
      <c r="Q204" s="35"/>
      <c r="R204" s="35" t="str">
        <f>'Ingest Template'!D204</f>
        <v/>
      </c>
      <c r="S204" s="22" t="s">
        <v>101</v>
      </c>
      <c r="T204" s="35" t="str">
        <f>'Ingest Template'!V204</f>
        <v/>
      </c>
      <c r="U204" s="35" t="str">
        <f>'Ingest Template'!W204</f>
        <v/>
      </c>
      <c r="V204" s="35" t="str">
        <f>LOWER(SUBSTITUTE(SUBSTITUTE(SUBSTITUTE(SUBSTITUTE(SUBSTITUTE('Ingest Template'!X204,"https:",""),"www.",""),"/",""),"?hl=en",""),"instagram.com",""))</f>
        <v/>
      </c>
      <c r="W204" s="74" t="str">
        <f t="array" ref="W204">IF(
'Ingest Template'!Y204="",
SUBSTITUTE(
INDEX(DropdownLists!$F$2:$F$277,MATCH('Ingest Template'!D204,DropdownLists!$C$2:$C$277,0)),
CHAR(10),
"|"&amp;'Ingest Template'!C204&amp;CHAR(10)
)&amp;"|"&amp;'Ingest Template'!C204,
SUBSTITUTE(
INDEX(DropdownLists!$F$2:$F$277,MATCH('Ingest Template'!D204,DropdownLists!$C$2:$C$277,0)),
CHAR(10),
"|"&amp;'Ingest Template'!C204&amp;CHAR(10)
)&amp;"|"&amp;'Ingest Template'!C204&amp;CHAR(10)&amp;'Ingest Template'!Y204
)</f>
        <v>#N/A</v>
      </c>
      <c r="X204" s="74" t="str">
        <f>'Ingest Template'!Z204</f>
        <v/>
      </c>
      <c r="Y204" s="35" t="str">
        <f>SUBSTITUTE(SUBSTITUTE(SUBSTITUTE('Ingest Template'!AA204,"http:",""),"https:",""),"/","")</f>
        <v/>
      </c>
      <c r="Z204" s="35" t="str">
        <f t="array" ref="Z204">IF('Ingest Template'!A204="Standard",(IF(ISBLANK('Ingest Template'!AB204),"", 'Ingest Template'!AB204&amp;"|DAR")),(IF(ISBLANK('Ingest Template'!AB204),"", 'Ingest Template'!AB204&amp;"|TV Ops")))</f>
        <v/>
      </c>
      <c r="AA204" s="35"/>
      <c r="AB204" s="35" t="str">
        <f>'Ingest Template'!R204</f>
        <v/>
      </c>
      <c r="AC204" s="35" t="str">
        <f>'Ingest Template'!T204</f>
        <v/>
      </c>
      <c r="AD204" s="35" t="str">
        <f>'Ingest Template'!S204</f>
        <v/>
      </c>
      <c r="AE204" s="35" t="str">
        <f>'Ingest Template'!U204</f>
        <v/>
      </c>
      <c r="AF204" s="22"/>
      <c r="AG204" s="35" t="str">
        <f t="array" ref="AG204">IF('Ingest Template'!A204="Standard",(CONCATENATE(IF(ISBLANK('Ingest Template'!N204),"", 'Ingest Template'!N204&amp;"|DAR"),CHAR(10), IF(ISBLANK('Ingest Template'!O204),"", 'Ingest Template'!O204&amp;"|DAR"),CHAR(10), IF(ISBLANK('Ingest Template'!P204),"", 'Ingest Template'!P204&amp;"|DAR"))),(CONCATENATE(IF(ISBLANK('Ingest Template'!N204),"", 'Ingest Template'!N204&amp;"|TV Ops"),CHAR(10), IF(ISBLANK('Ingest Template'!O204),"", 'Ingest Template'!O204&amp;"|TV Ops"),CHAR(10), IF(ISBLANK('Ingest Template'!P204),"", 'Ingest Template'!P204&amp;"|TV Ops"))))</f>
        <v>
</v>
      </c>
      <c r="AH204" s="35"/>
      <c r="AI204" s="35"/>
      <c r="AJ204" s="117" t="str">
        <f>if('Ingest Template'!A204="Standard",(IF(OR('Ingest Template'!F204 = "Program Type - Special", 'Ingest Template'!F204 = "Program Type - Live Event"),'Ingest Template'!M204&amp; "|DAR|DAR|"&amp;TEXT('Ingest Template'!C204-3, "yyyy-mm-dd")&amp;"|"&amp;TEXT('Ingest Template'!C204+3, "yyyy-mm-dd"),'Ingest Template'!M204&amp; "|DAR|DAR|2021-01-01")),(IF(OR('Ingest Template'!F204 = "Program Type - Special", 'Ingest Template'!F204 = "Program Type - Live Event"),'Ingest Template'!M204&amp; "|Operations - Core Title|Operations - Core Title|"&amp;TEXT('Ingest Template'!C204-3, "yyyy-mm-dd")&amp;"|"&amp;TEXT('Ingest Template'!C204+3, "yyyy-mm-dd"),'Ingest Template'!M204&amp; "|Operations - Core Title|Operations - Core Title")))</f>
        <v>|Operations - Core Title|Operations - Core Title</v>
      </c>
      <c r="AK204" s="35"/>
      <c r="AL204" s="117" t="str">
        <f>if('Ingest Template'!A204="Standard",(IF(OR('Ingest Template'!F204 = "Program Type - Special", 'Ingest Template'!F204 = "Program Type - Live Event"),'Ingest Template'!Q204&amp;"|"&amp;TEXT('Ingest Template'!C204-3, "yyyy-mm-dd")&amp;"|"&amp;TEXT('Ingest Template'!C204+3, "yyyy-mm-dd"),'Ingest Template'!Q204&amp; "|2021-01-01")),(IF(OR('Ingest Template'!F204 = "Program Type - Special", 'Ingest Template'!F204 = "Program Type - Live Event"),'Ingest Template'!Q204&amp; "|"&amp;TEXT('Ingest Template'!C204-3, "yyyy-mm-dd")&amp;"|"&amp;TEXT('Ingest Template'!C204+3, "yyyy-mm-dd"),'Ingest Template'!Q204)))</f>
        <v/>
      </c>
      <c r="AM204" s="35" t="str">
        <f>'Ingest Template'!AC204</f>
        <v/>
      </c>
    </row>
    <row r="205">
      <c r="A205" s="15"/>
      <c r="B205" s="22" t="str">
        <f>'Ingest Template'!C205&amp;IF('Ingest Template'!A205 = "Standard", " - DAR","")</f>
        <v/>
      </c>
      <c r="C205" s="22" t="s">
        <v>83</v>
      </c>
      <c r="D205" s="22" t="str">
        <f t="array" ref="D205">CONCATENATE(INDEX(DropdownLists!$H$2:$H$11,MATCH(1,COUNTIF('Ingest Template'!E205,"*"&amp;DropdownLists!$I$2:$I$11&amp;"*"),0)),CHAR(10),'Ingest Template'!F205,CHAR(10),'Ingest Template'!G205,CHAR(10),VLOOKUP('Ingest Template'!D205,DropdownLists!C:D,2,FALSE))</f>
        <v>#N/A</v>
      </c>
      <c r="E205" s="22" t="str">
        <f>CONCATENATE('Ingest Template'!H205,CHAR(10),'Ingest Template'!I205,CHAR(10),'Ingest Template'!J205,CHAR(10))</f>
        <v>
</v>
      </c>
      <c r="F205" s="35" t="str">
        <f t="array" ref="F205">INDEX(DropdownLists!$O$2:$O$36,MATCH(1,COUNTIF(E205,"*"&amp;DropdownLists!$N$2:$N$36&amp;"*"),0))</f>
        <v/>
      </c>
      <c r="G205" s="35"/>
      <c r="H205" s="22" t="str">
        <f t="array" ref="H205">INDEX(DropdownLists!$E$2:$E$276,MATCH('Ingest Template'!D205,DropdownLists!$C$2:$C$276,0))</f>
        <v>#N/A</v>
      </c>
      <c r="I205" s="22"/>
      <c r="J205" s="22" t="str">
        <f t="array" ref="J205">iF('Ingest Template'!A205="Standard","Pristine Brand",INDEX(DropdownLists!$B$2:$B$246,MATCH('Ingest Template'!D205,DropdownLists!$C$2:$C$246,0)))</f>
        <v>#N/A</v>
      </c>
      <c r="K205" s="22" t="str">
        <f>iF('Ingest Template'!A205="Standard",'Ingest Template'!K205&amp;CHAR(10)&amp;'Ingest Template'!L205,"Competitive View")</f>
        <v>Competitive View</v>
      </c>
      <c r="L205" s="22" t="s">
        <v>95</v>
      </c>
      <c r="M205" s="45" t="str">
        <f>'Ingest Template'!B205</f>
        <v/>
      </c>
      <c r="N205" s="35"/>
      <c r="O205" s="35"/>
      <c r="P205" s="35"/>
      <c r="Q205" s="35"/>
      <c r="R205" s="35" t="str">
        <f>'Ingest Template'!D205</f>
        <v/>
      </c>
      <c r="S205" s="22" t="s">
        <v>101</v>
      </c>
      <c r="T205" s="35" t="str">
        <f>'Ingest Template'!V205</f>
        <v/>
      </c>
      <c r="U205" s="35" t="str">
        <f>'Ingest Template'!W205</f>
        <v/>
      </c>
      <c r="V205" s="35" t="str">
        <f>LOWER(SUBSTITUTE(SUBSTITUTE(SUBSTITUTE(SUBSTITUTE(SUBSTITUTE('Ingest Template'!X205,"https:",""),"www.",""),"/",""),"?hl=en",""),"instagram.com",""))</f>
        <v/>
      </c>
      <c r="W205" s="74" t="str">
        <f t="array" ref="W205">IF(
'Ingest Template'!Y205="",
SUBSTITUTE(
INDEX(DropdownLists!$F$2:$F$277,MATCH('Ingest Template'!D205,DropdownLists!$C$2:$C$277,0)),
CHAR(10),
"|"&amp;'Ingest Template'!C205&amp;CHAR(10)
)&amp;"|"&amp;'Ingest Template'!C205,
SUBSTITUTE(
INDEX(DropdownLists!$F$2:$F$277,MATCH('Ingest Template'!D205,DropdownLists!$C$2:$C$277,0)),
CHAR(10),
"|"&amp;'Ingest Template'!C205&amp;CHAR(10)
)&amp;"|"&amp;'Ingest Template'!C205&amp;CHAR(10)&amp;'Ingest Template'!Y205
)</f>
        <v>#N/A</v>
      </c>
      <c r="X205" s="74" t="str">
        <f>'Ingest Template'!Z205</f>
        <v/>
      </c>
      <c r="Y205" s="35" t="str">
        <f>SUBSTITUTE(SUBSTITUTE(SUBSTITUTE('Ingest Template'!AA205,"http:",""),"https:",""),"/","")</f>
        <v/>
      </c>
      <c r="Z205" s="35" t="str">
        <f t="array" ref="Z205">IF('Ingest Template'!A205="Standard",(IF(ISBLANK('Ingest Template'!AB205),"", 'Ingest Template'!AB205&amp;"|DAR")),(IF(ISBLANK('Ingest Template'!AB205),"", 'Ingest Template'!AB205&amp;"|TV Ops")))</f>
        <v/>
      </c>
      <c r="AA205" s="35"/>
      <c r="AB205" s="35" t="str">
        <f>'Ingest Template'!R205</f>
        <v/>
      </c>
      <c r="AC205" s="35" t="str">
        <f>'Ingest Template'!T205</f>
        <v/>
      </c>
      <c r="AD205" s="35" t="str">
        <f>'Ingest Template'!S205</f>
        <v/>
      </c>
      <c r="AE205" s="35" t="str">
        <f>'Ingest Template'!U205</f>
        <v/>
      </c>
      <c r="AF205" s="22"/>
      <c r="AG205" s="35" t="str">
        <f t="array" ref="AG205">IF('Ingest Template'!A205="Standard",(CONCATENATE(IF(ISBLANK('Ingest Template'!N205),"", 'Ingest Template'!N205&amp;"|DAR"),CHAR(10), IF(ISBLANK('Ingest Template'!O205),"", 'Ingest Template'!O205&amp;"|DAR"),CHAR(10), IF(ISBLANK('Ingest Template'!P205),"", 'Ingest Template'!P205&amp;"|DAR"))),(CONCATENATE(IF(ISBLANK('Ingest Template'!N205),"", 'Ingest Template'!N205&amp;"|TV Ops"),CHAR(10), IF(ISBLANK('Ingest Template'!O205),"", 'Ingest Template'!O205&amp;"|TV Ops"),CHAR(10), IF(ISBLANK('Ingest Template'!P205),"", 'Ingest Template'!P205&amp;"|TV Ops"))))</f>
        <v>
</v>
      </c>
      <c r="AH205" s="35"/>
      <c r="AI205" s="35"/>
      <c r="AJ205" s="117" t="str">
        <f>if('Ingest Template'!A205="Standard",(IF(OR('Ingest Template'!F205 = "Program Type - Special", 'Ingest Template'!F205 = "Program Type - Live Event"),'Ingest Template'!M205&amp; "|DAR|DAR|"&amp;TEXT('Ingest Template'!C205-3, "yyyy-mm-dd")&amp;"|"&amp;TEXT('Ingest Template'!C205+3, "yyyy-mm-dd"),'Ingest Template'!M205&amp; "|DAR|DAR|2021-01-01")),(IF(OR('Ingest Template'!F205 = "Program Type - Special", 'Ingest Template'!F205 = "Program Type - Live Event"),'Ingest Template'!M205&amp; "|Operations - Core Title|Operations - Core Title|"&amp;TEXT('Ingest Template'!C205-3, "yyyy-mm-dd")&amp;"|"&amp;TEXT('Ingest Template'!C205+3, "yyyy-mm-dd"),'Ingest Template'!M205&amp; "|Operations - Core Title|Operations - Core Title")))</f>
        <v>|Operations - Core Title|Operations - Core Title</v>
      </c>
      <c r="AK205" s="35"/>
      <c r="AL205" s="117" t="str">
        <f>if('Ingest Template'!A205="Standard",(IF(OR('Ingest Template'!F205 = "Program Type - Special", 'Ingest Template'!F205 = "Program Type - Live Event"),'Ingest Template'!Q205&amp;"|"&amp;TEXT('Ingest Template'!C205-3, "yyyy-mm-dd")&amp;"|"&amp;TEXT('Ingest Template'!C205+3, "yyyy-mm-dd"),'Ingest Template'!Q205&amp; "|2021-01-01")),(IF(OR('Ingest Template'!F205 = "Program Type - Special", 'Ingest Template'!F205 = "Program Type - Live Event"),'Ingest Template'!Q205&amp; "|"&amp;TEXT('Ingest Template'!C205-3, "yyyy-mm-dd")&amp;"|"&amp;TEXT('Ingest Template'!C205+3, "yyyy-mm-dd"),'Ingest Template'!Q205)))</f>
        <v/>
      </c>
      <c r="AM205" s="35" t="str">
        <f>'Ingest Template'!AC205</f>
        <v/>
      </c>
    </row>
    <row r="206">
      <c r="A206" s="15"/>
      <c r="B206" s="22" t="str">
        <f>'Ingest Template'!C206&amp;IF('Ingest Template'!A206 = "Standard", " - DAR","")</f>
        <v/>
      </c>
      <c r="C206" s="22" t="s">
        <v>83</v>
      </c>
      <c r="D206" s="22" t="str">
        <f t="array" ref="D206">CONCATENATE(INDEX(DropdownLists!$H$2:$H$11,MATCH(1,COUNTIF('Ingest Template'!E206,"*"&amp;DropdownLists!$I$2:$I$11&amp;"*"),0)),CHAR(10),'Ingest Template'!F206,CHAR(10),'Ingest Template'!G206,CHAR(10),VLOOKUP('Ingest Template'!D206,DropdownLists!C:D,2,FALSE))</f>
        <v>#N/A</v>
      </c>
      <c r="E206" s="22" t="str">
        <f>CONCATENATE('Ingest Template'!H206,CHAR(10),'Ingest Template'!I206,CHAR(10),'Ingest Template'!J206,CHAR(10))</f>
        <v>
</v>
      </c>
      <c r="F206" s="35" t="str">
        <f t="array" ref="F206">INDEX(DropdownLists!$O$2:$O$36,MATCH(1,COUNTIF(E206,"*"&amp;DropdownLists!$N$2:$N$36&amp;"*"),0))</f>
        <v/>
      </c>
      <c r="G206" s="35"/>
      <c r="H206" s="22" t="str">
        <f t="array" ref="H206">INDEX(DropdownLists!$E$2:$E$276,MATCH('Ingest Template'!D206,DropdownLists!$C$2:$C$276,0))</f>
        <v>#N/A</v>
      </c>
      <c r="I206" s="22"/>
      <c r="J206" s="22" t="str">
        <f t="array" ref="J206">iF('Ingest Template'!A206="Standard","Pristine Brand",INDEX(DropdownLists!$B$2:$B$246,MATCH('Ingest Template'!D206,DropdownLists!$C$2:$C$246,0)))</f>
        <v>#N/A</v>
      </c>
      <c r="K206" s="22" t="str">
        <f>iF('Ingest Template'!A206="Standard",'Ingest Template'!K206&amp;CHAR(10)&amp;'Ingest Template'!L206,"Competitive View")</f>
        <v>Competitive View</v>
      </c>
      <c r="L206" s="22" t="s">
        <v>95</v>
      </c>
      <c r="M206" s="45" t="str">
        <f>'Ingest Template'!B206</f>
        <v/>
      </c>
      <c r="N206" s="35"/>
      <c r="O206" s="35"/>
      <c r="P206" s="35"/>
      <c r="Q206" s="35"/>
      <c r="R206" s="35" t="str">
        <f>'Ingest Template'!D206</f>
        <v/>
      </c>
      <c r="S206" s="22" t="s">
        <v>101</v>
      </c>
      <c r="T206" s="35" t="str">
        <f>'Ingest Template'!V206</f>
        <v/>
      </c>
      <c r="U206" s="35" t="str">
        <f>'Ingest Template'!W206</f>
        <v/>
      </c>
      <c r="V206" s="35" t="str">
        <f>LOWER(SUBSTITUTE(SUBSTITUTE(SUBSTITUTE(SUBSTITUTE(SUBSTITUTE('Ingest Template'!X206,"https:",""),"www.",""),"/",""),"?hl=en",""),"instagram.com",""))</f>
        <v/>
      </c>
      <c r="W206" s="74" t="str">
        <f t="array" ref="W206">IF(
'Ingest Template'!Y206="",
SUBSTITUTE(
INDEX(DropdownLists!$F$2:$F$277,MATCH('Ingest Template'!D206,DropdownLists!$C$2:$C$277,0)),
CHAR(10),
"|"&amp;'Ingest Template'!C206&amp;CHAR(10)
)&amp;"|"&amp;'Ingest Template'!C206,
SUBSTITUTE(
INDEX(DropdownLists!$F$2:$F$277,MATCH('Ingest Template'!D206,DropdownLists!$C$2:$C$277,0)),
CHAR(10),
"|"&amp;'Ingest Template'!C206&amp;CHAR(10)
)&amp;"|"&amp;'Ingest Template'!C206&amp;CHAR(10)&amp;'Ingest Template'!Y206
)</f>
        <v>#N/A</v>
      </c>
      <c r="X206" s="74" t="str">
        <f>'Ingest Template'!Z206</f>
        <v/>
      </c>
      <c r="Y206" s="35" t="str">
        <f>SUBSTITUTE(SUBSTITUTE(SUBSTITUTE('Ingest Template'!AA206,"http:",""),"https:",""),"/","")</f>
        <v/>
      </c>
      <c r="Z206" s="35" t="str">
        <f t="array" ref="Z206">IF('Ingest Template'!A206="Standard",(IF(ISBLANK('Ingest Template'!AB206),"", 'Ingest Template'!AB206&amp;"|DAR")),(IF(ISBLANK('Ingest Template'!AB206),"", 'Ingest Template'!AB206&amp;"|TV Ops")))</f>
        <v/>
      </c>
      <c r="AA206" s="35"/>
      <c r="AB206" s="35" t="str">
        <f>'Ingest Template'!R206</f>
        <v/>
      </c>
      <c r="AC206" s="35" t="str">
        <f>'Ingest Template'!T206</f>
        <v/>
      </c>
      <c r="AD206" s="35" t="str">
        <f>'Ingest Template'!S206</f>
        <v/>
      </c>
      <c r="AE206" s="35" t="str">
        <f>'Ingest Template'!U206</f>
        <v/>
      </c>
      <c r="AF206" s="22"/>
      <c r="AG206" s="35" t="str">
        <f t="array" ref="AG206">IF('Ingest Template'!A206="Standard",(CONCATENATE(IF(ISBLANK('Ingest Template'!N206),"", 'Ingest Template'!N206&amp;"|DAR"),CHAR(10), IF(ISBLANK('Ingest Template'!O206),"", 'Ingest Template'!O206&amp;"|DAR"),CHAR(10), IF(ISBLANK('Ingest Template'!P206),"", 'Ingest Template'!P206&amp;"|DAR"))),(CONCATENATE(IF(ISBLANK('Ingest Template'!N206),"", 'Ingest Template'!N206&amp;"|TV Ops"),CHAR(10), IF(ISBLANK('Ingest Template'!O206),"", 'Ingest Template'!O206&amp;"|TV Ops"),CHAR(10), IF(ISBLANK('Ingest Template'!P206),"", 'Ingest Template'!P206&amp;"|TV Ops"))))</f>
        <v>
</v>
      </c>
      <c r="AH206" s="35"/>
      <c r="AI206" s="35"/>
      <c r="AJ206" s="117" t="str">
        <f>if('Ingest Template'!A206="Standard",(IF(OR('Ingest Template'!F206 = "Program Type - Special", 'Ingest Template'!F206 = "Program Type - Live Event"),'Ingest Template'!M206&amp; "|DAR|DAR|"&amp;TEXT('Ingest Template'!C206-3, "yyyy-mm-dd")&amp;"|"&amp;TEXT('Ingest Template'!C206+3, "yyyy-mm-dd"),'Ingest Template'!M206&amp; "|DAR|DAR|2021-01-01")),(IF(OR('Ingest Template'!F206 = "Program Type - Special", 'Ingest Template'!F206 = "Program Type - Live Event"),'Ingest Template'!M206&amp; "|Operations - Core Title|Operations - Core Title|"&amp;TEXT('Ingest Template'!C206-3, "yyyy-mm-dd")&amp;"|"&amp;TEXT('Ingest Template'!C206+3, "yyyy-mm-dd"),'Ingest Template'!M206&amp; "|Operations - Core Title|Operations - Core Title")))</f>
        <v>|Operations - Core Title|Operations - Core Title</v>
      </c>
      <c r="AK206" s="35"/>
      <c r="AL206" s="117" t="str">
        <f>if('Ingest Template'!A206="Standard",(IF(OR('Ingest Template'!F206 = "Program Type - Special", 'Ingest Template'!F206 = "Program Type - Live Event"),'Ingest Template'!Q206&amp;"|"&amp;TEXT('Ingest Template'!C206-3, "yyyy-mm-dd")&amp;"|"&amp;TEXT('Ingest Template'!C206+3, "yyyy-mm-dd"),'Ingest Template'!Q206&amp; "|2021-01-01")),(IF(OR('Ingest Template'!F206 = "Program Type - Special", 'Ingest Template'!F206 = "Program Type - Live Event"),'Ingest Template'!Q206&amp; "|"&amp;TEXT('Ingest Template'!C206-3, "yyyy-mm-dd")&amp;"|"&amp;TEXT('Ingest Template'!C206+3, "yyyy-mm-dd"),'Ingest Template'!Q206)))</f>
        <v/>
      </c>
      <c r="AM206" s="35" t="str">
        <f>'Ingest Template'!AC206</f>
        <v/>
      </c>
    </row>
    <row r="207">
      <c r="A207" s="15"/>
      <c r="B207" s="22" t="str">
        <f>'Ingest Template'!C207&amp;IF('Ingest Template'!A207 = "Standard", " - DAR","")</f>
        <v/>
      </c>
      <c r="C207" s="22" t="s">
        <v>83</v>
      </c>
      <c r="D207" s="22" t="str">
        <f t="array" ref="D207">CONCATENATE(INDEX(DropdownLists!$H$2:$H$11,MATCH(1,COUNTIF('Ingest Template'!E207,"*"&amp;DropdownLists!$I$2:$I$11&amp;"*"),0)),CHAR(10),'Ingest Template'!F207,CHAR(10),'Ingest Template'!G207,CHAR(10),VLOOKUP('Ingest Template'!D207,DropdownLists!C:D,2,FALSE))</f>
        <v>#N/A</v>
      </c>
      <c r="E207" s="22" t="str">
        <f>CONCATENATE('Ingest Template'!H207,CHAR(10),'Ingest Template'!I207,CHAR(10),'Ingest Template'!J207,CHAR(10))</f>
        <v>
</v>
      </c>
      <c r="F207" s="35" t="str">
        <f t="array" ref="F207">INDEX(DropdownLists!$O$2:$O$36,MATCH(1,COUNTIF(E207,"*"&amp;DropdownLists!$N$2:$N$36&amp;"*"),0))</f>
        <v/>
      </c>
      <c r="G207" s="35"/>
      <c r="H207" s="22" t="str">
        <f t="array" ref="H207">INDEX(DropdownLists!$E$2:$E$276,MATCH('Ingest Template'!D207,DropdownLists!$C$2:$C$276,0))</f>
        <v>#N/A</v>
      </c>
      <c r="I207" s="22"/>
      <c r="J207" s="22" t="str">
        <f t="array" ref="J207">iF('Ingest Template'!A207="Standard","Pristine Brand",INDEX(DropdownLists!$B$2:$B$246,MATCH('Ingest Template'!D207,DropdownLists!$C$2:$C$246,0)))</f>
        <v>#N/A</v>
      </c>
      <c r="K207" s="22" t="str">
        <f>iF('Ingest Template'!A207="Standard",'Ingest Template'!K207&amp;CHAR(10)&amp;'Ingest Template'!L207,"Competitive View")</f>
        <v>Competitive View</v>
      </c>
      <c r="L207" s="22" t="s">
        <v>95</v>
      </c>
      <c r="M207" s="45" t="str">
        <f>'Ingest Template'!B207</f>
        <v/>
      </c>
      <c r="N207" s="35"/>
      <c r="O207" s="35"/>
      <c r="P207" s="35"/>
      <c r="Q207" s="35"/>
      <c r="R207" s="35" t="str">
        <f>'Ingest Template'!D207</f>
        <v/>
      </c>
      <c r="S207" s="22" t="s">
        <v>101</v>
      </c>
      <c r="T207" s="35" t="str">
        <f>'Ingest Template'!V207</f>
        <v/>
      </c>
      <c r="U207" s="35" t="str">
        <f>'Ingest Template'!W207</f>
        <v/>
      </c>
      <c r="V207" s="35" t="str">
        <f>LOWER(SUBSTITUTE(SUBSTITUTE(SUBSTITUTE(SUBSTITUTE(SUBSTITUTE('Ingest Template'!X207,"https:",""),"www.",""),"/",""),"?hl=en",""),"instagram.com",""))</f>
        <v/>
      </c>
      <c r="W207" s="74" t="str">
        <f t="array" ref="W207">IF(
'Ingest Template'!Y207="",
SUBSTITUTE(
INDEX(DropdownLists!$F$2:$F$277,MATCH('Ingest Template'!D207,DropdownLists!$C$2:$C$277,0)),
CHAR(10),
"|"&amp;'Ingest Template'!C207&amp;CHAR(10)
)&amp;"|"&amp;'Ingest Template'!C207,
SUBSTITUTE(
INDEX(DropdownLists!$F$2:$F$277,MATCH('Ingest Template'!D207,DropdownLists!$C$2:$C$277,0)),
CHAR(10),
"|"&amp;'Ingest Template'!C207&amp;CHAR(10)
)&amp;"|"&amp;'Ingest Template'!C207&amp;CHAR(10)&amp;'Ingest Template'!Y207
)</f>
        <v>#N/A</v>
      </c>
      <c r="X207" s="74" t="str">
        <f>'Ingest Template'!Z207</f>
        <v/>
      </c>
      <c r="Y207" s="35" t="str">
        <f>SUBSTITUTE(SUBSTITUTE(SUBSTITUTE('Ingest Template'!AA207,"http:",""),"https:",""),"/","")</f>
        <v/>
      </c>
      <c r="Z207" s="35" t="str">
        <f t="array" ref="Z207">IF('Ingest Template'!A207="Standard",(IF(ISBLANK('Ingest Template'!AB207),"", 'Ingest Template'!AB207&amp;"|DAR")),(IF(ISBLANK('Ingest Template'!AB207),"", 'Ingest Template'!AB207&amp;"|TV Ops")))</f>
        <v/>
      </c>
      <c r="AA207" s="35"/>
      <c r="AB207" s="35" t="str">
        <f>'Ingest Template'!R207</f>
        <v/>
      </c>
      <c r="AC207" s="35" t="str">
        <f>'Ingest Template'!T207</f>
        <v/>
      </c>
      <c r="AD207" s="35" t="str">
        <f>'Ingest Template'!S207</f>
        <v/>
      </c>
      <c r="AE207" s="35" t="str">
        <f>'Ingest Template'!U207</f>
        <v/>
      </c>
      <c r="AF207" s="22"/>
      <c r="AG207" s="35" t="str">
        <f t="array" ref="AG207">IF('Ingest Template'!A207="Standard",(CONCATENATE(IF(ISBLANK('Ingest Template'!N207),"", 'Ingest Template'!N207&amp;"|DAR"),CHAR(10), IF(ISBLANK('Ingest Template'!O207),"", 'Ingest Template'!O207&amp;"|DAR"),CHAR(10), IF(ISBLANK('Ingest Template'!P207),"", 'Ingest Template'!P207&amp;"|DAR"))),(CONCATENATE(IF(ISBLANK('Ingest Template'!N207),"", 'Ingest Template'!N207&amp;"|TV Ops"),CHAR(10), IF(ISBLANK('Ingest Template'!O207),"", 'Ingest Template'!O207&amp;"|TV Ops"),CHAR(10), IF(ISBLANK('Ingest Template'!P207),"", 'Ingest Template'!P207&amp;"|TV Ops"))))</f>
        <v>
</v>
      </c>
      <c r="AH207" s="35"/>
      <c r="AI207" s="35"/>
      <c r="AJ207" s="117" t="str">
        <f>if('Ingest Template'!A207="Standard",(IF(OR('Ingest Template'!F207 = "Program Type - Special", 'Ingest Template'!F207 = "Program Type - Live Event"),'Ingest Template'!M207&amp; "|DAR|DAR|"&amp;TEXT('Ingest Template'!C207-3, "yyyy-mm-dd")&amp;"|"&amp;TEXT('Ingest Template'!C207+3, "yyyy-mm-dd"),'Ingest Template'!M207&amp; "|DAR|DAR|2021-01-01")),(IF(OR('Ingest Template'!F207 = "Program Type - Special", 'Ingest Template'!F207 = "Program Type - Live Event"),'Ingest Template'!M207&amp; "|Operations - Core Title|Operations - Core Title|"&amp;TEXT('Ingest Template'!C207-3, "yyyy-mm-dd")&amp;"|"&amp;TEXT('Ingest Template'!C207+3, "yyyy-mm-dd"),'Ingest Template'!M207&amp; "|Operations - Core Title|Operations - Core Title")))</f>
        <v>|Operations - Core Title|Operations - Core Title</v>
      </c>
      <c r="AK207" s="35"/>
      <c r="AL207" s="117" t="str">
        <f>if('Ingest Template'!A207="Standard",(IF(OR('Ingest Template'!F207 = "Program Type - Special", 'Ingest Template'!F207 = "Program Type - Live Event"),'Ingest Template'!Q207&amp;"|"&amp;TEXT('Ingest Template'!C207-3, "yyyy-mm-dd")&amp;"|"&amp;TEXT('Ingest Template'!C207+3, "yyyy-mm-dd"),'Ingest Template'!Q207&amp; "|2021-01-01")),(IF(OR('Ingest Template'!F207 = "Program Type - Special", 'Ingest Template'!F207 = "Program Type - Live Event"),'Ingest Template'!Q207&amp; "|"&amp;TEXT('Ingest Template'!C207-3, "yyyy-mm-dd")&amp;"|"&amp;TEXT('Ingest Template'!C207+3, "yyyy-mm-dd"),'Ingest Template'!Q207)))</f>
        <v/>
      </c>
      <c r="AM207" s="35" t="str">
        <f>'Ingest Template'!AC207</f>
        <v/>
      </c>
    </row>
    <row r="208">
      <c r="A208" s="15"/>
      <c r="B208" s="22" t="str">
        <f>'Ingest Template'!C208&amp;IF('Ingest Template'!A208 = "Standard", " - DAR","")</f>
        <v/>
      </c>
      <c r="C208" s="22" t="s">
        <v>83</v>
      </c>
      <c r="D208" s="22" t="str">
        <f t="array" ref="D208">CONCATENATE(INDEX(DropdownLists!$H$2:$H$11,MATCH(1,COUNTIF('Ingest Template'!E208,"*"&amp;DropdownLists!$I$2:$I$11&amp;"*"),0)),CHAR(10),'Ingest Template'!F208,CHAR(10),'Ingest Template'!G208,CHAR(10),VLOOKUP('Ingest Template'!D208,DropdownLists!C:D,2,FALSE))</f>
        <v>#N/A</v>
      </c>
      <c r="E208" s="22" t="str">
        <f>CONCATENATE('Ingest Template'!H208,CHAR(10),'Ingest Template'!I208,CHAR(10),'Ingest Template'!J208,CHAR(10))</f>
        <v>
</v>
      </c>
      <c r="F208" s="35" t="str">
        <f t="array" ref="F208">INDEX(DropdownLists!$O$2:$O$36,MATCH(1,COUNTIF(E208,"*"&amp;DropdownLists!$N$2:$N$36&amp;"*"),0))</f>
        <v/>
      </c>
      <c r="G208" s="35"/>
      <c r="H208" s="22" t="str">
        <f t="array" ref="H208">INDEX(DropdownLists!$E$2:$E$276,MATCH('Ingest Template'!D208,DropdownLists!$C$2:$C$276,0))</f>
        <v>#N/A</v>
      </c>
      <c r="I208" s="22"/>
      <c r="J208" s="22" t="str">
        <f t="array" ref="J208">iF('Ingest Template'!A208="Standard","Pristine Brand",INDEX(DropdownLists!$B$2:$B$246,MATCH('Ingest Template'!D208,DropdownLists!$C$2:$C$246,0)))</f>
        <v>#N/A</v>
      </c>
      <c r="K208" s="22" t="str">
        <f>iF('Ingest Template'!A208="Standard",'Ingest Template'!K208&amp;CHAR(10)&amp;'Ingest Template'!L208,"Competitive View")</f>
        <v>Competitive View</v>
      </c>
      <c r="L208" s="22" t="s">
        <v>95</v>
      </c>
      <c r="M208" s="45" t="str">
        <f>'Ingest Template'!B208</f>
        <v/>
      </c>
      <c r="N208" s="35"/>
      <c r="O208" s="35"/>
      <c r="P208" s="35"/>
      <c r="Q208" s="35"/>
      <c r="R208" s="35" t="str">
        <f>'Ingest Template'!D208</f>
        <v/>
      </c>
      <c r="S208" s="22" t="s">
        <v>101</v>
      </c>
      <c r="T208" s="35" t="str">
        <f>'Ingest Template'!V208</f>
        <v/>
      </c>
      <c r="U208" s="35" t="str">
        <f>'Ingest Template'!W208</f>
        <v/>
      </c>
      <c r="V208" s="35" t="str">
        <f>LOWER(SUBSTITUTE(SUBSTITUTE(SUBSTITUTE(SUBSTITUTE(SUBSTITUTE('Ingest Template'!X208,"https:",""),"www.",""),"/",""),"?hl=en",""),"instagram.com",""))</f>
        <v/>
      </c>
      <c r="W208" s="74" t="str">
        <f t="array" ref="W208">IF(
'Ingest Template'!Y208="",
SUBSTITUTE(
INDEX(DropdownLists!$F$2:$F$277,MATCH('Ingest Template'!D208,DropdownLists!$C$2:$C$277,0)),
CHAR(10),
"|"&amp;'Ingest Template'!C208&amp;CHAR(10)
)&amp;"|"&amp;'Ingest Template'!C208,
SUBSTITUTE(
INDEX(DropdownLists!$F$2:$F$277,MATCH('Ingest Template'!D208,DropdownLists!$C$2:$C$277,0)),
CHAR(10),
"|"&amp;'Ingest Template'!C208&amp;CHAR(10)
)&amp;"|"&amp;'Ingest Template'!C208&amp;CHAR(10)&amp;'Ingest Template'!Y208
)</f>
        <v>#N/A</v>
      </c>
      <c r="X208" s="74" t="str">
        <f>'Ingest Template'!Z208</f>
        <v/>
      </c>
      <c r="Y208" s="35" t="str">
        <f>SUBSTITUTE(SUBSTITUTE(SUBSTITUTE('Ingest Template'!AA208,"http:",""),"https:",""),"/","")</f>
        <v/>
      </c>
      <c r="Z208" s="35" t="str">
        <f t="array" ref="Z208">IF('Ingest Template'!A208="Standard",(IF(ISBLANK('Ingest Template'!AB208),"", 'Ingest Template'!AB208&amp;"|DAR")),(IF(ISBLANK('Ingest Template'!AB208),"", 'Ingest Template'!AB208&amp;"|TV Ops")))</f>
        <v/>
      </c>
      <c r="AA208" s="35"/>
      <c r="AB208" s="35" t="str">
        <f>'Ingest Template'!R208</f>
        <v/>
      </c>
      <c r="AC208" s="35" t="str">
        <f>'Ingest Template'!T208</f>
        <v/>
      </c>
      <c r="AD208" s="35" t="str">
        <f>'Ingest Template'!S208</f>
        <v/>
      </c>
      <c r="AE208" s="35" t="str">
        <f>'Ingest Template'!U208</f>
        <v/>
      </c>
      <c r="AF208" s="22"/>
      <c r="AG208" s="35" t="str">
        <f t="array" ref="AG208">IF('Ingest Template'!A208="Standard",(CONCATENATE(IF(ISBLANK('Ingest Template'!N208),"", 'Ingest Template'!N208&amp;"|DAR"),CHAR(10), IF(ISBLANK('Ingest Template'!O208),"", 'Ingest Template'!O208&amp;"|DAR"),CHAR(10), IF(ISBLANK('Ingest Template'!P208),"", 'Ingest Template'!P208&amp;"|DAR"))),(CONCATENATE(IF(ISBLANK('Ingest Template'!N208),"", 'Ingest Template'!N208&amp;"|TV Ops"),CHAR(10), IF(ISBLANK('Ingest Template'!O208),"", 'Ingest Template'!O208&amp;"|TV Ops"),CHAR(10), IF(ISBLANK('Ingest Template'!P208),"", 'Ingest Template'!P208&amp;"|TV Ops"))))</f>
        <v>
</v>
      </c>
      <c r="AH208" s="35"/>
      <c r="AI208" s="35"/>
      <c r="AJ208" s="117" t="str">
        <f>if('Ingest Template'!A208="Standard",(IF(OR('Ingest Template'!F208 = "Program Type - Special", 'Ingest Template'!F208 = "Program Type - Live Event"),'Ingest Template'!M208&amp; "|DAR|DAR|"&amp;TEXT('Ingest Template'!C208-3, "yyyy-mm-dd")&amp;"|"&amp;TEXT('Ingest Template'!C208+3, "yyyy-mm-dd"),'Ingest Template'!M208&amp; "|DAR|DAR|2021-01-01")),(IF(OR('Ingest Template'!F208 = "Program Type - Special", 'Ingest Template'!F208 = "Program Type - Live Event"),'Ingest Template'!M208&amp; "|Operations - Core Title|Operations - Core Title|"&amp;TEXT('Ingest Template'!C208-3, "yyyy-mm-dd")&amp;"|"&amp;TEXT('Ingest Template'!C208+3, "yyyy-mm-dd"),'Ingest Template'!M208&amp; "|Operations - Core Title|Operations - Core Title")))</f>
        <v>|Operations - Core Title|Operations - Core Title</v>
      </c>
      <c r="AK208" s="35"/>
      <c r="AL208" s="117" t="str">
        <f>if('Ingest Template'!A208="Standard",(IF(OR('Ingest Template'!F208 = "Program Type - Special", 'Ingest Template'!F208 = "Program Type - Live Event"),'Ingest Template'!Q208&amp;"|"&amp;TEXT('Ingest Template'!C208-3, "yyyy-mm-dd")&amp;"|"&amp;TEXT('Ingest Template'!C208+3, "yyyy-mm-dd"),'Ingest Template'!Q208&amp; "|2021-01-01")),(IF(OR('Ingest Template'!F208 = "Program Type - Special", 'Ingest Template'!F208 = "Program Type - Live Event"),'Ingest Template'!Q208&amp; "|"&amp;TEXT('Ingest Template'!C208-3, "yyyy-mm-dd")&amp;"|"&amp;TEXT('Ingest Template'!C208+3, "yyyy-mm-dd"),'Ingest Template'!Q208)))</f>
        <v/>
      </c>
      <c r="AM208" s="35" t="str">
        <f>'Ingest Template'!AC208</f>
        <v/>
      </c>
    </row>
    <row r="209">
      <c r="A209" s="15"/>
      <c r="B209" s="22" t="str">
        <f>'Ingest Template'!C209&amp;IF('Ingest Template'!A209 = "Standard", " - DAR","")</f>
        <v/>
      </c>
      <c r="C209" s="22" t="s">
        <v>83</v>
      </c>
      <c r="D209" s="22" t="str">
        <f t="array" ref="D209">CONCATENATE(INDEX(DropdownLists!$H$2:$H$11,MATCH(1,COUNTIF('Ingest Template'!E209,"*"&amp;DropdownLists!$I$2:$I$11&amp;"*"),0)),CHAR(10),'Ingest Template'!F209,CHAR(10),'Ingest Template'!G209,CHAR(10),VLOOKUP('Ingest Template'!D209,DropdownLists!C:D,2,FALSE))</f>
        <v>#N/A</v>
      </c>
      <c r="E209" s="22" t="str">
        <f>CONCATENATE('Ingest Template'!H209,CHAR(10),'Ingest Template'!I209,CHAR(10),'Ingest Template'!J209,CHAR(10))</f>
        <v>
</v>
      </c>
      <c r="F209" s="35" t="str">
        <f t="array" ref="F209">INDEX(DropdownLists!$O$2:$O$36,MATCH(1,COUNTIF(E209,"*"&amp;DropdownLists!$N$2:$N$36&amp;"*"),0))</f>
        <v/>
      </c>
      <c r="G209" s="35"/>
      <c r="H209" s="22" t="str">
        <f t="array" ref="H209">INDEX(DropdownLists!$E$2:$E$276,MATCH('Ingest Template'!D209,DropdownLists!$C$2:$C$276,0))</f>
        <v>#N/A</v>
      </c>
      <c r="I209" s="22"/>
      <c r="J209" s="22" t="str">
        <f t="array" ref="J209">iF('Ingest Template'!A209="Standard","Pristine Brand",INDEX(DropdownLists!$B$2:$B$246,MATCH('Ingest Template'!D209,DropdownLists!$C$2:$C$246,0)))</f>
        <v>#N/A</v>
      </c>
      <c r="K209" s="22" t="str">
        <f>iF('Ingest Template'!A209="Standard",'Ingest Template'!K209&amp;CHAR(10)&amp;'Ingest Template'!L209,"Competitive View")</f>
        <v>Competitive View</v>
      </c>
      <c r="L209" s="22" t="s">
        <v>95</v>
      </c>
      <c r="M209" s="45" t="str">
        <f>'Ingest Template'!B209</f>
        <v/>
      </c>
      <c r="N209" s="35"/>
      <c r="O209" s="35"/>
      <c r="P209" s="35"/>
      <c r="Q209" s="35"/>
      <c r="R209" s="35" t="str">
        <f>'Ingest Template'!D209</f>
        <v/>
      </c>
      <c r="S209" s="22" t="s">
        <v>101</v>
      </c>
      <c r="T209" s="35" t="str">
        <f>'Ingest Template'!V209</f>
        <v/>
      </c>
      <c r="U209" s="35" t="str">
        <f>'Ingest Template'!W209</f>
        <v/>
      </c>
      <c r="V209" s="35" t="str">
        <f>LOWER(SUBSTITUTE(SUBSTITUTE(SUBSTITUTE(SUBSTITUTE(SUBSTITUTE('Ingest Template'!X209,"https:",""),"www.",""),"/",""),"?hl=en",""),"instagram.com",""))</f>
        <v/>
      </c>
      <c r="W209" s="74" t="str">
        <f t="array" ref="W209">IF(
'Ingest Template'!Y209="",
SUBSTITUTE(
INDEX(DropdownLists!$F$2:$F$277,MATCH('Ingest Template'!D209,DropdownLists!$C$2:$C$277,0)),
CHAR(10),
"|"&amp;'Ingest Template'!C209&amp;CHAR(10)
)&amp;"|"&amp;'Ingest Template'!C209,
SUBSTITUTE(
INDEX(DropdownLists!$F$2:$F$277,MATCH('Ingest Template'!D209,DropdownLists!$C$2:$C$277,0)),
CHAR(10),
"|"&amp;'Ingest Template'!C209&amp;CHAR(10)
)&amp;"|"&amp;'Ingest Template'!C209&amp;CHAR(10)&amp;'Ingest Template'!Y209
)</f>
        <v>#N/A</v>
      </c>
      <c r="X209" s="74" t="str">
        <f>'Ingest Template'!Z209</f>
        <v/>
      </c>
      <c r="Y209" s="35" t="str">
        <f>SUBSTITUTE(SUBSTITUTE(SUBSTITUTE('Ingest Template'!AA209,"http:",""),"https:",""),"/","")</f>
        <v/>
      </c>
      <c r="Z209" s="35" t="str">
        <f t="array" ref="Z209">IF('Ingest Template'!A209="Standard",(IF(ISBLANK('Ingest Template'!AB209),"", 'Ingest Template'!AB209&amp;"|DAR")),(IF(ISBLANK('Ingest Template'!AB209),"", 'Ingest Template'!AB209&amp;"|TV Ops")))</f>
        <v/>
      </c>
      <c r="AA209" s="35"/>
      <c r="AB209" s="35" t="str">
        <f>'Ingest Template'!R209</f>
        <v/>
      </c>
      <c r="AC209" s="35" t="str">
        <f>'Ingest Template'!T209</f>
        <v/>
      </c>
      <c r="AD209" s="35" t="str">
        <f>'Ingest Template'!S209</f>
        <v/>
      </c>
      <c r="AE209" s="35" t="str">
        <f>'Ingest Template'!U209</f>
        <v/>
      </c>
      <c r="AF209" s="22"/>
      <c r="AG209" s="35" t="str">
        <f t="array" ref="AG209">IF('Ingest Template'!A209="Standard",(CONCATENATE(IF(ISBLANK('Ingest Template'!N209),"", 'Ingest Template'!N209&amp;"|DAR"),CHAR(10), IF(ISBLANK('Ingest Template'!O209),"", 'Ingest Template'!O209&amp;"|DAR"),CHAR(10), IF(ISBLANK('Ingest Template'!P209),"", 'Ingest Template'!P209&amp;"|DAR"))),(CONCATENATE(IF(ISBLANK('Ingest Template'!N209),"", 'Ingest Template'!N209&amp;"|TV Ops"),CHAR(10), IF(ISBLANK('Ingest Template'!O209),"", 'Ingest Template'!O209&amp;"|TV Ops"),CHAR(10), IF(ISBLANK('Ingest Template'!P209),"", 'Ingest Template'!P209&amp;"|TV Ops"))))</f>
        <v>
</v>
      </c>
      <c r="AH209" s="35"/>
      <c r="AI209" s="35"/>
      <c r="AJ209" s="117" t="str">
        <f>if('Ingest Template'!A209="Standard",(IF(OR('Ingest Template'!F209 = "Program Type - Special", 'Ingest Template'!F209 = "Program Type - Live Event"),'Ingest Template'!M209&amp; "|DAR|DAR|"&amp;TEXT('Ingest Template'!C209-3, "yyyy-mm-dd")&amp;"|"&amp;TEXT('Ingest Template'!C209+3, "yyyy-mm-dd"),'Ingest Template'!M209&amp; "|DAR|DAR|2021-01-01")),(IF(OR('Ingest Template'!F209 = "Program Type - Special", 'Ingest Template'!F209 = "Program Type - Live Event"),'Ingest Template'!M209&amp; "|Operations - Core Title|Operations - Core Title|"&amp;TEXT('Ingest Template'!C209-3, "yyyy-mm-dd")&amp;"|"&amp;TEXT('Ingest Template'!C209+3, "yyyy-mm-dd"),'Ingest Template'!M209&amp; "|Operations - Core Title|Operations - Core Title")))</f>
        <v>|Operations - Core Title|Operations - Core Title</v>
      </c>
      <c r="AK209" s="35"/>
      <c r="AL209" s="117" t="str">
        <f>if('Ingest Template'!A209="Standard",(IF(OR('Ingest Template'!F209 = "Program Type - Special", 'Ingest Template'!F209 = "Program Type - Live Event"),'Ingest Template'!Q209&amp;"|"&amp;TEXT('Ingest Template'!C209-3, "yyyy-mm-dd")&amp;"|"&amp;TEXT('Ingest Template'!C209+3, "yyyy-mm-dd"),'Ingest Template'!Q209&amp; "|2021-01-01")),(IF(OR('Ingest Template'!F209 = "Program Type - Special", 'Ingest Template'!F209 = "Program Type - Live Event"),'Ingest Template'!Q209&amp; "|"&amp;TEXT('Ingest Template'!C209-3, "yyyy-mm-dd")&amp;"|"&amp;TEXT('Ingest Template'!C209+3, "yyyy-mm-dd"),'Ingest Template'!Q209)))</f>
        <v/>
      </c>
      <c r="AM209" s="35" t="str">
        <f>'Ingest Template'!AC209</f>
        <v/>
      </c>
    </row>
    <row r="210">
      <c r="A210" s="15"/>
      <c r="B210" s="22" t="str">
        <f>'Ingest Template'!C210&amp;IF('Ingest Template'!A210 = "Standard", " - DAR","")</f>
        <v/>
      </c>
      <c r="C210" s="22" t="s">
        <v>83</v>
      </c>
      <c r="D210" s="22" t="str">
        <f t="array" ref="D210">CONCATENATE(INDEX(DropdownLists!$H$2:$H$11,MATCH(1,COUNTIF('Ingest Template'!E210,"*"&amp;DropdownLists!$I$2:$I$11&amp;"*"),0)),CHAR(10),'Ingest Template'!F210,CHAR(10),'Ingest Template'!G210,CHAR(10),VLOOKUP('Ingest Template'!D210,DropdownLists!C:D,2,FALSE))</f>
        <v>#N/A</v>
      </c>
      <c r="E210" s="22" t="str">
        <f>CONCATENATE('Ingest Template'!H210,CHAR(10),'Ingest Template'!I210,CHAR(10),'Ingest Template'!J210,CHAR(10))</f>
        <v>
</v>
      </c>
      <c r="F210" s="35" t="str">
        <f t="array" ref="F210">INDEX(DropdownLists!$O$2:$O$36,MATCH(1,COUNTIF(E210,"*"&amp;DropdownLists!$N$2:$N$36&amp;"*"),0))</f>
        <v/>
      </c>
      <c r="G210" s="35"/>
      <c r="H210" s="22" t="str">
        <f t="array" ref="H210">INDEX(DropdownLists!$E$2:$E$276,MATCH('Ingest Template'!D210,DropdownLists!$C$2:$C$276,0))</f>
        <v>#N/A</v>
      </c>
      <c r="I210" s="22"/>
      <c r="J210" s="22" t="str">
        <f t="array" ref="J210">iF('Ingest Template'!A210="Standard","Pristine Brand",INDEX(DropdownLists!$B$2:$B$246,MATCH('Ingest Template'!D210,DropdownLists!$C$2:$C$246,0)))</f>
        <v>#N/A</v>
      </c>
      <c r="K210" s="22" t="str">
        <f>iF('Ingest Template'!A210="Standard",'Ingest Template'!K210&amp;CHAR(10)&amp;'Ingest Template'!L210,"Competitive View")</f>
        <v>Competitive View</v>
      </c>
      <c r="L210" s="22" t="s">
        <v>95</v>
      </c>
      <c r="M210" s="45" t="str">
        <f>'Ingest Template'!B210</f>
        <v/>
      </c>
      <c r="N210" s="35"/>
      <c r="O210" s="35"/>
      <c r="P210" s="35"/>
      <c r="Q210" s="35"/>
      <c r="R210" s="35" t="str">
        <f>'Ingest Template'!D210</f>
        <v/>
      </c>
      <c r="S210" s="22" t="s">
        <v>101</v>
      </c>
      <c r="T210" s="35" t="str">
        <f>'Ingest Template'!V210</f>
        <v/>
      </c>
      <c r="U210" s="35" t="str">
        <f>'Ingest Template'!W210</f>
        <v/>
      </c>
      <c r="V210" s="35" t="str">
        <f>LOWER(SUBSTITUTE(SUBSTITUTE(SUBSTITUTE(SUBSTITUTE(SUBSTITUTE('Ingest Template'!X210,"https:",""),"www.",""),"/",""),"?hl=en",""),"instagram.com",""))</f>
        <v/>
      </c>
      <c r="W210" s="74" t="str">
        <f t="array" ref="W210">IF(
'Ingest Template'!Y210="",
SUBSTITUTE(
INDEX(DropdownLists!$F$2:$F$277,MATCH('Ingest Template'!D210,DropdownLists!$C$2:$C$277,0)),
CHAR(10),
"|"&amp;'Ingest Template'!C210&amp;CHAR(10)
)&amp;"|"&amp;'Ingest Template'!C210,
SUBSTITUTE(
INDEX(DropdownLists!$F$2:$F$277,MATCH('Ingest Template'!D210,DropdownLists!$C$2:$C$277,0)),
CHAR(10),
"|"&amp;'Ingest Template'!C210&amp;CHAR(10)
)&amp;"|"&amp;'Ingest Template'!C210&amp;CHAR(10)&amp;'Ingest Template'!Y210
)</f>
        <v>#N/A</v>
      </c>
      <c r="X210" s="74" t="str">
        <f>'Ingest Template'!Z210</f>
        <v/>
      </c>
      <c r="Y210" s="35" t="str">
        <f>SUBSTITUTE(SUBSTITUTE(SUBSTITUTE('Ingest Template'!AA210,"http:",""),"https:",""),"/","")</f>
        <v/>
      </c>
      <c r="Z210" s="35" t="str">
        <f t="array" ref="Z210">IF('Ingest Template'!A210="Standard",(IF(ISBLANK('Ingest Template'!AB210),"", 'Ingest Template'!AB210&amp;"|DAR")),(IF(ISBLANK('Ingest Template'!AB210),"", 'Ingest Template'!AB210&amp;"|TV Ops")))</f>
        <v/>
      </c>
      <c r="AA210" s="35"/>
      <c r="AB210" s="35" t="str">
        <f>'Ingest Template'!R210</f>
        <v/>
      </c>
      <c r="AC210" s="35" t="str">
        <f>'Ingest Template'!T210</f>
        <v/>
      </c>
      <c r="AD210" s="35" t="str">
        <f>'Ingest Template'!S210</f>
        <v/>
      </c>
      <c r="AE210" s="35" t="str">
        <f>'Ingest Template'!U210</f>
        <v/>
      </c>
      <c r="AF210" s="22"/>
      <c r="AG210" s="35" t="str">
        <f t="array" ref="AG210">IF('Ingest Template'!A210="Standard",(CONCATENATE(IF(ISBLANK('Ingest Template'!N210),"", 'Ingest Template'!N210&amp;"|DAR"),CHAR(10), IF(ISBLANK('Ingest Template'!O210),"", 'Ingest Template'!O210&amp;"|DAR"),CHAR(10), IF(ISBLANK('Ingest Template'!P210),"", 'Ingest Template'!P210&amp;"|DAR"))),(CONCATENATE(IF(ISBLANK('Ingest Template'!N210),"", 'Ingest Template'!N210&amp;"|TV Ops"),CHAR(10), IF(ISBLANK('Ingest Template'!O210),"", 'Ingest Template'!O210&amp;"|TV Ops"),CHAR(10), IF(ISBLANK('Ingest Template'!P210),"", 'Ingest Template'!P210&amp;"|TV Ops"))))</f>
        <v>
</v>
      </c>
      <c r="AH210" s="35"/>
      <c r="AI210" s="35"/>
      <c r="AJ210" s="117" t="str">
        <f>if('Ingest Template'!A210="Standard",(IF(OR('Ingest Template'!F210 = "Program Type - Special", 'Ingest Template'!F210 = "Program Type - Live Event"),'Ingest Template'!M210&amp; "|DAR|DAR|"&amp;TEXT('Ingest Template'!C210-3, "yyyy-mm-dd")&amp;"|"&amp;TEXT('Ingest Template'!C210+3, "yyyy-mm-dd"),'Ingest Template'!M210&amp; "|DAR|DAR|2021-01-01")),(IF(OR('Ingest Template'!F210 = "Program Type - Special", 'Ingest Template'!F210 = "Program Type - Live Event"),'Ingest Template'!M210&amp; "|Operations - Core Title|Operations - Core Title|"&amp;TEXT('Ingest Template'!C210-3, "yyyy-mm-dd")&amp;"|"&amp;TEXT('Ingest Template'!C210+3, "yyyy-mm-dd"),'Ingest Template'!M210&amp; "|Operations - Core Title|Operations - Core Title")))</f>
        <v>|Operations - Core Title|Operations - Core Title</v>
      </c>
      <c r="AK210" s="35"/>
      <c r="AL210" s="117" t="str">
        <f>if('Ingest Template'!A210="Standard",(IF(OR('Ingest Template'!F210 = "Program Type - Special", 'Ingest Template'!F210 = "Program Type - Live Event"),'Ingest Template'!Q210&amp;"|"&amp;TEXT('Ingest Template'!C210-3, "yyyy-mm-dd")&amp;"|"&amp;TEXT('Ingest Template'!C210+3, "yyyy-mm-dd"),'Ingest Template'!Q210&amp; "|2021-01-01")),(IF(OR('Ingest Template'!F210 = "Program Type - Special", 'Ingest Template'!F210 = "Program Type - Live Event"),'Ingest Template'!Q210&amp; "|"&amp;TEXT('Ingest Template'!C210-3, "yyyy-mm-dd")&amp;"|"&amp;TEXT('Ingest Template'!C210+3, "yyyy-mm-dd"),'Ingest Template'!Q210)))</f>
        <v/>
      </c>
      <c r="AM210" s="35" t="str">
        <f>'Ingest Template'!AC210</f>
        <v/>
      </c>
    </row>
    <row r="211">
      <c r="A211" s="15"/>
      <c r="B211" s="22" t="str">
        <f>'Ingest Template'!C211&amp;IF('Ingest Template'!A211 = "Standard", " - DAR","")</f>
        <v/>
      </c>
      <c r="C211" s="22" t="s">
        <v>83</v>
      </c>
      <c r="D211" s="22" t="str">
        <f t="array" ref="D211">CONCATENATE(INDEX(DropdownLists!$H$2:$H$11,MATCH(1,COUNTIF('Ingest Template'!E211,"*"&amp;DropdownLists!$I$2:$I$11&amp;"*"),0)),CHAR(10),'Ingest Template'!F211,CHAR(10),'Ingest Template'!G211,CHAR(10),VLOOKUP('Ingest Template'!D211,DropdownLists!C:D,2,FALSE))</f>
        <v>#N/A</v>
      </c>
      <c r="E211" s="22" t="str">
        <f>CONCATENATE('Ingest Template'!H211,CHAR(10),'Ingest Template'!I211,CHAR(10),'Ingest Template'!J211,CHAR(10))</f>
        <v>
</v>
      </c>
      <c r="F211" s="35" t="str">
        <f t="array" ref="F211">INDEX(DropdownLists!$O$2:$O$36,MATCH(1,COUNTIF(E211,"*"&amp;DropdownLists!$N$2:$N$36&amp;"*"),0))</f>
        <v/>
      </c>
      <c r="G211" s="35"/>
      <c r="H211" s="22" t="str">
        <f t="array" ref="H211">INDEX(DropdownLists!$E$2:$E$276,MATCH('Ingest Template'!D211,DropdownLists!$C$2:$C$276,0))</f>
        <v>#N/A</v>
      </c>
      <c r="I211" s="22"/>
      <c r="J211" s="22" t="str">
        <f t="array" ref="J211">iF('Ingest Template'!A211="Standard","Pristine Brand",INDEX(DropdownLists!$B$2:$B$246,MATCH('Ingest Template'!D211,DropdownLists!$C$2:$C$246,0)))</f>
        <v>#N/A</v>
      </c>
      <c r="K211" s="22" t="str">
        <f>iF('Ingest Template'!A211="Standard",'Ingest Template'!K211&amp;CHAR(10)&amp;'Ingest Template'!L211,"Competitive View")</f>
        <v>Competitive View</v>
      </c>
      <c r="L211" s="22" t="s">
        <v>95</v>
      </c>
      <c r="M211" s="45" t="str">
        <f>'Ingest Template'!B211</f>
        <v/>
      </c>
      <c r="N211" s="35"/>
      <c r="O211" s="35"/>
      <c r="P211" s="35"/>
      <c r="Q211" s="35"/>
      <c r="R211" s="35" t="str">
        <f>'Ingest Template'!D211</f>
        <v/>
      </c>
      <c r="S211" s="22" t="s">
        <v>101</v>
      </c>
      <c r="T211" s="35" t="str">
        <f>'Ingest Template'!V211</f>
        <v/>
      </c>
      <c r="U211" s="35" t="str">
        <f>'Ingest Template'!W211</f>
        <v/>
      </c>
      <c r="V211" s="35" t="str">
        <f>LOWER(SUBSTITUTE(SUBSTITUTE(SUBSTITUTE(SUBSTITUTE(SUBSTITUTE('Ingest Template'!X211,"https:",""),"www.",""),"/",""),"?hl=en",""),"instagram.com",""))</f>
        <v/>
      </c>
      <c r="W211" s="74" t="str">
        <f t="array" ref="W211">IF(
'Ingest Template'!Y211="",
SUBSTITUTE(
INDEX(DropdownLists!$F$2:$F$277,MATCH('Ingest Template'!D211,DropdownLists!$C$2:$C$277,0)),
CHAR(10),
"|"&amp;'Ingest Template'!C211&amp;CHAR(10)
)&amp;"|"&amp;'Ingest Template'!C211,
SUBSTITUTE(
INDEX(DropdownLists!$F$2:$F$277,MATCH('Ingest Template'!D211,DropdownLists!$C$2:$C$277,0)),
CHAR(10),
"|"&amp;'Ingest Template'!C211&amp;CHAR(10)
)&amp;"|"&amp;'Ingest Template'!C211&amp;CHAR(10)&amp;'Ingest Template'!Y211
)</f>
        <v>#N/A</v>
      </c>
      <c r="X211" s="74" t="str">
        <f>'Ingest Template'!Z211</f>
        <v/>
      </c>
      <c r="Y211" s="35" t="str">
        <f>SUBSTITUTE(SUBSTITUTE(SUBSTITUTE('Ingest Template'!AA211,"http:",""),"https:",""),"/","")</f>
        <v/>
      </c>
      <c r="Z211" s="35" t="str">
        <f t="array" ref="Z211">IF('Ingest Template'!A211="Standard",(IF(ISBLANK('Ingest Template'!AB211),"", 'Ingest Template'!AB211&amp;"|DAR")),(IF(ISBLANK('Ingest Template'!AB211),"", 'Ingest Template'!AB211&amp;"|TV Ops")))</f>
        <v/>
      </c>
      <c r="AA211" s="35"/>
      <c r="AB211" s="35" t="str">
        <f>'Ingest Template'!R211</f>
        <v/>
      </c>
      <c r="AC211" s="35" t="str">
        <f>'Ingest Template'!T211</f>
        <v/>
      </c>
      <c r="AD211" s="35" t="str">
        <f>'Ingest Template'!S211</f>
        <v/>
      </c>
      <c r="AE211" s="35" t="str">
        <f>'Ingest Template'!U211</f>
        <v/>
      </c>
      <c r="AF211" s="22"/>
      <c r="AG211" s="35" t="str">
        <f t="array" ref="AG211">IF('Ingest Template'!A211="Standard",(CONCATENATE(IF(ISBLANK('Ingest Template'!N211),"", 'Ingest Template'!N211&amp;"|DAR"),CHAR(10), IF(ISBLANK('Ingest Template'!O211),"", 'Ingest Template'!O211&amp;"|DAR"),CHAR(10), IF(ISBLANK('Ingest Template'!P211),"", 'Ingest Template'!P211&amp;"|DAR"))),(CONCATENATE(IF(ISBLANK('Ingest Template'!N211),"", 'Ingest Template'!N211&amp;"|TV Ops"),CHAR(10), IF(ISBLANK('Ingest Template'!O211),"", 'Ingest Template'!O211&amp;"|TV Ops"),CHAR(10), IF(ISBLANK('Ingest Template'!P211),"", 'Ingest Template'!P211&amp;"|TV Ops"))))</f>
        <v>
</v>
      </c>
      <c r="AH211" s="35"/>
      <c r="AI211" s="35"/>
      <c r="AJ211" s="117" t="str">
        <f>if('Ingest Template'!A211="Standard",(IF(OR('Ingest Template'!F211 = "Program Type - Special", 'Ingest Template'!F211 = "Program Type - Live Event"),'Ingest Template'!M211&amp; "|DAR|DAR|"&amp;TEXT('Ingest Template'!C211-3, "yyyy-mm-dd")&amp;"|"&amp;TEXT('Ingest Template'!C211+3, "yyyy-mm-dd"),'Ingest Template'!M211&amp; "|DAR|DAR|2021-01-01")),(IF(OR('Ingest Template'!F211 = "Program Type - Special", 'Ingest Template'!F211 = "Program Type - Live Event"),'Ingest Template'!M211&amp; "|Operations - Core Title|Operations - Core Title|"&amp;TEXT('Ingest Template'!C211-3, "yyyy-mm-dd")&amp;"|"&amp;TEXT('Ingest Template'!C211+3, "yyyy-mm-dd"),'Ingest Template'!M211&amp; "|Operations - Core Title|Operations - Core Title")))</f>
        <v>|Operations - Core Title|Operations - Core Title</v>
      </c>
      <c r="AK211" s="35"/>
      <c r="AL211" s="117" t="str">
        <f>if('Ingest Template'!A211="Standard",(IF(OR('Ingest Template'!F211 = "Program Type - Special", 'Ingest Template'!F211 = "Program Type - Live Event"),'Ingest Template'!Q211&amp;"|"&amp;TEXT('Ingest Template'!C211-3, "yyyy-mm-dd")&amp;"|"&amp;TEXT('Ingest Template'!C211+3, "yyyy-mm-dd"),'Ingest Template'!Q211&amp; "|2021-01-01")),(IF(OR('Ingest Template'!F211 = "Program Type - Special", 'Ingest Template'!F211 = "Program Type - Live Event"),'Ingest Template'!Q211&amp; "|"&amp;TEXT('Ingest Template'!C211-3, "yyyy-mm-dd")&amp;"|"&amp;TEXT('Ingest Template'!C211+3, "yyyy-mm-dd"),'Ingest Template'!Q211)))</f>
        <v/>
      </c>
      <c r="AM211" s="35" t="str">
        <f>'Ingest Template'!AC211</f>
        <v/>
      </c>
    </row>
    <row r="212">
      <c r="A212" s="15"/>
      <c r="B212" s="22" t="str">
        <f>'Ingest Template'!C212&amp;IF('Ingest Template'!A212 = "Standard", " - DAR","")</f>
        <v/>
      </c>
      <c r="C212" s="22" t="s">
        <v>83</v>
      </c>
      <c r="D212" s="22" t="str">
        <f t="array" ref="D212">CONCATENATE(INDEX(DropdownLists!$H$2:$H$11,MATCH(1,COUNTIF('Ingest Template'!E212,"*"&amp;DropdownLists!$I$2:$I$11&amp;"*"),0)),CHAR(10),'Ingest Template'!F212,CHAR(10),'Ingest Template'!G212,CHAR(10),VLOOKUP('Ingest Template'!D212,DropdownLists!C:D,2,FALSE))</f>
        <v>#N/A</v>
      </c>
      <c r="E212" s="22" t="str">
        <f>CONCATENATE('Ingest Template'!H212,CHAR(10),'Ingest Template'!I212,CHAR(10),'Ingest Template'!J212,CHAR(10))</f>
        <v>
</v>
      </c>
      <c r="F212" s="35" t="str">
        <f t="array" ref="F212">INDEX(DropdownLists!$O$2:$O$36,MATCH(1,COUNTIF(E212,"*"&amp;DropdownLists!$N$2:$N$36&amp;"*"),0))</f>
        <v/>
      </c>
      <c r="G212" s="35"/>
      <c r="H212" s="22" t="str">
        <f t="array" ref="H212">INDEX(DropdownLists!$E$2:$E$276,MATCH('Ingest Template'!D212,DropdownLists!$C$2:$C$276,0))</f>
        <v>#N/A</v>
      </c>
      <c r="I212" s="22"/>
      <c r="J212" s="22" t="str">
        <f t="array" ref="J212">iF('Ingest Template'!A212="Standard","Pristine Brand",INDEX(DropdownLists!$B$2:$B$246,MATCH('Ingest Template'!D212,DropdownLists!$C$2:$C$246,0)))</f>
        <v>#N/A</v>
      </c>
      <c r="K212" s="22" t="str">
        <f>iF('Ingest Template'!A212="Standard",'Ingest Template'!K212&amp;CHAR(10)&amp;'Ingest Template'!L212,"Competitive View")</f>
        <v>Competitive View</v>
      </c>
      <c r="L212" s="22" t="s">
        <v>95</v>
      </c>
      <c r="M212" s="45" t="str">
        <f>'Ingest Template'!B212</f>
        <v/>
      </c>
      <c r="N212" s="35"/>
      <c r="O212" s="35"/>
      <c r="P212" s="35"/>
      <c r="Q212" s="35"/>
      <c r="R212" s="35" t="str">
        <f>'Ingest Template'!D212</f>
        <v/>
      </c>
      <c r="S212" s="22" t="s">
        <v>101</v>
      </c>
      <c r="T212" s="35" t="str">
        <f>'Ingest Template'!V212</f>
        <v/>
      </c>
      <c r="U212" s="35" t="str">
        <f>'Ingest Template'!W212</f>
        <v/>
      </c>
      <c r="V212" s="35" t="str">
        <f>LOWER(SUBSTITUTE(SUBSTITUTE(SUBSTITUTE(SUBSTITUTE(SUBSTITUTE('Ingest Template'!X212,"https:",""),"www.",""),"/",""),"?hl=en",""),"instagram.com",""))</f>
        <v/>
      </c>
      <c r="W212" s="74" t="str">
        <f t="array" ref="W212">IF(
'Ingest Template'!Y212="",
SUBSTITUTE(
INDEX(DropdownLists!$F$2:$F$277,MATCH('Ingest Template'!D212,DropdownLists!$C$2:$C$277,0)),
CHAR(10),
"|"&amp;'Ingest Template'!C212&amp;CHAR(10)
)&amp;"|"&amp;'Ingest Template'!C212,
SUBSTITUTE(
INDEX(DropdownLists!$F$2:$F$277,MATCH('Ingest Template'!D212,DropdownLists!$C$2:$C$277,0)),
CHAR(10),
"|"&amp;'Ingest Template'!C212&amp;CHAR(10)
)&amp;"|"&amp;'Ingest Template'!C212&amp;CHAR(10)&amp;'Ingest Template'!Y212
)</f>
        <v>#N/A</v>
      </c>
      <c r="X212" s="74" t="str">
        <f>'Ingest Template'!Z212</f>
        <v/>
      </c>
      <c r="Y212" s="35" t="str">
        <f>SUBSTITUTE(SUBSTITUTE(SUBSTITUTE('Ingest Template'!AA212,"http:",""),"https:",""),"/","")</f>
        <v/>
      </c>
      <c r="Z212" s="35" t="str">
        <f t="array" ref="Z212">IF('Ingest Template'!A212="Standard",(IF(ISBLANK('Ingest Template'!AB212),"", 'Ingest Template'!AB212&amp;"|DAR")),(IF(ISBLANK('Ingest Template'!AB212),"", 'Ingest Template'!AB212&amp;"|TV Ops")))</f>
        <v/>
      </c>
      <c r="AA212" s="35"/>
      <c r="AB212" s="35" t="str">
        <f>'Ingest Template'!R212</f>
        <v/>
      </c>
      <c r="AC212" s="35" t="str">
        <f>'Ingest Template'!T212</f>
        <v/>
      </c>
      <c r="AD212" s="35" t="str">
        <f>'Ingest Template'!S212</f>
        <v/>
      </c>
      <c r="AE212" s="35" t="str">
        <f>'Ingest Template'!U212</f>
        <v/>
      </c>
      <c r="AF212" s="22"/>
      <c r="AG212" s="35" t="str">
        <f t="array" ref="AG212">IF('Ingest Template'!A212="Standard",(CONCATENATE(IF(ISBLANK('Ingest Template'!N212),"", 'Ingest Template'!N212&amp;"|DAR"),CHAR(10), IF(ISBLANK('Ingest Template'!O212),"", 'Ingest Template'!O212&amp;"|DAR"),CHAR(10), IF(ISBLANK('Ingest Template'!P212),"", 'Ingest Template'!P212&amp;"|DAR"))),(CONCATENATE(IF(ISBLANK('Ingest Template'!N212),"", 'Ingest Template'!N212&amp;"|TV Ops"),CHAR(10), IF(ISBLANK('Ingest Template'!O212),"", 'Ingest Template'!O212&amp;"|TV Ops"),CHAR(10), IF(ISBLANK('Ingest Template'!P212),"", 'Ingest Template'!P212&amp;"|TV Ops"))))</f>
        <v>
</v>
      </c>
      <c r="AH212" s="35"/>
      <c r="AI212" s="35"/>
      <c r="AJ212" s="117" t="str">
        <f>if('Ingest Template'!A212="Standard",(IF(OR('Ingest Template'!F212 = "Program Type - Special", 'Ingest Template'!F212 = "Program Type - Live Event"),'Ingest Template'!M212&amp; "|DAR|DAR|"&amp;TEXT('Ingest Template'!C212-3, "yyyy-mm-dd")&amp;"|"&amp;TEXT('Ingest Template'!C212+3, "yyyy-mm-dd"),'Ingest Template'!M212&amp; "|DAR|DAR|2021-01-01")),(IF(OR('Ingest Template'!F212 = "Program Type - Special", 'Ingest Template'!F212 = "Program Type - Live Event"),'Ingest Template'!M212&amp; "|Operations - Core Title|Operations - Core Title|"&amp;TEXT('Ingest Template'!C212-3, "yyyy-mm-dd")&amp;"|"&amp;TEXT('Ingest Template'!C212+3, "yyyy-mm-dd"),'Ingest Template'!M212&amp; "|Operations - Core Title|Operations - Core Title")))</f>
        <v>|Operations - Core Title|Operations - Core Title</v>
      </c>
      <c r="AK212" s="35"/>
      <c r="AL212" s="117" t="str">
        <f>if('Ingest Template'!A212="Standard",(IF(OR('Ingest Template'!F212 = "Program Type - Special", 'Ingest Template'!F212 = "Program Type - Live Event"),'Ingest Template'!Q212&amp;"|"&amp;TEXT('Ingest Template'!C212-3, "yyyy-mm-dd")&amp;"|"&amp;TEXT('Ingest Template'!C212+3, "yyyy-mm-dd"),'Ingest Template'!Q212&amp; "|2021-01-01")),(IF(OR('Ingest Template'!F212 = "Program Type - Special", 'Ingest Template'!F212 = "Program Type - Live Event"),'Ingest Template'!Q212&amp; "|"&amp;TEXT('Ingest Template'!C212-3, "yyyy-mm-dd")&amp;"|"&amp;TEXT('Ingest Template'!C212+3, "yyyy-mm-dd"),'Ingest Template'!Q212)))</f>
        <v/>
      </c>
      <c r="AM212" s="35" t="str">
        <f>'Ingest Template'!AC212</f>
        <v/>
      </c>
    </row>
    <row r="213">
      <c r="A213" s="15"/>
      <c r="B213" s="22" t="str">
        <f>'Ingest Template'!C213&amp;IF('Ingest Template'!A213 = "Standard", " - DAR","")</f>
        <v/>
      </c>
      <c r="C213" s="22" t="s">
        <v>83</v>
      </c>
      <c r="D213" s="22" t="str">
        <f t="array" ref="D213">CONCATENATE(INDEX(DropdownLists!$H$2:$H$11,MATCH(1,COUNTIF('Ingest Template'!E213,"*"&amp;DropdownLists!$I$2:$I$11&amp;"*"),0)),CHAR(10),'Ingest Template'!F213,CHAR(10),'Ingest Template'!G213,CHAR(10),VLOOKUP('Ingest Template'!D213,DropdownLists!C:D,2,FALSE))</f>
        <v>#N/A</v>
      </c>
      <c r="E213" s="22" t="str">
        <f>CONCATENATE('Ingest Template'!H213,CHAR(10),'Ingest Template'!I213,CHAR(10),'Ingest Template'!J213,CHAR(10))</f>
        <v>
</v>
      </c>
      <c r="F213" s="35" t="str">
        <f t="array" ref="F213">INDEX(DropdownLists!$O$2:$O$36,MATCH(1,COUNTIF(E213,"*"&amp;DropdownLists!$N$2:$N$36&amp;"*"),0))</f>
        <v/>
      </c>
      <c r="G213" s="35"/>
      <c r="H213" s="22" t="str">
        <f t="array" ref="H213">INDEX(DropdownLists!$E$2:$E$276,MATCH('Ingest Template'!D213,DropdownLists!$C$2:$C$276,0))</f>
        <v>#N/A</v>
      </c>
      <c r="I213" s="22"/>
      <c r="J213" s="22" t="str">
        <f t="array" ref="J213">iF('Ingest Template'!A213="Standard","Pristine Brand",INDEX(DropdownLists!$B$2:$B$246,MATCH('Ingest Template'!D213,DropdownLists!$C$2:$C$246,0)))</f>
        <v>#N/A</v>
      </c>
      <c r="K213" s="22" t="str">
        <f>iF('Ingest Template'!A213="Standard",'Ingest Template'!K213&amp;CHAR(10)&amp;'Ingest Template'!L213,"Competitive View")</f>
        <v>Competitive View</v>
      </c>
      <c r="L213" s="22" t="s">
        <v>95</v>
      </c>
      <c r="M213" s="45" t="str">
        <f>'Ingest Template'!B213</f>
        <v/>
      </c>
      <c r="N213" s="35"/>
      <c r="O213" s="35"/>
      <c r="P213" s="35"/>
      <c r="Q213" s="35"/>
      <c r="R213" s="35" t="str">
        <f>'Ingest Template'!D213</f>
        <v/>
      </c>
      <c r="S213" s="22" t="s">
        <v>101</v>
      </c>
      <c r="T213" s="35" t="str">
        <f>'Ingest Template'!V213</f>
        <v/>
      </c>
      <c r="U213" s="35" t="str">
        <f>'Ingest Template'!W213</f>
        <v/>
      </c>
      <c r="V213" s="35" t="str">
        <f>LOWER(SUBSTITUTE(SUBSTITUTE(SUBSTITUTE(SUBSTITUTE(SUBSTITUTE('Ingest Template'!X213,"https:",""),"www.",""),"/",""),"?hl=en",""),"instagram.com",""))</f>
        <v/>
      </c>
      <c r="W213" s="74" t="str">
        <f t="array" ref="W213">IF(
'Ingest Template'!Y213="",
SUBSTITUTE(
INDEX(DropdownLists!$F$2:$F$277,MATCH('Ingest Template'!D213,DropdownLists!$C$2:$C$277,0)),
CHAR(10),
"|"&amp;'Ingest Template'!C213&amp;CHAR(10)
)&amp;"|"&amp;'Ingest Template'!C213,
SUBSTITUTE(
INDEX(DropdownLists!$F$2:$F$277,MATCH('Ingest Template'!D213,DropdownLists!$C$2:$C$277,0)),
CHAR(10),
"|"&amp;'Ingest Template'!C213&amp;CHAR(10)
)&amp;"|"&amp;'Ingest Template'!C213&amp;CHAR(10)&amp;'Ingest Template'!Y213
)</f>
        <v>#N/A</v>
      </c>
      <c r="X213" s="74" t="str">
        <f>'Ingest Template'!Z213</f>
        <v/>
      </c>
      <c r="Y213" s="35" t="str">
        <f>SUBSTITUTE(SUBSTITUTE(SUBSTITUTE('Ingest Template'!AA213,"http:",""),"https:",""),"/","")</f>
        <v/>
      </c>
      <c r="Z213" s="35" t="str">
        <f t="array" ref="Z213">IF('Ingest Template'!A213="Standard",(IF(ISBLANK('Ingest Template'!AB213),"", 'Ingest Template'!AB213&amp;"|DAR")),(IF(ISBLANK('Ingest Template'!AB213),"", 'Ingest Template'!AB213&amp;"|TV Ops")))</f>
        <v/>
      </c>
      <c r="AA213" s="35"/>
      <c r="AB213" s="35" t="str">
        <f>'Ingest Template'!R213</f>
        <v/>
      </c>
      <c r="AC213" s="35" t="str">
        <f>'Ingest Template'!T213</f>
        <v/>
      </c>
      <c r="AD213" s="35" t="str">
        <f>'Ingest Template'!S213</f>
        <v/>
      </c>
      <c r="AE213" s="35" t="str">
        <f>'Ingest Template'!U213</f>
        <v/>
      </c>
      <c r="AF213" s="22"/>
      <c r="AG213" s="35" t="str">
        <f t="array" ref="AG213">IF('Ingest Template'!A213="Standard",(CONCATENATE(IF(ISBLANK('Ingest Template'!N213),"", 'Ingest Template'!N213&amp;"|DAR"),CHAR(10), IF(ISBLANK('Ingest Template'!O213),"", 'Ingest Template'!O213&amp;"|DAR"),CHAR(10), IF(ISBLANK('Ingest Template'!P213),"", 'Ingest Template'!P213&amp;"|DAR"))),(CONCATENATE(IF(ISBLANK('Ingest Template'!N213),"", 'Ingest Template'!N213&amp;"|TV Ops"),CHAR(10), IF(ISBLANK('Ingest Template'!O213),"", 'Ingest Template'!O213&amp;"|TV Ops"),CHAR(10), IF(ISBLANK('Ingest Template'!P213),"", 'Ingest Template'!P213&amp;"|TV Ops"))))</f>
        <v>
</v>
      </c>
      <c r="AH213" s="35"/>
      <c r="AI213" s="35"/>
      <c r="AJ213" s="117" t="str">
        <f>if('Ingest Template'!A213="Standard",(IF(OR('Ingest Template'!F213 = "Program Type - Special", 'Ingest Template'!F213 = "Program Type - Live Event"),'Ingest Template'!M213&amp; "|DAR|DAR|"&amp;TEXT('Ingest Template'!C213-3, "yyyy-mm-dd")&amp;"|"&amp;TEXT('Ingest Template'!C213+3, "yyyy-mm-dd"),'Ingest Template'!M213&amp; "|DAR|DAR|2021-01-01")),(IF(OR('Ingest Template'!F213 = "Program Type - Special", 'Ingest Template'!F213 = "Program Type - Live Event"),'Ingest Template'!M213&amp; "|Operations - Core Title|Operations - Core Title|"&amp;TEXT('Ingest Template'!C213-3, "yyyy-mm-dd")&amp;"|"&amp;TEXT('Ingest Template'!C213+3, "yyyy-mm-dd"),'Ingest Template'!M213&amp; "|Operations - Core Title|Operations - Core Title")))</f>
        <v>|Operations - Core Title|Operations - Core Title</v>
      </c>
      <c r="AK213" s="35"/>
      <c r="AL213" s="117" t="str">
        <f>if('Ingest Template'!A213="Standard",(IF(OR('Ingest Template'!F213 = "Program Type - Special", 'Ingest Template'!F213 = "Program Type - Live Event"),'Ingest Template'!Q213&amp;"|"&amp;TEXT('Ingest Template'!C213-3, "yyyy-mm-dd")&amp;"|"&amp;TEXT('Ingest Template'!C213+3, "yyyy-mm-dd"),'Ingest Template'!Q213&amp; "|2021-01-01")),(IF(OR('Ingest Template'!F213 = "Program Type - Special", 'Ingest Template'!F213 = "Program Type - Live Event"),'Ingest Template'!Q213&amp; "|"&amp;TEXT('Ingest Template'!C213-3, "yyyy-mm-dd")&amp;"|"&amp;TEXT('Ingest Template'!C213+3, "yyyy-mm-dd"),'Ingest Template'!Q213)))</f>
        <v/>
      </c>
      <c r="AM213" s="35" t="str">
        <f>'Ingest Template'!AC213</f>
        <v/>
      </c>
    </row>
    <row r="214">
      <c r="A214" s="15"/>
      <c r="B214" s="22" t="str">
        <f>'Ingest Template'!C214&amp;IF('Ingest Template'!A214 = "Standard", " - DAR","")</f>
        <v/>
      </c>
      <c r="C214" s="22" t="s">
        <v>83</v>
      </c>
      <c r="D214" s="22" t="str">
        <f t="array" ref="D214">CONCATENATE(INDEX(DropdownLists!$H$2:$H$11,MATCH(1,COUNTIF('Ingest Template'!E214,"*"&amp;DropdownLists!$I$2:$I$11&amp;"*"),0)),CHAR(10),'Ingest Template'!F214,CHAR(10),'Ingest Template'!G214,CHAR(10),VLOOKUP('Ingest Template'!D214,DropdownLists!C:D,2,FALSE))</f>
        <v>#N/A</v>
      </c>
      <c r="E214" s="22" t="str">
        <f>CONCATENATE('Ingest Template'!H214,CHAR(10),'Ingest Template'!I214,CHAR(10),'Ingest Template'!J214,CHAR(10))</f>
        <v>
</v>
      </c>
      <c r="F214" s="35" t="str">
        <f t="array" ref="F214">INDEX(DropdownLists!$O$2:$O$36,MATCH(1,COUNTIF(E214,"*"&amp;DropdownLists!$N$2:$N$36&amp;"*"),0))</f>
        <v/>
      </c>
      <c r="G214" s="35"/>
      <c r="H214" s="22" t="str">
        <f t="array" ref="H214">INDEX(DropdownLists!$E$2:$E$276,MATCH('Ingest Template'!D214,DropdownLists!$C$2:$C$276,0))</f>
        <v>#N/A</v>
      </c>
      <c r="I214" s="22"/>
      <c r="J214" s="22" t="str">
        <f t="array" ref="J214">iF('Ingest Template'!A214="Standard","Pristine Brand",INDEX(DropdownLists!$B$2:$B$246,MATCH('Ingest Template'!D214,DropdownLists!$C$2:$C$246,0)))</f>
        <v>#N/A</v>
      </c>
      <c r="K214" s="22" t="str">
        <f>iF('Ingest Template'!A214="Standard",'Ingest Template'!K214&amp;CHAR(10)&amp;'Ingest Template'!L214,"Competitive View")</f>
        <v>Competitive View</v>
      </c>
      <c r="L214" s="22" t="s">
        <v>95</v>
      </c>
      <c r="M214" s="45" t="str">
        <f>'Ingest Template'!B214</f>
        <v/>
      </c>
      <c r="N214" s="35"/>
      <c r="O214" s="35"/>
      <c r="P214" s="35"/>
      <c r="Q214" s="35"/>
      <c r="R214" s="35" t="str">
        <f>'Ingest Template'!D214</f>
        <v/>
      </c>
      <c r="S214" s="22" t="s">
        <v>101</v>
      </c>
      <c r="T214" s="35" t="str">
        <f>'Ingest Template'!V214</f>
        <v/>
      </c>
      <c r="U214" s="35" t="str">
        <f>'Ingest Template'!W214</f>
        <v/>
      </c>
      <c r="V214" s="35" t="str">
        <f>LOWER(SUBSTITUTE(SUBSTITUTE(SUBSTITUTE(SUBSTITUTE(SUBSTITUTE('Ingest Template'!X214,"https:",""),"www.",""),"/",""),"?hl=en",""),"instagram.com",""))</f>
        <v/>
      </c>
      <c r="W214" s="74" t="str">
        <f t="array" ref="W214">IF(
'Ingest Template'!Y214="",
SUBSTITUTE(
INDEX(DropdownLists!$F$2:$F$277,MATCH('Ingest Template'!D214,DropdownLists!$C$2:$C$277,0)),
CHAR(10),
"|"&amp;'Ingest Template'!C214&amp;CHAR(10)
)&amp;"|"&amp;'Ingest Template'!C214,
SUBSTITUTE(
INDEX(DropdownLists!$F$2:$F$277,MATCH('Ingest Template'!D214,DropdownLists!$C$2:$C$277,0)),
CHAR(10),
"|"&amp;'Ingest Template'!C214&amp;CHAR(10)
)&amp;"|"&amp;'Ingest Template'!C214&amp;CHAR(10)&amp;'Ingest Template'!Y214
)</f>
        <v>#N/A</v>
      </c>
      <c r="X214" s="74" t="str">
        <f>'Ingest Template'!Z214</f>
        <v/>
      </c>
      <c r="Y214" s="35" t="str">
        <f>SUBSTITUTE(SUBSTITUTE(SUBSTITUTE('Ingest Template'!AA214,"http:",""),"https:",""),"/","")</f>
        <v/>
      </c>
      <c r="Z214" s="35" t="str">
        <f t="array" ref="Z214">IF('Ingest Template'!A214="Standard",(IF(ISBLANK('Ingest Template'!AB214),"", 'Ingest Template'!AB214&amp;"|DAR")),(IF(ISBLANK('Ingest Template'!AB214),"", 'Ingest Template'!AB214&amp;"|TV Ops")))</f>
        <v/>
      </c>
      <c r="AA214" s="35"/>
      <c r="AB214" s="35" t="str">
        <f>'Ingest Template'!R214</f>
        <v/>
      </c>
      <c r="AC214" s="35" t="str">
        <f>'Ingest Template'!T214</f>
        <v/>
      </c>
      <c r="AD214" s="35" t="str">
        <f>'Ingest Template'!S214</f>
        <v/>
      </c>
      <c r="AE214" s="35" t="str">
        <f>'Ingest Template'!U214</f>
        <v/>
      </c>
      <c r="AF214" s="22"/>
      <c r="AG214" s="35" t="str">
        <f t="array" ref="AG214">IF('Ingest Template'!A214="Standard",(CONCATENATE(IF(ISBLANK('Ingest Template'!N214),"", 'Ingest Template'!N214&amp;"|DAR"),CHAR(10), IF(ISBLANK('Ingest Template'!O214),"", 'Ingest Template'!O214&amp;"|DAR"),CHAR(10), IF(ISBLANK('Ingest Template'!P214),"", 'Ingest Template'!P214&amp;"|DAR"))),(CONCATENATE(IF(ISBLANK('Ingest Template'!N214),"", 'Ingest Template'!N214&amp;"|TV Ops"),CHAR(10), IF(ISBLANK('Ingest Template'!O214),"", 'Ingest Template'!O214&amp;"|TV Ops"),CHAR(10), IF(ISBLANK('Ingest Template'!P214),"", 'Ingest Template'!P214&amp;"|TV Ops"))))</f>
        <v>
</v>
      </c>
      <c r="AH214" s="35"/>
      <c r="AI214" s="35"/>
      <c r="AJ214" s="117" t="str">
        <f>if('Ingest Template'!A214="Standard",(IF(OR('Ingest Template'!F214 = "Program Type - Special", 'Ingest Template'!F214 = "Program Type - Live Event"),'Ingest Template'!M214&amp; "|DAR|DAR|"&amp;TEXT('Ingest Template'!C214-3, "yyyy-mm-dd")&amp;"|"&amp;TEXT('Ingest Template'!C214+3, "yyyy-mm-dd"),'Ingest Template'!M214&amp; "|DAR|DAR|2021-01-01")),(IF(OR('Ingest Template'!F214 = "Program Type - Special", 'Ingest Template'!F214 = "Program Type - Live Event"),'Ingest Template'!M214&amp; "|Operations - Core Title|Operations - Core Title|"&amp;TEXT('Ingest Template'!C214-3, "yyyy-mm-dd")&amp;"|"&amp;TEXT('Ingest Template'!C214+3, "yyyy-mm-dd"),'Ingest Template'!M214&amp; "|Operations - Core Title|Operations - Core Title")))</f>
        <v>|Operations - Core Title|Operations - Core Title</v>
      </c>
      <c r="AK214" s="35"/>
      <c r="AL214" s="117" t="str">
        <f>if('Ingest Template'!A214="Standard",(IF(OR('Ingest Template'!F214 = "Program Type - Special", 'Ingest Template'!F214 = "Program Type - Live Event"),'Ingest Template'!Q214&amp;"|"&amp;TEXT('Ingest Template'!C214-3, "yyyy-mm-dd")&amp;"|"&amp;TEXT('Ingest Template'!C214+3, "yyyy-mm-dd"),'Ingest Template'!Q214&amp; "|2021-01-01")),(IF(OR('Ingest Template'!F214 = "Program Type - Special", 'Ingest Template'!F214 = "Program Type - Live Event"),'Ingest Template'!Q214&amp; "|"&amp;TEXT('Ingest Template'!C214-3, "yyyy-mm-dd")&amp;"|"&amp;TEXT('Ingest Template'!C214+3, "yyyy-mm-dd"),'Ingest Template'!Q214)))</f>
        <v/>
      </c>
      <c r="AM214" s="35" t="str">
        <f>'Ingest Template'!AC214</f>
        <v/>
      </c>
    </row>
    <row r="215">
      <c r="A215" s="15"/>
      <c r="B215" s="22" t="str">
        <f>'Ingest Template'!C215&amp;IF('Ingest Template'!A215 = "Standard", " - DAR","")</f>
        <v/>
      </c>
      <c r="C215" s="22" t="s">
        <v>83</v>
      </c>
      <c r="D215" s="22" t="str">
        <f t="array" ref="D215">CONCATENATE(INDEX(DropdownLists!$H$2:$H$11,MATCH(1,COUNTIF('Ingest Template'!E215,"*"&amp;DropdownLists!$I$2:$I$11&amp;"*"),0)),CHAR(10),'Ingest Template'!F215,CHAR(10),'Ingest Template'!G215,CHAR(10),VLOOKUP('Ingest Template'!D215,DropdownLists!C:D,2,FALSE))</f>
        <v>#N/A</v>
      </c>
      <c r="E215" s="22" t="str">
        <f>CONCATENATE('Ingest Template'!H215,CHAR(10),'Ingest Template'!I215,CHAR(10),'Ingest Template'!J215,CHAR(10))</f>
        <v>
</v>
      </c>
      <c r="F215" s="35" t="str">
        <f t="array" ref="F215">INDEX(DropdownLists!$O$2:$O$36,MATCH(1,COUNTIF(E215,"*"&amp;DropdownLists!$N$2:$N$36&amp;"*"),0))</f>
        <v/>
      </c>
      <c r="G215" s="35"/>
      <c r="H215" s="22" t="str">
        <f t="array" ref="H215">INDEX(DropdownLists!$E$2:$E$276,MATCH('Ingest Template'!D215,DropdownLists!$C$2:$C$276,0))</f>
        <v>#N/A</v>
      </c>
      <c r="I215" s="22"/>
      <c r="J215" s="22" t="str">
        <f t="array" ref="J215">iF('Ingest Template'!A215="Standard","Pristine Brand",INDEX(DropdownLists!$B$2:$B$246,MATCH('Ingest Template'!D215,DropdownLists!$C$2:$C$246,0)))</f>
        <v>#N/A</v>
      </c>
      <c r="K215" s="22" t="str">
        <f>iF('Ingest Template'!A215="Standard",'Ingest Template'!K215&amp;CHAR(10)&amp;'Ingest Template'!L215,"Competitive View")</f>
        <v>Competitive View</v>
      </c>
      <c r="L215" s="22" t="s">
        <v>95</v>
      </c>
      <c r="M215" s="45" t="str">
        <f>'Ingest Template'!B215</f>
        <v/>
      </c>
      <c r="N215" s="35"/>
      <c r="O215" s="35"/>
      <c r="P215" s="35"/>
      <c r="Q215" s="35"/>
      <c r="R215" s="35" t="str">
        <f>'Ingest Template'!D215</f>
        <v/>
      </c>
      <c r="S215" s="22" t="s">
        <v>101</v>
      </c>
      <c r="T215" s="35" t="str">
        <f>'Ingest Template'!V215</f>
        <v/>
      </c>
      <c r="U215" s="35" t="str">
        <f>'Ingest Template'!W215</f>
        <v/>
      </c>
      <c r="V215" s="35" t="str">
        <f>LOWER(SUBSTITUTE(SUBSTITUTE(SUBSTITUTE(SUBSTITUTE(SUBSTITUTE('Ingest Template'!X215,"https:",""),"www.",""),"/",""),"?hl=en",""),"instagram.com",""))</f>
        <v/>
      </c>
      <c r="W215" s="74" t="str">
        <f t="array" ref="W215">IF(
'Ingest Template'!Y215="",
SUBSTITUTE(
INDEX(DropdownLists!$F$2:$F$277,MATCH('Ingest Template'!D215,DropdownLists!$C$2:$C$277,0)),
CHAR(10),
"|"&amp;'Ingest Template'!C215&amp;CHAR(10)
)&amp;"|"&amp;'Ingest Template'!C215,
SUBSTITUTE(
INDEX(DropdownLists!$F$2:$F$277,MATCH('Ingest Template'!D215,DropdownLists!$C$2:$C$277,0)),
CHAR(10),
"|"&amp;'Ingest Template'!C215&amp;CHAR(10)
)&amp;"|"&amp;'Ingest Template'!C215&amp;CHAR(10)&amp;'Ingest Template'!Y215
)</f>
        <v>#N/A</v>
      </c>
      <c r="X215" s="74" t="str">
        <f>'Ingest Template'!Z215</f>
        <v/>
      </c>
      <c r="Y215" s="35" t="str">
        <f>SUBSTITUTE(SUBSTITUTE(SUBSTITUTE('Ingest Template'!AA215,"http:",""),"https:",""),"/","")</f>
        <v/>
      </c>
      <c r="Z215" s="35" t="str">
        <f t="array" ref="Z215">IF('Ingest Template'!A215="Standard",(IF(ISBLANK('Ingest Template'!AB215),"", 'Ingest Template'!AB215&amp;"|DAR")),(IF(ISBLANK('Ingest Template'!AB215),"", 'Ingest Template'!AB215&amp;"|TV Ops")))</f>
        <v/>
      </c>
      <c r="AA215" s="35"/>
      <c r="AB215" s="35" t="str">
        <f>'Ingest Template'!R215</f>
        <v/>
      </c>
      <c r="AC215" s="35" t="str">
        <f>'Ingest Template'!T215</f>
        <v/>
      </c>
      <c r="AD215" s="35" t="str">
        <f>'Ingest Template'!S215</f>
        <v/>
      </c>
      <c r="AE215" s="35" t="str">
        <f>'Ingest Template'!U215</f>
        <v/>
      </c>
      <c r="AF215" s="22"/>
      <c r="AG215" s="35" t="str">
        <f t="array" ref="AG215">IF('Ingest Template'!A215="Standard",(CONCATENATE(IF(ISBLANK('Ingest Template'!N215),"", 'Ingest Template'!N215&amp;"|DAR"),CHAR(10), IF(ISBLANK('Ingest Template'!O215),"", 'Ingest Template'!O215&amp;"|DAR"),CHAR(10), IF(ISBLANK('Ingest Template'!P215),"", 'Ingest Template'!P215&amp;"|DAR"))),(CONCATENATE(IF(ISBLANK('Ingest Template'!N215),"", 'Ingest Template'!N215&amp;"|TV Ops"),CHAR(10), IF(ISBLANK('Ingest Template'!O215),"", 'Ingest Template'!O215&amp;"|TV Ops"),CHAR(10), IF(ISBLANK('Ingest Template'!P215),"", 'Ingest Template'!P215&amp;"|TV Ops"))))</f>
        <v>
</v>
      </c>
      <c r="AH215" s="35"/>
      <c r="AI215" s="35"/>
      <c r="AJ215" s="117" t="str">
        <f>if('Ingest Template'!A215="Standard",(IF(OR('Ingest Template'!F215 = "Program Type - Special", 'Ingest Template'!F215 = "Program Type - Live Event"),'Ingest Template'!M215&amp; "|DAR|DAR|"&amp;TEXT('Ingest Template'!C215-3, "yyyy-mm-dd")&amp;"|"&amp;TEXT('Ingest Template'!C215+3, "yyyy-mm-dd"),'Ingest Template'!M215&amp; "|DAR|DAR|2021-01-01")),(IF(OR('Ingest Template'!F215 = "Program Type - Special", 'Ingest Template'!F215 = "Program Type - Live Event"),'Ingest Template'!M215&amp; "|Operations - Core Title|Operations - Core Title|"&amp;TEXT('Ingest Template'!C215-3, "yyyy-mm-dd")&amp;"|"&amp;TEXT('Ingest Template'!C215+3, "yyyy-mm-dd"),'Ingest Template'!M215&amp; "|Operations - Core Title|Operations - Core Title")))</f>
        <v>|Operations - Core Title|Operations - Core Title</v>
      </c>
      <c r="AK215" s="35"/>
      <c r="AL215" s="117" t="str">
        <f>if('Ingest Template'!A215="Standard",(IF(OR('Ingest Template'!F215 = "Program Type - Special", 'Ingest Template'!F215 = "Program Type - Live Event"),'Ingest Template'!Q215&amp;"|"&amp;TEXT('Ingest Template'!C215-3, "yyyy-mm-dd")&amp;"|"&amp;TEXT('Ingest Template'!C215+3, "yyyy-mm-dd"),'Ingest Template'!Q215&amp; "|2021-01-01")),(IF(OR('Ingest Template'!F215 = "Program Type - Special", 'Ingest Template'!F215 = "Program Type - Live Event"),'Ingest Template'!Q215&amp; "|"&amp;TEXT('Ingest Template'!C215-3, "yyyy-mm-dd")&amp;"|"&amp;TEXT('Ingest Template'!C215+3, "yyyy-mm-dd"),'Ingest Template'!Q215)))</f>
        <v/>
      </c>
      <c r="AM215" s="35" t="str">
        <f>'Ingest Template'!AC215</f>
        <v/>
      </c>
    </row>
    <row r="216">
      <c r="A216" s="15"/>
      <c r="B216" s="22" t="str">
        <f>'Ingest Template'!C216&amp;IF('Ingest Template'!A216 = "Standard", " - DAR","")</f>
        <v/>
      </c>
      <c r="C216" s="22" t="s">
        <v>83</v>
      </c>
      <c r="D216" s="22" t="str">
        <f t="array" ref="D216">CONCATENATE(INDEX(DropdownLists!$H$2:$H$11,MATCH(1,COUNTIF('Ingest Template'!E216,"*"&amp;DropdownLists!$I$2:$I$11&amp;"*"),0)),CHAR(10),'Ingest Template'!F216,CHAR(10),'Ingest Template'!G216,CHAR(10),VLOOKUP('Ingest Template'!D216,DropdownLists!C:D,2,FALSE))</f>
        <v>#N/A</v>
      </c>
      <c r="E216" s="22" t="str">
        <f>CONCATENATE('Ingest Template'!H216,CHAR(10),'Ingest Template'!I216,CHAR(10),'Ingest Template'!J216,CHAR(10))</f>
        <v>
</v>
      </c>
      <c r="F216" s="35" t="str">
        <f t="array" ref="F216">INDEX(DropdownLists!$O$2:$O$36,MATCH(1,COUNTIF(E216,"*"&amp;DropdownLists!$N$2:$N$36&amp;"*"),0))</f>
        <v/>
      </c>
      <c r="G216" s="35"/>
      <c r="H216" s="22" t="str">
        <f t="array" ref="H216">INDEX(DropdownLists!$E$2:$E$276,MATCH('Ingest Template'!D216,DropdownLists!$C$2:$C$276,0))</f>
        <v>#N/A</v>
      </c>
      <c r="I216" s="22"/>
      <c r="J216" s="22" t="str">
        <f t="array" ref="J216">iF('Ingest Template'!A216="Standard","Pristine Brand",INDEX(DropdownLists!$B$2:$B$246,MATCH('Ingest Template'!D216,DropdownLists!$C$2:$C$246,0)))</f>
        <v>#N/A</v>
      </c>
      <c r="K216" s="22" t="str">
        <f>iF('Ingest Template'!A216="Standard",'Ingest Template'!K216&amp;CHAR(10)&amp;'Ingest Template'!L216,"Competitive View")</f>
        <v>Competitive View</v>
      </c>
      <c r="L216" s="22" t="s">
        <v>95</v>
      </c>
      <c r="M216" s="45" t="str">
        <f>'Ingest Template'!B216</f>
        <v/>
      </c>
      <c r="N216" s="35"/>
      <c r="O216" s="35"/>
      <c r="P216" s="35"/>
      <c r="Q216" s="35"/>
      <c r="R216" s="35" t="str">
        <f>'Ingest Template'!D216</f>
        <v/>
      </c>
      <c r="S216" s="22" t="s">
        <v>101</v>
      </c>
      <c r="T216" s="35" t="str">
        <f>'Ingest Template'!V216</f>
        <v/>
      </c>
      <c r="U216" s="35" t="str">
        <f>'Ingest Template'!W216</f>
        <v/>
      </c>
      <c r="V216" s="35" t="str">
        <f>LOWER(SUBSTITUTE(SUBSTITUTE(SUBSTITUTE(SUBSTITUTE(SUBSTITUTE('Ingest Template'!X216,"https:",""),"www.",""),"/",""),"?hl=en",""),"instagram.com",""))</f>
        <v/>
      </c>
      <c r="W216" s="74" t="str">
        <f t="array" ref="W216">IF(
'Ingest Template'!Y216="",
SUBSTITUTE(
INDEX(DropdownLists!$F$2:$F$277,MATCH('Ingest Template'!D216,DropdownLists!$C$2:$C$277,0)),
CHAR(10),
"|"&amp;'Ingest Template'!C216&amp;CHAR(10)
)&amp;"|"&amp;'Ingest Template'!C216,
SUBSTITUTE(
INDEX(DropdownLists!$F$2:$F$277,MATCH('Ingest Template'!D216,DropdownLists!$C$2:$C$277,0)),
CHAR(10),
"|"&amp;'Ingest Template'!C216&amp;CHAR(10)
)&amp;"|"&amp;'Ingest Template'!C216&amp;CHAR(10)&amp;'Ingest Template'!Y216
)</f>
        <v>#N/A</v>
      </c>
      <c r="X216" s="74" t="str">
        <f>'Ingest Template'!Z216</f>
        <v/>
      </c>
      <c r="Y216" s="35" t="str">
        <f>SUBSTITUTE(SUBSTITUTE(SUBSTITUTE('Ingest Template'!AA216,"http:",""),"https:",""),"/","")</f>
        <v/>
      </c>
      <c r="Z216" s="35" t="str">
        <f t="array" ref="Z216">IF('Ingest Template'!A216="Standard",(IF(ISBLANK('Ingest Template'!AB216),"", 'Ingest Template'!AB216&amp;"|DAR")),(IF(ISBLANK('Ingest Template'!AB216),"", 'Ingest Template'!AB216&amp;"|TV Ops")))</f>
        <v/>
      </c>
      <c r="AA216" s="35"/>
      <c r="AB216" s="35" t="str">
        <f>'Ingest Template'!R216</f>
        <v/>
      </c>
      <c r="AC216" s="35" t="str">
        <f>'Ingest Template'!T216</f>
        <v/>
      </c>
      <c r="AD216" s="35" t="str">
        <f>'Ingest Template'!S216</f>
        <v/>
      </c>
      <c r="AE216" s="35" t="str">
        <f>'Ingest Template'!U216</f>
        <v/>
      </c>
      <c r="AF216" s="22"/>
      <c r="AG216" s="35" t="str">
        <f t="array" ref="AG216">IF('Ingest Template'!A216="Standard",(CONCATENATE(IF(ISBLANK('Ingest Template'!N216),"", 'Ingest Template'!N216&amp;"|DAR"),CHAR(10), IF(ISBLANK('Ingest Template'!O216),"", 'Ingest Template'!O216&amp;"|DAR"),CHAR(10), IF(ISBLANK('Ingest Template'!P216),"", 'Ingest Template'!P216&amp;"|DAR"))),(CONCATENATE(IF(ISBLANK('Ingest Template'!N216),"", 'Ingest Template'!N216&amp;"|TV Ops"),CHAR(10), IF(ISBLANK('Ingest Template'!O216),"", 'Ingest Template'!O216&amp;"|TV Ops"),CHAR(10), IF(ISBLANK('Ingest Template'!P216),"", 'Ingest Template'!P216&amp;"|TV Ops"))))</f>
        <v>
</v>
      </c>
      <c r="AH216" s="35"/>
      <c r="AI216" s="35"/>
      <c r="AJ216" s="117" t="str">
        <f>if('Ingest Template'!A216="Standard",(IF(OR('Ingest Template'!F216 = "Program Type - Special", 'Ingest Template'!F216 = "Program Type - Live Event"),'Ingest Template'!M216&amp; "|DAR|DAR|"&amp;TEXT('Ingest Template'!C216-3, "yyyy-mm-dd")&amp;"|"&amp;TEXT('Ingest Template'!C216+3, "yyyy-mm-dd"),'Ingest Template'!M216&amp; "|DAR|DAR|2021-01-01")),(IF(OR('Ingest Template'!F216 = "Program Type - Special", 'Ingest Template'!F216 = "Program Type - Live Event"),'Ingest Template'!M216&amp; "|Operations - Core Title|Operations - Core Title|"&amp;TEXT('Ingest Template'!C216-3, "yyyy-mm-dd")&amp;"|"&amp;TEXT('Ingest Template'!C216+3, "yyyy-mm-dd"),'Ingest Template'!M216&amp; "|Operations - Core Title|Operations - Core Title")))</f>
        <v>|Operations - Core Title|Operations - Core Title</v>
      </c>
      <c r="AK216" s="35"/>
      <c r="AL216" s="117" t="str">
        <f>if('Ingest Template'!A216="Standard",(IF(OR('Ingest Template'!F216 = "Program Type - Special", 'Ingest Template'!F216 = "Program Type - Live Event"),'Ingest Template'!Q216&amp;"|"&amp;TEXT('Ingest Template'!C216-3, "yyyy-mm-dd")&amp;"|"&amp;TEXT('Ingest Template'!C216+3, "yyyy-mm-dd"),'Ingest Template'!Q216&amp; "|2021-01-01")),(IF(OR('Ingest Template'!F216 = "Program Type - Special", 'Ingest Template'!F216 = "Program Type - Live Event"),'Ingest Template'!Q216&amp; "|"&amp;TEXT('Ingest Template'!C216-3, "yyyy-mm-dd")&amp;"|"&amp;TEXT('Ingest Template'!C216+3, "yyyy-mm-dd"),'Ingest Template'!Q216)))</f>
        <v/>
      </c>
      <c r="AM216" s="35" t="str">
        <f>'Ingest Template'!AC216</f>
        <v/>
      </c>
    </row>
    <row r="217">
      <c r="A217" s="15"/>
      <c r="B217" s="22" t="str">
        <f>'Ingest Template'!C217&amp;IF('Ingest Template'!A217 = "Standard", " - DAR","")</f>
        <v/>
      </c>
      <c r="C217" s="22" t="s">
        <v>83</v>
      </c>
      <c r="D217" s="22" t="str">
        <f t="array" ref="D217">CONCATENATE(INDEX(DropdownLists!$H$2:$H$11,MATCH(1,COUNTIF('Ingest Template'!E217,"*"&amp;DropdownLists!$I$2:$I$11&amp;"*"),0)),CHAR(10),'Ingest Template'!F217,CHAR(10),'Ingest Template'!G217,CHAR(10),VLOOKUP('Ingest Template'!D217,DropdownLists!C:D,2,FALSE))</f>
        <v>#N/A</v>
      </c>
      <c r="E217" s="22" t="str">
        <f>CONCATENATE('Ingest Template'!H217,CHAR(10),'Ingest Template'!I217,CHAR(10),'Ingest Template'!J217,CHAR(10))</f>
        <v>
</v>
      </c>
      <c r="F217" s="35" t="str">
        <f t="array" ref="F217">INDEX(DropdownLists!$O$2:$O$36,MATCH(1,COUNTIF(E217,"*"&amp;DropdownLists!$N$2:$N$36&amp;"*"),0))</f>
        <v/>
      </c>
      <c r="G217" s="35"/>
      <c r="H217" s="22" t="str">
        <f t="array" ref="H217">INDEX(DropdownLists!$E$2:$E$276,MATCH('Ingest Template'!D217,DropdownLists!$C$2:$C$276,0))</f>
        <v>#N/A</v>
      </c>
      <c r="I217" s="22"/>
      <c r="J217" s="22" t="str">
        <f t="array" ref="J217">iF('Ingest Template'!A217="Standard","Pristine Brand",INDEX(DropdownLists!$B$2:$B$246,MATCH('Ingest Template'!D217,DropdownLists!$C$2:$C$246,0)))</f>
        <v>#N/A</v>
      </c>
      <c r="K217" s="22" t="str">
        <f>iF('Ingest Template'!A217="Standard",'Ingest Template'!K217&amp;CHAR(10)&amp;'Ingest Template'!L217,"Competitive View")</f>
        <v>Competitive View</v>
      </c>
      <c r="L217" s="22" t="s">
        <v>95</v>
      </c>
      <c r="M217" s="45" t="str">
        <f>'Ingest Template'!B217</f>
        <v/>
      </c>
      <c r="N217" s="35"/>
      <c r="O217" s="35"/>
      <c r="P217" s="35"/>
      <c r="Q217" s="35"/>
      <c r="R217" s="35" t="str">
        <f>'Ingest Template'!D217</f>
        <v/>
      </c>
      <c r="S217" s="22" t="s">
        <v>101</v>
      </c>
      <c r="T217" s="35" t="str">
        <f>'Ingest Template'!V217</f>
        <v/>
      </c>
      <c r="U217" s="35" t="str">
        <f>'Ingest Template'!W217</f>
        <v/>
      </c>
      <c r="V217" s="35" t="str">
        <f>LOWER(SUBSTITUTE(SUBSTITUTE(SUBSTITUTE(SUBSTITUTE(SUBSTITUTE('Ingest Template'!X217,"https:",""),"www.",""),"/",""),"?hl=en",""),"instagram.com",""))</f>
        <v/>
      </c>
      <c r="W217" s="74" t="str">
        <f t="array" ref="W217">IF(
'Ingest Template'!Y217="",
SUBSTITUTE(
INDEX(DropdownLists!$F$2:$F$277,MATCH('Ingest Template'!D217,DropdownLists!$C$2:$C$277,0)),
CHAR(10),
"|"&amp;'Ingest Template'!C217&amp;CHAR(10)
)&amp;"|"&amp;'Ingest Template'!C217,
SUBSTITUTE(
INDEX(DropdownLists!$F$2:$F$277,MATCH('Ingest Template'!D217,DropdownLists!$C$2:$C$277,0)),
CHAR(10),
"|"&amp;'Ingest Template'!C217&amp;CHAR(10)
)&amp;"|"&amp;'Ingest Template'!C217&amp;CHAR(10)&amp;'Ingest Template'!Y217
)</f>
        <v>#N/A</v>
      </c>
      <c r="X217" s="74" t="str">
        <f>'Ingest Template'!Z217</f>
        <v/>
      </c>
      <c r="Y217" s="35" t="str">
        <f>SUBSTITUTE(SUBSTITUTE(SUBSTITUTE('Ingest Template'!AA217,"http:",""),"https:",""),"/","")</f>
        <v/>
      </c>
      <c r="Z217" s="35" t="str">
        <f t="array" ref="Z217">IF('Ingest Template'!A217="Standard",(IF(ISBLANK('Ingest Template'!AB217),"", 'Ingest Template'!AB217&amp;"|DAR")),(IF(ISBLANK('Ingest Template'!AB217),"", 'Ingest Template'!AB217&amp;"|TV Ops")))</f>
        <v/>
      </c>
      <c r="AA217" s="35"/>
      <c r="AB217" s="35" t="str">
        <f>'Ingest Template'!R217</f>
        <v/>
      </c>
      <c r="AC217" s="35" t="str">
        <f>'Ingest Template'!T217</f>
        <v/>
      </c>
      <c r="AD217" s="35" t="str">
        <f>'Ingest Template'!S217</f>
        <v/>
      </c>
      <c r="AE217" s="35" t="str">
        <f>'Ingest Template'!U217</f>
        <v/>
      </c>
      <c r="AF217" s="22"/>
      <c r="AG217" s="35" t="str">
        <f t="array" ref="AG217">IF('Ingest Template'!A217="Standard",(CONCATENATE(IF(ISBLANK('Ingest Template'!N217),"", 'Ingest Template'!N217&amp;"|DAR"),CHAR(10), IF(ISBLANK('Ingest Template'!O217),"", 'Ingest Template'!O217&amp;"|DAR"),CHAR(10), IF(ISBLANK('Ingest Template'!P217),"", 'Ingest Template'!P217&amp;"|DAR"))),(CONCATENATE(IF(ISBLANK('Ingest Template'!N217),"", 'Ingest Template'!N217&amp;"|TV Ops"),CHAR(10), IF(ISBLANK('Ingest Template'!O217),"", 'Ingest Template'!O217&amp;"|TV Ops"),CHAR(10), IF(ISBLANK('Ingest Template'!P217),"", 'Ingest Template'!P217&amp;"|TV Ops"))))</f>
        <v>
</v>
      </c>
      <c r="AH217" s="35"/>
      <c r="AI217" s="35"/>
      <c r="AJ217" s="117" t="str">
        <f>if('Ingest Template'!A217="Standard",(IF(OR('Ingest Template'!F217 = "Program Type - Special", 'Ingest Template'!F217 = "Program Type - Live Event"),'Ingest Template'!M217&amp; "|DAR|DAR|"&amp;TEXT('Ingest Template'!C217-3, "yyyy-mm-dd")&amp;"|"&amp;TEXT('Ingest Template'!C217+3, "yyyy-mm-dd"),'Ingest Template'!M217&amp; "|DAR|DAR|2021-01-01")),(IF(OR('Ingest Template'!F217 = "Program Type - Special", 'Ingest Template'!F217 = "Program Type - Live Event"),'Ingest Template'!M217&amp; "|Operations - Core Title|Operations - Core Title|"&amp;TEXT('Ingest Template'!C217-3, "yyyy-mm-dd")&amp;"|"&amp;TEXT('Ingest Template'!C217+3, "yyyy-mm-dd"),'Ingest Template'!M217&amp; "|Operations - Core Title|Operations - Core Title")))</f>
        <v>|Operations - Core Title|Operations - Core Title</v>
      </c>
      <c r="AK217" s="35"/>
      <c r="AL217" s="117" t="str">
        <f>if('Ingest Template'!A217="Standard",(IF(OR('Ingest Template'!F217 = "Program Type - Special", 'Ingest Template'!F217 = "Program Type - Live Event"),'Ingest Template'!Q217&amp;"|"&amp;TEXT('Ingest Template'!C217-3, "yyyy-mm-dd")&amp;"|"&amp;TEXT('Ingest Template'!C217+3, "yyyy-mm-dd"),'Ingest Template'!Q217&amp; "|2021-01-01")),(IF(OR('Ingest Template'!F217 = "Program Type - Special", 'Ingest Template'!F217 = "Program Type - Live Event"),'Ingest Template'!Q217&amp; "|"&amp;TEXT('Ingest Template'!C217-3, "yyyy-mm-dd")&amp;"|"&amp;TEXT('Ingest Template'!C217+3, "yyyy-mm-dd"),'Ingest Template'!Q217)))</f>
        <v/>
      </c>
      <c r="AM217" s="35" t="str">
        <f>'Ingest Template'!AC217</f>
        <v/>
      </c>
    </row>
    <row r="218">
      <c r="A218" s="15"/>
      <c r="B218" s="22" t="str">
        <f>'Ingest Template'!C218&amp;IF('Ingest Template'!A218 = "Standard", " - DAR","")</f>
        <v/>
      </c>
      <c r="C218" s="22" t="s">
        <v>83</v>
      </c>
      <c r="D218" s="22" t="str">
        <f t="array" ref="D218">CONCATENATE(INDEX(DropdownLists!$H$2:$H$11,MATCH(1,COUNTIF('Ingest Template'!E218,"*"&amp;DropdownLists!$I$2:$I$11&amp;"*"),0)),CHAR(10),'Ingest Template'!F218,CHAR(10),'Ingest Template'!G218,CHAR(10),VLOOKUP('Ingest Template'!D218,DropdownLists!C:D,2,FALSE))</f>
        <v>#N/A</v>
      </c>
      <c r="E218" s="22" t="str">
        <f>CONCATENATE('Ingest Template'!H218,CHAR(10),'Ingest Template'!I218,CHAR(10),'Ingest Template'!J218,CHAR(10))</f>
        <v>
</v>
      </c>
      <c r="F218" s="35" t="str">
        <f t="array" ref="F218">INDEX(DropdownLists!$O$2:$O$36,MATCH(1,COUNTIF(E218,"*"&amp;DropdownLists!$N$2:$N$36&amp;"*"),0))</f>
        <v/>
      </c>
      <c r="G218" s="35"/>
      <c r="H218" s="22" t="str">
        <f t="array" ref="H218">INDEX(DropdownLists!$E$2:$E$276,MATCH('Ingest Template'!D218,DropdownLists!$C$2:$C$276,0))</f>
        <v>#N/A</v>
      </c>
      <c r="I218" s="22"/>
      <c r="J218" s="22" t="str">
        <f t="array" ref="J218">iF('Ingest Template'!A218="Standard","Pristine Brand",INDEX(DropdownLists!$B$2:$B$246,MATCH('Ingest Template'!D218,DropdownLists!$C$2:$C$246,0)))</f>
        <v>#N/A</v>
      </c>
      <c r="K218" s="22" t="str">
        <f>iF('Ingest Template'!A218="Standard",'Ingest Template'!K218&amp;CHAR(10)&amp;'Ingest Template'!L218,"Competitive View")</f>
        <v>Competitive View</v>
      </c>
      <c r="L218" s="22" t="s">
        <v>95</v>
      </c>
      <c r="M218" s="45" t="str">
        <f>'Ingest Template'!B218</f>
        <v/>
      </c>
      <c r="N218" s="35"/>
      <c r="O218" s="35"/>
      <c r="P218" s="35"/>
      <c r="Q218" s="35"/>
      <c r="R218" s="35" t="str">
        <f>'Ingest Template'!D218</f>
        <v/>
      </c>
      <c r="S218" s="22" t="s">
        <v>101</v>
      </c>
      <c r="T218" s="35" t="str">
        <f>'Ingest Template'!V218</f>
        <v/>
      </c>
      <c r="U218" s="35" t="str">
        <f>'Ingest Template'!W218</f>
        <v/>
      </c>
      <c r="V218" s="35" t="str">
        <f>LOWER(SUBSTITUTE(SUBSTITUTE(SUBSTITUTE(SUBSTITUTE(SUBSTITUTE('Ingest Template'!X218,"https:",""),"www.",""),"/",""),"?hl=en",""),"instagram.com",""))</f>
        <v/>
      </c>
      <c r="W218" s="74" t="str">
        <f t="array" ref="W218">IF(
'Ingest Template'!Y218="",
SUBSTITUTE(
INDEX(DropdownLists!$F$2:$F$277,MATCH('Ingest Template'!D218,DropdownLists!$C$2:$C$277,0)),
CHAR(10),
"|"&amp;'Ingest Template'!C218&amp;CHAR(10)
)&amp;"|"&amp;'Ingest Template'!C218,
SUBSTITUTE(
INDEX(DropdownLists!$F$2:$F$277,MATCH('Ingest Template'!D218,DropdownLists!$C$2:$C$277,0)),
CHAR(10),
"|"&amp;'Ingest Template'!C218&amp;CHAR(10)
)&amp;"|"&amp;'Ingest Template'!C218&amp;CHAR(10)&amp;'Ingest Template'!Y218
)</f>
        <v>#N/A</v>
      </c>
      <c r="X218" s="74" t="str">
        <f>'Ingest Template'!Z218</f>
        <v/>
      </c>
      <c r="Y218" s="35" t="str">
        <f>SUBSTITUTE(SUBSTITUTE(SUBSTITUTE('Ingest Template'!AA218,"http:",""),"https:",""),"/","")</f>
        <v/>
      </c>
      <c r="Z218" s="35" t="str">
        <f t="array" ref="Z218">IF('Ingest Template'!A218="Standard",(IF(ISBLANK('Ingest Template'!AB218),"", 'Ingest Template'!AB218&amp;"|DAR")),(IF(ISBLANK('Ingest Template'!AB218),"", 'Ingest Template'!AB218&amp;"|TV Ops")))</f>
        <v/>
      </c>
      <c r="AA218" s="35"/>
      <c r="AB218" s="35" t="str">
        <f>'Ingest Template'!R218</f>
        <v/>
      </c>
      <c r="AC218" s="35" t="str">
        <f>'Ingest Template'!T218</f>
        <v/>
      </c>
      <c r="AD218" s="35" t="str">
        <f>'Ingest Template'!S218</f>
        <v/>
      </c>
      <c r="AE218" s="35" t="str">
        <f>'Ingest Template'!U218</f>
        <v/>
      </c>
      <c r="AF218" s="22"/>
      <c r="AG218" s="35" t="str">
        <f t="array" ref="AG218">IF('Ingest Template'!A218="Standard",(CONCATENATE(IF(ISBLANK('Ingest Template'!N218),"", 'Ingest Template'!N218&amp;"|DAR"),CHAR(10), IF(ISBLANK('Ingest Template'!O218),"", 'Ingest Template'!O218&amp;"|DAR"),CHAR(10), IF(ISBLANK('Ingest Template'!P218),"", 'Ingest Template'!P218&amp;"|DAR"))),(CONCATENATE(IF(ISBLANK('Ingest Template'!N218),"", 'Ingest Template'!N218&amp;"|TV Ops"),CHAR(10), IF(ISBLANK('Ingest Template'!O218),"", 'Ingest Template'!O218&amp;"|TV Ops"),CHAR(10), IF(ISBLANK('Ingest Template'!P218),"", 'Ingest Template'!P218&amp;"|TV Ops"))))</f>
        <v>
</v>
      </c>
      <c r="AH218" s="35"/>
      <c r="AI218" s="35"/>
      <c r="AJ218" s="117" t="str">
        <f>if('Ingest Template'!A218="Standard",(IF(OR('Ingest Template'!F218 = "Program Type - Special", 'Ingest Template'!F218 = "Program Type - Live Event"),'Ingest Template'!M218&amp; "|DAR|DAR|"&amp;TEXT('Ingest Template'!C218-3, "yyyy-mm-dd")&amp;"|"&amp;TEXT('Ingest Template'!C218+3, "yyyy-mm-dd"),'Ingest Template'!M218&amp; "|DAR|DAR|2021-01-01")),(IF(OR('Ingest Template'!F218 = "Program Type - Special", 'Ingest Template'!F218 = "Program Type - Live Event"),'Ingest Template'!M218&amp; "|Operations - Core Title|Operations - Core Title|"&amp;TEXT('Ingest Template'!C218-3, "yyyy-mm-dd")&amp;"|"&amp;TEXT('Ingest Template'!C218+3, "yyyy-mm-dd"),'Ingest Template'!M218&amp; "|Operations - Core Title|Operations - Core Title")))</f>
        <v>|Operations - Core Title|Operations - Core Title</v>
      </c>
      <c r="AK218" s="35"/>
      <c r="AL218" s="117" t="str">
        <f>if('Ingest Template'!A218="Standard",(IF(OR('Ingest Template'!F218 = "Program Type - Special", 'Ingest Template'!F218 = "Program Type - Live Event"),'Ingest Template'!Q218&amp;"|"&amp;TEXT('Ingest Template'!C218-3, "yyyy-mm-dd")&amp;"|"&amp;TEXT('Ingest Template'!C218+3, "yyyy-mm-dd"),'Ingest Template'!Q218&amp; "|2021-01-01")),(IF(OR('Ingest Template'!F218 = "Program Type - Special", 'Ingest Template'!F218 = "Program Type - Live Event"),'Ingest Template'!Q218&amp; "|"&amp;TEXT('Ingest Template'!C218-3, "yyyy-mm-dd")&amp;"|"&amp;TEXT('Ingest Template'!C218+3, "yyyy-mm-dd"),'Ingest Template'!Q218)))</f>
        <v/>
      </c>
      <c r="AM218" s="35" t="str">
        <f>'Ingest Template'!AC218</f>
        <v/>
      </c>
    </row>
    <row r="219">
      <c r="A219" s="15"/>
      <c r="B219" s="22" t="str">
        <f>'Ingest Template'!C219&amp;IF('Ingest Template'!A219 = "Standard", " - DAR","")</f>
        <v/>
      </c>
      <c r="C219" s="22" t="s">
        <v>83</v>
      </c>
      <c r="D219" s="22" t="str">
        <f t="array" ref="D219">CONCATENATE(INDEX(DropdownLists!$H$2:$H$11,MATCH(1,COUNTIF('Ingest Template'!E219,"*"&amp;DropdownLists!$I$2:$I$11&amp;"*"),0)),CHAR(10),'Ingest Template'!F219,CHAR(10),'Ingest Template'!G219,CHAR(10),VLOOKUP('Ingest Template'!D219,DropdownLists!C:D,2,FALSE))</f>
        <v>#N/A</v>
      </c>
      <c r="E219" s="22" t="str">
        <f>CONCATENATE('Ingest Template'!H219,CHAR(10),'Ingest Template'!I219,CHAR(10),'Ingest Template'!J219,CHAR(10))</f>
        <v>
</v>
      </c>
      <c r="F219" s="35" t="str">
        <f t="array" ref="F219">INDEX(DropdownLists!$O$2:$O$36,MATCH(1,COUNTIF(E219,"*"&amp;DropdownLists!$N$2:$N$36&amp;"*"),0))</f>
        <v/>
      </c>
      <c r="G219" s="35"/>
      <c r="H219" s="22" t="str">
        <f t="array" ref="H219">INDEX(DropdownLists!$E$2:$E$276,MATCH('Ingest Template'!D219,DropdownLists!$C$2:$C$276,0))</f>
        <v>#N/A</v>
      </c>
      <c r="I219" s="22"/>
      <c r="J219" s="22" t="str">
        <f t="array" ref="J219">iF('Ingest Template'!A219="Standard","Pristine Brand",INDEX(DropdownLists!$B$2:$B$246,MATCH('Ingest Template'!D219,DropdownLists!$C$2:$C$246,0)))</f>
        <v>#N/A</v>
      </c>
      <c r="K219" s="22" t="str">
        <f>iF('Ingest Template'!A219="Standard",'Ingest Template'!K219&amp;CHAR(10)&amp;'Ingest Template'!L219,"Competitive View")</f>
        <v>Competitive View</v>
      </c>
      <c r="L219" s="22" t="s">
        <v>95</v>
      </c>
      <c r="M219" s="45" t="str">
        <f>'Ingest Template'!B219</f>
        <v/>
      </c>
      <c r="N219" s="35"/>
      <c r="O219" s="35"/>
      <c r="P219" s="35"/>
      <c r="Q219" s="35"/>
      <c r="R219" s="35" t="str">
        <f>'Ingest Template'!D219</f>
        <v/>
      </c>
      <c r="S219" s="22" t="s">
        <v>101</v>
      </c>
      <c r="T219" s="35" t="str">
        <f>'Ingest Template'!V219</f>
        <v/>
      </c>
      <c r="U219" s="35" t="str">
        <f>'Ingest Template'!W219</f>
        <v/>
      </c>
      <c r="V219" s="35" t="str">
        <f>LOWER(SUBSTITUTE(SUBSTITUTE(SUBSTITUTE(SUBSTITUTE(SUBSTITUTE('Ingest Template'!X219,"https:",""),"www.",""),"/",""),"?hl=en",""),"instagram.com",""))</f>
        <v/>
      </c>
      <c r="W219" s="74" t="str">
        <f t="array" ref="W219">IF(
'Ingest Template'!Y219="",
SUBSTITUTE(
INDEX(DropdownLists!$F$2:$F$277,MATCH('Ingest Template'!D219,DropdownLists!$C$2:$C$277,0)),
CHAR(10),
"|"&amp;'Ingest Template'!C219&amp;CHAR(10)
)&amp;"|"&amp;'Ingest Template'!C219,
SUBSTITUTE(
INDEX(DropdownLists!$F$2:$F$277,MATCH('Ingest Template'!D219,DropdownLists!$C$2:$C$277,0)),
CHAR(10),
"|"&amp;'Ingest Template'!C219&amp;CHAR(10)
)&amp;"|"&amp;'Ingest Template'!C219&amp;CHAR(10)&amp;'Ingest Template'!Y219
)</f>
        <v>#N/A</v>
      </c>
      <c r="X219" s="74" t="str">
        <f>'Ingest Template'!Z219</f>
        <v/>
      </c>
      <c r="Y219" s="35" t="str">
        <f>SUBSTITUTE(SUBSTITUTE(SUBSTITUTE('Ingest Template'!AA219,"http:",""),"https:",""),"/","")</f>
        <v/>
      </c>
      <c r="Z219" s="35" t="str">
        <f t="array" ref="Z219">IF('Ingest Template'!A219="Standard",(IF(ISBLANK('Ingest Template'!AB219),"", 'Ingest Template'!AB219&amp;"|DAR")),(IF(ISBLANK('Ingest Template'!AB219),"", 'Ingest Template'!AB219&amp;"|TV Ops")))</f>
        <v/>
      </c>
      <c r="AA219" s="35"/>
      <c r="AB219" s="35" t="str">
        <f>'Ingest Template'!R219</f>
        <v/>
      </c>
      <c r="AC219" s="35" t="str">
        <f>'Ingest Template'!T219</f>
        <v/>
      </c>
      <c r="AD219" s="35" t="str">
        <f>'Ingest Template'!S219</f>
        <v/>
      </c>
      <c r="AE219" s="35" t="str">
        <f>'Ingest Template'!U219</f>
        <v/>
      </c>
      <c r="AF219" s="22"/>
      <c r="AG219" s="35" t="str">
        <f t="array" ref="AG219">IF('Ingest Template'!A219="Standard",(CONCATENATE(IF(ISBLANK('Ingest Template'!N219),"", 'Ingest Template'!N219&amp;"|DAR"),CHAR(10), IF(ISBLANK('Ingest Template'!O219),"", 'Ingest Template'!O219&amp;"|DAR"),CHAR(10), IF(ISBLANK('Ingest Template'!P219),"", 'Ingest Template'!P219&amp;"|DAR"))),(CONCATENATE(IF(ISBLANK('Ingest Template'!N219),"", 'Ingest Template'!N219&amp;"|TV Ops"),CHAR(10), IF(ISBLANK('Ingest Template'!O219),"", 'Ingest Template'!O219&amp;"|TV Ops"),CHAR(10), IF(ISBLANK('Ingest Template'!P219),"", 'Ingest Template'!P219&amp;"|TV Ops"))))</f>
        <v>
</v>
      </c>
      <c r="AH219" s="35"/>
      <c r="AI219" s="35"/>
      <c r="AJ219" s="117" t="str">
        <f>if('Ingest Template'!A219="Standard",(IF(OR('Ingest Template'!F219 = "Program Type - Special", 'Ingest Template'!F219 = "Program Type - Live Event"),'Ingest Template'!M219&amp; "|DAR|DAR|"&amp;TEXT('Ingest Template'!C219-3, "yyyy-mm-dd")&amp;"|"&amp;TEXT('Ingest Template'!C219+3, "yyyy-mm-dd"),'Ingest Template'!M219&amp; "|DAR|DAR|2021-01-01")),(IF(OR('Ingest Template'!F219 = "Program Type - Special", 'Ingest Template'!F219 = "Program Type - Live Event"),'Ingest Template'!M219&amp; "|Operations - Core Title|Operations - Core Title|"&amp;TEXT('Ingest Template'!C219-3, "yyyy-mm-dd")&amp;"|"&amp;TEXT('Ingest Template'!C219+3, "yyyy-mm-dd"),'Ingest Template'!M219&amp; "|Operations - Core Title|Operations - Core Title")))</f>
        <v>|Operations - Core Title|Operations - Core Title</v>
      </c>
      <c r="AK219" s="35"/>
      <c r="AL219" s="117" t="str">
        <f>if('Ingest Template'!A219="Standard",(IF(OR('Ingest Template'!F219 = "Program Type - Special", 'Ingest Template'!F219 = "Program Type - Live Event"),'Ingest Template'!Q219&amp;"|"&amp;TEXT('Ingest Template'!C219-3, "yyyy-mm-dd")&amp;"|"&amp;TEXT('Ingest Template'!C219+3, "yyyy-mm-dd"),'Ingest Template'!Q219&amp; "|2021-01-01")),(IF(OR('Ingest Template'!F219 = "Program Type - Special", 'Ingest Template'!F219 = "Program Type - Live Event"),'Ingest Template'!Q219&amp; "|"&amp;TEXT('Ingest Template'!C219-3, "yyyy-mm-dd")&amp;"|"&amp;TEXT('Ingest Template'!C219+3, "yyyy-mm-dd"),'Ingest Template'!Q219)))</f>
        <v/>
      </c>
      <c r="AM219" s="35" t="str">
        <f>'Ingest Template'!AC219</f>
        <v/>
      </c>
    </row>
    <row r="220">
      <c r="A220" s="15"/>
      <c r="B220" s="22" t="str">
        <f>'Ingest Template'!C220&amp;IF('Ingest Template'!A220 = "Standard", " - DAR","")</f>
        <v/>
      </c>
      <c r="C220" s="22" t="s">
        <v>83</v>
      </c>
      <c r="D220" s="22" t="str">
        <f t="array" ref="D220">CONCATENATE(INDEX(DropdownLists!$H$2:$H$11,MATCH(1,COUNTIF('Ingest Template'!E220,"*"&amp;DropdownLists!$I$2:$I$11&amp;"*"),0)),CHAR(10),'Ingest Template'!F220,CHAR(10),'Ingest Template'!G220,CHAR(10),VLOOKUP('Ingest Template'!D220,DropdownLists!C:D,2,FALSE))</f>
        <v>#N/A</v>
      </c>
      <c r="E220" s="22" t="str">
        <f>CONCATENATE('Ingest Template'!H220,CHAR(10),'Ingest Template'!I220,CHAR(10),'Ingest Template'!J220,CHAR(10))</f>
        <v>
</v>
      </c>
      <c r="F220" s="35" t="str">
        <f t="array" ref="F220">INDEX(DropdownLists!$O$2:$O$36,MATCH(1,COUNTIF(E220,"*"&amp;DropdownLists!$N$2:$N$36&amp;"*"),0))</f>
        <v/>
      </c>
      <c r="G220" s="35"/>
      <c r="H220" s="22" t="str">
        <f t="array" ref="H220">INDEX(DropdownLists!$E$2:$E$276,MATCH('Ingest Template'!D220,DropdownLists!$C$2:$C$276,0))</f>
        <v>#N/A</v>
      </c>
      <c r="I220" s="22"/>
      <c r="J220" s="22" t="str">
        <f t="array" ref="J220">iF('Ingest Template'!A220="Standard","Pristine Brand",INDEX(DropdownLists!$B$2:$B$246,MATCH('Ingest Template'!D220,DropdownLists!$C$2:$C$246,0)))</f>
        <v>#N/A</v>
      </c>
      <c r="K220" s="22" t="str">
        <f>iF('Ingest Template'!A220="Standard",'Ingest Template'!K220&amp;CHAR(10)&amp;'Ingest Template'!L220,"Competitive View")</f>
        <v>Competitive View</v>
      </c>
      <c r="L220" s="22" t="s">
        <v>95</v>
      </c>
      <c r="M220" s="45" t="str">
        <f>'Ingest Template'!B220</f>
        <v/>
      </c>
      <c r="N220" s="35"/>
      <c r="O220" s="35"/>
      <c r="P220" s="35"/>
      <c r="Q220" s="35"/>
      <c r="R220" s="35" t="str">
        <f>'Ingest Template'!D220</f>
        <v/>
      </c>
      <c r="S220" s="22" t="s">
        <v>101</v>
      </c>
      <c r="T220" s="35" t="str">
        <f>'Ingest Template'!V220</f>
        <v/>
      </c>
      <c r="U220" s="35" t="str">
        <f>'Ingest Template'!W220</f>
        <v/>
      </c>
      <c r="V220" s="35" t="str">
        <f>LOWER(SUBSTITUTE(SUBSTITUTE(SUBSTITUTE(SUBSTITUTE(SUBSTITUTE('Ingest Template'!X220,"https:",""),"www.",""),"/",""),"?hl=en",""),"instagram.com",""))</f>
        <v/>
      </c>
      <c r="W220" s="74" t="str">
        <f t="array" ref="W220">IF(
'Ingest Template'!Y220="",
SUBSTITUTE(
INDEX(DropdownLists!$F$2:$F$277,MATCH('Ingest Template'!D220,DropdownLists!$C$2:$C$277,0)),
CHAR(10),
"|"&amp;'Ingest Template'!C220&amp;CHAR(10)
)&amp;"|"&amp;'Ingest Template'!C220,
SUBSTITUTE(
INDEX(DropdownLists!$F$2:$F$277,MATCH('Ingest Template'!D220,DropdownLists!$C$2:$C$277,0)),
CHAR(10),
"|"&amp;'Ingest Template'!C220&amp;CHAR(10)
)&amp;"|"&amp;'Ingest Template'!C220&amp;CHAR(10)&amp;'Ingest Template'!Y220
)</f>
        <v>#N/A</v>
      </c>
      <c r="X220" s="74" t="str">
        <f>'Ingest Template'!Z220</f>
        <v/>
      </c>
      <c r="Y220" s="35" t="str">
        <f>SUBSTITUTE(SUBSTITUTE(SUBSTITUTE('Ingest Template'!AA220,"http:",""),"https:",""),"/","")</f>
        <v/>
      </c>
      <c r="Z220" s="35" t="str">
        <f t="array" ref="Z220">IF('Ingest Template'!A220="Standard",(IF(ISBLANK('Ingest Template'!AB220),"", 'Ingest Template'!AB220&amp;"|DAR")),(IF(ISBLANK('Ingest Template'!AB220),"", 'Ingest Template'!AB220&amp;"|TV Ops")))</f>
        <v/>
      </c>
      <c r="AA220" s="35"/>
      <c r="AB220" s="35" t="str">
        <f>'Ingest Template'!R220</f>
        <v/>
      </c>
      <c r="AC220" s="35" t="str">
        <f>'Ingest Template'!T220</f>
        <v/>
      </c>
      <c r="AD220" s="35" t="str">
        <f>'Ingest Template'!S220</f>
        <v/>
      </c>
      <c r="AE220" s="35" t="str">
        <f>'Ingest Template'!U220</f>
        <v/>
      </c>
      <c r="AF220" s="22"/>
      <c r="AG220" s="35" t="str">
        <f t="array" ref="AG220">IF('Ingest Template'!A220="Standard",(CONCATENATE(IF(ISBLANK('Ingest Template'!N220),"", 'Ingest Template'!N220&amp;"|DAR"),CHAR(10), IF(ISBLANK('Ingest Template'!O220),"", 'Ingest Template'!O220&amp;"|DAR"),CHAR(10), IF(ISBLANK('Ingest Template'!P220),"", 'Ingest Template'!P220&amp;"|DAR"))),(CONCATENATE(IF(ISBLANK('Ingest Template'!N220),"", 'Ingest Template'!N220&amp;"|TV Ops"),CHAR(10), IF(ISBLANK('Ingest Template'!O220),"", 'Ingest Template'!O220&amp;"|TV Ops"),CHAR(10), IF(ISBLANK('Ingest Template'!P220),"", 'Ingest Template'!P220&amp;"|TV Ops"))))</f>
        <v>
</v>
      </c>
      <c r="AH220" s="35"/>
      <c r="AI220" s="35"/>
      <c r="AJ220" s="117" t="str">
        <f>if('Ingest Template'!A220="Standard",(IF(OR('Ingest Template'!F220 = "Program Type - Special", 'Ingest Template'!F220 = "Program Type - Live Event"),'Ingest Template'!M220&amp; "|DAR|DAR|"&amp;TEXT('Ingest Template'!C220-3, "yyyy-mm-dd")&amp;"|"&amp;TEXT('Ingest Template'!C220+3, "yyyy-mm-dd"),'Ingest Template'!M220&amp; "|DAR|DAR|2021-01-01")),(IF(OR('Ingest Template'!F220 = "Program Type - Special", 'Ingest Template'!F220 = "Program Type - Live Event"),'Ingest Template'!M220&amp; "|Operations - Core Title|Operations - Core Title|"&amp;TEXT('Ingest Template'!C220-3, "yyyy-mm-dd")&amp;"|"&amp;TEXT('Ingest Template'!C220+3, "yyyy-mm-dd"),'Ingest Template'!M220&amp; "|Operations - Core Title|Operations - Core Title")))</f>
        <v>|Operations - Core Title|Operations - Core Title</v>
      </c>
      <c r="AK220" s="35"/>
      <c r="AL220" s="117" t="str">
        <f>if('Ingest Template'!A220="Standard",(IF(OR('Ingest Template'!F220 = "Program Type - Special", 'Ingest Template'!F220 = "Program Type - Live Event"),'Ingest Template'!Q220&amp;"|"&amp;TEXT('Ingest Template'!C220-3, "yyyy-mm-dd")&amp;"|"&amp;TEXT('Ingest Template'!C220+3, "yyyy-mm-dd"),'Ingest Template'!Q220&amp; "|2021-01-01")),(IF(OR('Ingest Template'!F220 = "Program Type - Special", 'Ingest Template'!F220 = "Program Type - Live Event"),'Ingest Template'!Q220&amp; "|"&amp;TEXT('Ingest Template'!C220-3, "yyyy-mm-dd")&amp;"|"&amp;TEXT('Ingest Template'!C220+3, "yyyy-mm-dd"),'Ingest Template'!Q220)))</f>
        <v/>
      </c>
      <c r="AM220" s="35" t="str">
        <f>'Ingest Template'!AC220</f>
        <v/>
      </c>
    </row>
    <row r="221">
      <c r="A221" s="15"/>
      <c r="B221" s="22" t="str">
        <f>'Ingest Template'!C221&amp;IF('Ingest Template'!A221 = "Standard", " - DAR","")</f>
        <v/>
      </c>
      <c r="C221" s="22" t="s">
        <v>83</v>
      </c>
      <c r="D221" s="22" t="str">
        <f t="array" ref="D221">CONCATENATE(INDEX(DropdownLists!$H$2:$H$11,MATCH(1,COUNTIF('Ingest Template'!E221,"*"&amp;DropdownLists!$I$2:$I$11&amp;"*"),0)),CHAR(10),'Ingest Template'!F221,CHAR(10),'Ingest Template'!G221,CHAR(10),VLOOKUP('Ingest Template'!D221,DropdownLists!C:D,2,FALSE))</f>
        <v>#N/A</v>
      </c>
      <c r="E221" s="22" t="str">
        <f>CONCATENATE('Ingest Template'!H221,CHAR(10),'Ingest Template'!I221,CHAR(10),'Ingest Template'!J221,CHAR(10))</f>
        <v>
</v>
      </c>
      <c r="F221" s="35" t="str">
        <f t="array" ref="F221">INDEX(DropdownLists!$O$2:$O$36,MATCH(1,COUNTIF(E221,"*"&amp;DropdownLists!$N$2:$N$36&amp;"*"),0))</f>
        <v/>
      </c>
      <c r="G221" s="35"/>
      <c r="H221" s="22" t="str">
        <f t="array" ref="H221">INDEX(DropdownLists!$E$2:$E$276,MATCH('Ingest Template'!D221,DropdownLists!$C$2:$C$276,0))</f>
        <v>#N/A</v>
      </c>
      <c r="I221" s="22"/>
      <c r="J221" s="22" t="str">
        <f t="array" ref="J221">iF('Ingest Template'!A221="Standard","Pristine Brand",INDEX(DropdownLists!$B$2:$B$246,MATCH('Ingest Template'!D221,DropdownLists!$C$2:$C$246,0)))</f>
        <v>#N/A</v>
      </c>
      <c r="K221" s="22" t="str">
        <f>iF('Ingest Template'!A221="Standard",'Ingest Template'!K221&amp;CHAR(10)&amp;'Ingest Template'!L221,"Competitive View")</f>
        <v>Competitive View</v>
      </c>
      <c r="L221" s="22" t="s">
        <v>95</v>
      </c>
      <c r="M221" s="45" t="str">
        <f>'Ingest Template'!B221</f>
        <v/>
      </c>
      <c r="N221" s="35"/>
      <c r="O221" s="35"/>
      <c r="P221" s="35"/>
      <c r="Q221" s="35"/>
      <c r="R221" s="35" t="str">
        <f>'Ingest Template'!D221</f>
        <v/>
      </c>
      <c r="S221" s="22" t="s">
        <v>101</v>
      </c>
      <c r="T221" s="35" t="str">
        <f>'Ingest Template'!V221</f>
        <v/>
      </c>
      <c r="U221" s="35" t="str">
        <f>'Ingest Template'!W221</f>
        <v/>
      </c>
      <c r="V221" s="35" t="str">
        <f>LOWER(SUBSTITUTE(SUBSTITUTE(SUBSTITUTE(SUBSTITUTE(SUBSTITUTE('Ingest Template'!X221,"https:",""),"www.",""),"/",""),"?hl=en",""),"instagram.com",""))</f>
        <v/>
      </c>
      <c r="W221" s="74" t="str">
        <f t="array" ref="W221">IF(
'Ingest Template'!Y221="",
SUBSTITUTE(
INDEX(DropdownLists!$F$2:$F$277,MATCH('Ingest Template'!D221,DropdownLists!$C$2:$C$277,0)),
CHAR(10),
"|"&amp;'Ingest Template'!C221&amp;CHAR(10)
)&amp;"|"&amp;'Ingest Template'!C221,
SUBSTITUTE(
INDEX(DropdownLists!$F$2:$F$277,MATCH('Ingest Template'!D221,DropdownLists!$C$2:$C$277,0)),
CHAR(10),
"|"&amp;'Ingest Template'!C221&amp;CHAR(10)
)&amp;"|"&amp;'Ingest Template'!C221&amp;CHAR(10)&amp;'Ingest Template'!Y221
)</f>
        <v>#N/A</v>
      </c>
      <c r="X221" s="74" t="str">
        <f>'Ingest Template'!Z221</f>
        <v/>
      </c>
      <c r="Y221" s="35" t="str">
        <f>SUBSTITUTE(SUBSTITUTE(SUBSTITUTE('Ingest Template'!AA221,"http:",""),"https:",""),"/","")</f>
        <v/>
      </c>
      <c r="Z221" s="35" t="str">
        <f t="array" ref="Z221">IF('Ingest Template'!A221="Standard",(IF(ISBLANK('Ingest Template'!AB221),"", 'Ingest Template'!AB221&amp;"|DAR")),(IF(ISBLANK('Ingest Template'!AB221),"", 'Ingest Template'!AB221&amp;"|TV Ops")))</f>
        <v/>
      </c>
      <c r="AA221" s="35"/>
      <c r="AB221" s="35" t="str">
        <f>'Ingest Template'!R221</f>
        <v/>
      </c>
      <c r="AC221" s="35" t="str">
        <f>'Ingest Template'!T221</f>
        <v/>
      </c>
      <c r="AD221" s="35" t="str">
        <f>'Ingest Template'!S221</f>
        <v/>
      </c>
      <c r="AE221" s="35" t="str">
        <f>'Ingest Template'!U221</f>
        <v/>
      </c>
      <c r="AF221" s="22"/>
      <c r="AG221" s="35" t="str">
        <f t="array" ref="AG221">IF('Ingest Template'!A221="Standard",(CONCATENATE(IF(ISBLANK('Ingest Template'!N221),"", 'Ingest Template'!N221&amp;"|DAR"),CHAR(10), IF(ISBLANK('Ingest Template'!O221),"", 'Ingest Template'!O221&amp;"|DAR"),CHAR(10), IF(ISBLANK('Ingest Template'!P221),"", 'Ingest Template'!P221&amp;"|DAR"))),(CONCATENATE(IF(ISBLANK('Ingest Template'!N221),"", 'Ingest Template'!N221&amp;"|TV Ops"),CHAR(10), IF(ISBLANK('Ingest Template'!O221),"", 'Ingest Template'!O221&amp;"|TV Ops"),CHAR(10), IF(ISBLANK('Ingest Template'!P221),"", 'Ingest Template'!P221&amp;"|TV Ops"))))</f>
        <v>
</v>
      </c>
      <c r="AH221" s="35"/>
      <c r="AI221" s="35"/>
      <c r="AJ221" s="117" t="str">
        <f>if('Ingest Template'!A221="Standard",(IF(OR('Ingest Template'!F221 = "Program Type - Special", 'Ingest Template'!F221 = "Program Type - Live Event"),'Ingest Template'!M221&amp; "|DAR|DAR|"&amp;TEXT('Ingest Template'!C221-3, "yyyy-mm-dd")&amp;"|"&amp;TEXT('Ingest Template'!C221+3, "yyyy-mm-dd"),'Ingest Template'!M221&amp; "|DAR|DAR|2021-01-01")),(IF(OR('Ingest Template'!F221 = "Program Type - Special", 'Ingest Template'!F221 = "Program Type - Live Event"),'Ingest Template'!M221&amp; "|Operations - Core Title|Operations - Core Title|"&amp;TEXT('Ingest Template'!C221-3, "yyyy-mm-dd")&amp;"|"&amp;TEXT('Ingest Template'!C221+3, "yyyy-mm-dd"),'Ingest Template'!M221&amp; "|Operations - Core Title|Operations - Core Title")))</f>
        <v>|Operations - Core Title|Operations - Core Title</v>
      </c>
      <c r="AK221" s="35"/>
      <c r="AL221" s="117" t="str">
        <f>if('Ingest Template'!A221="Standard",(IF(OR('Ingest Template'!F221 = "Program Type - Special", 'Ingest Template'!F221 = "Program Type - Live Event"),'Ingest Template'!Q221&amp;"|"&amp;TEXT('Ingest Template'!C221-3, "yyyy-mm-dd")&amp;"|"&amp;TEXT('Ingest Template'!C221+3, "yyyy-mm-dd"),'Ingest Template'!Q221&amp; "|2021-01-01")),(IF(OR('Ingest Template'!F221 = "Program Type - Special", 'Ingest Template'!F221 = "Program Type - Live Event"),'Ingest Template'!Q221&amp; "|"&amp;TEXT('Ingest Template'!C221-3, "yyyy-mm-dd")&amp;"|"&amp;TEXT('Ingest Template'!C221+3, "yyyy-mm-dd"),'Ingest Template'!Q221)))</f>
        <v/>
      </c>
      <c r="AM221" s="35" t="str">
        <f>'Ingest Template'!AC221</f>
        <v/>
      </c>
    </row>
    <row r="222">
      <c r="A222" s="15"/>
      <c r="B222" s="22" t="str">
        <f>'Ingest Template'!C222&amp;IF('Ingest Template'!A222 = "Standard", " - DAR","")</f>
        <v/>
      </c>
      <c r="C222" s="22" t="s">
        <v>83</v>
      </c>
      <c r="D222" s="22" t="str">
        <f t="array" ref="D222">CONCATENATE(INDEX(DropdownLists!$H$2:$H$11,MATCH(1,COUNTIF('Ingest Template'!E222,"*"&amp;DropdownLists!$I$2:$I$11&amp;"*"),0)),CHAR(10),'Ingest Template'!F222,CHAR(10),'Ingest Template'!G222,CHAR(10),VLOOKUP('Ingest Template'!D222,DropdownLists!C:D,2,FALSE))</f>
        <v>#N/A</v>
      </c>
      <c r="E222" s="22" t="str">
        <f>CONCATENATE('Ingest Template'!H222,CHAR(10),'Ingest Template'!I222,CHAR(10),'Ingest Template'!J222,CHAR(10))</f>
        <v>
</v>
      </c>
      <c r="F222" s="35" t="str">
        <f t="array" ref="F222">INDEX(DropdownLists!$O$2:$O$36,MATCH(1,COUNTIF(E222,"*"&amp;DropdownLists!$N$2:$N$36&amp;"*"),0))</f>
        <v/>
      </c>
      <c r="G222" s="35"/>
      <c r="H222" s="22" t="str">
        <f t="array" ref="H222">INDEX(DropdownLists!$E$2:$E$276,MATCH('Ingest Template'!D222,DropdownLists!$C$2:$C$276,0))</f>
        <v>#N/A</v>
      </c>
      <c r="I222" s="22"/>
      <c r="J222" s="22" t="str">
        <f t="array" ref="J222">iF('Ingest Template'!A222="Standard","Pristine Brand",INDEX(DropdownLists!$B$2:$B$246,MATCH('Ingest Template'!D222,DropdownLists!$C$2:$C$246,0)))</f>
        <v>#N/A</v>
      </c>
      <c r="K222" s="22" t="str">
        <f>iF('Ingest Template'!A222="Standard",'Ingest Template'!K222&amp;CHAR(10)&amp;'Ingest Template'!L222,"Competitive View")</f>
        <v>Competitive View</v>
      </c>
      <c r="L222" s="22" t="s">
        <v>95</v>
      </c>
      <c r="M222" s="45" t="str">
        <f>'Ingest Template'!B222</f>
        <v/>
      </c>
      <c r="N222" s="35"/>
      <c r="O222" s="35"/>
      <c r="P222" s="35"/>
      <c r="Q222" s="35"/>
      <c r="R222" s="35" t="str">
        <f>'Ingest Template'!D222</f>
        <v/>
      </c>
      <c r="S222" s="22" t="s">
        <v>101</v>
      </c>
      <c r="T222" s="35" t="str">
        <f>'Ingest Template'!V222</f>
        <v/>
      </c>
      <c r="U222" s="35" t="str">
        <f>'Ingest Template'!W222</f>
        <v/>
      </c>
      <c r="V222" s="35" t="str">
        <f>LOWER(SUBSTITUTE(SUBSTITUTE(SUBSTITUTE(SUBSTITUTE(SUBSTITUTE('Ingest Template'!X222,"https:",""),"www.",""),"/",""),"?hl=en",""),"instagram.com",""))</f>
        <v/>
      </c>
      <c r="W222" s="74" t="str">
        <f t="array" ref="W222">IF(
'Ingest Template'!Y222="",
SUBSTITUTE(
INDEX(DropdownLists!$F$2:$F$277,MATCH('Ingest Template'!D222,DropdownLists!$C$2:$C$277,0)),
CHAR(10),
"|"&amp;'Ingest Template'!C222&amp;CHAR(10)
)&amp;"|"&amp;'Ingest Template'!C222,
SUBSTITUTE(
INDEX(DropdownLists!$F$2:$F$277,MATCH('Ingest Template'!D222,DropdownLists!$C$2:$C$277,0)),
CHAR(10),
"|"&amp;'Ingest Template'!C222&amp;CHAR(10)
)&amp;"|"&amp;'Ingest Template'!C222&amp;CHAR(10)&amp;'Ingest Template'!Y222
)</f>
        <v>#N/A</v>
      </c>
      <c r="X222" s="74" t="str">
        <f>'Ingest Template'!Z222</f>
        <v/>
      </c>
      <c r="Y222" s="35" t="str">
        <f>SUBSTITUTE(SUBSTITUTE(SUBSTITUTE('Ingest Template'!AA222,"http:",""),"https:",""),"/","")</f>
        <v/>
      </c>
      <c r="Z222" s="35" t="str">
        <f t="array" ref="Z222">IF('Ingest Template'!A222="Standard",(IF(ISBLANK('Ingest Template'!AB222),"", 'Ingest Template'!AB222&amp;"|DAR")),(IF(ISBLANK('Ingest Template'!AB222),"", 'Ingest Template'!AB222&amp;"|TV Ops")))</f>
        <v/>
      </c>
      <c r="AA222" s="35"/>
      <c r="AB222" s="35" t="str">
        <f>'Ingest Template'!R222</f>
        <v/>
      </c>
      <c r="AC222" s="35" t="str">
        <f>'Ingest Template'!T222</f>
        <v/>
      </c>
      <c r="AD222" s="35" t="str">
        <f>'Ingest Template'!S222</f>
        <v/>
      </c>
      <c r="AE222" s="35" t="str">
        <f>'Ingest Template'!U222</f>
        <v/>
      </c>
      <c r="AF222" s="22"/>
      <c r="AG222" s="35" t="str">
        <f t="array" ref="AG222">IF('Ingest Template'!A222="Standard",(CONCATENATE(IF(ISBLANK('Ingest Template'!N222),"", 'Ingest Template'!N222&amp;"|DAR"),CHAR(10), IF(ISBLANK('Ingest Template'!O222),"", 'Ingest Template'!O222&amp;"|DAR"),CHAR(10), IF(ISBLANK('Ingest Template'!P222),"", 'Ingest Template'!P222&amp;"|DAR"))),(CONCATENATE(IF(ISBLANK('Ingest Template'!N222),"", 'Ingest Template'!N222&amp;"|TV Ops"),CHAR(10), IF(ISBLANK('Ingest Template'!O222),"", 'Ingest Template'!O222&amp;"|TV Ops"),CHAR(10), IF(ISBLANK('Ingest Template'!P222),"", 'Ingest Template'!P222&amp;"|TV Ops"))))</f>
        <v>
</v>
      </c>
      <c r="AH222" s="35"/>
      <c r="AI222" s="35"/>
      <c r="AJ222" s="117" t="str">
        <f>if('Ingest Template'!A222="Standard",(IF(OR('Ingest Template'!F222 = "Program Type - Special", 'Ingest Template'!F222 = "Program Type - Live Event"),'Ingest Template'!M222&amp; "|DAR|DAR|"&amp;TEXT('Ingest Template'!C222-3, "yyyy-mm-dd")&amp;"|"&amp;TEXT('Ingest Template'!C222+3, "yyyy-mm-dd"),'Ingest Template'!M222&amp; "|DAR|DAR|2021-01-01")),(IF(OR('Ingest Template'!F222 = "Program Type - Special", 'Ingest Template'!F222 = "Program Type - Live Event"),'Ingest Template'!M222&amp; "|Operations - Core Title|Operations - Core Title|"&amp;TEXT('Ingest Template'!C222-3, "yyyy-mm-dd")&amp;"|"&amp;TEXT('Ingest Template'!C222+3, "yyyy-mm-dd"),'Ingest Template'!M222&amp; "|Operations - Core Title|Operations - Core Title")))</f>
        <v>|Operations - Core Title|Operations - Core Title</v>
      </c>
      <c r="AK222" s="35"/>
      <c r="AL222" s="117" t="str">
        <f>if('Ingest Template'!A222="Standard",(IF(OR('Ingest Template'!F222 = "Program Type - Special", 'Ingest Template'!F222 = "Program Type - Live Event"),'Ingest Template'!Q222&amp;"|"&amp;TEXT('Ingest Template'!C222-3, "yyyy-mm-dd")&amp;"|"&amp;TEXT('Ingest Template'!C222+3, "yyyy-mm-dd"),'Ingest Template'!Q222&amp; "|2021-01-01")),(IF(OR('Ingest Template'!F222 = "Program Type - Special", 'Ingest Template'!F222 = "Program Type - Live Event"),'Ingest Template'!Q222&amp; "|"&amp;TEXT('Ingest Template'!C222-3, "yyyy-mm-dd")&amp;"|"&amp;TEXT('Ingest Template'!C222+3, "yyyy-mm-dd"),'Ingest Template'!Q222)))</f>
        <v/>
      </c>
      <c r="AM222" s="35" t="str">
        <f>'Ingest Template'!AC222</f>
        <v/>
      </c>
    </row>
    <row r="223">
      <c r="A223" s="15"/>
      <c r="B223" s="22" t="str">
        <f>'Ingest Template'!C223&amp;IF('Ingest Template'!A223 = "Standard", " - DAR","")</f>
        <v/>
      </c>
      <c r="C223" s="22" t="s">
        <v>83</v>
      </c>
      <c r="D223" s="22" t="str">
        <f t="array" ref="D223">CONCATENATE(INDEX(DropdownLists!$H$2:$H$11,MATCH(1,COUNTIF('Ingest Template'!E223,"*"&amp;DropdownLists!$I$2:$I$11&amp;"*"),0)),CHAR(10),'Ingest Template'!F223,CHAR(10),'Ingest Template'!G223,CHAR(10),VLOOKUP('Ingest Template'!D223,DropdownLists!C:D,2,FALSE))</f>
        <v>#N/A</v>
      </c>
      <c r="E223" s="22" t="str">
        <f>CONCATENATE('Ingest Template'!H223,CHAR(10),'Ingest Template'!I223,CHAR(10),'Ingest Template'!J223,CHAR(10))</f>
        <v>
</v>
      </c>
      <c r="F223" s="35" t="str">
        <f t="array" ref="F223">INDEX(DropdownLists!$O$2:$O$36,MATCH(1,COUNTIF(E223,"*"&amp;DropdownLists!$N$2:$N$36&amp;"*"),0))</f>
        <v/>
      </c>
      <c r="G223" s="35"/>
      <c r="H223" s="22" t="str">
        <f t="array" ref="H223">INDEX(DropdownLists!$E$2:$E$276,MATCH('Ingest Template'!D223,DropdownLists!$C$2:$C$276,0))</f>
        <v>#N/A</v>
      </c>
      <c r="I223" s="22"/>
      <c r="J223" s="22" t="str">
        <f t="array" ref="J223">iF('Ingest Template'!A223="Standard","Pristine Brand",INDEX(DropdownLists!$B$2:$B$246,MATCH('Ingest Template'!D223,DropdownLists!$C$2:$C$246,0)))</f>
        <v>#N/A</v>
      </c>
      <c r="K223" s="22" t="str">
        <f>iF('Ingest Template'!A223="Standard",'Ingest Template'!K223&amp;CHAR(10)&amp;'Ingest Template'!L223,"Competitive View")</f>
        <v>Competitive View</v>
      </c>
      <c r="L223" s="22" t="s">
        <v>95</v>
      </c>
      <c r="M223" s="45" t="str">
        <f>'Ingest Template'!B223</f>
        <v/>
      </c>
      <c r="N223" s="35"/>
      <c r="O223" s="35"/>
      <c r="P223" s="35"/>
      <c r="Q223" s="35"/>
      <c r="R223" s="35" t="str">
        <f>'Ingest Template'!D223</f>
        <v/>
      </c>
      <c r="S223" s="22" t="s">
        <v>101</v>
      </c>
      <c r="T223" s="35" t="str">
        <f>'Ingest Template'!V223</f>
        <v/>
      </c>
      <c r="U223" s="35" t="str">
        <f>'Ingest Template'!W223</f>
        <v/>
      </c>
      <c r="V223" s="35" t="str">
        <f>LOWER(SUBSTITUTE(SUBSTITUTE(SUBSTITUTE(SUBSTITUTE(SUBSTITUTE('Ingest Template'!X223,"https:",""),"www.",""),"/",""),"?hl=en",""),"instagram.com",""))</f>
        <v/>
      </c>
      <c r="W223" s="74" t="str">
        <f t="array" ref="W223">IF(
'Ingest Template'!Y223="",
SUBSTITUTE(
INDEX(DropdownLists!$F$2:$F$277,MATCH('Ingest Template'!D223,DropdownLists!$C$2:$C$277,0)),
CHAR(10),
"|"&amp;'Ingest Template'!C223&amp;CHAR(10)
)&amp;"|"&amp;'Ingest Template'!C223,
SUBSTITUTE(
INDEX(DropdownLists!$F$2:$F$277,MATCH('Ingest Template'!D223,DropdownLists!$C$2:$C$277,0)),
CHAR(10),
"|"&amp;'Ingest Template'!C223&amp;CHAR(10)
)&amp;"|"&amp;'Ingest Template'!C223&amp;CHAR(10)&amp;'Ingest Template'!Y223
)</f>
        <v>#N/A</v>
      </c>
      <c r="X223" s="74" t="str">
        <f>'Ingest Template'!Z223</f>
        <v/>
      </c>
      <c r="Y223" s="35" t="str">
        <f>SUBSTITUTE(SUBSTITUTE(SUBSTITUTE('Ingest Template'!AA223,"http:",""),"https:",""),"/","")</f>
        <v/>
      </c>
      <c r="Z223" s="35" t="str">
        <f t="array" ref="Z223">IF('Ingest Template'!A223="Standard",(IF(ISBLANK('Ingest Template'!AB223),"", 'Ingest Template'!AB223&amp;"|DAR")),(IF(ISBLANK('Ingest Template'!AB223),"", 'Ingest Template'!AB223&amp;"|TV Ops")))</f>
        <v/>
      </c>
      <c r="AA223" s="35"/>
      <c r="AB223" s="35" t="str">
        <f>'Ingest Template'!R223</f>
        <v/>
      </c>
      <c r="AC223" s="35" t="str">
        <f>'Ingest Template'!T223</f>
        <v/>
      </c>
      <c r="AD223" s="35" t="str">
        <f>'Ingest Template'!S223</f>
        <v/>
      </c>
      <c r="AE223" s="35" t="str">
        <f>'Ingest Template'!U223</f>
        <v/>
      </c>
      <c r="AF223" s="22"/>
      <c r="AG223" s="35" t="str">
        <f t="array" ref="AG223">IF('Ingest Template'!A223="Standard",(CONCATENATE(IF(ISBLANK('Ingest Template'!N223),"", 'Ingest Template'!N223&amp;"|DAR"),CHAR(10), IF(ISBLANK('Ingest Template'!O223),"", 'Ingest Template'!O223&amp;"|DAR"),CHAR(10), IF(ISBLANK('Ingest Template'!P223),"", 'Ingest Template'!P223&amp;"|DAR"))),(CONCATENATE(IF(ISBLANK('Ingest Template'!N223),"", 'Ingest Template'!N223&amp;"|TV Ops"),CHAR(10), IF(ISBLANK('Ingest Template'!O223),"", 'Ingest Template'!O223&amp;"|TV Ops"),CHAR(10), IF(ISBLANK('Ingest Template'!P223),"", 'Ingest Template'!P223&amp;"|TV Ops"))))</f>
        <v>
</v>
      </c>
      <c r="AH223" s="35"/>
      <c r="AI223" s="35"/>
      <c r="AJ223" s="117" t="str">
        <f>if('Ingest Template'!A223="Standard",(IF(OR('Ingest Template'!F223 = "Program Type - Special", 'Ingest Template'!F223 = "Program Type - Live Event"),'Ingest Template'!M223&amp; "|DAR|DAR|"&amp;TEXT('Ingest Template'!C223-3, "yyyy-mm-dd")&amp;"|"&amp;TEXT('Ingest Template'!C223+3, "yyyy-mm-dd"),'Ingest Template'!M223&amp; "|DAR|DAR|2021-01-01")),(IF(OR('Ingest Template'!F223 = "Program Type - Special", 'Ingest Template'!F223 = "Program Type - Live Event"),'Ingest Template'!M223&amp; "|Operations - Core Title|Operations - Core Title|"&amp;TEXT('Ingest Template'!C223-3, "yyyy-mm-dd")&amp;"|"&amp;TEXT('Ingest Template'!C223+3, "yyyy-mm-dd"),'Ingest Template'!M223&amp; "|Operations - Core Title|Operations - Core Title")))</f>
        <v>|Operations - Core Title|Operations - Core Title</v>
      </c>
      <c r="AK223" s="35"/>
      <c r="AL223" s="117" t="str">
        <f>if('Ingest Template'!A223="Standard",(IF(OR('Ingest Template'!F223 = "Program Type - Special", 'Ingest Template'!F223 = "Program Type - Live Event"),'Ingest Template'!Q223&amp;"|"&amp;TEXT('Ingest Template'!C223-3, "yyyy-mm-dd")&amp;"|"&amp;TEXT('Ingest Template'!C223+3, "yyyy-mm-dd"),'Ingest Template'!Q223&amp; "|2021-01-01")),(IF(OR('Ingest Template'!F223 = "Program Type - Special", 'Ingest Template'!F223 = "Program Type - Live Event"),'Ingest Template'!Q223&amp; "|"&amp;TEXT('Ingest Template'!C223-3, "yyyy-mm-dd")&amp;"|"&amp;TEXT('Ingest Template'!C223+3, "yyyy-mm-dd"),'Ingest Template'!Q223)))</f>
        <v/>
      </c>
      <c r="AM223" s="35" t="str">
        <f>'Ingest Template'!AC223</f>
        <v/>
      </c>
    </row>
    <row r="224">
      <c r="A224" s="15"/>
      <c r="B224" s="22" t="str">
        <f>'Ingest Template'!C224&amp;IF('Ingest Template'!A224 = "Standard", " - DAR","")</f>
        <v/>
      </c>
      <c r="C224" s="22" t="s">
        <v>83</v>
      </c>
      <c r="D224" s="22" t="str">
        <f t="array" ref="D224">CONCATENATE(INDEX(DropdownLists!$H$2:$H$11,MATCH(1,COUNTIF('Ingest Template'!E224,"*"&amp;DropdownLists!$I$2:$I$11&amp;"*"),0)),CHAR(10),'Ingest Template'!F224,CHAR(10),'Ingest Template'!G224,CHAR(10),VLOOKUP('Ingest Template'!D224,DropdownLists!C:D,2,FALSE))</f>
        <v>#N/A</v>
      </c>
      <c r="E224" s="22" t="str">
        <f>CONCATENATE('Ingest Template'!H224,CHAR(10),'Ingest Template'!I224,CHAR(10),'Ingest Template'!J224,CHAR(10))</f>
        <v>
</v>
      </c>
      <c r="F224" s="35" t="str">
        <f t="array" ref="F224">INDEX(DropdownLists!$O$2:$O$36,MATCH(1,COUNTIF(E224,"*"&amp;DropdownLists!$N$2:$N$36&amp;"*"),0))</f>
        <v/>
      </c>
      <c r="G224" s="35"/>
      <c r="H224" s="22" t="str">
        <f t="array" ref="H224">INDEX(DropdownLists!$E$2:$E$276,MATCH('Ingest Template'!D224,DropdownLists!$C$2:$C$276,0))</f>
        <v>#N/A</v>
      </c>
      <c r="I224" s="22"/>
      <c r="J224" s="22" t="str">
        <f t="array" ref="J224">iF('Ingest Template'!A224="Standard","Pristine Brand",INDEX(DropdownLists!$B$2:$B$246,MATCH('Ingest Template'!D224,DropdownLists!$C$2:$C$246,0)))</f>
        <v>#N/A</v>
      </c>
      <c r="K224" s="22" t="str">
        <f>iF('Ingest Template'!A224="Standard",'Ingest Template'!K224&amp;CHAR(10)&amp;'Ingest Template'!L224,"Competitive View")</f>
        <v>Competitive View</v>
      </c>
      <c r="L224" s="22" t="s">
        <v>95</v>
      </c>
      <c r="M224" s="45" t="str">
        <f>'Ingest Template'!B224</f>
        <v/>
      </c>
      <c r="N224" s="35"/>
      <c r="O224" s="35"/>
      <c r="P224" s="35"/>
      <c r="Q224" s="35"/>
      <c r="R224" s="35" t="str">
        <f>'Ingest Template'!D224</f>
        <v/>
      </c>
      <c r="S224" s="22" t="s">
        <v>101</v>
      </c>
      <c r="T224" s="35" t="str">
        <f>'Ingest Template'!V224</f>
        <v/>
      </c>
      <c r="U224" s="35" t="str">
        <f>'Ingest Template'!W224</f>
        <v/>
      </c>
      <c r="V224" s="35" t="str">
        <f>LOWER(SUBSTITUTE(SUBSTITUTE(SUBSTITUTE(SUBSTITUTE(SUBSTITUTE('Ingest Template'!X224,"https:",""),"www.",""),"/",""),"?hl=en",""),"instagram.com",""))</f>
        <v/>
      </c>
      <c r="W224" s="74" t="str">
        <f t="array" ref="W224">IF(
'Ingest Template'!Y224="",
SUBSTITUTE(
INDEX(DropdownLists!$F$2:$F$277,MATCH('Ingest Template'!D224,DropdownLists!$C$2:$C$277,0)),
CHAR(10),
"|"&amp;'Ingest Template'!C224&amp;CHAR(10)
)&amp;"|"&amp;'Ingest Template'!C224,
SUBSTITUTE(
INDEX(DropdownLists!$F$2:$F$277,MATCH('Ingest Template'!D224,DropdownLists!$C$2:$C$277,0)),
CHAR(10),
"|"&amp;'Ingest Template'!C224&amp;CHAR(10)
)&amp;"|"&amp;'Ingest Template'!C224&amp;CHAR(10)&amp;'Ingest Template'!Y224
)</f>
        <v>#N/A</v>
      </c>
      <c r="X224" s="74" t="str">
        <f>'Ingest Template'!Z224</f>
        <v/>
      </c>
      <c r="Y224" s="35" t="str">
        <f>SUBSTITUTE(SUBSTITUTE(SUBSTITUTE('Ingest Template'!AA224,"http:",""),"https:",""),"/","")</f>
        <v/>
      </c>
      <c r="Z224" s="35" t="str">
        <f t="array" ref="Z224">IF('Ingest Template'!A224="Standard",(IF(ISBLANK('Ingest Template'!AB224),"", 'Ingest Template'!AB224&amp;"|DAR")),(IF(ISBLANK('Ingest Template'!AB224),"", 'Ingest Template'!AB224&amp;"|TV Ops")))</f>
        <v/>
      </c>
      <c r="AA224" s="35"/>
      <c r="AB224" s="35" t="str">
        <f>'Ingest Template'!R224</f>
        <v/>
      </c>
      <c r="AC224" s="35" t="str">
        <f>'Ingest Template'!T224</f>
        <v/>
      </c>
      <c r="AD224" s="35" t="str">
        <f>'Ingest Template'!S224</f>
        <v/>
      </c>
      <c r="AE224" s="35" t="str">
        <f>'Ingest Template'!U224</f>
        <v/>
      </c>
      <c r="AF224" s="22"/>
      <c r="AG224" s="35" t="str">
        <f t="array" ref="AG224">IF('Ingest Template'!A224="Standard",(CONCATENATE(IF(ISBLANK('Ingest Template'!N224),"", 'Ingest Template'!N224&amp;"|DAR"),CHAR(10), IF(ISBLANK('Ingest Template'!O224),"", 'Ingest Template'!O224&amp;"|DAR"),CHAR(10), IF(ISBLANK('Ingest Template'!P224),"", 'Ingest Template'!P224&amp;"|DAR"))),(CONCATENATE(IF(ISBLANK('Ingest Template'!N224),"", 'Ingest Template'!N224&amp;"|TV Ops"),CHAR(10), IF(ISBLANK('Ingest Template'!O224),"", 'Ingest Template'!O224&amp;"|TV Ops"),CHAR(10), IF(ISBLANK('Ingest Template'!P224),"", 'Ingest Template'!P224&amp;"|TV Ops"))))</f>
        <v>
</v>
      </c>
      <c r="AH224" s="35"/>
      <c r="AI224" s="35"/>
      <c r="AJ224" s="117" t="str">
        <f>if('Ingest Template'!A224="Standard",(IF(OR('Ingest Template'!F224 = "Program Type - Special", 'Ingest Template'!F224 = "Program Type - Live Event"),'Ingest Template'!M224&amp; "|DAR|DAR|"&amp;TEXT('Ingest Template'!C224-3, "yyyy-mm-dd")&amp;"|"&amp;TEXT('Ingest Template'!C224+3, "yyyy-mm-dd"),'Ingest Template'!M224&amp; "|DAR|DAR|2021-01-01")),(IF(OR('Ingest Template'!F224 = "Program Type - Special", 'Ingest Template'!F224 = "Program Type - Live Event"),'Ingest Template'!M224&amp; "|Operations - Core Title|Operations - Core Title|"&amp;TEXT('Ingest Template'!C224-3, "yyyy-mm-dd")&amp;"|"&amp;TEXT('Ingest Template'!C224+3, "yyyy-mm-dd"),'Ingest Template'!M224&amp; "|Operations - Core Title|Operations - Core Title")))</f>
        <v>|Operations - Core Title|Operations - Core Title</v>
      </c>
      <c r="AK224" s="35"/>
      <c r="AL224" s="117" t="str">
        <f>if('Ingest Template'!A224="Standard",(IF(OR('Ingest Template'!F224 = "Program Type - Special", 'Ingest Template'!F224 = "Program Type - Live Event"),'Ingest Template'!Q224&amp;"|"&amp;TEXT('Ingest Template'!C224-3, "yyyy-mm-dd")&amp;"|"&amp;TEXT('Ingest Template'!C224+3, "yyyy-mm-dd"),'Ingest Template'!Q224&amp; "|2021-01-01")),(IF(OR('Ingest Template'!F224 = "Program Type - Special", 'Ingest Template'!F224 = "Program Type - Live Event"),'Ingest Template'!Q224&amp; "|"&amp;TEXT('Ingest Template'!C224-3, "yyyy-mm-dd")&amp;"|"&amp;TEXT('Ingest Template'!C224+3, "yyyy-mm-dd"),'Ingest Template'!Q224)))</f>
        <v/>
      </c>
      <c r="AM224" s="35" t="str">
        <f>'Ingest Template'!AC224</f>
        <v/>
      </c>
    </row>
    <row r="225">
      <c r="A225" s="15"/>
      <c r="B225" s="22" t="str">
        <f>'Ingest Template'!C225&amp;IF('Ingest Template'!A225 = "Standard", " - DAR","")</f>
        <v/>
      </c>
      <c r="C225" s="22" t="s">
        <v>83</v>
      </c>
      <c r="D225" s="22" t="str">
        <f t="array" ref="D225">CONCATENATE(INDEX(DropdownLists!$H$2:$H$11,MATCH(1,COUNTIF('Ingest Template'!E225,"*"&amp;DropdownLists!$I$2:$I$11&amp;"*"),0)),CHAR(10),'Ingest Template'!F225,CHAR(10),'Ingest Template'!G225,CHAR(10),VLOOKUP('Ingest Template'!D225,DropdownLists!C:D,2,FALSE))</f>
        <v>#N/A</v>
      </c>
      <c r="E225" s="22" t="str">
        <f>CONCATENATE('Ingest Template'!H225,CHAR(10),'Ingest Template'!I225,CHAR(10),'Ingest Template'!J225,CHAR(10))</f>
        <v>
</v>
      </c>
      <c r="F225" s="35" t="str">
        <f t="array" ref="F225">INDEX(DropdownLists!$O$2:$O$36,MATCH(1,COUNTIF(E225,"*"&amp;DropdownLists!$N$2:$N$36&amp;"*"),0))</f>
        <v/>
      </c>
      <c r="G225" s="35"/>
      <c r="H225" s="22" t="str">
        <f t="array" ref="H225">INDEX(DropdownLists!$E$2:$E$276,MATCH('Ingest Template'!D225,DropdownLists!$C$2:$C$276,0))</f>
        <v>#N/A</v>
      </c>
      <c r="I225" s="22"/>
      <c r="J225" s="22" t="str">
        <f t="array" ref="J225">iF('Ingest Template'!A225="Standard","Pristine Brand",INDEX(DropdownLists!$B$2:$B$246,MATCH('Ingest Template'!D225,DropdownLists!$C$2:$C$246,0)))</f>
        <v>#N/A</v>
      </c>
      <c r="K225" s="22" t="str">
        <f>iF('Ingest Template'!A225="Standard",'Ingest Template'!K225&amp;CHAR(10)&amp;'Ingest Template'!L225,"Competitive View")</f>
        <v>Competitive View</v>
      </c>
      <c r="L225" s="22" t="s">
        <v>95</v>
      </c>
      <c r="M225" s="45" t="str">
        <f>'Ingest Template'!B225</f>
        <v/>
      </c>
      <c r="N225" s="35"/>
      <c r="O225" s="35"/>
      <c r="P225" s="35"/>
      <c r="Q225" s="35"/>
      <c r="R225" s="35" t="str">
        <f>'Ingest Template'!D225</f>
        <v/>
      </c>
      <c r="S225" s="22" t="s">
        <v>101</v>
      </c>
      <c r="T225" s="35" t="str">
        <f>'Ingest Template'!V225</f>
        <v/>
      </c>
      <c r="U225" s="35" t="str">
        <f>'Ingest Template'!W225</f>
        <v/>
      </c>
      <c r="V225" s="35" t="str">
        <f>LOWER(SUBSTITUTE(SUBSTITUTE(SUBSTITUTE(SUBSTITUTE(SUBSTITUTE('Ingest Template'!X225,"https:",""),"www.",""),"/",""),"?hl=en",""),"instagram.com",""))</f>
        <v/>
      </c>
      <c r="W225" s="74" t="str">
        <f t="array" ref="W225">IF(
'Ingest Template'!Y225="",
SUBSTITUTE(
INDEX(DropdownLists!$F$2:$F$277,MATCH('Ingest Template'!D225,DropdownLists!$C$2:$C$277,0)),
CHAR(10),
"|"&amp;'Ingest Template'!C225&amp;CHAR(10)
)&amp;"|"&amp;'Ingest Template'!C225,
SUBSTITUTE(
INDEX(DropdownLists!$F$2:$F$277,MATCH('Ingest Template'!D225,DropdownLists!$C$2:$C$277,0)),
CHAR(10),
"|"&amp;'Ingest Template'!C225&amp;CHAR(10)
)&amp;"|"&amp;'Ingest Template'!C225&amp;CHAR(10)&amp;'Ingest Template'!Y225
)</f>
        <v>#N/A</v>
      </c>
      <c r="X225" s="74" t="str">
        <f>'Ingest Template'!Z225</f>
        <v/>
      </c>
      <c r="Y225" s="35" t="str">
        <f>SUBSTITUTE(SUBSTITUTE(SUBSTITUTE('Ingest Template'!AA225,"http:",""),"https:",""),"/","")</f>
        <v/>
      </c>
      <c r="Z225" s="35" t="str">
        <f t="array" ref="Z225">IF('Ingest Template'!A225="Standard",(IF(ISBLANK('Ingest Template'!AB225),"", 'Ingest Template'!AB225&amp;"|DAR")),(IF(ISBLANK('Ingest Template'!AB225),"", 'Ingest Template'!AB225&amp;"|TV Ops")))</f>
        <v/>
      </c>
      <c r="AA225" s="35"/>
      <c r="AB225" s="35" t="str">
        <f>'Ingest Template'!R225</f>
        <v/>
      </c>
      <c r="AC225" s="35" t="str">
        <f>'Ingest Template'!T225</f>
        <v/>
      </c>
      <c r="AD225" s="35" t="str">
        <f>'Ingest Template'!S225</f>
        <v/>
      </c>
      <c r="AE225" s="35" t="str">
        <f>'Ingest Template'!U225</f>
        <v/>
      </c>
      <c r="AF225" s="22"/>
      <c r="AG225" s="35" t="str">
        <f t="array" ref="AG225">IF('Ingest Template'!A225="Standard",(CONCATENATE(IF(ISBLANK('Ingest Template'!N225),"", 'Ingest Template'!N225&amp;"|DAR"),CHAR(10), IF(ISBLANK('Ingest Template'!O225),"", 'Ingest Template'!O225&amp;"|DAR"),CHAR(10), IF(ISBLANK('Ingest Template'!P225),"", 'Ingest Template'!P225&amp;"|DAR"))),(CONCATENATE(IF(ISBLANK('Ingest Template'!N225),"", 'Ingest Template'!N225&amp;"|TV Ops"),CHAR(10), IF(ISBLANK('Ingest Template'!O225),"", 'Ingest Template'!O225&amp;"|TV Ops"),CHAR(10), IF(ISBLANK('Ingest Template'!P225),"", 'Ingest Template'!P225&amp;"|TV Ops"))))</f>
        <v>
</v>
      </c>
      <c r="AH225" s="35"/>
      <c r="AI225" s="35"/>
      <c r="AJ225" s="117" t="str">
        <f>if('Ingest Template'!A225="Standard",(IF(OR('Ingest Template'!F225 = "Program Type - Special", 'Ingest Template'!F225 = "Program Type - Live Event"),'Ingest Template'!M225&amp; "|DAR|DAR|"&amp;TEXT('Ingest Template'!C225-3, "yyyy-mm-dd")&amp;"|"&amp;TEXT('Ingest Template'!C225+3, "yyyy-mm-dd"),'Ingest Template'!M225&amp; "|DAR|DAR|2021-01-01")),(IF(OR('Ingest Template'!F225 = "Program Type - Special", 'Ingest Template'!F225 = "Program Type - Live Event"),'Ingest Template'!M225&amp; "|Operations - Core Title|Operations - Core Title|"&amp;TEXT('Ingest Template'!C225-3, "yyyy-mm-dd")&amp;"|"&amp;TEXT('Ingest Template'!C225+3, "yyyy-mm-dd"),'Ingest Template'!M225&amp; "|Operations - Core Title|Operations - Core Title")))</f>
        <v>|Operations - Core Title|Operations - Core Title</v>
      </c>
      <c r="AK225" s="35"/>
      <c r="AL225" s="117" t="str">
        <f>if('Ingest Template'!A225="Standard",(IF(OR('Ingest Template'!F225 = "Program Type - Special", 'Ingest Template'!F225 = "Program Type - Live Event"),'Ingest Template'!Q225&amp;"|"&amp;TEXT('Ingest Template'!C225-3, "yyyy-mm-dd")&amp;"|"&amp;TEXT('Ingest Template'!C225+3, "yyyy-mm-dd"),'Ingest Template'!Q225&amp; "|2021-01-01")),(IF(OR('Ingest Template'!F225 = "Program Type - Special", 'Ingest Template'!F225 = "Program Type - Live Event"),'Ingest Template'!Q225&amp; "|"&amp;TEXT('Ingest Template'!C225-3, "yyyy-mm-dd")&amp;"|"&amp;TEXT('Ingest Template'!C225+3, "yyyy-mm-dd"),'Ingest Template'!Q225)))</f>
        <v/>
      </c>
      <c r="AM225" s="35" t="str">
        <f>'Ingest Template'!AC225</f>
        <v/>
      </c>
    </row>
    <row r="226">
      <c r="A226" s="15"/>
      <c r="B226" s="22" t="str">
        <f>'Ingest Template'!C226&amp;IF('Ingest Template'!A226 = "Standard", " - DAR","")</f>
        <v/>
      </c>
      <c r="C226" s="22" t="s">
        <v>83</v>
      </c>
      <c r="D226" s="22" t="str">
        <f t="array" ref="D226">CONCATENATE(INDEX(DropdownLists!$H$2:$H$11,MATCH(1,COUNTIF('Ingest Template'!E226,"*"&amp;DropdownLists!$I$2:$I$11&amp;"*"),0)),CHAR(10),'Ingest Template'!F226,CHAR(10),'Ingest Template'!G226,CHAR(10),VLOOKUP('Ingest Template'!D226,DropdownLists!C:D,2,FALSE))</f>
        <v>#N/A</v>
      </c>
      <c r="E226" s="22" t="str">
        <f>CONCATENATE('Ingest Template'!H226,CHAR(10),'Ingest Template'!I226,CHAR(10),'Ingest Template'!J226,CHAR(10))</f>
        <v>
</v>
      </c>
      <c r="F226" s="35" t="str">
        <f t="array" ref="F226">INDEX(DropdownLists!$O$2:$O$36,MATCH(1,COUNTIF(E226,"*"&amp;DropdownLists!$N$2:$N$36&amp;"*"),0))</f>
        <v/>
      </c>
      <c r="G226" s="35"/>
      <c r="H226" s="22" t="str">
        <f t="array" ref="H226">INDEX(DropdownLists!$E$2:$E$276,MATCH('Ingest Template'!D226,DropdownLists!$C$2:$C$276,0))</f>
        <v>#N/A</v>
      </c>
      <c r="I226" s="22"/>
      <c r="J226" s="22" t="str">
        <f t="array" ref="J226">iF('Ingest Template'!A226="Standard","Pristine Brand",INDEX(DropdownLists!$B$2:$B$246,MATCH('Ingest Template'!D226,DropdownLists!$C$2:$C$246,0)))</f>
        <v>#N/A</v>
      </c>
      <c r="K226" s="22" t="str">
        <f>iF('Ingest Template'!A226="Standard",'Ingest Template'!K226&amp;CHAR(10)&amp;'Ingest Template'!L226,"Competitive View")</f>
        <v>Competitive View</v>
      </c>
      <c r="L226" s="22" t="s">
        <v>95</v>
      </c>
      <c r="M226" s="45" t="str">
        <f>'Ingest Template'!B226</f>
        <v/>
      </c>
      <c r="N226" s="35"/>
      <c r="O226" s="35"/>
      <c r="P226" s="35"/>
      <c r="Q226" s="35"/>
      <c r="R226" s="35" t="str">
        <f>'Ingest Template'!D226</f>
        <v/>
      </c>
      <c r="S226" s="22" t="s">
        <v>101</v>
      </c>
      <c r="T226" s="35" t="str">
        <f>'Ingest Template'!V226</f>
        <v/>
      </c>
      <c r="U226" s="35" t="str">
        <f>'Ingest Template'!W226</f>
        <v/>
      </c>
      <c r="V226" s="35" t="str">
        <f>LOWER(SUBSTITUTE(SUBSTITUTE(SUBSTITUTE(SUBSTITUTE(SUBSTITUTE('Ingest Template'!X226,"https:",""),"www.",""),"/",""),"?hl=en",""),"instagram.com",""))</f>
        <v/>
      </c>
      <c r="W226" s="74" t="str">
        <f t="array" ref="W226">IF(
'Ingest Template'!Y226="",
SUBSTITUTE(
INDEX(DropdownLists!$F$2:$F$277,MATCH('Ingest Template'!D226,DropdownLists!$C$2:$C$277,0)),
CHAR(10),
"|"&amp;'Ingest Template'!C226&amp;CHAR(10)
)&amp;"|"&amp;'Ingest Template'!C226,
SUBSTITUTE(
INDEX(DropdownLists!$F$2:$F$277,MATCH('Ingest Template'!D226,DropdownLists!$C$2:$C$277,0)),
CHAR(10),
"|"&amp;'Ingest Template'!C226&amp;CHAR(10)
)&amp;"|"&amp;'Ingest Template'!C226&amp;CHAR(10)&amp;'Ingest Template'!Y226
)</f>
        <v>#N/A</v>
      </c>
      <c r="X226" s="74" t="str">
        <f>'Ingest Template'!Z226</f>
        <v/>
      </c>
      <c r="Y226" s="35" t="str">
        <f>SUBSTITUTE(SUBSTITUTE(SUBSTITUTE('Ingest Template'!AA226,"http:",""),"https:",""),"/","")</f>
        <v/>
      </c>
      <c r="Z226" s="35" t="str">
        <f t="array" ref="Z226">IF('Ingest Template'!A226="Standard",(IF(ISBLANK('Ingest Template'!AB226),"", 'Ingest Template'!AB226&amp;"|DAR")),(IF(ISBLANK('Ingest Template'!AB226),"", 'Ingest Template'!AB226&amp;"|TV Ops")))</f>
        <v/>
      </c>
      <c r="AA226" s="35"/>
      <c r="AB226" s="35" t="str">
        <f>'Ingest Template'!R226</f>
        <v/>
      </c>
      <c r="AC226" s="35" t="str">
        <f>'Ingest Template'!T226</f>
        <v/>
      </c>
      <c r="AD226" s="35" t="str">
        <f>'Ingest Template'!S226</f>
        <v/>
      </c>
      <c r="AE226" s="35" t="str">
        <f>'Ingest Template'!U226</f>
        <v/>
      </c>
      <c r="AF226" s="22"/>
      <c r="AG226" s="35" t="str">
        <f t="array" ref="AG226">IF('Ingest Template'!A226="Standard",(CONCATENATE(IF(ISBLANK('Ingest Template'!N226),"", 'Ingest Template'!N226&amp;"|DAR"),CHAR(10), IF(ISBLANK('Ingest Template'!O226),"", 'Ingest Template'!O226&amp;"|DAR"),CHAR(10), IF(ISBLANK('Ingest Template'!P226),"", 'Ingest Template'!P226&amp;"|DAR"))),(CONCATENATE(IF(ISBLANK('Ingest Template'!N226),"", 'Ingest Template'!N226&amp;"|TV Ops"),CHAR(10), IF(ISBLANK('Ingest Template'!O226),"", 'Ingest Template'!O226&amp;"|TV Ops"),CHAR(10), IF(ISBLANK('Ingest Template'!P226),"", 'Ingest Template'!P226&amp;"|TV Ops"))))</f>
        <v>
</v>
      </c>
      <c r="AH226" s="35"/>
      <c r="AI226" s="35"/>
      <c r="AJ226" s="117" t="str">
        <f>if('Ingest Template'!A226="Standard",(IF(OR('Ingest Template'!F226 = "Program Type - Special", 'Ingest Template'!F226 = "Program Type - Live Event"),'Ingest Template'!M226&amp; "|DAR|DAR|"&amp;TEXT('Ingest Template'!C226-3, "yyyy-mm-dd")&amp;"|"&amp;TEXT('Ingest Template'!C226+3, "yyyy-mm-dd"),'Ingest Template'!M226&amp; "|DAR|DAR|2021-01-01")),(IF(OR('Ingest Template'!F226 = "Program Type - Special", 'Ingest Template'!F226 = "Program Type - Live Event"),'Ingest Template'!M226&amp; "|Operations - Core Title|Operations - Core Title|"&amp;TEXT('Ingest Template'!C226-3, "yyyy-mm-dd")&amp;"|"&amp;TEXT('Ingest Template'!C226+3, "yyyy-mm-dd"),'Ingest Template'!M226&amp; "|Operations - Core Title|Operations - Core Title")))</f>
        <v>|Operations - Core Title|Operations - Core Title</v>
      </c>
      <c r="AK226" s="35"/>
      <c r="AL226" s="117" t="str">
        <f>if('Ingest Template'!A226="Standard",(IF(OR('Ingest Template'!F226 = "Program Type - Special", 'Ingest Template'!F226 = "Program Type - Live Event"),'Ingest Template'!Q226&amp;"|"&amp;TEXT('Ingest Template'!C226-3, "yyyy-mm-dd")&amp;"|"&amp;TEXT('Ingest Template'!C226+3, "yyyy-mm-dd"),'Ingest Template'!Q226&amp; "|2021-01-01")),(IF(OR('Ingest Template'!F226 = "Program Type - Special", 'Ingest Template'!F226 = "Program Type - Live Event"),'Ingest Template'!Q226&amp; "|"&amp;TEXT('Ingest Template'!C226-3, "yyyy-mm-dd")&amp;"|"&amp;TEXT('Ingest Template'!C226+3, "yyyy-mm-dd"),'Ingest Template'!Q226)))</f>
        <v/>
      </c>
      <c r="AM226" s="35" t="str">
        <f>'Ingest Template'!AC226</f>
        <v/>
      </c>
    </row>
    <row r="227">
      <c r="A227" s="15"/>
      <c r="B227" s="22" t="str">
        <f>'Ingest Template'!C227&amp;IF('Ingest Template'!A227 = "Standard", " - DAR","")</f>
        <v/>
      </c>
      <c r="C227" s="22" t="s">
        <v>83</v>
      </c>
      <c r="D227" s="22" t="str">
        <f t="array" ref="D227">CONCATENATE(INDEX(DropdownLists!$H$2:$H$11,MATCH(1,COUNTIF('Ingest Template'!E227,"*"&amp;DropdownLists!$I$2:$I$11&amp;"*"),0)),CHAR(10),'Ingest Template'!F227,CHAR(10),'Ingest Template'!G227,CHAR(10),VLOOKUP('Ingest Template'!D227,DropdownLists!C:D,2,FALSE))</f>
        <v>#N/A</v>
      </c>
      <c r="E227" s="22" t="str">
        <f>CONCATENATE('Ingest Template'!H227,CHAR(10),'Ingest Template'!I227,CHAR(10),'Ingest Template'!J227,CHAR(10))</f>
        <v>
</v>
      </c>
      <c r="F227" s="35" t="str">
        <f t="array" ref="F227">INDEX(DropdownLists!$O$2:$O$36,MATCH(1,COUNTIF(E227,"*"&amp;DropdownLists!$N$2:$N$36&amp;"*"),0))</f>
        <v/>
      </c>
      <c r="G227" s="35"/>
      <c r="H227" s="22" t="str">
        <f t="array" ref="H227">INDEX(DropdownLists!$E$2:$E$276,MATCH('Ingest Template'!D227,DropdownLists!$C$2:$C$276,0))</f>
        <v>#N/A</v>
      </c>
      <c r="I227" s="22"/>
      <c r="J227" s="22" t="str">
        <f t="array" ref="J227">iF('Ingest Template'!A227="Standard","Pristine Brand",INDEX(DropdownLists!$B$2:$B$246,MATCH('Ingest Template'!D227,DropdownLists!$C$2:$C$246,0)))</f>
        <v>#N/A</v>
      </c>
      <c r="K227" s="22" t="str">
        <f>iF('Ingest Template'!A227="Standard",'Ingest Template'!K227&amp;CHAR(10)&amp;'Ingest Template'!L227,"Competitive View")</f>
        <v>Competitive View</v>
      </c>
      <c r="L227" s="22" t="s">
        <v>95</v>
      </c>
      <c r="M227" s="45" t="str">
        <f>'Ingest Template'!B227</f>
        <v/>
      </c>
      <c r="N227" s="35"/>
      <c r="O227" s="35"/>
      <c r="P227" s="35"/>
      <c r="Q227" s="35"/>
      <c r="R227" s="35" t="str">
        <f>'Ingest Template'!D227</f>
        <v/>
      </c>
      <c r="S227" s="22" t="s">
        <v>101</v>
      </c>
      <c r="T227" s="35" t="str">
        <f>'Ingest Template'!V227</f>
        <v/>
      </c>
      <c r="U227" s="35" t="str">
        <f>'Ingest Template'!W227</f>
        <v/>
      </c>
      <c r="V227" s="35" t="str">
        <f>LOWER(SUBSTITUTE(SUBSTITUTE(SUBSTITUTE(SUBSTITUTE(SUBSTITUTE('Ingest Template'!X227,"https:",""),"www.",""),"/",""),"?hl=en",""),"instagram.com",""))</f>
        <v/>
      </c>
      <c r="W227" s="74" t="str">
        <f t="array" ref="W227">IF(
'Ingest Template'!Y227="",
SUBSTITUTE(
INDEX(DropdownLists!$F$2:$F$277,MATCH('Ingest Template'!D227,DropdownLists!$C$2:$C$277,0)),
CHAR(10),
"|"&amp;'Ingest Template'!C227&amp;CHAR(10)
)&amp;"|"&amp;'Ingest Template'!C227,
SUBSTITUTE(
INDEX(DropdownLists!$F$2:$F$277,MATCH('Ingest Template'!D227,DropdownLists!$C$2:$C$277,0)),
CHAR(10),
"|"&amp;'Ingest Template'!C227&amp;CHAR(10)
)&amp;"|"&amp;'Ingest Template'!C227&amp;CHAR(10)&amp;'Ingest Template'!Y227
)</f>
        <v>#N/A</v>
      </c>
      <c r="X227" s="74" t="str">
        <f>'Ingest Template'!Z227</f>
        <v/>
      </c>
      <c r="Y227" s="35" t="str">
        <f>SUBSTITUTE(SUBSTITUTE(SUBSTITUTE('Ingest Template'!AA227,"http:",""),"https:",""),"/","")</f>
        <v/>
      </c>
      <c r="Z227" s="35" t="str">
        <f t="array" ref="Z227">IF('Ingest Template'!A227="Standard",(IF(ISBLANK('Ingest Template'!AB227),"", 'Ingest Template'!AB227&amp;"|DAR")),(IF(ISBLANK('Ingest Template'!AB227),"", 'Ingest Template'!AB227&amp;"|TV Ops")))</f>
        <v/>
      </c>
      <c r="AA227" s="35"/>
      <c r="AB227" s="35" t="str">
        <f>'Ingest Template'!R227</f>
        <v/>
      </c>
      <c r="AC227" s="35" t="str">
        <f>'Ingest Template'!T227</f>
        <v/>
      </c>
      <c r="AD227" s="35" t="str">
        <f>'Ingest Template'!S227</f>
        <v/>
      </c>
      <c r="AE227" s="35" t="str">
        <f>'Ingest Template'!U227</f>
        <v/>
      </c>
      <c r="AF227" s="22"/>
      <c r="AG227" s="35" t="str">
        <f t="array" ref="AG227">IF('Ingest Template'!A227="Standard",(CONCATENATE(IF(ISBLANK('Ingest Template'!N227),"", 'Ingest Template'!N227&amp;"|DAR"),CHAR(10), IF(ISBLANK('Ingest Template'!O227),"", 'Ingest Template'!O227&amp;"|DAR"),CHAR(10), IF(ISBLANK('Ingest Template'!P227),"", 'Ingest Template'!P227&amp;"|DAR"))),(CONCATENATE(IF(ISBLANK('Ingest Template'!N227),"", 'Ingest Template'!N227&amp;"|TV Ops"),CHAR(10), IF(ISBLANK('Ingest Template'!O227),"", 'Ingest Template'!O227&amp;"|TV Ops"),CHAR(10), IF(ISBLANK('Ingest Template'!P227),"", 'Ingest Template'!P227&amp;"|TV Ops"))))</f>
        <v>
</v>
      </c>
      <c r="AH227" s="35"/>
      <c r="AI227" s="35"/>
      <c r="AJ227" s="117" t="str">
        <f>if('Ingest Template'!A227="Standard",(IF(OR('Ingest Template'!F227 = "Program Type - Special", 'Ingest Template'!F227 = "Program Type - Live Event"),'Ingest Template'!M227&amp; "|DAR|DAR|"&amp;TEXT('Ingest Template'!C227-3, "yyyy-mm-dd")&amp;"|"&amp;TEXT('Ingest Template'!C227+3, "yyyy-mm-dd"),'Ingest Template'!M227&amp; "|DAR|DAR|2021-01-01")),(IF(OR('Ingest Template'!F227 = "Program Type - Special", 'Ingest Template'!F227 = "Program Type - Live Event"),'Ingest Template'!M227&amp; "|Operations - Core Title|Operations - Core Title|"&amp;TEXT('Ingest Template'!C227-3, "yyyy-mm-dd")&amp;"|"&amp;TEXT('Ingest Template'!C227+3, "yyyy-mm-dd"),'Ingest Template'!M227&amp; "|Operations - Core Title|Operations - Core Title")))</f>
        <v>|Operations - Core Title|Operations - Core Title</v>
      </c>
      <c r="AK227" s="35"/>
      <c r="AL227" s="117" t="str">
        <f>if('Ingest Template'!A227="Standard",(IF(OR('Ingest Template'!F227 = "Program Type - Special", 'Ingest Template'!F227 = "Program Type - Live Event"),'Ingest Template'!Q227&amp;"|"&amp;TEXT('Ingest Template'!C227-3, "yyyy-mm-dd")&amp;"|"&amp;TEXT('Ingest Template'!C227+3, "yyyy-mm-dd"),'Ingest Template'!Q227&amp; "|2021-01-01")),(IF(OR('Ingest Template'!F227 = "Program Type - Special", 'Ingest Template'!F227 = "Program Type - Live Event"),'Ingest Template'!Q227&amp; "|"&amp;TEXT('Ingest Template'!C227-3, "yyyy-mm-dd")&amp;"|"&amp;TEXT('Ingest Template'!C227+3, "yyyy-mm-dd"),'Ingest Template'!Q227)))</f>
        <v/>
      </c>
      <c r="AM227" s="35" t="str">
        <f>'Ingest Template'!AC227</f>
        <v/>
      </c>
    </row>
    <row r="228">
      <c r="A228" s="15"/>
      <c r="B228" s="22" t="str">
        <f>'Ingest Template'!C228&amp;IF('Ingest Template'!A228 = "Standard", " - DAR","")</f>
        <v/>
      </c>
      <c r="C228" s="22" t="s">
        <v>83</v>
      </c>
      <c r="D228" s="22" t="str">
        <f t="array" ref="D228">CONCATENATE(INDEX(DropdownLists!$H$2:$H$11,MATCH(1,COUNTIF('Ingest Template'!E228,"*"&amp;DropdownLists!$I$2:$I$11&amp;"*"),0)),CHAR(10),'Ingest Template'!F228,CHAR(10),'Ingest Template'!G228,CHAR(10),VLOOKUP('Ingest Template'!D228,DropdownLists!C:D,2,FALSE))</f>
        <v>#N/A</v>
      </c>
      <c r="E228" s="22" t="str">
        <f>CONCATENATE('Ingest Template'!H228,CHAR(10),'Ingest Template'!I228,CHAR(10),'Ingest Template'!J228,CHAR(10))</f>
        <v>
</v>
      </c>
      <c r="F228" s="35" t="str">
        <f t="array" ref="F228">INDEX(DropdownLists!$O$2:$O$36,MATCH(1,COUNTIF(E228,"*"&amp;DropdownLists!$N$2:$N$36&amp;"*"),0))</f>
        <v/>
      </c>
      <c r="G228" s="35"/>
      <c r="H228" s="22" t="str">
        <f t="array" ref="H228">INDEX(DropdownLists!$E$2:$E$276,MATCH('Ingest Template'!D228,DropdownLists!$C$2:$C$276,0))</f>
        <v>#N/A</v>
      </c>
      <c r="I228" s="22"/>
      <c r="J228" s="22" t="str">
        <f t="array" ref="J228">iF('Ingest Template'!A228="Standard","Pristine Brand",INDEX(DropdownLists!$B$2:$B$246,MATCH('Ingest Template'!D228,DropdownLists!$C$2:$C$246,0)))</f>
        <v>#N/A</v>
      </c>
      <c r="K228" s="22" t="str">
        <f>iF('Ingest Template'!A228="Standard",'Ingest Template'!K228&amp;CHAR(10)&amp;'Ingest Template'!L228,"Competitive View")</f>
        <v>Competitive View</v>
      </c>
      <c r="L228" s="22" t="s">
        <v>95</v>
      </c>
      <c r="M228" s="45" t="str">
        <f>'Ingest Template'!B228</f>
        <v/>
      </c>
      <c r="N228" s="35"/>
      <c r="O228" s="35"/>
      <c r="P228" s="35"/>
      <c r="Q228" s="35"/>
      <c r="R228" s="35" t="str">
        <f>'Ingest Template'!D228</f>
        <v/>
      </c>
      <c r="S228" s="22" t="s">
        <v>101</v>
      </c>
      <c r="T228" s="35" t="str">
        <f>'Ingest Template'!V228</f>
        <v/>
      </c>
      <c r="U228" s="35" t="str">
        <f>'Ingest Template'!W228</f>
        <v/>
      </c>
      <c r="V228" s="35" t="str">
        <f>LOWER(SUBSTITUTE(SUBSTITUTE(SUBSTITUTE(SUBSTITUTE(SUBSTITUTE('Ingest Template'!X228,"https:",""),"www.",""),"/",""),"?hl=en",""),"instagram.com",""))</f>
        <v/>
      </c>
      <c r="W228" s="74" t="str">
        <f t="array" ref="W228">IF(
'Ingest Template'!Y228="",
SUBSTITUTE(
INDEX(DropdownLists!$F$2:$F$277,MATCH('Ingest Template'!D228,DropdownLists!$C$2:$C$277,0)),
CHAR(10),
"|"&amp;'Ingest Template'!C228&amp;CHAR(10)
)&amp;"|"&amp;'Ingest Template'!C228,
SUBSTITUTE(
INDEX(DropdownLists!$F$2:$F$277,MATCH('Ingest Template'!D228,DropdownLists!$C$2:$C$277,0)),
CHAR(10),
"|"&amp;'Ingest Template'!C228&amp;CHAR(10)
)&amp;"|"&amp;'Ingest Template'!C228&amp;CHAR(10)&amp;'Ingest Template'!Y228
)</f>
        <v>#N/A</v>
      </c>
      <c r="X228" s="74" t="str">
        <f>'Ingest Template'!Z228</f>
        <v/>
      </c>
      <c r="Y228" s="35" t="str">
        <f>SUBSTITUTE(SUBSTITUTE(SUBSTITUTE('Ingest Template'!AA228,"http:",""),"https:",""),"/","")</f>
        <v/>
      </c>
      <c r="Z228" s="35" t="str">
        <f t="array" ref="Z228">IF('Ingest Template'!A228="Standard",(IF(ISBLANK('Ingest Template'!AB228),"", 'Ingest Template'!AB228&amp;"|DAR")),(IF(ISBLANK('Ingest Template'!AB228),"", 'Ingest Template'!AB228&amp;"|TV Ops")))</f>
        <v/>
      </c>
      <c r="AA228" s="35"/>
      <c r="AB228" s="35" t="str">
        <f>'Ingest Template'!R228</f>
        <v/>
      </c>
      <c r="AC228" s="35" t="str">
        <f>'Ingest Template'!T228</f>
        <v/>
      </c>
      <c r="AD228" s="35" t="str">
        <f>'Ingest Template'!S228</f>
        <v/>
      </c>
      <c r="AE228" s="35" t="str">
        <f>'Ingest Template'!U228</f>
        <v/>
      </c>
      <c r="AF228" s="22"/>
      <c r="AG228" s="35" t="str">
        <f t="array" ref="AG228">IF('Ingest Template'!A228="Standard",(CONCATENATE(IF(ISBLANK('Ingest Template'!N228),"", 'Ingest Template'!N228&amp;"|DAR"),CHAR(10), IF(ISBLANK('Ingest Template'!O228),"", 'Ingest Template'!O228&amp;"|DAR"),CHAR(10), IF(ISBLANK('Ingest Template'!P228),"", 'Ingest Template'!P228&amp;"|DAR"))),(CONCATENATE(IF(ISBLANK('Ingest Template'!N228),"", 'Ingest Template'!N228&amp;"|TV Ops"),CHAR(10), IF(ISBLANK('Ingest Template'!O228),"", 'Ingest Template'!O228&amp;"|TV Ops"),CHAR(10), IF(ISBLANK('Ingest Template'!P228),"", 'Ingest Template'!P228&amp;"|TV Ops"))))</f>
        <v>
</v>
      </c>
      <c r="AH228" s="35"/>
      <c r="AI228" s="35"/>
      <c r="AJ228" s="117" t="str">
        <f>if('Ingest Template'!A228="Standard",(IF(OR('Ingest Template'!F228 = "Program Type - Special", 'Ingest Template'!F228 = "Program Type - Live Event"),'Ingest Template'!M228&amp; "|DAR|DAR|"&amp;TEXT('Ingest Template'!C228-3, "yyyy-mm-dd")&amp;"|"&amp;TEXT('Ingest Template'!C228+3, "yyyy-mm-dd"),'Ingest Template'!M228&amp; "|DAR|DAR|2021-01-01")),(IF(OR('Ingest Template'!F228 = "Program Type - Special", 'Ingest Template'!F228 = "Program Type - Live Event"),'Ingest Template'!M228&amp; "|Operations - Core Title|Operations - Core Title|"&amp;TEXT('Ingest Template'!C228-3, "yyyy-mm-dd")&amp;"|"&amp;TEXT('Ingest Template'!C228+3, "yyyy-mm-dd"),'Ingest Template'!M228&amp; "|Operations - Core Title|Operations - Core Title")))</f>
        <v>|Operations - Core Title|Operations - Core Title</v>
      </c>
      <c r="AK228" s="35"/>
      <c r="AL228" s="117" t="str">
        <f>if('Ingest Template'!A228="Standard",(IF(OR('Ingest Template'!F228 = "Program Type - Special", 'Ingest Template'!F228 = "Program Type - Live Event"),'Ingest Template'!Q228&amp;"|"&amp;TEXT('Ingest Template'!C228-3, "yyyy-mm-dd")&amp;"|"&amp;TEXT('Ingest Template'!C228+3, "yyyy-mm-dd"),'Ingest Template'!Q228&amp; "|2021-01-01")),(IF(OR('Ingest Template'!F228 = "Program Type - Special", 'Ingest Template'!F228 = "Program Type - Live Event"),'Ingest Template'!Q228&amp; "|"&amp;TEXT('Ingest Template'!C228-3, "yyyy-mm-dd")&amp;"|"&amp;TEXT('Ingest Template'!C228+3, "yyyy-mm-dd"),'Ingest Template'!Q228)))</f>
        <v/>
      </c>
      <c r="AM228" s="35" t="str">
        <f>'Ingest Template'!AC228</f>
        <v/>
      </c>
    </row>
    <row r="229">
      <c r="A229" s="15"/>
      <c r="B229" s="22" t="str">
        <f>'Ingest Template'!C229&amp;IF('Ingest Template'!A229 = "Standard", " - DAR","")</f>
        <v/>
      </c>
      <c r="C229" s="22" t="s">
        <v>83</v>
      </c>
      <c r="D229" s="22" t="str">
        <f t="array" ref="D229">CONCATENATE(INDEX(DropdownLists!$H$2:$H$11,MATCH(1,COUNTIF('Ingest Template'!E229,"*"&amp;DropdownLists!$I$2:$I$11&amp;"*"),0)),CHAR(10),'Ingest Template'!F229,CHAR(10),'Ingest Template'!G229,CHAR(10),VLOOKUP('Ingest Template'!D229,DropdownLists!C:D,2,FALSE))</f>
        <v>#N/A</v>
      </c>
      <c r="E229" s="22" t="str">
        <f>CONCATENATE('Ingest Template'!H229,CHAR(10),'Ingest Template'!I229,CHAR(10),'Ingest Template'!J229,CHAR(10))</f>
        <v>
</v>
      </c>
      <c r="F229" s="35" t="str">
        <f t="array" ref="F229">INDEX(DropdownLists!$O$2:$O$36,MATCH(1,COUNTIF(E229,"*"&amp;DropdownLists!$N$2:$N$36&amp;"*"),0))</f>
        <v/>
      </c>
      <c r="G229" s="35"/>
      <c r="H229" s="22" t="str">
        <f t="array" ref="H229">INDEX(DropdownLists!$E$2:$E$276,MATCH('Ingest Template'!D229,DropdownLists!$C$2:$C$276,0))</f>
        <v>#N/A</v>
      </c>
      <c r="I229" s="22"/>
      <c r="J229" s="22" t="str">
        <f t="array" ref="J229">iF('Ingest Template'!A229="Standard","Pristine Brand",INDEX(DropdownLists!$B$2:$B$246,MATCH('Ingest Template'!D229,DropdownLists!$C$2:$C$246,0)))</f>
        <v>#N/A</v>
      </c>
      <c r="K229" s="22" t="str">
        <f>iF('Ingest Template'!A229="Standard",'Ingest Template'!K229&amp;CHAR(10)&amp;'Ingest Template'!L229,"Competitive View")</f>
        <v>Competitive View</v>
      </c>
      <c r="L229" s="22" t="s">
        <v>95</v>
      </c>
      <c r="M229" s="45" t="str">
        <f>'Ingest Template'!B229</f>
        <v/>
      </c>
      <c r="N229" s="35"/>
      <c r="O229" s="35"/>
      <c r="P229" s="35"/>
      <c r="Q229" s="35"/>
      <c r="R229" s="35" t="str">
        <f>'Ingest Template'!D229</f>
        <v/>
      </c>
      <c r="S229" s="22" t="s">
        <v>101</v>
      </c>
      <c r="T229" s="35" t="str">
        <f>'Ingest Template'!V229</f>
        <v/>
      </c>
      <c r="U229" s="35" t="str">
        <f>'Ingest Template'!W229</f>
        <v/>
      </c>
      <c r="V229" s="35" t="str">
        <f>LOWER(SUBSTITUTE(SUBSTITUTE(SUBSTITUTE(SUBSTITUTE(SUBSTITUTE('Ingest Template'!X229,"https:",""),"www.",""),"/",""),"?hl=en",""),"instagram.com",""))</f>
        <v/>
      </c>
      <c r="W229" s="74" t="str">
        <f t="array" ref="W229">IF(
'Ingest Template'!Y229="",
SUBSTITUTE(
INDEX(DropdownLists!$F$2:$F$277,MATCH('Ingest Template'!D229,DropdownLists!$C$2:$C$277,0)),
CHAR(10),
"|"&amp;'Ingest Template'!C229&amp;CHAR(10)
)&amp;"|"&amp;'Ingest Template'!C229,
SUBSTITUTE(
INDEX(DropdownLists!$F$2:$F$277,MATCH('Ingest Template'!D229,DropdownLists!$C$2:$C$277,0)),
CHAR(10),
"|"&amp;'Ingest Template'!C229&amp;CHAR(10)
)&amp;"|"&amp;'Ingest Template'!C229&amp;CHAR(10)&amp;'Ingest Template'!Y229
)</f>
        <v>#N/A</v>
      </c>
      <c r="X229" s="74" t="str">
        <f>'Ingest Template'!Z229</f>
        <v/>
      </c>
      <c r="Y229" s="35" t="str">
        <f>SUBSTITUTE(SUBSTITUTE(SUBSTITUTE('Ingest Template'!AA229,"http:",""),"https:",""),"/","")</f>
        <v/>
      </c>
      <c r="Z229" s="35" t="str">
        <f t="array" ref="Z229">IF('Ingest Template'!A229="Standard",(IF(ISBLANK('Ingest Template'!AB229),"", 'Ingest Template'!AB229&amp;"|DAR")),(IF(ISBLANK('Ingest Template'!AB229),"", 'Ingest Template'!AB229&amp;"|TV Ops")))</f>
        <v/>
      </c>
      <c r="AA229" s="35"/>
      <c r="AB229" s="35" t="str">
        <f>'Ingest Template'!R229</f>
        <v/>
      </c>
      <c r="AC229" s="35" t="str">
        <f>'Ingest Template'!T229</f>
        <v/>
      </c>
      <c r="AD229" s="35" t="str">
        <f>'Ingest Template'!S229</f>
        <v/>
      </c>
      <c r="AE229" s="35" t="str">
        <f>'Ingest Template'!U229</f>
        <v/>
      </c>
      <c r="AF229" s="22"/>
      <c r="AG229" s="35" t="str">
        <f t="array" ref="AG229">IF('Ingest Template'!A229="Standard",(CONCATENATE(IF(ISBLANK('Ingest Template'!N229),"", 'Ingest Template'!N229&amp;"|DAR"),CHAR(10), IF(ISBLANK('Ingest Template'!O229),"", 'Ingest Template'!O229&amp;"|DAR"),CHAR(10), IF(ISBLANK('Ingest Template'!P229),"", 'Ingest Template'!P229&amp;"|DAR"))),(CONCATENATE(IF(ISBLANK('Ingest Template'!N229),"", 'Ingest Template'!N229&amp;"|TV Ops"),CHAR(10), IF(ISBLANK('Ingest Template'!O229),"", 'Ingest Template'!O229&amp;"|TV Ops"),CHAR(10), IF(ISBLANK('Ingest Template'!P229),"", 'Ingest Template'!P229&amp;"|TV Ops"))))</f>
        <v>
</v>
      </c>
      <c r="AH229" s="35"/>
      <c r="AI229" s="35"/>
      <c r="AJ229" s="117" t="str">
        <f>if('Ingest Template'!A229="Standard",(IF(OR('Ingest Template'!F229 = "Program Type - Special", 'Ingest Template'!F229 = "Program Type - Live Event"),'Ingest Template'!M229&amp; "|DAR|DAR|"&amp;TEXT('Ingest Template'!C229-3, "yyyy-mm-dd")&amp;"|"&amp;TEXT('Ingest Template'!C229+3, "yyyy-mm-dd"),'Ingest Template'!M229&amp; "|DAR|DAR|2021-01-01")),(IF(OR('Ingest Template'!F229 = "Program Type - Special", 'Ingest Template'!F229 = "Program Type - Live Event"),'Ingest Template'!M229&amp; "|Operations - Core Title|Operations - Core Title|"&amp;TEXT('Ingest Template'!C229-3, "yyyy-mm-dd")&amp;"|"&amp;TEXT('Ingest Template'!C229+3, "yyyy-mm-dd"),'Ingest Template'!M229&amp; "|Operations - Core Title|Operations - Core Title")))</f>
        <v>|Operations - Core Title|Operations - Core Title</v>
      </c>
      <c r="AK229" s="35"/>
      <c r="AL229" s="117" t="str">
        <f>if('Ingest Template'!A229="Standard",(IF(OR('Ingest Template'!F229 = "Program Type - Special", 'Ingest Template'!F229 = "Program Type - Live Event"),'Ingest Template'!Q229&amp;"|"&amp;TEXT('Ingest Template'!C229-3, "yyyy-mm-dd")&amp;"|"&amp;TEXT('Ingest Template'!C229+3, "yyyy-mm-dd"),'Ingest Template'!Q229&amp; "|2021-01-01")),(IF(OR('Ingest Template'!F229 = "Program Type - Special", 'Ingest Template'!F229 = "Program Type - Live Event"),'Ingest Template'!Q229&amp; "|"&amp;TEXT('Ingest Template'!C229-3, "yyyy-mm-dd")&amp;"|"&amp;TEXT('Ingest Template'!C229+3, "yyyy-mm-dd"),'Ingest Template'!Q229)))</f>
        <v/>
      </c>
      <c r="AM229" s="35" t="str">
        <f>'Ingest Template'!AC229</f>
        <v/>
      </c>
    </row>
    <row r="230">
      <c r="A230" s="15"/>
      <c r="B230" s="22" t="str">
        <f>'Ingest Template'!C230&amp;IF('Ingest Template'!A230 = "Standard", " - DAR","")</f>
        <v/>
      </c>
      <c r="C230" s="22" t="s">
        <v>83</v>
      </c>
      <c r="D230" s="22" t="str">
        <f t="array" ref="D230">CONCATENATE(INDEX(DropdownLists!$H$2:$H$11,MATCH(1,COUNTIF('Ingest Template'!E230,"*"&amp;DropdownLists!$I$2:$I$11&amp;"*"),0)),CHAR(10),'Ingest Template'!F230,CHAR(10),'Ingest Template'!G230,CHAR(10),VLOOKUP('Ingest Template'!D230,DropdownLists!C:D,2,FALSE))</f>
        <v>#N/A</v>
      </c>
      <c r="E230" s="22" t="str">
        <f>CONCATENATE('Ingest Template'!H230,CHAR(10),'Ingest Template'!I230,CHAR(10),'Ingest Template'!J230,CHAR(10))</f>
        <v>
</v>
      </c>
      <c r="F230" s="35" t="str">
        <f t="array" ref="F230">INDEX(DropdownLists!$O$2:$O$36,MATCH(1,COUNTIF(E230,"*"&amp;DropdownLists!$N$2:$N$36&amp;"*"),0))</f>
        <v/>
      </c>
      <c r="G230" s="35"/>
      <c r="H230" s="22" t="str">
        <f t="array" ref="H230">INDEX(DropdownLists!$E$2:$E$276,MATCH('Ingest Template'!D230,DropdownLists!$C$2:$C$276,0))</f>
        <v>#N/A</v>
      </c>
      <c r="I230" s="22"/>
      <c r="J230" s="22" t="str">
        <f t="array" ref="J230">iF('Ingest Template'!A230="Standard","Pristine Brand",INDEX(DropdownLists!$B$2:$B$246,MATCH('Ingest Template'!D230,DropdownLists!$C$2:$C$246,0)))</f>
        <v>#N/A</v>
      </c>
      <c r="K230" s="22" t="str">
        <f>iF('Ingest Template'!A230="Standard",'Ingest Template'!K230&amp;CHAR(10)&amp;'Ingest Template'!L230,"Competitive View")</f>
        <v>Competitive View</v>
      </c>
      <c r="L230" s="22" t="s">
        <v>95</v>
      </c>
      <c r="M230" s="45" t="str">
        <f>'Ingest Template'!B230</f>
        <v/>
      </c>
      <c r="N230" s="35"/>
      <c r="O230" s="35"/>
      <c r="P230" s="35"/>
      <c r="Q230" s="35"/>
      <c r="R230" s="35" t="str">
        <f>'Ingest Template'!D230</f>
        <v/>
      </c>
      <c r="S230" s="22" t="s">
        <v>101</v>
      </c>
      <c r="T230" s="35" t="str">
        <f>'Ingest Template'!V230</f>
        <v/>
      </c>
      <c r="U230" s="35" t="str">
        <f>'Ingest Template'!W230</f>
        <v/>
      </c>
      <c r="V230" s="35" t="str">
        <f>LOWER(SUBSTITUTE(SUBSTITUTE(SUBSTITUTE(SUBSTITUTE(SUBSTITUTE('Ingest Template'!X230,"https:",""),"www.",""),"/",""),"?hl=en",""),"instagram.com",""))</f>
        <v/>
      </c>
      <c r="W230" s="74" t="str">
        <f t="array" ref="W230">IF(
'Ingest Template'!Y230="",
SUBSTITUTE(
INDEX(DropdownLists!$F$2:$F$277,MATCH('Ingest Template'!D230,DropdownLists!$C$2:$C$277,0)),
CHAR(10),
"|"&amp;'Ingest Template'!C230&amp;CHAR(10)
)&amp;"|"&amp;'Ingest Template'!C230,
SUBSTITUTE(
INDEX(DropdownLists!$F$2:$F$277,MATCH('Ingest Template'!D230,DropdownLists!$C$2:$C$277,0)),
CHAR(10),
"|"&amp;'Ingest Template'!C230&amp;CHAR(10)
)&amp;"|"&amp;'Ingest Template'!C230&amp;CHAR(10)&amp;'Ingest Template'!Y230
)</f>
        <v>#N/A</v>
      </c>
      <c r="X230" s="74" t="str">
        <f>'Ingest Template'!Z230</f>
        <v/>
      </c>
      <c r="Y230" s="35" t="str">
        <f>SUBSTITUTE(SUBSTITUTE(SUBSTITUTE('Ingest Template'!AA230,"http:",""),"https:",""),"/","")</f>
        <v/>
      </c>
      <c r="Z230" s="35" t="str">
        <f t="array" ref="Z230">IF('Ingest Template'!A230="Standard",(IF(ISBLANK('Ingest Template'!AB230),"", 'Ingest Template'!AB230&amp;"|DAR")),(IF(ISBLANK('Ingest Template'!AB230),"", 'Ingest Template'!AB230&amp;"|TV Ops")))</f>
        <v/>
      </c>
      <c r="AA230" s="35"/>
      <c r="AB230" s="35" t="str">
        <f>'Ingest Template'!R230</f>
        <v/>
      </c>
      <c r="AC230" s="35" t="str">
        <f>'Ingest Template'!T230</f>
        <v/>
      </c>
      <c r="AD230" s="35" t="str">
        <f>'Ingest Template'!S230</f>
        <v/>
      </c>
      <c r="AE230" s="35" t="str">
        <f>'Ingest Template'!U230</f>
        <v/>
      </c>
      <c r="AF230" s="22"/>
      <c r="AG230" s="35" t="str">
        <f t="array" ref="AG230">IF('Ingest Template'!A230="Standard",(CONCATENATE(IF(ISBLANK('Ingest Template'!N230),"", 'Ingest Template'!N230&amp;"|DAR"),CHAR(10), IF(ISBLANK('Ingest Template'!O230),"", 'Ingest Template'!O230&amp;"|DAR"),CHAR(10), IF(ISBLANK('Ingest Template'!P230),"", 'Ingest Template'!P230&amp;"|DAR"))),(CONCATENATE(IF(ISBLANK('Ingest Template'!N230),"", 'Ingest Template'!N230&amp;"|TV Ops"),CHAR(10), IF(ISBLANK('Ingest Template'!O230),"", 'Ingest Template'!O230&amp;"|TV Ops"),CHAR(10), IF(ISBLANK('Ingest Template'!P230),"", 'Ingest Template'!P230&amp;"|TV Ops"))))</f>
        <v>
</v>
      </c>
      <c r="AH230" s="35"/>
      <c r="AI230" s="35"/>
      <c r="AJ230" s="117" t="str">
        <f>if('Ingest Template'!A230="Standard",(IF(OR('Ingest Template'!F230 = "Program Type - Special", 'Ingest Template'!F230 = "Program Type - Live Event"),'Ingest Template'!M230&amp; "|DAR|DAR|"&amp;TEXT('Ingest Template'!C230-3, "yyyy-mm-dd")&amp;"|"&amp;TEXT('Ingest Template'!C230+3, "yyyy-mm-dd"),'Ingest Template'!M230&amp; "|DAR|DAR|2021-01-01")),(IF(OR('Ingest Template'!F230 = "Program Type - Special", 'Ingest Template'!F230 = "Program Type - Live Event"),'Ingest Template'!M230&amp; "|Operations - Core Title|Operations - Core Title|"&amp;TEXT('Ingest Template'!C230-3, "yyyy-mm-dd")&amp;"|"&amp;TEXT('Ingest Template'!C230+3, "yyyy-mm-dd"),'Ingest Template'!M230&amp; "|Operations - Core Title|Operations - Core Title")))</f>
        <v>|Operations - Core Title|Operations - Core Title</v>
      </c>
      <c r="AK230" s="35"/>
      <c r="AL230" s="117" t="str">
        <f>if('Ingest Template'!A230="Standard",(IF(OR('Ingest Template'!F230 = "Program Type - Special", 'Ingest Template'!F230 = "Program Type - Live Event"),'Ingest Template'!Q230&amp;"|"&amp;TEXT('Ingest Template'!C230-3, "yyyy-mm-dd")&amp;"|"&amp;TEXT('Ingest Template'!C230+3, "yyyy-mm-dd"),'Ingest Template'!Q230&amp; "|2021-01-01")),(IF(OR('Ingest Template'!F230 = "Program Type - Special", 'Ingest Template'!F230 = "Program Type - Live Event"),'Ingest Template'!Q230&amp; "|"&amp;TEXT('Ingest Template'!C230-3, "yyyy-mm-dd")&amp;"|"&amp;TEXT('Ingest Template'!C230+3, "yyyy-mm-dd"),'Ingest Template'!Q230)))</f>
        <v/>
      </c>
      <c r="AM230" s="35" t="str">
        <f>'Ingest Template'!AC230</f>
        <v/>
      </c>
    </row>
    <row r="231">
      <c r="A231" s="15"/>
      <c r="B231" s="22" t="str">
        <f>'Ingest Template'!C231&amp;IF('Ingest Template'!A231 = "Standard", " - DAR","")</f>
        <v/>
      </c>
      <c r="C231" s="22" t="s">
        <v>83</v>
      </c>
      <c r="D231" s="22" t="str">
        <f t="array" ref="D231">CONCATENATE(INDEX(DropdownLists!$H$2:$H$11,MATCH(1,COUNTIF('Ingest Template'!E231,"*"&amp;DropdownLists!$I$2:$I$11&amp;"*"),0)),CHAR(10),'Ingest Template'!F231,CHAR(10),'Ingest Template'!G231,CHAR(10),VLOOKUP('Ingest Template'!D231,DropdownLists!C:D,2,FALSE))</f>
        <v>#N/A</v>
      </c>
      <c r="E231" s="22" t="str">
        <f>CONCATENATE('Ingest Template'!H231,CHAR(10),'Ingest Template'!I231,CHAR(10),'Ingest Template'!J231,CHAR(10))</f>
        <v>
</v>
      </c>
      <c r="F231" s="35" t="str">
        <f t="array" ref="F231">INDEX(DropdownLists!$O$2:$O$36,MATCH(1,COUNTIF(E231,"*"&amp;DropdownLists!$N$2:$N$36&amp;"*"),0))</f>
        <v/>
      </c>
      <c r="G231" s="35"/>
      <c r="H231" s="22" t="str">
        <f t="array" ref="H231">INDEX(DropdownLists!$E$2:$E$276,MATCH('Ingest Template'!D231,DropdownLists!$C$2:$C$276,0))</f>
        <v>#N/A</v>
      </c>
      <c r="I231" s="22"/>
      <c r="J231" s="22" t="str">
        <f t="array" ref="J231">iF('Ingest Template'!A231="Standard","Pristine Brand",INDEX(DropdownLists!$B$2:$B$246,MATCH('Ingest Template'!D231,DropdownLists!$C$2:$C$246,0)))</f>
        <v>#N/A</v>
      </c>
      <c r="K231" s="22" t="str">
        <f>iF('Ingest Template'!A231="Standard",'Ingest Template'!K231&amp;CHAR(10)&amp;'Ingest Template'!L231,"Competitive View")</f>
        <v>Competitive View</v>
      </c>
      <c r="L231" s="22" t="s">
        <v>95</v>
      </c>
      <c r="M231" s="45" t="str">
        <f>'Ingest Template'!B231</f>
        <v/>
      </c>
      <c r="N231" s="35"/>
      <c r="O231" s="35"/>
      <c r="P231" s="35"/>
      <c r="Q231" s="35"/>
      <c r="R231" s="35" t="str">
        <f>'Ingest Template'!D231</f>
        <v/>
      </c>
      <c r="S231" s="22" t="s">
        <v>101</v>
      </c>
      <c r="T231" s="35" t="str">
        <f>'Ingest Template'!V231</f>
        <v/>
      </c>
      <c r="U231" s="35" t="str">
        <f>'Ingest Template'!W231</f>
        <v/>
      </c>
      <c r="V231" s="35" t="str">
        <f>LOWER(SUBSTITUTE(SUBSTITUTE(SUBSTITUTE(SUBSTITUTE(SUBSTITUTE('Ingest Template'!X231,"https:",""),"www.",""),"/",""),"?hl=en",""),"instagram.com",""))</f>
        <v/>
      </c>
      <c r="W231" s="74" t="str">
        <f t="array" ref="W231">IF(
'Ingest Template'!Y231="",
SUBSTITUTE(
INDEX(DropdownLists!$F$2:$F$277,MATCH('Ingest Template'!D231,DropdownLists!$C$2:$C$277,0)),
CHAR(10),
"|"&amp;'Ingest Template'!C231&amp;CHAR(10)
)&amp;"|"&amp;'Ingest Template'!C231,
SUBSTITUTE(
INDEX(DropdownLists!$F$2:$F$277,MATCH('Ingest Template'!D231,DropdownLists!$C$2:$C$277,0)),
CHAR(10),
"|"&amp;'Ingest Template'!C231&amp;CHAR(10)
)&amp;"|"&amp;'Ingest Template'!C231&amp;CHAR(10)&amp;'Ingest Template'!Y231
)</f>
        <v>#N/A</v>
      </c>
      <c r="X231" s="74" t="str">
        <f>'Ingest Template'!Z231</f>
        <v/>
      </c>
      <c r="Y231" s="35" t="str">
        <f>SUBSTITUTE(SUBSTITUTE(SUBSTITUTE('Ingest Template'!AA231,"http:",""),"https:",""),"/","")</f>
        <v/>
      </c>
      <c r="Z231" s="35" t="str">
        <f t="array" ref="Z231">IF('Ingest Template'!A231="Standard",(IF(ISBLANK('Ingest Template'!AB231),"", 'Ingest Template'!AB231&amp;"|DAR")),(IF(ISBLANK('Ingest Template'!AB231),"", 'Ingest Template'!AB231&amp;"|TV Ops")))</f>
        <v/>
      </c>
      <c r="AA231" s="35"/>
      <c r="AB231" s="35" t="str">
        <f>'Ingest Template'!R231</f>
        <v/>
      </c>
      <c r="AC231" s="35" t="str">
        <f>'Ingest Template'!T231</f>
        <v/>
      </c>
      <c r="AD231" s="35" t="str">
        <f>'Ingest Template'!S231</f>
        <v/>
      </c>
      <c r="AE231" s="35" t="str">
        <f>'Ingest Template'!U231</f>
        <v/>
      </c>
      <c r="AF231" s="22"/>
      <c r="AG231" s="35" t="str">
        <f t="array" ref="AG231">IF('Ingest Template'!A231="Standard",(CONCATENATE(IF(ISBLANK('Ingest Template'!N231),"", 'Ingest Template'!N231&amp;"|DAR"),CHAR(10), IF(ISBLANK('Ingest Template'!O231),"", 'Ingest Template'!O231&amp;"|DAR"),CHAR(10), IF(ISBLANK('Ingest Template'!P231),"", 'Ingest Template'!P231&amp;"|DAR"))),(CONCATENATE(IF(ISBLANK('Ingest Template'!N231),"", 'Ingest Template'!N231&amp;"|TV Ops"),CHAR(10), IF(ISBLANK('Ingest Template'!O231),"", 'Ingest Template'!O231&amp;"|TV Ops"),CHAR(10), IF(ISBLANK('Ingest Template'!P231),"", 'Ingest Template'!P231&amp;"|TV Ops"))))</f>
        <v>
</v>
      </c>
      <c r="AH231" s="35"/>
      <c r="AI231" s="35"/>
      <c r="AJ231" s="117" t="str">
        <f>if('Ingest Template'!A231="Standard",(IF(OR('Ingest Template'!F231 = "Program Type - Special", 'Ingest Template'!F231 = "Program Type - Live Event"),'Ingest Template'!M231&amp; "|DAR|DAR|"&amp;TEXT('Ingest Template'!C231-3, "yyyy-mm-dd")&amp;"|"&amp;TEXT('Ingest Template'!C231+3, "yyyy-mm-dd"),'Ingest Template'!M231&amp; "|DAR|DAR|2021-01-01")),(IF(OR('Ingest Template'!F231 = "Program Type - Special", 'Ingest Template'!F231 = "Program Type - Live Event"),'Ingest Template'!M231&amp; "|Operations - Core Title|Operations - Core Title|"&amp;TEXT('Ingest Template'!C231-3, "yyyy-mm-dd")&amp;"|"&amp;TEXT('Ingest Template'!C231+3, "yyyy-mm-dd"),'Ingest Template'!M231&amp; "|Operations - Core Title|Operations - Core Title")))</f>
        <v>|Operations - Core Title|Operations - Core Title</v>
      </c>
      <c r="AK231" s="35"/>
      <c r="AL231" s="117" t="str">
        <f>if('Ingest Template'!A231="Standard",(IF(OR('Ingest Template'!F231 = "Program Type - Special", 'Ingest Template'!F231 = "Program Type - Live Event"),'Ingest Template'!Q231&amp;"|"&amp;TEXT('Ingest Template'!C231-3, "yyyy-mm-dd")&amp;"|"&amp;TEXT('Ingest Template'!C231+3, "yyyy-mm-dd"),'Ingest Template'!Q231&amp; "|2021-01-01")),(IF(OR('Ingest Template'!F231 = "Program Type - Special", 'Ingest Template'!F231 = "Program Type - Live Event"),'Ingest Template'!Q231&amp; "|"&amp;TEXT('Ingest Template'!C231-3, "yyyy-mm-dd")&amp;"|"&amp;TEXT('Ingest Template'!C231+3, "yyyy-mm-dd"),'Ingest Template'!Q231)))</f>
        <v/>
      </c>
      <c r="AM231" s="35" t="str">
        <f>'Ingest Template'!AC231</f>
        <v/>
      </c>
    </row>
    <row r="232">
      <c r="A232" s="15"/>
      <c r="B232" s="22" t="str">
        <f>'Ingest Template'!C232&amp;IF('Ingest Template'!A232 = "Standard", " - DAR","")</f>
        <v/>
      </c>
      <c r="C232" s="22" t="s">
        <v>83</v>
      </c>
      <c r="D232" s="22" t="str">
        <f t="array" ref="D232">CONCATENATE(INDEX(DropdownLists!$H$2:$H$11,MATCH(1,COUNTIF('Ingest Template'!E232,"*"&amp;DropdownLists!$I$2:$I$11&amp;"*"),0)),CHAR(10),'Ingest Template'!F232,CHAR(10),'Ingest Template'!G232,CHAR(10),VLOOKUP('Ingest Template'!D232,DropdownLists!C:D,2,FALSE))</f>
        <v>#N/A</v>
      </c>
      <c r="E232" s="22" t="str">
        <f>CONCATENATE('Ingest Template'!H232,CHAR(10),'Ingest Template'!I232,CHAR(10),'Ingest Template'!J232,CHAR(10))</f>
        <v>
</v>
      </c>
      <c r="F232" s="35" t="str">
        <f t="array" ref="F232">INDEX(DropdownLists!$O$2:$O$36,MATCH(1,COUNTIF(E232,"*"&amp;DropdownLists!$N$2:$N$36&amp;"*"),0))</f>
        <v/>
      </c>
      <c r="G232" s="35"/>
      <c r="H232" s="22" t="str">
        <f t="array" ref="H232">INDEX(DropdownLists!$E$2:$E$276,MATCH('Ingest Template'!D232,DropdownLists!$C$2:$C$276,0))</f>
        <v>#N/A</v>
      </c>
      <c r="I232" s="22"/>
      <c r="J232" s="22" t="str">
        <f t="array" ref="J232">iF('Ingest Template'!A232="Standard","Pristine Brand",INDEX(DropdownLists!$B$2:$B$246,MATCH('Ingest Template'!D232,DropdownLists!$C$2:$C$246,0)))</f>
        <v>#N/A</v>
      </c>
      <c r="K232" s="22" t="str">
        <f>iF('Ingest Template'!A232="Standard",'Ingest Template'!K232&amp;CHAR(10)&amp;'Ingest Template'!L232,"Competitive View")</f>
        <v>Competitive View</v>
      </c>
      <c r="L232" s="22" t="s">
        <v>95</v>
      </c>
      <c r="M232" s="45" t="str">
        <f>'Ingest Template'!B232</f>
        <v/>
      </c>
      <c r="N232" s="35"/>
      <c r="O232" s="35"/>
      <c r="P232" s="35"/>
      <c r="Q232" s="35"/>
      <c r="R232" s="35" t="str">
        <f>'Ingest Template'!D232</f>
        <v/>
      </c>
      <c r="S232" s="22" t="s">
        <v>101</v>
      </c>
      <c r="T232" s="35" t="str">
        <f>'Ingest Template'!V232</f>
        <v/>
      </c>
      <c r="U232" s="35" t="str">
        <f>'Ingest Template'!W232</f>
        <v/>
      </c>
      <c r="V232" s="35" t="str">
        <f>LOWER(SUBSTITUTE(SUBSTITUTE(SUBSTITUTE(SUBSTITUTE(SUBSTITUTE('Ingest Template'!X232,"https:",""),"www.",""),"/",""),"?hl=en",""),"instagram.com",""))</f>
        <v/>
      </c>
      <c r="W232" s="74" t="str">
        <f t="array" ref="W232">IF(
'Ingest Template'!Y232="",
SUBSTITUTE(
INDEX(DropdownLists!$F$2:$F$277,MATCH('Ingest Template'!D232,DropdownLists!$C$2:$C$277,0)),
CHAR(10),
"|"&amp;'Ingest Template'!C232&amp;CHAR(10)
)&amp;"|"&amp;'Ingest Template'!C232,
SUBSTITUTE(
INDEX(DropdownLists!$F$2:$F$277,MATCH('Ingest Template'!D232,DropdownLists!$C$2:$C$277,0)),
CHAR(10),
"|"&amp;'Ingest Template'!C232&amp;CHAR(10)
)&amp;"|"&amp;'Ingest Template'!C232&amp;CHAR(10)&amp;'Ingest Template'!Y232
)</f>
        <v>#N/A</v>
      </c>
      <c r="X232" s="74" t="str">
        <f>'Ingest Template'!Z232</f>
        <v/>
      </c>
      <c r="Y232" s="35" t="str">
        <f>SUBSTITUTE(SUBSTITUTE(SUBSTITUTE('Ingest Template'!AA232,"http:",""),"https:",""),"/","")</f>
        <v/>
      </c>
      <c r="Z232" s="35" t="str">
        <f t="array" ref="Z232">IF('Ingest Template'!A232="Standard",(IF(ISBLANK('Ingest Template'!AB232),"", 'Ingest Template'!AB232&amp;"|DAR")),(IF(ISBLANK('Ingest Template'!AB232),"", 'Ingest Template'!AB232&amp;"|TV Ops")))</f>
        <v/>
      </c>
      <c r="AA232" s="35"/>
      <c r="AB232" s="35" t="str">
        <f>'Ingest Template'!R232</f>
        <v/>
      </c>
      <c r="AC232" s="35" t="str">
        <f>'Ingest Template'!T232</f>
        <v/>
      </c>
      <c r="AD232" s="35" t="str">
        <f>'Ingest Template'!S232</f>
        <v/>
      </c>
      <c r="AE232" s="35" t="str">
        <f>'Ingest Template'!U232</f>
        <v/>
      </c>
      <c r="AF232" s="22"/>
      <c r="AG232" s="35" t="str">
        <f t="array" ref="AG232">IF('Ingest Template'!A232="Standard",(CONCATENATE(IF(ISBLANK('Ingest Template'!N232),"", 'Ingest Template'!N232&amp;"|DAR"),CHAR(10), IF(ISBLANK('Ingest Template'!O232),"", 'Ingest Template'!O232&amp;"|DAR"),CHAR(10), IF(ISBLANK('Ingest Template'!P232),"", 'Ingest Template'!P232&amp;"|DAR"))),(CONCATENATE(IF(ISBLANK('Ingest Template'!N232),"", 'Ingest Template'!N232&amp;"|TV Ops"),CHAR(10), IF(ISBLANK('Ingest Template'!O232),"", 'Ingest Template'!O232&amp;"|TV Ops"),CHAR(10), IF(ISBLANK('Ingest Template'!P232),"", 'Ingest Template'!P232&amp;"|TV Ops"))))</f>
        <v>
</v>
      </c>
      <c r="AH232" s="35"/>
      <c r="AI232" s="35"/>
      <c r="AJ232" s="117" t="str">
        <f>if('Ingest Template'!A232="Standard",(IF(OR('Ingest Template'!F232 = "Program Type - Special", 'Ingest Template'!F232 = "Program Type - Live Event"),'Ingest Template'!M232&amp; "|DAR|DAR|"&amp;TEXT('Ingest Template'!C232-3, "yyyy-mm-dd")&amp;"|"&amp;TEXT('Ingest Template'!C232+3, "yyyy-mm-dd"),'Ingest Template'!M232&amp; "|DAR|DAR|2021-01-01")),(IF(OR('Ingest Template'!F232 = "Program Type - Special", 'Ingest Template'!F232 = "Program Type - Live Event"),'Ingest Template'!M232&amp; "|Operations - Core Title|Operations - Core Title|"&amp;TEXT('Ingest Template'!C232-3, "yyyy-mm-dd")&amp;"|"&amp;TEXT('Ingest Template'!C232+3, "yyyy-mm-dd"),'Ingest Template'!M232&amp; "|Operations - Core Title|Operations - Core Title")))</f>
        <v>|Operations - Core Title|Operations - Core Title</v>
      </c>
      <c r="AK232" s="35"/>
      <c r="AL232" s="117" t="str">
        <f>if('Ingest Template'!A232="Standard",(IF(OR('Ingest Template'!F232 = "Program Type - Special", 'Ingest Template'!F232 = "Program Type - Live Event"),'Ingest Template'!Q232&amp;"|"&amp;TEXT('Ingest Template'!C232-3, "yyyy-mm-dd")&amp;"|"&amp;TEXT('Ingest Template'!C232+3, "yyyy-mm-dd"),'Ingest Template'!Q232&amp; "|2021-01-01")),(IF(OR('Ingest Template'!F232 = "Program Type - Special", 'Ingest Template'!F232 = "Program Type - Live Event"),'Ingest Template'!Q232&amp; "|"&amp;TEXT('Ingest Template'!C232-3, "yyyy-mm-dd")&amp;"|"&amp;TEXT('Ingest Template'!C232+3, "yyyy-mm-dd"),'Ingest Template'!Q232)))</f>
        <v/>
      </c>
      <c r="AM232" s="35" t="str">
        <f>'Ingest Template'!AC232</f>
        <v/>
      </c>
    </row>
    <row r="233">
      <c r="A233" s="15"/>
      <c r="B233" s="22" t="str">
        <f>'Ingest Template'!C233&amp;IF('Ingest Template'!A233 = "Standard", " - DAR","")</f>
        <v/>
      </c>
      <c r="C233" s="22" t="s">
        <v>83</v>
      </c>
      <c r="D233" s="22" t="str">
        <f t="array" ref="D233">CONCATENATE(INDEX(DropdownLists!$H$2:$H$11,MATCH(1,COUNTIF('Ingest Template'!E233,"*"&amp;DropdownLists!$I$2:$I$11&amp;"*"),0)),CHAR(10),'Ingest Template'!F233,CHAR(10),'Ingest Template'!G233,CHAR(10),VLOOKUP('Ingest Template'!D233,DropdownLists!C:D,2,FALSE))</f>
        <v>#N/A</v>
      </c>
      <c r="E233" s="22" t="str">
        <f>CONCATENATE('Ingest Template'!H233,CHAR(10),'Ingest Template'!I233,CHAR(10),'Ingest Template'!J233,CHAR(10))</f>
        <v>
</v>
      </c>
      <c r="F233" s="35" t="str">
        <f t="array" ref="F233">INDEX(DropdownLists!$O$2:$O$36,MATCH(1,COUNTIF(E233,"*"&amp;DropdownLists!$N$2:$N$36&amp;"*"),0))</f>
        <v/>
      </c>
      <c r="G233" s="35"/>
      <c r="H233" s="22" t="str">
        <f t="array" ref="H233">INDEX(DropdownLists!$E$2:$E$276,MATCH('Ingest Template'!D233,DropdownLists!$C$2:$C$276,0))</f>
        <v>#N/A</v>
      </c>
      <c r="I233" s="22"/>
      <c r="J233" s="22" t="str">
        <f t="array" ref="J233">iF('Ingest Template'!A233="Standard","Pristine Brand",INDEX(DropdownLists!$B$2:$B$246,MATCH('Ingest Template'!D233,DropdownLists!$C$2:$C$246,0)))</f>
        <v>#N/A</v>
      </c>
      <c r="K233" s="22" t="str">
        <f>iF('Ingest Template'!A233="Standard",'Ingest Template'!K233&amp;CHAR(10)&amp;'Ingest Template'!L233,"Competitive View")</f>
        <v>Competitive View</v>
      </c>
      <c r="L233" s="22" t="s">
        <v>95</v>
      </c>
      <c r="M233" s="45" t="str">
        <f>'Ingest Template'!B233</f>
        <v/>
      </c>
      <c r="N233" s="35"/>
      <c r="O233" s="35"/>
      <c r="P233" s="35"/>
      <c r="Q233" s="35"/>
      <c r="R233" s="35" t="str">
        <f>'Ingest Template'!D233</f>
        <v/>
      </c>
      <c r="S233" s="22" t="s">
        <v>101</v>
      </c>
      <c r="T233" s="35" t="str">
        <f>'Ingest Template'!V233</f>
        <v/>
      </c>
      <c r="U233" s="35" t="str">
        <f>'Ingest Template'!W233</f>
        <v/>
      </c>
      <c r="V233" s="35" t="str">
        <f>LOWER(SUBSTITUTE(SUBSTITUTE(SUBSTITUTE(SUBSTITUTE(SUBSTITUTE('Ingest Template'!X233,"https:",""),"www.",""),"/",""),"?hl=en",""),"instagram.com",""))</f>
        <v/>
      </c>
      <c r="W233" s="74" t="str">
        <f t="array" ref="W233">IF(
'Ingest Template'!Y233="",
SUBSTITUTE(
INDEX(DropdownLists!$F$2:$F$277,MATCH('Ingest Template'!D233,DropdownLists!$C$2:$C$277,0)),
CHAR(10),
"|"&amp;'Ingest Template'!C233&amp;CHAR(10)
)&amp;"|"&amp;'Ingest Template'!C233,
SUBSTITUTE(
INDEX(DropdownLists!$F$2:$F$277,MATCH('Ingest Template'!D233,DropdownLists!$C$2:$C$277,0)),
CHAR(10),
"|"&amp;'Ingest Template'!C233&amp;CHAR(10)
)&amp;"|"&amp;'Ingest Template'!C233&amp;CHAR(10)&amp;'Ingest Template'!Y233
)</f>
        <v>#N/A</v>
      </c>
      <c r="X233" s="74" t="str">
        <f>'Ingest Template'!Z233</f>
        <v/>
      </c>
      <c r="Y233" s="35" t="str">
        <f>SUBSTITUTE(SUBSTITUTE(SUBSTITUTE('Ingest Template'!AA233,"http:",""),"https:",""),"/","")</f>
        <v/>
      </c>
      <c r="Z233" s="35" t="str">
        <f t="array" ref="Z233">IF('Ingest Template'!A233="Standard",(IF(ISBLANK('Ingest Template'!AB233),"", 'Ingest Template'!AB233&amp;"|DAR")),(IF(ISBLANK('Ingest Template'!AB233),"", 'Ingest Template'!AB233&amp;"|TV Ops")))</f>
        <v/>
      </c>
      <c r="AA233" s="35"/>
      <c r="AB233" s="35" t="str">
        <f>'Ingest Template'!R233</f>
        <v/>
      </c>
      <c r="AC233" s="35" t="str">
        <f>'Ingest Template'!T233</f>
        <v/>
      </c>
      <c r="AD233" s="35" t="str">
        <f>'Ingest Template'!S233</f>
        <v/>
      </c>
      <c r="AE233" s="35" t="str">
        <f>'Ingest Template'!U233</f>
        <v/>
      </c>
      <c r="AF233" s="22"/>
      <c r="AG233" s="35" t="str">
        <f t="array" ref="AG233">IF('Ingest Template'!A233="Standard",(CONCATENATE(IF(ISBLANK('Ingest Template'!N233),"", 'Ingest Template'!N233&amp;"|DAR"),CHAR(10), IF(ISBLANK('Ingest Template'!O233),"", 'Ingest Template'!O233&amp;"|DAR"),CHAR(10), IF(ISBLANK('Ingest Template'!P233),"", 'Ingest Template'!P233&amp;"|DAR"))),(CONCATENATE(IF(ISBLANK('Ingest Template'!N233),"", 'Ingest Template'!N233&amp;"|TV Ops"),CHAR(10), IF(ISBLANK('Ingest Template'!O233),"", 'Ingest Template'!O233&amp;"|TV Ops"),CHAR(10), IF(ISBLANK('Ingest Template'!P233),"", 'Ingest Template'!P233&amp;"|TV Ops"))))</f>
        <v>
</v>
      </c>
      <c r="AH233" s="35"/>
      <c r="AI233" s="35"/>
      <c r="AJ233" s="117" t="str">
        <f>if('Ingest Template'!A233="Standard",(IF(OR('Ingest Template'!F233 = "Program Type - Special", 'Ingest Template'!F233 = "Program Type - Live Event"),'Ingest Template'!M233&amp; "|DAR|DAR|"&amp;TEXT('Ingest Template'!C233-3, "yyyy-mm-dd")&amp;"|"&amp;TEXT('Ingest Template'!C233+3, "yyyy-mm-dd"),'Ingest Template'!M233&amp; "|DAR|DAR|2021-01-01")),(IF(OR('Ingest Template'!F233 = "Program Type - Special", 'Ingest Template'!F233 = "Program Type - Live Event"),'Ingest Template'!M233&amp; "|Operations - Core Title|Operations - Core Title|"&amp;TEXT('Ingest Template'!C233-3, "yyyy-mm-dd")&amp;"|"&amp;TEXT('Ingest Template'!C233+3, "yyyy-mm-dd"),'Ingest Template'!M233&amp; "|Operations - Core Title|Operations - Core Title")))</f>
        <v>|Operations - Core Title|Operations - Core Title</v>
      </c>
      <c r="AK233" s="35"/>
      <c r="AL233" s="117" t="str">
        <f>if('Ingest Template'!A233="Standard",(IF(OR('Ingest Template'!F233 = "Program Type - Special", 'Ingest Template'!F233 = "Program Type - Live Event"),'Ingest Template'!Q233&amp;"|"&amp;TEXT('Ingest Template'!C233-3, "yyyy-mm-dd")&amp;"|"&amp;TEXT('Ingest Template'!C233+3, "yyyy-mm-dd"),'Ingest Template'!Q233&amp; "|2021-01-01")),(IF(OR('Ingest Template'!F233 = "Program Type - Special", 'Ingest Template'!F233 = "Program Type - Live Event"),'Ingest Template'!Q233&amp; "|"&amp;TEXT('Ingest Template'!C233-3, "yyyy-mm-dd")&amp;"|"&amp;TEXT('Ingest Template'!C233+3, "yyyy-mm-dd"),'Ingest Template'!Q233)))</f>
        <v/>
      </c>
      <c r="AM233" s="35" t="str">
        <f>'Ingest Template'!AC233</f>
        <v/>
      </c>
    </row>
    <row r="234">
      <c r="A234" s="15"/>
      <c r="B234" s="22" t="str">
        <f>'Ingest Template'!C234&amp;IF('Ingest Template'!A234 = "Standard", " - DAR","")</f>
        <v/>
      </c>
      <c r="C234" s="22" t="s">
        <v>83</v>
      </c>
      <c r="D234" s="22" t="str">
        <f t="array" ref="D234">CONCATENATE(INDEX(DropdownLists!$H$2:$H$11,MATCH(1,COUNTIF('Ingest Template'!E234,"*"&amp;DropdownLists!$I$2:$I$11&amp;"*"),0)),CHAR(10),'Ingest Template'!F234,CHAR(10),'Ingest Template'!G234,CHAR(10),VLOOKUP('Ingest Template'!D234,DropdownLists!C:D,2,FALSE))</f>
        <v>#N/A</v>
      </c>
      <c r="E234" s="22" t="str">
        <f>CONCATENATE('Ingest Template'!H234,CHAR(10),'Ingest Template'!I234,CHAR(10),'Ingest Template'!J234,CHAR(10))</f>
        <v>
</v>
      </c>
      <c r="F234" s="35" t="str">
        <f t="array" ref="F234">INDEX(DropdownLists!$O$2:$O$36,MATCH(1,COUNTIF(E234,"*"&amp;DropdownLists!$N$2:$N$36&amp;"*"),0))</f>
        <v/>
      </c>
      <c r="G234" s="35"/>
      <c r="H234" s="22" t="str">
        <f t="array" ref="H234">INDEX(DropdownLists!$E$2:$E$276,MATCH('Ingest Template'!D234,DropdownLists!$C$2:$C$276,0))</f>
        <v>#N/A</v>
      </c>
      <c r="I234" s="22"/>
      <c r="J234" s="22" t="str">
        <f t="array" ref="J234">iF('Ingest Template'!A234="Standard","Pristine Brand",INDEX(DropdownLists!$B$2:$B$246,MATCH('Ingest Template'!D234,DropdownLists!$C$2:$C$246,0)))</f>
        <v>#N/A</v>
      </c>
      <c r="K234" s="22" t="str">
        <f>iF('Ingest Template'!A234="Standard",'Ingest Template'!K234&amp;CHAR(10)&amp;'Ingest Template'!L234,"Competitive View")</f>
        <v>Competitive View</v>
      </c>
      <c r="L234" s="22" t="s">
        <v>95</v>
      </c>
      <c r="M234" s="45" t="str">
        <f>'Ingest Template'!B234</f>
        <v/>
      </c>
      <c r="N234" s="35"/>
      <c r="O234" s="35"/>
      <c r="P234" s="35"/>
      <c r="Q234" s="35"/>
      <c r="R234" s="35" t="str">
        <f>'Ingest Template'!D234</f>
        <v/>
      </c>
      <c r="S234" s="22" t="s">
        <v>101</v>
      </c>
      <c r="T234" s="35" t="str">
        <f>'Ingest Template'!V234</f>
        <v/>
      </c>
      <c r="U234" s="35" t="str">
        <f>'Ingest Template'!W234</f>
        <v/>
      </c>
      <c r="V234" s="35" t="str">
        <f>LOWER(SUBSTITUTE(SUBSTITUTE(SUBSTITUTE(SUBSTITUTE(SUBSTITUTE('Ingest Template'!X234,"https:",""),"www.",""),"/",""),"?hl=en",""),"instagram.com",""))</f>
        <v/>
      </c>
      <c r="W234" s="74" t="str">
        <f t="array" ref="W234">IF(
'Ingest Template'!Y234="",
SUBSTITUTE(
INDEX(DropdownLists!$F$2:$F$277,MATCH('Ingest Template'!D234,DropdownLists!$C$2:$C$277,0)),
CHAR(10),
"|"&amp;'Ingest Template'!C234&amp;CHAR(10)
)&amp;"|"&amp;'Ingest Template'!C234,
SUBSTITUTE(
INDEX(DropdownLists!$F$2:$F$277,MATCH('Ingest Template'!D234,DropdownLists!$C$2:$C$277,0)),
CHAR(10),
"|"&amp;'Ingest Template'!C234&amp;CHAR(10)
)&amp;"|"&amp;'Ingest Template'!C234&amp;CHAR(10)&amp;'Ingest Template'!Y234
)</f>
        <v>#N/A</v>
      </c>
      <c r="X234" s="74" t="str">
        <f>'Ingest Template'!Z234</f>
        <v/>
      </c>
      <c r="Y234" s="35" t="str">
        <f>SUBSTITUTE(SUBSTITUTE(SUBSTITUTE('Ingest Template'!AA234,"http:",""),"https:",""),"/","")</f>
        <v/>
      </c>
      <c r="Z234" s="35" t="str">
        <f t="array" ref="Z234">IF('Ingest Template'!A234="Standard",(IF(ISBLANK('Ingest Template'!AB234),"", 'Ingest Template'!AB234&amp;"|DAR")),(IF(ISBLANK('Ingest Template'!AB234),"", 'Ingest Template'!AB234&amp;"|TV Ops")))</f>
        <v/>
      </c>
      <c r="AA234" s="35"/>
      <c r="AB234" s="35" t="str">
        <f>'Ingest Template'!R234</f>
        <v/>
      </c>
      <c r="AC234" s="35" t="str">
        <f>'Ingest Template'!T234</f>
        <v/>
      </c>
      <c r="AD234" s="35" t="str">
        <f>'Ingest Template'!S234</f>
        <v/>
      </c>
      <c r="AE234" s="35" t="str">
        <f>'Ingest Template'!U234</f>
        <v/>
      </c>
      <c r="AF234" s="22"/>
      <c r="AG234" s="35" t="str">
        <f t="array" ref="AG234">IF('Ingest Template'!A234="Standard",(CONCATENATE(IF(ISBLANK('Ingest Template'!N234),"", 'Ingest Template'!N234&amp;"|DAR"),CHAR(10), IF(ISBLANK('Ingest Template'!O234),"", 'Ingest Template'!O234&amp;"|DAR"),CHAR(10), IF(ISBLANK('Ingest Template'!P234),"", 'Ingest Template'!P234&amp;"|DAR"))),(CONCATENATE(IF(ISBLANK('Ingest Template'!N234),"", 'Ingest Template'!N234&amp;"|TV Ops"),CHAR(10), IF(ISBLANK('Ingest Template'!O234),"", 'Ingest Template'!O234&amp;"|TV Ops"),CHAR(10), IF(ISBLANK('Ingest Template'!P234),"", 'Ingest Template'!P234&amp;"|TV Ops"))))</f>
        <v>
</v>
      </c>
      <c r="AH234" s="35"/>
      <c r="AI234" s="35"/>
      <c r="AJ234" s="117" t="str">
        <f>if('Ingest Template'!A234="Standard",(IF(OR('Ingest Template'!F234 = "Program Type - Special", 'Ingest Template'!F234 = "Program Type - Live Event"),'Ingest Template'!M234&amp; "|DAR|DAR|"&amp;TEXT('Ingest Template'!C234-3, "yyyy-mm-dd")&amp;"|"&amp;TEXT('Ingest Template'!C234+3, "yyyy-mm-dd"),'Ingest Template'!M234&amp; "|DAR|DAR|2021-01-01")),(IF(OR('Ingest Template'!F234 = "Program Type - Special", 'Ingest Template'!F234 = "Program Type - Live Event"),'Ingest Template'!M234&amp; "|Operations - Core Title|Operations - Core Title|"&amp;TEXT('Ingest Template'!C234-3, "yyyy-mm-dd")&amp;"|"&amp;TEXT('Ingest Template'!C234+3, "yyyy-mm-dd"),'Ingest Template'!M234&amp; "|Operations - Core Title|Operations - Core Title")))</f>
        <v>|Operations - Core Title|Operations - Core Title</v>
      </c>
      <c r="AK234" s="35"/>
      <c r="AL234" s="117" t="str">
        <f>if('Ingest Template'!A234="Standard",(IF(OR('Ingest Template'!F234 = "Program Type - Special", 'Ingest Template'!F234 = "Program Type - Live Event"),'Ingest Template'!Q234&amp;"|"&amp;TEXT('Ingest Template'!C234-3, "yyyy-mm-dd")&amp;"|"&amp;TEXT('Ingest Template'!C234+3, "yyyy-mm-dd"),'Ingest Template'!Q234&amp; "|2021-01-01")),(IF(OR('Ingest Template'!F234 = "Program Type - Special", 'Ingest Template'!F234 = "Program Type - Live Event"),'Ingest Template'!Q234&amp; "|"&amp;TEXT('Ingest Template'!C234-3, "yyyy-mm-dd")&amp;"|"&amp;TEXT('Ingest Template'!C234+3, "yyyy-mm-dd"),'Ingest Template'!Q234)))</f>
        <v/>
      </c>
      <c r="AM234" s="35" t="str">
        <f>'Ingest Template'!AC234</f>
        <v/>
      </c>
    </row>
    <row r="235">
      <c r="A235" s="15"/>
      <c r="B235" s="22" t="str">
        <f>'Ingest Template'!C235&amp;IF('Ingest Template'!A235 = "Standard", " - DAR","")</f>
        <v/>
      </c>
      <c r="C235" s="22" t="s">
        <v>83</v>
      </c>
      <c r="D235" s="22" t="str">
        <f t="array" ref="D235">CONCATENATE(INDEX(DropdownLists!$H$2:$H$11,MATCH(1,COUNTIF('Ingest Template'!E235,"*"&amp;DropdownLists!$I$2:$I$11&amp;"*"),0)),CHAR(10),'Ingest Template'!F235,CHAR(10),'Ingest Template'!G235,CHAR(10),VLOOKUP('Ingest Template'!D235,DropdownLists!C:D,2,FALSE))</f>
        <v>#N/A</v>
      </c>
      <c r="E235" s="22" t="str">
        <f>CONCATENATE('Ingest Template'!H235,CHAR(10),'Ingest Template'!I235,CHAR(10),'Ingest Template'!J235,CHAR(10))</f>
        <v>
</v>
      </c>
      <c r="F235" s="35" t="str">
        <f t="array" ref="F235">INDEX(DropdownLists!$O$2:$O$36,MATCH(1,COUNTIF(E235,"*"&amp;DropdownLists!$N$2:$N$36&amp;"*"),0))</f>
        <v/>
      </c>
      <c r="G235" s="35"/>
      <c r="H235" s="22" t="str">
        <f t="array" ref="H235">INDEX(DropdownLists!$E$2:$E$276,MATCH('Ingest Template'!D235,DropdownLists!$C$2:$C$276,0))</f>
        <v>#N/A</v>
      </c>
      <c r="I235" s="22"/>
      <c r="J235" s="22" t="str">
        <f t="array" ref="J235">iF('Ingest Template'!A235="Standard","Pristine Brand",INDEX(DropdownLists!$B$2:$B$246,MATCH('Ingest Template'!D235,DropdownLists!$C$2:$C$246,0)))</f>
        <v>#N/A</v>
      </c>
      <c r="K235" s="22" t="str">
        <f>iF('Ingest Template'!A235="Standard",'Ingest Template'!K235&amp;CHAR(10)&amp;'Ingest Template'!L235,"Competitive View")</f>
        <v>Competitive View</v>
      </c>
      <c r="L235" s="22" t="s">
        <v>95</v>
      </c>
      <c r="M235" s="45" t="str">
        <f>'Ingest Template'!B235</f>
        <v/>
      </c>
      <c r="N235" s="35"/>
      <c r="O235" s="35"/>
      <c r="P235" s="35"/>
      <c r="Q235" s="35"/>
      <c r="R235" s="35" t="str">
        <f>'Ingest Template'!D235</f>
        <v/>
      </c>
      <c r="S235" s="22" t="s">
        <v>101</v>
      </c>
      <c r="T235" s="35" t="str">
        <f>'Ingest Template'!V235</f>
        <v/>
      </c>
      <c r="U235" s="35" t="str">
        <f>'Ingest Template'!W235</f>
        <v/>
      </c>
      <c r="V235" s="35" t="str">
        <f>LOWER(SUBSTITUTE(SUBSTITUTE(SUBSTITUTE(SUBSTITUTE(SUBSTITUTE('Ingest Template'!X235,"https:",""),"www.",""),"/",""),"?hl=en",""),"instagram.com",""))</f>
        <v/>
      </c>
      <c r="W235" s="74" t="str">
        <f t="array" ref="W235">IF(
'Ingest Template'!Y235="",
SUBSTITUTE(
INDEX(DropdownLists!$F$2:$F$277,MATCH('Ingest Template'!D235,DropdownLists!$C$2:$C$277,0)),
CHAR(10),
"|"&amp;'Ingest Template'!C235&amp;CHAR(10)
)&amp;"|"&amp;'Ingest Template'!C235,
SUBSTITUTE(
INDEX(DropdownLists!$F$2:$F$277,MATCH('Ingest Template'!D235,DropdownLists!$C$2:$C$277,0)),
CHAR(10),
"|"&amp;'Ingest Template'!C235&amp;CHAR(10)
)&amp;"|"&amp;'Ingest Template'!C235&amp;CHAR(10)&amp;'Ingest Template'!Y235
)</f>
        <v>#N/A</v>
      </c>
      <c r="X235" s="74" t="str">
        <f>'Ingest Template'!Z235</f>
        <v/>
      </c>
      <c r="Y235" s="35" t="str">
        <f>SUBSTITUTE(SUBSTITUTE(SUBSTITUTE('Ingest Template'!AA235,"http:",""),"https:",""),"/","")</f>
        <v/>
      </c>
      <c r="Z235" s="35" t="str">
        <f t="array" ref="Z235">IF('Ingest Template'!A235="Standard",(IF(ISBLANK('Ingest Template'!AB235),"", 'Ingest Template'!AB235&amp;"|DAR")),(IF(ISBLANK('Ingest Template'!AB235),"", 'Ingest Template'!AB235&amp;"|TV Ops")))</f>
        <v/>
      </c>
      <c r="AA235" s="35"/>
      <c r="AB235" s="35" t="str">
        <f>'Ingest Template'!R235</f>
        <v/>
      </c>
      <c r="AC235" s="35" t="str">
        <f>'Ingest Template'!T235</f>
        <v/>
      </c>
      <c r="AD235" s="35" t="str">
        <f>'Ingest Template'!S235</f>
        <v/>
      </c>
      <c r="AE235" s="35" t="str">
        <f>'Ingest Template'!U235</f>
        <v/>
      </c>
      <c r="AF235" s="22"/>
      <c r="AG235" s="35" t="str">
        <f t="array" ref="AG235">IF('Ingest Template'!A235="Standard",(CONCATENATE(IF(ISBLANK('Ingest Template'!N235),"", 'Ingest Template'!N235&amp;"|DAR"),CHAR(10), IF(ISBLANK('Ingest Template'!O235),"", 'Ingest Template'!O235&amp;"|DAR"),CHAR(10), IF(ISBLANK('Ingest Template'!P235),"", 'Ingest Template'!P235&amp;"|DAR"))),(CONCATENATE(IF(ISBLANK('Ingest Template'!N235),"", 'Ingest Template'!N235&amp;"|TV Ops"),CHAR(10), IF(ISBLANK('Ingest Template'!O235),"", 'Ingest Template'!O235&amp;"|TV Ops"),CHAR(10), IF(ISBLANK('Ingest Template'!P235),"", 'Ingest Template'!P235&amp;"|TV Ops"))))</f>
        <v>
</v>
      </c>
      <c r="AH235" s="35"/>
      <c r="AI235" s="35"/>
      <c r="AJ235" s="117" t="str">
        <f>if('Ingest Template'!A235="Standard",(IF(OR('Ingest Template'!F235 = "Program Type - Special", 'Ingest Template'!F235 = "Program Type - Live Event"),'Ingest Template'!M235&amp; "|DAR|DAR|"&amp;TEXT('Ingest Template'!C235-3, "yyyy-mm-dd")&amp;"|"&amp;TEXT('Ingest Template'!C235+3, "yyyy-mm-dd"),'Ingest Template'!M235&amp; "|DAR|DAR|2021-01-01")),(IF(OR('Ingest Template'!F235 = "Program Type - Special", 'Ingest Template'!F235 = "Program Type - Live Event"),'Ingest Template'!M235&amp; "|Operations - Core Title|Operations - Core Title|"&amp;TEXT('Ingest Template'!C235-3, "yyyy-mm-dd")&amp;"|"&amp;TEXT('Ingest Template'!C235+3, "yyyy-mm-dd"),'Ingest Template'!M235&amp; "|Operations - Core Title|Operations - Core Title")))</f>
        <v>|Operations - Core Title|Operations - Core Title</v>
      </c>
      <c r="AK235" s="35"/>
      <c r="AL235" s="117" t="str">
        <f>if('Ingest Template'!A235="Standard",(IF(OR('Ingest Template'!F235 = "Program Type - Special", 'Ingest Template'!F235 = "Program Type - Live Event"),'Ingest Template'!Q235&amp;"|"&amp;TEXT('Ingest Template'!C235-3, "yyyy-mm-dd")&amp;"|"&amp;TEXT('Ingest Template'!C235+3, "yyyy-mm-dd"),'Ingest Template'!Q235&amp; "|2021-01-01")),(IF(OR('Ingest Template'!F235 = "Program Type - Special", 'Ingest Template'!F235 = "Program Type - Live Event"),'Ingest Template'!Q235&amp; "|"&amp;TEXT('Ingest Template'!C235-3, "yyyy-mm-dd")&amp;"|"&amp;TEXT('Ingest Template'!C235+3, "yyyy-mm-dd"),'Ingest Template'!Q235)))</f>
        <v/>
      </c>
      <c r="AM235" s="35" t="str">
        <f>'Ingest Template'!AC235</f>
        <v/>
      </c>
    </row>
    <row r="236">
      <c r="A236" s="15"/>
      <c r="B236" s="22" t="str">
        <f>'Ingest Template'!C236&amp;IF('Ingest Template'!A236 = "Standard", " - DAR","")</f>
        <v/>
      </c>
      <c r="C236" s="22" t="s">
        <v>83</v>
      </c>
      <c r="D236" s="22" t="str">
        <f t="array" ref="D236">CONCATENATE(INDEX(DropdownLists!$H$2:$H$11,MATCH(1,COUNTIF('Ingest Template'!E236,"*"&amp;DropdownLists!$I$2:$I$11&amp;"*"),0)),CHAR(10),'Ingest Template'!F236,CHAR(10),'Ingest Template'!G236,CHAR(10),VLOOKUP('Ingest Template'!D236,DropdownLists!C:D,2,FALSE))</f>
        <v>#N/A</v>
      </c>
      <c r="E236" s="22" t="str">
        <f>CONCATENATE('Ingest Template'!H236,CHAR(10),'Ingest Template'!I236,CHAR(10),'Ingest Template'!J236,CHAR(10))</f>
        <v>
</v>
      </c>
      <c r="F236" s="35" t="str">
        <f t="array" ref="F236">INDEX(DropdownLists!$O$2:$O$36,MATCH(1,COUNTIF(E236,"*"&amp;DropdownLists!$N$2:$N$36&amp;"*"),0))</f>
        <v/>
      </c>
      <c r="G236" s="35"/>
      <c r="H236" s="22" t="str">
        <f t="array" ref="H236">INDEX(DropdownLists!$E$2:$E$276,MATCH('Ingest Template'!D236,DropdownLists!$C$2:$C$276,0))</f>
        <v>#N/A</v>
      </c>
      <c r="I236" s="22"/>
      <c r="J236" s="22" t="str">
        <f t="array" ref="J236">iF('Ingest Template'!A236="Standard","Pristine Brand",INDEX(DropdownLists!$B$2:$B$246,MATCH('Ingest Template'!D236,DropdownLists!$C$2:$C$246,0)))</f>
        <v>#N/A</v>
      </c>
      <c r="K236" s="22" t="str">
        <f>iF('Ingest Template'!A236="Standard",'Ingest Template'!K236&amp;CHAR(10)&amp;'Ingest Template'!L236,"Competitive View")</f>
        <v>Competitive View</v>
      </c>
      <c r="L236" s="22" t="s">
        <v>95</v>
      </c>
      <c r="M236" s="45" t="str">
        <f>'Ingest Template'!B236</f>
        <v/>
      </c>
      <c r="N236" s="35"/>
      <c r="O236" s="35"/>
      <c r="P236" s="35"/>
      <c r="Q236" s="35"/>
      <c r="R236" s="35" t="str">
        <f>'Ingest Template'!D236</f>
        <v/>
      </c>
      <c r="S236" s="22" t="s">
        <v>101</v>
      </c>
      <c r="T236" s="35" t="str">
        <f>'Ingest Template'!V236</f>
        <v/>
      </c>
      <c r="U236" s="35" t="str">
        <f>'Ingest Template'!W236</f>
        <v/>
      </c>
      <c r="V236" s="35" t="str">
        <f>LOWER(SUBSTITUTE(SUBSTITUTE(SUBSTITUTE(SUBSTITUTE(SUBSTITUTE('Ingest Template'!X236,"https:",""),"www.",""),"/",""),"?hl=en",""),"instagram.com",""))</f>
        <v/>
      </c>
      <c r="W236" s="74" t="str">
        <f t="array" ref="W236">IF(
'Ingest Template'!Y236="",
SUBSTITUTE(
INDEX(DropdownLists!$F$2:$F$277,MATCH('Ingest Template'!D236,DropdownLists!$C$2:$C$277,0)),
CHAR(10),
"|"&amp;'Ingest Template'!C236&amp;CHAR(10)
)&amp;"|"&amp;'Ingest Template'!C236,
SUBSTITUTE(
INDEX(DropdownLists!$F$2:$F$277,MATCH('Ingest Template'!D236,DropdownLists!$C$2:$C$277,0)),
CHAR(10),
"|"&amp;'Ingest Template'!C236&amp;CHAR(10)
)&amp;"|"&amp;'Ingest Template'!C236&amp;CHAR(10)&amp;'Ingest Template'!Y236
)</f>
        <v>#N/A</v>
      </c>
      <c r="X236" s="74" t="str">
        <f>'Ingest Template'!Z236</f>
        <v/>
      </c>
      <c r="Y236" s="35" t="str">
        <f>SUBSTITUTE(SUBSTITUTE(SUBSTITUTE('Ingest Template'!AA236,"http:",""),"https:",""),"/","")</f>
        <v/>
      </c>
      <c r="Z236" s="35" t="str">
        <f t="array" ref="Z236">IF('Ingest Template'!A236="Standard",(IF(ISBLANK('Ingest Template'!AB236),"", 'Ingest Template'!AB236&amp;"|DAR")),(IF(ISBLANK('Ingest Template'!AB236),"", 'Ingest Template'!AB236&amp;"|TV Ops")))</f>
        <v/>
      </c>
      <c r="AA236" s="35"/>
      <c r="AB236" s="35" t="str">
        <f>'Ingest Template'!R236</f>
        <v/>
      </c>
      <c r="AC236" s="35" t="str">
        <f>'Ingest Template'!T236</f>
        <v/>
      </c>
      <c r="AD236" s="35" t="str">
        <f>'Ingest Template'!S236</f>
        <v/>
      </c>
      <c r="AE236" s="35" t="str">
        <f>'Ingest Template'!U236</f>
        <v/>
      </c>
      <c r="AF236" s="22"/>
      <c r="AG236" s="35" t="str">
        <f t="array" ref="AG236">IF('Ingest Template'!A236="Standard",(CONCATENATE(IF(ISBLANK('Ingest Template'!N236),"", 'Ingest Template'!N236&amp;"|DAR"),CHAR(10), IF(ISBLANK('Ingest Template'!O236),"", 'Ingest Template'!O236&amp;"|DAR"),CHAR(10), IF(ISBLANK('Ingest Template'!P236),"", 'Ingest Template'!P236&amp;"|DAR"))),(CONCATENATE(IF(ISBLANK('Ingest Template'!N236),"", 'Ingest Template'!N236&amp;"|TV Ops"),CHAR(10), IF(ISBLANK('Ingest Template'!O236),"", 'Ingest Template'!O236&amp;"|TV Ops"),CHAR(10), IF(ISBLANK('Ingest Template'!P236),"", 'Ingest Template'!P236&amp;"|TV Ops"))))</f>
        <v>
</v>
      </c>
      <c r="AH236" s="35"/>
      <c r="AI236" s="35"/>
      <c r="AJ236" s="117" t="str">
        <f>if('Ingest Template'!A236="Standard",(IF(OR('Ingest Template'!F236 = "Program Type - Special", 'Ingest Template'!F236 = "Program Type - Live Event"),'Ingest Template'!M236&amp; "|DAR|DAR|"&amp;TEXT('Ingest Template'!C236-3, "yyyy-mm-dd")&amp;"|"&amp;TEXT('Ingest Template'!C236+3, "yyyy-mm-dd"),'Ingest Template'!M236&amp; "|DAR|DAR|2021-01-01")),(IF(OR('Ingest Template'!F236 = "Program Type - Special", 'Ingest Template'!F236 = "Program Type - Live Event"),'Ingest Template'!M236&amp; "|Operations - Core Title|Operations - Core Title|"&amp;TEXT('Ingest Template'!C236-3, "yyyy-mm-dd")&amp;"|"&amp;TEXT('Ingest Template'!C236+3, "yyyy-mm-dd"),'Ingest Template'!M236&amp; "|Operations - Core Title|Operations - Core Title")))</f>
        <v>|Operations - Core Title|Operations - Core Title</v>
      </c>
      <c r="AK236" s="35"/>
      <c r="AL236" s="117" t="str">
        <f>if('Ingest Template'!A236="Standard",(IF(OR('Ingest Template'!F236 = "Program Type - Special", 'Ingest Template'!F236 = "Program Type - Live Event"),'Ingest Template'!Q236&amp;"|"&amp;TEXT('Ingest Template'!C236-3, "yyyy-mm-dd")&amp;"|"&amp;TEXT('Ingest Template'!C236+3, "yyyy-mm-dd"),'Ingest Template'!Q236&amp; "|2021-01-01")),(IF(OR('Ingest Template'!F236 = "Program Type - Special", 'Ingest Template'!F236 = "Program Type - Live Event"),'Ingest Template'!Q236&amp; "|"&amp;TEXT('Ingest Template'!C236-3, "yyyy-mm-dd")&amp;"|"&amp;TEXT('Ingest Template'!C236+3, "yyyy-mm-dd"),'Ingest Template'!Q236)))</f>
        <v/>
      </c>
      <c r="AM236" s="35" t="str">
        <f>'Ingest Template'!AC236</f>
        <v/>
      </c>
    </row>
    <row r="237">
      <c r="A237" s="15"/>
      <c r="B237" s="22" t="str">
        <f>'Ingest Template'!C237&amp;IF('Ingest Template'!A237 = "Standard", " - DAR","")</f>
        <v/>
      </c>
      <c r="C237" s="22" t="s">
        <v>83</v>
      </c>
      <c r="D237" s="22" t="str">
        <f t="array" ref="D237">CONCATENATE(INDEX(DropdownLists!$H$2:$H$11,MATCH(1,COUNTIF('Ingest Template'!E237,"*"&amp;DropdownLists!$I$2:$I$11&amp;"*"),0)),CHAR(10),'Ingest Template'!F237,CHAR(10),'Ingest Template'!G237,CHAR(10),VLOOKUP('Ingest Template'!D237,DropdownLists!C:D,2,FALSE))</f>
        <v>#N/A</v>
      </c>
      <c r="E237" s="22" t="str">
        <f>CONCATENATE('Ingest Template'!H237,CHAR(10),'Ingest Template'!I237,CHAR(10),'Ingest Template'!J237,CHAR(10))</f>
        <v>
</v>
      </c>
      <c r="F237" s="35" t="str">
        <f t="array" ref="F237">INDEX(DropdownLists!$O$2:$O$36,MATCH(1,COUNTIF(E237,"*"&amp;DropdownLists!$N$2:$N$36&amp;"*"),0))</f>
        <v/>
      </c>
      <c r="G237" s="35"/>
      <c r="H237" s="22" t="str">
        <f t="array" ref="H237">INDEX(DropdownLists!$E$2:$E$276,MATCH('Ingest Template'!D237,DropdownLists!$C$2:$C$276,0))</f>
        <v>#N/A</v>
      </c>
      <c r="I237" s="22"/>
      <c r="J237" s="22" t="str">
        <f t="array" ref="J237">iF('Ingest Template'!A237="Standard","Pristine Brand",INDEX(DropdownLists!$B$2:$B$246,MATCH('Ingest Template'!D237,DropdownLists!$C$2:$C$246,0)))</f>
        <v>#N/A</v>
      </c>
      <c r="K237" s="22" t="str">
        <f>iF('Ingest Template'!A237="Standard",'Ingest Template'!K237&amp;CHAR(10)&amp;'Ingest Template'!L237,"Competitive View")</f>
        <v>Competitive View</v>
      </c>
      <c r="L237" s="22" t="s">
        <v>95</v>
      </c>
      <c r="M237" s="45" t="str">
        <f>'Ingest Template'!B237</f>
        <v/>
      </c>
      <c r="N237" s="35"/>
      <c r="O237" s="35"/>
      <c r="P237" s="35"/>
      <c r="Q237" s="35"/>
      <c r="R237" s="35" t="str">
        <f>'Ingest Template'!D237</f>
        <v/>
      </c>
      <c r="S237" s="22" t="s">
        <v>101</v>
      </c>
      <c r="T237" s="35" t="str">
        <f>'Ingest Template'!V237</f>
        <v/>
      </c>
      <c r="U237" s="35" t="str">
        <f>'Ingest Template'!W237</f>
        <v/>
      </c>
      <c r="V237" s="35" t="str">
        <f>LOWER(SUBSTITUTE(SUBSTITUTE(SUBSTITUTE(SUBSTITUTE(SUBSTITUTE('Ingest Template'!X237,"https:",""),"www.",""),"/",""),"?hl=en",""),"instagram.com",""))</f>
        <v/>
      </c>
      <c r="W237" s="74" t="str">
        <f t="array" ref="W237">IF(
'Ingest Template'!Y237="",
SUBSTITUTE(
INDEX(DropdownLists!$F$2:$F$277,MATCH('Ingest Template'!D237,DropdownLists!$C$2:$C$277,0)),
CHAR(10),
"|"&amp;'Ingest Template'!C237&amp;CHAR(10)
)&amp;"|"&amp;'Ingest Template'!C237,
SUBSTITUTE(
INDEX(DropdownLists!$F$2:$F$277,MATCH('Ingest Template'!D237,DropdownLists!$C$2:$C$277,0)),
CHAR(10),
"|"&amp;'Ingest Template'!C237&amp;CHAR(10)
)&amp;"|"&amp;'Ingest Template'!C237&amp;CHAR(10)&amp;'Ingest Template'!Y237
)</f>
        <v>#N/A</v>
      </c>
      <c r="X237" s="74" t="str">
        <f>'Ingest Template'!Z237</f>
        <v/>
      </c>
      <c r="Y237" s="35" t="str">
        <f>SUBSTITUTE(SUBSTITUTE(SUBSTITUTE('Ingest Template'!AA237,"http:",""),"https:",""),"/","")</f>
        <v/>
      </c>
      <c r="Z237" s="35" t="str">
        <f t="array" ref="Z237">IF('Ingest Template'!A237="Standard",(IF(ISBLANK('Ingest Template'!AB237),"", 'Ingest Template'!AB237&amp;"|DAR")),(IF(ISBLANK('Ingest Template'!AB237),"", 'Ingest Template'!AB237&amp;"|TV Ops")))</f>
        <v/>
      </c>
      <c r="AA237" s="35"/>
      <c r="AB237" s="35" t="str">
        <f>'Ingest Template'!R237</f>
        <v/>
      </c>
      <c r="AC237" s="35" t="str">
        <f>'Ingest Template'!T237</f>
        <v/>
      </c>
      <c r="AD237" s="35" t="str">
        <f>'Ingest Template'!S237</f>
        <v/>
      </c>
      <c r="AE237" s="35" t="str">
        <f>'Ingest Template'!U237</f>
        <v/>
      </c>
      <c r="AF237" s="22"/>
      <c r="AG237" s="35" t="str">
        <f t="array" ref="AG237">IF('Ingest Template'!A237="Standard",(CONCATENATE(IF(ISBLANK('Ingest Template'!N237),"", 'Ingest Template'!N237&amp;"|DAR"),CHAR(10), IF(ISBLANK('Ingest Template'!O237),"", 'Ingest Template'!O237&amp;"|DAR"),CHAR(10), IF(ISBLANK('Ingest Template'!P237),"", 'Ingest Template'!P237&amp;"|DAR"))),(CONCATENATE(IF(ISBLANK('Ingest Template'!N237),"", 'Ingest Template'!N237&amp;"|TV Ops"),CHAR(10), IF(ISBLANK('Ingest Template'!O237),"", 'Ingest Template'!O237&amp;"|TV Ops"),CHAR(10), IF(ISBLANK('Ingest Template'!P237),"", 'Ingest Template'!P237&amp;"|TV Ops"))))</f>
        <v>
</v>
      </c>
      <c r="AH237" s="35"/>
      <c r="AI237" s="35"/>
      <c r="AJ237" s="117" t="str">
        <f>if('Ingest Template'!A237="Standard",(IF(OR('Ingest Template'!F237 = "Program Type - Special", 'Ingest Template'!F237 = "Program Type - Live Event"),'Ingest Template'!M237&amp; "|DAR|DAR|"&amp;TEXT('Ingest Template'!C237-3, "yyyy-mm-dd")&amp;"|"&amp;TEXT('Ingest Template'!C237+3, "yyyy-mm-dd"),'Ingest Template'!M237&amp; "|DAR|DAR|2021-01-01")),(IF(OR('Ingest Template'!F237 = "Program Type - Special", 'Ingest Template'!F237 = "Program Type - Live Event"),'Ingest Template'!M237&amp; "|Operations - Core Title|Operations - Core Title|"&amp;TEXT('Ingest Template'!C237-3, "yyyy-mm-dd")&amp;"|"&amp;TEXT('Ingest Template'!C237+3, "yyyy-mm-dd"),'Ingest Template'!M237&amp; "|Operations - Core Title|Operations - Core Title")))</f>
        <v>|Operations - Core Title|Operations - Core Title</v>
      </c>
      <c r="AK237" s="35"/>
      <c r="AL237" s="117" t="str">
        <f>if('Ingest Template'!A237="Standard",(IF(OR('Ingest Template'!F237 = "Program Type - Special", 'Ingest Template'!F237 = "Program Type - Live Event"),'Ingest Template'!Q237&amp;"|"&amp;TEXT('Ingest Template'!C237-3, "yyyy-mm-dd")&amp;"|"&amp;TEXT('Ingest Template'!C237+3, "yyyy-mm-dd"),'Ingest Template'!Q237&amp; "|2021-01-01")),(IF(OR('Ingest Template'!F237 = "Program Type - Special", 'Ingest Template'!F237 = "Program Type - Live Event"),'Ingest Template'!Q237&amp; "|"&amp;TEXT('Ingest Template'!C237-3, "yyyy-mm-dd")&amp;"|"&amp;TEXT('Ingest Template'!C237+3, "yyyy-mm-dd"),'Ingest Template'!Q237)))</f>
        <v/>
      </c>
      <c r="AM237" s="35" t="str">
        <f>'Ingest Template'!AC237</f>
        <v/>
      </c>
    </row>
    <row r="238">
      <c r="A238" s="15"/>
      <c r="B238" s="22" t="str">
        <f>'Ingest Template'!C238&amp;IF('Ingest Template'!A238 = "Standard", " - DAR","")</f>
        <v/>
      </c>
      <c r="C238" s="22" t="s">
        <v>83</v>
      </c>
      <c r="D238" s="22" t="str">
        <f t="array" ref="D238">CONCATENATE(INDEX(DropdownLists!$H$2:$H$11,MATCH(1,COUNTIF('Ingest Template'!E238,"*"&amp;DropdownLists!$I$2:$I$11&amp;"*"),0)),CHAR(10),'Ingest Template'!F238,CHAR(10),'Ingest Template'!G238,CHAR(10),VLOOKUP('Ingest Template'!D238,DropdownLists!C:D,2,FALSE))</f>
        <v>#N/A</v>
      </c>
      <c r="E238" s="22" t="str">
        <f>CONCATENATE('Ingest Template'!H238,CHAR(10),'Ingest Template'!I238,CHAR(10),'Ingest Template'!J238,CHAR(10))</f>
        <v>
</v>
      </c>
      <c r="F238" s="35" t="str">
        <f t="array" ref="F238">INDEX(DropdownLists!$O$2:$O$36,MATCH(1,COUNTIF(E238,"*"&amp;DropdownLists!$N$2:$N$36&amp;"*"),0))</f>
        <v/>
      </c>
      <c r="G238" s="35"/>
      <c r="H238" s="22" t="str">
        <f t="array" ref="H238">INDEX(DropdownLists!$E$2:$E$276,MATCH('Ingest Template'!D238,DropdownLists!$C$2:$C$276,0))</f>
        <v>#N/A</v>
      </c>
      <c r="I238" s="22"/>
      <c r="J238" s="22" t="str">
        <f t="array" ref="J238">iF('Ingest Template'!A238="Standard","Pristine Brand",INDEX(DropdownLists!$B$2:$B$246,MATCH('Ingest Template'!D238,DropdownLists!$C$2:$C$246,0)))</f>
        <v>#N/A</v>
      </c>
      <c r="K238" s="22" t="str">
        <f>iF('Ingest Template'!A238="Standard",'Ingest Template'!K238&amp;CHAR(10)&amp;'Ingest Template'!L238,"Competitive View")</f>
        <v>Competitive View</v>
      </c>
      <c r="L238" s="22" t="s">
        <v>95</v>
      </c>
      <c r="M238" s="45" t="str">
        <f>'Ingest Template'!B238</f>
        <v/>
      </c>
      <c r="N238" s="35"/>
      <c r="O238" s="35"/>
      <c r="P238" s="35"/>
      <c r="Q238" s="35"/>
      <c r="R238" s="35" t="str">
        <f>'Ingest Template'!D238</f>
        <v/>
      </c>
      <c r="S238" s="22" t="s">
        <v>101</v>
      </c>
      <c r="T238" s="35" t="str">
        <f>'Ingest Template'!V238</f>
        <v/>
      </c>
      <c r="U238" s="35" t="str">
        <f>'Ingest Template'!W238</f>
        <v/>
      </c>
      <c r="V238" s="35" t="str">
        <f>LOWER(SUBSTITUTE(SUBSTITUTE(SUBSTITUTE(SUBSTITUTE(SUBSTITUTE('Ingest Template'!X238,"https:",""),"www.",""),"/",""),"?hl=en",""),"instagram.com",""))</f>
        <v/>
      </c>
      <c r="W238" s="74" t="str">
        <f t="array" ref="W238">IF(
'Ingest Template'!Y238="",
SUBSTITUTE(
INDEX(DropdownLists!$F$2:$F$277,MATCH('Ingest Template'!D238,DropdownLists!$C$2:$C$277,0)),
CHAR(10),
"|"&amp;'Ingest Template'!C238&amp;CHAR(10)
)&amp;"|"&amp;'Ingest Template'!C238,
SUBSTITUTE(
INDEX(DropdownLists!$F$2:$F$277,MATCH('Ingest Template'!D238,DropdownLists!$C$2:$C$277,0)),
CHAR(10),
"|"&amp;'Ingest Template'!C238&amp;CHAR(10)
)&amp;"|"&amp;'Ingest Template'!C238&amp;CHAR(10)&amp;'Ingest Template'!Y238
)</f>
        <v>#N/A</v>
      </c>
      <c r="X238" s="74" t="str">
        <f>'Ingest Template'!Z238</f>
        <v/>
      </c>
      <c r="Y238" s="35" t="str">
        <f>SUBSTITUTE(SUBSTITUTE(SUBSTITUTE('Ingest Template'!AA238,"http:",""),"https:",""),"/","")</f>
        <v/>
      </c>
      <c r="Z238" s="35" t="str">
        <f t="array" ref="Z238">IF('Ingest Template'!A238="Standard",(IF(ISBLANK('Ingest Template'!AB238),"", 'Ingest Template'!AB238&amp;"|DAR")),(IF(ISBLANK('Ingest Template'!AB238),"", 'Ingest Template'!AB238&amp;"|TV Ops")))</f>
        <v/>
      </c>
      <c r="AA238" s="35"/>
      <c r="AB238" s="35" t="str">
        <f>'Ingest Template'!R238</f>
        <v/>
      </c>
      <c r="AC238" s="35" t="str">
        <f>'Ingest Template'!T238</f>
        <v/>
      </c>
      <c r="AD238" s="35" t="str">
        <f>'Ingest Template'!S238</f>
        <v/>
      </c>
      <c r="AE238" s="35" t="str">
        <f>'Ingest Template'!U238</f>
        <v/>
      </c>
      <c r="AF238" s="22"/>
      <c r="AG238" s="35" t="str">
        <f t="array" ref="AG238">IF('Ingest Template'!A238="Standard",(CONCATENATE(IF(ISBLANK('Ingest Template'!N238),"", 'Ingest Template'!N238&amp;"|DAR"),CHAR(10), IF(ISBLANK('Ingest Template'!O238),"", 'Ingest Template'!O238&amp;"|DAR"),CHAR(10), IF(ISBLANK('Ingest Template'!P238),"", 'Ingest Template'!P238&amp;"|DAR"))),(CONCATENATE(IF(ISBLANK('Ingest Template'!N238),"", 'Ingest Template'!N238&amp;"|TV Ops"),CHAR(10), IF(ISBLANK('Ingest Template'!O238),"", 'Ingest Template'!O238&amp;"|TV Ops"),CHAR(10), IF(ISBLANK('Ingest Template'!P238),"", 'Ingest Template'!P238&amp;"|TV Ops"))))</f>
        <v>
</v>
      </c>
      <c r="AH238" s="35"/>
      <c r="AI238" s="35"/>
      <c r="AJ238" s="117" t="str">
        <f>if('Ingest Template'!A238="Standard",(IF(OR('Ingest Template'!F238 = "Program Type - Special", 'Ingest Template'!F238 = "Program Type - Live Event"),'Ingest Template'!M238&amp; "|DAR|DAR|"&amp;TEXT('Ingest Template'!C238-3, "yyyy-mm-dd")&amp;"|"&amp;TEXT('Ingest Template'!C238+3, "yyyy-mm-dd"),'Ingest Template'!M238&amp; "|DAR|DAR|2021-01-01")),(IF(OR('Ingest Template'!F238 = "Program Type - Special", 'Ingest Template'!F238 = "Program Type - Live Event"),'Ingest Template'!M238&amp; "|Operations - Core Title|Operations - Core Title|"&amp;TEXT('Ingest Template'!C238-3, "yyyy-mm-dd")&amp;"|"&amp;TEXT('Ingest Template'!C238+3, "yyyy-mm-dd"),'Ingest Template'!M238&amp; "|Operations - Core Title|Operations - Core Title")))</f>
        <v>|Operations - Core Title|Operations - Core Title</v>
      </c>
      <c r="AK238" s="35"/>
      <c r="AL238" s="117" t="str">
        <f>if('Ingest Template'!A238="Standard",(IF(OR('Ingest Template'!F238 = "Program Type - Special", 'Ingest Template'!F238 = "Program Type - Live Event"),'Ingest Template'!Q238&amp;"|"&amp;TEXT('Ingest Template'!C238-3, "yyyy-mm-dd")&amp;"|"&amp;TEXT('Ingest Template'!C238+3, "yyyy-mm-dd"),'Ingest Template'!Q238&amp; "|2021-01-01")),(IF(OR('Ingest Template'!F238 = "Program Type - Special", 'Ingest Template'!F238 = "Program Type - Live Event"),'Ingest Template'!Q238&amp; "|"&amp;TEXT('Ingest Template'!C238-3, "yyyy-mm-dd")&amp;"|"&amp;TEXT('Ingest Template'!C238+3, "yyyy-mm-dd"),'Ingest Template'!Q238)))</f>
        <v/>
      </c>
      <c r="AM238" s="35" t="str">
        <f>'Ingest Template'!AC238</f>
        <v/>
      </c>
    </row>
    <row r="239">
      <c r="A239" s="15"/>
      <c r="B239" s="22" t="str">
        <f>'Ingest Template'!C239&amp;IF('Ingest Template'!A239 = "Standard", " - DAR","")</f>
        <v/>
      </c>
      <c r="C239" s="22" t="s">
        <v>83</v>
      </c>
      <c r="D239" s="22" t="str">
        <f t="array" ref="D239">CONCATENATE(INDEX(DropdownLists!$H$2:$H$11,MATCH(1,COUNTIF('Ingest Template'!E239,"*"&amp;DropdownLists!$I$2:$I$11&amp;"*"),0)),CHAR(10),'Ingest Template'!F239,CHAR(10),'Ingest Template'!G239,CHAR(10),VLOOKUP('Ingest Template'!D239,DropdownLists!C:D,2,FALSE))</f>
        <v>#N/A</v>
      </c>
      <c r="E239" s="22" t="str">
        <f>CONCATENATE('Ingest Template'!H239,CHAR(10),'Ingest Template'!I239,CHAR(10),'Ingest Template'!J239,CHAR(10))</f>
        <v>
</v>
      </c>
      <c r="F239" s="35" t="str">
        <f t="array" ref="F239">INDEX(DropdownLists!$O$2:$O$36,MATCH(1,COUNTIF(E239,"*"&amp;DropdownLists!$N$2:$N$36&amp;"*"),0))</f>
        <v/>
      </c>
      <c r="G239" s="35"/>
      <c r="H239" s="22" t="str">
        <f t="array" ref="H239">INDEX(DropdownLists!$E$2:$E$276,MATCH('Ingest Template'!D239,DropdownLists!$C$2:$C$276,0))</f>
        <v>#N/A</v>
      </c>
      <c r="I239" s="22"/>
      <c r="J239" s="22" t="str">
        <f t="array" ref="J239">iF('Ingest Template'!A239="Standard","Pristine Brand",INDEX(DropdownLists!$B$2:$B$246,MATCH('Ingest Template'!D239,DropdownLists!$C$2:$C$246,0)))</f>
        <v>#N/A</v>
      </c>
      <c r="K239" s="22" t="str">
        <f>iF('Ingest Template'!A239="Standard",'Ingest Template'!K239&amp;CHAR(10)&amp;'Ingest Template'!L239,"Competitive View")</f>
        <v>Competitive View</v>
      </c>
      <c r="L239" s="22" t="s">
        <v>95</v>
      </c>
      <c r="M239" s="45" t="str">
        <f>'Ingest Template'!B239</f>
        <v/>
      </c>
      <c r="N239" s="35"/>
      <c r="O239" s="35"/>
      <c r="P239" s="35"/>
      <c r="Q239" s="35"/>
      <c r="R239" s="35" t="str">
        <f>'Ingest Template'!D239</f>
        <v/>
      </c>
      <c r="S239" s="22" t="s">
        <v>101</v>
      </c>
      <c r="T239" s="35" t="str">
        <f>'Ingest Template'!V239</f>
        <v/>
      </c>
      <c r="U239" s="35" t="str">
        <f>'Ingest Template'!W239</f>
        <v/>
      </c>
      <c r="V239" s="35" t="str">
        <f>LOWER(SUBSTITUTE(SUBSTITUTE(SUBSTITUTE(SUBSTITUTE(SUBSTITUTE('Ingest Template'!X239,"https:",""),"www.",""),"/",""),"?hl=en",""),"instagram.com",""))</f>
        <v/>
      </c>
      <c r="W239" s="74" t="str">
        <f t="array" ref="W239">IF(
'Ingest Template'!Y239="",
SUBSTITUTE(
INDEX(DropdownLists!$F$2:$F$277,MATCH('Ingest Template'!D239,DropdownLists!$C$2:$C$277,0)),
CHAR(10),
"|"&amp;'Ingest Template'!C239&amp;CHAR(10)
)&amp;"|"&amp;'Ingest Template'!C239,
SUBSTITUTE(
INDEX(DropdownLists!$F$2:$F$277,MATCH('Ingest Template'!D239,DropdownLists!$C$2:$C$277,0)),
CHAR(10),
"|"&amp;'Ingest Template'!C239&amp;CHAR(10)
)&amp;"|"&amp;'Ingest Template'!C239&amp;CHAR(10)&amp;'Ingest Template'!Y239
)</f>
        <v>#N/A</v>
      </c>
      <c r="X239" s="74" t="str">
        <f>'Ingest Template'!Z239</f>
        <v/>
      </c>
      <c r="Y239" s="35" t="str">
        <f>SUBSTITUTE(SUBSTITUTE(SUBSTITUTE('Ingest Template'!AA239,"http:",""),"https:",""),"/","")</f>
        <v/>
      </c>
      <c r="Z239" s="35" t="str">
        <f t="array" ref="Z239">IF('Ingest Template'!A239="Standard",(IF(ISBLANK('Ingest Template'!AB239),"", 'Ingest Template'!AB239&amp;"|DAR")),(IF(ISBLANK('Ingest Template'!AB239),"", 'Ingest Template'!AB239&amp;"|TV Ops")))</f>
        <v/>
      </c>
      <c r="AA239" s="35"/>
      <c r="AB239" s="35" t="str">
        <f>'Ingest Template'!R239</f>
        <v/>
      </c>
      <c r="AC239" s="35" t="str">
        <f>'Ingest Template'!T239</f>
        <v/>
      </c>
      <c r="AD239" s="35" t="str">
        <f>'Ingest Template'!S239</f>
        <v/>
      </c>
      <c r="AE239" s="35" t="str">
        <f>'Ingest Template'!U239</f>
        <v/>
      </c>
      <c r="AF239" s="22"/>
      <c r="AG239" s="35" t="str">
        <f t="array" ref="AG239">IF('Ingest Template'!A239="Standard",(CONCATENATE(IF(ISBLANK('Ingest Template'!N239),"", 'Ingest Template'!N239&amp;"|DAR"),CHAR(10), IF(ISBLANK('Ingest Template'!O239),"", 'Ingest Template'!O239&amp;"|DAR"),CHAR(10), IF(ISBLANK('Ingest Template'!P239),"", 'Ingest Template'!P239&amp;"|DAR"))),(CONCATENATE(IF(ISBLANK('Ingest Template'!N239),"", 'Ingest Template'!N239&amp;"|TV Ops"),CHAR(10), IF(ISBLANK('Ingest Template'!O239),"", 'Ingest Template'!O239&amp;"|TV Ops"),CHAR(10), IF(ISBLANK('Ingest Template'!P239),"", 'Ingest Template'!P239&amp;"|TV Ops"))))</f>
        <v>
</v>
      </c>
      <c r="AH239" s="35"/>
      <c r="AI239" s="35"/>
      <c r="AJ239" s="117" t="str">
        <f>if('Ingest Template'!A239="Standard",(IF(OR('Ingest Template'!F239 = "Program Type - Special", 'Ingest Template'!F239 = "Program Type - Live Event"),'Ingest Template'!M239&amp; "|DAR|DAR|"&amp;TEXT('Ingest Template'!C239-3, "yyyy-mm-dd")&amp;"|"&amp;TEXT('Ingest Template'!C239+3, "yyyy-mm-dd"),'Ingest Template'!M239&amp; "|DAR|DAR|2021-01-01")),(IF(OR('Ingest Template'!F239 = "Program Type - Special", 'Ingest Template'!F239 = "Program Type - Live Event"),'Ingest Template'!M239&amp; "|Operations - Core Title|Operations - Core Title|"&amp;TEXT('Ingest Template'!C239-3, "yyyy-mm-dd")&amp;"|"&amp;TEXT('Ingest Template'!C239+3, "yyyy-mm-dd"),'Ingest Template'!M239&amp; "|Operations - Core Title|Operations - Core Title")))</f>
        <v>|Operations - Core Title|Operations - Core Title</v>
      </c>
      <c r="AK239" s="35"/>
      <c r="AL239" s="117" t="str">
        <f>if('Ingest Template'!A239="Standard",(IF(OR('Ingest Template'!F239 = "Program Type - Special", 'Ingest Template'!F239 = "Program Type - Live Event"),'Ingest Template'!Q239&amp;"|"&amp;TEXT('Ingest Template'!C239-3, "yyyy-mm-dd")&amp;"|"&amp;TEXT('Ingest Template'!C239+3, "yyyy-mm-dd"),'Ingest Template'!Q239&amp; "|2021-01-01")),(IF(OR('Ingest Template'!F239 = "Program Type - Special", 'Ingest Template'!F239 = "Program Type - Live Event"),'Ingest Template'!Q239&amp; "|"&amp;TEXT('Ingest Template'!C239-3, "yyyy-mm-dd")&amp;"|"&amp;TEXT('Ingest Template'!C239+3, "yyyy-mm-dd"),'Ingest Template'!Q239)))</f>
        <v/>
      </c>
      <c r="AM239" s="35" t="str">
        <f>'Ingest Template'!AC239</f>
        <v/>
      </c>
    </row>
    <row r="240">
      <c r="A240" s="15"/>
      <c r="B240" s="22" t="str">
        <f>'Ingest Template'!C240&amp;IF('Ingest Template'!A240 = "Standard", " - DAR","")</f>
        <v/>
      </c>
      <c r="C240" s="22" t="s">
        <v>83</v>
      </c>
      <c r="D240" s="22" t="str">
        <f t="array" ref="D240">CONCATENATE(INDEX(DropdownLists!$H$2:$H$11,MATCH(1,COUNTIF('Ingest Template'!E240,"*"&amp;DropdownLists!$I$2:$I$11&amp;"*"),0)),CHAR(10),'Ingest Template'!F240,CHAR(10),'Ingest Template'!G240,CHAR(10),VLOOKUP('Ingest Template'!D240,DropdownLists!C:D,2,FALSE))</f>
        <v>#N/A</v>
      </c>
      <c r="E240" s="22" t="str">
        <f>CONCATENATE('Ingest Template'!H240,CHAR(10),'Ingest Template'!I240,CHAR(10),'Ingest Template'!J240,CHAR(10))</f>
        <v>
</v>
      </c>
      <c r="F240" s="35" t="str">
        <f t="array" ref="F240">INDEX(DropdownLists!$O$2:$O$36,MATCH(1,COUNTIF(E240,"*"&amp;DropdownLists!$N$2:$N$36&amp;"*"),0))</f>
        <v/>
      </c>
      <c r="G240" s="35"/>
      <c r="H240" s="22" t="str">
        <f t="array" ref="H240">INDEX(DropdownLists!$E$2:$E$276,MATCH('Ingest Template'!D240,DropdownLists!$C$2:$C$276,0))</f>
        <v>#N/A</v>
      </c>
      <c r="I240" s="22"/>
      <c r="J240" s="22" t="str">
        <f t="array" ref="J240">iF('Ingest Template'!A240="Standard","Pristine Brand",INDEX(DropdownLists!$B$2:$B$246,MATCH('Ingest Template'!D240,DropdownLists!$C$2:$C$246,0)))</f>
        <v>#N/A</v>
      </c>
      <c r="K240" s="22" t="str">
        <f>iF('Ingest Template'!A240="Standard",'Ingest Template'!K240&amp;CHAR(10)&amp;'Ingest Template'!L240,"Competitive View")</f>
        <v>Competitive View</v>
      </c>
      <c r="L240" s="22" t="s">
        <v>95</v>
      </c>
      <c r="M240" s="45" t="str">
        <f>'Ingest Template'!B240</f>
        <v/>
      </c>
      <c r="N240" s="35"/>
      <c r="O240" s="35"/>
      <c r="P240" s="35"/>
      <c r="Q240" s="35"/>
      <c r="R240" s="35" t="str">
        <f>'Ingest Template'!D240</f>
        <v/>
      </c>
      <c r="S240" s="22" t="s">
        <v>101</v>
      </c>
      <c r="T240" s="35" t="str">
        <f>'Ingest Template'!V240</f>
        <v/>
      </c>
      <c r="U240" s="35" t="str">
        <f>'Ingest Template'!W240</f>
        <v/>
      </c>
      <c r="V240" s="35" t="str">
        <f>LOWER(SUBSTITUTE(SUBSTITUTE(SUBSTITUTE(SUBSTITUTE(SUBSTITUTE('Ingest Template'!X240,"https:",""),"www.",""),"/",""),"?hl=en",""),"instagram.com",""))</f>
        <v/>
      </c>
      <c r="W240" s="74" t="str">
        <f t="array" ref="W240">IF(
'Ingest Template'!Y240="",
SUBSTITUTE(
INDEX(DropdownLists!$F$2:$F$277,MATCH('Ingest Template'!D240,DropdownLists!$C$2:$C$277,0)),
CHAR(10),
"|"&amp;'Ingest Template'!C240&amp;CHAR(10)
)&amp;"|"&amp;'Ingest Template'!C240,
SUBSTITUTE(
INDEX(DropdownLists!$F$2:$F$277,MATCH('Ingest Template'!D240,DropdownLists!$C$2:$C$277,0)),
CHAR(10),
"|"&amp;'Ingest Template'!C240&amp;CHAR(10)
)&amp;"|"&amp;'Ingest Template'!C240&amp;CHAR(10)&amp;'Ingest Template'!Y240
)</f>
        <v>#N/A</v>
      </c>
      <c r="X240" s="74" t="str">
        <f>'Ingest Template'!Z240</f>
        <v/>
      </c>
      <c r="Y240" s="35" t="str">
        <f>SUBSTITUTE(SUBSTITUTE(SUBSTITUTE('Ingest Template'!AA240,"http:",""),"https:",""),"/","")</f>
        <v/>
      </c>
      <c r="Z240" s="35" t="str">
        <f t="array" ref="Z240">IF('Ingest Template'!A240="Standard",(IF(ISBLANK('Ingest Template'!AB240),"", 'Ingest Template'!AB240&amp;"|DAR")),(IF(ISBLANK('Ingest Template'!AB240),"", 'Ingest Template'!AB240&amp;"|TV Ops")))</f>
        <v/>
      </c>
      <c r="AA240" s="35"/>
      <c r="AB240" s="35" t="str">
        <f>'Ingest Template'!R240</f>
        <v/>
      </c>
      <c r="AC240" s="35" t="str">
        <f>'Ingest Template'!T240</f>
        <v/>
      </c>
      <c r="AD240" s="35" t="str">
        <f>'Ingest Template'!S240</f>
        <v/>
      </c>
      <c r="AE240" s="35" t="str">
        <f>'Ingest Template'!U240</f>
        <v/>
      </c>
      <c r="AF240" s="22"/>
      <c r="AG240" s="35" t="str">
        <f t="array" ref="AG240">IF('Ingest Template'!A240="Standard",(CONCATENATE(IF(ISBLANK('Ingest Template'!N240),"", 'Ingest Template'!N240&amp;"|DAR"),CHAR(10), IF(ISBLANK('Ingest Template'!O240),"", 'Ingest Template'!O240&amp;"|DAR"),CHAR(10), IF(ISBLANK('Ingest Template'!P240),"", 'Ingest Template'!P240&amp;"|DAR"))),(CONCATENATE(IF(ISBLANK('Ingest Template'!N240),"", 'Ingest Template'!N240&amp;"|TV Ops"),CHAR(10), IF(ISBLANK('Ingest Template'!O240),"", 'Ingest Template'!O240&amp;"|TV Ops"),CHAR(10), IF(ISBLANK('Ingest Template'!P240),"", 'Ingest Template'!P240&amp;"|TV Ops"))))</f>
        <v>
</v>
      </c>
      <c r="AH240" s="35"/>
      <c r="AI240" s="35"/>
      <c r="AJ240" s="117" t="str">
        <f>if('Ingest Template'!A240="Standard",(IF(OR('Ingest Template'!F240 = "Program Type - Special", 'Ingest Template'!F240 = "Program Type - Live Event"),'Ingest Template'!M240&amp; "|DAR|DAR|"&amp;TEXT('Ingest Template'!C240-3, "yyyy-mm-dd")&amp;"|"&amp;TEXT('Ingest Template'!C240+3, "yyyy-mm-dd"),'Ingest Template'!M240&amp; "|DAR|DAR|2021-01-01")),(IF(OR('Ingest Template'!F240 = "Program Type - Special", 'Ingest Template'!F240 = "Program Type - Live Event"),'Ingest Template'!M240&amp; "|Operations - Core Title|Operations - Core Title|"&amp;TEXT('Ingest Template'!C240-3, "yyyy-mm-dd")&amp;"|"&amp;TEXT('Ingest Template'!C240+3, "yyyy-mm-dd"),'Ingest Template'!M240&amp; "|Operations - Core Title|Operations - Core Title")))</f>
        <v>|Operations - Core Title|Operations - Core Title</v>
      </c>
      <c r="AK240" s="35"/>
      <c r="AL240" s="117" t="str">
        <f>if('Ingest Template'!A240="Standard",(IF(OR('Ingest Template'!F240 = "Program Type - Special", 'Ingest Template'!F240 = "Program Type - Live Event"),'Ingest Template'!Q240&amp;"|"&amp;TEXT('Ingest Template'!C240-3, "yyyy-mm-dd")&amp;"|"&amp;TEXT('Ingest Template'!C240+3, "yyyy-mm-dd"),'Ingest Template'!Q240&amp; "|2021-01-01")),(IF(OR('Ingest Template'!F240 = "Program Type - Special", 'Ingest Template'!F240 = "Program Type - Live Event"),'Ingest Template'!Q240&amp; "|"&amp;TEXT('Ingest Template'!C240-3, "yyyy-mm-dd")&amp;"|"&amp;TEXT('Ingest Template'!C240+3, "yyyy-mm-dd"),'Ingest Template'!Q240)))</f>
        <v/>
      </c>
      <c r="AM240" s="35" t="str">
        <f>'Ingest Template'!AC240</f>
        <v/>
      </c>
    </row>
    <row r="241">
      <c r="A241" s="15"/>
      <c r="B241" s="22" t="str">
        <f>'Ingest Template'!C241&amp;IF('Ingest Template'!A241 = "Standard", " - DAR","")</f>
        <v/>
      </c>
      <c r="C241" s="22" t="s">
        <v>83</v>
      </c>
      <c r="D241" s="22" t="str">
        <f t="array" ref="D241">CONCATENATE(INDEX(DropdownLists!$H$2:$H$11,MATCH(1,COUNTIF('Ingest Template'!E241,"*"&amp;DropdownLists!$I$2:$I$11&amp;"*"),0)),CHAR(10),'Ingest Template'!F241,CHAR(10),'Ingest Template'!G241,CHAR(10),VLOOKUP('Ingest Template'!D241,DropdownLists!C:D,2,FALSE))</f>
        <v>#N/A</v>
      </c>
      <c r="E241" s="22" t="str">
        <f>CONCATENATE('Ingest Template'!H241,CHAR(10),'Ingest Template'!I241,CHAR(10),'Ingest Template'!J241,CHAR(10))</f>
        <v>
</v>
      </c>
      <c r="F241" s="35" t="str">
        <f t="array" ref="F241">INDEX(DropdownLists!$O$2:$O$36,MATCH(1,COUNTIF(E241,"*"&amp;DropdownLists!$N$2:$N$36&amp;"*"),0))</f>
        <v/>
      </c>
      <c r="G241" s="35"/>
      <c r="H241" s="22" t="str">
        <f t="array" ref="H241">INDEX(DropdownLists!$E$2:$E$276,MATCH('Ingest Template'!D241,DropdownLists!$C$2:$C$276,0))</f>
        <v>#N/A</v>
      </c>
      <c r="I241" s="22"/>
      <c r="J241" s="22" t="str">
        <f t="array" ref="J241">iF('Ingest Template'!A241="Standard","Pristine Brand",INDEX(DropdownLists!$B$2:$B$246,MATCH('Ingest Template'!D241,DropdownLists!$C$2:$C$246,0)))</f>
        <v>#N/A</v>
      </c>
      <c r="K241" s="22" t="str">
        <f>iF('Ingest Template'!A241="Standard",'Ingest Template'!K241&amp;CHAR(10)&amp;'Ingest Template'!L241,"Competitive View")</f>
        <v>Competitive View</v>
      </c>
      <c r="L241" s="22" t="s">
        <v>95</v>
      </c>
      <c r="M241" s="45" t="str">
        <f>'Ingest Template'!B241</f>
        <v/>
      </c>
      <c r="N241" s="35"/>
      <c r="O241" s="35"/>
      <c r="P241" s="35"/>
      <c r="Q241" s="35"/>
      <c r="R241" s="35" t="str">
        <f>'Ingest Template'!D241</f>
        <v/>
      </c>
      <c r="S241" s="22" t="s">
        <v>101</v>
      </c>
      <c r="T241" s="35" t="str">
        <f>'Ingest Template'!V241</f>
        <v/>
      </c>
      <c r="U241" s="35" t="str">
        <f>'Ingest Template'!W241</f>
        <v/>
      </c>
      <c r="V241" s="35" t="str">
        <f>LOWER(SUBSTITUTE(SUBSTITUTE(SUBSTITUTE(SUBSTITUTE(SUBSTITUTE('Ingest Template'!X241,"https:",""),"www.",""),"/",""),"?hl=en",""),"instagram.com",""))</f>
        <v/>
      </c>
      <c r="W241" s="74" t="str">
        <f t="array" ref="W241">IF(
'Ingest Template'!Y241="",
SUBSTITUTE(
INDEX(DropdownLists!$F$2:$F$277,MATCH('Ingest Template'!D241,DropdownLists!$C$2:$C$277,0)),
CHAR(10),
"|"&amp;'Ingest Template'!C241&amp;CHAR(10)
)&amp;"|"&amp;'Ingest Template'!C241,
SUBSTITUTE(
INDEX(DropdownLists!$F$2:$F$277,MATCH('Ingest Template'!D241,DropdownLists!$C$2:$C$277,0)),
CHAR(10),
"|"&amp;'Ingest Template'!C241&amp;CHAR(10)
)&amp;"|"&amp;'Ingest Template'!C241&amp;CHAR(10)&amp;'Ingest Template'!Y241
)</f>
        <v>#N/A</v>
      </c>
      <c r="X241" s="74" t="str">
        <f>'Ingest Template'!Z241</f>
        <v/>
      </c>
      <c r="Y241" s="35" t="str">
        <f>SUBSTITUTE(SUBSTITUTE(SUBSTITUTE('Ingest Template'!AA241,"http:",""),"https:",""),"/","")</f>
        <v/>
      </c>
      <c r="Z241" s="35" t="str">
        <f t="array" ref="Z241">IF('Ingest Template'!A241="Standard",(IF(ISBLANK('Ingest Template'!AB241),"", 'Ingest Template'!AB241&amp;"|DAR")),(IF(ISBLANK('Ingest Template'!AB241),"", 'Ingest Template'!AB241&amp;"|TV Ops")))</f>
        <v/>
      </c>
      <c r="AA241" s="35"/>
      <c r="AB241" s="35" t="str">
        <f>'Ingest Template'!R241</f>
        <v/>
      </c>
      <c r="AC241" s="35" t="str">
        <f>'Ingest Template'!T241</f>
        <v/>
      </c>
      <c r="AD241" s="35" t="str">
        <f>'Ingest Template'!S241</f>
        <v/>
      </c>
      <c r="AE241" s="35" t="str">
        <f>'Ingest Template'!U241</f>
        <v/>
      </c>
      <c r="AF241" s="22"/>
      <c r="AG241" s="35" t="str">
        <f t="array" ref="AG241">IF('Ingest Template'!A241="Standard",(CONCATENATE(IF(ISBLANK('Ingest Template'!N241),"", 'Ingest Template'!N241&amp;"|DAR"),CHAR(10), IF(ISBLANK('Ingest Template'!O241),"", 'Ingest Template'!O241&amp;"|DAR"),CHAR(10), IF(ISBLANK('Ingest Template'!P241),"", 'Ingest Template'!P241&amp;"|DAR"))),(CONCATENATE(IF(ISBLANK('Ingest Template'!N241),"", 'Ingest Template'!N241&amp;"|TV Ops"),CHAR(10), IF(ISBLANK('Ingest Template'!O241),"", 'Ingest Template'!O241&amp;"|TV Ops"),CHAR(10), IF(ISBLANK('Ingest Template'!P241),"", 'Ingest Template'!P241&amp;"|TV Ops"))))</f>
        <v>
</v>
      </c>
      <c r="AH241" s="35"/>
      <c r="AI241" s="35"/>
      <c r="AJ241" s="117" t="str">
        <f>if('Ingest Template'!A241="Standard",(IF(OR('Ingest Template'!F241 = "Program Type - Special", 'Ingest Template'!F241 = "Program Type - Live Event"),'Ingest Template'!M241&amp; "|DAR|DAR|"&amp;TEXT('Ingest Template'!C241-3, "yyyy-mm-dd")&amp;"|"&amp;TEXT('Ingest Template'!C241+3, "yyyy-mm-dd"),'Ingest Template'!M241&amp; "|DAR|DAR|2021-01-01")),(IF(OR('Ingest Template'!F241 = "Program Type - Special", 'Ingest Template'!F241 = "Program Type - Live Event"),'Ingest Template'!M241&amp; "|Operations - Core Title|Operations - Core Title|"&amp;TEXT('Ingest Template'!C241-3, "yyyy-mm-dd")&amp;"|"&amp;TEXT('Ingest Template'!C241+3, "yyyy-mm-dd"),'Ingest Template'!M241&amp; "|Operations - Core Title|Operations - Core Title")))</f>
        <v>|Operations - Core Title|Operations - Core Title</v>
      </c>
      <c r="AK241" s="35"/>
      <c r="AL241" s="117" t="str">
        <f>if('Ingest Template'!A241="Standard",(IF(OR('Ingest Template'!F241 = "Program Type - Special", 'Ingest Template'!F241 = "Program Type - Live Event"),'Ingest Template'!Q241&amp;"|"&amp;TEXT('Ingest Template'!C241-3, "yyyy-mm-dd")&amp;"|"&amp;TEXT('Ingest Template'!C241+3, "yyyy-mm-dd"),'Ingest Template'!Q241&amp; "|2021-01-01")),(IF(OR('Ingest Template'!F241 = "Program Type - Special", 'Ingest Template'!F241 = "Program Type - Live Event"),'Ingest Template'!Q241&amp; "|"&amp;TEXT('Ingest Template'!C241-3, "yyyy-mm-dd")&amp;"|"&amp;TEXT('Ingest Template'!C241+3, "yyyy-mm-dd"),'Ingest Template'!Q241)))</f>
        <v/>
      </c>
      <c r="AM241" s="35" t="str">
        <f>'Ingest Template'!AC241</f>
        <v/>
      </c>
    </row>
    <row r="242">
      <c r="A242" s="15"/>
      <c r="B242" s="22" t="str">
        <f>'Ingest Template'!C242&amp;IF('Ingest Template'!A242 = "Standard", " - DAR","")</f>
        <v/>
      </c>
      <c r="C242" s="22" t="s">
        <v>83</v>
      </c>
      <c r="D242" s="22" t="str">
        <f t="array" ref="D242">CONCATENATE(INDEX(DropdownLists!$H$2:$H$11,MATCH(1,COUNTIF('Ingest Template'!E242,"*"&amp;DropdownLists!$I$2:$I$11&amp;"*"),0)),CHAR(10),'Ingest Template'!F242,CHAR(10),'Ingest Template'!G242,CHAR(10),VLOOKUP('Ingest Template'!D242,DropdownLists!C:D,2,FALSE))</f>
        <v>#N/A</v>
      </c>
      <c r="E242" s="22" t="str">
        <f>CONCATENATE('Ingest Template'!H242,CHAR(10),'Ingest Template'!I242,CHAR(10),'Ingest Template'!J242,CHAR(10))</f>
        <v>
</v>
      </c>
      <c r="F242" s="35" t="str">
        <f t="array" ref="F242">INDEX(DropdownLists!$O$2:$O$36,MATCH(1,COUNTIF(E242,"*"&amp;DropdownLists!$N$2:$N$36&amp;"*"),0))</f>
        <v/>
      </c>
      <c r="G242" s="35"/>
      <c r="H242" s="22" t="str">
        <f t="array" ref="H242">INDEX(DropdownLists!$E$2:$E$276,MATCH('Ingest Template'!D242,DropdownLists!$C$2:$C$276,0))</f>
        <v>#N/A</v>
      </c>
      <c r="I242" s="22"/>
      <c r="J242" s="22" t="str">
        <f t="array" ref="J242">iF('Ingest Template'!A242="Standard","Pristine Brand",INDEX(DropdownLists!$B$2:$B$246,MATCH('Ingest Template'!D242,DropdownLists!$C$2:$C$246,0)))</f>
        <v>#N/A</v>
      </c>
      <c r="K242" s="22" t="str">
        <f>iF('Ingest Template'!A242="Standard",'Ingest Template'!K242&amp;CHAR(10)&amp;'Ingest Template'!L242,"Competitive View")</f>
        <v>Competitive View</v>
      </c>
      <c r="L242" s="22" t="s">
        <v>95</v>
      </c>
      <c r="M242" s="45" t="str">
        <f>'Ingest Template'!B242</f>
        <v/>
      </c>
      <c r="N242" s="35"/>
      <c r="O242" s="35"/>
      <c r="P242" s="35"/>
      <c r="Q242" s="35"/>
      <c r="R242" s="35" t="str">
        <f>'Ingest Template'!D242</f>
        <v/>
      </c>
      <c r="S242" s="22" t="s">
        <v>101</v>
      </c>
      <c r="T242" s="35" t="str">
        <f>'Ingest Template'!V242</f>
        <v/>
      </c>
      <c r="U242" s="35" t="str">
        <f>'Ingest Template'!W242</f>
        <v/>
      </c>
      <c r="V242" s="35" t="str">
        <f>LOWER(SUBSTITUTE(SUBSTITUTE(SUBSTITUTE(SUBSTITUTE(SUBSTITUTE('Ingest Template'!X242,"https:",""),"www.",""),"/",""),"?hl=en",""),"instagram.com",""))</f>
        <v/>
      </c>
      <c r="W242" s="74" t="str">
        <f t="array" ref="W242">IF(
'Ingest Template'!Y242="",
SUBSTITUTE(
INDEX(DropdownLists!$F$2:$F$277,MATCH('Ingest Template'!D242,DropdownLists!$C$2:$C$277,0)),
CHAR(10),
"|"&amp;'Ingest Template'!C242&amp;CHAR(10)
)&amp;"|"&amp;'Ingest Template'!C242,
SUBSTITUTE(
INDEX(DropdownLists!$F$2:$F$277,MATCH('Ingest Template'!D242,DropdownLists!$C$2:$C$277,0)),
CHAR(10),
"|"&amp;'Ingest Template'!C242&amp;CHAR(10)
)&amp;"|"&amp;'Ingest Template'!C242&amp;CHAR(10)&amp;'Ingest Template'!Y242
)</f>
        <v>#N/A</v>
      </c>
      <c r="X242" s="74" t="str">
        <f>'Ingest Template'!Z242</f>
        <v/>
      </c>
      <c r="Y242" s="35" t="str">
        <f>SUBSTITUTE(SUBSTITUTE(SUBSTITUTE('Ingest Template'!AA242,"http:",""),"https:",""),"/","")</f>
        <v/>
      </c>
      <c r="Z242" s="35" t="str">
        <f t="array" ref="Z242">IF('Ingest Template'!A242="Standard",(IF(ISBLANK('Ingest Template'!AB242),"", 'Ingest Template'!AB242&amp;"|DAR")),(IF(ISBLANK('Ingest Template'!AB242),"", 'Ingest Template'!AB242&amp;"|TV Ops")))</f>
        <v/>
      </c>
      <c r="AA242" s="35"/>
      <c r="AB242" s="35" t="str">
        <f>'Ingest Template'!R242</f>
        <v/>
      </c>
      <c r="AC242" s="35" t="str">
        <f>'Ingest Template'!T242</f>
        <v/>
      </c>
      <c r="AD242" s="35" t="str">
        <f>'Ingest Template'!S242</f>
        <v/>
      </c>
      <c r="AE242" s="35" t="str">
        <f>'Ingest Template'!U242</f>
        <v/>
      </c>
      <c r="AF242" s="22"/>
      <c r="AG242" s="35" t="str">
        <f t="array" ref="AG242">IF('Ingest Template'!A242="Standard",(CONCATENATE(IF(ISBLANK('Ingest Template'!N242),"", 'Ingest Template'!N242&amp;"|DAR"),CHAR(10), IF(ISBLANK('Ingest Template'!O242),"", 'Ingest Template'!O242&amp;"|DAR"),CHAR(10), IF(ISBLANK('Ingest Template'!P242),"", 'Ingest Template'!P242&amp;"|DAR"))),(CONCATENATE(IF(ISBLANK('Ingest Template'!N242),"", 'Ingest Template'!N242&amp;"|TV Ops"),CHAR(10), IF(ISBLANK('Ingest Template'!O242),"", 'Ingest Template'!O242&amp;"|TV Ops"),CHAR(10), IF(ISBLANK('Ingest Template'!P242),"", 'Ingest Template'!P242&amp;"|TV Ops"))))</f>
        <v>
</v>
      </c>
      <c r="AH242" s="35"/>
      <c r="AI242" s="35"/>
      <c r="AJ242" s="117" t="str">
        <f>if('Ingest Template'!A242="Standard",(IF(OR('Ingest Template'!F242 = "Program Type - Special", 'Ingest Template'!F242 = "Program Type - Live Event"),'Ingest Template'!M242&amp; "|DAR|DAR|"&amp;TEXT('Ingest Template'!C242-3, "yyyy-mm-dd")&amp;"|"&amp;TEXT('Ingest Template'!C242+3, "yyyy-mm-dd"),'Ingest Template'!M242&amp; "|DAR|DAR|2021-01-01")),(IF(OR('Ingest Template'!F242 = "Program Type - Special", 'Ingest Template'!F242 = "Program Type - Live Event"),'Ingest Template'!M242&amp; "|Operations - Core Title|Operations - Core Title|"&amp;TEXT('Ingest Template'!C242-3, "yyyy-mm-dd")&amp;"|"&amp;TEXT('Ingest Template'!C242+3, "yyyy-mm-dd"),'Ingest Template'!M242&amp; "|Operations - Core Title|Operations - Core Title")))</f>
        <v>|Operations - Core Title|Operations - Core Title</v>
      </c>
      <c r="AK242" s="35"/>
      <c r="AL242" s="117" t="str">
        <f>if('Ingest Template'!A242="Standard",(IF(OR('Ingest Template'!F242 = "Program Type - Special", 'Ingest Template'!F242 = "Program Type - Live Event"),'Ingest Template'!Q242&amp;"|"&amp;TEXT('Ingest Template'!C242-3, "yyyy-mm-dd")&amp;"|"&amp;TEXT('Ingest Template'!C242+3, "yyyy-mm-dd"),'Ingest Template'!Q242&amp; "|2021-01-01")),(IF(OR('Ingest Template'!F242 = "Program Type - Special", 'Ingest Template'!F242 = "Program Type - Live Event"),'Ingest Template'!Q242&amp; "|"&amp;TEXT('Ingest Template'!C242-3, "yyyy-mm-dd")&amp;"|"&amp;TEXT('Ingest Template'!C242+3, "yyyy-mm-dd"),'Ingest Template'!Q242)))</f>
        <v/>
      </c>
      <c r="AM242" s="35" t="str">
        <f>'Ingest Template'!AC242</f>
        <v/>
      </c>
    </row>
    <row r="243">
      <c r="A243" s="15"/>
      <c r="B243" s="22" t="str">
        <f>'Ingest Template'!C243&amp;IF('Ingest Template'!A243 = "Standard", " - DAR","")</f>
        <v/>
      </c>
      <c r="C243" s="22" t="s">
        <v>83</v>
      </c>
      <c r="D243" s="22" t="str">
        <f t="array" ref="D243">CONCATENATE(INDEX(DropdownLists!$H$2:$H$11,MATCH(1,COUNTIF('Ingest Template'!E243,"*"&amp;DropdownLists!$I$2:$I$11&amp;"*"),0)),CHAR(10),'Ingest Template'!F243,CHAR(10),'Ingest Template'!G243,CHAR(10),VLOOKUP('Ingest Template'!D243,DropdownLists!C:D,2,FALSE))</f>
        <v>#N/A</v>
      </c>
      <c r="E243" s="22" t="str">
        <f>CONCATENATE('Ingest Template'!H243,CHAR(10),'Ingest Template'!I243,CHAR(10),'Ingest Template'!J243,CHAR(10))</f>
        <v>
</v>
      </c>
      <c r="F243" s="35" t="str">
        <f t="array" ref="F243">INDEX(DropdownLists!$O$2:$O$36,MATCH(1,COUNTIF(E243,"*"&amp;DropdownLists!$N$2:$N$36&amp;"*"),0))</f>
        <v/>
      </c>
      <c r="G243" s="35"/>
      <c r="H243" s="22" t="str">
        <f t="array" ref="H243">INDEX(DropdownLists!$E$2:$E$276,MATCH('Ingest Template'!D243,DropdownLists!$C$2:$C$276,0))</f>
        <v>#N/A</v>
      </c>
      <c r="I243" s="22"/>
      <c r="J243" s="22" t="str">
        <f t="array" ref="J243">iF('Ingest Template'!A243="Standard","Pristine Brand",INDEX(DropdownLists!$B$2:$B$246,MATCH('Ingest Template'!D243,DropdownLists!$C$2:$C$246,0)))</f>
        <v>#N/A</v>
      </c>
      <c r="K243" s="22" t="str">
        <f>iF('Ingest Template'!A243="Standard",'Ingest Template'!K243&amp;CHAR(10)&amp;'Ingest Template'!L243,"Competitive View")</f>
        <v>Competitive View</v>
      </c>
      <c r="L243" s="22" t="s">
        <v>95</v>
      </c>
      <c r="M243" s="45" t="str">
        <f>'Ingest Template'!B243</f>
        <v/>
      </c>
      <c r="N243" s="35"/>
      <c r="O243" s="35"/>
      <c r="P243" s="35"/>
      <c r="Q243" s="35"/>
      <c r="R243" s="35" t="str">
        <f>'Ingest Template'!D243</f>
        <v/>
      </c>
      <c r="S243" s="22" t="s">
        <v>101</v>
      </c>
      <c r="T243" s="35" t="str">
        <f>'Ingest Template'!V243</f>
        <v/>
      </c>
      <c r="U243" s="35" t="str">
        <f>'Ingest Template'!W243</f>
        <v/>
      </c>
      <c r="V243" s="35" t="str">
        <f>LOWER(SUBSTITUTE(SUBSTITUTE(SUBSTITUTE(SUBSTITUTE(SUBSTITUTE('Ingest Template'!X243,"https:",""),"www.",""),"/",""),"?hl=en",""),"instagram.com",""))</f>
        <v/>
      </c>
      <c r="W243" s="74" t="str">
        <f t="array" ref="W243">IF(
'Ingest Template'!Y243="",
SUBSTITUTE(
INDEX(DropdownLists!$F$2:$F$277,MATCH('Ingest Template'!D243,DropdownLists!$C$2:$C$277,0)),
CHAR(10),
"|"&amp;'Ingest Template'!C243&amp;CHAR(10)
)&amp;"|"&amp;'Ingest Template'!C243,
SUBSTITUTE(
INDEX(DropdownLists!$F$2:$F$277,MATCH('Ingest Template'!D243,DropdownLists!$C$2:$C$277,0)),
CHAR(10),
"|"&amp;'Ingest Template'!C243&amp;CHAR(10)
)&amp;"|"&amp;'Ingest Template'!C243&amp;CHAR(10)&amp;'Ingest Template'!Y243
)</f>
        <v>#N/A</v>
      </c>
      <c r="X243" s="74" t="str">
        <f>'Ingest Template'!Z243</f>
        <v/>
      </c>
      <c r="Y243" s="35" t="str">
        <f>SUBSTITUTE(SUBSTITUTE(SUBSTITUTE('Ingest Template'!AA243,"http:",""),"https:",""),"/","")</f>
        <v/>
      </c>
      <c r="Z243" s="35" t="str">
        <f t="array" ref="Z243">IF('Ingest Template'!A243="Standard",(IF(ISBLANK('Ingest Template'!AB243),"", 'Ingest Template'!AB243&amp;"|DAR")),(IF(ISBLANK('Ingest Template'!AB243),"", 'Ingest Template'!AB243&amp;"|TV Ops")))</f>
        <v/>
      </c>
      <c r="AA243" s="35"/>
      <c r="AB243" s="35" t="str">
        <f>'Ingest Template'!R243</f>
        <v/>
      </c>
      <c r="AC243" s="35" t="str">
        <f>'Ingest Template'!T243</f>
        <v/>
      </c>
      <c r="AD243" s="35" t="str">
        <f>'Ingest Template'!S243</f>
        <v/>
      </c>
      <c r="AE243" s="35" t="str">
        <f>'Ingest Template'!U243</f>
        <v/>
      </c>
      <c r="AF243" s="22"/>
      <c r="AG243" s="35" t="str">
        <f t="array" ref="AG243">IF('Ingest Template'!A243="Standard",(CONCATENATE(IF(ISBLANK('Ingest Template'!N243),"", 'Ingest Template'!N243&amp;"|DAR"),CHAR(10), IF(ISBLANK('Ingest Template'!O243),"", 'Ingest Template'!O243&amp;"|DAR"),CHAR(10), IF(ISBLANK('Ingest Template'!P243),"", 'Ingest Template'!P243&amp;"|DAR"))),(CONCATENATE(IF(ISBLANK('Ingest Template'!N243),"", 'Ingest Template'!N243&amp;"|TV Ops"),CHAR(10), IF(ISBLANK('Ingest Template'!O243),"", 'Ingest Template'!O243&amp;"|TV Ops"),CHAR(10), IF(ISBLANK('Ingest Template'!P243),"", 'Ingest Template'!P243&amp;"|TV Ops"))))</f>
        <v>
</v>
      </c>
      <c r="AH243" s="35"/>
      <c r="AI243" s="35"/>
      <c r="AJ243" s="117" t="str">
        <f>if('Ingest Template'!A243="Standard",(IF(OR('Ingest Template'!F243 = "Program Type - Special", 'Ingest Template'!F243 = "Program Type - Live Event"),'Ingest Template'!M243&amp; "|DAR|DAR|"&amp;TEXT('Ingest Template'!C243-3, "yyyy-mm-dd")&amp;"|"&amp;TEXT('Ingest Template'!C243+3, "yyyy-mm-dd"),'Ingest Template'!M243&amp; "|DAR|DAR|2021-01-01")),(IF(OR('Ingest Template'!F243 = "Program Type - Special", 'Ingest Template'!F243 = "Program Type - Live Event"),'Ingest Template'!M243&amp; "|Operations - Core Title|Operations - Core Title|"&amp;TEXT('Ingest Template'!C243-3, "yyyy-mm-dd")&amp;"|"&amp;TEXT('Ingest Template'!C243+3, "yyyy-mm-dd"),'Ingest Template'!M243&amp; "|Operations - Core Title|Operations - Core Title")))</f>
        <v>|Operations - Core Title|Operations - Core Title</v>
      </c>
      <c r="AK243" s="35"/>
      <c r="AL243" s="117" t="str">
        <f>if('Ingest Template'!A243="Standard",(IF(OR('Ingest Template'!F243 = "Program Type - Special", 'Ingest Template'!F243 = "Program Type - Live Event"),'Ingest Template'!Q243&amp;"|"&amp;TEXT('Ingest Template'!C243-3, "yyyy-mm-dd")&amp;"|"&amp;TEXT('Ingest Template'!C243+3, "yyyy-mm-dd"),'Ingest Template'!Q243&amp; "|2021-01-01")),(IF(OR('Ingest Template'!F243 = "Program Type - Special", 'Ingest Template'!F243 = "Program Type - Live Event"),'Ingest Template'!Q243&amp; "|"&amp;TEXT('Ingest Template'!C243-3, "yyyy-mm-dd")&amp;"|"&amp;TEXT('Ingest Template'!C243+3, "yyyy-mm-dd"),'Ingest Template'!Q243)))</f>
        <v/>
      </c>
      <c r="AM243" s="35" t="str">
        <f>'Ingest Template'!AC243</f>
        <v/>
      </c>
    </row>
    <row r="244">
      <c r="A244" s="15"/>
      <c r="B244" s="22" t="str">
        <f>'Ingest Template'!C244&amp;IF('Ingest Template'!A244 = "Standard", " - DAR","")</f>
        <v/>
      </c>
      <c r="C244" s="22" t="s">
        <v>83</v>
      </c>
      <c r="D244" s="22" t="str">
        <f t="array" ref="D244">CONCATENATE(INDEX(DropdownLists!$H$2:$H$11,MATCH(1,COUNTIF('Ingest Template'!E244,"*"&amp;DropdownLists!$I$2:$I$11&amp;"*"),0)),CHAR(10),'Ingest Template'!F244,CHAR(10),'Ingest Template'!G244,CHAR(10),VLOOKUP('Ingest Template'!D244,DropdownLists!C:D,2,FALSE))</f>
        <v>#N/A</v>
      </c>
      <c r="E244" s="22" t="str">
        <f>CONCATENATE('Ingest Template'!H244,CHAR(10),'Ingest Template'!I244,CHAR(10),'Ingest Template'!J244,CHAR(10))</f>
        <v>
</v>
      </c>
      <c r="F244" s="35" t="str">
        <f t="array" ref="F244">INDEX(DropdownLists!$O$2:$O$36,MATCH(1,COUNTIF(E244,"*"&amp;DropdownLists!$N$2:$N$36&amp;"*"),0))</f>
        <v/>
      </c>
      <c r="G244" s="35"/>
      <c r="H244" s="22" t="str">
        <f t="array" ref="H244">INDEX(DropdownLists!$E$2:$E$276,MATCH('Ingest Template'!D244,DropdownLists!$C$2:$C$276,0))</f>
        <v>#N/A</v>
      </c>
      <c r="I244" s="22"/>
      <c r="J244" s="22" t="str">
        <f t="array" ref="J244">iF('Ingest Template'!A244="Standard","Pristine Brand",INDEX(DropdownLists!$B$2:$B$246,MATCH('Ingest Template'!D244,DropdownLists!$C$2:$C$246,0)))</f>
        <v>#N/A</v>
      </c>
      <c r="K244" s="22" t="str">
        <f>iF('Ingest Template'!A244="Standard",'Ingest Template'!K244&amp;CHAR(10)&amp;'Ingest Template'!L244,"Competitive View")</f>
        <v>Competitive View</v>
      </c>
      <c r="L244" s="22" t="s">
        <v>95</v>
      </c>
      <c r="M244" s="45" t="str">
        <f>'Ingest Template'!B244</f>
        <v/>
      </c>
      <c r="N244" s="35"/>
      <c r="O244" s="35"/>
      <c r="P244" s="35"/>
      <c r="Q244" s="35"/>
      <c r="R244" s="35" t="str">
        <f>'Ingest Template'!D244</f>
        <v/>
      </c>
      <c r="S244" s="22" t="s">
        <v>101</v>
      </c>
      <c r="T244" s="35" t="str">
        <f>'Ingest Template'!V244</f>
        <v/>
      </c>
      <c r="U244" s="35" t="str">
        <f>'Ingest Template'!W244</f>
        <v/>
      </c>
      <c r="V244" s="35" t="str">
        <f>LOWER(SUBSTITUTE(SUBSTITUTE(SUBSTITUTE(SUBSTITUTE(SUBSTITUTE('Ingest Template'!X244,"https:",""),"www.",""),"/",""),"?hl=en",""),"instagram.com",""))</f>
        <v/>
      </c>
      <c r="W244" s="74" t="str">
        <f t="array" ref="W244">IF(
'Ingest Template'!Y244="",
SUBSTITUTE(
INDEX(DropdownLists!$F$2:$F$277,MATCH('Ingest Template'!D244,DropdownLists!$C$2:$C$277,0)),
CHAR(10),
"|"&amp;'Ingest Template'!C244&amp;CHAR(10)
)&amp;"|"&amp;'Ingest Template'!C244,
SUBSTITUTE(
INDEX(DropdownLists!$F$2:$F$277,MATCH('Ingest Template'!D244,DropdownLists!$C$2:$C$277,0)),
CHAR(10),
"|"&amp;'Ingest Template'!C244&amp;CHAR(10)
)&amp;"|"&amp;'Ingest Template'!C244&amp;CHAR(10)&amp;'Ingest Template'!Y244
)</f>
        <v>#N/A</v>
      </c>
      <c r="X244" s="74" t="str">
        <f>'Ingest Template'!Z244</f>
        <v/>
      </c>
      <c r="Y244" s="35" t="str">
        <f>SUBSTITUTE(SUBSTITUTE(SUBSTITUTE('Ingest Template'!AA244,"http:",""),"https:",""),"/","")</f>
        <v/>
      </c>
      <c r="Z244" s="35" t="str">
        <f t="array" ref="Z244">IF('Ingest Template'!A244="Standard",(IF(ISBLANK('Ingest Template'!AB244),"", 'Ingest Template'!AB244&amp;"|DAR")),(IF(ISBLANK('Ingest Template'!AB244),"", 'Ingest Template'!AB244&amp;"|TV Ops")))</f>
        <v/>
      </c>
      <c r="AA244" s="35"/>
      <c r="AB244" s="35" t="str">
        <f>'Ingest Template'!R244</f>
        <v/>
      </c>
      <c r="AC244" s="35" t="str">
        <f>'Ingest Template'!T244</f>
        <v/>
      </c>
      <c r="AD244" s="35" t="str">
        <f>'Ingest Template'!S244</f>
        <v/>
      </c>
      <c r="AE244" s="35" t="str">
        <f>'Ingest Template'!U244</f>
        <v/>
      </c>
      <c r="AF244" s="22"/>
      <c r="AG244" s="35" t="str">
        <f t="array" ref="AG244">IF('Ingest Template'!A244="Standard",(CONCATENATE(IF(ISBLANK('Ingest Template'!N244),"", 'Ingest Template'!N244&amp;"|DAR"),CHAR(10), IF(ISBLANK('Ingest Template'!O244),"", 'Ingest Template'!O244&amp;"|DAR"),CHAR(10), IF(ISBLANK('Ingest Template'!P244),"", 'Ingest Template'!P244&amp;"|DAR"))),(CONCATENATE(IF(ISBLANK('Ingest Template'!N244),"", 'Ingest Template'!N244&amp;"|TV Ops"),CHAR(10), IF(ISBLANK('Ingest Template'!O244),"", 'Ingest Template'!O244&amp;"|TV Ops"),CHAR(10), IF(ISBLANK('Ingest Template'!P244),"", 'Ingest Template'!P244&amp;"|TV Ops"))))</f>
        <v>
</v>
      </c>
      <c r="AH244" s="35"/>
      <c r="AI244" s="35"/>
      <c r="AJ244" s="117" t="str">
        <f>if('Ingest Template'!A244="Standard",(IF(OR('Ingest Template'!F244 = "Program Type - Special", 'Ingest Template'!F244 = "Program Type - Live Event"),'Ingest Template'!M244&amp; "|DAR|DAR|"&amp;TEXT('Ingest Template'!C244-3, "yyyy-mm-dd")&amp;"|"&amp;TEXT('Ingest Template'!C244+3, "yyyy-mm-dd"),'Ingest Template'!M244&amp; "|DAR|DAR|2021-01-01")),(IF(OR('Ingest Template'!F244 = "Program Type - Special", 'Ingest Template'!F244 = "Program Type - Live Event"),'Ingest Template'!M244&amp; "|Operations - Core Title|Operations - Core Title|"&amp;TEXT('Ingest Template'!C244-3, "yyyy-mm-dd")&amp;"|"&amp;TEXT('Ingest Template'!C244+3, "yyyy-mm-dd"),'Ingest Template'!M244&amp; "|Operations - Core Title|Operations - Core Title")))</f>
        <v>|Operations - Core Title|Operations - Core Title</v>
      </c>
      <c r="AK244" s="35"/>
      <c r="AL244" s="117" t="str">
        <f>if('Ingest Template'!A244="Standard",(IF(OR('Ingest Template'!F244 = "Program Type - Special", 'Ingest Template'!F244 = "Program Type - Live Event"),'Ingest Template'!Q244&amp;"|"&amp;TEXT('Ingest Template'!C244-3, "yyyy-mm-dd")&amp;"|"&amp;TEXT('Ingest Template'!C244+3, "yyyy-mm-dd"),'Ingest Template'!Q244&amp; "|2021-01-01")),(IF(OR('Ingest Template'!F244 = "Program Type - Special", 'Ingest Template'!F244 = "Program Type - Live Event"),'Ingest Template'!Q244&amp; "|"&amp;TEXT('Ingest Template'!C244-3, "yyyy-mm-dd")&amp;"|"&amp;TEXT('Ingest Template'!C244+3, "yyyy-mm-dd"),'Ingest Template'!Q244)))</f>
        <v/>
      </c>
      <c r="AM244" s="35" t="str">
        <f>'Ingest Template'!AC244</f>
        <v/>
      </c>
    </row>
    <row r="245">
      <c r="A245" s="15"/>
      <c r="B245" s="22" t="str">
        <f>'Ingest Template'!C245&amp;IF('Ingest Template'!A245 = "Standard", " - DAR","")</f>
        <v/>
      </c>
      <c r="C245" s="22" t="s">
        <v>83</v>
      </c>
      <c r="D245" s="22" t="str">
        <f t="array" ref="D245">CONCATENATE(INDEX(DropdownLists!$H$2:$H$11,MATCH(1,COUNTIF('Ingest Template'!E245,"*"&amp;DropdownLists!$I$2:$I$11&amp;"*"),0)),CHAR(10),'Ingest Template'!F245,CHAR(10),'Ingest Template'!G245,CHAR(10),VLOOKUP('Ingest Template'!D245,DropdownLists!C:D,2,FALSE))</f>
        <v>#N/A</v>
      </c>
      <c r="E245" s="22" t="str">
        <f>CONCATENATE('Ingest Template'!H245,CHAR(10),'Ingest Template'!I245,CHAR(10),'Ingest Template'!J245,CHAR(10))</f>
        <v>
</v>
      </c>
      <c r="F245" s="35" t="str">
        <f t="array" ref="F245">INDEX(DropdownLists!$O$2:$O$36,MATCH(1,COUNTIF(E245,"*"&amp;DropdownLists!$N$2:$N$36&amp;"*"),0))</f>
        <v/>
      </c>
      <c r="G245" s="35"/>
      <c r="H245" s="22" t="str">
        <f t="array" ref="H245">INDEX(DropdownLists!$E$2:$E$276,MATCH('Ingest Template'!D245,DropdownLists!$C$2:$C$276,0))</f>
        <v>#N/A</v>
      </c>
      <c r="I245" s="22"/>
      <c r="J245" s="22" t="str">
        <f t="array" ref="J245">iF('Ingest Template'!A245="Standard","Pristine Brand",INDEX(DropdownLists!$B$2:$B$246,MATCH('Ingest Template'!D245,DropdownLists!$C$2:$C$246,0)))</f>
        <v>#N/A</v>
      </c>
      <c r="K245" s="22" t="str">
        <f>iF('Ingest Template'!A245="Standard",'Ingest Template'!K245&amp;CHAR(10)&amp;'Ingest Template'!L245,"Competitive View")</f>
        <v>Competitive View</v>
      </c>
      <c r="L245" s="22" t="s">
        <v>95</v>
      </c>
      <c r="M245" s="45" t="str">
        <f>'Ingest Template'!B245</f>
        <v/>
      </c>
      <c r="N245" s="35"/>
      <c r="O245" s="35"/>
      <c r="P245" s="35"/>
      <c r="Q245" s="35"/>
      <c r="R245" s="35" t="str">
        <f>'Ingest Template'!D245</f>
        <v/>
      </c>
      <c r="S245" s="22" t="s">
        <v>101</v>
      </c>
      <c r="T245" s="35" t="str">
        <f>'Ingest Template'!V245</f>
        <v/>
      </c>
      <c r="U245" s="35" t="str">
        <f>'Ingest Template'!W245</f>
        <v/>
      </c>
      <c r="V245" s="35" t="str">
        <f>LOWER(SUBSTITUTE(SUBSTITUTE(SUBSTITUTE(SUBSTITUTE(SUBSTITUTE('Ingest Template'!X245,"https:",""),"www.",""),"/",""),"?hl=en",""),"instagram.com",""))</f>
        <v/>
      </c>
      <c r="W245" s="74" t="str">
        <f t="array" ref="W245">IF(
'Ingest Template'!Y245="",
SUBSTITUTE(
INDEX(DropdownLists!$F$2:$F$277,MATCH('Ingest Template'!D245,DropdownLists!$C$2:$C$277,0)),
CHAR(10),
"|"&amp;'Ingest Template'!C245&amp;CHAR(10)
)&amp;"|"&amp;'Ingest Template'!C245,
SUBSTITUTE(
INDEX(DropdownLists!$F$2:$F$277,MATCH('Ingest Template'!D245,DropdownLists!$C$2:$C$277,0)),
CHAR(10),
"|"&amp;'Ingest Template'!C245&amp;CHAR(10)
)&amp;"|"&amp;'Ingest Template'!C245&amp;CHAR(10)&amp;'Ingest Template'!Y245
)</f>
        <v>#N/A</v>
      </c>
      <c r="X245" s="74" t="str">
        <f>'Ingest Template'!Z245</f>
        <v/>
      </c>
      <c r="Y245" s="35" t="str">
        <f>SUBSTITUTE(SUBSTITUTE(SUBSTITUTE('Ingest Template'!AA245,"http:",""),"https:",""),"/","")</f>
        <v/>
      </c>
      <c r="Z245" s="35" t="str">
        <f t="array" ref="Z245">IF('Ingest Template'!A245="Standard",(IF(ISBLANK('Ingest Template'!AB245),"", 'Ingest Template'!AB245&amp;"|DAR")),(IF(ISBLANK('Ingest Template'!AB245),"", 'Ingest Template'!AB245&amp;"|TV Ops")))</f>
        <v/>
      </c>
      <c r="AA245" s="35"/>
      <c r="AB245" s="35" t="str">
        <f>'Ingest Template'!R245</f>
        <v/>
      </c>
      <c r="AC245" s="35" t="str">
        <f>'Ingest Template'!T245</f>
        <v/>
      </c>
      <c r="AD245" s="35" t="str">
        <f>'Ingest Template'!S245</f>
        <v/>
      </c>
      <c r="AE245" s="35" t="str">
        <f>'Ingest Template'!U245</f>
        <v/>
      </c>
      <c r="AF245" s="22"/>
      <c r="AG245" s="35" t="str">
        <f t="array" ref="AG245">IF('Ingest Template'!A245="Standard",(CONCATENATE(IF(ISBLANK('Ingest Template'!N245),"", 'Ingest Template'!N245&amp;"|DAR"),CHAR(10), IF(ISBLANK('Ingest Template'!O245),"", 'Ingest Template'!O245&amp;"|DAR"),CHAR(10), IF(ISBLANK('Ingest Template'!P245),"", 'Ingest Template'!P245&amp;"|DAR"))),(CONCATENATE(IF(ISBLANK('Ingest Template'!N245),"", 'Ingest Template'!N245&amp;"|TV Ops"),CHAR(10), IF(ISBLANK('Ingest Template'!O245),"", 'Ingest Template'!O245&amp;"|TV Ops"),CHAR(10), IF(ISBLANK('Ingest Template'!P245),"", 'Ingest Template'!P245&amp;"|TV Ops"))))</f>
        <v>
</v>
      </c>
      <c r="AH245" s="35"/>
      <c r="AI245" s="35"/>
      <c r="AJ245" s="117" t="str">
        <f>if('Ingest Template'!A245="Standard",(IF(OR('Ingest Template'!F245 = "Program Type - Special", 'Ingest Template'!F245 = "Program Type - Live Event"),'Ingest Template'!M245&amp; "|DAR|DAR|"&amp;TEXT('Ingest Template'!C245-3, "yyyy-mm-dd")&amp;"|"&amp;TEXT('Ingest Template'!C245+3, "yyyy-mm-dd"),'Ingest Template'!M245&amp; "|DAR|DAR|2021-01-01")),(IF(OR('Ingest Template'!F245 = "Program Type - Special", 'Ingest Template'!F245 = "Program Type - Live Event"),'Ingest Template'!M245&amp; "|Operations - Core Title|Operations - Core Title|"&amp;TEXT('Ingest Template'!C245-3, "yyyy-mm-dd")&amp;"|"&amp;TEXT('Ingest Template'!C245+3, "yyyy-mm-dd"),'Ingest Template'!M245&amp; "|Operations - Core Title|Operations - Core Title")))</f>
        <v>|Operations - Core Title|Operations - Core Title</v>
      </c>
      <c r="AK245" s="35"/>
      <c r="AL245" s="117" t="str">
        <f>if('Ingest Template'!A245="Standard",(IF(OR('Ingest Template'!F245 = "Program Type - Special", 'Ingest Template'!F245 = "Program Type - Live Event"),'Ingest Template'!Q245&amp;"|"&amp;TEXT('Ingest Template'!C245-3, "yyyy-mm-dd")&amp;"|"&amp;TEXT('Ingest Template'!C245+3, "yyyy-mm-dd"),'Ingest Template'!Q245&amp; "|2021-01-01")),(IF(OR('Ingest Template'!F245 = "Program Type - Special", 'Ingest Template'!F245 = "Program Type - Live Event"),'Ingest Template'!Q245&amp; "|"&amp;TEXT('Ingest Template'!C245-3, "yyyy-mm-dd")&amp;"|"&amp;TEXT('Ingest Template'!C245+3, "yyyy-mm-dd"),'Ingest Template'!Q245)))</f>
        <v/>
      </c>
      <c r="AM245" s="35" t="str">
        <f>'Ingest Template'!AC245</f>
        <v/>
      </c>
    </row>
    <row r="246">
      <c r="A246" s="15"/>
      <c r="B246" s="22" t="str">
        <f>'Ingest Template'!C246&amp;IF('Ingest Template'!A246 = "Standard", " - DAR","")</f>
        <v/>
      </c>
      <c r="C246" s="22" t="s">
        <v>83</v>
      </c>
      <c r="D246" s="22" t="str">
        <f t="array" ref="D246">CONCATENATE(INDEX(DropdownLists!$H$2:$H$11,MATCH(1,COUNTIF('Ingest Template'!E246,"*"&amp;DropdownLists!$I$2:$I$11&amp;"*"),0)),CHAR(10),'Ingest Template'!F246,CHAR(10),'Ingest Template'!G246,CHAR(10),VLOOKUP('Ingest Template'!D246,DropdownLists!C:D,2,FALSE))</f>
        <v>#N/A</v>
      </c>
      <c r="E246" s="22" t="str">
        <f>CONCATENATE('Ingest Template'!H246,CHAR(10),'Ingest Template'!I246,CHAR(10),'Ingest Template'!J246,CHAR(10))</f>
        <v>
</v>
      </c>
      <c r="F246" s="35" t="str">
        <f t="array" ref="F246">INDEX(DropdownLists!$O$2:$O$36,MATCH(1,COUNTIF(E246,"*"&amp;DropdownLists!$N$2:$N$36&amp;"*"),0))</f>
        <v/>
      </c>
      <c r="G246" s="35"/>
      <c r="H246" s="22" t="str">
        <f t="array" ref="H246">INDEX(DropdownLists!$E$2:$E$276,MATCH('Ingest Template'!D246,DropdownLists!$C$2:$C$276,0))</f>
        <v>#N/A</v>
      </c>
      <c r="I246" s="22"/>
      <c r="J246" s="22" t="str">
        <f t="array" ref="J246">iF('Ingest Template'!A246="Standard","Pristine Brand",INDEX(DropdownLists!$B$2:$B$246,MATCH('Ingest Template'!D246,DropdownLists!$C$2:$C$246,0)))</f>
        <v>#N/A</v>
      </c>
      <c r="K246" s="22" t="str">
        <f>iF('Ingest Template'!A246="Standard",'Ingest Template'!K246&amp;CHAR(10)&amp;'Ingest Template'!L246,"Competitive View")</f>
        <v>Competitive View</v>
      </c>
      <c r="L246" s="22" t="s">
        <v>95</v>
      </c>
      <c r="M246" s="45" t="str">
        <f>'Ingest Template'!B246</f>
        <v/>
      </c>
      <c r="N246" s="35"/>
      <c r="O246" s="35"/>
      <c r="P246" s="35"/>
      <c r="Q246" s="35"/>
      <c r="R246" s="35" t="str">
        <f>'Ingest Template'!D246</f>
        <v/>
      </c>
      <c r="S246" s="22" t="s">
        <v>101</v>
      </c>
      <c r="T246" s="35" t="str">
        <f>'Ingest Template'!V246</f>
        <v/>
      </c>
      <c r="U246" s="35" t="str">
        <f>'Ingest Template'!W246</f>
        <v/>
      </c>
      <c r="V246" s="35" t="str">
        <f>LOWER(SUBSTITUTE(SUBSTITUTE(SUBSTITUTE(SUBSTITUTE(SUBSTITUTE('Ingest Template'!X246,"https:",""),"www.",""),"/",""),"?hl=en",""),"instagram.com",""))</f>
        <v/>
      </c>
      <c r="W246" s="74" t="str">
        <f t="array" ref="W246">IF(
'Ingest Template'!Y246="",
SUBSTITUTE(
INDEX(DropdownLists!$F$2:$F$277,MATCH('Ingest Template'!D246,DropdownLists!$C$2:$C$277,0)),
CHAR(10),
"|"&amp;'Ingest Template'!C246&amp;CHAR(10)
)&amp;"|"&amp;'Ingest Template'!C246,
SUBSTITUTE(
INDEX(DropdownLists!$F$2:$F$277,MATCH('Ingest Template'!D246,DropdownLists!$C$2:$C$277,0)),
CHAR(10),
"|"&amp;'Ingest Template'!C246&amp;CHAR(10)
)&amp;"|"&amp;'Ingest Template'!C246&amp;CHAR(10)&amp;'Ingest Template'!Y246
)</f>
        <v>#N/A</v>
      </c>
      <c r="X246" s="74" t="str">
        <f>'Ingest Template'!Z246</f>
        <v/>
      </c>
      <c r="Y246" s="35" t="str">
        <f>SUBSTITUTE(SUBSTITUTE(SUBSTITUTE('Ingest Template'!AA246,"http:",""),"https:",""),"/","")</f>
        <v/>
      </c>
      <c r="Z246" s="35" t="str">
        <f t="array" ref="Z246">IF('Ingest Template'!A246="Standard",(IF(ISBLANK('Ingest Template'!AB246),"", 'Ingest Template'!AB246&amp;"|DAR")),(IF(ISBLANK('Ingest Template'!AB246),"", 'Ingest Template'!AB246&amp;"|TV Ops")))</f>
        <v/>
      </c>
      <c r="AA246" s="35"/>
      <c r="AB246" s="35" t="str">
        <f>'Ingest Template'!R246</f>
        <v/>
      </c>
      <c r="AC246" s="35" t="str">
        <f>'Ingest Template'!T246</f>
        <v/>
      </c>
      <c r="AD246" s="35" t="str">
        <f>'Ingest Template'!S246</f>
        <v/>
      </c>
      <c r="AE246" s="35" t="str">
        <f>'Ingest Template'!U246</f>
        <v/>
      </c>
      <c r="AF246" s="22"/>
      <c r="AG246" s="35" t="str">
        <f t="array" ref="AG246">IF('Ingest Template'!A246="Standard",(CONCATENATE(IF(ISBLANK('Ingest Template'!N246),"", 'Ingest Template'!N246&amp;"|DAR"),CHAR(10), IF(ISBLANK('Ingest Template'!O246),"", 'Ingest Template'!O246&amp;"|DAR"),CHAR(10), IF(ISBLANK('Ingest Template'!P246),"", 'Ingest Template'!P246&amp;"|DAR"))),(CONCATENATE(IF(ISBLANK('Ingest Template'!N246),"", 'Ingest Template'!N246&amp;"|TV Ops"),CHAR(10), IF(ISBLANK('Ingest Template'!O246),"", 'Ingest Template'!O246&amp;"|TV Ops"),CHAR(10), IF(ISBLANK('Ingest Template'!P246),"", 'Ingest Template'!P246&amp;"|TV Ops"))))</f>
        <v>
</v>
      </c>
      <c r="AH246" s="35"/>
      <c r="AI246" s="35"/>
      <c r="AJ246" s="117" t="str">
        <f>if('Ingest Template'!A246="Standard",(IF(OR('Ingest Template'!F246 = "Program Type - Special", 'Ingest Template'!F246 = "Program Type - Live Event"),'Ingest Template'!M246&amp; "|DAR|DAR|"&amp;TEXT('Ingest Template'!C246-3, "yyyy-mm-dd")&amp;"|"&amp;TEXT('Ingest Template'!C246+3, "yyyy-mm-dd"),'Ingest Template'!M246&amp; "|DAR|DAR|2021-01-01")),(IF(OR('Ingest Template'!F246 = "Program Type - Special", 'Ingest Template'!F246 = "Program Type - Live Event"),'Ingest Template'!M246&amp; "|Operations - Core Title|Operations - Core Title|"&amp;TEXT('Ingest Template'!C246-3, "yyyy-mm-dd")&amp;"|"&amp;TEXT('Ingest Template'!C246+3, "yyyy-mm-dd"),'Ingest Template'!M246&amp; "|Operations - Core Title|Operations - Core Title")))</f>
        <v>|Operations - Core Title|Operations - Core Title</v>
      </c>
      <c r="AK246" s="35"/>
      <c r="AL246" s="117" t="str">
        <f>if('Ingest Template'!A246="Standard",(IF(OR('Ingest Template'!F246 = "Program Type - Special", 'Ingest Template'!F246 = "Program Type - Live Event"),'Ingest Template'!Q246&amp;"|"&amp;TEXT('Ingest Template'!C246-3, "yyyy-mm-dd")&amp;"|"&amp;TEXT('Ingest Template'!C246+3, "yyyy-mm-dd"),'Ingest Template'!Q246&amp; "|2021-01-01")),(IF(OR('Ingest Template'!F246 = "Program Type - Special", 'Ingest Template'!F246 = "Program Type - Live Event"),'Ingest Template'!Q246&amp; "|"&amp;TEXT('Ingest Template'!C246-3, "yyyy-mm-dd")&amp;"|"&amp;TEXT('Ingest Template'!C246+3, "yyyy-mm-dd"),'Ingest Template'!Q246)))</f>
        <v/>
      </c>
      <c r="AM246" s="35" t="str">
        <f>'Ingest Template'!AC246</f>
        <v/>
      </c>
    </row>
    <row r="247">
      <c r="A247" s="15"/>
      <c r="B247" s="22" t="str">
        <f>'Ingest Template'!C247&amp;IF('Ingest Template'!A247 = "Standard", " - DAR","")</f>
        <v/>
      </c>
      <c r="C247" s="22" t="s">
        <v>83</v>
      </c>
      <c r="D247" s="22" t="str">
        <f t="array" ref="D247">CONCATENATE(INDEX(DropdownLists!$H$2:$H$11,MATCH(1,COUNTIF('Ingest Template'!E247,"*"&amp;DropdownLists!$I$2:$I$11&amp;"*"),0)),CHAR(10),'Ingest Template'!F247,CHAR(10),'Ingest Template'!G247,CHAR(10),VLOOKUP('Ingest Template'!D247,DropdownLists!C:D,2,FALSE))</f>
        <v>#N/A</v>
      </c>
      <c r="E247" s="22" t="str">
        <f>CONCATENATE('Ingest Template'!H247,CHAR(10),'Ingest Template'!I247,CHAR(10),'Ingest Template'!J247,CHAR(10))</f>
        <v>
</v>
      </c>
      <c r="F247" s="35" t="str">
        <f t="array" ref="F247">INDEX(DropdownLists!$O$2:$O$36,MATCH(1,COUNTIF(E247,"*"&amp;DropdownLists!$N$2:$N$36&amp;"*"),0))</f>
        <v/>
      </c>
      <c r="G247" s="35"/>
      <c r="H247" s="22" t="str">
        <f t="array" ref="H247">INDEX(DropdownLists!$E$2:$E$276,MATCH('Ingest Template'!D247,DropdownLists!$C$2:$C$276,0))</f>
        <v>#N/A</v>
      </c>
      <c r="I247" s="22"/>
      <c r="J247" s="22" t="str">
        <f t="array" ref="J247">iF('Ingest Template'!A247="Standard","Pristine Brand",INDEX(DropdownLists!$B$2:$B$246,MATCH('Ingest Template'!D247,DropdownLists!$C$2:$C$246,0)))</f>
        <v>#N/A</v>
      </c>
      <c r="K247" s="22" t="str">
        <f>iF('Ingest Template'!A247="Standard",'Ingest Template'!K247&amp;CHAR(10)&amp;'Ingest Template'!L247,"Competitive View")</f>
        <v>Competitive View</v>
      </c>
      <c r="L247" s="22" t="s">
        <v>95</v>
      </c>
      <c r="M247" s="45" t="str">
        <f>'Ingest Template'!B247</f>
        <v/>
      </c>
      <c r="N247" s="35"/>
      <c r="O247" s="35"/>
      <c r="P247" s="35"/>
      <c r="Q247" s="35"/>
      <c r="R247" s="35" t="str">
        <f>'Ingest Template'!D247</f>
        <v/>
      </c>
      <c r="S247" s="22" t="s">
        <v>101</v>
      </c>
      <c r="T247" s="35" t="str">
        <f>'Ingest Template'!V247</f>
        <v/>
      </c>
      <c r="U247" s="35" t="str">
        <f>'Ingest Template'!W247</f>
        <v/>
      </c>
      <c r="V247" s="35" t="str">
        <f>LOWER(SUBSTITUTE(SUBSTITUTE(SUBSTITUTE(SUBSTITUTE(SUBSTITUTE('Ingest Template'!X247,"https:",""),"www.",""),"/",""),"?hl=en",""),"instagram.com",""))</f>
        <v/>
      </c>
      <c r="W247" s="74" t="str">
        <f t="array" ref="W247">IF(
'Ingest Template'!Y247="",
SUBSTITUTE(
INDEX(DropdownLists!$F$2:$F$277,MATCH('Ingest Template'!D247,DropdownLists!$C$2:$C$277,0)),
CHAR(10),
"|"&amp;'Ingest Template'!C247&amp;CHAR(10)
)&amp;"|"&amp;'Ingest Template'!C247,
SUBSTITUTE(
INDEX(DropdownLists!$F$2:$F$277,MATCH('Ingest Template'!D247,DropdownLists!$C$2:$C$277,0)),
CHAR(10),
"|"&amp;'Ingest Template'!C247&amp;CHAR(10)
)&amp;"|"&amp;'Ingest Template'!C247&amp;CHAR(10)&amp;'Ingest Template'!Y247
)</f>
        <v>#N/A</v>
      </c>
      <c r="X247" s="74" t="str">
        <f>'Ingest Template'!Z247</f>
        <v/>
      </c>
      <c r="Y247" s="35" t="str">
        <f>SUBSTITUTE(SUBSTITUTE(SUBSTITUTE('Ingest Template'!AA247,"http:",""),"https:",""),"/","")</f>
        <v/>
      </c>
      <c r="Z247" s="35" t="str">
        <f t="array" ref="Z247">IF('Ingest Template'!A247="Standard",(IF(ISBLANK('Ingest Template'!AB247),"", 'Ingest Template'!AB247&amp;"|DAR")),(IF(ISBLANK('Ingest Template'!AB247),"", 'Ingest Template'!AB247&amp;"|TV Ops")))</f>
        <v/>
      </c>
      <c r="AA247" s="35"/>
      <c r="AB247" s="35" t="str">
        <f>'Ingest Template'!R247</f>
        <v/>
      </c>
      <c r="AC247" s="35" t="str">
        <f>'Ingest Template'!T247</f>
        <v/>
      </c>
      <c r="AD247" s="35" t="str">
        <f>'Ingest Template'!S247</f>
        <v/>
      </c>
      <c r="AE247" s="35" t="str">
        <f>'Ingest Template'!U247</f>
        <v/>
      </c>
      <c r="AF247" s="22"/>
      <c r="AG247" s="35" t="str">
        <f t="array" ref="AG247">IF('Ingest Template'!A247="Standard",(CONCATENATE(IF(ISBLANK('Ingest Template'!N247),"", 'Ingest Template'!N247&amp;"|DAR"),CHAR(10), IF(ISBLANK('Ingest Template'!O247),"", 'Ingest Template'!O247&amp;"|DAR"),CHAR(10), IF(ISBLANK('Ingest Template'!P247),"", 'Ingest Template'!P247&amp;"|DAR"))),(CONCATENATE(IF(ISBLANK('Ingest Template'!N247),"", 'Ingest Template'!N247&amp;"|TV Ops"),CHAR(10), IF(ISBLANK('Ingest Template'!O247),"", 'Ingest Template'!O247&amp;"|TV Ops"),CHAR(10), IF(ISBLANK('Ingest Template'!P247),"", 'Ingest Template'!P247&amp;"|TV Ops"))))</f>
        <v>
</v>
      </c>
      <c r="AH247" s="35"/>
      <c r="AI247" s="35"/>
      <c r="AJ247" s="117" t="str">
        <f>if('Ingest Template'!A247="Standard",(IF(OR('Ingest Template'!F247 = "Program Type - Special", 'Ingest Template'!F247 = "Program Type - Live Event"),'Ingest Template'!M247&amp; "|DAR|DAR|"&amp;TEXT('Ingest Template'!C247-3, "yyyy-mm-dd")&amp;"|"&amp;TEXT('Ingest Template'!C247+3, "yyyy-mm-dd"),'Ingest Template'!M247&amp; "|DAR|DAR|2021-01-01")),(IF(OR('Ingest Template'!F247 = "Program Type - Special", 'Ingest Template'!F247 = "Program Type - Live Event"),'Ingest Template'!M247&amp; "|Operations - Core Title|Operations - Core Title|"&amp;TEXT('Ingest Template'!C247-3, "yyyy-mm-dd")&amp;"|"&amp;TEXT('Ingest Template'!C247+3, "yyyy-mm-dd"),'Ingest Template'!M247&amp; "|Operations - Core Title|Operations - Core Title")))</f>
        <v>|Operations - Core Title|Operations - Core Title</v>
      </c>
      <c r="AK247" s="35"/>
      <c r="AL247" s="117" t="str">
        <f>if('Ingest Template'!A247="Standard",(IF(OR('Ingest Template'!F247 = "Program Type - Special", 'Ingest Template'!F247 = "Program Type - Live Event"),'Ingest Template'!Q247&amp;"|"&amp;TEXT('Ingest Template'!C247-3, "yyyy-mm-dd")&amp;"|"&amp;TEXT('Ingest Template'!C247+3, "yyyy-mm-dd"),'Ingest Template'!Q247&amp; "|2021-01-01")),(IF(OR('Ingest Template'!F247 = "Program Type - Special", 'Ingest Template'!F247 = "Program Type - Live Event"),'Ingest Template'!Q247&amp; "|"&amp;TEXT('Ingest Template'!C247-3, "yyyy-mm-dd")&amp;"|"&amp;TEXT('Ingest Template'!C247+3, "yyyy-mm-dd"),'Ingest Template'!Q247)))</f>
        <v/>
      </c>
      <c r="AM247" s="35" t="str">
        <f>'Ingest Template'!AC247</f>
        <v/>
      </c>
    </row>
    <row r="248">
      <c r="A248" s="15"/>
      <c r="B248" s="22" t="str">
        <f>'Ingest Template'!C248&amp;IF('Ingest Template'!A248 = "Standard", " - DAR","")</f>
        <v/>
      </c>
      <c r="C248" s="22" t="s">
        <v>83</v>
      </c>
      <c r="D248" s="22" t="str">
        <f t="array" ref="D248">CONCATENATE(INDEX(DropdownLists!$H$2:$H$11,MATCH(1,COUNTIF('Ingest Template'!E248,"*"&amp;DropdownLists!$I$2:$I$11&amp;"*"),0)),CHAR(10),'Ingest Template'!F248,CHAR(10),'Ingest Template'!G248,CHAR(10),VLOOKUP('Ingest Template'!D248,DropdownLists!C:D,2,FALSE))</f>
        <v>#N/A</v>
      </c>
      <c r="E248" s="22" t="str">
        <f>CONCATENATE('Ingest Template'!H248,CHAR(10),'Ingest Template'!I248,CHAR(10),'Ingest Template'!J248,CHAR(10))</f>
        <v>
</v>
      </c>
      <c r="F248" s="35" t="str">
        <f t="array" ref="F248">INDEX(DropdownLists!$O$2:$O$36,MATCH(1,COUNTIF(E248,"*"&amp;DropdownLists!$N$2:$N$36&amp;"*"),0))</f>
        <v/>
      </c>
      <c r="G248" s="35"/>
      <c r="H248" s="22" t="str">
        <f t="array" ref="H248">INDEX(DropdownLists!$E$2:$E$276,MATCH('Ingest Template'!D248,DropdownLists!$C$2:$C$276,0))</f>
        <v>#N/A</v>
      </c>
      <c r="I248" s="22"/>
      <c r="J248" s="22" t="str">
        <f t="array" ref="J248">iF('Ingest Template'!A248="Standard","Pristine Brand",INDEX(DropdownLists!$B$2:$B$246,MATCH('Ingest Template'!D248,DropdownLists!$C$2:$C$246,0)))</f>
        <v>#N/A</v>
      </c>
      <c r="K248" s="22" t="str">
        <f>iF('Ingest Template'!A248="Standard",'Ingest Template'!K248&amp;CHAR(10)&amp;'Ingest Template'!L248,"Competitive View")</f>
        <v>Competitive View</v>
      </c>
      <c r="L248" s="22" t="s">
        <v>95</v>
      </c>
      <c r="M248" s="45" t="str">
        <f>'Ingest Template'!B248</f>
        <v/>
      </c>
      <c r="N248" s="35"/>
      <c r="O248" s="35"/>
      <c r="P248" s="35"/>
      <c r="Q248" s="35"/>
      <c r="R248" s="35" t="str">
        <f>'Ingest Template'!D248</f>
        <v/>
      </c>
      <c r="S248" s="22" t="s">
        <v>101</v>
      </c>
      <c r="T248" s="35" t="str">
        <f>'Ingest Template'!V248</f>
        <v/>
      </c>
      <c r="U248" s="35" t="str">
        <f>'Ingest Template'!W248</f>
        <v/>
      </c>
      <c r="V248" s="35" t="str">
        <f>LOWER(SUBSTITUTE(SUBSTITUTE(SUBSTITUTE(SUBSTITUTE(SUBSTITUTE('Ingest Template'!X248,"https:",""),"www.",""),"/",""),"?hl=en",""),"instagram.com",""))</f>
        <v/>
      </c>
      <c r="W248" s="74" t="str">
        <f t="array" ref="W248">IF(
'Ingest Template'!Y248="",
SUBSTITUTE(
INDEX(DropdownLists!$F$2:$F$277,MATCH('Ingest Template'!D248,DropdownLists!$C$2:$C$277,0)),
CHAR(10),
"|"&amp;'Ingest Template'!C248&amp;CHAR(10)
)&amp;"|"&amp;'Ingest Template'!C248,
SUBSTITUTE(
INDEX(DropdownLists!$F$2:$F$277,MATCH('Ingest Template'!D248,DropdownLists!$C$2:$C$277,0)),
CHAR(10),
"|"&amp;'Ingest Template'!C248&amp;CHAR(10)
)&amp;"|"&amp;'Ingest Template'!C248&amp;CHAR(10)&amp;'Ingest Template'!Y248
)</f>
        <v>#N/A</v>
      </c>
      <c r="X248" s="74" t="str">
        <f>'Ingest Template'!Z248</f>
        <v/>
      </c>
      <c r="Y248" s="35" t="str">
        <f>SUBSTITUTE(SUBSTITUTE(SUBSTITUTE('Ingest Template'!AA248,"http:",""),"https:",""),"/","")</f>
        <v/>
      </c>
      <c r="Z248" s="35" t="str">
        <f t="array" ref="Z248">IF('Ingest Template'!A248="Standard",(IF(ISBLANK('Ingest Template'!AB248),"", 'Ingest Template'!AB248&amp;"|DAR")),(IF(ISBLANK('Ingest Template'!AB248),"", 'Ingest Template'!AB248&amp;"|TV Ops")))</f>
        <v/>
      </c>
      <c r="AA248" s="35"/>
      <c r="AB248" s="35" t="str">
        <f>'Ingest Template'!R248</f>
        <v/>
      </c>
      <c r="AC248" s="35" t="str">
        <f>'Ingest Template'!T248</f>
        <v/>
      </c>
      <c r="AD248" s="35" t="str">
        <f>'Ingest Template'!S248</f>
        <v/>
      </c>
      <c r="AE248" s="35" t="str">
        <f>'Ingest Template'!U248</f>
        <v/>
      </c>
      <c r="AF248" s="22"/>
      <c r="AG248" s="35" t="str">
        <f t="array" ref="AG248">IF('Ingest Template'!A248="Standard",(CONCATENATE(IF(ISBLANK('Ingest Template'!N248),"", 'Ingest Template'!N248&amp;"|DAR"),CHAR(10), IF(ISBLANK('Ingest Template'!O248),"", 'Ingest Template'!O248&amp;"|DAR"),CHAR(10), IF(ISBLANK('Ingest Template'!P248),"", 'Ingest Template'!P248&amp;"|DAR"))),(CONCATENATE(IF(ISBLANK('Ingest Template'!N248),"", 'Ingest Template'!N248&amp;"|TV Ops"),CHAR(10), IF(ISBLANK('Ingest Template'!O248),"", 'Ingest Template'!O248&amp;"|TV Ops"),CHAR(10), IF(ISBLANK('Ingest Template'!P248),"", 'Ingest Template'!P248&amp;"|TV Ops"))))</f>
        <v>
</v>
      </c>
      <c r="AH248" s="35"/>
      <c r="AI248" s="35"/>
      <c r="AJ248" s="117" t="str">
        <f>if('Ingest Template'!A248="Standard",(IF(OR('Ingest Template'!F248 = "Program Type - Special", 'Ingest Template'!F248 = "Program Type - Live Event"),'Ingest Template'!M248&amp; "|DAR|DAR|"&amp;TEXT('Ingest Template'!C248-3, "yyyy-mm-dd")&amp;"|"&amp;TEXT('Ingest Template'!C248+3, "yyyy-mm-dd"),'Ingest Template'!M248&amp; "|DAR|DAR|2021-01-01")),(IF(OR('Ingest Template'!F248 = "Program Type - Special", 'Ingest Template'!F248 = "Program Type - Live Event"),'Ingest Template'!M248&amp; "|Operations - Core Title|Operations - Core Title|"&amp;TEXT('Ingest Template'!C248-3, "yyyy-mm-dd")&amp;"|"&amp;TEXT('Ingest Template'!C248+3, "yyyy-mm-dd"),'Ingest Template'!M248&amp; "|Operations - Core Title|Operations - Core Title")))</f>
        <v>|Operations - Core Title|Operations - Core Title</v>
      </c>
      <c r="AK248" s="35"/>
      <c r="AL248" s="117" t="str">
        <f>if('Ingest Template'!A248="Standard",(IF(OR('Ingest Template'!F248 = "Program Type - Special", 'Ingest Template'!F248 = "Program Type - Live Event"),'Ingest Template'!Q248&amp;"|"&amp;TEXT('Ingest Template'!C248-3, "yyyy-mm-dd")&amp;"|"&amp;TEXT('Ingest Template'!C248+3, "yyyy-mm-dd"),'Ingest Template'!Q248&amp; "|2021-01-01")),(IF(OR('Ingest Template'!F248 = "Program Type - Special", 'Ingest Template'!F248 = "Program Type - Live Event"),'Ingest Template'!Q248&amp; "|"&amp;TEXT('Ingest Template'!C248-3, "yyyy-mm-dd")&amp;"|"&amp;TEXT('Ingest Template'!C248+3, "yyyy-mm-dd"),'Ingest Template'!Q248)))</f>
        <v/>
      </c>
      <c r="AM248" s="35" t="str">
        <f>'Ingest Template'!AC248</f>
        <v/>
      </c>
    </row>
    <row r="249">
      <c r="A249" s="15"/>
      <c r="B249" s="22" t="str">
        <f>'Ingest Template'!C249&amp;IF('Ingest Template'!A249 = "Standard", " - DAR","")</f>
        <v/>
      </c>
      <c r="C249" s="22" t="s">
        <v>83</v>
      </c>
      <c r="D249" s="22" t="str">
        <f t="array" ref="D249">CONCATENATE(INDEX(DropdownLists!$H$2:$H$11,MATCH(1,COUNTIF('Ingest Template'!E249,"*"&amp;DropdownLists!$I$2:$I$11&amp;"*"),0)),CHAR(10),'Ingest Template'!F249,CHAR(10),'Ingest Template'!G249,CHAR(10),VLOOKUP('Ingest Template'!D249,DropdownLists!C:D,2,FALSE))</f>
        <v>#N/A</v>
      </c>
      <c r="E249" s="22" t="str">
        <f>CONCATENATE('Ingest Template'!H249,CHAR(10),'Ingest Template'!I249,CHAR(10),'Ingest Template'!J249,CHAR(10))</f>
        <v>
</v>
      </c>
      <c r="F249" s="35" t="str">
        <f t="array" ref="F249">INDEX(DropdownLists!$O$2:$O$36,MATCH(1,COUNTIF(E249,"*"&amp;DropdownLists!$N$2:$N$36&amp;"*"),0))</f>
        <v/>
      </c>
      <c r="G249" s="35"/>
      <c r="H249" s="22" t="str">
        <f t="array" ref="H249">INDEX(DropdownLists!$E$2:$E$276,MATCH('Ingest Template'!D249,DropdownLists!$C$2:$C$276,0))</f>
        <v>#N/A</v>
      </c>
      <c r="I249" s="22"/>
      <c r="J249" s="22" t="str">
        <f t="array" ref="J249">iF('Ingest Template'!A249="Standard","Pristine Brand",INDEX(DropdownLists!$B$2:$B$246,MATCH('Ingest Template'!D249,DropdownLists!$C$2:$C$246,0)))</f>
        <v>#N/A</v>
      </c>
      <c r="K249" s="22" t="str">
        <f>iF('Ingest Template'!A249="Standard",'Ingest Template'!K249&amp;CHAR(10)&amp;'Ingest Template'!L249,"Competitive View")</f>
        <v>Competitive View</v>
      </c>
      <c r="L249" s="22" t="s">
        <v>95</v>
      </c>
      <c r="M249" s="45" t="str">
        <f>'Ingest Template'!B249</f>
        <v/>
      </c>
      <c r="N249" s="35"/>
      <c r="O249" s="35"/>
      <c r="P249" s="35"/>
      <c r="Q249" s="35"/>
      <c r="R249" s="35" t="str">
        <f>'Ingest Template'!D249</f>
        <v/>
      </c>
      <c r="S249" s="22" t="s">
        <v>101</v>
      </c>
      <c r="T249" s="35" t="str">
        <f>'Ingest Template'!V249</f>
        <v/>
      </c>
      <c r="U249" s="35" t="str">
        <f>'Ingest Template'!W249</f>
        <v/>
      </c>
      <c r="V249" s="35" t="str">
        <f>LOWER(SUBSTITUTE(SUBSTITUTE(SUBSTITUTE(SUBSTITUTE(SUBSTITUTE('Ingest Template'!X249,"https:",""),"www.",""),"/",""),"?hl=en",""),"instagram.com",""))</f>
        <v/>
      </c>
      <c r="W249" s="74" t="str">
        <f t="array" ref="W249">IF(
'Ingest Template'!Y249="",
SUBSTITUTE(
INDEX(DropdownLists!$F$2:$F$277,MATCH('Ingest Template'!D249,DropdownLists!$C$2:$C$277,0)),
CHAR(10),
"|"&amp;'Ingest Template'!C249&amp;CHAR(10)
)&amp;"|"&amp;'Ingest Template'!C249,
SUBSTITUTE(
INDEX(DropdownLists!$F$2:$F$277,MATCH('Ingest Template'!D249,DropdownLists!$C$2:$C$277,0)),
CHAR(10),
"|"&amp;'Ingest Template'!C249&amp;CHAR(10)
)&amp;"|"&amp;'Ingest Template'!C249&amp;CHAR(10)&amp;'Ingest Template'!Y249
)</f>
        <v>#N/A</v>
      </c>
      <c r="X249" s="74" t="str">
        <f>'Ingest Template'!Z249</f>
        <v/>
      </c>
      <c r="Y249" s="35" t="str">
        <f>SUBSTITUTE(SUBSTITUTE(SUBSTITUTE('Ingest Template'!AA249,"http:",""),"https:",""),"/","")</f>
        <v/>
      </c>
      <c r="Z249" s="35" t="str">
        <f t="array" ref="Z249">IF('Ingest Template'!A249="Standard",(IF(ISBLANK('Ingest Template'!AB249),"", 'Ingest Template'!AB249&amp;"|DAR")),(IF(ISBLANK('Ingest Template'!AB249),"", 'Ingest Template'!AB249&amp;"|TV Ops")))</f>
        <v/>
      </c>
      <c r="AA249" s="35"/>
      <c r="AB249" s="35" t="str">
        <f>'Ingest Template'!R249</f>
        <v/>
      </c>
      <c r="AC249" s="35" t="str">
        <f>'Ingest Template'!T249</f>
        <v/>
      </c>
      <c r="AD249" s="35" t="str">
        <f>'Ingest Template'!S249</f>
        <v/>
      </c>
      <c r="AE249" s="35" t="str">
        <f>'Ingest Template'!U249</f>
        <v/>
      </c>
      <c r="AF249" s="22"/>
      <c r="AG249" s="35" t="str">
        <f t="array" ref="AG249">IF('Ingest Template'!A249="Standard",(CONCATENATE(IF(ISBLANK('Ingest Template'!N249),"", 'Ingest Template'!N249&amp;"|DAR"),CHAR(10), IF(ISBLANK('Ingest Template'!O249),"", 'Ingest Template'!O249&amp;"|DAR"),CHAR(10), IF(ISBLANK('Ingest Template'!P249),"", 'Ingest Template'!P249&amp;"|DAR"))),(CONCATENATE(IF(ISBLANK('Ingest Template'!N249),"", 'Ingest Template'!N249&amp;"|TV Ops"),CHAR(10), IF(ISBLANK('Ingest Template'!O249),"", 'Ingest Template'!O249&amp;"|TV Ops"),CHAR(10), IF(ISBLANK('Ingest Template'!P249),"", 'Ingest Template'!P249&amp;"|TV Ops"))))</f>
        <v>
</v>
      </c>
      <c r="AH249" s="35"/>
      <c r="AI249" s="35"/>
      <c r="AJ249" s="117" t="str">
        <f>if('Ingest Template'!A249="Standard",(IF(OR('Ingest Template'!F249 = "Program Type - Special", 'Ingest Template'!F249 = "Program Type - Live Event"),'Ingest Template'!M249&amp; "|DAR|DAR|"&amp;TEXT('Ingest Template'!C249-3, "yyyy-mm-dd")&amp;"|"&amp;TEXT('Ingest Template'!C249+3, "yyyy-mm-dd"),'Ingest Template'!M249&amp; "|DAR|DAR|2021-01-01")),(IF(OR('Ingest Template'!F249 = "Program Type - Special", 'Ingest Template'!F249 = "Program Type - Live Event"),'Ingest Template'!M249&amp; "|Operations - Core Title|Operations - Core Title|"&amp;TEXT('Ingest Template'!C249-3, "yyyy-mm-dd")&amp;"|"&amp;TEXT('Ingest Template'!C249+3, "yyyy-mm-dd"),'Ingest Template'!M249&amp; "|Operations - Core Title|Operations - Core Title")))</f>
        <v>|Operations - Core Title|Operations - Core Title</v>
      </c>
      <c r="AK249" s="35"/>
      <c r="AL249" s="117" t="str">
        <f>if('Ingest Template'!A249="Standard",(IF(OR('Ingest Template'!F249 = "Program Type - Special", 'Ingest Template'!F249 = "Program Type - Live Event"),'Ingest Template'!Q249&amp;"|"&amp;TEXT('Ingest Template'!C249-3, "yyyy-mm-dd")&amp;"|"&amp;TEXT('Ingest Template'!C249+3, "yyyy-mm-dd"),'Ingest Template'!Q249&amp; "|2021-01-01")),(IF(OR('Ingest Template'!F249 = "Program Type - Special", 'Ingest Template'!F249 = "Program Type - Live Event"),'Ingest Template'!Q249&amp; "|"&amp;TEXT('Ingest Template'!C249-3, "yyyy-mm-dd")&amp;"|"&amp;TEXT('Ingest Template'!C249+3, "yyyy-mm-dd"),'Ingest Template'!Q249)))</f>
        <v/>
      </c>
      <c r="AM249" s="35" t="str">
        <f>'Ingest Template'!AC249</f>
        <v/>
      </c>
    </row>
    <row r="250">
      <c r="A250" s="15"/>
      <c r="B250" s="22" t="str">
        <f>'Ingest Template'!C250&amp;IF('Ingest Template'!A250 = "Standard", " - DAR","")</f>
        <v/>
      </c>
      <c r="C250" s="22" t="s">
        <v>83</v>
      </c>
      <c r="D250" s="22" t="str">
        <f t="array" ref="D250">CONCATENATE(INDEX(DropdownLists!$H$2:$H$11,MATCH(1,COUNTIF('Ingest Template'!E250,"*"&amp;DropdownLists!$I$2:$I$11&amp;"*"),0)),CHAR(10),'Ingest Template'!F250,CHAR(10),'Ingest Template'!G250,CHAR(10),VLOOKUP('Ingest Template'!D250,DropdownLists!C:D,2,FALSE))</f>
        <v>#N/A</v>
      </c>
      <c r="E250" s="22" t="str">
        <f>CONCATENATE('Ingest Template'!H250,CHAR(10),'Ingest Template'!I250,CHAR(10),'Ingest Template'!J250,CHAR(10))</f>
        <v>
</v>
      </c>
      <c r="F250" s="35" t="str">
        <f t="array" ref="F250">INDEX(DropdownLists!$O$2:$O$36,MATCH(1,COUNTIF(E250,"*"&amp;DropdownLists!$N$2:$N$36&amp;"*"),0))</f>
        <v/>
      </c>
      <c r="G250" s="35"/>
      <c r="H250" s="22" t="str">
        <f t="array" ref="H250">INDEX(DropdownLists!$E$2:$E$276,MATCH('Ingest Template'!D250,DropdownLists!$C$2:$C$276,0))</f>
        <v>#N/A</v>
      </c>
      <c r="I250" s="22"/>
      <c r="J250" s="22" t="str">
        <f t="array" ref="J250">iF('Ingest Template'!A250="Standard","Pristine Brand",INDEX(DropdownLists!$B$2:$B$246,MATCH('Ingest Template'!D250,DropdownLists!$C$2:$C$246,0)))</f>
        <v>#N/A</v>
      </c>
      <c r="K250" s="22" t="str">
        <f>iF('Ingest Template'!A250="Standard",'Ingest Template'!K250&amp;CHAR(10)&amp;'Ingest Template'!L250,"Competitive View")</f>
        <v>Competitive View</v>
      </c>
      <c r="L250" s="22" t="s">
        <v>95</v>
      </c>
      <c r="M250" s="45" t="str">
        <f>'Ingest Template'!B250</f>
        <v/>
      </c>
      <c r="N250" s="35"/>
      <c r="O250" s="35"/>
      <c r="P250" s="35"/>
      <c r="Q250" s="35"/>
      <c r="R250" s="35" t="str">
        <f>'Ingest Template'!D250</f>
        <v/>
      </c>
      <c r="S250" s="22" t="s">
        <v>101</v>
      </c>
      <c r="T250" s="35" t="str">
        <f>'Ingest Template'!V250</f>
        <v/>
      </c>
      <c r="U250" s="35" t="str">
        <f>'Ingest Template'!W250</f>
        <v/>
      </c>
      <c r="V250" s="35" t="str">
        <f>LOWER(SUBSTITUTE(SUBSTITUTE(SUBSTITUTE(SUBSTITUTE(SUBSTITUTE('Ingest Template'!X250,"https:",""),"www.",""),"/",""),"?hl=en",""),"instagram.com",""))</f>
        <v/>
      </c>
      <c r="W250" s="74" t="str">
        <f t="array" ref="W250">IF(
'Ingest Template'!Y250="",
SUBSTITUTE(
INDEX(DropdownLists!$F$2:$F$277,MATCH('Ingest Template'!D250,DropdownLists!$C$2:$C$277,0)),
CHAR(10),
"|"&amp;'Ingest Template'!C250&amp;CHAR(10)
)&amp;"|"&amp;'Ingest Template'!C250,
SUBSTITUTE(
INDEX(DropdownLists!$F$2:$F$277,MATCH('Ingest Template'!D250,DropdownLists!$C$2:$C$277,0)),
CHAR(10),
"|"&amp;'Ingest Template'!C250&amp;CHAR(10)
)&amp;"|"&amp;'Ingest Template'!C250&amp;CHAR(10)&amp;'Ingest Template'!Y250
)</f>
        <v>#N/A</v>
      </c>
      <c r="X250" s="74" t="str">
        <f>'Ingest Template'!Z250</f>
        <v/>
      </c>
      <c r="Y250" s="35" t="str">
        <f>SUBSTITUTE(SUBSTITUTE(SUBSTITUTE('Ingest Template'!AA250,"http:",""),"https:",""),"/","")</f>
        <v/>
      </c>
      <c r="Z250" s="35" t="str">
        <f t="array" ref="Z250">IF('Ingest Template'!A250="Standard",(IF(ISBLANK('Ingest Template'!AB250),"", 'Ingest Template'!AB250&amp;"|DAR")),(IF(ISBLANK('Ingest Template'!AB250),"", 'Ingest Template'!AB250&amp;"|TV Ops")))</f>
        <v/>
      </c>
      <c r="AA250" s="35"/>
      <c r="AB250" s="35" t="str">
        <f>'Ingest Template'!R250</f>
        <v/>
      </c>
      <c r="AC250" s="35" t="str">
        <f>'Ingest Template'!T250</f>
        <v/>
      </c>
      <c r="AD250" s="35" t="str">
        <f>'Ingest Template'!S250</f>
        <v/>
      </c>
      <c r="AE250" s="35" t="str">
        <f>'Ingest Template'!U250</f>
        <v/>
      </c>
      <c r="AF250" s="22"/>
      <c r="AG250" s="35" t="str">
        <f t="array" ref="AG250">IF('Ingest Template'!A250="Standard",(CONCATENATE(IF(ISBLANK('Ingest Template'!N250),"", 'Ingest Template'!N250&amp;"|DAR"),CHAR(10), IF(ISBLANK('Ingest Template'!O250),"", 'Ingest Template'!O250&amp;"|DAR"),CHAR(10), IF(ISBLANK('Ingest Template'!P250),"", 'Ingest Template'!P250&amp;"|DAR"))),(CONCATENATE(IF(ISBLANK('Ingest Template'!N250),"", 'Ingest Template'!N250&amp;"|TV Ops"),CHAR(10), IF(ISBLANK('Ingest Template'!O250),"", 'Ingest Template'!O250&amp;"|TV Ops"),CHAR(10), IF(ISBLANK('Ingest Template'!P250),"", 'Ingest Template'!P250&amp;"|TV Ops"))))</f>
        <v>
</v>
      </c>
      <c r="AH250" s="35"/>
      <c r="AI250" s="35"/>
      <c r="AJ250" s="117" t="str">
        <f>if('Ingest Template'!A250="Standard",(IF(OR('Ingest Template'!F250 = "Program Type - Special", 'Ingest Template'!F250 = "Program Type - Live Event"),'Ingest Template'!M250&amp; "|DAR|DAR|"&amp;TEXT('Ingest Template'!C250-3, "yyyy-mm-dd")&amp;"|"&amp;TEXT('Ingest Template'!C250+3, "yyyy-mm-dd"),'Ingest Template'!M250&amp; "|DAR|DAR|2021-01-01")),(IF(OR('Ingest Template'!F250 = "Program Type - Special", 'Ingest Template'!F250 = "Program Type - Live Event"),'Ingest Template'!M250&amp; "|Operations - Core Title|Operations - Core Title|"&amp;TEXT('Ingest Template'!C250-3, "yyyy-mm-dd")&amp;"|"&amp;TEXT('Ingest Template'!C250+3, "yyyy-mm-dd"),'Ingest Template'!M250&amp; "|Operations - Core Title|Operations - Core Title")))</f>
        <v>|Operations - Core Title|Operations - Core Title</v>
      </c>
      <c r="AK250" s="35"/>
      <c r="AL250" s="117" t="str">
        <f>if('Ingest Template'!A250="Standard",(IF(OR('Ingest Template'!F250 = "Program Type - Special", 'Ingest Template'!F250 = "Program Type - Live Event"),'Ingest Template'!Q250&amp;"|"&amp;TEXT('Ingest Template'!C250-3, "yyyy-mm-dd")&amp;"|"&amp;TEXT('Ingest Template'!C250+3, "yyyy-mm-dd"),'Ingest Template'!Q250&amp; "|2021-01-01")),(IF(OR('Ingest Template'!F250 = "Program Type - Special", 'Ingest Template'!F250 = "Program Type - Live Event"),'Ingest Template'!Q250&amp; "|"&amp;TEXT('Ingest Template'!C250-3, "yyyy-mm-dd")&amp;"|"&amp;TEXT('Ingest Template'!C250+3, "yyyy-mm-dd"),'Ingest Template'!Q250)))</f>
        <v/>
      </c>
      <c r="AM250" s="35" t="str">
        <f>'Ingest Template'!AC250</f>
        <v/>
      </c>
    </row>
    <row r="251">
      <c r="A251" s="15"/>
      <c r="B251" s="22" t="str">
        <f>'Ingest Template'!C251&amp;IF('Ingest Template'!A251 = "Standard", " - DAR","")</f>
        <v/>
      </c>
      <c r="C251" s="22" t="s">
        <v>83</v>
      </c>
      <c r="D251" s="22" t="str">
        <f t="array" ref="D251">CONCATENATE(INDEX(DropdownLists!$H$2:$H$11,MATCH(1,COUNTIF('Ingest Template'!E251,"*"&amp;DropdownLists!$I$2:$I$11&amp;"*"),0)),CHAR(10),'Ingest Template'!F251,CHAR(10),'Ingest Template'!G251,CHAR(10),VLOOKUP('Ingest Template'!D251,DropdownLists!C:D,2,FALSE))</f>
        <v>#N/A</v>
      </c>
      <c r="E251" s="22" t="str">
        <f>CONCATENATE('Ingest Template'!H251,CHAR(10),'Ingest Template'!I251,CHAR(10),'Ingest Template'!J251,CHAR(10))</f>
        <v>
</v>
      </c>
      <c r="F251" s="35" t="str">
        <f t="array" ref="F251">INDEX(DropdownLists!$O$2:$O$36,MATCH(1,COUNTIF(E251,"*"&amp;DropdownLists!$N$2:$N$36&amp;"*"),0))</f>
        <v/>
      </c>
      <c r="G251" s="35"/>
      <c r="H251" s="22" t="str">
        <f t="array" ref="H251">INDEX(DropdownLists!$E$2:$E$276,MATCH('Ingest Template'!D251,DropdownLists!$C$2:$C$276,0))</f>
        <v>#N/A</v>
      </c>
      <c r="I251" s="22"/>
      <c r="J251" s="22" t="str">
        <f t="array" ref="J251">iF('Ingest Template'!A251="Standard","Pristine Brand",INDEX(DropdownLists!$B$2:$B$246,MATCH('Ingest Template'!D251,DropdownLists!$C$2:$C$246,0)))</f>
        <v>#N/A</v>
      </c>
      <c r="K251" s="22" t="str">
        <f>iF('Ingest Template'!A251="Standard",'Ingest Template'!K251&amp;CHAR(10)&amp;'Ingest Template'!L251,"Competitive View")</f>
        <v>Competitive View</v>
      </c>
      <c r="L251" s="22" t="s">
        <v>95</v>
      </c>
      <c r="M251" s="45" t="str">
        <f>'Ingest Template'!B251</f>
        <v/>
      </c>
      <c r="N251" s="35"/>
      <c r="O251" s="35"/>
      <c r="P251" s="35"/>
      <c r="Q251" s="35"/>
      <c r="R251" s="35" t="str">
        <f>'Ingest Template'!D251</f>
        <v/>
      </c>
      <c r="S251" s="22" t="s">
        <v>101</v>
      </c>
      <c r="T251" s="35" t="str">
        <f>'Ingest Template'!V251</f>
        <v/>
      </c>
      <c r="U251" s="35" t="str">
        <f>'Ingest Template'!W251</f>
        <v/>
      </c>
      <c r="V251" s="35" t="str">
        <f>LOWER(SUBSTITUTE(SUBSTITUTE(SUBSTITUTE(SUBSTITUTE(SUBSTITUTE('Ingest Template'!X251,"https:",""),"www.",""),"/",""),"?hl=en",""),"instagram.com",""))</f>
        <v/>
      </c>
      <c r="W251" s="74" t="str">
        <f t="array" ref="W251">IF(
'Ingest Template'!Y251="",
SUBSTITUTE(
INDEX(DropdownLists!$F$2:$F$277,MATCH('Ingest Template'!D251,DropdownLists!$C$2:$C$277,0)),
CHAR(10),
"|"&amp;'Ingest Template'!C251&amp;CHAR(10)
)&amp;"|"&amp;'Ingest Template'!C251,
SUBSTITUTE(
INDEX(DropdownLists!$F$2:$F$277,MATCH('Ingest Template'!D251,DropdownLists!$C$2:$C$277,0)),
CHAR(10),
"|"&amp;'Ingest Template'!C251&amp;CHAR(10)
)&amp;"|"&amp;'Ingest Template'!C251&amp;CHAR(10)&amp;'Ingest Template'!Y251
)</f>
        <v>#N/A</v>
      </c>
      <c r="X251" s="74" t="str">
        <f>'Ingest Template'!Z251</f>
        <v/>
      </c>
      <c r="Y251" s="35" t="str">
        <f>SUBSTITUTE(SUBSTITUTE(SUBSTITUTE('Ingest Template'!AA251,"http:",""),"https:",""),"/","")</f>
        <v/>
      </c>
      <c r="Z251" s="35" t="str">
        <f t="array" ref="Z251">IF('Ingest Template'!A251="Standard",(IF(ISBLANK('Ingest Template'!AB251),"", 'Ingest Template'!AB251&amp;"|DAR")),(IF(ISBLANK('Ingest Template'!AB251),"", 'Ingest Template'!AB251&amp;"|TV Ops")))</f>
        <v/>
      </c>
      <c r="AA251" s="35"/>
      <c r="AB251" s="35" t="str">
        <f>'Ingest Template'!R251</f>
        <v/>
      </c>
      <c r="AC251" s="35" t="str">
        <f>'Ingest Template'!T251</f>
        <v/>
      </c>
      <c r="AD251" s="35" t="str">
        <f>'Ingest Template'!S251</f>
        <v/>
      </c>
      <c r="AE251" s="35" t="str">
        <f>'Ingest Template'!U251</f>
        <v/>
      </c>
      <c r="AF251" s="22"/>
      <c r="AG251" s="35" t="str">
        <f t="array" ref="AG251">IF('Ingest Template'!A251="Standard",(CONCATENATE(IF(ISBLANK('Ingest Template'!N251),"", 'Ingest Template'!N251&amp;"|DAR"),CHAR(10), IF(ISBLANK('Ingest Template'!O251),"", 'Ingest Template'!O251&amp;"|DAR"),CHAR(10), IF(ISBLANK('Ingest Template'!P251),"", 'Ingest Template'!P251&amp;"|DAR"))),(CONCATENATE(IF(ISBLANK('Ingest Template'!N251),"", 'Ingest Template'!N251&amp;"|TV Ops"),CHAR(10), IF(ISBLANK('Ingest Template'!O251),"", 'Ingest Template'!O251&amp;"|TV Ops"),CHAR(10), IF(ISBLANK('Ingest Template'!P251),"", 'Ingest Template'!P251&amp;"|TV Ops"))))</f>
        <v>
</v>
      </c>
      <c r="AH251" s="35"/>
      <c r="AI251" s="35"/>
      <c r="AJ251" s="117" t="str">
        <f>if('Ingest Template'!A251="Standard",(IF(OR('Ingest Template'!F251 = "Program Type - Special", 'Ingest Template'!F251 = "Program Type - Live Event"),'Ingest Template'!M251&amp; "|DAR|DAR|"&amp;TEXT('Ingest Template'!C251-3, "yyyy-mm-dd")&amp;"|"&amp;TEXT('Ingest Template'!C251+3, "yyyy-mm-dd"),'Ingest Template'!M251&amp; "|DAR|DAR|2021-01-01")),(IF(OR('Ingest Template'!F251 = "Program Type - Special", 'Ingest Template'!F251 = "Program Type - Live Event"),'Ingest Template'!M251&amp; "|Operations - Core Title|Operations - Core Title|"&amp;TEXT('Ingest Template'!C251-3, "yyyy-mm-dd")&amp;"|"&amp;TEXT('Ingest Template'!C251+3, "yyyy-mm-dd"),'Ingest Template'!M251&amp; "|Operations - Core Title|Operations - Core Title")))</f>
        <v>|Operations - Core Title|Operations - Core Title</v>
      </c>
      <c r="AK251" s="35"/>
      <c r="AL251" s="117" t="str">
        <f>if('Ingest Template'!A251="Standard",(IF(OR('Ingest Template'!F251 = "Program Type - Special", 'Ingest Template'!F251 = "Program Type - Live Event"),'Ingest Template'!Q251&amp;"|"&amp;TEXT('Ingest Template'!C251-3, "yyyy-mm-dd")&amp;"|"&amp;TEXT('Ingest Template'!C251+3, "yyyy-mm-dd"),'Ingest Template'!Q251&amp; "|2021-01-01")),(IF(OR('Ingest Template'!F251 = "Program Type - Special", 'Ingest Template'!F251 = "Program Type - Live Event"),'Ingest Template'!Q251&amp; "|"&amp;TEXT('Ingest Template'!C251-3, "yyyy-mm-dd")&amp;"|"&amp;TEXT('Ingest Template'!C251+3, "yyyy-mm-dd"),'Ingest Template'!Q251)))</f>
        <v/>
      </c>
      <c r="AM251" s="35" t="str">
        <f>'Ingest Template'!AC251</f>
        <v/>
      </c>
    </row>
    <row r="252">
      <c r="A252" s="15"/>
      <c r="B252" s="22" t="str">
        <f>'Ingest Template'!C252&amp;IF('Ingest Template'!A252 = "Standard", " - DAR","")</f>
        <v/>
      </c>
      <c r="C252" s="22" t="s">
        <v>83</v>
      </c>
      <c r="D252" s="22" t="str">
        <f t="array" ref="D252">CONCATENATE(INDEX(DropdownLists!$H$2:$H$11,MATCH(1,COUNTIF('Ingest Template'!E252,"*"&amp;DropdownLists!$I$2:$I$11&amp;"*"),0)),CHAR(10),'Ingest Template'!F252,CHAR(10),'Ingest Template'!G252,CHAR(10),VLOOKUP('Ingest Template'!D252,DropdownLists!C:D,2,FALSE))</f>
        <v>#N/A</v>
      </c>
      <c r="E252" s="22" t="str">
        <f>CONCATENATE('Ingest Template'!H252,CHAR(10),'Ingest Template'!I252,CHAR(10),'Ingest Template'!J252,CHAR(10))</f>
        <v>
</v>
      </c>
      <c r="F252" s="35" t="str">
        <f t="array" ref="F252">INDEX(DropdownLists!$O$2:$O$36,MATCH(1,COUNTIF(E252,"*"&amp;DropdownLists!$N$2:$N$36&amp;"*"),0))</f>
        <v/>
      </c>
      <c r="G252" s="35"/>
      <c r="H252" s="22" t="str">
        <f t="array" ref="H252">INDEX(DropdownLists!$E$2:$E$276,MATCH('Ingest Template'!D252,DropdownLists!$C$2:$C$276,0))</f>
        <v>#N/A</v>
      </c>
      <c r="I252" s="22"/>
      <c r="J252" s="22" t="str">
        <f t="array" ref="J252">iF('Ingest Template'!A252="Standard","Pristine Brand",INDEX(DropdownLists!$B$2:$B$246,MATCH('Ingest Template'!D252,DropdownLists!$C$2:$C$246,0)))</f>
        <v>#N/A</v>
      </c>
      <c r="K252" s="22" t="str">
        <f>iF('Ingest Template'!A252="Standard",'Ingest Template'!K252&amp;CHAR(10)&amp;'Ingest Template'!L252,"Competitive View")</f>
        <v>Competitive View</v>
      </c>
      <c r="L252" s="22" t="s">
        <v>95</v>
      </c>
      <c r="M252" s="45" t="str">
        <f>'Ingest Template'!B252</f>
        <v/>
      </c>
      <c r="N252" s="35"/>
      <c r="O252" s="35"/>
      <c r="P252" s="35"/>
      <c r="Q252" s="35"/>
      <c r="R252" s="35" t="str">
        <f>'Ingest Template'!D252</f>
        <v/>
      </c>
      <c r="S252" s="22" t="s">
        <v>101</v>
      </c>
      <c r="T252" s="35" t="str">
        <f>'Ingest Template'!V252</f>
        <v/>
      </c>
      <c r="U252" s="35" t="str">
        <f>'Ingest Template'!W252</f>
        <v/>
      </c>
      <c r="V252" s="35" t="str">
        <f>LOWER(SUBSTITUTE(SUBSTITUTE(SUBSTITUTE(SUBSTITUTE(SUBSTITUTE('Ingest Template'!X252,"https:",""),"www.",""),"/",""),"?hl=en",""),"instagram.com",""))</f>
        <v/>
      </c>
      <c r="W252" s="74" t="str">
        <f t="array" ref="W252">IF(
'Ingest Template'!Y252="",
SUBSTITUTE(
INDEX(DropdownLists!$F$2:$F$277,MATCH('Ingest Template'!D252,DropdownLists!$C$2:$C$277,0)),
CHAR(10),
"|"&amp;'Ingest Template'!C252&amp;CHAR(10)
)&amp;"|"&amp;'Ingest Template'!C252,
SUBSTITUTE(
INDEX(DropdownLists!$F$2:$F$277,MATCH('Ingest Template'!D252,DropdownLists!$C$2:$C$277,0)),
CHAR(10),
"|"&amp;'Ingest Template'!C252&amp;CHAR(10)
)&amp;"|"&amp;'Ingest Template'!C252&amp;CHAR(10)&amp;'Ingest Template'!Y252
)</f>
        <v>#N/A</v>
      </c>
      <c r="X252" s="74" t="str">
        <f>'Ingest Template'!Z252</f>
        <v/>
      </c>
      <c r="Y252" s="35" t="str">
        <f>SUBSTITUTE(SUBSTITUTE(SUBSTITUTE('Ingest Template'!AA252,"http:",""),"https:",""),"/","")</f>
        <v/>
      </c>
      <c r="Z252" s="35" t="str">
        <f t="array" ref="Z252">IF('Ingest Template'!A252="Standard",(IF(ISBLANK('Ingest Template'!AB252),"", 'Ingest Template'!AB252&amp;"|DAR")),(IF(ISBLANK('Ingest Template'!AB252),"", 'Ingest Template'!AB252&amp;"|TV Ops")))</f>
        <v/>
      </c>
      <c r="AA252" s="35"/>
      <c r="AB252" s="35" t="str">
        <f>'Ingest Template'!R252</f>
        <v/>
      </c>
      <c r="AC252" s="35" t="str">
        <f>'Ingest Template'!T252</f>
        <v/>
      </c>
      <c r="AD252" s="35" t="str">
        <f>'Ingest Template'!S252</f>
        <v/>
      </c>
      <c r="AE252" s="35" t="str">
        <f>'Ingest Template'!U252</f>
        <v/>
      </c>
      <c r="AF252" s="22"/>
      <c r="AG252" s="35" t="str">
        <f t="array" ref="AG252">IF('Ingest Template'!A252="Standard",(CONCATENATE(IF(ISBLANK('Ingest Template'!N252),"", 'Ingest Template'!N252&amp;"|DAR"),CHAR(10), IF(ISBLANK('Ingest Template'!O252),"", 'Ingest Template'!O252&amp;"|DAR"),CHAR(10), IF(ISBLANK('Ingest Template'!P252),"", 'Ingest Template'!P252&amp;"|DAR"))),(CONCATENATE(IF(ISBLANK('Ingest Template'!N252),"", 'Ingest Template'!N252&amp;"|TV Ops"),CHAR(10), IF(ISBLANK('Ingest Template'!O252),"", 'Ingest Template'!O252&amp;"|TV Ops"),CHAR(10), IF(ISBLANK('Ingest Template'!P252),"", 'Ingest Template'!P252&amp;"|TV Ops"))))</f>
        <v>
</v>
      </c>
      <c r="AH252" s="35"/>
      <c r="AI252" s="35"/>
      <c r="AJ252" s="117" t="str">
        <f>if('Ingest Template'!A252="Standard",(IF(OR('Ingest Template'!F252 = "Program Type - Special", 'Ingest Template'!F252 = "Program Type - Live Event"),'Ingest Template'!M252&amp; "|DAR|DAR|"&amp;TEXT('Ingest Template'!C252-3, "yyyy-mm-dd")&amp;"|"&amp;TEXT('Ingest Template'!C252+3, "yyyy-mm-dd"),'Ingest Template'!M252&amp; "|DAR|DAR|2021-01-01")),(IF(OR('Ingest Template'!F252 = "Program Type - Special", 'Ingest Template'!F252 = "Program Type - Live Event"),'Ingest Template'!M252&amp; "|Operations - Core Title|Operations - Core Title|"&amp;TEXT('Ingest Template'!C252-3, "yyyy-mm-dd")&amp;"|"&amp;TEXT('Ingest Template'!C252+3, "yyyy-mm-dd"),'Ingest Template'!M252&amp; "|Operations - Core Title|Operations - Core Title")))</f>
        <v>|Operations - Core Title|Operations - Core Title</v>
      </c>
      <c r="AK252" s="35"/>
      <c r="AL252" s="117" t="str">
        <f>if('Ingest Template'!A252="Standard",(IF(OR('Ingest Template'!F252 = "Program Type - Special", 'Ingest Template'!F252 = "Program Type - Live Event"),'Ingest Template'!Q252&amp;"|"&amp;TEXT('Ingest Template'!C252-3, "yyyy-mm-dd")&amp;"|"&amp;TEXT('Ingest Template'!C252+3, "yyyy-mm-dd"),'Ingest Template'!Q252&amp; "|2021-01-01")),(IF(OR('Ingest Template'!F252 = "Program Type - Special", 'Ingest Template'!F252 = "Program Type - Live Event"),'Ingest Template'!Q252&amp; "|"&amp;TEXT('Ingest Template'!C252-3, "yyyy-mm-dd")&amp;"|"&amp;TEXT('Ingest Template'!C252+3, "yyyy-mm-dd"),'Ingest Template'!Q252)))</f>
        <v/>
      </c>
      <c r="AM252" s="35" t="str">
        <f>'Ingest Template'!AC252</f>
        <v/>
      </c>
    </row>
    <row r="253">
      <c r="A253" s="15"/>
      <c r="B253" s="22" t="str">
        <f>'Ingest Template'!C253&amp;IF('Ingest Template'!A253 = "Standard", " - DAR","")</f>
        <v/>
      </c>
      <c r="C253" s="22" t="s">
        <v>83</v>
      </c>
      <c r="D253" s="22" t="str">
        <f t="array" ref="D253">CONCATENATE(INDEX(DropdownLists!$H$2:$H$11,MATCH(1,COUNTIF('Ingest Template'!E253,"*"&amp;DropdownLists!$I$2:$I$11&amp;"*"),0)),CHAR(10),'Ingest Template'!F253,CHAR(10),'Ingest Template'!G253,CHAR(10),VLOOKUP('Ingest Template'!D253,DropdownLists!C:D,2,FALSE))</f>
        <v>#N/A</v>
      </c>
      <c r="E253" s="22" t="str">
        <f>CONCATENATE('Ingest Template'!H253,CHAR(10),'Ingest Template'!I253,CHAR(10),'Ingest Template'!J253,CHAR(10))</f>
        <v>
</v>
      </c>
      <c r="F253" s="35" t="str">
        <f t="array" ref="F253">INDEX(DropdownLists!$O$2:$O$36,MATCH(1,COUNTIF(E253,"*"&amp;DropdownLists!$N$2:$N$36&amp;"*"),0))</f>
        <v/>
      </c>
      <c r="G253" s="35"/>
      <c r="H253" s="22" t="str">
        <f t="array" ref="H253">INDEX(DropdownLists!$E$2:$E$276,MATCH('Ingest Template'!D253,DropdownLists!$C$2:$C$276,0))</f>
        <v>#N/A</v>
      </c>
      <c r="I253" s="22"/>
      <c r="J253" s="22" t="str">
        <f t="array" ref="J253">iF('Ingest Template'!A253="Standard","Pristine Brand",INDEX(DropdownLists!$B$2:$B$246,MATCH('Ingest Template'!D253,DropdownLists!$C$2:$C$246,0)))</f>
        <v>#N/A</v>
      </c>
      <c r="K253" s="22" t="str">
        <f>iF('Ingest Template'!A253="Standard",'Ingest Template'!K253&amp;CHAR(10)&amp;'Ingest Template'!L253,"Competitive View")</f>
        <v>Competitive View</v>
      </c>
      <c r="L253" s="22" t="s">
        <v>95</v>
      </c>
      <c r="M253" s="45" t="str">
        <f>'Ingest Template'!B253</f>
        <v/>
      </c>
      <c r="N253" s="35"/>
      <c r="O253" s="35"/>
      <c r="P253" s="35"/>
      <c r="Q253" s="35"/>
      <c r="R253" s="35" t="str">
        <f>'Ingest Template'!D253</f>
        <v/>
      </c>
      <c r="S253" s="22" t="s">
        <v>101</v>
      </c>
      <c r="T253" s="35" t="str">
        <f>'Ingest Template'!V253</f>
        <v/>
      </c>
      <c r="U253" s="35" t="str">
        <f>'Ingest Template'!W253</f>
        <v/>
      </c>
      <c r="V253" s="35" t="str">
        <f>LOWER(SUBSTITUTE(SUBSTITUTE(SUBSTITUTE(SUBSTITUTE(SUBSTITUTE('Ingest Template'!X253,"https:",""),"www.",""),"/",""),"?hl=en",""),"instagram.com",""))</f>
        <v/>
      </c>
      <c r="W253" s="74" t="str">
        <f t="array" ref="W253">IF(
'Ingest Template'!Y253="",
SUBSTITUTE(
INDEX(DropdownLists!$F$2:$F$277,MATCH('Ingest Template'!D253,DropdownLists!$C$2:$C$277,0)),
CHAR(10),
"|"&amp;'Ingest Template'!C253&amp;CHAR(10)
)&amp;"|"&amp;'Ingest Template'!C253,
SUBSTITUTE(
INDEX(DropdownLists!$F$2:$F$277,MATCH('Ingest Template'!D253,DropdownLists!$C$2:$C$277,0)),
CHAR(10),
"|"&amp;'Ingest Template'!C253&amp;CHAR(10)
)&amp;"|"&amp;'Ingest Template'!C253&amp;CHAR(10)&amp;'Ingest Template'!Y253
)</f>
        <v>#N/A</v>
      </c>
      <c r="X253" s="74" t="str">
        <f>'Ingest Template'!Z253</f>
        <v/>
      </c>
      <c r="Y253" s="35" t="str">
        <f>SUBSTITUTE(SUBSTITUTE(SUBSTITUTE('Ingest Template'!AA253,"http:",""),"https:",""),"/","")</f>
        <v/>
      </c>
      <c r="Z253" s="35" t="str">
        <f t="array" ref="Z253">IF('Ingest Template'!A253="Standard",(IF(ISBLANK('Ingest Template'!AB253),"", 'Ingest Template'!AB253&amp;"|DAR")),(IF(ISBLANK('Ingest Template'!AB253),"", 'Ingest Template'!AB253&amp;"|TV Ops")))</f>
        <v/>
      </c>
      <c r="AA253" s="35"/>
      <c r="AB253" s="35" t="str">
        <f>'Ingest Template'!R253</f>
        <v/>
      </c>
      <c r="AC253" s="35" t="str">
        <f>'Ingest Template'!T253</f>
        <v/>
      </c>
      <c r="AD253" s="35" t="str">
        <f>'Ingest Template'!S253</f>
        <v/>
      </c>
      <c r="AE253" s="35" t="str">
        <f>'Ingest Template'!U253</f>
        <v/>
      </c>
      <c r="AF253" s="22"/>
      <c r="AG253" s="35" t="str">
        <f t="array" ref="AG253">IF('Ingest Template'!A253="Standard",(CONCATENATE(IF(ISBLANK('Ingest Template'!N253),"", 'Ingest Template'!N253&amp;"|DAR"),CHAR(10), IF(ISBLANK('Ingest Template'!O253),"", 'Ingest Template'!O253&amp;"|DAR"),CHAR(10), IF(ISBLANK('Ingest Template'!P253),"", 'Ingest Template'!P253&amp;"|DAR"))),(CONCATENATE(IF(ISBLANK('Ingest Template'!N253),"", 'Ingest Template'!N253&amp;"|TV Ops"),CHAR(10), IF(ISBLANK('Ingest Template'!O253),"", 'Ingest Template'!O253&amp;"|TV Ops"),CHAR(10), IF(ISBLANK('Ingest Template'!P253),"", 'Ingest Template'!P253&amp;"|TV Ops"))))</f>
        <v>
</v>
      </c>
      <c r="AH253" s="35"/>
      <c r="AI253" s="35"/>
      <c r="AJ253" s="117" t="str">
        <f>if('Ingest Template'!A253="Standard",(IF(OR('Ingest Template'!F253 = "Program Type - Special", 'Ingest Template'!F253 = "Program Type - Live Event"),'Ingest Template'!M253&amp; "|DAR|DAR|"&amp;TEXT('Ingest Template'!C253-3, "yyyy-mm-dd")&amp;"|"&amp;TEXT('Ingest Template'!C253+3, "yyyy-mm-dd"),'Ingest Template'!M253&amp; "|DAR|DAR|2021-01-01")),(IF(OR('Ingest Template'!F253 = "Program Type - Special", 'Ingest Template'!F253 = "Program Type - Live Event"),'Ingest Template'!M253&amp; "|Operations - Core Title|Operations - Core Title|"&amp;TEXT('Ingest Template'!C253-3, "yyyy-mm-dd")&amp;"|"&amp;TEXT('Ingest Template'!C253+3, "yyyy-mm-dd"),'Ingest Template'!M253&amp; "|Operations - Core Title|Operations - Core Title")))</f>
        <v>|Operations - Core Title|Operations - Core Title</v>
      </c>
      <c r="AK253" s="35"/>
      <c r="AL253" s="117" t="str">
        <f>if('Ingest Template'!A253="Standard",(IF(OR('Ingest Template'!F253 = "Program Type - Special", 'Ingest Template'!F253 = "Program Type - Live Event"),'Ingest Template'!Q253&amp;"|"&amp;TEXT('Ingest Template'!C253-3, "yyyy-mm-dd")&amp;"|"&amp;TEXT('Ingest Template'!C253+3, "yyyy-mm-dd"),'Ingest Template'!Q253&amp; "|2021-01-01")),(IF(OR('Ingest Template'!F253 = "Program Type - Special", 'Ingest Template'!F253 = "Program Type - Live Event"),'Ingest Template'!Q253&amp; "|"&amp;TEXT('Ingest Template'!C253-3, "yyyy-mm-dd")&amp;"|"&amp;TEXT('Ingest Template'!C253+3, "yyyy-mm-dd"),'Ingest Template'!Q253)))</f>
        <v/>
      </c>
      <c r="AM253" s="35" t="str">
        <f>'Ingest Template'!AC253</f>
        <v/>
      </c>
    </row>
    <row r="254">
      <c r="A254" s="15"/>
      <c r="B254" s="22" t="str">
        <f>'Ingest Template'!C254&amp;IF('Ingest Template'!A254 = "Standard", " - DAR","")</f>
        <v/>
      </c>
      <c r="C254" s="22" t="s">
        <v>83</v>
      </c>
      <c r="D254" s="22" t="str">
        <f t="array" ref="D254">CONCATENATE(INDEX(DropdownLists!$H$2:$H$11,MATCH(1,COUNTIF('Ingest Template'!E254,"*"&amp;DropdownLists!$I$2:$I$11&amp;"*"),0)),CHAR(10),'Ingest Template'!F254,CHAR(10),'Ingest Template'!G254,CHAR(10),VLOOKUP('Ingest Template'!D254,DropdownLists!C:D,2,FALSE))</f>
        <v>#N/A</v>
      </c>
      <c r="E254" s="22" t="str">
        <f>CONCATENATE('Ingest Template'!H254,CHAR(10),'Ingest Template'!I254,CHAR(10),'Ingest Template'!J254,CHAR(10))</f>
        <v>
</v>
      </c>
      <c r="F254" s="35" t="str">
        <f t="array" ref="F254">INDEX(DropdownLists!$O$2:$O$36,MATCH(1,COUNTIF(E254,"*"&amp;DropdownLists!$N$2:$N$36&amp;"*"),0))</f>
        <v/>
      </c>
      <c r="G254" s="35"/>
      <c r="H254" s="22" t="str">
        <f t="array" ref="H254">INDEX(DropdownLists!$E$2:$E$276,MATCH('Ingest Template'!D254,DropdownLists!$C$2:$C$276,0))</f>
        <v>#N/A</v>
      </c>
      <c r="I254" s="22"/>
      <c r="J254" s="22" t="str">
        <f t="array" ref="J254">iF('Ingest Template'!A254="Standard","Pristine Brand",INDEX(DropdownLists!$B$2:$B$246,MATCH('Ingest Template'!D254,DropdownLists!$C$2:$C$246,0)))</f>
        <v>#N/A</v>
      </c>
      <c r="K254" s="22" t="str">
        <f>iF('Ingest Template'!A254="Standard",'Ingest Template'!K254&amp;CHAR(10)&amp;'Ingest Template'!L254,"Competitive View")</f>
        <v>Competitive View</v>
      </c>
      <c r="L254" s="22" t="s">
        <v>95</v>
      </c>
      <c r="M254" s="45" t="str">
        <f>'Ingest Template'!B254</f>
        <v/>
      </c>
      <c r="N254" s="35"/>
      <c r="O254" s="35"/>
      <c r="P254" s="35"/>
      <c r="Q254" s="35"/>
      <c r="R254" s="35" t="str">
        <f>'Ingest Template'!D254</f>
        <v/>
      </c>
      <c r="S254" s="22" t="s">
        <v>101</v>
      </c>
      <c r="T254" s="35" t="str">
        <f>'Ingest Template'!V254</f>
        <v/>
      </c>
      <c r="U254" s="35" t="str">
        <f>'Ingest Template'!W254</f>
        <v/>
      </c>
      <c r="V254" s="35" t="str">
        <f>LOWER(SUBSTITUTE(SUBSTITUTE(SUBSTITUTE(SUBSTITUTE(SUBSTITUTE('Ingest Template'!X254,"https:",""),"www.",""),"/",""),"?hl=en",""),"instagram.com",""))</f>
        <v/>
      </c>
      <c r="W254" s="74" t="str">
        <f t="array" ref="W254">IF(
'Ingest Template'!Y254="",
SUBSTITUTE(
INDEX(DropdownLists!$F$2:$F$277,MATCH('Ingest Template'!D254,DropdownLists!$C$2:$C$277,0)),
CHAR(10),
"|"&amp;'Ingest Template'!C254&amp;CHAR(10)
)&amp;"|"&amp;'Ingest Template'!C254,
SUBSTITUTE(
INDEX(DropdownLists!$F$2:$F$277,MATCH('Ingest Template'!D254,DropdownLists!$C$2:$C$277,0)),
CHAR(10),
"|"&amp;'Ingest Template'!C254&amp;CHAR(10)
)&amp;"|"&amp;'Ingest Template'!C254&amp;CHAR(10)&amp;'Ingest Template'!Y254
)</f>
        <v>#N/A</v>
      </c>
      <c r="X254" s="74" t="str">
        <f>'Ingest Template'!Z254</f>
        <v/>
      </c>
      <c r="Y254" s="35" t="str">
        <f>SUBSTITUTE(SUBSTITUTE(SUBSTITUTE('Ingest Template'!AA254,"http:",""),"https:",""),"/","")</f>
        <v/>
      </c>
      <c r="Z254" s="35" t="str">
        <f t="array" ref="Z254">IF('Ingest Template'!A254="Standard",(IF(ISBLANK('Ingest Template'!AB254),"", 'Ingest Template'!AB254&amp;"|DAR")),(IF(ISBLANK('Ingest Template'!AB254),"", 'Ingest Template'!AB254&amp;"|TV Ops")))</f>
        <v/>
      </c>
      <c r="AA254" s="35"/>
      <c r="AB254" s="35" t="str">
        <f>'Ingest Template'!R254</f>
        <v/>
      </c>
      <c r="AC254" s="35" t="str">
        <f>'Ingest Template'!T254</f>
        <v/>
      </c>
      <c r="AD254" s="35" t="str">
        <f>'Ingest Template'!S254</f>
        <v/>
      </c>
      <c r="AE254" s="35" t="str">
        <f>'Ingest Template'!U254</f>
        <v/>
      </c>
      <c r="AF254" s="22"/>
      <c r="AG254" s="35" t="str">
        <f t="array" ref="AG254">IF('Ingest Template'!A254="Standard",(CONCATENATE(IF(ISBLANK('Ingest Template'!N254),"", 'Ingest Template'!N254&amp;"|DAR"),CHAR(10), IF(ISBLANK('Ingest Template'!O254),"", 'Ingest Template'!O254&amp;"|DAR"),CHAR(10), IF(ISBLANK('Ingest Template'!P254),"", 'Ingest Template'!P254&amp;"|DAR"))),(CONCATENATE(IF(ISBLANK('Ingest Template'!N254),"", 'Ingest Template'!N254&amp;"|TV Ops"),CHAR(10), IF(ISBLANK('Ingest Template'!O254),"", 'Ingest Template'!O254&amp;"|TV Ops"),CHAR(10), IF(ISBLANK('Ingest Template'!P254),"", 'Ingest Template'!P254&amp;"|TV Ops"))))</f>
        <v>
</v>
      </c>
      <c r="AH254" s="35"/>
      <c r="AI254" s="35"/>
      <c r="AJ254" s="117" t="str">
        <f>if('Ingest Template'!A254="Standard",(IF(OR('Ingest Template'!F254 = "Program Type - Special", 'Ingest Template'!F254 = "Program Type - Live Event"),'Ingest Template'!M254&amp; "|DAR|DAR|"&amp;TEXT('Ingest Template'!C254-3, "yyyy-mm-dd")&amp;"|"&amp;TEXT('Ingest Template'!C254+3, "yyyy-mm-dd"),'Ingest Template'!M254&amp; "|DAR|DAR|2021-01-01")),(IF(OR('Ingest Template'!F254 = "Program Type - Special", 'Ingest Template'!F254 = "Program Type - Live Event"),'Ingest Template'!M254&amp; "|Operations - Core Title|Operations - Core Title|"&amp;TEXT('Ingest Template'!C254-3, "yyyy-mm-dd")&amp;"|"&amp;TEXT('Ingest Template'!C254+3, "yyyy-mm-dd"),'Ingest Template'!M254&amp; "|Operations - Core Title|Operations - Core Title")))</f>
        <v>|Operations - Core Title|Operations - Core Title</v>
      </c>
      <c r="AK254" s="35"/>
      <c r="AL254" s="117" t="str">
        <f>if('Ingest Template'!A254="Standard",(IF(OR('Ingest Template'!F254 = "Program Type - Special", 'Ingest Template'!F254 = "Program Type - Live Event"),'Ingest Template'!Q254&amp;"|"&amp;TEXT('Ingest Template'!C254-3, "yyyy-mm-dd")&amp;"|"&amp;TEXT('Ingest Template'!C254+3, "yyyy-mm-dd"),'Ingest Template'!Q254&amp; "|2021-01-01")),(IF(OR('Ingest Template'!F254 = "Program Type - Special", 'Ingest Template'!F254 = "Program Type - Live Event"),'Ingest Template'!Q254&amp; "|"&amp;TEXT('Ingest Template'!C254-3, "yyyy-mm-dd")&amp;"|"&amp;TEXT('Ingest Template'!C254+3, "yyyy-mm-dd"),'Ingest Template'!Q254)))</f>
        <v/>
      </c>
      <c r="AM254" s="35" t="str">
        <f>'Ingest Template'!AC254</f>
        <v/>
      </c>
    </row>
    <row r="255">
      <c r="A255" s="15"/>
      <c r="B255" s="22" t="str">
        <f>'Ingest Template'!C255&amp;IF('Ingest Template'!A255 = "Standard", " - DAR","")</f>
        <v/>
      </c>
      <c r="C255" s="22" t="s">
        <v>83</v>
      </c>
      <c r="D255" s="22" t="str">
        <f t="array" ref="D255">CONCATENATE(INDEX(DropdownLists!$H$2:$H$11,MATCH(1,COUNTIF('Ingest Template'!E255,"*"&amp;DropdownLists!$I$2:$I$11&amp;"*"),0)),CHAR(10),'Ingest Template'!F255,CHAR(10),'Ingest Template'!G255,CHAR(10),VLOOKUP('Ingest Template'!D255,DropdownLists!C:D,2,FALSE))</f>
        <v>#N/A</v>
      </c>
      <c r="E255" s="22" t="str">
        <f>CONCATENATE('Ingest Template'!H255,CHAR(10),'Ingest Template'!I255,CHAR(10),'Ingest Template'!J255,CHAR(10))</f>
        <v>
</v>
      </c>
      <c r="F255" s="35" t="str">
        <f t="array" ref="F255">INDEX(DropdownLists!$O$2:$O$36,MATCH(1,COUNTIF(E255,"*"&amp;DropdownLists!$N$2:$N$36&amp;"*"),0))</f>
        <v/>
      </c>
      <c r="G255" s="35"/>
      <c r="H255" s="22" t="str">
        <f t="array" ref="H255">INDEX(DropdownLists!$E$2:$E$276,MATCH('Ingest Template'!D255,DropdownLists!$C$2:$C$276,0))</f>
        <v>#N/A</v>
      </c>
      <c r="I255" s="22"/>
      <c r="J255" s="22" t="str">
        <f t="array" ref="J255">iF('Ingest Template'!A255="Standard","Pristine Brand",INDEX(DropdownLists!$B$2:$B$246,MATCH('Ingest Template'!D255,DropdownLists!$C$2:$C$246,0)))</f>
        <v>#N/A</v>
      </c>
      <c r="K255" s="22" t="str">
        <f>iF('Ingest Template'!A255="Standard",'Ingest Template'!K255&amp;CHAR(10)&amp;'Ingest Template'!L255,"Competitive View")</f>
        <v>Competitive View</v>
      </c>
      <c r="L255" s="22" t="s">
        <v>95</v>
      </c>
      <c r="M255" s="45" t="str">
        <f>'Ingest Template'!B255</f>
        <v/>
      </c>
      <c r="N255" s="35"/>
      <c r="O255" s="35"/>
      <c r="P255" s="35"/>
      <c r="Q255" s="35"/>
      <c r="R255" s="35" t="str">
        <f>'Ingest Template'!D255</f>
        <v/>
      </c>
      <c r="S255" s="22" t="s">
        <v>101</v>
      </c>
      <c r="T255" s="35" t="str">
        <f>'Ingest Template'!V255</f>
        <v/>
      </c>
      <c r="U255" s="35" t="str">
        <f>'Ingest Template'!W255</f>
        <v/>
      </c>
      <c r="V255" s="35" t="str">
        <f>LOWER(SUBSTITUTE(SUBSTITUTE(SUBSTITUTE(SUBSTITUTE(SUBSTITUTE('Ingest Template'!X255,"https:",""),"www.",""),"/",""),"?hl=en",""),"instagram.com",""))</f>
        <v/>
      </c>
      <c r="W255" s="74" t="str">
        <f t="array" ref="W255">IF(
'Ingest Template'!Y255="",
SUBSTITUTE(
INDEX(DropdownLists!$F$2:$F$277,MATCH('Ingest Template'!D255,DropdownLists!$C$2:$C$277,0)),
CHAR(10),
"|"&amp;'Ingest Template'!C255&amp;CHAR(10)
)&amp;"|"&amp;'Ingest Template'!C255,
SUBSTITUTE(
INDEX(DropdownLists!$F$2:$F$277,MATCH('Ingest Template'!D255,DropdownLists!$C$2:$C$277,0)),
CHAR(10),
"|"&amp;'Ingest Template'!C255&amp;CHAR(10)
)&amp;"|"&amp;'Ingest Template'!C255&amp;CHAR(10)&amp;'Ingest Template'!Y255
)</f>
        <v>#N/A</v>
      </c>
      <c r="X255" s="74" t="str">
        <f>'Ingest Template'!Z255</f>
        <v/>
      </c>
      <c r="Y255" s="35" t="str">
        <f>SUBSTITUTE(SUBSTITUTE(SUBSTITUTE('Ingest Template'!AA255,"http:",""),"https:",""),"/","")</f>
        <v/>
      </c>
      <c r="Z255" s="35" t="str">
        <f t="array" ref="Z255">IF('Ingest Template'!A255="Standard",(IF(ISBLANK('Ingest Template'!AB255),"", 'Ingest Template'!AB255&amp;"|DAR")),(IF(ISBLANK('Ingest Template'!AB255),"", 'Ingest Template'!AB255&amp;"|TV Ops")))</f>
        <v/>
      </c>
      <c r="AA255" s="35"/>
      <c r="AB255" s="35" t="str">
        <f>'Ingest Template'!R255</f>
        <v/>
      </c>
      <c r="AC255" s="35" t="str">
        <f>'Ingest Template'!T255</f>
        <v/>
      </c>
      <c r="AD255" s="35" t="str">
        <f>'Ingest Template'!S255</f>
        <v/>
      </c>
      <c r="AE255" s="35" t="str">
        <f>'Ingest Template'!U255</f>
        <v/>
      </c>
      <c r="AF255" s="22"/>
      <c r="AG255" s="35" t="str">
        <f t="array" ref="AG255">IF('Ingest Template'!A255="Standard",(CONCATENATE(IF(ISBLANK('Ingest Template'!N255),"", 'Ingest Template'!N255&amp;"|DAR"),CHAR(10), IF(ISBLANK('Ingest Template'!O255),"", 'Ingest Template'!O255&amp;"|DAR"),CHAR(10), IF(ISBLANK('Ingest Template'!P255),"", 'Ingest Template'!P255&amp;"|DAR"))),(CONCATENATE(IF(ISBLANK('Ingest Template'!N255),"", 'Ingest Template'!N255&amp;"|TV Ops"),CHAR(10), IF(ISBLANK('Ingest Template'!O255),"", 'Ingest Template'!O255&amp;"|TV Ops"),CHAR(10), IF(ISBLANK('Ingest Template'!P255),"", 'Ingest Template'!P255&amp;"|TV Ops"))))</f>
        <v>
</v>
      </c>
      <c r="AH255" s="35"/>
      <c r="AI255" s="35"/>
      <c r="AJ255" s="117" t="str">
        <f>if('Ingest Template'!A255="Standard",(IF(OR('Ingest Template'!F255 = "Program Type - Special", 'Ingest Template'!F255 = "Program Type - Live Event"),'Ingest Template'!M255&amp; "|DAR|DAR|"&amp;TEXT('Ingest Template'!C255-3, "yyyy-mm-dd")&amp;"|"&amp;TEXT('Ingest Template'!C255+3, "yyyy-mm-dd"),'Ingest Template'!M255&amp; "|DAR|DAR|2021-01-01")),(IF(OR('Ingest Template'!F255 = "Program Type - Special", 'Ingest Template'!F255 = "Program Type - Live Event"),'Ingest Template'!M255&amp; "|Operations - Core Title|Operations - Core Title|"&amp;TEXT('Ingest Template'!C255-3, "yyyy-mm-dd")&amp;"|"&amp;TEXT('Ingest Template'!C255+3, "yyyy-mm-dd"),'Ingest Template'!M255&amp; "|Operations - Core Title|Operations - Core Title")))</f>
        <v>|Operations - Core Title|Operations - Core Title</v>
      </c>
      <c r="AK255" s="35"/>
      <c r="AL255" s="117" t="str">
        <f>if('Ingest Template'!A255="Standard",(IF(OR('Ingest Template'!F255 = "Program Type - Special", 'Ingest Template'!F255 = "Program Type - Live Event"),'Ingest Template'!Q255&amp;"|"&amp;TEXT('Ingest Template'!C255-3, "yyyy-mm-dd")&amp;"|"&amp;TEXT('Ingest Template'!C255+3, "yyyy-mm-dd"),'Ingest Template'!Q255&amp; "|2021-01-01")),(IF(OR('Ingest Template'!F255 = "Program Type - Special", 'Ingest Template'!F255 = "Program Type - Live Event"),'Ingest Template'!Q255&amp; "|"&amp;TEXT('Ingest Template'!C255-3, "yyyy-mm-dd")&amp;"|"&amp;TEXT('Ingest Template'!C255+3, "yyyy-mm-dd"),'Ingest Template'!Q255)))</f>
        <v/>
      </c>
      <c r="AM255" s="35" t="str">
        <f>'Ingest Template'!AC255</f>
        <v/>
      </c>
    </row>
    <row r="256">
      <c r="A256" s="15"/>
      <c r="B256" s="22" t="str">
        <f>'Ingest Template'!C256&amp;IF('Ingest Template'!A256 = "Standard", " - DAR","")</f>
        <v/>
      </c>
      <c r="C256" s="22" t="s">
        <v>83</v>
      </c>
      <c r="D256" s="22" t="str">
        <f t="array" ref="D256">CONCATENATE(INDEX(DropdownLists!$H$2:$H$11,MATCH(1,COUNTIF('Ingest Template'!E256,"*"&amp;DropdownLists!$I$2:$I$11&amp;"*"),0)),CHAR(10),'Ingest Template'!F256,CHAR(10),'Ingest Template'!G256,CHAR(10),VLOOKUP('Ingest Template'!D256,DropdownLists!C:D,2,FALSE))</f>
        <v>#N/A</v>
      </c>
      <c r="E256" s="22" t="str">
        <f>CONCATENATE('Ingest Template'!H256,CHAR(10),'Ingest Template'!I256,CHAR(10),'Ingest Template'!J256,CHAR(10))</f>
        <v>
</v>
      </c>
      <c r="F256" s="35" t="str">
        <f t="array" ref="F256">INDEX(DropdownLists!$O$2:$O$36,MATCH(1,COUNTIF(E256,"*"&amp;DropdownLists!$N$2:$N$36&amp;"*"),0))</f>
        <v/>
      </c>
      <c r="G256" s="35"/>
      <c r="H256" s="22" t="str">
        <f t="array" ref="H256">INDEX(DropdownLists!$E$2:$E$276,MATCH('Ingest Template'!D256,DropdownLists!$C$2:$C$276,0))</f>
        <v>#N/A</v>
      </c>
      <c r="I256" s="22"/>
      <c r="J256" s="22" t="str">
        <f t="array" ref="J256">iF('Ingest Template'!A256="Standard","Pristine Brand",INDEX(DropdownLists!$B$2:$B$246,MATCH('Ingest Template'!D256,DropdownLists!$C$2:$C$246,0)))</f>
        <v>#N/A</v>
      </c>
      <c r="K256" s="22" t="str">
        <f>iF('Ingest Template'!A256="Standard",'Ingest Template'!K256&amp;CHAR(10)&amp;'Ingest Template'!L256,"Competitive View")</f>
        <v>Competitive View</v>
      </c>
      <c r="L256" s="22" t="s">
        <v>95</v>
      </c>
      <c r="M256" s="45" t="str">
        <f>'Ingest Template'!B256</f>
        <v/>
      </c>
      <c r="N256" s="35"/>
      <c r="O256" s="35"/>
      <c r="P256" s="35"/>
      <c r="Q256" s="35"/>
      <c r="R256" s="35" t="str">
        <f>'Ingest Template'!D256</f>
        <v/>
      </c>
      <c r="S256" s="22" t="s">
        <v>101</v>
      </c>
      <c r="T256" s="35" t="str">
        <f>'Ingest Template'!V256</f>
        <v/>
      </c>
      <c r="U256" s="35" t="str">
        <f>'Ingest Template'!W256</f>
        <v/>
      </c>
      <c r="V256" s="35" t="str">
        <f>LOWER(SUBSTITUTE(SUBSTITUTE(SUBSTITUTE(SUBSTITUTE(SUBSTITUTE('Ingest Template'!X256,"https:",""),"www.",""),"/",""),"?hl=en",""),"instagram.com",""))</f>
        <v/>
      </c>
      <c r="W256" s="74" t="str">
        <f t="array" ref="W256">IF(
'Ingest Template'!Y256="",
SUBSTITUTE(
INDEX(DropdownLists!$F$2:$F$277,MATCH('Ingest Template'!D256,DropdownLists!$C$2:$C$277,0)),
CHAR(10),
"|"&amp;'Ingest Template'!C256&amp;CHAR(10)
)&amp;"|"&amp;'Ingest Template'!C256,
SUBSTITUTE(
INDEX(DropdownLists!$F$2:$F$277,MATCH('Ingest Template'!D256,DropdownLists!$C$2:$C$277,0)),
CHAR(10),
"|"&amp;'Ingest Template'!C256&amp;CHAR(10)
)&amp;"|"&amp;'Ingest Template'!C256&amp;CHAR(10)&amp;'Ingest Template'!Y256
)</f>
        <v>#N/A</v>
      </c>
      <c r="X256" s="74" t="str">
        <f>'Ingest Template'!Z256</f>
        <v/>
      </c>
      <c r="Y256" s="35" t="str">
        <f>SUBSTITUTE(SUBSTITUTE(SUBSTITUTE('Ingest Template'!AA256,"http:",""),"https:",""),"/","")</f>
        <v/>
      </c>
      <c r="Z256" s="35" t="str">
        <f t="array" ref="Z256">IF('Ingest Template'!A256="Standard",(IF(ISBLANK('Ingest Template'!AB256),"", 'Ingest Template'!AB256&amp;"|DAR")),(IF(ISBLANK('Ingest Template'!AB256),"", 'Ingest Template'!AB256&amp;"|TV Ops")))</f>
        <v/>
      </c>
      <c r="AA256" s="35"/>
      <c r="AB256" s="35" t="str">
        <f>'Ingest Template'!R256</f>
        <v/>
      </c>
      <c r="AC256" s="35" t="str">
        <f>'Ingest Template'!T256</f>
        <v/>
      </c>
      <c r="AD256" s="35" t="str">
        <f>'Ingest Template'!S256</f>
        <v/>
      </c>
      <c r="AE256" s="35" t="str">
        <f>'Ingest Template'!U256</f>
        <v/>
      </c>
      <c r="AF256" s="22"/>
      <c r="AG256" s="35" t="str">
        <f t="array" ref="AG256">IF('Ingest Template'!A256="Standard",(CONCATENATE(IF(ISBLANK('Ingest Template'!N256),"", 'Ingest Template'!N256&amp;"|DAR"),CHAR(10), IF(ISBLANK('Ingest Template'!O256),"", 'Ingest Template'!O256&amp;"|DAR"),CHAR(10), IF(ISBLANK('Ingest Template'!P256),"", 'Ingest Template'!P256&amp;"|DAR"))),(CONCATENATE(IF(ISBLANK('Ingest Template'!N256),"", 'Ingest Template'!N256&amp;"|TV Ops"),CHAR(10), IF(ISBLANK('Ingest Template'!O256),"", 'Ingest Template'!O256&amp;"|TV Ops"),CHAR(10), IF(ISBLANK('Ingest Template'!P256),"", 'Ingest Template'!P256&amp;"|TV Ops"))))</f>
        <v>
</v>
      </c>
      <c r="AH256" s="35"/>
      <c r="AI256" s="35"/>
      <c r="AJ256" s="117" t="str">
        <f>if('Ingest Template'!A256="Standard",(IF(OR('Ingest Template'!F256 = "Program Type - Special", 'Ingest Template'!F256 = "Program Type - Live Event"),'Ingest Template'!M256&amp; "|DAR|DAR|"&amp;TEXT('Ingest Template'!C256-3, "yyyy-mm-dd")&amp;"|"&amp;TEXT('Ingest Template'!C256+3, "yyyy-mm-dd"),'Ingest Template'!M256&amp; "|DAR|DAR|2021-01-01")),(IF(OR('Ingest Template'!F256 = "Program Type - Special", 'Ingest Template'!F256 = "Program Type - Live Event"),'Ingest Template'!M256&amp; "|Operations - Core Title|Operations - Core Title|"&amp;TEXT('Ingest Template'!C256-3, "yyyy-mm-dd")&amp;"|"&amp;TEXT('Ingest Template'!C256+3, "yyyy-mm-dd"),'Ingest Template'!M256&amp; "|Operations - Core Title|Operations - Core Title")))</f>
        <v>|Operations - Core Title|Operations - Core Title</v>
      </c>
      <c r="AK256" s="35"/>
      <c r="AL256" s="117" t="str">
        <f>if('Ingest Template'!A256="Standard",(IF(OR('Ingest Template'!F256 = "Program Type - Special", 'Ingest Template'!F256 = "Program Type - Live Event"),'Ingest Template'!Q256&amp;"|"&amp;TEXT('Ingest Template'!C256-3, "yyyy-mm-dd")&amp;"|"&amp;TEXT('Ingest Template'!C256+3, "yyyy-mm-dd"),'Ingest Template'!Q256&amp; "|2021-01-01")),(IF(OR('Ingest Template'!F256 = "Program Type - Special", 'Ingest Template'!F256 = "Program Type - Live Event"),'Ingest Template'!Q256&amp; "|"&amp;TEXT('Ingest Template'!C256-3, "yyyy-mm-dd")&amp;"|"&amp;TEXT('Ingest Template'!C256+3, "yyyy-mm-dd"),'Ingest Template'!Q256)))</f>
        <v/>
      </c>
      <c r="AM256" s="35" t="str">
        <f>'Ingest Template'!AC256</f>
        <v/>
      </c>
    </row>
    <row r="257">
      <c r="A257" s="15"/>
      <c r="B257" s="22" t="str">
        <f>'Ingest Template'!C257&amp;IF('Ingest Template'!A257 = "Standard", " - DAR","")</f>
        <v/>
      </c>
      <c r="C257" s="22" t="s">
        <v>83</v>
      </c>
      <c r="D257" s="22" t="str">
        <f t="array" ref="D257">CONCATENATE(INDEX(DropdownLists!$H$2:$H$11,MATCH(1,COUNTIF('Ingest Template'!E257,"*"&amp;DropdownLists!$I$2:$I$11&amp;"*"),0)),CHAR(10),'Ingest Template'!F257,CHAR(10),'Ingest Template'!G257,CHAR(10),VLOOKUP('Ingest Template'!D257,DropdownLists!C:D,2,FALSE))</f>
        <v>#N/A</v>
      </c>
      <c r="E257" s="22" t="str">
        <f>CONCATENATE('Ingest Template'!H257,CHAR(10),'Ingest Template'!I257,CHAR(10),'Ingest Template'!J257,CHAR(10))</f>
        <v>
</v>
      </c>
      <c r="F257" s="35" t="str">
        <f t="array" ref="F257">INDEX(DropdownLists!$O$2:$O$36,MATCH(1,COUNTIF(E257,"*"&amp;DropdownLists!$N$2:$N$36&amp;"*"),0))</f>
        <v/>
      </c>
      <c r="G257" s="35"/>
      <c r="H257" s="22" t="str">
        <f t="array" ref="H257">INDEX(DropdownLists!$E$2:$E$276,MATCH('Ingest Template'!D257,DropdownLists!$C$2:$C$276,0))</f>
        <v>#N/A</v>
      </c>
      <c r="I257" s="22"/>
      <c r="J257" s="22" t="str">
        <f t="array" ref="J257">iF('Ingest Template'!A257="Standard","Pristine Brand",INDEX(DropdownLists!$B$2:$B$246,MATCH('Ingest Template'!D257,DropdownLists!$C$2:$C$246,0)))</f>
        <v>#N/A</v>
      </c>
      <c r="K257" s="22" t="str">
        <f>iF('Ingest Template'!A257="Standard",'Ingest Template'!K257&amp;CHAR(10)&amp;'Ingest Template'!L257,"Competitive View")</f>
        <v>Competitive View</v>
      </c>
      <c r="L257" s="22" t="s">
        <v>95</v>
      </c>
      <c r="M257" s="45" t="str">
        <f>'Ingest Template'!B257</f>
        <v/>
      </c>
      <c r="N257" s="35"/>
      <c r="O257" s="35"/>
      <c r="P257" s="35"/>
      <c r="Q257" s="35"/>
      <c r="R257" s="35" t="str">
        <f>'Ingest Template'!D257</f>
        <v/>
      </c>
      <c r="S257" s="22" t="s">
        <v>101</v>
      </c>
      <c r="T257" s="35" t="str">
        <f>'Ingest Template'!V257</f>
        <v/>
      </c>
      <c r="U257" s="35" t="str">
        <f>'Ingest Template'!W257</f>
        <v/>
      </c>
      <c r="V257" s="35" t="str">
        <f>LOWER(SUBSTITUTE(SUBSTITUTE(SUBSTITUTE(SUBSTITUTE(SUBSTITUTE('Ingest Template'!X257,"https:",""),"www.",""),"/",""),"?hl=en",""),"instagram.com",""))</f>
        <v/>
      </c>
      <c r="W257" s="74" t="str">
        <f t="array" ref="W257">IF(
'Ingest Template'!Y257="",
SUBSTITUTE(
INDEX(DropdownLists!$F$2:$F$277,MATCH('Ingest Template'!D257,DropdownLists!$C$2:$C$277,0)),
CHAR(10),
"|"&amp;'Ingest Template'!C257&amp;CHAR(10)
)&amp;"|"&amp;'Ingest Template'!C257,
SUBSTITUTE(
INDEX(DropdownLists!$F$2:$F$277,MATCH('Ingest Template'!D257,DropdownLists!$C$2:$C$277,0)),
CHAR(10),
"|"&amp;'Ingest Template'!C257&amp;CHAR(10)
)&amp;"|"&amp;'Ingest Template'!C257&amp;CHAR(10)&amp;'Ingest Template'!Y257
)</f>
        <v>#N/A</v>
      </c>
      <c r="X257" s="74" t="str">
        <f>'Ingest Template'!Z257</f>
        <v/>
      </c>
      <c r="Y257" s="35" t="str">
        <f>SUBSTITUTE(SUBSTITUTE(SUBSTITUTE('Ingest Template'!AA257,"http:",""),"https:",""),"/","")</f>
        <v/>
      </c>
      <c r="Z257" s="35" t="str">
        <f t="array" ref="Z257">IF('Ingest Template'!A257="Standard",(IF(ISBLANK('Ingest Template'!AB257),"", 'Ingest Template'!AB257&amp;"|DAR")),(IF(ISBLANK('Ingest Template'!AB257),"", 'Ingest Template'!AB257&amp;"|TV Ops")))</f>
        <v/>
      </c>
      <c r="AA257" s="35"/>
      <c r="AB257" s="35" t="str">
        <f>'Ingest Template'!R257</f>
        <v/>
      </c>
      <c r="AC257" s="35" t="str">
        <f>'Ingest Template'!T257</f>
        <v/>
      </c>
      <c r="AD257" s="35" t="str">
        <f>'Ingest Template'!S257</f>
        <v/>
      </c>
      <c r="AE257" s="35" t="str">
        <f>'Ingest Template'!U257</f>
        <v/>
      </c>
      <c r="AF257" s="22"/>
      <c r="AG257" s="35" t="str">
        <f t="array" ref="AG257">IF('Ingest Template'!A257="Standard",(CONCATENATE(IF(ISBLANK('Ingest Template'!N257),"", 'Ingest Template'!N257&amp;"|DAR"),CHAR(10), IF(ISBLANK('Ingest Template'!O257),"", 'Ingest Template'!O257&amp;"|DAR"),CHAR(10), IF(ISBLANK('Ingest Template'!P257),"", 'Ingest Template'!P257&amp;"|DAR"))),(CONCATENATE(IF(ISBLANK('Ingest Template'!N257),"", 'Ingest Template'!N257&amp;"|TV Ops"),CHAR(10), IF(ISBLANK('Ingest Template'!O257),"", 'Ingest Template'!O257&amp;"|TV Ops"),CHAR(10), IF(ISBLANK('Ingest Template'!P257),"", 'Ingest Template'!P257&amp;"|TV Ops"))))</f>
        <v>
</v>
      </c>
      <c r="AH257" s="35"/>
      <c r="AI257" s="35"/>
      <c r="AJ257" s="117" t="str">
        <f>if('Ingest Template'!A257="Standard",(IF(OR('Ingest Template'!F257 = "Program Type - Special", 'Ingest Template'!F257 = "Program Type - Live Event"),'Ingest Template'!M257&amp; "|DAR|DAR|"&amp;TEXT('Ingest Template'!C257-3, "yyyy-mm-dd")&amp;"|"&amp;TEXT('Ingest Template'!C257+3, "yyyy-mm-dd"),'Ingest Template'!M257&amp; "|DAR|DAR|2021-01-01")),(IF(OR('Ingest Template'!F257 = "Program Type - Special", 'Ingest Template'!F257 = "Program Type - Live Event"),'Ingest Template'!M257&amp; "|Operations - Core Title|Operations - Core Title|"&amp;TEXT('Ingest Template'!C257-3, "yyyy-mm-dd")&amp;"|"&amp;TEXT('Ingest Template'!C257+3, "yyyy-mm-dd"),'Ingest Template'!M257&amp; "|Operations - Core Title|Operations - Core Title")))</f>
        <v>|Operations - Core Title|Operations - Core Title</v>
      </c>
      <c r="AK257" s="35"/>
      <c r="AL257" s="117" t="str">
        <f>if('Ingest Template'!A257="Standard",(IF(OR('Ingest Template'!F257 = "Program Type - Special", 'Ingest Template'!F257 = "Program Type - Live Event"),'Ingest Template'!Q257&amp;"|"&amp;TEXT('Ingest Template'!C257-3, "yyyy-mm-dd")&amp;"|"&amp;TEXT('Ingest Template'!C257+3, "yyyy-mm-dd"),'Ingest Template'!Q257&amp; "|2021-01-01")),(IF(OR('Ingest Template'!F257 = "Program Type - Special", 'Ingest Template'!F257 = "Program Type - Live Event"),'Ingest Template'!Q257&amp; "|"&amp;TEXT('Ingest Template'!C257-3, "yyyy-mm-dd")&amp;"|"&amp;TEXT('Ingest Template'!C257+3, "yyyy-mm-dd"),'Ingest Template'!Q257)))</f>
        <v/>
      </c>
      <c r="AM257" s="35" t="str">
        <f>'Ingest Template'!AC257</f>
        <v/>
      </c>
    </row>
    <row r="258">
      <c r="A258" s="15"/>
      <c r="B258" s="22" t="str">
        <f>'Ingest Template'!C258&amp;IF('Ingest Template'!A258 = "Standard", " - DAR","")</f>
        <v/>
      </c>
      <c r="C258" s="22" t="s">
        <v>83</v>
      </c>
      <c r="D258" s="22" t="str">
        <f t="array" ref="D258">CONCATENATE(INDEX(DropdownLists!$H$2:$H$11,MATCH(1,COUNTIF('Ingest Template'!E258,"*"&amp;DropdownLists!$I$2:$I$11&amp;"*"),0)),CHAR(10),'Ingest Template'!F258,CHAR(10),'Ingest Template'!G258,CHAR(10),VLOOKUP('Ingest Template'!D258,DropdownLists!C:D,2,FALSE))</f>
        <v>#N/A</v>
      </c>
      <c r="E258" s="22" t="str">
        <f>CONCATENATE('Ingest Template'!H258,CHAR(10),'Ingest Template'!I258,CHAR(10),'Ingest Template'!J258,CHAR(10))</f>
        <v>
</v>
      </c>
      <c r="F258" s="35" t="str">
        <f t="array" ref="F258">INDEX(DropdownLists!$O$2:$O$36,MATCH(1,COUNTIF(E258,"*"&amp;DropdownLists!$N$2:$N$36&amp;"*"),0))</f>
        <v/>
      </c>
      <c r="G258" s="35"/>
      <c r="H258" s="22" t="str">
        <f t="array" ref="H258">INDEX(DropdownLists!$E$2:$E$276,MATCH('Ingest Template'!D258,DropdownLists!$C$2:$C$276,0))</f>
        <v>#N/A</v>
      </c>
      <c r="I258" s="22"/>
      <c r="J258" s="22" t="str">
        <f t="array" ref="J258">iF('Ingest Template'!A258="Standard","Pristine Brand",INDEX(DropdownLists!$B$2:$B$246,MATCH('Ingest Template'!D258,DropdownLists!$C$2:$C$246,0)))</f>
        <v>#N/A</v>
      </c>
      <c r="K258" s="22" t="str">
        <f>iF('Ingest Template'!A258="Standard",'Ingest Template'!K258&amp;CHAR(10)&amp;'Ingest Template'!L258,"Competitive View")</f>
        <v>Competitive View</v>
      </c>
      <c r="L258" s="22" t="s">
        <v>95</v>
      </c>
      <c r="M258" s="45" t="str">
        <f>'Ingest Template'!B258</f>
        <v/>
      </c>
      <c r="N258" s="35"/>
      <c r="O258" s="35"/>
      <c r="P258" s="35"/>
      <c r="Q258" s="35"/>
      <c r="R258" s="35" t="str">
        <f>'Ingest Template'!D258</f>
        <v/>
      </c>
      <c r="S258" s="22" t="s">
        <v>101</v>
      </c>
      <c r="T258" s="35" t="str">
        <f>'Ingest Template'!V258</f>
        <v/>
      </c>
      <c r="U258" s="35" t="str">
        <f>'Ingest Template'!W258</f>
        <v/>
      </c>
      <c r="V258" s="35" t="str">
        <f>LOWER(SUBSTITUTE(SUBSTITUTE(SUBSTITUTE(SUBSTITUTE(SUBSTITUTE('Ingest Template'!X258,"https:",""),"www.",""),"/",""),"?hl=en",""),"instagram.com",""))</f>
        <v/>
      </c>
      <c r="W258" s="74" t="str">
        <f t="array" ref="W258">IF(
'Ingest Template'!Y258="",
SUBSTITUTE(
INDEX(DropdownLists!$F$2:$F$277,MATCH('Ingest Template'!D258,DropdownLists!$C$2:$C$277,0)),
CHAR(10),
"|"&amp;'Ingest Template'!C258&amp;CHAR(10)
)&amp;"|"&amp;'Ingest Template'!C258,
SUBSTITUTE(
INDEX(DropdownLists!$F$2:$F$277,MATCH('Ingest Template'!D258,DropdownLists!$C$2:$C$277,0)),
CHAR(10),
"|"&amp;'Ingest Template'!C258&amp;CHAR(10)
)&amp;"|"&amp;'Ingest Template'!C258&amp;CHAR(10)&amp;'Ingest Template'!Y258
)</f>
        <v>#N/A</v>
      </c>
      <c r="X258" s="74" t="str">
        <f>'Ingest Template'!Z258</f>
        <v/>
      </c>
      <c r="Y258" s="35" t="str">
        <f>SUBSTITUTE(SUBSTITUTE(SUBSTITUTE('Ingest Template'!AA258,"http:",""),"https:",""),"/","")</f>
        <v/>
      </c>
      <c r="Z258" s="35" t="str">
        <f t="array" ref="Z258">IF('Ingest Template'!A258="Standard",(IF(ISBLANK('Ingest Template'!AB258),"", 'Ingest Template'!AB258&amp;"|DAR")),(IF(ISBLANK('Ingest Template'!AB258),"", 'Ingest Template'!AB258&amp;"|TV Ops")))</f>
        <v/>
      </c>
      <c r="AA258" s="35"/>
      <c r="AB258" s="35" t="str">
        <f>'Ingest Template'!R258</f>
        <v/>
      </c>
      <c r="AC258" s="35" t="str">
        <f>'Ingest Template'!T258</f>
        <v/>
      </c>
      <c r="AD258" s="35" t="str">
        <f>'Ingest Template'!S258</f>
        <v/>
      </c>
      <c r="AE258" s="35" t="str">
        <f>'Ingest Template'!U258</f>
        <v/>
      </c>
      <c r="AF258" s="22"/>
      <c r="AG258" s="35" t="str">
        <f t="array" ref="AG258">IF('Ingest Template'!A258="Standard",(CONCATENATE(IF(ISBLANK('Ingest Template'!N258),"", 'Ingest Template'!N258&amp;"|DAR"),CHAR(10), IF(ISBLANK('Ingest Template'!O258),"", 'Ingest Template'!O258&amp;"|DAR"),CHAR(10), IF(ISBLANK('Ingest Template'!P258),"", 'Ingest Template'!P258&amp;"|DAR"))),(CONCATENATE(IF(ISBLANK('Ingest Template'!N258),"", 'Ingest Template'!N258&amp;"|TV Ops"),CHAR(10), IF(ISBLANK('Ingest Template'!O258),"", 'Ingest Template'!O258&amp;"|TV Ops"),CHAR(10), IF(ISBLANK('Ingest Template'!P258),"", 'Ingest Template'!P258&amp;"|TV Ops"))))</f>
        <v>
</v>
      </c>
      <c r="AH258" s="35"/>
      <c r="AI258" s="35"/>
      <c r="AJ258" s="117" t="str">
        <f>if('Ingest Template'!A258="Standard",(IF(OR('Ingest Template'!F258 = "Program Type - Special", 'Ingest Template'!F258 = "Program Type - Live Event"),'Ingest Template'!M258&amp; "|DAR|DAR|"&amp;TEXT('Ingest Template'!C258-3, "yyyy-mm-dd")&amp;"|"&amp;TEXT('Ingest Template'!C258+3, "yyyy-mm-dd"),'Ingest Template'!M258&amp; "|DAR|DAR|2021-01-01")),(IF(OR('Ingest Template'!F258 = "Program Type - Special", 'Ingest Template'!F258 = "Program Type - Live Event"),'Ingest Template'!M258&amp; "|Operations - Core Title|Operations - Core Title|"&amp;TEXT('Ingest Template'!C258-3, "yyyy-mm-dd")&amp;"|"&amp;TEXT('Ingest Template'!C258+3, "yyyy-mm-dd"),'Ingest Template'!M258&amp; "|Operations - Core Title|Operations - Core Title")))</f>
        <v>|Operations - Core Title|Operations - Core Title</v>
      </c>
      <c r="AK258" s="35"/>
      <c r="AL258" s="117" t="str">
        <f>if('Ingest Template'!A258="Standard",(IF(OR('Ingest Template'!F258 = "Program Type - Special", 'Ingest Template'!F258 = "Program Type - Live Event"),'Ingest Template'!Q258&amp;"|"&amp;TEXT('Ingest Template'!C258-3, "yyyy-mm-dd")&amp;"|"&amp;TEXT('Ingest Template'!C258+3, "yyyy-mm-dd"),'Ingest Template'!Q258&amp; "|2021-01-01")),(IF(OR('Ingest Template'!F258 = "Program Type - Special", 'Ingest Template'!F258 = "Program Type - Live Event"),'Ingest Template'!Q258&amp; "|"&amp;TEXT('Ingest Template'!C258-3, "yyyy-mm-dd")&amp;"|"&amp;TEXT('Ingest Template'!C258+3, "yyyy-mm-dd"),'Ingest Template'!Q258)))</f>
        <v/>
      </c>
      <c r="AM258" s="35" t="str">
        <f>'Ingest Template'!AC258</f>
        <v/>
      </c>
    </row>
    <row r="259">
      <c r="A259" s="15"/>
      <c r="B259" s="22" t="str">
        <f>'Ingest Template'!C259&amp;IF('Ingest Template'!A259 = "Standard", " - DAR","")</f>
        <v/>
      </c>
      <c r="C259" s="22" t="s">
        <v>83</v>
      </c>
      <c r="D259" s="22" t="str">
        <f t="array" ref="D259">CONCATENATE(INDEX(DropdownLists!$H$2:$H$11,MATCH(1,COUNTIF('Ingest Template'!E259,"*"&amp;DropdownLists!$I$2:$I$11&amp;"*"),0)),CHAR(10),'Ingest Template'!F259,CHAR(10),'Ingest Template'!G259,CHAR(10),VLOOKUP('Ingest Template'!D259,DropdownLists!C:D,2,FALSE))</f>
        <v>#N/A</v>
      </c>
      <c r="E259" s="22" t="str">
        <f>CONCATENATE('Ingest Template'!H259,CHAR(10),'Ingest Template'!I259,CHAR(10),'Ingest Template'!J259,CHAR(10))</f>
        <v>
</v>
      </c>
      <c r="F259" s="35" t="str">
        <f t="array" ref="F259">INDEX(DropdownLists!$O$2:$O$36,MATCH(1,COUNTIF(E259,"*"&amp;DropdownLists!$N$2:$N$36&amp;"*"),0))</f>
        <v/>
      </c>
      <c r="G259" s="35"/>
      <c r="H259" s="22" t="str">
        <f t="array" ref="H259">INDEX(DropdownLists!$E$2:$E$276,MATCH('Ingest Template'!D259,DropdownLists!$C$2:$C$276,0))</f>
        <v>#N/A</v>
      </c>
      <c r="I259" s="22"/>
      <c r="J259" s="22" t="str">
        <f t="array" ref="J259">iF('Ingest Template'!A259="Standard","Pristine Brand",INDEX(DropdownLists!$B$2:$B$246,MATCH('Ingest Template'!D259,DropdownLists!$C$2:$C$246,0)))</f>
        <v>#N/A</v>
      </c>
      <c r="K259" s="22" t="str">
        <f>iF('Ingest Template'!A259="Standard",'Ingest Template'!K259&amp;CHAR(10)&amp;'Ingest Template'!L259,"Competitive View")</f>
        <v>Competitive View</v>
      </c>
      <c r="L259" s="22" t="s">
        <v>95</v>
      </c>
      <c r="M259" s="45" t="str">
        <f>'Ingest Template'!B259</f>
        <v/>
      </c>
      <c r="N259" s="35"/>
      <c r="O259" s="35"/>
      <c r="P259" s="35"/>
      <c r="Q259" s="35"/>
      <c r="R259" s="35" t="str">
        <f>'Ingest Template'!D259</f>
        <v/>
      </c>
      <c r="S259" s="22" t="s">
        <v>101</v>
      </c>
      <c r="T259" s="35" t="str">
        <f>'Ingest Template'!V259</f>
        <v/>
      </c>
      <c r="U259" s="35" t="str">
        <f>'Ingest Template'!W259</f>
        <v/>
      </c>
      <c r="V259" s="35" t="str">
        <f>LOWER(SUBSTITUTE(SUBSTITUTE(SUBSTITUTE(SUBSTITUTE(SUBSTITUTE('Ingest Template'!X259,"https:",""),"www.",""),"/",""),"?hl=en",""),"instagram.com",""))</f>
        <v/>
      </c>
      <c r="W259" s="74" t="str">
        <f t="array" ref="W259">IF(
'Ingest Template'!Y259="",
SUBSTITUTE(
INDEX(DropdownLists!$F$2:$F$277,MATCH('Ingest Template'!D259,DropdownLists!$C$2:$C$277,0)),
CHAR(10),
"|"&amp;'Ingest Template'!C259&amp;CHAR(10)
)&amp;"|"&amp;'Ingest Template'!C259,
SUBSTITUTE(
INDEX(DropdownLists!$F$2:$F$277,MATCH('Ingest Template'!D259,DropdownLists!$C$2:$C$277,0)),
CHAR(10),
"|"&amp;'Ingest Template'!C259&amp;CHAR(10)
)&amp;"|"&amp;'Ingest Template'!C259&amp;CHAR(10)&amp;'Ingest Template'!Y259
)</f>
        <v>#N/A</v>
      </c>
      <c r="X259" s="74" t="str">
        <f>'Ingest Template'!Z259</f>
        <v/>
      </c>
      <c r="Y259" s="35" t="str">
        <f>SUBSTITUTE(SUBSTITUTE(SUBSTITUTE('Ingest Template'!AA259,"http:",""),"https:",""),"/","")</f>
        <v/>
      </c>
      <c r="Z259" s="35" t="str">
        <f t="array" ref="Z259">IF('Ingest Template'!A259="Standard",(IF(ISBLANK('Ingest Template'!AB259),"", 'Ingest Template'!AB259&amp;"|DAR")),(IF(ISBLANK('Ingest Template'!AB259),"", 'Ingest Template'!AB259&amp;"|TV Ops")))</f>
        <v/>
      </c>
      <c r="AA259" s="35"/>
      <c r="AB259" s="35" t="str">
        <f>'Ingest Template'!R259</f>
        <v/>
      </c>
      <c r="AC259" s="35" t="str">
        <f>'Ingest Template'!T259</f>
        <v/>
      </c>
      <c r="AD259" s="35" t="str">
        <f>'Ingest Template'!S259</f>
        <v/>
      </c>
      <c r="AE259" s="35" t="str">
        <f>'Ingest Template'!U259</f>
        <v/>
      </c>
      <c r="AF259" s="22"/>
      <c r="AG259" s="35" t="str">
        <f t="array" ref="AG259">IF('Ingest Template'!A259="Standard",(CONCATENATE(IF(ISBLANK('Ingest Template'!N259),"", 'Ingest Template'!N259&amp;"|DAR"),CHAR(10), IF(ISBLANK('Ingest Template'!O259),"", 'Ingest Template'!O259&amp;"|DAR"),CHAR(10), IF(ISBLANK('Ingest Template'!P259),"", 'Ingest Template'!P259&amp;"|DAR"))),(CONCATENATE(IF(ISBLANK('Ingest Template'!N259),"", 'Ingest Template'!N259&amp;"|TV Ops"),CHAR(10), IF(ISBLANK('Ingest Template'!O259),"", 'Ingest Template'!O259&amp;"|TV Ops"),CHAR(10), IF(ISBLANK('Ingest Template'!P259),"", 'Ingest Template'!P259&amp;"|TV Ops"))))</f>
        <v>
</v>
      </c>
      <c r="AH259" s="35"/>
      <c r="AI259" s="35"/>
      <c r="AJ259" s="117" t="str">
        <f>if('Ingest Template'!A259="Standard",(IF(OR('Ingest Template'!F259 = "Program Type - Special", 'Ingest Template'!F259 = "Program Type - Live Event"),'Ingest Template'!M259&amp; "|DAR|DAR|"&amp;TEXT('Ingest Template'!C259-3, "yyyy-mm-dd")&amp;"|"&amp;TEXT('Ingest Template'!C259+3, "yyyy-mm-dd"),'Ingest Template'!M259&amp; "|DAR|DAR|2021-01-01")),(IF(OR('Ingest Template'!F259 = "Program Type - Special", 'Ingest Template'!F259 = "Program Type - Live Event"),'Ingest Template'!M259&amp; "|Operations - Core Title|Operations - Core Title|"&amp;TEXT('Ingest Template'!C259-3, "yyyy-mm-dd")&amp;"|"&amp;TEXT('Ingest Template'!C259+3, "yyyy-mm-dd"),'Ingest Template'!M259&amp; "|Operations - Core Title|Operations - Core Title")))</f>
        <v>|Operations - Core Title|Operations - Core Title</v>
      </c>
      <c r="AK259" s="35"/>
      <c r="AL259" s="117" t="str">
        <f>if('Ingest Template'!A259="Standard",(IF(OR('Ingest Template'!F259 = "Program Type - Special", 'Ingest Template'!F259 = "Program Type - Live Event"),'Ingest Template'!Q259&amp;"|"&amp;TEXT('Ingest Template'!C259-3, "yyyy-mm-dd")&amp;"|"&amp;TEXT('Ingest Template'!C259+3, "yyyy-mm-dd"),'Ingest Template'!Q259&amp; "|2021-01-01")),(IF(OR('Ingest Template'!F259 = "Program Type - Special", 'Ingest Template'!F259 = "Program Type - Live Event"),'Ingest Template'!Q259&amp; "|"&amp;TEXT('Ingest Template'!C259-3, "yyyy-mm-dd")&amp;"|"&amp;TEXT('Ingest Template'!C259+3, "yyyy-mm-dd"),'Ingest Template'!Q259)))</f>
        <v/>
      </c>
      <c r="AM259" s="35" t="str">
        <f>'Ingest Template'!AC259</f>
        <v/>
      </c>
    </row>
    <row r="260">
      <c r="A260" s="15"/>
      <c r="B260" s="22" t="str">
        <f>'Ingest Template'!C260&amp;IF('Ingest Template'!A260 = "Standard", " - DAR","")</f>
        <v/>
      </c>
      <c r="C260" s="22" t="s">
        <v>83</v>
      </c>
      <c r="D260" s="22" t="str">
        <f t="array" ref="D260">CONCATENATE(INDEX(DropdownLists!$H$2:$H$11,MATCH(1,COUNTIF('Ingest Template'!E260,"*"&amp;DropdownLists!$I$2:$I$11&amp;"*"),0)),CHAR(10),'Ingest Template'!F260,CHAR(10),'Ingest Template'!G260,CHAR(10),VLOOKUP('Ingest Template'!D260,DropdownLists!C:D,2,FALSE))</f>
        <v>#N/A</v>
      </c>
      <c r="E260" s="22" t="str">
        <f>CONCATENATE('Ingest Template'!H260,CHAR(10),'Ingest Template'!I260,CHAR(10),'Ingest Template'!J260,CHAR(10))</f>
        <v>
</v>
      </c>
      <c r="F260" s="35" t="str">
        <f t="array" ref="F260">INDEX(DropdownLists!$O$2:$O$36,MATCH(1,COUNTIF(E260,"*"&amp;DropdownLists!$N$2:$N$36&amp;"*"),0))</f>
        <v/>
      </c>
      <c r="G260" s="35"/>
      <c r="H260" s="22" t="str">
        <f t="array" ref="H260">INDEX(DropdownLists!$E$2:$E$276,MATCH('Ingest Template'!D260,DropdownLists!$C$2:$C$276,0))</f>
        <v>#N/A</v>
      </c>
      <c r="I260" s="22"/>
      <c r="J260" s="22" t="str">
        <f t="array" ref="J260">iF('Ingest Template'!A260="Standard","Pristine Brand",INDEX(DropdownLists!$B$2:$B$246,MATCH('Ingest Template'!D260,DropdownLists!$C$2:$C$246,0)))</f>
        <v>#N/A</v>
      </c>
      <c r="K260" s="22" t="str">
        <f>iF('Ingest Template'!A260="Standard",'Ingest Template'!K260&amp;CHAR(10)&amp;'Ingest Template'!L260,"Competitive View")</f>
        <v>Competitive View</v>
      </c>
      <c r="L260" s="22" t="s">
        <v>95</v>
      </c>
      <c r="M260" s="45" t="str">
        <f>'Ingest Template'!B260</f>
        <v/>
      </c>
      <c r="N260" s="35"/>
      <c r="O260" s="35"/>
      <c r="P260" s="35"/>
      <c r="Q260" s="35"/>
      <c r="R260" s="35" t="str">
        <f>'Ingest Template'!D260</f>
        <v/>
      </c>
      <c r="S260" s="22" t="s">
        <v>101</v>
      </c>
      <c r="T260" s="35" t="str">
        <f>'Ingest Template'!V260</f>
        <v/>
      </c>
      <c r="U260" s="35" t="str">
        <f>'Ingest Template'!W260</f>
        <v/>
      </c>
      <c r="V260" s="35" t="str">
        <f>LOWER(SUBSTITUTE(SUBSTITUTE(SUBSTITUTE(SUBSTITUTE(SUBSTITUTE('Ingest Template'!X260,"https:",""),"www.",""),"/",""),"?hl=en",""),"instagram.com",""))</f>
        <v/>
      </c>
      <c r="W260" s="74" t="str">
        <f t="array" ref="W260">IF(
'Ingest Template'!Y260="",
SUBSTITUTE(
INDEX(DropdownLists!$F$2:$F$277,MATCH('Ingest Template'!D260,DropdownLists!$C$2:$C$277,0)),
CHAR(10),
"|"&amp;'Ingest Template'!C260&amp;CHAR(10)
)&amp;"|"&amp;'Ingest Template'!C260,
SUBSTITUTE(
INDEX(DropdownLists!$F$2:$F$277,MATCH('Ingest Template'!D260,DropdownLists!$C$2:$C$277,0)),
CHAR(10),
"|"&amp;'Ingest Template'!C260&amp;CHAR(10)
)&amp;"|"&amp;'Ingest Template'!C260&amp;CHAR(10)&amp;'Ingest Template'!Y260
)</f>
        <v>#N/A</v>
      </c>
      <c r="X260" s="74" t="str">
        <f>'Ingest Template'!Z260</f>
        <v/>
      </c>
      <c r="Y260" s="35" t="str">
        <f>SUBSTITUTE(SUBSTITUTE(SUBSTITUTE('Ingest Template'!AA260,"http:",""),"https:",""),"/","")</f>
        <v/>
      </c>
      <c r="Z260" s="35" t="str">
        <f t="array" ref="Z260">IF('Ingest Template'!A260="Standard",(IF(ISBLANK('Ingest Template'!AB260),"", 'Ingest Template'!AB260&amp;"|DAR")),(IF(ISBLANK('Ingest Template'!AB260),"", 'Ingest Template'!AB260&amp;"|TV Ops")))</f>
        <v/>
      </c>
      <c r="AA260" s="35"/>
      <c r="AB260" s="35" t="str">
        <f>'Ingest Template'!R260</f>
        <v/>
      </c>
      <c r="AC260" s="35" t="str">
        <f>'Ingest Template'!T260</f>
        <v/>
      </c>
      <c r="AD260" s="35" t="str">
        <f>'Ingest Template'!S260</f>
        <v/>
      </c>
      <c r="AE260" s="35" t="str">
        <f>'Ingest Template'!U260</f>
        <v/>
      </c>
      <c r="AF260" s="22"/>
      <c r="AG260" s="35" t="str">
        <f t="array" ref="AG260">IF('Ingest Template'!A260="Standard",(CONCATENATE(IF(ISBLANK('Ingest Template'!N260),"", 'Ingest Template'!N260&amp;"|DAR"),CHAR(10), IF(ISBLANK('Ingest Template'!O260),"", 'Ingest Template'!O260&amp;"|DAR"),CHAR(10), IF(ISBLANK('Ingest Template'!P260),"", 'Ingest Template'!P260&amp;"|DAR"))),(CONCATENATE(IF(ISBLANK('Ingest Template'!N260),"", 'Ingest Template'!N260&amp;"|TV Ops"),CHAR(10), IF(ISBLANK('Ingest Template'!O260),"", 'Ingest Template'!O260&amp;"|TV Ops"),CHAR(10), IF(ISBLANK('Ingest Template'!P260),"", 'Ingest Template'!P260&amp;"|TV Ops"))))</f>
        <v>
</v>
      </c>
      <c r="AH260" s="35"/>
      <c r="AI260" s="35"/>
      <c r="AJ260" s="117" t="str">
        <f>if('Ingest Template'!A260="Standard",(IF(OR('Ingest Template'!F260 = "Program Type - Special", 'Ingest Template'!F260 = "Program Type - Live Event"),'Ingest Template'!M260&amp; "|DAR|DAR|"&amp;TEXT('Ingest Template'!C260-3, "yyyy-mm-dd")&amp;"|"&amp;TEXT('Ingest Template'!C260+3, "yyyy-mm-dd"),'Ingest Template'!M260&amp; "|DAR|DAR|2021-01-01")),(IF(OR('Ingest Template'!F260 = "Program Type - Special", 'Ingest Template'!F260 = "Program Type - Live Event"),'Ingest Template'!M260&amp; "|Operations - Core Title|Operations - Core Title|"&amp;TEXT('Ingest Template'!C260-3, "yyyy-mm-dd")&amp;"|"&amp;TEXT('Ingest Template'!C260+3, "yyyy-mm-dd"),'Ingest Template'!M260&amp; "|Operations - Core Title|Operations - Core Title")))</f>
        <v>|Operations - Core Title|Operations - Core Title</v>
      </c>
      <c r="AK260" s="35"/>
      <c r="AL260" s="117" t="str">
        <f>if('Ingest Template'!A260="Standard",(IF(OR('Ingest Template'!F260 = "Program Type - Special", 'Ingest Template'!F260 = "Program Type - Live Event"),'Ingest Template'!Q260&amp;"|"&amp;TEXT('Ingest Template'!C260-3, "yyyy-mm-dd")&amp;"|"&amp;TEXT('Ingest Template'!C260+3, "yyyy-mm-dd"),'Ingest Template'!Q260&amp; "|2021-01-01")),(IF(OR('Ingest Template'!F260 = "Program Type - Special", 'Ingest Template'!F260 = "Program Type - Live Event"),'Ingest Template'!Q260&amp; "|"&amp;TEXT('Ingest Template'!C260-3, "yyyy-mm-dd")&amp;"|"&amp;TEXT('Ingest Template'!C260+3, "yyyy-mm-dd"),'Ingest Template'!Q260)))</f>
        <v/>
      </c>
      <c r="AM260" s="35" t="str">
        <f>'Ingest Template'!AC260</f>
        <v/>
      </c>
    </row>
    <row r="261">
      <c r="A261" s="15"/>
      <c r="B261" s="22" t="str">
        <f>'Ingest Template'!C261&amp;IF('Ingest Template'!A261 = "Standard", " - DAR","")</f>
        <v/>
      </c>
      <c r="C261" s="22" t="s">
        <v>83</v>
      </c>
      <c r="D261" s="22" t="str">
        <f t="array" ref="D261">CONCATENATE(INDEX(DropdownLists!$H$2:$H$11,MATCH(1,COUNTIF('Ingest Template'!E261,"*"&amp;DropdownLists!$I$2:$I$11&amp;"*"),0)),CHAR(10),'Ingest Template'!F261,CHAR(10),'Ingest Template'!G261,CHAR(10),VLOOKUP('Ingest Template'!D261,DropdownLists!C:D,2,FALSE))</f>
        <v>#N/A</v>
      </c>
      <c r="E261" s="22" t="str">
        <f>CONCATENATE('Ingest Template'!H261,CHAR(10),'Ingest Template'!I261,CHAR(10),'Ingest Template'!J261,CHAR(10))</f>
        <v>
</v>
      </c>
      <c r="F261" s="35" t="str">
        <f t="array" ref="F261">INDEX(DropdownLists!$O$2:$O$36,MATCH(1,COUNTIF(E261,"*"&amp;DropdownLists!$N$2:$N$36&amp;"*"),0))</f>
        <v/>
      </c>
      <c r="G261" s="35"/>
      <c r="H261" s="22" t="str">
        <f t="array" ref="H261">INDEX(DropdownLists!$E$2:$E$276,MATCH('Ingest Template'!D261,DropdownLists!$C$2:$C$276,0))</f>
        <v>#N/A</v>
      </c>
      <c r="I261" s="22"/>
      <c r="J261" s="22" t="str">
        <f t="array" ref="J261">iF('Ingest Template'!A261="Standard","Pristine Brand",INDEX(DropdownLists!$B$2:$B$246,MATCH('Ingest Template'!D261,DropdownLists!$C$2:$C$246,0)))</f>
        <v>#N/A</v>
      </c>
      <c r="K261" s="22" t="str">
        <f>iF('Ingest Template'!A261="Standard",'Ingest Template'!K261&amp;CHAR(10)&amp;'Ingest Template'!L261,"Competitive View")</f>
        <v>Competitive View</v>
      </c>
      <c r="L261" s="22" t="s">
        <v>95</v>
      </c>
      <c r="M261" s="45" t="str">
        <f>'Ingest Template'!B261</f>
        <v/>
      </c>
      <c r="N261" s="35"/>
      <c r="O261" s="35"/>
      <c r="P261" s="35"/>
      <c r="Q261" s="35"/>
      <c r="R261" s="35" t="str">
        <f>'Ingest Template'!D261</f>
        <v/>
      </c>
      <c r="S261" s="22" t="s">
        <v>101</v>
      </c>
      <c r="T261" s="35" t="str">
        <f>'Ingest Template'!V261</f>
        <v/>
      </c>
      <c r="U261" s="35" t="str">
        <f>'Ingest Template'!W261</f>
        <v/>
      </c>
      <c r="V261" s="35" t="str">
        <f>LOWER(SUBSTITUTE(SUBSTITUTE(SUBSTITUTE(SUBSTITUTE(SUBSTITUTE('Ingest Template'!X261,"https:",""),"www.",""),"/",""),"?hl=en",""),"instagram.com",""))</f>
        <v/>
      </c>
      <c r="W261" s="74" t="str">
        <f t="array" ref="W261">IF(
'Ingest Template'!Y261="",
SUBSTITUTE(
INDEX(DropdownLists!$F$2:$F$277,MATCH('Ingest Template'!D261,DropdownLists!$C$2:$C$277,0)),
CHAR(10),
"|"&amp;'Ingest Template'!C261&amp;CHAR(10)
)&amp;"|"&amp;'Ingest Template'!C261,
SUBSTITUTE(
INDEX(DropdownLists!$F$2:$F$277,MATCH('Ingest Template'!D261,DropdownLists!$C$2:$C$277,0)),
CHAR(10),
"|"&amp;'Ingest Template'!C261&amp;CHAR(10)
)&amp;"|"&amp;'Ingest Template'!C261&amp;CHAR(10)&amp;'Ingest Template'!Y261
)</f>
        <v>#N/A</v>
      </c>
      <c r="X261" s="74" t="str">
        <f>'Ingest Template'!Z261</f>
        <v/>
      </c>
      <c r="Y261" s="35" t="str">
        <f>SUBSTITUTE(SUBSTITUTE(SUBSTITUTE('Ingest Template'!AA261,"http:",""),"https:",""),"/","")</f>
        <v/>
      </c>
      <c r="Z261" s="35" t="str">
        <f t="array" ref="Z261">IF('Ingest Template'!A261="Standard",(IF(ISBLANK('Ingest Template'!AB261),"", 'Ingest Template'!AB261&amp;"|DAR")),(IF(ISBLANK('Ingest Template'!AB261),"", 'Ingest Template'!AB261&amp;"|TV Ops")))</f>
        <v/>
      </c>
      <c r="AA261" s="35"/>
      <c r="AB261" s="35" t="str">
        <f>'Ingest Template'!R261</f>
        <v/>
      </c>
      <c r="AC261" s="35" t="str">
        <f>'Ingest Template'!T261</f>
        <v/>
      </c>
      <c r="AD261" s="35" t="str">
        <f>'Ingest Template'!S261</f>
        <v/>
      </c>
      <c r="AE261" s="35" t="str">
        <f>'Ingest Template'!U261</f>
        <v/>
      </c>
      <c r="AF261" s="22"/>
      <c r="AG261" s="35" t="str">
        <f t="array" ref="AG261">IF('Ingest Template'!A261="Standard",(CONCATENATE(IF(ISBLANK('Ingest Template'!N261),"", 'Ingest Template'!N261&amp;"|DAR"),CHAR(10), IF(ISBLANK('Ingest Template'!O261),"", 'Ingest Template'!O261&amp;"|DAR"),CHAR(10), IF(ISBLANK('Ingest Template'!P261),"", 'Ingest Template'!P261&amp;"|DAR"))),(CONCATENATE(IF(ISBLANK('Ingest Template'!N261),"", 'Ingest Template'!N261&amp;"|TV Ops"),CHAR(10), IF(ISBLANK('Ingest Template'!O261),"", 'Ingest Template'!O261&amp;"|TV Ops"),CHAR(10), IF(ISBLANK('Ingest Template'!P261),"", 'Ingest Template'!P261&amp;"|TV Ops"))))</f>
        <v>
</v>
      </c>
      <c r="AH261" s="35"/>
      <c r="AI261" s="35"/>
      <c r="AJ261" s="117" t="str">
        <f>if('Ingest Template'!A261="Standard",(IF(OR('Ingest Template'!F261 = "Program Type - Special", 'Ingest Template'!F261 = "Program Type - Live Event"),'Ingest Template'!M261&amp; "|DAR|DAR|"&amp;TEXT('Ingest Template'!C261-3, "yyyy-mm-dd")&amp;"|"&amp;TEXT('Ingest Template'!C261+3, "yyyy-mm-dd"),'Ingest Template'!M261&amp; "|DAR|DAR|2021-01-01")),(IF(OR('Ingest Template'!F261 = "Program Type - Special", 'Ingest Template'!F261 = "Program Type - Live Event"),'Ingest Template'!M261&amp; "|Operations - Core Title|Operations - Core Title|"&amp;TEXT('Ingest Template'!C261-3, "yyyy-mm-dd")&amp;"|"&amp;TEXT('Ingest Template'!C261+3, "yyyy-mm-dd"),'Ingest Template'!M261&amp; "|Operations - Core Title|Operations - Core Title")))</f>
        <v>|Operations - Core Title|Operations - Core Title</v>
      </c>
      <c r="AK261" s="35"/>
      <c r="AL261" s="117" t="str">
        <f>if('Ingest Template'!A261="Standard",(IF(OR('Ingest Template'!F261 = "Program Type - Special", 'Ingest Template'!F261 = "Program Type - Live Event"),'Ingest Template'!Q261&amp;"|"&amp;TEXT('Ingest Template'!C261-3, "yyyy-mm-dd")&amp;"|"&amp;TEXT('Ingest Template'!C261+3, "yyyy-mm-dd"),'Ingest Template'!Q261&amp; "|2021-01-01")),(IF(OR('Ingest Template'!F261 = "Program Type - Special", 'Ingest Template'!F261 = "Program Type - Live Event"),'Ingest Template'!Q261&amp; "|"&amp;TEXT('Ingest Template'!C261-3, "yyyy-mm-dd")&amp;"|"&amp;TEXT('Ingest Template'!C261+3, "yyyy-mm-dd"),'Ingest Template'!Q261)))</f>
        <v/>
      </c>
      <c r="AM261" s="35" t="str">
        <f>'Ingest Template'!AC261</f>
        <v/>
      </c>
    </row>
    <row r="262">
      <c r="A262" s="15"/>
      <c r="B262" s="22" t="str">
        <f>'Ingest Template'!C262&amp;IF('Ingest Template'!A262 = "Standard", " - DAR","")</f>
        <v/>
      </c>
      <c r="C262" s="22" t="s">
        <v>83</v>
      </c>
      <c r="D262" s="22" t="str">
        <f t="array" ref="D262">CONCATENATE(INDEX(DropdownLists!$H$2:$H$11,MATCH(1,COUNTIF('Ingest Template'!E262,"*"&amp;DropdownLists!$I$2:$I$11&amp;"*"),0)),CHAR(10),'Ingest Template'!F262,CHAR(10),'Ingest Template'!G262,CHAR(10),VLOOKUP('Ingest Template'!D262,DropdownLists!C:D,2,FALSE))</f>
        <v>#N/A</v>
      </c>
      <c r="E262" s="22" t="str">
        <f>CONCATENATE('Ingest Template'!H262,CHAR(10),'Ingest Template'!I262,CHAR(10),'Ingest Template'!J262,CHAR(10))</f>
        <v>
</v>
      </c>
      <c r="F262" s="35" t="str">
        <f t="array" ref="F262">INDEX(DropdownLists!$O$2:$O$36,MATCH(1,COUNTIF(E262,"*"&amp;DropdownLists!$N$2:$N$36&amp;"*"),0))</f>
        <v/>
      </c>
      <c r="G262" s="35"/>
      <c r="H262" s="22" t="str">
        <f t="array" ref="H262">INDEX(DropdownLists!$E$2:$E$276,MATCH('Ingest Template'!D262,DropdownLists!$C$2:$C$276,0))</f>
        <v>#N/A</v>
      </c>
      <c r="I262" s="22"/>
      <c r="J262" s="22" t="str">
        <f t="array" ref="J262">iF('Ingest Template'!A262="Standard","Pristine Brand",INDEX(DropdownLists!$B$2:$B$246,MATCH('Ingest Template'!D262,DropdownLists!$C$2:$C$246,0)))</f>
        <v>#N/A</v>
      </c>
      <c r="K262" s="22" t="str">
        <f>iF('Ingest Template'!A262="Standard",'Ingest Template'!K262&amp;CHAR(10)&amp;'Ingest Template'!L262,"Competitive View")</f>
        <v>Competitive View</v>
      </c>
      <c r="L262" s="22" t="s">
        <v>95</v>
      </c>
      <c r="M262" s="45" t="str">
        <f>'Ingest Template'!B262</f>
        <v/>
      </c>
      <c r="N262" s="35"/>
      <c r="O262" s="35"/>
      <c r="P262" s="35"/>
      <c r="Q262" s="35"/>
      <c r="R262" s="35" t="str">
        <f>'Ingest Template'!D262</f>
        <v/>
      </c>
      <c r="S262" s="22" t="s">
        <v>101</v>
      </c>
      <c r="T262" s="35" t="str">
        <f>'Ingest Template'!V262</f>
        <v/>
      </c>
      <c r="U262" s="35" t="str">
        <f>'Ingest Template'!W262</f>
        <v/>
      </c>
      <c r="V262" s="35" t="str">
        <f>LOWER(SUBSTITUTE(SUBSTITUTE(SUBSTITUTE(SUBSTITUTE(SUBSTITUTE('Ingest Template'!X262,"https:",""),"www.",""),"/",""),"?hl=en",""),"instagram.com",""))</f>
        <v/>
      </c>
      <c r="W262" s="74" t="str">
        <f t="array" ref="W262">IF(
'Ingest Template'!Y262="",
SUBSTITUTE(
INDEX(DropdownLists!$F$2:$F$277,MATCH('Ingest Template'!D262,DropdownLists!$C$2:$C$277,0)),
CHAR(10),
"|"&amp;'Ingest Template'!C262&amp;CHAR(10)
)&amp;"|"&amp;'Ingest Template'!C262,
SUBSTITUTE(
INDEX(DropdownLists!$F$2:$F$277,MATCH('Ingest Template'!D262,DropdownLists!$C$2:$C$277,0)),
CHAR(10),
"|"&amp;'Ingest Template'!C262&amp;CHAR(10)
)&amp;"|"&amp;'Ingest Template'!C262&amp;CHAR(10)&amp;'Ingest Template'!Y262
)</f>
        <v>#N/A</v>
      </c>
      <c r="X262" s="74" t="str">
        <f>'Ingest Template'!Z262</f>
        <v/>
      </c>
      <c r="Y262" s="35" t="str">
        <f>SUBSTITUTE(SUBSTITUTE(SUBSTITUTE('Ingest Template'!AA262,"http:",""),"https:",""),"/","")</f>
        <v/>
      </c>
      <c r="Z262" s="35" t="str">
        <f t="array" ref="Z262">IF('Ingest Template'!A262="Standard",(IF(ISBLANK('Ingest Template'!AB262),"", 'Ingest Template'!AB262&amp;"|DAR")),(IF(ISBLANK('Ingest Template'!AB262),"", 'Ingest Template'!AB262&amp;"|TV Ops")))</f>
        <v/>
      </c>
      <c r="AA262" s="35"/>
      <c r="AB262" s="35" t="str">
        <f>'Ingest Template'!R262</f>
        <v/>
      </c>
      <c r="AC262" s="35" t="str">
        <f>'Ingest Template'!T262</f>
        <v/>
      </c>
      <c r="AD262" s="35" t="str">
        <f>'Ingest Template'!S262</f>
        <v/>
      </c>
      <c r="AE262" s="35" t="str">
        <f>'Ingest Template'!U262</f>
        <v/>
      </c>
      <c r="AF262" s="22"/>
      <c r="AG262" s="35" t="str">
        <f t="array" ref="AG262">IF('Ingest Template'!A262="Standard",(CONCATENATE(IF(ISBLANK('Ingest Template'!N262),"", 'Ingest Template'!N262&amp;"|DAR"),CHAR(10), IF(ISBLANK('Ingest Template'!O262),"", 'Ingest Template'!O262&amp;"|DAR"),CHAR(10), IF(ISBLANK('Ingest Template'!P262),"", 'Ingest Template'!P262&amp;"|DAR"))),(CONCATENATE(IF(ISBLANK('Ingest Template'!N262),"", 'Ingest Template'!N262&amp;"|TV Ops"),CHAR(10), IF(ISBLANK('Ingest Template'!O262),"", 'Ingest Template'!O262&amp;"|TV Ops"),CHAR(10), IF(ISBLANK('Ingest Template'!P262),"", 'Ingest Template'!P262&amp;"|TV Ops"))))</f>
        <v>
</v>
      </c>
      <c r="AH262" s="35"/>
      <c r="AI262" s="35"/>
      <c r="AJ262" s="117" t="str">
        <f>if('Ingest Template'!A262="Standard",(IF(OR('Ingest Template'!F262 = "Program Type - Special", 'Ingest Template'!F262 = "Program Type - Live Event"),'Ingest Template'!M262&amp; "|DAR|DAR|"&amp;TEXT('Ingest Template'!C262-3, "yyyy-mm-dd")&amp;"|"&amp;TEXT('Ingest Template'!C262+3, "yyyy-mm-dd"),'Ingest Template'!M262&amp; "|DAR|DAR|2021-01-01")),(IF(OR('Ingest Template'!F262 = "Program Type - Special", 'Ingest Template'!F262 = "Program Type - Live Event"),'Ingest Template'!M262&amp; "|Operations - Core Title|Operations - Core Title|"&amp;TEXT('Ingest Template'!C262-3, "yyyy-mm-dd")&amp;"|"&amp;TEXT('Ingest Template'!C262+3, "yyyy-mm-dd"),'Ingest Template'!M262&amp; "|Operations - Core Title|Operations - Core Title")))</f>
        <v>|Operations - Core Title|Operations - Core Title</v>
      </c>
      <c r="AK262" s="35"/>
      <c r="AL262" s="117" t="str">
        <f>if('Ingest Template'!A262="Standard",(IF(OR('Ingest Template'!F262 = "Program Type - Special", 'Ingest Template'!F262 = "Program Type - Live Event"),'Ingest Template'!Q262&amp;"|"&amp;TEXT('Ingest Template'!C262-3, "yyyy-mm-dd")&amp;"|"&amp;TEXT('Ingest Template'!C262+3, "yyyy-mm-dd"),'Ingest Template'!Q262&amp; "|2021-01-01")),(IF(OR('Ingest Template'!F262 = "Program Type - Special", 'Ingest Template'!F262 = "Program Type - Live Event"),'Ingest Template'!Q262&amp; "|"&amp;TEXT('Ingest Template'!C262-3, "yyyy-mm-dd")&amp;"|"&amp;TEXT('Ingest Template'!C262+3, "yyyy-mm-dd"),'Ingest Template'!Q262)))</f>
        <v/>
      </c>
      <c r="AM262" s="35" t="str">
        <f>'Ingest Template'!AC262</f>
        <v/>
      </c>
    </row>
    <row r="263">
      <c r="A263" s="15"/>
      <c r="B263" s="22" t="str">
        <f>'Ingest Template'!C263&amp;IF('Ingest Template'!A263 = "Standard", " - DAR","")</f>
        <v/>
      </c>
      <c r="C263" s="22" t="s">
        <v>83</v>
      </c>
      <c r="D263" s="22" t="str">
        <f t="array" ref="D263">CONCATENATE(INDEX(DropdownLists!$H$2:$H$11,MATCH(1,COUNTIF('Ingest Template'!E263,"*"&amp;DropdownLists!$I$2:$I$11&amp;"*"),0)),CHAR(10),'Ingest Template'!F263,CHAR(10),'Ingest Template'!G263,CHAR(10),VLOOKUP('Ingest Template'!D263,DropdownLists!C:D,2,FALSE))</f>
        <v>#N/A</v>
      </c>
      <c r="E263" s="22" t="str">
        <f>CONCATENATE('Ingest Template'!H263,CHAR(10),'Ingest Template'!I263,CHAR(10),'Ingest Template'!J263,CHAR(10))</f>
        <v>
</v>
      </c>
      <c r="F263" s="35" t="str">
        <f t="array" ref="F263">INDEX(DropdownLists!$O$2:$O$36,MATCH(1,COUNTIF(E263,"*"&amp;DropdownLists!$N$2:$N$36&amp;"*"),0))</f>
        <v/>
      </c>
      <c r="G263" s="35"/>
      <c r="H263" s="22" t="str">
        <f t="array" ref="H263">INDEX(DropdownLists!$E$2:$E$276,MATCH('Ingest Template'!D263,DropdownLists!$C$2:$C$276,0))</f>
        <v>#N/A</v>
      </c>
      <c r="I263" s="22"/>
      <c r="J263" s="22" t="str">
        <f t="array" ref="J263">iF('Ingest Template'!A263="Standard","Pristine Brand",INDEX(DropdownLists!$B$2:$B$246,MATCH('Ingest Template'!D263,DropdownLists!$C$2:$C$246,0)))</f>
        <v>#N/A</v>
      </c>
      <c r="K263" s="22" t="str">
        <f>iF('Ingest Template'!A263="Standard",'Ingest Template'!K263&amp;CHAR(10)&amp;'Ingest Template'!L263,"Competitive View")</f>
        <v>Competitive View</v>
      </c>
      <c r="L263" s="22" t="s">
        <v>95</v>
      </c>
      <c r="M263" s="45" t="str">
        <f>'Ingest Template'!B263</f>
        <v/>
      </c>
      <c r="N263" s="35"/>
      <c r="O263" s="35"/>
      <c r="P263" s="35"/>
      <c r="Q263" s="35"/>
      <c r="R263" s="35" t="str">
        <f>'Ingest Template'!D263</f>
        <v/>
      </c>
      <c r="S263" s="22" t="s">
        <v>101</v>
      </c>
      <c r="T263" s="35" t="str">
        <f>'Ingest Template'!V263</f>
        <v/>
      </c>
      <c r="U263" s="35" t="str">
        <f>'Ingest Template'!W263</f>
        <v/>
      </c>
      <c r="V263" s="35" t="str">
        <f>LOWER(SUBSTITUTE(SUBSTITUTE(SUBSTITUTE(SUBSTITUTE(SUBSTITUTE('Ingest Template'!X263,"https:",""),"www.",""),"/",""),"?hl=en",""),"instagram.com",""))</f>
        <v/>
      </c>
      <c r="W263" s="74" t="str">
        <f t="array" ref="W263">IF(
'Ingest Template'!Y263="",
SUBSTITUTE(
INDEX(DropdownLists!$F$2:$F$277,MATCH('Ingest Template'!D263,DropdownLists!$C$2:$C$277,0)),
CHAR(10),
"|"&amp;'Ingest Template'!C263&amp;CHAR(10)
)&amp;"|"&amp;'Ingest Template'!C263,
SUBSTITUTE(
INDEX(DropdownLists!$F$2:$F$277,MATCH('Ingest Template'!D263,DropdownLists!$C$2:$C$277,0)),
CHAR(10),
"|"&amp;'Ingest Template'!C263&amp;CHAR(10)
)&amp;"|"&amp;'Ingest Template'!C263&amp;CHAR(10)&amp;'Ingest Template'!Y263
)</f>
        <v>#N/A</v>
      </c>
      <c r="X263" s="74" t="str">
        <f>'Ingest Template'!Z263</f>
        <v/>
      </c>
      <c r="Y263" s="35" t="str">
        <f>SUBSTITUTE(SUBSTITUTE(SUBSTITUTE('Ingest Template'!AA263,"http:",""),"https:",""),"/","")</f>
        <v/>
      </c>
      <c r="Z263" s="35" t="str">
        <f t="array" ref="Z263">IF('Ingest Template'!A263="Standard",(IF(ISBLANK('Ingest Template'!AB263),"", 'Ingest Template'!AB263&amp;"|DAR")),(IF(ISBLANK('Ingest Template'!AB263),"", 'Ingest Template'!AB263&amp;"|TV Ops")))</f>
        <v/>
      </c>
      <c r="AA263" s="35"/>
      <c r="AB263" s="35" t="str">
        <f>'Ingest Template'!R263</f>
        <v/>
      </c>
      <c r="AC263" s="35" t="str">
        <f>'Ingest Template'!T263</f>
        <v/>
      </c>
      <c r="AD263" s="35" t="str">
        <f>'Ingest Template'!S263</f>
        <v/>
      </c>
      <c r="AE263" s="35" t="str">
        <f>'Ingest Template'!U263</f>
        <v/>
      </c>
      <c r="AF263" s="22"/>
      <c r="AG263" s="35" t="str">
        <f t="array" ref="AG263">IF('Ingest Template'!A263="Standard",(CONCATENATE(IF(ISBLANK('Ingest Template'!N263),"", 'Ingest Template'!N263&amp;"|DAR"),CHAR(10), IF(ISBLANK('Ingest Template'!O263),"", 'Ingest Template'!O263&amp;"|DAR"),CHAR(10), IF(ISBLANK('Ingest Template'!P263),"", 'Ingest Template'!P263&amp;"|DAR"))),(CONCATENATE(IF(ISBLANK('Ingest Template'!N263),"", 'Ingest Template'!N263&amp;"|TV Ops"),CHAR(10), IF(ISBLANK('Ingest Template'!O263),"", 'Ingest Template'!O263&amp;"|TV Ops"),CHAR(10), IF(ISBLANK('Ingest Template'!P263),"", 'Ingest Template'!P263&amp;"|TV Ops"))))</f>
        <v>
</v>
      </c>
      <c r="AH263" s="35"/>
      <c r="AI263" s="35"/>
      <c r="AJ263" s="117" t="str">
        <f>if('Ingest Template'!A263="Standard",(IF(OR('Ingest Template'!F263 = "Program Type - Special", 'Ingest Template'!F263 = "Program Type - Live Event"),'Ingest Template'!M263&amp; "|DAR|DAR|"&amp;TEXT('Ingest Template'!C263-3, "yyyy-mm-dd")&amp;"|"&amp;TEXT('Ingest Template'!C263+3, "yyyy-mm-dd"),'Ingest Template'!M263&amp; "|DAR|DAR|2021-01-01")),(IF(OR('Ingest Template'!F263 = "Program Type - Special", 'Ingest Template'!F263 = "Program Type - Live Event"),'Ingest Template'!M263&amp; "|Operations - Core Title|Operations - Core Title|"&amp;TEXT('Ingest Template'!C263-3, "yyyy-mm-dd")&amp;"|"&amp;TEXT('Ingest Template'!C263+3, "yyyy-mm-dd"),'Ingest Template'!M263&amp; "|Operations - Core Title|Operations - Core Title")))</f>
        <v>|Operations - Core Title|Operations - Core Title</v>
      </c>
      <c r="AK263" s="35"/>
      <c r="AL263" s="117" t="str">
        <f>if('Ingest Template'!A263="Standard",(IF(OR('Ingest Template'!F263 = "Program Type - Special", 'Ingest Template'!F263 = "Program Type - Live Event"),'Ingest Template'!Q263&amp;"|"&amp;TEXT('Ingest Template'!C263-3, "yyyy-mm-dd")&amp;"|"&amp;TEXT('Ingest Template'!C263+3, "yyyy-mm-dd"),'Ingest Template'!Q263&amp; "|2021-01-01")),(IF(OR('Ingest Template'!F263 = "Program Type - Special", 'Ingest Template'!F263 = "Program Type - Live Event"),'Ingest Template'!Q263&amp; "|"&amp;TEXT('Ingest Template'!C263-3, "yyyy-mm-dd")&amp;"|"&amp;TEXT('Ingest Template'!C263+3, "yyyy-mm-dd"),'Ingest Template'!Q263)))</f>
        <v/>
      </c>
      <c r="AM263" s="35" t="str">
        <f>'Ingest Template'!AC263</f>
        <v/>
      </c>
    </row>
    <row r="264">
      <c r="A264" s="15"/>
      <c r="B264" s="22" t="str">
        <f>'Ingest Template'!C264&amp;IF('Ingest Template'!A264 = "Standard", " - DAR","")</f>
        <v/>
      </c>
      <c r="C264" s="22" t="s">
        <v>83</v>
      </c>
      <c r="D264" s="22" t="str">
        <f t="array" ref="D264">CONCATENATE(INDEX(DropdownLists!$H$2:$H$11,MATCH(1,COUNTIF('Ingest Template'!E264,"*"&amp;DropdownLists!$I$2:$I$11&amp;"*"),0)),CHAR(10),'Ingest Template'!F264,CHAR(10),'Ingest Template'!G264,CHAR(10),VLOOKUP('Ingest Template'!D264,DropdownLists!C:D,2,FALSE))</f>
        <v>#N/A</v>
      </c>
      <c r="E264" s="22" t="str">
        <f>CONCATENATE('Ingest Template'!H264,CHAR(10),'Ingest Template'!I264,CHAR(10),'Ingest Template'!J264,CHAR(10))</f>
        <v>
</v>
      </c>
      <c r="F264" s="35" t="str">
        <f t="array" ref="F264">INDEX(DropdownLists!$O$2:$O$36,MATCH(1,COUNTIF(E264,"*"&amp;DropdownLists!$N$2:$N$36&amp;"*"),0))</f>
        <v/>
      </c>
      <c r="G264" s="35"/>
      <c r="H264" s="22" t="str">
        <f t="array" ref="H264">INDEX(DropdownLists!$E$2:$E$276,MATCH('Ingest Template'!D264,DropdownLists!$C$2:$C$276,0))</f>
        <v>#N/A</v>
      </c>
      <c r="I264" s="22"/>
      <c r="J264" s="22" t="str">
        <f t="array" ref="J264">iF('Ingest Template'!A264="Standard","Pristine Brand",INDEX(DropdownLists!$B$2:$B$246,MATCH('Ingest Template'!D264,DropdownLists!$C$2:$C$246,0)))</f>
        <v>#N/A</v>
      </c>
      <c r="K264" s="22" t="str">
        <f>iF('Ingest Template'!A264="Standard",'Ingest Template'!K264&amp;CHAR(10)&amp;'Ingest Template'!L264,"Competitive View")</f>
        <v>Competitive View</v>
      </c>
      <c r="L264" s="22" t="s">
        <v>95</v>
      </c>
      <c r="M264" s="45" t="str">
        <f>'Ingest Template'!B264</f>
        <v/>
      </c>
      <c r="N264" s="35"/>
      <c r="O264" s="35"/>
      <c r="P264" s="35"/>
      <c r="Q264" s="35"/>
      <c r="R264" s="35" t="str">
        <f>'Ingest Template'!D264</f>
        <v/>
      </c>
      <c r="S264" s="22" t="s">
        <v>101</v>
      </c>
      <c r="T264" s="35" t="str">
        <f>'Ingest Template'!V264</f>
        <v/>
      </c>
      <c r="U264" s="35" t="str">
        <f>'Ingest Template'!W264</f>
        <v/>
      </c>
      <c r="V264" s="35" t="str">
        <f>LOWER(SUBSTITUTE(SUBSTITUTE(SUBSTITUTE(SUBSTITUTE(SUBSTITUTE('Ingest Template'!X264,"https:",""),"www.",""),"/",""),"?hl=en",""),"instagram.com",""))</f>
        <v/>
      </c>
      <c r="W264" s="74" t="str">
        <f t="array" ref="W264">IF(
'Ingest Template'!Y264="",
SUBSTITUTE(
INDEX(DropdownLists!$F$2:$F$277,MATCH('Ingest Template'!D264,DropdownLists!$C$2:$C$277,0)),
CHAR(10),
"|"&amp;'Ingest Template'!C264&amp;CHAR(10)
)&amp;"|"&amp;'Ingest Template'!C264,
SUBSTITUTE(
INDEX(DropdownLists!$F$2:$F$277,MATCH('Ingest Template'!D264,DropdownLists!$C$2:$C$277,0)),
CHAR(10),
"|"&amp;'Ingest Template'!C264&amp;CHAR(10)
)&amp;"|"&amp;'Ingest Template'!C264&amp;CHAR(10)&amp;'Ingest Template'!Y264
)</f>
        <v>#N/A</v>
      </c>
      <c r="X264" s="74" t="str">
        <f>'Ingest Template'!Z264</f>
        <v/>
      </c>
      <c r="Y264" s="35" t="str">
        <f>SUBSTITUTE(SUBSTITUTE(SUBSTITUTE('Ingest Template'!AA264,"http:",""),"https:",""),"/","")</f>
        <v/>
      </c>
      <c r="Z264" s="35" t="str">
        <f t="array" ref="Z264">IF('Ingest Template'!A264="Standard",(IF(ISBLANK('Ingest Template'!AB264),"", 'Ingest Template'!AB264&amp;"|DAR")),(IF(ISBLANK('Ingest Template'!AB264),"", 'Ingest Template'!AB264&amp;"|TV Ops")))</f>
        <v/>
      </c>
      <c r="AA264" s="35"/>
      <c r="AB264" s="35" t="str">
        <f>'Ingest Template'!R264</f>
        <v/>
      </c>
      <c r="AC264" s="35" t="str">
        <f>'Ingest Template'!T264</f>
        <v/>
      </c>
      <c r="AD264" s="35" t="str">
        <f>'Ingest Template'!S264</f>
        <v/>
      </c>
      <c r="AE264" s="35" t="str">
        <f>'Ingest Template'!U264</f>
        <v/>
      </c>
      <c r="AF264" s="22"/>
      <c r="AG264" s="35" t="str">
        <f t="array" ref="AG264">IF('Ingest Template'!A264="Standard",(CONCATENATE(IF(ISBLANK('Ingest Template'!N264),"", 'Ingest Template'!N264&amp;"|DAR"),CHAR(10), IF(ISBLANK('Ingest Template'!O264),"", 'Ingest Template'!O264&amp;"|DAR"),CHAR(10), IF(ISBLANK('Ingest Template'!P264),"", 'Ingest Template'!P264&amp;"|DAR"))),(CONCATENATE(IF(ISBLANK('Ingest Template'!N264),"", 'Ingest Template'!N264&amp;"|TV Ops"),CHAR(10), IF(ISBLANK('Ingest Template'!O264),"", 'Ingest Template'!O264&amp;"|TV Ops"),CHAR(10), IF(ISBLANK('Ingest Template'!P264),"", 'Ingest Template'!P264&amp;"|TV Ops"))))</f>
        <v>
</v>
      </c>
      <c r="AH264" s="35"/>
      <c r="AI264" s="35"/>
      <c r="AJ264" s="117" t="str">
        <f>if('Ingest Template'!A264="Standard",(IF(OR('Ingest Template'!F264 = "Program Type - Special", 'Ingest Template'!F264 = "Program Type - Live Event"),'Ingest Template'!M264&amp; "|DAR|DAR|"&amp;TEXT('Ingest Template'!C264-3, "yyyy-mm-dd")&amp;"|"&amp;TEXT('Ingest Template'!C264+3, "yyyy-mm-dd"),'Ingest Template'!M264&amp; "|DAR|DAR|2021-01-01")),(IF(OR('Ingest Template'!F264 = "Program Type - Special", 'Ingest Template'!F264 = "Program Type - Live Event"),'Ingest Template'!M264&amp; "|Operations - Core Title|Operations - Core Title|"&amp;TEXT('Ingest Template'!C264-3, "yyyy-mm-dd")&amp;"|"&amp;TEXT('Ingest Template'!C264+3, "yyyy-mm-dd"),'Ingest Template'!M264&amp; "|Operations - Core Title|Operations - Core Title")))</f>
        <v>|Operations - Core Title|Operations - Core Title</v>
      </c>
      <c r="AK264" s="35"/>
      <c r="AL264" s="117" t="str">
        <f>if('Ingest Template'!A264="Standard",(IF(OR('Ingest Template'!F264 = "Program Type - Special", 'Ingest Template'!F264 = "Program Type - Live Event"),'Ingest Template'!Q264&amp;"|"&amp;TEXT('Ingest Template'!C264-3, "yyyy-mm-dd")&amp;"|"&amp;TEXT('Ingest Template'!C264+3, "yyyy-mm-dd"),'Ingest Template'!Q264&amp; "|2021-01-01")),(IF(OR('Ingest Template'!F264 = "Program Type - Special", 'Ingest Template'!F264 = "Program Type - Live Event"),'Ingest Template'!Q264&amp; "|"&amp;TEXT('Ingest Template'!C264-3, "yyyy-mm-dd")&amp;"|"&amp;TEXT('Ingest Template'!C264+3, "yyyy-mm-dd"),'Ingest Template'!Q264)))</f>
        <v/>
      </c>
      <c r="AM264" s="35" t="str">
        <f>'Ingest Template'!AC264</f>
        <v/>
      </c>
    </row>
    <row r="265">
      <c r="A265" s="15"/>
      <c r="B265" s="22" t="str">
        <f>'Ingest Template'!C265&amp;IF('Ingest Template'!A265 = "Standard", " - DAR","")</f>
        <v/>
      </c>
      <c r="C265" s="22" t="s">
        <v>83</v>
      </c>
      <c r="D265" s="22" t="str">
        <f t="array" ref="D265">CONCATENATE(INDEX(DropdownLists!$H$2:$H$11,MATCH(1,COUNTIF('Ingest Template'!E265,"*"&amp;DropdownLists!$I$2:$I$11&amp;"*"),0)),CHAR(10),'Ingest Template'!F265,CHAR(10),'Ingest Template'!G265,CHAR(10),VLOOKUP('Ingest Template'!D265,DropdownLists!C:D,2,FALSE))</f>
        <v>#N/A</v>
      </c>
      <c r="E265" s="22" t="str">
        <f>CONCATENATE('Ingest Template'!H265,CHAR(10),'Ingest Template'!I265,CHAR(10),'Ingest Template'!J265,CHAR(10))</f>
        <v>
</v>
      </c>
      <c r="F265" s="35" t="str">
        <f t="array" ref="F265">INDEX(DropdownLists!$O$2:$O$36,MATCH(1,COUNTIF(E265,"*"&amp;DropdownLists!$N$2:$N$36&amp;"*"),0))</f>
        <v/>
      </c>
      <c r="G265" s="35"/>
      <c r="H265" s="22" t="str">
        <f t="array" ref="H265">INDEX(DropdownLists!$E$2:$E$276,MATCH('Ingest Template'!D265,DropdownLists!$C$2:$C$276,0))</f>
        <v>#N/A</v>
      </c>
      <c r="I265" s="22"/>
      <c r="J265" s="22" t="str">
        <f t="array" ref="J265">iF('Ingest Template'!A265="Standard","Pristine Brand",INDEX(DropdownLists!$B$2:$B$246,MATCH('Ingest Template'!D265,DropdownLists!$C$2:$C$246,0)))</f>
        <v>#N/A</v>
      </c>
      <c r="K265" s="22" t="str">
        <f>iF('Ingest Template'!A265="Standard",'Ingest Template'!K265&amp;CHAR(10)&amp;'Ingest Template'!L265,"Competitive View")</f>
        <v>Competitive View</v>
      </c>
      <c r="L265" s="22" t="s">
        <v>95</v>
      </c>
      <c r="M265" s="45" t="str">
        <f>'Ingest Template'!B265</f>
        <v/>
      </c>
      <c r="N265" s="35"/>
      <c r="O265" s="35"/>
      <c r="P265" s="35"/>
      <c r="Q265" s="35"/>
      <c r="R265" s="35" t="str">
        <f>'Ingest Template'!D265</f>
        <v/>
      </c>
      <c r="S265" s="22" t="s">
        <v>101</v>
      </c>
      <c r="T265" s="35" t="str">
        <f>'Ingest Template'!V265</f>
        <v/>
      </c>
      <c r="U265" s="35" t="str">
        <f>'Ingest Template'!W265</f>
        <v/>
      </c>
      <c r="V265" s="35" t="str">
        <f>LOWER(SUBSTITUTE(SUBSTITUTE(SUBSTITUTE(SUBSTITUTE(SUBSTITUTE('Ingest Template'!X265,"https:",""),"www.",""),"/",""),"?hl=en",""),"instagram.com",""))</f>
        <v/>
      </c>
      <c r="W265" s="74" t="str">
        <f t="array" ref="W265">IF(
'Ingest Template'!Y265="",
SUBSTITUTE(
INDEX(DropdownLists!$F$2:$F$277,MATCH('Ingest Template'!D265,DropdownLists!$C$2:$C$277,0)),
CHAR(10),
"|"&amp;'Ingest Template'!C265&amp;CHAR(10)
)&amp;"|"&amp;'Ingest Template'!C265,
SUBSTITUTE(
INDEX(DropdownLists!$F$2:$F$277,MATCH('Ingest Template'!D265,DropdownLists!$C$2:$C$277,0)),
CHAR(10),
"|"&amp;'Ingest Template'!C265&amp;CHAR(10)
)&amp;"|"&amp;'Ingest Template'!C265&amp;CHAR(10)&amp;'Ingest Template'!Y265
)</f>
        <v>#N/A</v>
      </c>
      <c r="X265" s="74" t="str">
        <f>'Ingest Template'!Z265</f>
        <v/>
      </c>
      <c r="Y265" s="35" t="str">
        <f>SUBSTITUTE(SUBSTITUTE(SUBSTITUTE('Ingest Template'!AA265,"http:",""),"https:",""),"/","")</f>
        <v/>
      </c>
      <c r="Z265" s="35" t="str">
        <f t="array" ref="Z265">IF('Ingest Template'!A265="Standard",(IF(ISBLANK('Ingest Template'!AB265),"", 'Ingest Template'!AB265&amp;"|DAR")),(IF(ISBLANK('Ingest Template'!AB265),"", 'Ingest Template'!AB265&amp;"|TV Ops")))</f>
        <v/>
      </c>
      <c r="AA265" s="35"/>
      <c r="AB265" s="35" t="str">
        <f>'Ingest Template'!R265</f>
        <v/>
      </c>
      <c r="AC265" s="35" t="str">
        <f>'Ingest Template'!T265</f>
        <v/>
      </c>
      <c r="AD265" s="35" t="str">
        <f>'Ingest Template'!S265</f>
        <v/>
      </c>
      <c r="AE265" s="35" t="str">
        <f>'Ingest Template'!U265</f>
        <v/>
      </c>
      <c r="AF265" s="22"/>
      <c r="AG265" s="35" t="str">
        <f t="array" ref="AG265">IF('Ingest Template'!A265="Standard",(CONCATENATE(IF(ISBLANK('Ingest Template'!N265),"", 'Ingest Template'!N265&amp;"|DAR"),CHAR(10), IF(ISBLANK('Ingest Template'!O265),"", 'Ingest Template'!O265&amp;"|DAR"),CHAR(10), IF(ISBLANK('Ingest Template'!P265),"", 'Ingest Template'!P265&amp;"|DAR"))),(CONCATENATE(IF(ISBLANK('Ingest Template'!N265),"", 'Ingest Template'!N265&amp;"|TV Ops"),CHAR(10), IF(ISBLANK('Ingest Template'!O265),"", 'Ingest Template'!O265&amp;"|TV Ops"),CHAR(10), IF(ISBLANK('Ingest Template'!P265),"", 'Ingest Template'!P265&amp;"|TV Ops"))))</f>
        <v>
</v>
      </c>
      <c r="AH265" s="35"/>
      <c r="AI265" s="35"/>
      <c r="AJ265" s="117" t="str">
        <f>if('Ingest Template'!A265="Standard",(IF(OR('Ingest Template'!F265 = "Program Type - Special", 'Ingest Template'!F265 = "Program Type - Live Event"),'Ingest Template'!M265&amp; "|DAR|DAR|"&amp;TEXT('Ingest Template'!C265-3, "yyyy-mm-dd")&amp;"|"&amp;TEXT('Ingest Template'!C265+3, "yyyy-mm-dd"),'Ingest Template'!M265&amp; "|DAR|DAR|2021-01-01")),(IF(OR('Ingest Template'!F265 = "Program Type - Special", 'Ingest Template'!F265 = "Program Type - Live Event"),'Ingest Template'!M265&amp; "|Operations - Core Title|Operations - Core Title|"&amp;TEXT('Ingest Template'!C265-3, "yyyy-mm-dd")&amp;"|"&amp;TEXT('Ingest Template'!C265+3, "yyyy-mm-dd"),'Ingest Template'!M265&amp; "|Operations - Core Title|Operations - Core Title")))</f>
        <v>|Operations - Core Title|Operations - Core Title</v>
      </c>
      <c r="AK265" s="35"/>
      <c r="AL265" s="117" t="str">
        <f>if('Ingest Template'!A265="Standard",(IF(OR('Ingest Template'!F265 = "Program Type - Special", 'Ingest Template'!F265 = "Program Type - Live Event"),'Ingest Template'!Q265&amp;"|"&amp;TEXT('Ingest Template'!C265-3, "yyyy-mm-dd")&amp;"|"&amp;TEXT('Ingest Template'!C265+3, "yyyy-mm-dd"),'Ingest Template'!Q265&amp; "|2021-01-01")),(IF(OR('Ingest Template'!F265 = "Program Type - Special", 'Ingest Template'!F265 = "Program Type - Live Event"),'Ingest Template'!Q265&amp; "|"&amp;TEXT('Ingest Template'!C265-3, "yyyy-mm-dd")&amp;"|"&amp;TEXT('Ingest Template'!C265+3, "yyyy-mm-dd"),'Ingest Template'!Q265)))</f>
        <v/>
      </c>
      <c r="AM265" s="35" t="str">
        <f>'Ingest Template'!AC265</f>
        <v/>
      </c>
    </row>
    <row r="266">
      <c r="A266" s="15"/>
      <c r="B266" s="22" t="str">
        <f>'Ingest Template'!C266&amp;IF('Ingest Template'!A266 = "Standard", " - DAR","")</f>
        <v/>
      </c>
      <c r="C266" s="22" t="s">
        <v>83</v>
      </c>
      <c r="D266" s="22" t="str">
        <f t="array" ref="D266">CONCATENATE(INDEX(DropdownLists!$H$2:$H$11,MATCH(1,COUNTIF('Ingest Template'!E266,"*"&amp;DropdownLists!$I$2:$I$11&amp;"*"),0)),CHAR(10),'Ingest Template'!F266,CHAR(10),'Ingest Template'!G266,CHAR(10),VLOOKUP('Ingest Template'!D266,DropdownLists!C:D,2,FALSE))</f>
        <v>#N/A</v>
      </c>
      <c r="E266" s="22" t="str">
        <f>CONCATENATE('Ingest Template'!H266,CHAR(10),'Ingest Template'!I266,CHAR(10),'Ingest Template'!J266,CHAR(10))</f>
        <v>
</v>
      </c>
      <c r="F266" s="35" t="str">
        <f t="array" ref="F266">INDEX(DropdownLists!$O$2:$O$36,MATCH(1,COUNTIF(E266,"*"&amp;DropdownLists!$N$2:$N$36&amp;"*"),0))</f>
        <v/>
      </c>
      <c r="G266" s="35"/>
      <c r="H266" s="22" t="str">
        <f t="array" ref="H266">INDEX(DropdownLists!$E$2:$E$276,MATCH('Ingest Template'!D266,DropdownLists!$C$2:$C$276,0))</f>
        <v>#N/A</v>
      </c>
      <c r="I266" s="22"/>
      <c r="J266" s="22" t="str">
        <f t="array" ref="J266">iF('Ingest Template'!A266="Standard","Pristine Brand",INDEX(DropdownLists!$B$2:$B$246,MATCH('Ingest Template'!D266,DropdownLists!$C$2:$C$246,0)))</f>
        <v>#N/A</v>
      </c>
      <c r="K266" s="22" t="str">
        <f>iF('Ingest Template'!A266="Standard",'Ingest Template'!K266&amp;CHAR(10)&amp;'Ingest Template'!L266,"Competitive View")</f>
        <v>Competitive View</v>
      </c>
      <c r="L266" s="22" t="s">
        <v>95</v>
      </c>
      <c r="M266" s="45" t="str">
        <f>'Ingest Template'!B266</f>
        <v/>
      </c>
      <c r="N266" s="35"/>
      <c r="O266" s="35"/>
      <c r="P266" s="35"/>
      <c r="Q266" s="35"/>
      <c r="R266" s="35" t="str">
        <f>'Ingest Template'!D266</f>
        <v/>
      </c>
      <c r="S266" s="22" t="s">
        <v>101</v>
      </c>
      <c r="T266" s="35" t="str">
        <f>'Ingest Template'!V266</f>
        <v/>
      </c>
      <c r="U266" s="35" t="str">
        <f>'Ingest Template'!W266</f>
        <v/>
      </c>
      <c r="V266" s="35" t="str">
        <f>LOWER(SUBSTITUTE(SUBSTITUTE(SUBSTITUTE(SUBSTITUTE(SUBSTITUTE('Ingest Template'!X266,"https:",""),"www.",""),"/",""),"?hl=en",""),"instagram.com",""))</f>
        <v/>
      </c>
      <c r="W266" s="74" t="str">
        <f t="array" ref="W266">IF(
'Ingest Template'!Y266="",
SUBSTITUTE(
INDEX(DropdownLists!$F$2:$F$277,MATCH('Ingest Template'!D266,DropdownLists!$C$2:$C$277,0)),
CHAR(10),
"|"&amp;'Ingest Template'!C266&amp;CHAR(10)
)&amp;"|"&amp;'Ingest Template'!C266,
SUBSTITUTE(
INDEX(DropdownLists!$F$2:$F$277,MATCH('Ingest Template'!D266,DropdownLists!$C$2:$C$277,0)),
CHAR(10),
"|"&amp;'Ingest Template'!C266&amp;CHAR(10)
)&amp;"|"&amp;'Ingest Template'!C266&amp;CHAR(10)&amp;'Ingest Template'!Y266
)</f>
        <v>#N/A</v>
      </c>
      <c r="X266" s="74" t="str">
        <f>'Ingest Template'!Z266</f>
        <v/>
      </c>
      <c r="Y266" s="35" t="str">
        <f>SUBSTITUTE(SUBSTITUTE(SUBSTITUTE('Ingest Template'!AA266,"http:",""),"https:",""),"/","")</f>
        <v/>
      </c>
      <c r="Z266" s="35" t="str">
        <f t="array" ref="Z266">IF('Ingest Template'!A266="Standard",(IF(ISBLANK('Ingest Template'!AB266),"", 'Ingest Template'!AB266&amp;"|DAR")),(IF(ISBLANK('Ingest Template'!AB266),"", 'Ingest Template'!AB266&amp;"|TV Ops")))</f>
        <v/>
      </c>
      <c r="AA266" s="35"/>
      <c r="AB266" s="35" t="str">
        <f>'Ingest Template'!R266</f>
        <v/>
      </c>
      <c r="AC266" s="35" t="str">
        <f>'Ingest Template'!T266</f>
        <v/>
      </c>
      <c r="AD266" s="35" t="str">
        <f>'Ingest Template'!S266</f>
        <v/>
      </c>
      <c r="AE266" s="35" t="str">
        <f>'Ingest Template'!U266</f>
        <v/>
      </c>
      <c r="AF266" s="22"/>
      <c r="AG266" s="35" t="str">
        <f t="array" ref="AG266">IF('Ingest Template'!A266="Standard",(CONCATENATE(IF(ISBLANK('Ingest Template'!N266),"", 'Ingest Template'!N266&amp;"|DAR"),CHAR(10), IF(ISBLANK('Ingest Template'!O266),"", 'Ingest Template'!O266&amp;"|DAR"),CHAR(10), IF(ISBLANK('Ingest Template'!P266),"", 'Ingest Template'!P266&amp;"|DAR"))),(CONCATENATE(IF(ISBLANK('Ingest Template'!N266),"", 'Ingest Template'!N266&amp;"|TV Ops"),CHAR(10), IF(ISBLANK('Ingest Template'!O266),"", 'Ingest Template'!O266&amp;"|TV Ops"),CHAR(10), IF(ISBLANK('Ingest Template'!P266),"", 'Ingest Template'!P266&amp;"|TV Ops"))))</f>
        <v>
</v>
      </c>
      <c r="AH266" s="35"/>
      <c r="AI266" s="35"/>
      <c r="AJ266" s="117" t="str">
        <f>if('Ingest Template'!A266="Standard",(IF(OR('Ingest Template'!F266 = "Program Type - Special", 'Ingest Template'!F266 = "Program Type - Live Event"),'Ingest Template'!M266&amp; "|DAR|DAR|"&amp;TEXT('Ingest Template'!C266-3, "yyyy-mm-dd")&amp;"|"&amp;TEXT('Ingest Template'!C266+3, "yyyy-mm-dd"),'Ingest Template'!M266&amp; "|DAR|DAR|2021-01-01")),(IF(OR('Ingest Template'!F266 = "Program Type - Special", 'Ingest Template'!F266 = "Program Type - Live Event"),'Ingest Template'!M266&amp; "|Operations - Core Title|Operations - Core Title|"&amp;TEXT('Ingest Template'!C266-3, "yyyy-mm-dd")&amp;"|"&amp;TEXT('Ingest Template'!C266+3, "yyyy-mm-dd"),'Ingest Template'!M266&amp; "|Operations - Core Title|Operations - Core Title")))</f>
        <v>|Operations - Core Title|Operations - Core Title</v>
      </c>
      <c r="AK266" s="35"/>
      <c r="AL266" s="117" t="str">
        <f>if('Ingest Template'!A266="Standard",(IF(OR('Ingest Template'!F266 = "Program Type - Special", 'Ingest Template'!F266 = "Program Type - Live Event"),'Ingest Template'!Q266&amp;"|"&amp;TEXT('Ingest Template'!C266-3, "yyyy-mm-dd")&amp;"|"&amp;TEXT('Ingest Template'!C266+3, "yyyy-mm-dd"),'Ingest Template'!Q266&amp; "|2021-01-01")),(IF(OR('Ingest Template'!F266 = "Program Type - Special", 'Ingest Template'!F266 = "Program Type - Live Event"),'Ingest Template'!Q266&amp; "|"&amp;TEXT('Ingest Template'!C266-3, "yyyy-mm-dd")&amp;"|"&amp;TEXT('Ingest Template'!C266+3, "yyyy-mm-dd"),'Ingest Template'!Q266)))</f>
        <v/>
      </c>
      <c r="AM266" s="35" t="str">
        <f>'Ingest Template'!AC266</f>
        <v/>
      </c>
    </row>
    <row r="267">
      <c r="A267" s="15"/>
      <c r="B267" s="22" t="str">
        <f>'Ingest Template'!C267&amp;IF('Ingest Template'!A267 = "Standard", " - DAR","")</f>
        <v/>
      </c>
      <c r="C267" s="22" t="s">
        <v>83</v>
      </c>
      <c r="D267" s="22" t="str">
        <f t="array" ref="D267">CONCATENATE(INDEX(DropdownLists!$H$2:$H$11,MATCH(1,COUNTIF('Ingest Template'!E267,"*"&amp;DropdownLists!$I$2:$I$11&amp;"*"),0)),CHAR(10),'Ingest Template'!F267,CHAR(10),'Ingest Template'!G267,CHAR(10),VLOOKUP('Ingest Template'!D267,DropdownLists!C:D,2,FALSE))</f>
        <v>#N/A</v>
      </c>
      <c r="E267" s="22" t="str">
        <f>CONCATENATE('Ingest Template'!H267,CHAR(10),'Ingest Template'!I267,CHAR(10),'Ingest Template'!J267,CHAR(10))</f>
        <v>
</v>
      </c>
      <c r="F267" s="35" t="str">
        <f t="array" ref="F267">INDEX(DropdownLists!$O$2:$O$36,MATCH(1,COUNTIF(E267,"*"&amp;DropdownLists!$N$2:$N$36&amp;"*"),0))</f>
        <v/>
      </c>
      <c r="G267" s="35"/>
      <c r="H267" s="22" t="str">
        <f t="array" ref="H267">INDEX(DropdownLists!$E$2:$E$276,MATCH('Ingest Template'!D267,DropdownLists!$C$2:$C$276,0))</f>
        <v>#N/A</v>
      </c>
      <c r="I267" s="22"/>
      <c r="J267" s="22" t="str">
        <f t="array" ref="J267">iF('Ingest Template'!A267="Standard","Pristine Brand",INDEX(DropdownLists!$B$2:$B$246,MATCH('Ingest Template'!D267,DropdownLists!$C$2:$C$246,0)))</f>
        <v>#N/A</v>
      </c>
      <c r="K267" s="22" t="str">
        <f>iF('Ingest Template'!A267="Standard",'Ingest Template'!K267&amp;CHAR(10)&amp;'Ingest Template'!L267,"Competitive View")</f>
        <v>Competitive View</v>
      </c>
      <c r="L267" s="22" t="s">
        <v>95</v>
      </c>
      <c r="M267" s="45" t="str">
        <f>'Ingest Template'!B267</f>
        <v/>
      </c>
      <c r="N267" s="35"/>
      <c r="O267" s="35"/>
      <c r="P267" s="35"/>
      <c r="Q267" s="35"/>
      <c r="R267" s="35" t="str">
        <f>'Ingest Template'!D267</f>
        <v/>
      </c>
      <c r="S267" s="22" t="s">
        <v>101</v>
      </c>
      <c r="T267" s="35" t="str">
        <f>'Ingest Template'!V267</f>
        <v/>
      </c>
      <c r="U267" s="35" t="str">
        <f>'Ingest Template'!W267</f>
        <v/>
      </c>
      <c r="V267" s="35" t="str">
        <f>LOWER(SUBSTITUTE(SUBSTITUTE(SUBSTITUTE(SUBSTITUTE(SUBSTITUTE('Ingest Template'!X267,"https:",""),"www.",""),"/",""),"?hl=en",""),"instagram.com",""))</f>
        <v/>
      </c>
      <c r="W267" s="74" t="str">
        <f t="array" ref="W267">IF(
'Ingest Template'!Y267="",
SUBSTITUTE(
INDEX(DropdownLists!$F$2:$F$277,MATCH('Ingest Template'!D267,DropdownLists!$C$2:$C$277,0)),
CHAR(10),
"|"&amp;'Ingest Template'!C267&amp;CHAR(10)
)&amp;"|"&amp;'Ingest Template'!C267,
SUBSTITUTE(
INDEX(DropdownLists!$F$2:$F$277,MATCH('Ingest Template'!D267,DropdownLists!$C$2:$C$277,0)),
CHAR(10),
"|"&amp;'Ingest Template'!C267&amp;CHAR(10)
)&amp;"|"&amp;'Ingest Template'!C267&amp;CHAR(10)&amp;'Ingest Template'!Y267
)</f>
        <v>#N/A</v>
      </c>
      <c r="X267" s="74" t="str">
        <f>'Ingest Template'!Z267</f>
        <v/>
      </c>
      <c r="Y267" s="35" t="str">
        <f>SUBSTITUTE(SUBSTITUTE(SUBSTITUTE('Ingest Template'!AA267,"http:",""),"https:",""),"/","")</f>
        <v/>
      </c>
      <c r="Z267" s="35" t="str">
        <f t="array" ref="Z267">IF('Ingest Template'!A267="Standard",(IF(ISBLANK('Ingest Template'!AB267),"", 'Ingest Template'!AB267&amp;"|DAR")),(IF(ISBLANK('Ingest Template'!AB267),"", 'Ingest Template'!AB267&amp;"|TV Ops")))</f>
        <v/>
      </c>
      <c r="AA267" s="35"/>
      <c r="AB267" s="35" t="str">
        <f>'Ingest Template'!R267</f>
        <v/>
      </c>
      <c r="AC267" s="35" t="str">
        <f>'Ingest Template'!T267</f>
        <v/>
      </c>
      <c r="AD267" s="35" t="str">
        <f>'Ingest Template'!S267</f>
        <v/>
      </c>
      <c r="AE267" s="35" t="str">
        <f>'Ingest Template'!U267</f>
        <v/>
      </c>
      <c r="AF267" s="22"/>
      <c r="AG267" s="35" t="str">
        <f t="array" ref="AG267">IF('Ingest Template'!A267="Standard",(CONCATENATE(IF(ISBLANK('Ingest Template'!N267),"", 'Ingest Template'!N267&amp;"|DAR"),CHAR(10), IF(ISBLANK('Ingest Template'!O267),"", 'Ingest Template'!O267&amp;"|DAR"),CHAR(10), IF(ISBLANK('Ingest Template'!P267),"", 'Ingest Template'!P267&amp;"|DAR"))),(CONCATENATE(IF(ISBLANK('Ingest Template'!N267),"", 'Ingest Template'!N267&amp;"|TV Ops"),CHAR(10), IF(ISBLANK('Ingest Template'!O267),"", 'Ingest Template'!O267&amp;"|TV Ops"),CHAR(10), IF(ISBLANK('Ingest Template'!P267),"", 'Ingest Template'!P267&amp;"|TV Ops"))))</f>
        <v>
</v>
      </c>
      <c r="AH267" s="35"/>
      <c r="AI267" s="35"/>
      <c r="AJ267" s="117" t="str">
        <f>if('Ingest Template'!A267="Standard",(IF(OR('Ingest Template'!F267 = "Program Type - Special", 'Ingest Template'!F267 = "Program Type - Live Event"),'Ingest Template'!M267&amp; "|DAR|DAR|"&amp;TEXT('Ingest Template'!C267-3, "yyyy-mm-dd")&amp;"|"&amp;TEXT('Ingest Template'!C267+3, "yyyy-mm-dd"),'Ingest Template'!M267&amp; "|DAR|DAR|2021-01-01")),(IF(OR('Ingest Template'!F267 = "Program Type - Special", 'Ingest Template'!F267 = "Program Type - Live Event"),'Ingest Template'!M267&amp; "|Operations - Core Title|Operations - Core Title|"&amp;TEXT('Ingest Template'!C267-3, "yyyy-mm-dd")&amp;"|"&amp;TEXT('Ingest Template'!C267+3, "yyyy-mm-dd"),'Ingest Template'!M267&amp; "|Operations - Core Title|Operations - Core Title")))</f>
        <v>|Operations - Core Title|Operations - Core Title</v>
      </c>
      <c r="AK267" s="35"/>
      <c r="AL267" s="117" t="str">
        <f>if('Ingest Template'!A267="Standard",(IF(OR('Ingest Template'!F267 = "Program Type - Special", 'Ingest Template'!F267 = "Program Type - Live Event"),'Ingest Template'!Q267&amp;"|"&amp;TEXT('Ingest Template'!C267-3, "yyyy-mm-dd")&amp;"|"&amp;TEXT('Ingest Template'!C267+3, "yyyy-mm-dd"),'Ingest Template'!Q267&amp; "|2021-01-01")),(IF(OR('Ingest Template'!F267 = "Program Type - Special", 'Ingest Template'!F267 = "Program Type - Live Event"),'Ingest Template'!Q267&amp; "|"&amp;TEXT('Ingest Template'!C267-3, "yyyy-mm-dd")&amp;"|"&amp;TEXT('Ingest Template'!C267+3, "yyyy-mm-dd"),'Ingest Template'!Q267)))</f>
        <v/>
      </c>
      <c r="AM267" s="35" t="str">
        <f>'Ingest Template'!AC267</f>
        <v/>
      </c>
    </row>
    <row r="268">
      <c r="A268" s="15"/>
      <c r="B268" s="22" t="str">
        <f>'Ingest Template'!C268&amp;IF('Ingest Template'!A268 = "Standard", " - DAR","")</f>
        <v/>
      </c>
      <c r="C268" s="22" t="s">
        <v>83</v>
      </c>
      <c r="D268" s="22" t="str">
        <f t="array" ref="D268">CONCATENATE(INDEX(DropdownLists!$H$2:$H$11,MATCH(1,COUNTIF('Ingest Template'!E268,"*"&amp;DropdownLists!$I$2:$I$11&amp;"*"),0)),CHAR(10),'Ingest Template'!F268,CHAR(10),'Ingest Template'!G268,CHAR(10),VLOOKUP('Ingest Template'!D268,DropdownLists!C:D,2,FALSE))</f>
        <v>#N/A</v>
      </c>
      <c r="E268" s="22" t="str">
        <f>CONCATENATE('Ingest Template'!H268,CHAR(10),'Ingest Template'!I268,CHAR(10),'Ingest Template'!J268,CHAR(10))</f>
        <v>
</v>
      </c>
      <c r="F268" s="35" t="str">
        <f t="array" ref="F268">INDEX(DropdownLists!$O$2:$O$36,MATCH(1,COUNTIF(E268,"*"&amp;DropdownLists!$N$2:$N$36&amp;"*"),0))</f>
        <v/>
      </c>
      <c r="G268" s="35"/>
      <c r="H268" s="22" t="str">
        <f t="array" ref="H268">INDEX(DropdownLists!$E$2:$E$276,MATCH('Ingest Template'!D268,DropdownLists!$C$2:$C$276,0))</f>
        <v>#N/A</v>
      </c>
      <c r="I268" s="22"/>
      <c r="J268" s="22" t="str">
        <f t="array" ref="J268">iF('Ingest Template'!A268="Standard","Pristine Brand",INDEX(DropdownLists!$B$2:$B$246,MATCH('Ingest Template'!D268,DropdownLists!$C$2:$C$246,0)))</f>
        <v>#N/A</v>
      </c>
      <c r="K268" s="22" t="str">
        <f>iF('Ingest Template'!A268="Standard",'Ingest Template'!K268&amp;CHAR(10)&amp;'Ingest Template'!L268,"Competitive View")</f>
        <v>Competitive View</v>
      </c>
      <c r="L268" s="22" t="s">
        <v>95</v>
      </c>
      <c r="M268" s="45" t="str">
        <f>'Ingest Template'!B268</f>
        <v/>
      </c>
      <c r="N268" s="35"/>
      <c r="O268" s="35"/>
      <c r="P268" s="35"/>
      <c r="Q268" s="35"/>
      <c r="R268" s="35" t="str">
        <f>'Ingest Template'!D268</f>
        <v/>
      </c>
      <c r="S268" s="22" t="s">
        <v>101</v>
      </c>
      <c r="T268" s="35" t="str">
        <f>'Ingest Template'!V268</f>
        <v/>
      </c>
      <c r="U268" s="35" t="str">
        <f>'Ingest Template'!W268</f>
        <v/>
      </c>
      <c r="V268" s="35" t="str">
        <f>LOWER(SUBSTITUTE(SUBSTITUTE(SUBSTITUTE(SUBSTITUTE(SUBSTITUTE('Ingest Template'!X268,"https:",""),"www.",""),"/",""),"?hl=en",""),"instagram.com",""))</f>
        <v/>
      </c>
      <c r="W268" s="74" t="str">
        <f t="array" ref="W268">IF(
'Ingest Template'!Y268="",
SUBSTITUTE(
INDEX(DropdownLists!$F$2:$F$277,MATCH('Ingest Template'!D268,DropdownLists!$C$2:$C$277,0)),
CHAR(10),
"|"&amp;'Ingest Template'!C268&amp;CHAR(10)
)&amp;"|"&amp;'Ingest Template'!C268,
SUBSTITUTE(
INDEX(DropdownLists!$F$2:$F$277,MATCH('Ingest Template'!D268,DropdownLists!$C$2:$C$277,0)),
CHAR(10),
"|"&amp;'Ingest Template'!C268&amp;CHAR(10)
)&amp;"|"&amp;'Ingest Template'!C268&amp;CHAR(10)&amp;'Ingest Template'!Y268
)</f>
        <v>#N/A</v>
      </c>
      <c r="X268" s="74" t="str">
        <f>'Ingest Template'!Z268</f>
        <v/>
      </c>
      <c r="Y268" s="35" t="str">
        <f>SUBSTITUTE(SUBSTITUTE(SUBSTITUTE('Ingest Template'!AA268,"http:",""),"https:",""),"/","")</f>
        <v/>
      </c>
      <c r="Z268" s="35" t="str">
        <f t="array" ref="Z268">IF('Ingest Template'!A268="Standard",(IF(ISBLANK('Ingest Template'!AB268),"", 'Ingest Template'!AB268&amp;"|DAR")),(IF(ISBLANK('Ingest Template'!AB268),"", 'Ingest Template'!AB268&amp;"|TV Ops")))</f>
        <v/>
      </c>
      <c r="AA268" s="35"/>
      <c r="AB268" s="35" t="str">
        <f>'Ingest Template'!R268</f>
        <v/>
      </c>
      <c r="AC268" s="35" t="str">
        <f>'Ingest Template'!T268</f>
        <v/>
      </c>
      <c r="AD268" s="35" t="str">
        <f>'Ingest Template'!S268</f>
        <v/>
      </c>
      <c r="AE268" s="35" t="str">
        <f>'Ingest Template'!U268</f>
        <v/>
      </c>
      <c r="AF268" s="22"/>
      <c r="AG268" s="35" t="str">
        <f t="array" ref="AG268">IF('Ingest Template'!A268="Standard",(CONCATENATE(IF(ISBLANK('Ingest Template'!N268),"", 'Ingest Template'!N268&amp;"|DAR"),CHAR(10), IF(ISBLANK('Ingest Template'!O268),"", 'Ingest Template'!O268&amp;"|DAR"),CHAR(10), IF(ISBLANK('Ingest Template'!P268),"", 'Ingest Template'!P268&amp;"|DAR"))),(CONCATENATE(IF(ISBLANK('Ingest Template'!N268),"", 'Ingest Template'!N268&amp;"|TV Ops"),CHAR(10), IF(ISBLANK('Ingest Template'!O268),"", 'Ingest Template'!O268&amp;"|TV Ops"),CHAR(10), IF(ISBLANK('Ingest Template'!P268),"", 'Ingest Template'!P268&amp;"|TV Ops"))))</f>
        <v>
</v>
      </c>
      <c r="AH268" s="35"/>
      <c r="AI268" s="35"/>
      <c r="AJ268" s="117" t="str">
        <f>if('Ingest Template'!A268="Standard",(IF(OR('Ingest Template'!F268 = "Program Type - Special", 'Ingest Template'!F268 = "Program Type - Live Event"),'Ingest Template'!M268&amp; "|DAR|DAR|"&amp;TEXT('Ingest Template'!C268-3, "yyyy-mm-dd")&amp;"|"&amp;TEXT('Ingest Template'!C268+3, "yyyy-mm-dd"),'Ingest Template'!M268&amp; "|DAR|DAR|2021-01-01")),(IF(OR('Ingest Template'!F268 = "Program Type - Special", 'Ingest Template'!F268 = "Program Type - Live Event"),'Ingest Template'!M268&amp; "|Operations - Core Title|Operations - Core Title|"&amp;TEXT('Ingest Template'!C268-3, "yyyy-mm-dd")&amp;"|"&amp;TEXT('Ingest Template'!C268+3, "yyyy-mm-dd"),'Ingest Template'!M268&amp; "|Operations - Core Title|Operations - Core Title")))</f>
        <v>|Operations - Core Title|Operations - Core Title</v>
      </c>
      <c r="AK268" s="35"/>
      <c r="AL268" s="117" t="str">
        <f>if('Ingest Template'!A268="Standard",(IF(OR('Ingest Template'!F268 = "Program Type - Special", 'Ingest Template'!F268 = "Program Type - Live Event"),'Ingest Template'!Q268&amp;"|"&amp;TEXT('Ingest Template'!C268-3, "yyyy-mm-dd")&amp;"|"&amp;TEXT('Ingest Template'!C268+3, "yyyy-mm-dd"),'Ingest Template'!Q268&amp; "|2021-01-01")),(IF(OR('Ingest Template'!F268 = "Program Type - Special", 'Ingest Template'!F268 = "Program Type - Live Event"),'Ingest Template'!Q268&amp; "|"&amp;TEXT('Ingest Template'!C268-3, "yyyy-mm-dd")&amp;"|"&amp;TEXT('Ingest Template'!C268+3, "yyyy-mm-dd"),'Ingest Template'!Q268)))</f>
        <v/>
      </c>
      <c r="AM268" s="35" t="str">
        <f>'Ingest Template'!AC268</f>
        <v/>
      </c>
    </row>
    <row r="269">
      <c r="A269" s="15"/>
      <c r="B269" s="22" t="str">
        <f>'Ingest Template'!C269&amp;IF('Ingest Template'!A269 = "Standard", " - DAR","")</f>
        <v/>
      </c>
      <c r="C269" s="22" t="s">
        <v>83</v>
      </c>
      <c r="D269" s="22" t="str">
        <f t="array" ref="D269">CONCATENATE(INDEX(DropdownLists!$H$2:$H$11,MATCH(1,COUNTIF('Ingest Template'!E269,"*"&amp;DropdownLists!$I$2:$I$11&amp;"*"),0)),CHAR(10),'Ingest Template'!F269,CHAR(10),'Ingest Template'!G269,CHAR(10),VLOOKUP('Ingest Template'!D269,DropdownLists!C:D,2,FALSE))</f>
        <v>#N/A</v>
      </c>
      <c r="E269" s="22" t="str">
        <f>CONCATENATE('Ingest Template'!H269,CHAR(10),'Ingest Template'!I269,CHAR(10),'Ingest Template'!J269,CHAR(10))</f>
        <v>
</v>
      </c>
      <c r="F269" s="35" t="str">
        <f t="array" ref="F269">INDEX(DropdownLists!$O$2:$O$36,MATCH(1,COUNTIF(E269,"*"&amp;DropdownLists!$N$2:$N$36&amp;"*"),0))</f>
        <v/>
      </c>
      <c r="G269" s="35"/>
      <c r="H269" s="22" t="str">
        <f t="array" ref="H269">INDEX(DropdownLists!$E$2:$E$276,MATCH('Ingest Template'!D269,DropdownLists!$C$2:$C$276,0))</f>
        <v>#N/A</v>
      </c>
      <c r="I269" s="22"/>
      <c r="J269" s="22" t="str">
        <f t="array" ref="J269">iF('Ingest Template'!A269="Standard","Pristine Brand",INDEX(DropdownLists!$B$2:$B$246,MATCH('Ingest Template'!D269,DropdownLists!$C$2:$C$246,0)))</f>
        <v>#N/A</v>
      </c>
      <c r="K269" s="22" t="str">
        <f>iF('Ingest Template'!A269="Standard",'Ingest Template'!K269&amp;CHAR(10)&amp;'Ingest Template'!L269,"Competitive View")</f>
        <v>Competitive View</v>
      </c>
      <c r="L269" s="22" t="s">
        <v>95</v>
      </c>
      <c r="M269" s="45" t="str">
        <f>'Ingest Template'!B269</f>
        <v/>
      </c>
      <c r="N269" s="35"/>
      <c r="O269" s="35"/>
      <c r="P269" s="35"/>
      <c r="Q269" s="35"/>
      <c r="R269" s="35" t="str">
        <f>'Ingest Template'!D269</f>
        <v/>
      </c>
      <c r="S269" s="22" t="s">
        <v>101</v>
      </c>
      <c r="T269" s="35" t="str">
        <f>'Ingest Template'!V269</f>
        <v/>
      </c>
      <c r="U269" s="35" t="str">
        <f>'Ingest Template'!W269</f>
        <v/>
      </c>
      <c r="V269" s="35" t="str">
        <f>LOWER(SUBSTITUTE(SUBSTITUTE(SUBSTITUTE(SUBSTITUTE(SUBSTITUTE('Ingest Template'!X269,"https:",""),"www.",""),"/",""),"?hl=en",""),"instagram.com",""))</f>
        <v/>
      </c>
      <c r="W269" s="74" t="str">
        <f t="array" ref="W269">IF(
'Ingest Template'!Y269="",
SUBSTITUTE(
INDEX(DropdownLists!$F$2:$F$277,MATCH('Ingest Template'!D269,DropdownLists!$C$2:$C$277,0)),
CHAR(10),
"|"&amp;'Ingest Template'!C269&amp;CHAR(10)
)&amp;"|"&amp;'Ingest Template'!C269,
SUBSTITUTE(
INDEX(DropdownLists!$F$2:$F$277,MATCH('Ingest Template'!D269,DropdownLists!$C$2:$C$277,0)),
CHAR(10),
"|"&amp;'Ingest Template'!C269&amp;CHAR(10)
)&amp;"|"&amp;'Ingest Template'!C269&amp;CHAR(10)&amp;'Ingest Template'!Y269
)</f>
        <v>#N/A</v>
      </c>
      <c r="X269" s="74" t="str">
        <f>'Ingest Template'!Z269</f>
        <v/>
      </c>
      <c r="Y269" s="35" t="str">
        <f>SUBSTITUTE(SUBSTITUTE(SUBSTITUTE('Ingest Template'!AA269,"http:",""),"https:",""),"/","")</f>
        <v/>
      </c>
      <c r="Z269" s="35" t="str">
        <f t="array" ref="Z269">IF('Ingest Template'!A269="Standard",(IF(ISBLANK('Ingest Template'!AB269),"", 'Ingest Template'!AB269&amp;"|DAR")),(IF(ISBLANK('Ingest Template'!AB269),"", 'Ingest Template'!AB269&amp;"|TV Ops")))</f>
        <v/>
      </c>
      <c r="AA269" s="35"/>
      <c r="AB269" s="35" t="str">
        <f>'Ingest Template'!R269</f>
        <v/>
      </c>
      <c r="AC269" s="35" t="str">
        <f>'Ingest Template'!T269</f>
        <v/>
      </c>
      <c r="AD269" s="35" t="str">
        <f>'Ingest Template'!S269</f>
        <v/>
      </c>
      <c r="AE269" s="35" t="str">
        <f>'Ingest Template'!U269</f>
        <v/>
      </c>
      <c r="AF269" s="22"/>
      <c r="AG269" s="35" t="str">
        <f t="array" ref="AG269">IF('Ingest Template'!A269="Standard",(CONCATENATE(IF(ISBLANK('Ingest Template'!N269),"", 'Ingest Template'!N269&amp;"|DAR"),CHAR(10), IF(ISBLANK('Ingest Template'!O269),"", 'Ingest Template'!O269&amp;"|DAR"),CHAR(10), IF(ISBLANK('Ingest Template'!P269),"", 'Ingest Template'!P269&amp;"|DAR"))),(CONCATENATE(IF(ISBLANK('Ingest Template'!N269),"", 'Ingest Template'!N269&amp;"|TV Ops"),CHAR(10), IF(ISBLANK('Ingest Template'!O269),"", 'Ingest Template'!O269&amp;"|TV Ops"),CHAR(10), IF(ISBLANK('Ingest Template'!P269),"", 'Ingest Template'!P269&amp;"|TV Ops"))))</f>
        <v>
</v>
      </c>
      <c r="AH269" s="35"/>
      <c r="AI269" s="35"/>
      <c r="AJ269" s="117" t="str">
        <f>if('Ingest Template'!A269="Standard",(IF(OR('Ingest Template'!F269 = "Program Type - Special", 'Ingest Template'!F269 = "Program Type - Live Event"),'Ingest Template'!M269&amp; "|DAR|DAR|"&amp;TEXT('Ingest Template'!C269-3, "yyyy-mm-dd")&amp;"|"&amp;TEXT('Ingest Template'!C269+3, "yyyy-mm-dd"),'Ingest Template'!M269&amp; "|DAR|DAR|2021-01-01")),(IF(OR('Ingest Template'!F269 = "Program Type - Special", 'Ingest Template'!F269 = "Program Type - Live Event"),'Ingest Template'!M269&amp; "|Operations - Core Title|Operations - Core Title|"&amp;TEXT('Ingest Template'!C269-3, "yyyy-mm-dd")&amp;"|"&amp;TEXT('Ingest Template'!C269+3, "yyyy-mm-dd"),'Ingest Template'!M269&amp; "|Operations - Core Title|Operations - Core Title")))</f>
        <v>|Operations - Core Title|Operations - Core Title</v>
      </c>
      <c r="AK269" s="35"/>
      <c r="AL269" s="117" t="str">
        <f>if('Ingest Template'!A269="Standard",(IF(OR('Ingest Template'!F269 = "Program Type - Special", 'Ingest Template'!F269 = "Program Type - Live Event"),'Ingest Template'!Q269&amp;"|"&amp;TEXT('Ingest Template'!C269-3, "yyyy-mm-dd")&amp;"|"&amp;TEXT('Ingest Template'!C269+3, "yyyy-mm-dd"),'Ingest Template'!Q269&amp; "|2021-01-01")),(IF(OR('Ingest Template'!F269 = "Program Type - Special", 'Ingest Template'!F269 = "Program Type - Live Event"),'Ingest Template'!Q269&amp; "|"&amp;TEXT('Ingest Template'!C269-3, "yyyy-mm-dd")&amp;"|"&amp;TEXT('Ingest Template'!C269+3, "yyyy-mm-dd"),'Ingest Template'!Q269)))</f>
        <v/>
      </c>
      <c r="AM269" s="35" t="str">
        <f>'Ingest Template'!AC269</f>
        <v/>
      </c>
    </row>
    <row r="270">
      <c r="A270" s="15"/>
      <c r="B270" s="22" t="str">
        <f>'Ingest Template'!C270&amp;IF('Ingest Template'!A270 = "Standard", " - DAR","")</f>
        <v/>
      </c>
      <c r="C270" s="22" t="s">
        <v>83</v>
      </c>
      <c r="D270" s="22" t="str">
        <f t="array" ref="D270">CONCATENATE(INDEX(DropdownLists!$H$2:$H$11,MATCH(1,COUNTIF('Ingest Template'!E270,"*"&amp;DropdownLists!$I$2:$I$11&amp;"*"),0)),CHAR(10),'Ingest Template'!F270,CHAR(10),'Ingest Template'!G270,CHAR(10),VLOOKUP('Ingest Template'!D270,DropdownLists!C:D,2,FALSE))</f>
        <v>#N/A</v>
      </c>
      <c r="E270" s="22" t="str">
        <f>CONCATENATE('Ingest Template'!H270,CHAR(10),'Ingest Template'!I270,CHAR(10),'Ingest Template'!J270,CHAR(10))</f>
        <v>
</v>
      </c>
      <c r="F270" s="35" t="str">
        <f t="array" ref="F270">INDEX(DropdownLists!$O$2:$O$36,MATCH(1,COUNTIF(E270,"*"&amp;DropdownLists!$N$2:$N$36&amp;"*"),0))</f>
        <v/>
      </c>
      <c r="G270" s="35"/>
      <c r="H270" s="22" t="str">
        <f t="array" ref="H270">INDEX(DropdownLists!$E$2:$E$276,MATCH('Ingest Template'!D270,DropdownLists!$C$2:$C$276,0))</f>
        <v>#N/A</v>
      </c>
      <c r="I270" s="22"/>
      <c r="J270" s="22" t="str">
        <f t="array" ref="J270">iF('Ingest Template'!A270="Standard","Pristine Brand",INDEX(DropdownLists!$B$2:$B$246,MATCH('Ingest Template'!D270,DropdownLists!$C$2:$C$246,0)))</f>
        <v>#N/A</v>
      </c>
      <c r="K270" s="22" t="str">
        <f>iF('Ingest Template'!A270="Standard",'Ingest Template'!K270&amp;CHAR(10)&amp;'Ingest Template'!L270,"Competitive View")</f>
        <v>Competitive View</v>
      </c>
      <c r="L270" s="22" t="s">
        <v>95</v>
      </c>
      <c r="M270" s="45" t="str">
        <f>'Ingest Template'!B270</f>
        <v/>
      </c>
      <c r="N270" s="35"/>
      <c r="O270" s="35"/>
      <c r="P270" s="35"/>
      <c r="Q270" s="35"/>
      <c r="R270" s="35" t="str">
        <f>'Ingest Template'!D270</f>
        <v/>
      </c>
      <c r="S270" s="22" t="s">
        <v>101</v>
      </c>
      <c r="T270" s="35" t="str">
        <f>'Ingest Template'!V270</f>
        <v/>
      </c>
      <c r="U270" s="35" t="str">
        <f>'Ingest Template'!W270</f>
        <v/>
      </c>
      <c r="V270" s="35" t="str">
        <f>LOWER(SUBSTITUTE(SUBSTITUTE(SUBSTITUTE(SUBSTITUTE(SUBSTITUTE('Ingest Template'!X270,"https:",""),"www.",""),"/",""),"?hl=en",""),"instagram.com",""))</f>
        <v/>
      </c>
      <c r="W270" s="74" t="str">
        <f t="array" ref="W270">IF(
'Ingest Template'!Y270="",
SUBSTITUTE(
INDEX(DropdownLists!$F$2:$F$277,MATCH('Ingest Template'!D270,DropdownLists!$C$2:$C$277,0)),
CHAR(10),
"|"&amp;'Ingest Template'!C270&amp;CHAR(10)
)&amp;"|"&amp;'Ingest Template'!C270,
SUBSTITUTE(
INDEX(DropdownLists!$F$2:$F$277,MATCH('Ingest Template'!D270,DropdownLists!$C$2:$C$277,0)),
CHAR(10),
"|"&amp;'Ingest Template'!C270&amp;CHAR(10)
)&amp;"|"&amp;'Ingest Template'!C270&amp;CHAR(10)&amp;'Ingest Template'!Y270
)</f>
        <v>#N/A</v>
      </c>
      <c r="X270" s="74" t="str">
        <f>'Ingest Template'!Z270</f>
        <v/>
      </c>
      <c r="Y270" s="35" t="str">
        <f>SUBSTITUTE(SUBSTITUTE(SUBSTITUTE('Ingest Template'!AA270,"http:",""),"https:",""),"/","")</f>
        <v/>
      </c>
      <c r="Z270" s="35" t="str">
        <f t="array" ref="Z270">IF('Ingest Template'!A270="Standard",(IF(ISBLANK('Ingest Template'!AB270),"", 'Ingest Template'!AB270&amp;"|DAR")),(IF(ISBLANK('Ingest Template'!AB270),"", 'Ingest Template'!AB270&amp;"|TV Ops")))</f>
        <v/>
      </c>
      <c r="AA270" s="35"/>
      <c r="AB270" s="35" t="str">
        <f>'Ingest Template'!R270</f>
        <v/>
      </c>
      <c r="AC270" s="35" t="str">
        <f>'Ingest Template'!T270</f>
        <v/>
      </c>
      <c r="AD270" s="35" t="str">
        <f>'Ingest Template'!S270</f>
        <v/>
      </c>
      <c r="AE270" s="35" t="str">
        <f>'Ingest Template'!U270</f>
        <v/>
      </c>
      <c r="AF270" s="22"/>
      <c r="AG270" s="35" t="str">
        <f t="array" ref="AG270">IF('Ingest Template'!A270="Standard",(CONCATENATE(IF(ISBLANK('Ingest Template'!N270),"", 'Ingest Template'!N270&amp;"|DAR"),CHAR(10), IF(ISBLANK('Ingest Template'!O270),"", 'Ingest Template'!O270&amp;"|DAR"),CHAR(10), IF(ISBLANK('Ingest Template'!P270),"", 'Ingest Template'!P270&amp;"|DAR"))),(CONCATENATE(IF(ISBLANK('Ingest Template'!N270),"", 'Ingest Template'!N270&amp;"|TV Ops"),CHAR(10), IF(ISBLANK('Ingest Template'!O270),"", 'Ingest Template'!O270&amp;"|TV Ops"),CHAR(10), IF(ISBLANK('Ingest Template'!P270),"", 'Ingest Template'!P270&amp;"|TV Ops"))))</f>
        <v>
</v>
      </c>
      <c r="AH270" s="35"/>
      <c r="AI270" s="35"/>
      <c r="AJ270" s="117" t="str">
        <f>if('Ingest Template'!A270="Standard",(IF(OR('Ingest Template'!F270 = "Program Type - Special", 'Ingest Template'!F270 = "Program Type - Live Event"),'Ingest Template'!M270&amp; "|DAR|DAR|"&amp;TEXT('Ingest Template'!C270-3, "yyyy-mm-dd")&amp;"|"&amp;TEXT('Ingest Template'!C270+3, "yyyy-mm-dd"),'Ingest Template'!M270&amp; "|DAR|DAR|2021-01-01")),(IF(OR('Ingest Template'!F270 = "Program Type - Special", 'Ingest Template'!F270 = "Program Type - Live Event"),'Ingest Template'!M270&amp; "|Operations - Core Title|Operations - Core Title|"&amp;TEXT('Ingest Template'!C270-3, "yyyy-mm-dd")&amp;"|"&amp;TEXT('Ingest Template'!C270+3, "yyyy-mm-dd"),'Ingest Template'!M270&amp; "|Operations - Core Title|Operations - Core Title")))</f>
        <v>|Operations - Core Title|Operations - Core Title</v>
      </c>
      <c r="AK270" s="35"/>
      <c r="AL270" s="117" t="str">
        <f>if('Ingest Template'!A270="Standard",(IF(OR('Ingest Template'!F270 = "Program Type - Special", 'Ingest Template'!F270 = "Program Type - Live Event"),'Ingest Template'!Q270&amp;"|"&amp;TEXT('Ingest Template'!C270-3, "yyyy-mm-dd")&amp;"|"&amp;TEXT('Ingest Template'!C270+3, "yyyy-mm-dd"),'Ingest Template'!Q270&amp; "|2021-01-01")),(IF(OR('Ingest Template'!F270 = "Program Type - Special", 'Ingest Template'!F270 = "Program Type - Live Event"),'Ingest Template'!Q270&amp; "|"&amp;TEXT('Ingest Template'!C270-3, "yyyy-mm-dd")&amp;"|"&amp;TEXT('Ingest Template'!C270+3, "yyyy-mm-dd"),'Ingest Template'!Q270)))</f>
        <v/>
      </c>
      <c r="AM270" s="35" t="str">
        <f>'Ingest Template'!AC270</f>
        <v/>
      </c>
    </row>
    <row r="271">
      <c r="A271" s="15"/>
      <c r="B271" s="22" t="str">
        <f>'Ingest Template'!C271&amp;IF('Ingest Template'!A271 = "Standard", " - DAR","")</f>
        <v/>
      </c>
      <c r="C271" s="22" t="s">
        <v>83</v>
      </c>
      <c r="D271" s="22" t="str">
        <f t="array" ref="D271">CONCATENATE(INDEX(DropdownLists!$H$2:$H$11,MATCH(1,COUNTIF('Ingest Template'!E271,"*"&amp;DropdownLists!$I$2:$I$11&amp;"*"),0)),CHAR(10),'Ingest Template'!F271,CHAR(10),'Ingest Template'!G271,CHAR(10),VLOOKUP('Ingest Template'!D271,DropdownLists!C:D,2,FALSE))</f>
        <v>#N/A</v>
      </c>
      <c r="E271" s="22" t="str">
        <f>CONCATENATE('Ingest Template'!H271,CHAR(10),'Ingest Template'!I271,CHAR(10),'Ingest Template'!J271,CHAR(10))</f>
        <v>
</v>
      </c>
      <c r="F271" s="35" t="str">
        <f t="array" ref="F271">INDEX(DropdownLists!$O$2:$O$36,MATCH(1,COUNTIF(E271,"*"&amp;DropdownLists!$N$2:$N$36&amp;"*"),0))</f>
        <v/>
      </c>
      <c r="G271" s="35"/>
      <c r="H271" s="22" t="str">
        <f t="array" ref="H271">INDEX(DropdownLists!$E$2:$E$276,MATCH('Ingest Template'!D271,DropdownLists!$C$2:$C$276,0))</f>
        <v>#N/A</v>
      </c>
      <c r="I271" s="22"/>
      <c r="J271" s="22" t="str">
        <f t="array" ref="J271">iF('Ingest Template'!A271="Standard","Pristine Brand",INDEX(DropdownLists!$B$2:$B$246,MATCH('Ingest Template'!D271,DropdownLists!$C$2:$C$246,0)))</f>
        <v>#N/A</v>
      </c>
      <c r="K271" s="22" t="str">
        <f>iF('Ingest Template'!A271="Standard",'Ingest Template'!K271&amp;CHAR(10)&amp;'Ingest Template'!L271,"Competitive View")</f>
        <v>Competitive View</v>
      </c>
      <c r="L271" s="22" t="s">
        <v>95</v>
      </c>
      <c r="M271" s="45" t="str">
        <f>'Ingest Template'!B271</f>
        <v/>
      </c>
      <c r="N271" s="35"/>
      <c r="O271" s="35"/>
      <c r="P271" s="35"/>
      <c r="Q271" s="35"/>
      <c r="R271" s="35" t="str">
        <f>'Ingest Template'!D271</f>
        <v/>
      </c>
      <c r="S271" s="22" t="s">
        <v>101</v>
      </c>
      <c r="T271" s="35" t="str">
        <f>'Ingest Template'!V271</f>
        <v/>
      </c>
      <c r="U271" s="35" t="str">
        <f>'Ingest Template'!W271</f>
        <v/>
      </c>
      <c r="V271" s="35" t="str">
        <f>LOWER(SUBSTITUTE(SUBSTITUTE(SUBSTITUTE(SUBSTITUTE(SUBSTITUTE('Ingest Template'!X271,"https:",""),"www.",""),"/",""),"?hl=en",""),"instagram.com",""))</f>
        <v/>
      </c>
      <c r="W271" s="74" t="str">
        <f t="array" ref="W271">IF(
'Ingest Template'!Y271="",
SUBSTITUTE(
INDEX(DropdownLists!$F$2:$F$277,MATCH('Ingest Template'!D271,DropdownLists!$C$2:$C$277,0)),
CHAR(10),
"|"&amp;'Ingest Template'!C271&amp;CHAR(10)
)&amp;"|"&amp;'Ingest Template'!C271,
SUBSTITUTE(
INDEX(DropdownLists!$F$2:$F$277,MATCH('Ingest Template'!D271,DropdownLists!$C$2:$C$277,0)),
CHAR(10),
"|"&amp;'Ingest Template'!C271&amp;CHAR(10)
)&amp;"|"&amp;'Ingest Template'!C271&amp;CHAR(10)&amp;'Ingest Template'!Y271
)</f>
        <v>#N/A</v>
      </c>
      <c r="X271" s="74" t="str">
        <f>'Ingest Template'!Z271</f>
        <v/>
      </c>
      <c r="Y271" s="35" t="str">
        <f>SUBSTITUTE(SUBSTITUTE(SUBSTITUTE('Ingest Template'!AA271,"http:",""),"https:",""),"/","")</f>
        <v/>
      </c>
      <c r="Z271" s="35" t="str">
        <f t="array" ref="Z271">IF('Ingest Template'!A271="Standard",(IF(ISBLANK('Ingest Template'!AB271),"", 'Ingest Template'!AB271&amp;"|DAR")),(IF(ISBLANK('Ingest Template'!AB271),"", 'Ingest Template'!AB271&amp;"|TV Ops")))</f>
        <v/>
      </c>
      <c r="AA271" s="35"/>
      <c r="AB271" s="35" t="str">
        <f>'Ingest Template'!R271</f>
        <v/>
      </c>
      <c r="AC271" s="35" t="str">
        <f>'Ingest Template'!T271</f>
        <v/>
      </c>
      <c r="AD271" s="35" t="str">
        <f>'Ingest Template'!S271</f>
        <v/>
      </c>
      <c r="AE271" s="35" t="str">
        <f>'Ingest Template'!U271</f>
        <v/>
      </c>
      <c r="AF271" s="22"/>
      <c r="AG271" s="35" t="str">
        <f t="array" ref="AG271">IF('Ingest Template'!A271="Standard",(CONCATENATE(IF(ISBLANK('Ingest Template'!N271),"", 'Ingest Template'!N271&amp;"|DAR"),CHAR(10), IF(ISBLANK('Ingest Template'!O271),"", 'Ingest Template'!O271&amp;"|DAR"),CHAR(10), IF(ISBLANK('Ingest Template'!P271),"", 'Ingest Template'!P271&amp;"|DAR"))),(CONCATENATE(IF(ISBLANK('Ingest Template'!N271),"", 'Ingest Template'!N271&amp;"|TV Ops"),CHAR(10), IF(ISBLANK('Ingest Template'!O271),"", 'Ingest Template'!O271&amp;"|TV Ops"),CHAR(10), IF(ISBLANK('Ingest Template'!P271),"", 'Ingest Template'!P271&amp;"|TV Ops"))))</f>
        <v>
</v>
      </c>
      <c r="AH271" s="35"/>
      <c r="AI271" s="35"/>
      <c r="AJ271" s="117" t="str">
        <f>if('Ingest Template'!A271="Standard",(IF(OR('Ingest Template'!F271 = "Program Type - Special", 'Ingest Template'!F271 = "Program Type - Live Event"),'Ingest Template'!M271&amp; "|DAR|DAR|"&amp;TEXT('Ingest Template'!C271-3, "yyyy-mm-dd")&amp;"|"&amp;TEXT('Ingest Template'!C271+3, "yyyy-mm-dd"),'Ingest Template'!M271&amp; "|DAR|DAR|2021-01-01")),(IF(OR('Ingest Template'!F271 = "Program Type - Special", 'Ingest Template'!F271 = "Program Type - Live Event"),'Ingest Template'!M271&amp; "|Operations - Core Title|Operations - Core Title|"&amp;TEXT('Ingest Template'!C271-3, "yyyy-mm-dd")&amp;"|"&amp;TEXT('Ingest Template'!C271+3, "yyyy-mm-dd"),'Ingest Template'!M271&amp; "|Operations - Core Title|Operations - Core Title")))</f>
        <v>|Operations - Core Title|Operations - Core Title</v>
      </c>
      <c r="AK271" s="35"/>
      <c r="AL271" s="117" t="str">
        <f>if('Ingest Template'!A271="Standard",(IF(OR('Ingest Template'!F271 = "Program Type - Special", 'Ingest Template'!F271 = "Program Type - Live Event"),'Ingest Template'!Q271&amp;"|"&amp;TEXT('Ingest Template'!C271-3, "yyyy-mm-dd")&amp;"|"&amp;TEXT('Ingest Template'!C271+3, "yyyy-mm-dd"),'Ingest Template'!Q271&amp; "|2021-01-01")),(IF(OR('Ingest Template'!F271 = "Program Type - Special", 'Ingest Template'!F271 = "Program Type - Live Event"),'Ingest Template'!Q271&amp; "|"&amp;TEXT('Ingest Template'!C271-3, "yyyy-mm-dd")&amp;"|"&amp;TEXT('Ingest Template'!C271+3, "yyyy-mm-dd"),'Ingest Template'!Q271)))</f>
        <v/>
      </c>
      <c r="AM271" s="35" t="str">
        <f>'Ingest Template'!AC271</f>
        <v/>
      </c>
    </row>
    <row r="272">
      <c r="A272" s="15"/>
      <c r="B272" s="22" t="str">
        <f>'Ingest Template'!C272&amp;IF('Ingest Template'!A272 = "Standard", " - DAR","")</f>
        <v/>
      </c>
      <c r="C272" s="22" t="s">
        <v>83</v>
      </c>
      <c r="D272" s="22" t="str">
        <f t="array" ref="D272">CONCATENATE(INDEX(DropdownLists!$H$2:$H$11,MATCH(1,COUNTIF('Ingest Template'!E272,"*"&amp;DropdownLists!$I$2:$I$11&amp;"*"),0)),CHAR(10),'Ingest Template'!F272,CHAR(10),'Ingest Template'!G272,CHAR(10),VLOOKUP('Ingest Template'!D272,DropdownLists!C:D,2,FALSE))</f>
        <v>#N/A</v>
      </c>
      <c r="E272" s="22" t="str">
        <f>CONCATENATE('Ingest Template'!H272,CHAR(10),'Ingest Template'!I272,CHAR(10),'Ingest Template'!J272,CHAR(10))</f>
        <v>
</v>
      </c>
      <c r="F272" s="35" t="str">
        <f t="array" ref="F272">INDEX(DropdownLists!$O$2:$O$36,MATCH(1,COUNTIF(E272,"*"&amp;DropdownLists!$N$2:$N$36&amp;"*"),0))</f>
        <v/>
      </c>
      <c r="G272" s="35"/>
      <c r="H272" s="22" t="str">
        <f t="array" ref="H272">INDEX(DropdownLists!$E$2:$E$276,MATCH('Ingest Template'!D272,DropdownLists!$C$2:$C$276,0))</f>
        <v>#N/A</v>
      </c>
      <c r="I272" s="22"/>
      <c r="J272" s="22" t="str">
        <f t="array" ref="J272">iF('Ingest Template'!A272="Standard","Pristine Brand",INDEX(DropdownLists!$B$2:$B$246,MATCH('Ingest Template'!D272,DropdownLists!$C$2:$C$246,0)))</f>
        <v>#N/A</v>
      </c>
      <c r="K272" s="22" t="str">
        <f>iF('Ingest Template'!A272="Standard",'Ingest Template'!K272&amp;CHAR(10)&amp;'Ingest Template'!L272,"Competitive View")</f>
        <v>Competitive View</v>
      </c>
      <c r="L272" s="22" t="s">
        <v>95</v>
      </c>
      <c r="M272" s="45" t="str">
        <f>'Ingest Template'!B272</f>
        <v/>
      </c>
      <c r="N272" s="35"/>
      <c r="O272" s="35"/>
      <c r="P272" s="35"/>
      <c r="Q272" s="35"/>
      <c r="R272" s="35" t="str">
        <f>'Ingest Template'!D272</f>
        <v/>
      </c>
      <c r="S272" s="22" t="s">
        <v>101</v>
      </c>
      <c r="T272" s="35" t="str">
        <f>'Ingest Template'!V272</f>
        <v/>
      </c>
      <c r="U272" s="35" t="str">
        <f>'Ingest Template'!W272</f>
        <v/>
      </c>
      <c r="V272" s="35" t="str">
        <f>LOWER(SUBSTITUTE(SUBSTITUTE(SUBSTITUTE(SUBSTITUTE(SUBSTITUTE('Ingest Template'!X272,"https:",""),"www.",""),"/",""),"?hl=en",""),"instagram.com",""))</f>
        <v/>
      </c>
      <c r="W272" s="74" t="str">
        <f t="array" ref="W272">IF(
'Ingest Template'!Y272="",
SUBSTITUTE(
INDEX(DropdownLists!$F$2:$F$277,MATCH('Ingest Template'!D272,DropdownLists!$C$2:$C$277,0)),
CHAR(10),
"|"&amp;'Ingest Template'!C272&amp;CHAR(10)
)&amp;"|"&amp;'Ingest Template'!C272,
SUBSTITUTE(
INDEX(DropdownLists!$F$2:$F$277,MATCH('Ingest Template'!D272,DropdownLists!$C$2:$C$277,0)),
CHAR(10),
"|"&amp;'Ingest Template'!C272&amp;CHAR(10)
)&amp;"|"&amp;'Ingest Template'!C272&amp;CHAR(10)&amp;'Ingest Template'!Y272
)</f>
        <v>#N/A</v>
      </c>
      <c r="X272" s="74" t="str">
        <f>'Ingest Template'!Z272</f>
        <v/>
      </c>
      <c r="Y272" s="35" t="str">
        <f>SUBSTITUTE(SUBSTITUTE(SUBSTITUTE('Ingest Template'!AA272,"http:",""),"https:",""),"/","")</f>
        <v/>
      </c>
      <c r="Z272" s="35" t="str">
        <f t="array" ref="Z272">IF('Ingest Template'!A272="Standard",(IF(ISBLANK('Ingest Template'!AB272),"", 'Ingest Template'!AB272&amp;"|DAR")),(IF(ISBLANK('Ingest Template'!AB272),"", 'Ingest Template'!AB272&amp;"|TV Ops")))</f>
        <v/>
      </c>
      <c r="AA272" s="35"/>
      <c r="AB272" s="35" t="str">
        <f>'Ingest Template'!R272</f>
        <v/>
      </c>
      <c r="AC272" s="35" t="str">
        <f>'Ingest Template'!T272</f>
        <v/>
      </c>
      <c r="AD272" s="35" t="str">
        <f>'Ingest Template'!S272</f>
        <v/>
      </c>
      <c r="AE272" s="35" t="str">
        <f>'Ingest Template'!U272</f>
        <v/>
      </c>
      <c r="AF272" s="22"/>
      <c r="AG272" s="35" t="str">
        <f t="array" ref="AG272">IF('Ingest Template'!A272="Standard",(CONCATENATE(IF(ISBLANK('Ingest Template'!N272),"", 'Ingest Template'!N272&amp;"|DAR"),CHAR(10), IF(ISBLANK('Ingest Template'!O272),"", 'Ingest Template'!O272&amp;"|DAR"),CHAR(10), IF(ISBLANK('Ingest Template'!P272),"", 'Ingest Template'!P272&amp;"|DAR"))),(CONCATENATE(IF(ISBLANK('Ingest Template'!N272),"", 'Ingest Template'!N272&amp;"|TV Ops"),CHAR(10), IF(ISBLANK('Ingest Template'!O272),"", 'Ingest Template'!O272&amp;"|TV Ops"),CHAR(10), IF(ISBLANK('Ingest Template'!P272),"", 'Ingest Template'!P272&amp;"|TV Ops"))))</f>
        <v>
</v>
      </c>
      <c r="AH272" s="35"/>
      <c r="AI272" s="35"/>
      <c r="AJ272" s="117" t="str">
        <f>if('Ingest Template'!A272="Standard",(IF(OR('Ingest Template'!F272 = "Program Type - Special", 'Ingest Template'!F272 = "Program Type - Live Event"),'Ingest Template'!M272&amp; "|DAR|DAR|"&amp;TEXT('Ingest Template'!C272-3, "yyyy-mm-dd")&amp;"|"&amp;TEXT('Ingest Template'!C272+3, "yyyy-mm-dd"),'Ingest Template'!M272&amp; "|DAR|DAR|2021-01-01")),(IF(OR('Ingest Template'!F272 = "Program Type - Special", 'Ingest Template'!F272 = "Program Type - Live Event"),'Ingest Template'!M272&amp; "|Operations - Core Title|Operations - Core Title|"&amp;TEXT('Ingest Template'!C272-3, "yyyy-mm-dd")&amp;"|"&amp;TEXT('Ingest Template'!C272+3, "yyyy-mm-dd"),'Ingest Template'!M272&amp; "|Operations - Core Title|Operations - Core Title")))</f>
        <v>|Operations - Core Title|Operations - Core Title</v>
      </c>
      <c r="AK272" s="35"/>
      <c r="AL272" s="117" t="str">
        <f>if('Ingest Template'!A272="Standard",(IF(OR('Ingest Template'!F272 = "Program Type - Special", 'Ingest Template'!F272 = "Program Type - Live Event"),'Ingest Template'!Q272&amp;"|"&amp;TEXT('Ingest Template'!C272-3, "yyyy-mm-dd")&amp;"|"&amp;TEXT('Ingest Template'!C272+3, "yyyy-mm-dd"),'Ingest Template'!Q272&amp; "|2021-01-01")),(IF(OR('Ingest Template'!F272 = "Program Type - Special", 'Ingest Template'!F272 = "Program Type - Live Event"),'Ingest Template'!Q272&amp; "|"&amp;TEXT('Ingest Template'!C272-3, "yyyy-mm-dd")&amp;"|"&amp;TEXT('Ingest Template'!C272+3, "yyyy-mm-dd"),'Ingest Template'!Q272)))</f>
        <v/>
      </c>
      <c r="AM272" s="35" t="str">
        <f>'Ingest Template'!AC272</f>
        <v/>
      </c>
    </row>
    <row r="273">
      <c r="A273" s="15"/>
      <c r="B273" s="22" t="str">
        <f>'Ingest Template'!C273&amp;IF('Ingest Template'!A273 = "Standard", " - DAR","")</f>
        <v/>
      </c>
      <c r="C273" s="22" t="s">
        <v>83</v>
      </c>
      <c r="D273" s="22" t="str">
        <f t="array" ref="D273">CONCATENATE(INDEX(DropdownLists!$H$2:$H$11,MATCH(1,COUNTIF('Ingest Template'!E273,"*"&amp;DropdownLists!$I$2:$I$11&amp;"*"),0)),CHAR(10),'Ingest Template'!F273,CHAR(10),'Ingest Template'!G273,CHAR(10),VLOOKUP('Ingest Template'!D273,DropdownLists!C:D,2,FALSE))</f>
        <v>#N/A</v>
      </c>
      <c r="E273" s="22" t="str">
        <f>CONCATENATE('Ingest Template'!H273,CHAR(10),'Ingest Template'!I273,CHAR(10),'Ingest Template'!J273,CHAR(10))</f>
        <v>
</v>
      </c>
      <c r="F273" s="35" t="str">
        <f t="array" ref="F273">INDEX(DropdownLists!$O$2:$O$36,MATCH(1,COUNTIF(E273,"*"&amp;DropdownLists!$N$2:$N$36&amp;"*"),0))</f>
        <v/>
      </c>
      <c r="G273" s="35"/>
      <c r="H273" s="22" t="str">
        <f t="array" ref="H273">INDEX(DropdownLists!$E$2:$E$276,MATCH('Ingest Template'!D273,DropdownLists!$C$2:$C$276,0))</f>
        <v>#N/A</v>
      </c>
      <c r="I273" s="22"/>
      <c r="J273" s="22" t="str">
        <f t="array" ref="J273">iF('Ingest Template'!A273="Standard","Pristine Brand",INDEX(DropdownLists!$B$2:$B$246,MATCH('Ingest Template'!D273,DropdownLists!$C$2:$C$246,0)))</f>
        <v>#N/A</v>
      </c>
      <c r="K273" s="22" t="str">
        <f>iF('Ingest Template'!A273="Standard",'Ingest Template'!K273&amp;CHAR(10)&amp;'Ingest Template'!L273,"Competitive View")</f>
        <v>Competitive View</v>
      </c>
      <c r="L273" s="22" t="s">
        <v>95</v>
      </c>
      <c r="M273" s="45" t="str">
        <f>'Ingest Template'!B273</f>
        <v/>
      </c>
      <c r="N273" s="35"/>
      <c r="O273" s="35"/>
      <c r="P273" s="35"/>
      <c r="Q273" s="35"/>
      <c r="R273" s="35" t="str">
        <f>'Ingest Template'!D273</f>
        <v/>
      </c>
      <c r="S273" s="22" t="s">
        <v>101</v>
      </c>
      <c r="T273" s="35" t="str">
        <f>'Ingest Template'!V273</f>
        <v/>
      </c>
      <c r="U273" s="35" t="str">
        <f>'Ingest Template'!W273</f>
        <v/>
      </c>
      <c r="V273" s="35" t="str">
        <f>LOWER(SUBSTITUTE(SUBSTITUTE(SUBSTITUTE(SUBSTITUTE(SUBSTITUTE('Ingest Template'!X273,"https:",""),"www.",""),"/",""),"?hl=en",""),"instagram.com",""))</f>
        <v/>
      </c>
      <c r="W273" s="74" t="str">
        <f t="array" ref="W273">IF(
'Ingest Template'!Y273="",
SUBSTITUTE(
INDEX(DropdownLists!$F$2:$F$277,MATCH('Ingest Template'!D273,DropdownLists!$C$2:$C$277,0)),
CHAR(10),
"|"&amp;'Ingest Template'!C273&amp;CHAR(10)
)&amp;"|"&amp;'Ingest Template'!C273,
SUBSTITUTE(
INDEX(DropdownLists!$F$2:$F$277,MATCH('Ingest Template'!D273,DropdownLists!$C$2:$C$277,0)),
CHAR(10),
"|"&amp;'Ingest Template'!C273&amp;CHAR(10)
)&amp;"|"&amp;'Ingest Template'!C273&amp;CHAR(10)&amp;'Ingest Template'!Y273
)</f>
        <v>#N/A</v>
      </c>
      <c r="X273" s="74" t="str">
        <f>'Ingest Template'!Z273</f>
        <v/>
      </c>
      <c r="Y273" s="35" t="str">
        <f>SUBSTITUTE(SUBSTITUTE(SUBSTITUTE('Ingest Template'!AA273,"http:",""),"https:",""),"/","")</f>
        <v/>
      </c>
      <c r="Z273" s="35" t="str">
        <f t="array" ref="Z273">IF('Ingest Template'!A273="Standard",(IF(ISBLANK('Ingest Template'!AB273),"", 'Ingest Template'!AB273&amp;"|DAR")),(IF(ISBLANK('Ingest Template'!AB273),"", 'Ingest Template'!AB273&amp;"|TV Ops")))</f>
        <v/>
      </c>
      <c r="AA273" s="35"/>
      <c r="AB273" s="35" t="str">
        <f>'Ingest Template'!R273</f>
        <v/>
      </c>
      <c r="AC273" s="35" t="str">
        <f>'Ingest Template'!T273</f>
        <v/>
      </c>
      <c r="AD273" s="35" t="str">
        <f>'Ingest Template'!S273</f>
        <v/>
      </c>
      <c r="AE273" s="35" t="str">
        <f>'Ingest Template'!U273</f>
        <v/>
      </c>
      <c r="AF273" s="22"/>
      <c r="AG273" s="35" t="str">
        <f t="array" ref="AG273">IF('Ingest Template'!A273="Standard",(CONCATENATE(IF(ISBLANK('Ingest Template'!N273),"", 'Ingest Template'!N273&amp;"|DAR"),CHAR(10), IF(ISBLANK('Ingest Template'!O273),"", 'Ingest Template'!O273&amp;"|DAR"),CHAR(10), IF(ISBLANK('Ingest Template'!P273),"", 'Ingest Template'!P273&amp;"|DAR"))),(CONCATENATE(IF(ISBLANK('Ingest Template'!N273),"", 'Ingest Template'!N273&amp;"|TV Ops"),CHAR(10), IF(ISBLANK('Ingest Template'!O273),"", 'Ingest Template'!O273&amp;"|TV Ops"),CHAR(10), IF(ISBLANK('Ingest Template'!P273),"", 'Ingest Template'!P273&amp;"|TV Ops"))))</f>
        <v>
</v>
      </c>
      <c r="AH273" s="35"/>
      <c r="AI273" s="35"/>
      <c r="AJ273" s="117" t="str">
        <f>if('Ingest Template'!A273="Standard",(IF(OR('Ingest Template'!F273 = "Program Type - Special", 'Ingest Template'!F273 = "Program Type - Live Event"),'Ingest Template'!M273&amp; "|DAR|DAR|"&amp;TEXT('Ingest Template'!C273-3, "yyyy-mm-dd")&amp;"|"&amp;TEXT('Ingest Template'!C273+3, "yyyy-mm-dd"),'Ingest Template'!M273&amp; "|DAR|DAR|2021-01-01")),(IF(OR('Ingest Template'!F273 = "Program Type - Special", 'Ingest Template'!F273 = "Program Type - Live Event"),'Ingest Template'!M273&amp; "|Operations - Core Title|Operations - Core Title|"&amp;TEXT('Ingest Template'!C273-3, "yyyy-mm-dd")&amp;"|"&amp;TEXT('Ingest Template'!C273+3, "yyyy-mm-dd"),'Ingest Template'!M273&amp; "|Operations - Core Title|Operations - Core Title")))</f>
        <v>|Operations - Core Title|Operations - Core Title</v>
      </c>
      <c r="AK273" s="35"/>
      <c r="AL273" s="117" t="str">
        <f>if('Ingest Template'!A273="Standard",(IF(OR('Ingest Template'!F273 = "Program Type - Special", 'Ingest Template'!F273 = "Program Type - Live Event"),'Ingest Template'!Q273&amp;"|"&amp;TEXT('Ingest Template'!C273-3, "yyyy-mm-dd")&amp;"|"&amp;TEXT('Ingest Template'!C273+3, "yyyy-mm-dd"),'Ingest Template'!Q273&amp; "|2021-01-01")),(IF(OR('Ingest Template'!F273 = "Program Type - Special", 'Ingest Template'!F273 = "Program Type - Live Event"),'Ingest Template'!Q273&amp; "|"&amp;TEXT('Ingest Template'!C273-3, "yyyy-mm-dd")&amp;"|"&amp;TEXT('Ingest Template'!C273+3, "yyyy-mm-dd"),'Ingest Template'!Q273)))</f>
        <v/>
      </c>
      <c r="AM273" s="35" t="str">
        <f>'Ingest Template'!AC273</f>
        <v/>
      </c>
    </row>
    <row r="274">
      <c r="A274" s="15"/>
      <c r="B274" s="22" t="str">
        <f>'Ingest Template'!C274&amp;IF('Ingest Template'!A274 = "Standard", " - DAR","")</f>
        <v/>
      </c>
      <c r="C274" s="22" t="s">
        <v>83</v>
      </c>
      <c r="D274" s="22" t="str">
        <f t="array" ref="D274">CONCATENATE(INDEX(DropdownLists!$H$2:$H$11,MATCH(1,COUNTIF('Ingest Template'!E274,"*"&amp;DropdownLists!$I$2:$I$11&amp;"*"),0)),CHAR(10),'Ingest Template'!F274,CHAR(10),'Ingest Template'!G274,CHAR(10),VLOOKUP('Ingest Template'!D274,DropdownLists!C:D,2,FALSE))</f>
        <v>#N/A</v>
      </c>
      <c r="E274" s="22" t="str">
        <f>CONCATENATE('Ingest Template'!H274,CHAR(10),'Ingest Template'!I274,CHAR(10),'Ingest Template'!J274,CHAR(10))</f>
        <v>
</v>
      </c>
      <c r="F274" s="35" t="str">
        <f t="array" ref="F274">INDEX(DropdownLists!$O$2:$O$36,MATCH(1,COUNTIF(E274,"*"&amp;DropdownLists!$N$2:$N$36&amp;"*"),0))</f>
        <v/>
      </c>
      <c r="G274" s="35"/>
      <c r="H274" s="22" t="str">
        <f t="array" ref="H274">INDEX(DropdownLists!$E$2:$E$276,MATCH('Ingest Template'!D274,DropdownLists!$C$2:$C$276,0))</f>
        <v>#N/A</v>
      </c>
      <c r="I274" s="22"/>
      <c r="J274" s="22" t="str">
        <f t="array" ref="J274">iF('Ingest Template'!A274="Standard","Pristine Brand",INDEX(DropdownLists!$B$2:$B$246,MATCH('Ingest Template'!D274,DropdownLists!$C$2:$C$246,0)))</f>
        <v>#N/A</v>
      </c>
      <c r="K274" s="22" t="str">
        <f>iF('Ingest Template'!A274="Standard",'Ingest Template'!K274&amp;CHAR(10)&amp;'Ingest Template'!L274,"Competitive View")</f>
        <v>Competitive View</v>
      </c>
      <c r="L274" s="22" t="s">
        <v>95</v>
      </c>
      <c r="M274" s="45" t="str">
        <f>'Ingest Template'!B274</f>
        <v/>
      </c>
      <c r="N274" s="35"/>
      <c r="O274" s="35"/>
      <c r="P274" s="35"/>
      <c r="Q274" s="35"/>
      <c r="R274" s="35" t="str">
        <f>'Ingest Template'!D274</f>
        <v/>
      </c>
      <c r="S274" s="22" t="s">
        <v>101</v>
      </c>
      <c r="T274" s="35" t="str">
        <f>'Ingest Template'!V274</f>
        <v/>
      </c>
      <c r="U274" s="35" t="str">
        <f>'Ingest Template'!W274</f>
        <v/>
      </c>
      <c r="V274" s="35" t="str">
        <f>LOWER(SUBSTITUTE(SUBSTITUTE(SUBSTITUTE(SUBSTITUTE(SUBSTITUTE('Ingest Template'!X274,"https:",""),"www.",""),"/",""),"?hl=en",""),"instagram.com",""))</f>
        <v/>
      </c>
      <c r="W274" s="74" t="str">
        <f t="array" ref="W274">IF(
'Ingest Template'!Y274="",
SUBSTITUTE(
INDEX(DropdownLists!$F$2:$F$277,MATCH('Ingest Template'!D274,DropdownLists!$C$2:$C$277,0)),
CHAR(10),
"|"&amp;'Ingest Template'!C274&amp;CHAR(10)
)&amp;"|"&amp;'Ingest Template'!C274,
SUBSTITUTE(
INDEX(DropdownLists!$F$2:$F$277,MATCH('Ingest Template'!D274,DropdownLists!$C$2:$C$277,0)),
CHAR(10),
"|"&amp;'Ingest Template'!C274&amp;CHAR(10)
)&amp;"|"&amp;'Ingest Template'!C274&amp;CHAR(10)&amp;'Ingest Template'!Y274
)</f>
        <v>#N/A</v>
      </c>
      <c r="X274" s="74" t="str">
        <f>'Ingest Template'!Z274</f>
        <v/>
      </c>
      <c r="Y274" s="35" t="str">
        <f>SUBSTITUTE(SUBSTITUTE(SUBSTITUTE('Ingest Template'!AA274,"http:",""),"https:",""),"/","")</f>
        <v/>
      </c>
      <c r="Z274" s="35" t="str">
        <f t="array" ref="Z274">IF('Ingest Template'!A274="Standard",(IF(ISBLANK('Ingest Template'!AB274),"", 'Ingest Template'!AB274&amp;"|DAR")),(IF(ISBLANK('Ingest Template'!AB274),"", 'Ingest Template'!AB274&amp;"|TV Ops")))</f>
        <v/>
      </c>
      <c r="AA274" s="35"/>
      <c r="AB274" s="35" t="str">
        <f>'Ingest Template'!R274</f>
        <v/>
      </c>
      <c r="AC274" s="35" t="str">
        <f>'Ingest Template'!T274</f>
        <v/>
      </c>
      <c r="AD274" s="35" t="str">
        <f>'Ingest Template'!S274</f>
        <v/>
      </c>
      <c r="AE274" s="35" t="str">
        <f>'Ingest Template'!U274</f>
        <v/>
      </c>
      <c r="AF274" s="22"/>
      <c r="AG274" s="35" t="str">
        <f t="array" ref="AG274">IF('Ingest Template'!A274="Standard",(CONCATENATE(IF(ISBLANK('Ingest Template'!N274),"", 'Ingest Template'!N274&amp;"|DAR"),CHAR(10), IF(ISBLANK('Ingest Template'!O274),"", 'Ingest Template'!O274&amp;"|DAR"),CHAR(10), IF(ISBLANK('Ingest Template'!P274),"", 'Ingest Template'!P274&amp;"|DAR"))),(CONCATENATE(IF(ISBLANK('Ingest Template'!N274),"", 'Ingest Template'!N274&amp;"|TV Ops"),CHAR(10), IF(ISBLANK('Ingest Template'!O274),"", 'Ingest Template'!O274&amp;"|TV Ops"),CHAR(10), IF(ISBLANK('Ingest Template'!P274),"", 'Ingest Template'!P274&amp;"|TV Ops"))))</f>
        <v>
</v>
      </c>
      <c r="AH274" s="35"/>
      <c r="AI274" s="35"/>
      <c r="AJ274" s="117" t="str">
        <f>if('Ingest Template'!A274="Standard",(IF(OR('Ingest Template'!F274 = "Program Type - Special", 'Ingest Template'!F274 = "Program Type - Live Event"),'Ingest Template'!M274&amp; "|DAR|DAR|"&amp;TEXT('Ingest Template'!C274-3, "yyyy-mm-dd")&amp;"|"&amp;TEXT('Ingest Template'!C274+3, "yyyy-mm-dd"),'Ingest Template'!M274&amp; "|DAR|DAR|2021-01-01")),(IF(OR('Ingest Template'!F274 = "Program Type - Special", 'Ingest Template'!F274 = "Program Type - Live Event"),'Ingest Template'!M274&amp; "|Operations - Core Title|Operations - Core Title|"&amp;TEXT('Ingest Template'!C274-3, "yyyy-mm-dd")&amp;"|"&amp;TEXT('Ingest Template'!C274+3, "yyyy-mm-dd"),'Ingest Template'!M274&amp; "|Operations - Core Title|Operations - Core Title")))</f>
        <v>|Operations - Core Title|Operations - Core Title</v>
      </c>
      <c r="AK274" s="35"/>
      <c r="AL274" s="117" t="str">
        <f>if('Ingest Template'!A274="Standard",(IF(OR('Ingest Template'!F274 = "Program Type - Special", 'Ingest Template'!F274 = "Program Type - Live Event"),'Ingest Template'!Q274&amp;"|"&amp;TEXT('Ingest Template'!C274-3, "yyyy-mm-dd")&amp;"|"&amp;TEXT('Ingest Template'!C274+3, "yyyy-mm-dd"),'Ingest Template'!Q274&amp; "|2021-01-01")),(IF(OR('Ingest Template'!F274 = "Program Type - Special", 'Ingest Template'!F274 = "Program Type - Live Event"),'Ingest Template'!Q274&amp; "|"&amp;TEXT('Ingest Template'!C274-3, "yyyy-mm-dd")&amp;"|"&amp;TEXT('Ingest Template'!C274+3, "yyyy-mm-dd"),'Ingest Template'!Q274)))</f>
        <v/>
      </c>
      <c r="AM274" s="35" t="str">
        <f>'Ingest Template'!AC274</f>
        <v/>
      </c>
    </row>
    <row r="275">
      <c r="A275" s="15"/>
      <c r="B275" s="22" t="str">
        <f>'Ingest Template'!C275&amp;IF('Ingest Template'!A275 = "Standard", " - DAR","")</f>
        <v/>
      </c>
      <c r="C275" s="22" t="s">
        <v>83</v>
      </c>
      <c r="D275" s="22" t="str">
        <f t="array" ref="D275">CONCATENATE(INDEX(DropdownLists!$H$2:$H$11,MATCH(1,COUNTIF('Ingest Template'!E275,"*"&amp;DropdownLists!$I$2:$I$11&amp;"*"),0)),CHAR(10),'Ingest Template'!F275,CHAR(10),'Ingest Template'!G275,CHAR(10),VLOOKUP('Ingest Template'!D275,DropdownLists!C:D,2,FALSE))</f>
        <v>#N/A</v>
      </c>
      <c r="E275" s="22" t="str">
        <f>CONCATENATE('Ingest Template'!H275,CHAR(10),'Ingest Template'!I275,CHAR(10),'Ingest Template'!J275,CHAR(10))</f>
        <v>
</v>
      </c>
      <c r="F275" s="35" t="str">
        <f t="array" ref="F275">INDEX(DropdownLists!$O$2:$O$36,MATCH(1,COUNTIF(E275,"*"&amp;DropdownLists!$N$2:$N$36&amp;"*"),0))</f>
        <v/>
      </c>
      <c r="G275" s="35"/>
      <c r="H275" s="22" t="str">
        <f t="array" ref="H275">INDEX(DropdownLists!$E$2:$E$276,MATCH('Ingest Template'!D275,DropdownLists!$C$2:$C$276,0))</f>
        <v>#N/A</v>
      </c>
      <c r="I275" s="22"/>
      <c r="J275" s="22" t="str">
        <f t="array" ref="J275">iF('Ingest Template'!A275="Standard","Pristine Brand",INDEX(DropdownLists!$B$2:$B$246,MATCH('Ingest Template'!D275,DropdownLists!$C$2:$C$246,0)))</f>
        <v>#N/A</v>
      </c>
      <c r="K275" s="22" t="str">
        <f>iF('Ingest Template'!A275="Standard",'Ingest Template'!K275&amp;CHAR(10)&amp;'Ingest Template'!L275,"Competitive View")</f>
        <v>Competitive View</v>
      </c>
      <c r="L275" s="22" t="s">
        <v>95</v>
      </c>
      <c r="M275" s="45" t="str">
        <f>'Ingest Template'!B275</f>
        <v/>
      </c>
      <c r="N275" s="35"/>
      <c r="O275" s="35"/>
      <c r="P275" s="35"/>
      <c r="Q275" s="35"/>
      <c r="R275" s="35" t="str">
        <f>'Ingest Template'!D275</f>
        <v/>
      </c>
      <c r="S275" s="22" t="s">
        <v>101</v>
      </c>
      <c r="T275" s="35" t="str">
        <f>'Ingest Template'!V275</f>
        <v/>
      </c>
      <c r="U275" s="35" t="str">
        <f>'Ingest Template'!W275</f>
        <v/>
      </c>
      <c r="V275" s="35" t="str">
        <f>LOWER(SUBSTITUTE(SUBSTITUTE(SUBSTITUTE(SUBSTITUTE(SUBSTITUTE('Ingest Template'!X275,"https:",""),"www.",""),"/",""),"?hl=en",""),"instagram.com",""))</f>
        <v/>
      </c>
      <c r="W275" s="74" t="str">
        <f t="array" ref="W275">IF(
'Ingest Template'!Y275="",
SUBSTITUTE(
INDEX(DropdownLists!$F$2:$F$277,MATCH('Ingest Template'!D275,DropdownLists!$C$2:$C$277,0)),
CHAR(10),
"|"&amp;'Ingest Template'!C275&amp;CHAR(10)
)&amp;"|"&amp;'Ingest Template'!C275,
SUBSTITUTE(
INDEX(DropdownLists!$F$2:$F$277,MATCH('Ingest Template'!D275,DropdownLists!$C$2:$C$277,0)),
CHAR(10),
"|"&amp;'Ingest Template'!C275&amp;CHAR(10)
)&amp;"|"&amp;'Ingest Template'!C275&amp;CHAR(10)&amp;'Ingest Template'!Y275
)</f>
        <v>#N/A</v>
      </c>
      <c r="X275" s="74" t="str">
        <f>'Ingest Template'!Z275</f>
        <v/>
      </c>
      <c r="Y275" s="35" t="str">
        <f>SUBSTITUTE(SUBSTITUTE(SUBSTITUTE('Ingest Template'!AA275,"http:",""),"https:",""),"/","")</f>
        <v/>
      </c>
      <c r="Z275" s="35" t="str">
        <f t="array" ref="Z275">IF('Ingest Template'!A275="Standard",(IF(ISBLANK('Ingest Template'!AB275),"", 'Ingest Template'!AB275&amp;"|DAR")),(IF(ISBLANK('Ingest Template'!AB275),"", 'Ingest Template'!AB275&amp;"|TV Ops")))</f>
        <v/>
      </c>
      <c r="AA275" s="35"/>
      <c r="AB275" s="35" t="str">
        <f>'Ingest Template'!R275</f>
        <v/>
      </c>
      <c r="AC275" s="35" t="str">
        <f>'Ingest Template'!T275</f>
        <v/>
      </c>
      <c r="AD275" s="35" t="str">
        <f>'Ingest Template'!S275</f>
        <v/>
      </c>
      <c r="AE275" s="35" t="str">
        <f>'Ingest Template'!U275</f>
        <v/>
      </c>
      <c r="AF275" s="22"/>
      <c r="AG275" s="35" t="str">
        <f t="array" ref="AG275">IF('Ingest Template'!A275="Standard",(CONCATENATE(IF(ISBLANK('Ingest Template'!N275),"", 'Ingest Template'!N275&amp;"|DAR"),CHAR(10), IF(ISBLANK('Ingest Template'!O275),"", 'Ingest Template'!O275&amp;"|DAR"),CHAR(10), IF(ISBLANK('Ingest Template'!P275),"", 'Ingest Template'!P275&amp;"|DAR"))),(CONCATENATE(IF(ISBLANK('Ingest Template'!N275),"", 'Ingest Template'!N275&amp;"|TV Ops"),CHAR(10), IF(ISBLANK('Ingest Template'!O275),"", 'Ingest Template'!O275&amp;"|TV Ops"),CHAR(10), IF(ISBLANK('Ingest Template'!P275),"", 'Ingest Template'!P275&amp;"|TV Ops"))))</f>
        <v>
</v>
      </c>
      <c r="AH275" s="35"/>
      <c r="AI275" s="35"/>
      <c r="AJ275" s="117" t="str">
        <f>if('Ingest Template'!A275="Standard",(IF(OR('Ingest Template'!F275 = "Program Type - Special", 'Ingest Template'!F275 = "Program Type - Live Event"),'Ingest Template'!M275&amp; "|DAR|DAR|"&amp;TEXT('Ingest Template'!C275-3, "yyyy-mm-dd")&amp;"|"&amp;TEXT('Ingest Template'!C275+3, "yyyy-mm-dd"),'Ingest Template'!M275&amp; "|DAR|DAR|2021-01-01")),(IF(OR('Ingest Template'!F275 = "Program Type - Special", 'Ingest Template'!F275 = "Program Type - Live Event"),'Ingest Template'!M275&amp; "|Operations - Core Title|Operations - Core Title|"&amp;TEXT('Ingest Template'!C275-3, "yyyy-mm-dd")&amp;"|"&amp;TEXT('Ingest Template'!C275+3, "yyyy-mm-dd"),'Ingest Template'!M275&amp; "|Operations - Core Title|Operations - Core Title")))</f>
        <v>|Operations - Core Title|Operations - Core Title</v>
      </c>
      <c r="AK275" s="35"/>
      <c r="AL275" s="117" t="str">
        <f>if('Ingest Template'!A275="Standard",(IF(OR('Ingest Template'!F275 = "Program Type - Special", 'Ingest Template'!F275 = "Program Type - Live Event"),'Ingest Template'!Q275&amp;"|"&amp;TEXT('Ingest Template'!C275-3, "yyyy-mm-dd")&amp;"|"&amp;TEXT('Ingest Template'!C275+3, "yyyy-mm-dd"),'Ingest Template'!Q275&amp; "|2021-01-01")),(IF(OR('Ingest Template'!F275 = "Program Type - Special", 'Ingest Template'!F275 = "Program Type - Live Event"),'Ingest Template'!Q275&amp; "|"&amp;TEXT('Ingest Template'!C275-3, "yyyy-mm-dd")&amp;"|"&amp;TEXT('Ingest Template'!C275+3, "yyyy-mm-dd"),'Ingest Template'!Q275)))</f>
        <v/>
      </c>
      <c r="AM275" s="35" t="str">
        <f>'Ingest Template'!AC275</f>
        <v/>
      </c>
    </row>
    <row r="276">
      <c r="A276" s="15"/>
      <c r="B276" s="22" t="str">
        <f>'Ingest Template'!C276&amp;IF('Ingest Template'!A276 = "Standard", " - DAR","")</f>
        <v/>
      </c>
      <c r="C276" s="22" t="s">
        <v>83</v>
      </c>
      <c r="D276" s="22" t="str">
        <f t="array" ref="D276">CONCATENATE(INDEX(DropdownLists!$H$2:$H$11,MATCH(1,COUNTIF('Ingest Template'!E276,"*"&amp;DropdownLists!$I$2:$I$11&amp;"*"),0)),CHAR(10),'Ingest Template'!F276,CHAR(10),'Ingest Template'!G276,CHAR(10),VLOOKUP('Ingest Template'!D276,DropdownLists!C:D,2,FALSE))</f>
        <v>#N/A</v>
      </c>
      <c r="E276" s="22" t="str">
        <f>CONCATENATE('Ingest Template'!H276,CHAR(10),'Ingest Template'!I276,CHAR(10),'Ingest Template'!J276,CHAR(10))</f>
        <v>
</v>
      </c>
      <c r="F276" s="35" t="str">
        <f t="array" ref="F276">INDEX(DropdownLists!$O$2:$O$36,MATCH(1,COUNTIF(E276,"*"&amp;DropdownLists!$N$2:$N$36&amp;"*"),0))</f>
        <v/>
      </c>
      <c r="G276" s="35"/>
      <c r="H276" s="22" t="str">
        <f t="array" ref="H276">INDEX(DropdownLists!$E$2:$E$276,MATCH('Ingest Template'!D276,DropdownLists!$C$2:$C$276,0))</f>
        <v>#N/A</v>
      </c>
      <c r="I276" s="22"/>
      <c r="J276" s="22" t="str">
        <f t="array" ref="J276">iF('Ingest Template'!A276="Standard","Pristine Brand",INDEX(DropdownLists!$B$2:$B$246,MATCH('Ingest Template'!D276,DropdownLists!$C$2:$C$246,0)))</f>
        <v>#N/A</v>
      </c>
      <c r="K276" s="22" t="str">
        <f>iF('Ingest Template'!A276="Standard",'Ingest Template'!K276&amp;CHAR(10)&amp;'Ingest Template'!L276,"Competitive View")</f>
        <v>Competitive View</v>
      </c>
      <c r="L276" s="22" t="s">
        <v>95</v>
      </c>
      <c r="M276" s="45" t="str">
        <f>'Ingest Template'!B276</f>
        <v/>
      </c>
      <c r="N276" s="35"/>
      <c r="O276" s="35"/>
      <c r="P276" s="35"/>
      <c r="Q276" s="35"/>
      <c r="R276" s="35" t="str">
        <f>'Ingest Template'!D276</f>
        <v/>
      </c>
      <c r="S276" s="22" t="s">
        <v>101</v>
      </c>
      <c r="T276" s="35" t="str">
        <f>'Ingest Template'!V276</f>
        <v/>
      </c>
      <c r="U276" s="35" t="str">
        <f>'Ingest Template'!W276</f>
        <v/>
      </c>
      <c r="V276" s="35" t="str">
        <f>LOWER(SUBSTITUTE(SUBSTITUTE(SUBSTITUTE(SUBSTITUTE(SUBSTITUTE('Ingest Template'!X276,"https:",""),"www.",""),"/",""),"?hl=en",""),"instagram.com",""))</f>
        <v/>
      </c>
      <c r="W276" s="74" t="str">
        <f t="array" ref="W276">IF(
'Ingest Template'!Y276="",
SUBSTITUTE(
INDEX(DropdownLists!$F$2:$F$277,MATCH('Ingest Template'!D276,DropdownLists!$C$2:$C$277,0)),
CHAR(10),
"|"&amp;'Ingest Template'!C276&amp;CHAR(10)
)&amp;"|"&amp;'Ingest Template'!C276,
SUBSTITUTE(
INDEX(DropdownLists!$F$2:$F$277,MATCH('Ingest Template'!D276,DropdownLists!$C$2:$C$277,0)),
CHAR(10),
"|"&amp;'Ingest Template'!C276&amp;CHAR(10)
)&amp;"|"&amp;'Ingest Template'!C276&amp;CHAR(10)&amp;'Ingest Template'!Y276
)</f>
        <v>#N/A</v>
      </c>
      <c r="X276" s="74" t="str">
        <f>'Ingest Template'!Z276</f>
        <v/>
      </c>
      <c r="Y276" s="35" t="str">
        <f>SUBSTITUTE(SUBSTITUTE(SUBSTITUTE('Ingest Template'!AA276,"http:",""),"https:",""),"/","")</f>
        <v/>
      </c>
      <c r="Z276" s="35" t="str">
        <f t="array" ref="Z276">IF('Ingest Template'!A276="Standard",(IF(ISBLANK('Ingest Template'!AB276),"", 'Ingest Template'!AB276&amp;"|DAR")),(IF(ISBLANK('Ingest Template'!AB276),"", 'Ingest Template'!AB276&amp;"|TV Ops")))</f>
        <v/>
      </c>
      <c r="AA276" s="35"/>
      <c r="AB276" s="35" t="str">
        <f>'Ingest Template'!R276</f>
        <v/>
      </c>
      <c r="AC276" s="35" t="str">
        <f>'Ingest Template'!T276</f>
        <v/>
      </c>
      <c r="AD276" s="35" t="str">
        <f>'Ingest Template'!S276</f>
        <v/>
      </c>
      <c r="AE276" s="35" t="str">
        <f>'Ingest Template'!U276</f>
        <v/>
      </c>
      <c r="AF276" s="22"/>
      <c r="AG276" s="35" t="str">
        <f t="array" ref="AG276">IF('Ingest Template'!A276="Standard",(CONCATENATE(IF(ISBLANK('Ingest Template'!N276),"", 'Ingest Template'!N276&amp;"|DAR"),CHAR(10), IF(ISBLANK('Ingest Template'!O276),"", 'Ingest Template'!O276&amp;"|DAR"),CHAR(10), IF(ISBLANK('Ingest Template'!P276),"", 'Ingest Template'!P276&amp;"|DAR"))),(CONCATENATE(IF(ISBLANK('Ingest Template'!N276),"", 'Ingest Template'!N276&amp;"|TV Ops"),CHAR(10), IF(ISBLANK('Ingest Template'!O276),"", 'Ingest Template'!O276&amp;"|TV Ops"),CHAR(10), IF(ISBLANK('Ingest Template'!P276),"", 'Ingest Template'!P276&amp;"|TV Ops"))))</f>
        <v>
</v>
      </c>
      <c r="AH276" s="35"/>
      <c r="AI276" s="35"/>
      <c r="AJ276" s="117" t="str">
        <f>if('Ingest Template'!A276="Standard",(IF(OR('Ingest Template'!F276 = "Program Type - Special", 'Ingest Template'!F276 = "Program Type - Live Event"),'Ingest Template'!M276&amp; "|DAR|DAR|"&amp;TEXT('Ingest Template'!C276-3, "yyyy-mm-dd")&amp;"|"&amp;TEXT('Ingest Template'!C276+3, "yyyy-mm-dd"),'Ingest Template'!M276&amp; "|DAR|DAR|2021-01-01")),(IF(OR('Ingest Template'!F276 = "Program Type - Special", 'Ingest Template'!F276 = "Program Type - Live Event"),'Ingest Template'!M276&amp; "|Operations - Core Title|Operations - Core Title|"&amp;TEXT('Ingest Template'!C276-3, "yyyy-mm-dd")&amp;"|"&amp;TEXT('Ingest Template'!C276+3, "yyyy-mm-dd"),'Ingest Template'!M276&amp; "|Operations - Core Title|Operations - Core Title")))</f>
        <v>|Operations - Core Title|Operations - Core Title</v>
      </c>
      <c r="AK276" s="35"/>
      <c r="AL276" s="117" t="str">
        <f>if('Ingest Template'!A276="Standard",(IF(OR('Ingest Template'!F276 = "Program Type - Special", 'Ingest Template'!F276 = "Program Type - Live Event"),'Ingest Template'!Q276&amp;"|"&amp;TEXT('Ingest Template'!C276-3, "yyyy-mm-dd")&amp;"|"&amp;TEXT('Ingest Template'!C276+3, "yyyy-mm-dd"),'Ingest Template'!Q276&amp; "|2021-01-01")),(IF(OR('Ingest Template'!F276 = "Program Type - Special", 'Ingest Template'!F276 = "Program Type - Live Event"),'Ingest Template'!Q276&amp; "|"&amp;TEXT('Ingest Template'!C276-3, "yyyy-mm-dd")&amp;"|"&amp;TEXT('Ingest Template'!C276+3, "yyyy-mm-dd"),'Ingest Template'!Q276)))</f>
        <v/>
      </c>
      <c r="AM276" s="35" t="str">
        <f>'Ingest Template'!AC276</f>
        <v/>
      </c>
    </row>
    <row r="277">
      <c r="A277" s="15"/>
      <c r="B277" s="22" t="str">
        <f>'Ingest Template'!C277&amp;IF('Ingest Template'!A277 = "Standard", " - DAR","")</f>
        <v/>
      </c>
      <c r="C277" s="22" t="s">
        <v>83</v>
      </c>
      <c r="D277" s="22" t="str">
        <f t="array" ref="D277">CONCATENATE(INDEX(DropdownLists!$H$2:$H$11,MATCH(1,COUNTIF('Ingest Template'!E277,"*"&amp;DropdownLists!$I$2:$I$11&amp;"*"),0)),CHAR(10),'Ingest Template'!F277,CHAR(10),'Ingest Template'!G277,CHAR(10),VLOOKUP('Ingest Template'!D277,DropdownLists!C:D,2,FALSE))</f>
        <v>#N/A</v>
      </c>
      <c r="E277" s="22" t="str">
        <f>CONCATENATE('Ingest Template'!H277,CHAR(10),'Ingest Template'!I277,CHAR(10),'Ingest Template'!J277,CHAR(10))</f>
        <v>
</v>
      </c>
      <c r="F277" s="35" t="str">
        <f t="array" ref="F277">INDEX(DropdownLists!$O$2:$O$36,MATCH(1,COUNTIF(E277,"*"&amp;DropdownLists!$N$2:$N$36&amp;"*"),0))</f>
        <v/>
      </c>
      <c r="G277" s="35"/>
      <c r="H277" s="22" t="str">
        <f t="array" ref="H277">INDEX(DropdownLists!$E$2:$E$276,MATCH('Ingest Template'!D277,DropdownLists!$C$2:$C$276,0))</f>
        <v>#N/A</v>
      </c>
      <c r="I277" s="22"/>
      <c r="J277" s="22" t="str">
        <f t="array" ref="J277">iF('Ingest Template'!A277="Standard","Pristine Brand",INDEX(DropdownLists!$B$2:$B$246,MATCH('Ingest Template'!D277,DropdownLists!$C$2:$C$246,0)))</f>
        <v>#N/A</v>
      </c>
      <c r="K277" s="22" t="str">
        <f>iF('Ingest Template'!A277="Standard",'Ingest Template'!K277&amp;CHAR(10)&amp;'Ingest Template'!L277,"Competitive View")</f>
        <v>Competitive View</v>
      </c>
      <c r="L277" s="22" t="s">
        <v>95</v>
      </c>
      <c r="M277" s="45" t="str">
        <f>'Ingest Template'!B277</f>
        <v/>
      </c>
      <c r="N277" s="35"/>
      <c r="O277" s="35"/>
      <c r="P277" s="35"/>
      <c r="Q277" s="35"/>
      <c r="R277" s="35" t="str">
        <f>'Ingest Template'!D277</f>
        <v/>
      </c>
      <c r="S277" s="22" t="s">
        <v>101</v>
      </c>
      <c r="T277" s="35" t="str">
        <f>'Ingest Template'!V277</f>
        <v/>
      </c>
      <c r="U277" s="35" t="str">
        <f>'Ingest Template'!W277</f>
        <v/>
      </c>
      <c r="V277" s="35" t="str">
        <f>LOWER(SUBSTITUTE(SUBSTITUTE(SUBSTITUTE(SUBSTITUTE(SUBSTITUTE('Ingest Template'!X277,"https:",""),"www.",""),"/",""),"?hl=en",""),"instagram.com",""))</f>
        <v/>
      </c>
      <c r="W277" s="74" t="str">
        <f t="array" ref="W277">IF(
'Ingest Template'!Y277="",
SUBSTITUTE(
INDEX(DropdownLists!$F$2:$F$277,MATCH('Ingest Template'!D277,DropdownLists!$C$2:$C$277,0)),
CHAR(10),
"|"&amp;'Ingest Template'!C277&amp;CHAR(10)
)&amp;"|"&amp;'Ingest Template'!C277,
SUBSTITUTE(
INDEX(DropdownLists!$F$2:$F$277,MATCH('Ingest Template'!D277,DropdownLists!$C$2:$C$277,0)),
CHAR(10),
"|"&amp;'Ingest Template'!C277&amp;CHAR(10)
)&amp;"|"&amp;'Ingest Template'!C277&amp;CHAR(10)&amp;'Ingest Template'!Y277
)</f>
        <v>#N/A</v>
      </c>
      <c r="X277" s="74" t="str">
        <f>'Ingest Template'!Z277</f>
        <v/>
      </c>
      <c r="Y277" s="35" t="str">
        <f>SUBSTITUTE(SUBSTITUTE(SUBSTITUTE('Ingest Template'!AA277,"http:",""),"https:",""),"/","")</f>
        <v/>
      </c>
      <c r="Z277" s="35" t="str">
        <f t="array" ref="Z277">IF('Ingest Template'!A277="Standard",(IF(ISBLANK('Ingest Template'!AB277),"", 'Ingest Template'!AB277&amp;"|DAR")),(IF(ISBLANK('Ingest Template'!AB277),"", 'Ingest Template'!AB277&amp;"|TV Ops")))</f>
        <v/>
      </c>
      <c r="AA277" s="35"/>
      <c r="AB277" s="35" t="str">
        <f>'Ingest Template'!R277</f>
        <v/>
      </c>
      <c r="AC277" s="35" t="str">
        <f>'Ingest Template'!T277</f>
        <v/>
      </c>
      <c r="AD277" s="35" t="str">
        <f>'Ingest Template'!S277</f>
        <v/>
      </c>
      <c r="AE277" s="35" t="str">
        <f>'Ingest Template'!U277</f>
        <v/>
      </c>
      <c r="AF277" s="22"/>
      <c r="AG277" s="35" t="str">
        <f t="array" ref="AG277">IF('Ingest Template'!A277="Standard",(CONCATENATE(IF(ISBLANK('Ingest Template'!N277),"", 'Ingest Template'!N277&amp;"|DAR"),CHAR(10), IF(ISBLANK('Ingest Template'!O277),"", 'Ingest Template'!O277&amp;"|DAR"),CHAR(10), IF(ISBLANK('Ingest Template'!P277),"", 'Ingest Template'!P277&amp;"|DAR"))),(CONCATENATE(IF(ISBLANK('Ingest Template'!N277),"", 'Ingest Template'!N277&amp;"|TV Ops"),CHAR(10), IF(ISBLANK('Ingest Template'!O277),"", 'Ingest Template'!O277&amp;"|TV Ops"),CHAR(10), IF(ISBLANK('Ingest Template'!P277),"", 'Ingest Template'!P277&amp;"|TV Ops"))))</f>
        <v>
</v>
      </c>
      <c r="AH277" s="35"/>
      <c r="AI277" s="35"/>
      <c r="AJ277" s="117" t="str">
        <f>if('Ingest Template'!A277="Standard",(IF(OR('Ingest Template'!F277 = "Program Type - Special", 'Ingest Template'!F277 = "Program Type - Live Event"),'Ingest Template'!M277&amp; "|DAR|DAR|"&amp;TEXT('Ingest Template'!C277-3, "yyyy-mm-dd")&amp;"|"&amp;TEXT('Ingest Template'!C277+3, "yyyy-mm-dd"),'Ingest Template'!M277&amp; "|DAR|DAR|2021-01-01")),(IF(OR('Ingest Template'!F277 = "Program Type - Special", 'Ingest Template'!F277 = "Program Type - Live Event"),'Ingest Template'!M277&amp; "|Operations - Core Title|Operations - Core Title|"&amp;TEXT('Ingest Template'!C277-3, "yyyy-mm-dd")&amp;"|"&amp;TEXT('Ingest Template'!C277+3, "yyyy-mm-dd"),'Ingest Template'!M277&amp; "|Operations - Core Title|Operations - Core Title")))</f>
        <v>|Operations - Core Title|Operations - Core Title</v>
      </c>
      <c r="AK277" s="35"/>
      <c r="AL277" s="117" t="str">
        <f>if('Ingest Template'!A277="Standard",(IF(OR('Ingest Template'!F277 = "Program Type - Special", 'Ingest Template'!F277 = "Program Type - Live Event"),'Ingest Template'!Q277&amp;"|"&amp;TEXT('Ingest Template'!C277-3, "yyyy-mm-dd")&amp;"|"&amp;TEXT('Ingest Template'!C277+3, "yyyy-mm-dd"),'Ingest Template'!Q277&amp; "|2021-01-01")),(IF(OR('Ingest Template'!F277 = "Program Type - Special", 'Ingest Template'!F277 = "Program Type - Live Event"),'Ingest Template'!Q277&amp; "|"&amp;TEXT('Ingest Template'!C277-3, "yyyy-mm-dd")&amp;"|"&amp;TEXT('Ingest Template'!C277+3, "yyyy-mm-dd"),'Ingest Template'!Q277)))</f>
        <v/>
      </c>
      <c r="AM277" s="35" t="str">
        <f>'Ingest Template'!AC277</f>
        <v/>
      </c>
    </row>
    <row r="278">
      <c r="A278" s="15"/>
      <c r="B278" s="22" t="str">
        <f>'Ingest Template'!C278&amp;IF('Ingest Template'!A278 = "Standard", " - DAR","")</f>
        <v/>
      </c>
      <c r="C278" s="22" t="s">
        <v>83</v>
      </c>
      <c r="D278" s="22" t="str">
        <f t="array" ref="D278">CONCATENATE(INDEX(DropdownLists!$H$2:$H$11,MATCH(1,COUNTIF('Ingest Template'!E278,"*"&amp;DropdownLists!$I$2:$I$11&amp;"*"),0)),CHAR(10),'Ingest Template'!F278,CHAR(10),'Ingest Template'!G278,CHAR(10),VLOOKUP('Ingest Template'!D278,DropdownLists!C:D,2,FALSE))</f>
        <v>#N/A</v>
      </c>
      <c r="E278" s="22" t="str">
        <f>CONCATENATE('Ingest Template'!H278,CHAR(10),'Ingest Template'!I278,CHAR(10),'Ingest Template'!J278,CHAR(10))</f>
        <v>
</v>
      </c>
      <c r="F278" s="35" t="str">
        <f t="array" ref="F278">INDEX(DropdownLists!$O$2:$O$36,MATCH(1,COUNTIF(E278,"*"&amp;DropdownLists!$N$2:$N$36&amp;"*"),0))</f>
        <v/>
      </c>
      <c r="G278" s="35"/>
      <c r="H278" s="22" t="str">
        <f t="array" ref="H278">INDEX(DropdownLists!$E$2:$E$276,MATCH('Ingest Template'!D278,DropdownLists!$C$2:$C$276,0))</f>
        <v>#N/A</v>
      </c>
      <c r="I278" s="22"/>
      <c r="J278" s="22" t="str">
        <f t="array" ref="J278">iF('Ingest Template'!A278="Standard","Pristine Brand",INDEX(DropdownLists!$B$2:$B$246,MATCH('Ingest Template'!D278,DropdownLists!$C$2:$C$246,0)))</f>
        <v>#N/A</v>
      </c>
      <c r="K278" s="22" t="str">
        <f>iF('Ingest Template'!A278="Standard",'Ingest Template'!K278&amp;CHAR(10)&amp;'Ingest Template'!L278,"Competitive View")</f>
        <v>Competitive View</v>
      </c>
      <c r="L278" s="22" t="s">
        <v>95</v>
      </c>
      <c r="M278" s="45" t="str">
        <f>'Ingest Template'!B278</f>
        <v/>
      </c>
      <c r="N278" s="35"/>
      <c r="O278" s="35"/>
      <c r="P278" s="35"/>
      <c r="Q278" s="35"/>
      <c r="R278" s="35" t="str">
        <f>'Ingest Template'!D278</f>
        <v/>
      </c>
      <c r="S278" s="22" t="s">
        <v>101</v>
      </c>
      <c r="T278" s="35" t="str">
        <f>'Ingest Template'!V278</f>
        <v/>
      </c>
      <c r="U278" s="35" t="str">
        <f>'Ingest Template'!W278</f>
        <v/>
      </c>
      <c r="V278" s="35" t="str">
        <f>LOWER(SUBSTITUTE(SUBSTITUTE(SUBSTITUTE(SUBSTITUTE(SUBSTITUTE('Ingest Template'!X278,"https:",""),"www.",""),"/",""),"?hl=en",""),"instagram.com",""))</f>
        <v/>
      </c>
      <c r="W278" s="74" t="str">
        <f t="array" ref="W278">IF(
'Ingest Template'!Y278="",
SUBSTITUTE(
INDEX(DropdownLists!$F$2:$F$277,MATCH('Ingest Template'!D278,DropdownLists!$C$2:$C$277,0)),
CHAR(10),
"|"&amp;'Ingest Template'!C278&amp;CHAR(10)
)&amp;"|"&amp;'Ingest Template'!C278,
SUBSTITUTE(
INDEX(DropdownLists!$F$2:$F$277,MATCH('Ingest Template'!D278,DropdownLists!$C$2:$C$277,0)),
CHAR(10),
"|"&amp;'Ingest Template'!C278&amp;CHAR(10)
)&amp;"|"&amp;'Ingest Template'!C278&amp;CHAR(10)&amp;'Ingest Template'!Y278
)</f>
        <v>#N/A</v>
      </c>
      <c r="X278" s="74" t="str">
        <f>'Ingest Template'!Z278</f>
        <v/>
      </c>
      <c r="Y278" s="35" t="str">
        <f>SUBSTITUTE(SUBSTITUTE(SUBSTITUTE('Ingest Template'!AA278,"http:",""),"https:",""),"/","")</f>
        <v/>
      </c>
      <c r="Z278" s="35" t="str">
        <f t="array" ref="Z278">IF('Ingest Template'!A278="Standard",(IF(ISBLANK('Ingest Template'!AB278),"", 'Ingest Template'!AB278&amp;"|DAR")),(IF(ISBLANK('Ingest Template'!AB278),"", 'Ingest Template'!AB278&amp;"|TV Ops")))</f>
        <v/>
      </c>
      <c r="AA278" s="35"/>
      <c r="AB278" s="35" t="str">
        <f>'Ingest Template'!R278</f>
        <v/>
      </c>
      <c r="AC278" s="35" t="str">
        <f>'Ingest Template'!T278</f>
        <v/>
      </c>
      <c r="AD278" s="35" t="str">
        <f>'Ingest Template'!S278</f>
        <v/>
      </c>
      <c r="AE278" s="35" t="str">
        <f>'Ingest Template'!U278</f>
        <v/>
      </c>
      <c r="AF278" s="22"/>
      <c r="AG278" s="35" t="str">
        <f t="array" ref="AG278">IF('Ingest Template'!A278="Standard",(CONCATENATE(IF(ISBLANK('Ingest Template'!N278),"", 'Ingest Template'!N278&amp;"|DAR"),CHAR(10), IF(ISBLANK('Ingest Template'!O278),"", 'Ingest Template'!O278&amp;"|DAR"),CHAR(10), IF(ISBLANK('Ingest Template'!P278),"", 'Ingest Template'!P278&amp;"|DAR"))),(CONCATENATE(IF(ISBLANK('Ingest Template'!N278),"", 'Ingest Template'!N278&amp;"|TV Ops"),CHAR(10), IF(ISBLANK('Ingest Template'!O278),"", 'Ingest Template'!O278&amp;"|TV Ops"),CHAR(10), IF(ISBLANK('Ingest Template'!P278),"", 'Ingest Template'!P278&amp;"|TV Ops"))))</f>
        <v>
</v>
      </c>
      <c r="AH278" s="35"/>
      <c r="AI278" s="35"/>
      <c r="AJ278" s="117" t="str">
        <f>if('Ingest Template'!A278="Standard",(IF(OR('Ingest Template'!F278 = "Program Type - Special", 'Ingest Template'!F278 = "Program Type - Live Event"),'Ingest Template'!M278&amp; "|DAR|DAR|"&amp;TEXT('Ingest Template'!C278-3, "yyyy-mm-dd")&amp;"|"&amp;TEXT('Ingest Template'!C278+3, "yyyy-mm-dd"),'Ingest Template'!M278&amp; "|DAR|DAR|2021-01-01")),(IF(OR('Ingest Template'!F278 = "Program Type - Special", 'Ingest Template'!F278 = "Program Type - Live Event"),'Ingest Template'!M278&amp; "|Operations - Core Title|Operations - Core Title|"&amp;TEXT('Ingest Template'!C278-3, "yyyy-mm-dd")&amp;"|"&amp;TEXT('Ingest Template'!C278+3, "yyyy-mm-dd"),'Ingest Template'!M278&amp; "|Operations - Core Title|Operations - Core Title")))</f>
        <v>|Operations - Core Title|Operations - Core Title</v>
      </c>
      <c r="AK278" s="35"/>
      <c r="AL278" s="117" t="str">
        <f>if('Ingest Template'!A278="Standard",(IF(OR('Ingest Template'!F278 = "Program Type - Special", 'Ingest Template'!F278 = "Program Type - Live Event"),'Ingest Template'!Q278&amp;"|"&amp;TEXT('Ingest Template'!C278-3, "yyyy-mm-dd")&amp;"|"&amp;TEXT('Ingest Template'!C278+3, "yyyy-mm-dd"),'Ingest Template'!Q278&amp; "|2021-01-01")),(IF(OR('Ingest Template'!F278 = "Program Type - Special", 'Ingest Template'!F278 = "Program Type - Live Event"),'Ingest Template'!Q278&amp; "|"&amp;TEXT('Ingest Template'!C278-3, "yyyy-mm-dd")&amp;"|"&amp;TEXT('Ingest Template'!C278+3, "yyyy-mm-dd"),'Ingest Template'!Q278)))</f>
        <v/>
      </c>
      <c r="AM278" s="35" t="str">
        <f>'Ingest Template'!AC278</f>
        <v/>
      </c>
    </row>
    <row r="279">
      <c r="A279" s="15"/>
      <c r="B279" s="22" t="str">
        <f>'Ingest Template'!C279&amp;IF('Ingest Template'!A279 = "Standard", " - DAR","")</f>
        <v/>
      </c>
      <c r="C279" s="22" t="s">
        <v>83</v>
      </c>
      <c r="D279" s="22" t="str">
        <f t="array" ref="D279">CONCATENATE(INDEX(DropdownLists!$H$2:$H$11,MATCH(1,COUNTIF('Ingest Template'!E279,"*"&amp;DropdownLists!$I$2:$I$11&amp;"*"),0)),CHAR(10),'Ingest Template'!F279,CHAR(10),'Ingest Template'!G279,CHAR(10),VLOOKUP('Ingest Template'!D279,DropdownLists!C:D,2,FALSE))</f>
        <v>#N/A</v>
      </c>
      <c r="E279" s="22" t="str">
        <f>CONCATENATE('Ingest Template'!H279,CHAR(10),'Ingest Template'!I279,CHAR(10),'Ingest Template'!J279,CHAR(10))</f>
        <v>
</v>
      </c>
      <c r="F279" s="35" t="str">
        <f t="array" ref="F279">INDEX(DropdownLists!$O$2:$O$36,MATCH(1,COUNTIF(E279,"*"&amp;DropdownLists!$N$2:$N$36&amp;"*"),0))</f>
        <v/>
      </c>
      <c r="G279" s="35"/>
      <c r="H279" s="22" t="str">
        <f t="array" ref="H279">INDEX(DropdownLists!$E$2:$E$276,MATCH('Ingest Template'!D279,DropdownLists!$C$2:$C$276,0))</f>
        <v>#N/A</v>
      </c>
      <c r="I279" s="22"/>
      <c r="J279" s="22" t="str">
        <f t="array" ref="J279">iF('Ingest Template'!A279="Standard","Pristine Brand",INDEX(DropdownLists!$B$2:$B$246,MATCH('Ingest Template'!D279,DropdownLists!$C$2:$C$246,0)))</f>
        <v>#N/A</v>
      </c>
      <c r="K279" s="22" t="str">
        <f>iF('Ingest Template'!A279="Standard",'Ingest Template'!K279&amp;CHAR(10)&amp;'Ingest Template'!L279,"Competitive View")</f>
        <v>Competitive View</v>
      </c>
      <c r="L279" s="22" t="s">
        <v>95</v>
      </c>
      <c r="M279" s="45" t="str">
        <f>'Ingest Template'!B279</f>
        <v/>
      </c>
      <c r="N279" s="35"/>
      <c r="O279" s="35"/>
      <c r="P279" s="35"/>
      <c r="Q279" s="35"/>
      <c r="R279" s="35" t="str">
        <f>'Ingest Template'!D279</f>
        <v/>
      </c>
      <c r="S279" s="22" t="s">
        <v>101</v>
      </c>
      <c r="T279" s="35" t="str">
        <f>'Ingest Template'!V279</f>
        <v/>
      </c>
      <c r="U279" s="35" t="str">
        <f>'Ingest Template'!W279</f>
        <v/>
      </c>
      <c r="V279" s="35" t="str">
        <f>LOWER(SUBSTITUTE(SUBSTITUTE(SUBSTITUTE(SUBSTITUTE(SUBSTITUTE('Ingest Template'!X279,"https:",""),"www.",""),"/",""),"?hl=en",""),"instagram.com",""))</f>
        <v/>
      </c>
      <c r="W279" s="74" t="str">
        <f t="array" ref="W279">IF(
'Ingest Template'!Y279="",
SUBSTITUTE(
INDEX(DropdownLists!$F$2:$F$277,MATCH('Ingest Template'!D279,DropdownLists!$C$2:$C$277,0)),
CHAR(10),
"|"&amp;'Ingest Template'!C279&amp;CHAR(10)
)&amp;"|"&amp;'Ingest Template'!C279,
SUBSTITUTE(
INDEX(DropdownLists!$F$2:$F$277,MATCH('Ingest Template'!D279,DropdownLists!$C$2:$C$277,0)),
CHAR(10),
"|"&amp;'Ingest Template'!C279&amp;CHAR(10)
)&amp;"|"&amp;'Ingest Template'!C279&amp;CHAR(10)&amp;'Ingest Template'!Y279
)</f>
        <v>#N/A</v>
      </c>
      <c r="X279" s="74" t="str">
        <f>'Ingest Template'!Z279</f>
        <v/>
      </c>
      <c r="Y279" s="35" t="str">
        <f>SUBSTITUTE(SUBSTITUTE(SUBSTITUTE('Ingest Template'!AA279,"http:",""),"https:",""),"/","")</f>
        <v/>
      </c>
      <c r="Z279" s="35" t="str">
        <f t="array" ref="Z279">IF('Ingest Template'!A279="Standard",(IF(ISBLANK('Ingest Template'!AB279),"", 'Ingest Template'!AB279&amp;"|DAR")),(IF(ISBLANK('Ingest Template'!AB279),"", 'Ingest Template'!AB279&amp;"|TV Ops")))</f>
        <v/>
      </c>
      <c r="AA279" s="35"/>
      <c r="AB279" s="35" t="str">
        <f>'Ingest Template'!R279</f>
        <v/>
      </c>
      <c r="AC279" s="35" t="str">
        <f>'Ingest Template'!T279</f>
        <v/>
      </c>
      <c r="AD279" s="35" t="str">
        <f>'Ingest Template'!S279</f>
        <v/>
      </c>
      <c r="AE279" s="35" t="str">
        <f>'Ingest Template'!U279</f>
        <v/>
      </c>
      <c r="AF279" s="22"/>
      <c r="AG279" s="35" t="str">
        <f t="array" ref="AG279">IF('Ingest Template'!A279="Standard",(CONCATENATE(IF(ISBLANK('Ingest Template'!N279),"", 'Ingest Template'!N279&amp;"|DAR"),CHAR(10), IF(ISBLANK('Ingest Template'!O279),"", 'Ingest Template'!O279&amp;"|DAR"),CHAR(10), IF(ISBLANK('Ingest Template'!P279),"", 'Ingest Template'!P279&amp;"|DAR"))),(CONCATENATE(IF(ISBLANK('Ingest Template'!N279),"", 'Ingest Template'!N279&amp;"|TV Ops"),CHAR(10), IF(ISBLANK('Ingest Template'!O279),"", 'Ingest Template'!O279&amp;"|TV Ops"),CHAR(10), IF(ISBLANK('Ingest Template'!P279),"", 'Ingest Template'!P279&amp;"|TV Ops"))))</f>
        <v>
</v>
      </c>
      <c r="AH279" s="35"/>
      <c r="AI279" s="35"/>
      <c r="AJ279" s="117" t="str">
        <f>if('Ingest Template'!A279="Standard",(IF(OR('Ingest Template'!F279 = "Program Type - Special", 'Ingest Template'!F279 = "Program Type - Live Event"),'Ingest Template'!M279&amp; "|DAR|DAR|"&amp;TEXT('Ingest Template'!C279-3, "yyyy-mm-dd")&amp;"|"&amp;TEXT('Ingest Template'!C279+3, "yyyy-mm-dd"),'Ingest Template'!M279&amp; "|DAR|DAR|2021-01-01")),(IF(OR('Ingest Template'!F279 = "Program Type - Special", 'Ingest Template'!F279 = "Program Type - Live Event"),'Ingest Template'!M279&amp; "|Operations - Core Title|Operations - Core Title|"&amp;TEXT('Ingest Template'!C279-3, "yyyy-mm-dd")&amp;"|"&amp;TEXT('Ingest Template'!C279+3, "yyyy-mm-dd"),'Ingest Template'!M279&amp; "|Operations - Core Title|Operations - Core Title")))</f>
        <v>|Operations - Core Title|Operations - Core Title</v>
      </c>
      <c r="AK279" s="35"/>
      <c r="AL279" s="117" t="str">
        <f>if('Ingest Template'!A279="Standard",(IF(OR('Ingest Template'!F279 = "Program Type - Special", 'Ingest Template'!F279 = "Program Type - Live Event"),'Ingest Template'!Q279&amp;"|"&amp;TEXT('Ingest Template'!C279-3, "yyyy-mm-dd")&amp;"|"&amp;TEXT('Ingest Template'!C279+3, "yyyy-mm-dd"),'Ingest Template'!Q279&amp; "|2021-01-01")),(IF(OR('Ingest Template'!F279 = "Program Type - Special", 'Ingest Template'!F279 = "Program Type - Live Event"),'Ingest Template'!Q279&amp; "|"&amp;TEXT('Ingest Template'!C279-3, "yyyy-mm-dd")&amp;"|"&amp;TEXT('Ingest Template'!C279+3, "yyyy-mm-dd"),'Ingest Template'!Q279)))</f>
        <v/>
      </c>
      <c r="AM279" s="35" t="str">
        <f>'Ingest Template'!AC279</f>
        <v/>
      </c>
    </row>
    <row r="280">
      <c r="A280" s="15"/>
      <c r="B280" s="22" t="str">
        <f>'Ingest Template'!C280&amp;IF('Ingest Template'!A280 = "Standard", " - DAR","")</f>
        <v/>
      </c>
      <c r="C280" s="22" t="s">
        <v>83</v>
      </c>
      <c r="D280" s="22" t="str">
        <f t="array" ref="D280">CONCATENATE(INDEX(DropdownLists!$H$2:$H$11,MATCH(1,COUNTIF('Ingest Template'!E280,"*"&amp;DropdownLists!$I$2:$I$11&amp;"*"),0)),CHAR(10),'Ingest Template'!F280,CHAR(10),'Ingest Template'!G280,CHAR(10),VLOOKUP('Ingest Template'!D280,DropdownLists!C:D,2,FALSE))</f>
        <v>#N/A</v>
      </c>
      <c r="E280" s="22" t="str">
        <f>CONCATENATE('Ingest Template'!H280,CHAR(10),'Ingest Template'!I280,CHAR(10),'Ingest Template'!J280,CHAR(10))</f>
        <v>
</v>
      </c>
      <c r="F280" s="35" t="str">
        <f t="array" ref="F280">INDEX(DropdownLists!$O$2:$O$36,MATCH(1,COUNTIF(E280,"*"&amp;DropdownLists!$N$2:$N$36&amp;"*"),0))</f>
        <v/>
      </c>
      <c r="G280" s="35"/>
      <c r="H280" s="22" t="str">
        <f t="array" ref="H280">INDEX(DropdownLists!$E$2:$E$276,MATCH('Ingest Template'!D280,DropdownLists!$C$2:$C$276,0))</f>
        <v>#N/A</v>
      </c>
      <c r="I280" s="22"/>
      <c r="J280" s="22" t="str">
        <f t="array" ref="J280">iF('Ingest Template'!A280="Standard","Pristine Brand",INDEX(DropdownLists!$B$2:$B$246,MATCH('Ingest Template'!D280,DropdownLists!$C$2:$C$246,0)))</f>
        <v>#N/A</v>
      </c>
      <c r="K280" s="22" t="str">
        <f>iF('Ingest Template'!A280="Standard",'Ingest Template'!K280&amp;CHAR(10)&amp;'Ingest Template'!L280,"Competitive View")</f>
        <v>Competitive View</v>
      </c>
      <c r="L280" s="22" t="s">
        <v>95</v>
      </c>
      <c r="M280" s="45" t="str">
        <f>'Ingest Template'!B280</f>
        <v/>
      </c>
      <c r="N280" s="35"/>
      <c r="O280" s="35"/>
      <c r="P280" s="35"/>
      <c r="Q280" s="35"/>
      <c r="R280" s="35" t="str">
        <f>'Ingest Template'!D280</f>
        <v/>
      </c>
      <c r="S280" s="22" t="s">
        <v>101</v>
      </c>
      <c r="T280" s="35" t="str">
        <f>'Ingest Template'!V280</f>
        <v/>
      </c>
      <c r="U280" s="35" t="str">
        <f>'Ingest Template'!W280</f>
        <v/>
      </c>
      <c r="V280" s="35" t="str">
        <f>LOWER(SUBSTITUTE(SUBSTITUTE(SUBSTITUTE(SUBSTITUTE(SUBSTITUTE('Ingest Template'!X280,"https:",""),"www.",""),"/",""),"?hl=en",""),"instagram.com",""))</f>
        <v/>
      </c>
      <c r="W280" s="74" t="str">
        <f t="array" ref="W280">IF(
'Ingest Template'!Y280="",
SUBSTITUTE(
INDEX(DropdownLists!$F$2:$F$277,MATCH('Ingest Template'!D280,DropdownLists!$C$2:$C$277,0)),
CHAR(10),
"|"&amp;'Ingest Template'!C280&amp;CHAR(10)
)&amp;"|"&amp;'Ingest Template'!C280,
SUBSTITUTE(
INDEX(DropdownLists!$F$2:$F$277,MATCH('Ingest Template'!D280,DropdownLists!$C$2:$C$277,0)),
CHAR(10),
"|"&amp;'Ingest Template'!C280&amp;CHAR(10)
)&amp;"|"&amp;'Ingest Template'!C280&amp;CHAR(10)&amp;'Ingest Template'!Y280
)</f>
        <v>#N/A</v>
      </c>
      <c r="X280" s="74" t="str">
        <f>'Ingest Template'!Z280</f>
        <v/>
      </c>
      <c r="Y280" s="35" t="str">
        <f>SUBSTITUTE(SUBSTITUTE(SUBSTITUTE('Ingest Template'!AA280,"http:",""),"https:",""),"/","")</f>
        <v/>
      </c>
      <c r="Z280" s="35" t="str">
        <f t="array" ref="Z280">IF('Ingest Template'!A280="Standard",(IF(ISBLANK('Ingest Template'!AB280),"", 'Ingest Template'!AB280&amp;"|DAR")),(IF(ISBLANK('Ingest Template'!AB280),"", 'Ingest Template'!AB280&amp;"|TV Ops")))</f>
        <v/>
      </c>
      <c r="AA280" s="35"/>
      <c r="AB280" s="35" t="str">
        <f>'Ingest Template'!R280</f>
        <v/>
      </c>
      <c r="AC280" s="35" t="str">
        <f>'Ingest Template'!T280</f>
        <v/>
      </c>
      <c r="AD280" s="35" t="str">
        <f>'Ingest Template'!S280</f>
        <v/>
      </c>
      <c r="AE280" s="35" t="str">
        <f>'Ingest Template'!U280</f>
        <v/>
      </c>
      <c r="AF280" s="22"/>
      <c r="AG280" s="35" t="str">
        <f t="array" ref="AG280">IF('Ingest Template'!A280="Standard",(CONCATENATE(IF(ISBLANK('Ingest Template'!N280),"", 'Ingest Template'!N280&amp;"|DAR"),CHAR(10), IF(ISBLANK('Ingest Template'!O280),"", 'Ingest Template'!O280&amp;"|DAR"),CHAR(10), IF(ISBLANK('Ingest Template'!P280),"", 'Ingest Template'!P280&amp;"|DAR"))),(CONCATENATE(IF(ISBLANK('Ingest Template'!N280),"", 'Ingest Template'!N280&amp;"|TV Ops"),CHAR(10), IF(ISBLANK('Ingest Template'!O280),"", 'Ingest Template'!O280&amp;"|TV Ops"),CHAR(10), IF(ISBLANK('Ingest Template'!P280),"", 'Ingest Template'!P280&amp;"|TV Ops"))))</f>
        <v>
</v>
      </c>
      <c r="AH280" s="35"/>
      <c r="AI280" s="35"/>
      <c r="AJ280" s="117" t="str">
        <f>if('Ingest Template'!A280="Standard",(IF(OR('Ingest Template'!F280 = "Program Type - Special", 'Ingest Template'!F280 = "Program Type - Live Event"),'Ingest Template'!M280&amp; "|DAR|DAR|"&amp;TEXT('Ingest Template'!C280-3, "yyyy-mm-dd")&amp;"|"&amp;TEXT('Ingest Template'!C280+3, "yyyy-mm-dd"),'Ingest Template'!M280&amp; "|DAR|DAR|2021-01-01")),(IF(OR('Ingest Template'!F280 = "Program Type - Special", 'Ingest Template'!F280 = "Program Type - Live Event"),'Ingest Template'!M280&amp; "|Operations - Core Title|Operations - Core Title|"&amp;TEXT('Ingest Template'!C280-3, "yyyy-mm-dd")&amp;"|"&amp;TEXT('Ingest Template'!C280+3, "yyyy-mm-dd"),'Ingest Template'!M280&amp; "|Operations - Core Title|Operations - Core Title")))</f>
        <v>|Operations - Core Title|Operations - Core Title</v>
      </c>
      <c r="AK280" s="35"/>
      <c r="AL280" s="117" t="str">
        <f>if('Ingest Template'!A280="Standard",(IF(OR('Ingest Template'!F280 = "Program Type - Special", 'Ingest Template'!F280 = "Program Type - Live Event"),'Ingest Template'!Q280&amp;"|"&amp;TEXT('Ingest Template'!C280-3, "yyyy-mm-dd")&amp;"|"&amp;TEXT('Ingest Template'!C280+3, "yyyy-mm-dd"),'Ingest Template'!Q280&amp; "|2021-01-01")),(IF(OR('Ingest Template'!F280 = "Program Type - Special", 'Ingest Template'!F280 = "Program Type - Live Event"),'Ingest Template'!Q280&amp; "|"&amp;TEXT('Ingest Template'!C280-3, "yyyy-mm-dd")&amp;"|"&amp;TEXT('Ingest Template'!C280+3, "yyyy-mm-dd"),'Ingest Template'!Q280)))</f>
        <v/>
      </c>
      <c r="AM280" s="35" t="str">
        <f>'Ingest Template'!AC280</f>
        <v/>
      </c>
    </row>
    <row r="281">
      <c r="A281" s="15"/>
      <c r="B281" s="22" t="str">
        <f>'Ingest Template'!C281&amp;IF('Ingest Template'!A281 = "Standard", " - DAR","")</f>
        <v/>
      </c>
      <c r="C281" s="22" t="s">
        <v>83</v>
      </c>
      <c r="D281" s="22" t="str">
        <f t="array" ref="D281">CONCATENATE(INDEX(DropdownLists!$H$2:$H$11,MATCH(1,COUNTIF('Ingest Template'!E281,"*"&amp;DropdownLists!$I$2:$I$11&amp;"*"),0)),CHAR(10),'Ingest Template'!F281,CHAR(10),'Ingest Template'!G281,CHAR(10),VLOOKUP('Ingest Template'!D281,DropdownLists!C:D,2,FALSE))</f>
        <v>#N/A</v>
      </c>
      <c r="E281" s="22" t="str">
        <f>CONCATENATE('Ingest Template'!H281,CHAR(10),'Ingest Template'!I281,CHAR(10),'Ingest Template'!J281,CHAR(10))</f>
        <v>
</v>
      </c>
      <c r="F281" s="35" t="str">
        <f t="array" ref="F281">INDEX(DropdownLists!$O$2:$O$36,MATCH(1,COUNTIF(E281,"*"&amp;DropdownLists!$N$2:$N$36&amp;"*"),0))</f>
        <v/>
      </c>
      <c r="G281" s="35"/>
      <c r="H281" s="22" t="str">
        <f t="array" ref="H281">INDEX(DropdownLists!$E$2:$E$276,MATCH('Ingest Template'!D281,DropdownLists!$C$2:$C$276,0))</f>
        <v>#N/A</v>
      </c>
      <c r="I281" s="22"/>
      <c r="J281" s="22" t="str">
        <f t="array" ref="J281">iF('Ingest Template'!A281="Standard","Pristine Brand",INDEX(DropdownLists!$B$2:$B$246,MATCH('Ingest Template'!D281,DropdownLists!$C$2:$C$246,0)))</f>
        <v>#N/A</v>
      </c>
      <c r="K281" s="22" t="str">
        <f>iF('Ingest Template'!A281="Standard",'Ingest Template'!K281&amp;CHAR(10)&amp;'Ingest Template'!L281,"Competitive View")</f>
        <v>Competitive View</v>
      </c>
      <c r="L281" s="22" t="s">
        <v>95</v>
      </c>
      <c r="M281" s="45" t="str">
        <f>'Ingest Template'!B281</f>
        <v/>
      </c>
      <c r="N281" s="35"/>
      <c r="O281" s="35"/>
      <c r="P281" s="35"/>
      <c r="Q281" s="35"/>
      <c r="R281" s="35" t="str">
        <f>'Ingest Template'!D281</f>
        <v/>
      </c>
      <c r="S281" s="22" t="s">
        <v>101</v>
      </c>
      <c r="T281" s="35" t="str">
        <f>'Ingest Template'!V281</f>
        <v/>
      </c>
      <c r="U281" s="35" t="str">
        <f>'Ingest Template'!W281</f>
        <v/>
      </c>
      <c r="V281" s="35" t="str">
        <f>LOWER(SUBSTITUTE(SUBSTITUTE(SUBSTITUTE(SUBSTITUTE(SUBSTITUTE('Ingest Template'!X281,"https:",""),"www.",""),"/",""),"?hl=en",""),"instagram.com",""))</f>
        <v/>
      </c>
      <c r="W281" s="74" t="str">
        <f t="array" ref="W281">IF(
'Ingest Template'!Y281="",
SUBSTITUTE(
INDEX(DropdownLists!$F$2:$F$277,MATCH('Ingest Template'!D281,DropdownLists!$C$2:$C$277,0)),
CHAR(10),
"|"&amp;'Ingest Template'!C281&amp;CHAR(10)
)&amp;"|"&amp;'Ingest Template'!C281,
SUBSTITUTE(
INDEX(DropdownLists!$F$2:$F$277,MATCH('Ingest Template'!D281,DropdownLists!$C$2:$C$277,0)),
CHAR(10),
"|"&amp;'Ingest Template'!C281&amp;CHAR(10)
)&amp;"|"&amp;'Ingest Template'!C281&amp;CHAR(10)&amp;'Ingest Template'!Y281
)</f>
        <v>#N/A</v>
      </c>
      <c r="X281" s="74" t="str">
        <f>'Ingest Template'!Z281</f>
        <v/>
      </c>
      <c r="Y281" s="35" t="str">
        <f>SUBSTITUTE(SUBSTITUTE(SUBSTITUTE('Ingest Template'!AA281,"http:",""),"https:",""),"/","")</f>
        <v/>
      </c>
      <c r="Z281" s="35" t="str">
        <f t="array" ref="Z281">IF('Ingest Template'!A281="Standard",(IF(ISBLANK('Ingest Template'!AB281),"", 'Ingest Template'!AB281&amp;"|DAR")),(IF(ISBLANK('Ingest Template'!AB281),"", 'Ingest Template'!AB281&amp;"|TV Ops")))</f>
        <v/>
      </c>
      <c r="AA281" s="35"/>
      <c r="AB281" s="35" t="str">
        <f>'Ingest Template'!R281</f>
        <v/>
      </c>
      <c r="AC281" s="35" t="str">
        <f>'Ingest Template'!T281</f>
        <v/>
      </c>
      <c r="AD281" s="35" t="str">
        <f>'Ingest Template'!S281</f>
        <v/>
      </c>
      <c r="AE281" s="35" t="str">
        <f>'Ingest Template'!U281</f>
        <v/>
      </c>
      <c r="AF281" s="22"/>
      <c r="AG281" s="35" t="str">
        <f t="array" ref="AG281">IF('Ingest Template'!A281="Standard",(CONCATENATE(IF(ISBLANK('Ingest Template'!N281),"", 'Ingest Template'!N281&amp;"|DAR"),CHAR(10), IF(ISBLANK('Ingest Template'!O281),"", 'Ingest Template'!O281&amp;"|DAR"),CHAR(10), IF(ISBLANK('Ingest Template'!P281),"", 'Ingest Template'!P281&amp;"|DAR"))),(CONCATENATE(IF(ISBLANK('Ingest Template'!N281),"", 'Ingest Template'!N281&amp;"|TV Ops"),CHAR(10), IF(ISBLANK('Ingest Template'!O281),"", 'Ingest Template'!O281&amp;"|TV Ops"),CHAR(10), IF(ISBLANK('Ingest Template'!P281),"", 'Ingest Template'!P281&amp;"|TV Ops"))))</f>
        <v>
</v>
      </c>
      <c r="AH281" s="35"/>
      <c r="AI281" s="35"/>
      <c r="AJ281" s="117" t="str">
        <f>if('Ingest Template'!A281="Standard",(IF(OR('Ingest Template'!F281 = "Program Type - Special", 'Ingest Template'!F281 = "Program Type - Live Event"),'Ingest Template'!M281&amp; "|DAR|DAR|"&amp;TEXT('Ingest Template'!C281-3, "yyyy-mm-dd")&amp;"|"&amp;TEXT('Ingest Template'!C281+3, "yyyy-mm-dd"),'Ingest Template'!M281&amp; "|DAR|DAR|2021-01-01")),(IF(OR('Ingest Template'!F281 = "Program Type - Special", 'Ingest Template'!F281 = "Program Type - Live Event"),'Ingest Template'!M281&amp; "|Operations - Core Title|Operations - Core Title|"&amp;TEXT('Ingest Template'!C281-3, "yyyy-mm-dd")&amp;"|"&amp;TEXT('Ingest Template'!C281+3, "yyyy-mm-dd"),'Ingest Template'!M281&amp; "|Operations - Core Title|Operations - Core Title")))</f>
        <v>|Operations - Core Title|Operations - Core Title</v>
      </c>
      <c r="AK281" s="35"/>
      <c r="AL281" s="117" t="str">
        <f>if('Ingest Template'!A281="Standard",(IF(OR('Ingest Template'!F281 = "Program Type - Special", 'Ingest Template'!F281 = "Program Type - Live Event"),'Ingest Template'!Q281&amp;"|"&amp;TEXT('Ingest Template'!C281-3, "yyyy-mm-dd")&amp;"|"&amp;TEXT('Ingest Template'!C281+3, "yyyy-mm-dd"),'Ingest Template'!Q281&amp; "|2021-01-01")),(IF(OR('Ingest Template'!F281 = "Program Type - Special", 'Ingest Template'!F281 = "Program Type - Live Event"),'Ingest Template'!Q281&amp; "|"&amp;TEXT('Ingest Template'!C281-3, "yyyy-mm-dd")&amp;"|"&amp;TEXT('Ingest Template'!C281+3, "yyyy-mm-dd"),'Ingest Template'!Q281)))</f>
        <v/>
      </c>
      <c r="AM281" s="35" t="str">
        <f>'Ingest Template'!AC281</f>
        <v/>
      </c>
    </row>
    <row r="282">
      <c r="A282" s="15"/>
      <c r="B282" s="22" t="str">
        <f>'Ingest Template'!C282&amp;IF('Ingest Template'!A282 = "Standard", " - DAR","")</f>
        <v/>
      </c>
      <c r="C282" s="22" t="s">
        <v>83</v>
      </c>
      <c r="D282" s="22" t="str">
        <f t="array" ref="D282">CONCATENATE(INDEX(DropdownLists!$H$2:$H$11,MATCH(1,COUNTIF('Ingest Template'!E282,"*"&amp;DropdownLists!$I$2:$I$11&amp;"*"),0)),CHAR(10),'Ingest Template'!F282,CHAR(10),'Ingest Template'!G282,CHAR(10),VLOOKUP('Ingest Template'!D282,DropdownLists!C:D,2,FALSE))</f>
        <v>#N/A</v>
      </c>
      <c r="E282" s="22" t="str">
        <f>CONCATENATE('Ingest Template'!H282,CHAR(10),'Ingest Template'!I282,CHAR(10),'Ingest Template'!J282,CHAR(10))</f>
        <v>
</v>
      </c>
      <c r="F282" s="35" t="str">
        <f t="array" ref="F282">INDEX(DropdownLists!$O$2:$O$36,MATCH(1,COUNTIF(E282,"*"&amp;DropdownLists!$N$2:$N$36&amp;"*"),0))</f>
        <v/>
      </c>
      <c r="G282" s="35"/>
      <c r="H282" s="22" t="str">
        <f t="array" ref="H282">INDEX(DropdownLists!$E$2:$E$276,MATCH('Ingest Template'!D282,DropdownLists!$C$2:$C$276,0))</f>
        <v>#N/A</v>
      </c>
      <c r="I282" s="22"/>
      <c r="J282" s="22" t="str">
        <f t="array" ref="J282">iF('Ingest Template'!A282="Standard","Pristine Brand",INDEX(DropdownLists!$B$2:$B$246,MATCH('Ingest Template'!D282,DropdownLists!$C$2:$C$246,0)))</f>
        <v>#N/A</v>
      </c>
      <c r="K282" s="22" t="str">
        <f>iF('Ingest Template'!A282="Standard",'Ingest Template'!K282&amp;CHAR(10)&amp;'Ingest Template'!L282,"Competitive View")</f>
        <v>Competitive View</v>
      </c>
      <c r="L282" s="22" t="s">
        <v>95</v>
      </c>
      <c r="M282" s="45" t="str">
        <f>'Ingest Template'!B282</f>
        <v/>
      </c>
      <c r="N282" s="35"/>
      <c r="O282" s="35"/>
      <c r="P282" s="35"/>
      <c r="Q282" s="35"/>
      <c r="R282" s="35" t="str">
        <f>'Ingest Template'!D282</f>
        <v/>
      </c>
      <c r="S282" s="22" t="s">
        <v>101</v>
      </c>
      <c r="T282" s="35" t="str">
        <f>'Ingest Template'!V282</f>
        <v/>
      </c>
      <c r="U282" s="35" t="str">
        <f>'Ingest Template'!W282</f>
        <v/>
      </c>
      <c r="V282" s="35" t="str">
        <f>LOWER(SUBSTITUTE(SUBSTITUTE(SUBSTITUTE(SUBSTITUTE(SUBSTITUTE('Ingest Template'!X282,"https:",""),"www.",""),"/",""),"?hl=en",""),"instagram.com",""))</f>
        <v/>
      </c>
      <c r="W282" s="74" t="str">
        <f t="array" ref="W282">IF(
'Ingest Template'!Y282="",
SUBSTITUTE(
INDEX(DropdownLists!$F$2:$F$277,MATCH('Ingest Template'!D282,DropdownLists!$C$2:$C$277,0)),
CHAR(10),
"|"&amp;'Ingest Template'!C282&amp;CHAR(10)
)&amp;"|"&amp;'Ingest Template'!C282,
SUBSTITUTE(
INDEX(DropdownLists!$F$2:$F$277,MATCH('Ingest Template'!D282,DropdownLists!$C$2:$C$277,0)),
CHAR(10),
"|"&amp;'Ingest Template'!C282&amp;CHAR(10)
)&amp;"|"&amp;'Ingest Template'!C282&amp;CHAR(10)&amp;'Ingest Template'!Y282
)</f>
        <v>#N/A</v>
      </c>
      <c r="X282" s="74" t="str">
        <f>'Ingest Template'!Z282</f>
        <v/>
      </c>
      <c r="Y282" s="35" t="str">
        <f>SUBSTITUTE(SUBSTITUTE(SUBSTITUTE('Ingest Template'!AA282,"http:",""),"https:",""),"/","")</f>
        <v/>
      </c>
      <c r="Z282" s="35" t="str">
        <f t="array" ref="Z282">IF('Ingest Template'!A282="Standard",(IF(ISBLANK('Ingest Template'!AB282),"", 'Ingest Template'!AB282&amp;"|DAR")),(IF(ISBLANK('Ingest Template'!AB282),"", 'Ingest Template'!AB282&amp;"|TV Ops")))</f>
        <v/>
      </c>
      <c r="AA282" s="35"/>
      <c r="AB282" s="35" t="str">
        <f>'Ingest Template'!R282</f>
        <v/>
      </c>
      <c r="AC282" s="35" t="str">
        <f>'Ingest Template'!T282</f>
        <v/>
      </c>
      <c r="AD282" s="35" t="str">
        <f>'Ingest Template'!S282</f>
        <v/>
      </c>
      <c r="AE282" s="35" t="str">
        <f>'Ingest Template'!U282</f>
        <v/>
      </c>
      <c r="AF282" s="22"/>
      <c r="AG282" s="35" t="str">
        <f t="array" ref="AG282">IF('Ingest Template'!A282="Standard",(CONCATENATE(IF(ISBLANK('Ingest Template'!N282),"", 'Ingest Template'!N282&amp;"|DAR"),CHAR(10), IF(ISBLANK('Ingest Template'!O282),"", 'Ingest Template'!O282&amp;"|DAR"),CHAR(10), IF(ISBLANK('Ingest Template'!P282),"", 'Ingest Template'!P282&amp;"|DAR"))),(CONCATENATE(IF(ISBLANK('Ingest Template'!N282),"", 'Ingest Template'!N282&amp;"|TV Ops"),CHAR(10), IF(ISBLANK('Ingest Template'!O282),"", 'Ingest Template'!O282&amp;"|TV Ops"),CHAR(10), IF(ISBLANK('Ingest Template'!P282),"", 'Ingest Template'!P282&amp;"|TV Ops"))))</f>
        <v>
</v>
      </c>
      <c r="AH282" s="35"/>
      <c r="AI282" s="35"/>
      <c r="AJ282" s="117" t="str">
        <f>if('Ingest Template'!A282="Standard",(IF(OR('Ingest Template'!F282 = "Program Type - Special", 'Ingest Template'!F282 = "Program Type - Live Event"),'Ingest Template'!M282&amp; "|DAR|DAR|"&amp;TEXT('Ingest Template'!C282-3, "yyyy-mm-dd")&amp;"|"&amp;TEXT('Ingest Template'!C282+3, "yyyy-mm-dd"),'Ingest Template'!M282&amp; "|DAR|DAR|2021-01-01")),(IF(OR('Ingest Template'!F282 = "Program Type - Special", 'Ingest Template'!F282 = "Program Type - Live Event"),'Ingest Template'!M282&amp; "|Operations - Core Title|Operations - Core Title|"&amp;TEXT('Ingest Template'!C282-3, "yyyy-mm-dd")&amp;"|"&amp;TEXT('Ingest Template'!C282+3, "yyyy-mm-dd"),'Ingest Template'!M282&amp; "|Operations - Core Title|Operations - Core Title")))</f>
        <v>|Operations - Core Title|Operations - Core Title</v>
      </c>
      <c r="AK282" s="35"/>
      <c r="AL282" s="117" t="str">
        <f>if('Ingest Template'!A282="Standard",(IF(OR('Ingest Template'!F282 = "Program Type - Special", 'Ingest Template'!F282 = "Program Type - Live Event"),'Ingest Template'!Q282&amp;"|"&amp;TEXT('Ingest Template'!C282-3, "yyyy-mm-dd")&amp;"|"&amp;TEXT('Ingest Template'!C282+3, "yyyy-mm-dd"),'Ingest Template'!Q282&amp; "|2021-01-01")),(IF(OR('Ingest Template'!F282 = "Program Type - Special", 'Ingest Template'!F282 = "Program Type - Live Event"),'Ingest Template'!Q282&amp; "|"&amp;TEXT('Ingest Template'!C282-3, "yyyy-mm-dd")&amp;"|"&amp;TEXT('Ingest Template'!C282+3, "yyyy-mm-dd"),'Ingest Template'!Q282)))</f>
        <v/>
      </c>
      <c r="AM282" s="35" t="str">
        <f>'Ingest Template'!AC282</f>
        <v/>
      </c>
    </row>
    <row r="283">
      <c r="A283" s="15"/>
      <c r="B283" s="22" t="str">
        <f>'Ingest Template'!C283&amp;IF('Ingest Template'!A283 = "Standard", " - DAR","")</f>
        <v/>
      </c>
      <c r="C283" s="22" t="s">
        <v>83</v>
      </c>
      <c r="D283" s="22" t="str">
        <f t="array" ref="D283">CONCATENATE(INDEX(DropdownLists!$H$2:$H$11,MATCH(1,COUNTIF('Ingest Template'!E283,"*"&amp;DropdownLists!$I$2:$I$11&amp;"*"),0)),CHAR(10),'Ingest Template'!F283,CHAR(10),'Ingest Template'!G283,CHAR(10),VLOOKUP('Ingest Template'!D283,DropdownLists!C:D,2,FALSE))</f>
        <v>#N/A</v>
      </c>
      <c r="E283" s="22" t="str">
        <f>CONCATENATE('Ingest Template'!H283,CHAR(10),'Ingest Template'!I283,CHAR(10),'Ingest Template'!J283,CHAR(10))</f>
        <v>
</v>
      </c>
      <c r="F283" s="35" t="str">
        <f t="array" ref="F283">INDEX(DropdownLists!$O$2:$O$36,MATCH(1,COUNTIF(E283,"*"&amp;DropdownLists!$N$2:$N$36&amp;"*"),0))</f>
        <v/>
      </c>
      <c r="G283" s="35"/>
      <c r="H283" s="22" t="str">
        <f t="array" ref="H283">INDEX(DropdownLists!$E$2:$E$276,MATCH('Ingest Template'!D283,DropdownLists!$C$2:$C$276,0))</f>
        <v>#N/A</v>
      </c>
      <c r="I283" s="22"/>
      <c r="J283" s="22" t="str">
        <f t="array" ref="J283">iF('Ingest Template'!A283="Standard","Pristine Brand",INDEX(DropdownLists!$B$2:$B$246,MATCH('Ingest Template'!D283,DropdownLists!$C$2:$C$246,0)))</f>
        <v>#N/A</v>
      </c>
      <c r="K283" s="22" t="str">
        <f>iF('Ingest Template'!A283="Standard",'Ingest Template'!K283&amp;CHAR(10)&amp;'Ingest Template'!L283,"Competitive View")</f>
        <v>Competitive View</v>
      </c>
      <c r="L283" s="22" t="s">
        <v>95</v>
      </c>
      <c r="M283" s="45" t="str">
        <f>'Ingest Template'!B283</f>
        <v/>
      </c>
      <c r="N283" s="35"/>
      <c r="O283" s="35"/>
      <c r="P283" s="35"/>
      <c r="Q283" s="35"/>
      <c r="R283" s="35" t="str">
        <f>'Ingest Template'!D283</f>
        <v/>
      </c>
      <c r="S283" s="22" t="s">
        <v>101</v>
      </c>
      <c r="T283" s="35" t="str">
        <f>'Ingest Template'!V283</f>
        <v/>
      </c>
      <c r="U283" s="35" t="str">
        <f>'Ingest Template'!W283</f>
        <v/>
      </c>
      <c r="V283" s="35" t="str">
        <f>LOWER(SUBSTITUTE(SUBSTITUTE(SUBSTITUTE(SUBSTITUTE(SUBSTITUTE('Ingest Template'!X283,"https:",""),"www.",""),"/",""),"?hl=en",""),"instagram.com",""))</f>
        <v/>
      </c>
      <c r="W283" s="74" t="str">
        <f t="array" ref="W283">IF(
'Ingest Template'!Y283="",
SUBSTITUTE(
INDEX(DropdownLists!$F$2:$F$277,MATCH('Ingest Template'!D283,DropdownLists!$C$2:$C$277,0)),
CHAR(10),
"|"&amp;'Ingest Template'!C283&amp;CHAR(10)
)&amp;"|"&amp;'Ingest Template'!C283,
SUBSTITUTE(
INDEX(DropdownLists!$F$2:$F$277,MATCH('Ingest Template'!D283,DropdownLists!$C$2:$C$277,0)),
CHAR(10),
"|"&amp;'Ingest Template'!C283&amp;CHAR(10)
)&amp;"|"&amp;'Ingest Template'!C283&amp;CHAR(10)&amp;'Ingest Template'!Y283
)</f>
        <v>#N/A</v>
      </c>
      <c r="X283" s="74" t="str">
        <f>'Ingest Template'!Z283</f>
        <v/>
      </c>
      <c r="Y283" s="35" t="str">
        <f>SUBSTITUTE(SUBSTITUTE(SUBSTITUTE('Ingest Template'!AA283,"http:",""),"https:",""),"/","")</f>
        <v/>
      </c>
      <c r="Z283" s="35" t="str">
        <f t="array" ref="Z283">IF('Ingest Template'!A283="Standard",(IF(ISBLANK('Ingest Template'!AB283),"", 'Ingest Template'!AB283&amp;"|DAR")),(IF(ISBLANK('Ingest Template'!AB283),"", 'Ingest Template'!AB283&amp;"|TV Ops")))</f>
        <v/>
      </c>
      <c r="AA283" s="35"/>
      <c r="AB283" s="35" t="str">
        <f>'Ingest Template'!R283</f>
        <v/>
      </c>
      <c r="AC283" s="35" t="str">
        <f>'Ingest Template'!T283</f>
        <v/>
      </c>
      <c r="AD283" s="35" t="str">
        <f>'Ingest Template'!S283</f>
        <v/>
      </c>
      <c r="AE283" s="35" t="str">
        <f>'Ingest Template'!U283</f>
        <v/>
      </c>
      <c r="AF283" s="22"/>
      <c r="AG283" s="35" t="str">
        <f t="array" ref="AG283">IF('Ingest Template'!A283="Standard",(CONCATENATE(IF(ISBLANK('Ingest Template'!N283),"", 'Ingest Template'!N283&amp;"|DAR"),CHAR(10), IF(ISBLANK('Ingest Template'!O283),"", 'Ingest Template'!O283&amp;"|DAR"),CHAR(10), IF(ISBLANK('Ingest Template'!P283),"", 'Ingest Template'!P283&amp;"|DAR"))),(CONCATENATE(IF(ISBLANK('Ingest Template'!N283),"", 'Ingest Template'!N283&amp;"|TV Ops"),CHAR(10), IF(ISBLANK('Ingest Template'!O283),"", 'Ingest Template'!O283&amp;"|TV Ops"),CHAR(10), IF(ISBLANK('Ingest Template'!P283),"", 'Ingest Template'!P283&amp;"|TV Ops"))))</f>
        <v>
</v>
      </c>
      <c r="AH283" s="35"/>
      <c r="AI283" s="35"/>
      <c r="AJ283" s="117" t="str">
        <f>if('Ingest Template'!A283="Standard",(IF(OR('Ingest Template'!F283 = "Program Type - Special", 'Ingest Template'!F283 = "Program Type - Live Event"),'Ingest Template'!M283&amp; "|DAR|DAR|"&amp;TEXT('Ingest Template'!C283-3, "yyyy-mm-dd")&amp;"|"&amp;TEXT('Ingest Template'!C283+3, "yyyy-mm-dd"),'Ingest Template'!M283&amp; "|DAR|DAR|2021-01-01")),(IF(OR('Ingest Template'!F283 = "Program Type - Special", 'Ingest Template'!F283 = "Program Type - Live Event"),'Ingest Template'!M283&amp; "|Operations - Core Title|Operations - Core Title|"&amp;TEXT('Ingest Template'!C283-3, "yyyy-mm-dd")&amp;"|"&amp;TEXT('Ingest Template'!C283+3, "yyyy-mm-dd"),'Ingest Template'!M283&amp; "|Operations - Core Title|Operations - Core Title")))</f>
        <v>|Operations - Core Title|Operations - Core Title</v>
      </c>
      <c r="AK283" s="35"/>
      <c r="AL283" s="117" t="str">
        <f>if('Ingest Template'!A283="Standard",(IF(OR('Ingest Template'!F283 = "Program Type - Special", 'Ingest Template'!F283 = "Program Type - Live Event"),'Ingest Template'!Q283&amp;"|"&amp;TEXT('Ingest Template'!C283-3, "yyyy-mm-dd")&amp;"|"&amp;TEXT('Ingest Template'!C283+3, "yyyy-mm-dd"),'Ingest Template'!Q283&amp; "|2021-01-01")),(IF(OR('Ingest Template'!F283 = "Program Type - Special", 'Ingest Template'!F283 = "Program Type - Live Event"),'Ingest Template'!Q283&amp; "|"&amp;TEXT('Ingest Template'!C283-3, "yyyy-mm-dd")&amp;"|"&amp;TEXT('Ingest Template'!C283+3, "yyyy-mm-dd"),'Ingest Template'!Q283)))</f>
        <v/>
      </c>
      <c r="AM283" s="35" t="str">
        <f>'Ingest Template'!AC283</f>
        <v/>
      </c>
    </row>
    <row r="284">
      <c r="A284" s="15"/>
      <c r="B284" s="22" t="str">
        <f>'Ingest Template'!C284&amp;IF('Ingest Template'!A284 = "Standard", " - DAR","")</f>
        <v/>
      </c>
      <c r="C284" s="22" t="s">
        <v>83</v>
      </c>
      <c r="D284" s="22" t="str">
        <f t="array" ref="D284">CONCATENATE(INDEX(DropdownLists!$H$2:$H$11,MATCH(1,COUNTIF('Ingest Template'!E284,"*"&amp;DropdownLists!$I$2:$I$11&amp;"*"),0)),CHAR(10),'Ingest Template'!F284,CHAR(10),'Ingest Template'!G284,CHAR(10),VLOOKUP('Ingest Template'!D284,DropdownLists!C:D,2,FALSE))</f>
        <v>#N/A</v>
      </c>
      <c r="E284" s="22" t="str">
        <f>CONCATENATE('Ingest Template'!H284,CHAR(10),'Ingest Template'!I284,CHAR(10),'Ingest Template'!J284,CHAR(10))</f>
        <v>
</v>
      </c>
      <c r="F284" s="35" t="str">
        <f t="array" ref="F284">INDEX(DropdownLists!$O$2:$O$36,MATCH(1,COUNTIF(E284,"*"&amp;DropdownLists!$N$2:$N$36&amp;"*"),0))</f>
        <v/>
      </c>
      <c r="G284" s="35"/>
      <c r="H284" s="22" t="str">
        <f t="array" ref="H284">INDEX(DropdownLists!$E$2:$E$276,MATCH('Ingest Template'!D284,DropdownLists!$C$2:$C$276,0))</f>
        <v>#N/A</v>
      </c>
      <c r="I284" s="22"/>
      <c r="J284" s="22" t="str">
        <f t="array" ref="J284">iF('Ingest Template'!A284="Standard","Pristine Brand",INDEX(DropdownLists!$B$2:$B$246,MATCH('Ingest Template'!D284,DropdownLists!$C$2:$C$246,0)))</f>
        <v>#N/A</v>
      </c>
      <c r="K284" s="22" t="str">
        <f>iF('Ingest Template'!A284="Standard",'Ingest Template'!K284&amp;CHAR(10)&amp;'Ingest Template'!L284,"Competitive View")</f>
        <v>Competitive View</v>
      </c>
      <c r="L284" s="22" t="s">
        <v>95</v>
      </c>
      <c r="M284" s="45" t="str">
        <f>'Ingest Template'!B284</f>
        <v/>
      </c>
      <c r="N284" s="35"/>
      <c r="O284" s="35"/>
      <c r="P284" s="35"/>
      <c r="Q284" s="35"/>
      <c r="R284" s="35" t="str">
        <f>'Ingest Template'!D284</f>
        <v/>
      </c>
      <c r="S284" s="22" t="s">
        <v>101</v>
      </c>
      <c r="T284" s="35" t="str">
        <f>'Ingest Template'!V284</f>
        <v/>
      </c>
      <c r="U284" s="35" t="str">
        <f>'Ingest Template'!W284</f>
        <v/>
      </c>
      <c r="V284" s="35" t="str">
        <f>LOWER(SUBSTITUTE(SUBSTITUTE(SUBSTITUTE(SUBSTITUTE(SUBSTITUTE('Ingest Template'!X284,"https:",""),"www.",""),"/",""),"?hl=en",""),"instagram.com",""))</f>
        <v/>
      </c>
      <c r="W284" s="74" t="str">
        <f t="array" ref="W284">IF(
'Ingest Template'!Y284="",
SUBSTITUTE(
INDEX(DropdownLists!$F$2:$F$277,MATCH('Ingest Template'!D284,DropdownLists!$C$2:$C$277,0)),
CHAR(10),
"|"&amp;'Ingest Template'!C284&amp;CHAR(10)
)&amp;"|"&amp;'Ingest Template'!C284,
SUBSTITUTE(
INDEX(DropdownLists!$F$2:$F$277,MATCH('Ingest Template'!D284,DropdownLists!$C$2:$C$277,0)),
CHAR(10),
"|"&amp;'Ingest Template'!C284&amp;CHAR(10)
)&amp;"|"&amp;'Ingest Template'!C284&amp;CHAR(10)&amp;'Ingest Template'!Y284
)</f>
        <v>#N/A</v>
      </c>
      <c r="X284" s="74" t="str">
        <f>'Ingest Template'!Z284</f>
        <v/>
      </c>
      <c r="Y284" s="35" t="str">
        <f>SUBSTITUTE(SUBSTITUTE(SUBSTITUTE('Ingest Template'!AA284,"http:",""),"https:",""),"/","")</f>
        <v/>
      </c>
      <c r="Z284" s="35" t="str">
        <f t="array" ref="Z284">IF('Ingest Template'!A284="Standard",(IF(ISBLANK('Ingest Template'!AB284),"", 'Ingest Template'!AB284&amp;"|DAR")),(IF(ISBLANK('Ingest Template'!AB284),"", 'Ingest Template'!AB284&amp;"|TV Ops")))</f>
        <v/>
      </c>
      <c r="AA284" s="35"/>
      <c r="AB284" s="35" t="str">
        <f>'Ingest Template'!R284</f>
        <v/>
      </c>
      <c r="AC284" s="35" t="str">
        <f>'Ingest Template'!T284</f>
        <v/>
      </c>
      <c r="AD284" s="35" t="str">
        <f>'Ingest Template'!S284</f>
        <v/>
      </c>
      <c r="AE284" s="35" t="str">
        <f>'Ingest Template'!U284</f>
        <v/>
      </c>
      <c r="AF284" s="22"/>
      <c r="AG284" s="35" t="str">
        <f t="array" ref="AG284">IF('Ingest Template'!A284="Standard",(CONCATENATE(IF(ISBLANK('Ingest Template'!N284),"", 'Ingest Template'!N284&amp;"|DAR"),CHAR(10), IF(ISBLANK('Ingest Template'!O284),"", 'Ingest Template'!O284&amp;"|DAR"),CHAR(10), IF(ISBLANK('Ingest Template'!P284),"", 'Ingest Template'!P284&amp;"|DAR"))),(CONCATENATE(IF(ISBLANK('Ingest Template'!N284),"", 'Ingest Template'!N284&amp;"|TV Ops"),CHAR(10), IF(ISBLANK('Ingest Template'!O284),"", 'Ingest Template'!O284&amp;"|TV Ops"),CHAR(10), IF(ISBLANK('Ingest Template'!P284),"", 'Ingest Template'!P284&amp;"|TV Ops"))))</f>
        <v>
</v>
      </c>
      <c r="AH284" s="35"/>
      <c r="AI284" s="35"/>
      <c r="AJ284" s="117" t="str">
        <f>if('Ingest Template'!A284="Standard",(IF(OR('Ingest Template'!F284 = "Program Type - Special", 'Ingest Template'!F284 = "Program Type - Live Event"),'Ingest Template'!M284&amp; "|DAR|DAR|"&amp;TEXT('Ingest Template'!C284-3, "yyyy-mm-dd")&amp;"|"&amp;TEXT('Ingest Template'!C284+3, "yyyy-mm-dd"),'Ingest Template'!M284&amp; "|DAR|DAR|2021-01-01")),(IF(OR('Ingest Template'!F284 = "Program Type - Special", 'Ingest Template'!F284 = "Program Type - Live Event"),'Ingest Template'!M284&amp; "|Operations - Core Title|Operations - Core Title|"&amp;TEXT('Ingest Template'!C284-3, "yyyy-mm-dd")&amp;"|"&amp;TEXT('Ingest Template'!C284+3, "yyyy-mm-dd"),'Ingest Template'!M284&amp; "|Operations - Core Title|Operations - Core Title")))</f>
        <v>|Operations - Core Title|Operations - Core Title</v>
      </c>
      <c r="AK284" s="35"/>
      <c r="AL284" s="117" t="str">
        <f>if('Ingest Template'!A284="Standard",(IF(OR('Ingest Template'!F284 = "Program Type - Special", 'Ingest Template'!F284 = "Program Type - Live Event"),'Ingest Template'!Q284&amp;"|"&amp;TEXT('Ingest Template'!C284-3, "yyyy-mm-dd")&amp;"|"&amp;TEXT('Ingest Template'!C284+3, "yyyy-mm-dd"),'Ingest Template'!Q284&amp; "|2021-01-01")),(IF(OR('Ingest Template'!F284 = "Program Type - Special", 'Ingest Template'!F284 = "Program Type - Live Event"),'Ingest Template'!Q284&amp; "|"&amp;TEXT('Ingest Template'!C284-3, "yyyy-mm-dd")&amp;"|"&amp;TEXT('Ingest Template'!C284+3, "yyyy-mm-dd"),'Ingest Template'!Q284)))</f>
        <v/>
      </c>
      <c r="AM284" s="35" t="str">
        <f>'Ingest Template'!AC284</f>
        <v/>
      </c>
    </row>
    <row r="285">
      <c r="A285" s="15"/>
      <c r="B285" s="22" t="str">
        <f>'Ingest Template'!C285&amp;IF('Ingest Template'!A285 = "Standard", " - DAR","")</f>
        <v/>
      </c>
      <c r="C285" s="22" t="s">
        <v>83</v>
      </c>
      <c r="D285" s="22" t="str">
        <f t="array" ref="D285">CONCATENATE(INDEX(DropdownLists!$H$2:$H$11,MATCH(1,COUNTIF('Ingest Template'!E285,"*"&amp;DropdownLists!$I$2:$I$11&amp;"*"),0)),CHAR(10),'Ingest Template'!F285,CHAR(10),'Ingest Template'!G285,CHAR(10),VLOOKUP('Ingest Template'!D285,DropdownLists!C:D,2,FALSE))</f>
        <v>#N/A</v>
      </c>
      <c r="E285" s="22" t="str">
        <f>CONCATENATE('Ingest Template'!H285,CHAR(10),'Ingest Template'!I285,CHAR(10),'Ingest Template'!J285,CHAR(10))</f>
        <v>
</v>
      </c>
      <c r="F285" s="35" t="str">
        <f t="array" ref="F285">INDEX(DropdownLists!$O$2:$O$36,MATCH(1,COUNTIF(E285,"*"&amp;DropdownLists!$N$2:$N$36&amp;"*"),0))</f>
        <v/>
      </c>
      <c r="G285" s="35"/>
      <c r="H285" s="22" t="str">
        <f t="array" ref="H285">INDEX(DropdownLists!$E$2:$E$276,MATCH('Ingest Template'!D285,DropdownLists!$C$2:$C$276,0))</f>
        <v>#N/A</v>
      </c>
      <c r="I285" s="22"/>
      <c r="J285" s="22" t="str">
        <f t="array" ref="J285">iF('Ingest Template'!A285="Standard","Pristine Brand",INDEX(DropdownLists!$B$2:$B$246,MATCH('Ingest Template'!D285,DropdownLists!$C$2:$C$246,0)))</f>
        <v>#N/A</v>
      </c>
      <c r="K285" s="22" t="str">
        <f>iF('Ingest Template'!A285="Standard",'Ingest Template'!K285&amp;CHAR(10)&amp;'Ingest Template'!L285,"Competitive View")</f>
        <v>Competitive View</v>
      </c>
      <c r="L285" s="22" t="s">
        <v>95</v>
      </c>
      <c r="M285" s="45" t="str">
        <f>'Ingest Template'!B285</f>
        <v/>
      </c>
      <c r="N285" s="35"/>
      <c r="O285" s="35"/>
      <c r="P285" s="35"/>
      <c r="Q285" s="35"/>
      <c r="R285" s="35" t="str">
        <f>'Ingest Template'!D285</f>
        <v/>
      </c>
      <c r="S285" s="22" t="s">
        <v>101</v>
      </c>
      <c r="T285" s="35" t="str">
        <f>'Ingest Template'!V285</f>
        <v/>
      </c>
      <c r="U285" s="35" t="str">
        <f>'Ingest Template'!W285</f>
        <v/>
      </c>
      <c r="V285" s="35" t="str">
        <f>LOWER(SUBSTITUTE(SUBSTITUTE(SUBSTITUTE(SUBSTITUTE(SUBSTITUTE('Ingest Template'!X285,"https:",""),"www.",""),"/",""),"?hl=en",""),"instagram.com",""))</f>
        <v/>
      </c>
      <c r="W285" s="74" t="str">
        <f t="array" ref="W285">IF(
'Ingest Template'!Y285="",
SUBSTITUTE(
INDEX(DropdownLists!$F$2:$F$277,MATCH('Ingest Template'!D285,DropdownLists!$C$2:$C$277,0)),
CHAR(10),
"|"&amp;'Ingest Template'!C285&amp;CHAR(10)
)&amp;"|"&amp;'Ingest Template'!C285,
SUBSTITUTE(
INDEX(DropdownLists!$F$2:$F$277,MATCH('Ingest Template'!D285,DropdownLists!$C$2:$C$277,0)),
CHAR(10),
"|"&amp;'Ingest Template'!C285&amp;CHAR(10)
)&amp;"|"&amp;'Ingest Template'!C285&amp;CHAR(10)&amp;'Ingest Template'!Y285
)</f>
        <v>#N/A</v>
      </c>
      <c r="X285" s="74" t="str">
        <f>'Ingest Template'!Z285</f>
        <v/>
      </c>
      <c r="Y285" s="35" t="str">
        <f>SUBSTITUTE(SUBSTITUTE(SUBSTITUTE('Ingest Template'!AA285,"http:",""),"https:",""),"/","")</f>
        <v/>
      </c>
      <c r="Z285" s="35" t="str">
        <f t="array" ref="Z285">IF('Ingest Template'!A285="Standard",(IF(ISBLANK('Ingest Template'!AB285),"", 'Ingest Template'!AB285&amp;"|DAR")),(IF(ISBLANK('Ingest Template'!AB285),"", 'Ingest Template'!AB285&amp;"|TV Ops")))</f>
        <v/>
      </c>
      <c r="AA285" s="35"/>
      <c r="AB285" s="35" t="str">
        <f>'Ingest Template'!R285</f>
        <v/>
      </c>
      <c r="AC285" s="35" t="str">
        <f>'Ingest Template'!T285</f>
        <v/>
      </c>
      <c r="AD285" s="35" t="str">
        <f>'Ingest Template'!S285</f>
        <v/>
      </c>
      <c r="AE285" s="35" t="str">
        <f>'Ingest Template'!U285</f>
        <v/>
      </c>
      <c r="AF285" s="22"/>
      <c r="AG285" s="35" t="str">
        <f t="array" ref="AG285">IF('Ingest Template'!A285="Standard",(CONCATENATE(IF(ISBLANK('Ingest Template'!N285),"", 'Ingest Template'!N285&amp;"|DAR"),CHAR(10), IF(ISBLANK('Ingest Template'!O285),"", 'Ingest Template'!O285&amp;"|DAR"),CHAR(10), IF(ISBLANK('Ingest Template'!P285),"", 'Ingest Template'!P285&amp;"|DAR"))),(CONCATENATE(IF(ISBLANK('Ingest Template'!N285),"", 'Ingest Template'!N285&amp;"|TV Ops"),CHAR(10), IF(ISBLANK('Ingest Template'!O285),"", 'Ingest Template'!O285&amp;"|TV Ops"),CHAR(10), IF(ISBLANK('Ingest Template'!P285),"", 'Ingest Template'!P285&amp;"|TV Ops"))))</f>
        <v>
</v>
      </c>
      <c r="AH285" s="35"/>
      <c r="AI285" s="35"/>
      <c r="AJ285" s="117" t="str">
        <f>if('Ingest Template'!A285="Standard",(IF(OR('Ingest Template'!F285 = "Program Type - Special", 'Ingest Template'!F285 = "Program Type - Live Event"),'Ingest Template'!M285&amp; "|DAR|DAR|"&amp;TEXT('Ingest Template'!C285-3, "yyyy-mm-dd")&amp;"|"&amp;TEXT('Ingest Template'!C285+3, "yyyy-mm-dd"),'Ingest Template'!M285&amp; "|DAR|DAR|2021-01-01")),(IF(OR('Ingest Template'!F285 = "Program Type - Special", 'Ingest Template'!F285 = "Program Type - Live Event"),'Ingest Template'!M285&amp; "|Operations - Core Title|Operations - Core Title|"&amp;TEXT('Ingest Template'!C285-3, "yyyy-mm-dd")&amp;"|"&amp;TEXT('Ingest Template'!C285+3, "yyyy-mm-dd"),'Ingest Template'!M285&amp; "|Operations - Core Title|Operations - Core Title")))</f>
        <v>|Operations - Core Title|Operations - Core Title</v>
      </c>
      <c r="AK285" s="35"/>
      <c r="AL285" s="117" t="str">
        <f>if('Ingest Template'!A285="Standard",(IF(OR('Ingest Template'!F285 = "Program Type - Special", 'Ingest Template'!F285 = "Program Type - Live Event"),'Ingest Template'!Q285&amp;"|"&amp;TEXT('Ingest Template'!C285-3, "yyyy-mm-dd")&amp;"|"&amp;TEXT('Ingest Template'!C285+3, "yyyy-mm-dd"),'Ingest Template'!Q285&amp; "|2021-01-01")),(IF(OR('Ingest Template'!F285 = "Program Type - Special", 'Ingest Template'!F285 = "Program Type - Live Event"),'Ingest Template'!Q285&amp; "|"&amp;TEXT('Ingest Template'!C285-3, "yyyy-mm-dd")&amp;"|"&amp;TEXT('Ingest Template'!C285+3, "yyyy-mm-dd"),'Ingest Template'!Q285)))</f>
        <v/>
      </c>
      <c r="AM285" s="35" t="str">
        <f>'Ingest Template'!AC285</f>
        <v/>
      </c>
    </row>
    <row r="286">
      <c r="A286" s="15"/>
      <c r="B286" s="22" t="str">
        <f>'Ingest Template'!C286&amp;IF('Ingest Template'!A286 = "Standard", " - DAR","")</f>
        <v/>
      </c>
      <c r="C286" s="22" t="s">
        <v>83</v>
      </c>
      <c r="D286" s="22" t="str">
        <f t="array" ref="D286">CONCATENATE(INDEX(DropdownLists!$H$2:$H$11,MATCH(1,COUNTIF('Ingest Template'!E286,"*"&amp;DropdownLists!$I$2:$I$11&amp;"*"),0)),CHAR(10),'Ingest Template'!F286,CHAR(10),'Ingest Template'!G286,CHAR(10),VLOOKUP('Ingest Template'!D286,DropdownLists!C:D,2,FALSE))</f>
        <v>#N/A</v>
      </c>
      <c r="E286" s="22" t="str">
        <f>CONCATENATE('Ingest Template'!H286,CHAR(10),'Ingest Template'!I286,CHAR(10),'Ingest Template'!J286,CHAR(10))</f>
        <v>
</v>
      </c>
      <c r="F286" s="35" t="str">
        <f t="array" ref="F286">INDEX(DropdownLists!$O$2:$O$36,MATCH(1,COUNTIF(E286,"*"&amp;DropdownLists!$N$2:$N$36&amp;"*"),0))</f>
        <v/>
      </c>
      <c r="G286" s="35"/>
      <c r="H286" s="22" t="str">
        <f t="array" ref="H286">INDEX(DropdownLists!$E$2:$E$276,MATCH('Ingest Template'!D286,DropdownLists!$C$2:$C$276,0))</f>
        <v>#N/A</v>
      </c>
      <c r="I286" s="22"/>
      <c r="J286" s="22" t="str">
        <f t="array" ref="J286">iF('Ingest Template'!A286="Standard","Pristine Brand",INDEX(DropdownLists!$B$2:$B$246,MATCH('Ingest Template'!D286,DropdownLists!$C$2:$C$246,0)))</f>
        <v>#N/A</v>
      </c>
      <c r="K286" s="22" t="str">
        <f>iF('Ingest Template'!A286="Standard",'Ingest Template'!K286&amp;CHAR(10)&amp;'Ingest Template'!L286,"Competitive View")</f>
        <v>Competitive View</v>
      </c>
      <c r="L286" s="22" t="s">
        <v>95</v>
      </c>
      <c r="M286" s="45" t="str">
        <f>'Ingest Template'!B286</f>
        <v/>
      </c>
      <c r="N286" s="35"/>
      <c r="O286" s="35"/>
      <c r="P286" s="35"/>
      <c r="Q286" s="35"/>
      <c r="R286" s="35" t="str">
        <f>'Ingest Template'!D286</f>
        <v/>
      </c>
      <c r="S286" s="22" t="s">
        <v>101</v>
      </c>
      <c r="T286" s="35" t="str">
        <f>'Ingest Template'!V286</f>
        <v/>
      </c>
      <c r="U286" s="35" t="str">
        <f>'Ingest Template'!W286</f>
        <v/>
      </c>
      <c r="V286" s="35" t="str">
        <f>LOWER(SUBSTITUTE(SUBSTITUTE(SUBSTITUTE(SUBSTITUTE(SUBSTITUTE('Ingest Template'!X286,"https:",""),"www.",""),"/",""),"?hl=en",""),"instagram.com",""))</f>
        <v/>
      </c>
      <c r="W286" s="74" t="str">
        <f t="array" ref="W286">IF(
'Ingest Template'!Y286="",
SUBSTITUTE(
INDEX(DropdownLists!$F$2:$F$277,MATCH('Ingest Template'!D286,DropdownLists!$C$2:$C$277,0)),
CHAR(10),
"|"&amp;'Ingest Template'!C286&amp;CHAR(10)
)&amp;"|"&amp;'Ingest Template'!C286,
SUBSTITUTE(
INDEX(DropdownLists!$F$2:$F$277,MATCH('Ingest Template'!D286,DropdownLists!$C$2:$C$277,0)),
CHAR(10),
"|"&amp;'Ingest Template'!C286&amp;CHAR(10)
)&amp;"|"&amp;'Ingest Template'!C286&amp;CHAR(10)&amp;'Ingest Template'!Y286
)</f>
        <v>#N/A</v>
      </c>
      <c r="X286" s="74" t="str">
        <f>'Ingest Template'!Z286</f>
        <v/>
      </c>
      <c r="Y286" s="35" t="str">
        <f>SUBSTITUTE(SUBSTITUTE(SUBSTITUTE('Ingest Template'!AA286,"http:",""),"https:",""),"/","")</f>
        <v/>
      </c>
      <c r="Z286" s="35" t="str">
        <f t="array" ref="Z286">IF('Ingest Template'!A286="Standard",(IF(ISBLANK('Ingest Template'!AB286),"", 'Ingest Template'!AB286&amp;"|DAR")),(IF(ISBLANK('Ingest Template'!AB286),"", 'Ingest Template'!AB286&amp;"|TV Ops")))</f>
        <v/>
      </c>
      <c r="AA286" s="35"/>
      <c r="AB286" s="35" t="str">
        <f>'Ingest Template'!R286</f>
        <v/>
      </c>
      <c r="AC286" s="35" t="str">
        <f>'Ingest Template'!T286</f>
        <v/>
      </c>
      <c r="AD286" s="35" t="str">
        <f>'Ingest Template'!S286</f>
        <v/>
      </c>
      <c r="AE286" s="35" t="str">
        <f>'Ingest Template'!U286</f>
        <v/>
      </c>
      <c r="AF286" s="22"/>
      <c r="AG286" s="35" t="str">
        <f t="array" ref="AG286">IF('Ingest Template'!A286="Standard",(CONCATENATE(IF(ISBLANK('Ingest Template'!N286),"", 'Ingest Template'!N286&amp;"|DAR"),CHAR(10), IF(ISBLANK('Ingest Template'!O286),"", 'Ingest Template'!O286&amp;"|DAR"),CHAR(10), IF(ISBLANK('Ingest Template'!P286),"", 'Ingest Template'!P286&amp;"|DAR"))),(CONCATENATE(IF(ISBLANK('Ingest Template'!N286),"", 'Ingest Template'!N286&amp;"|TV Ops"),CHAR(10), IF(ISBLANK('Ingest Template'!O286),"", 'Ingest Template'!O286&amp;"|TV Ops"),CHAR(10), IF(ISBLANK('Ingest Template'!P286),"", 'Ingest Template'!P286&amp;"|TV Ops"))))</f>
        <v>
</v>
      </c>
      <c r="AH286" s="35"/>
      <c r="AI286" s="35"/>
      <c r="AJ286" s="117" t="str">
        <f>if('Ingest Template'!A286="Standard",(IF(OR('Ingest Template'!F286 = "Program Type - Special", 'Ingest Template'!F286 = "Program Type - Live Event"),'Ingest Template'!M286&amp; "|DAR|DAR|"&amp;TEXT('Ingest Template'!C286-3, "yyyy-mm-dd")&amp;"|"&amp;TEXT('Ingest Template'!C286+3, "yyyy-mm-dd"),'Ingest Template'!M286&amp; "|DAR|DAR|2021-01-01")),(IF(OR('Ingest Template'!F286 = "Program Type - Special", 'Ingest Template'!F286 = "Program Type - Live Event"),'Ingest Template'!M286&amp; "|Operations - Core Title|Operations - Core Title|"&amp;TEXT('Ingest Template'!C286-3, "yyyy-mm-dd")&amp;"|"&amp;TEXT('Ingest Template'!C286+3, "yyyy-mm-dd"),'Ingest Template'!M286&amp; "|Operations - Core Title|Operations - Core Title")))</f>
        <v>|Operations - Core Title|Operations - Core Title</v>
      </c>
      <c r="AK286" s="35"/>
      <c r="AL286" s="117" t="str">
        <f>if('Ingest Template'!A286="Standard",(IF(OR('Ingest Template'!F286 = "Program Type - Special", 'Ingest Template'!F286 = "Program Type - Live Event"),'Ingest Template'!Q286&amp;"|"&amp;TEXT('Ingest Template'!C286-3, "yyyy-mm-dd")&amp;"|"&amp;TEXT('Ingest Template'!C286+3, "yyyy-mm-dd"),'Ingest Template'!Q286&amp; "|2021-01-01")),(IF(OR('Ingest Template'!F286 = "Program Type - Special", 'Ingest Template'!F286 = "Program Type - Live Event"),'Ingest Template'!Q286&amp; "|"&amp;TEXT('Ingest Template'!C286-3, "yyyy-mm-dd")&amp;"|"&amp;TEXT('Ingest Template'!C286+3, "yyyy-mm-dd"),'Ingest Template'!Q286)))</f>
        <v/>
      </c>
      <c r="AM286" s="35" t="str">
        <f>'Ingest Template'!AC286</f>
        <v/>
      </c>
    </row>
    <row r="287">
      <c r="A287" s="15"/>
      <c r="B287" s="22" t="str">
        <f>'Ingest Template'!C287&amp;IF('Ingest Template'!A287 = "Standard", " - DAR","")</f>
        <v/>
      </c>
      <c r="C287" s="22" t="s">
        <v>83</v>
      </c>
      <c r="D287" s="22" t="str">
        <f t="array" ref="D287">CONCATENATE(INDEX(DropdownLists!$H$2:$H$11,MATCH(1,COUNTIF('Ingest Template'!E287,"*"&amp;DropdownLists!$I$2:$I$11&amp;"*"),0)),CHAR(10),'Ingest Template'!F287,CHAR(10),'Ingest Template'!G287,CHAR(10),VLOOKUP('Ingest Template'!D287,DropdownLists!C:D,2,FALSE))</f>
        <v>#N/A</v>
      </c>
      <c r="E287" s="22" t="str">
        <f>CONCATENATE('Ingest Template'!H287,CHAR(10),'Ingest Template'!I287,CHAR(10),'Ingest Template'!J287,CHAR(10))</f>
        <v>
</v>
      </c>
      <c r="F287" s="35" t="str">
        <f t="array" ref="F287">INDEX(DropdownLists!$O$2:$O$36,MATCH(1,COUNTIF(E287,"*"&amp;DropdownLists!$N$2:$N$36&amp;"*"),0))</f>
        <v/>
      </c>
      <c r="G287" s="35"/>
      <c r="H287" s="22" t="str">
        <f t="array" ref="H287">INDEX(DropdownLists!$E$2:$E$276,MATCH('Ingest Template'!D287,DropdownLists!$C$2:$C$276,0))</f>
        <v>#N/A</v>
      </c>
      <c r="I287" s="22"/>
      <c r="J287" s="22" t="str">
        <f t="array" ref="J287">iF('Ingest Template'!A287="Standard","Pristine Brand",INDEX(DropdownLists!$B$2:$B$246,MATCH('Ingest Template'!D287,DropdownLists!$C$2:$C$246,0)))</f>
        <v>#N/A</v>
      </c>
      <c r="K287" s="22" t="str">
        <f>iF('Ingest Template'!A287="Standard",'Ingest Template'!K287&amp;CHAR(10)&amp;'Ingest Template'!L287,"Competitive View")</f>
        <v>Competitive View</v>
      </c>
      <c r="L287" s="22" t="s">
        <v>95</v>
      </c>
      <c r="M287" s="45" t="str">
        <f>'Ingest Template'!B287</f>
        <v/>
      </c>
      <c r="N287" s="35"/>
      <c r="O287" s="35"/>
      <c r="P287" s="35"/>
      <c r="Q287" s="35"/>
      <c r="R287" s="35" t="str">
        <f>'Ingest Template'!D287</f>
        <v/>
      </c>
      <c r="S287" s="22" t="s">
        <v>101</v>
      </c>
      <c r="T287" s="35" t="str">
        <f>'Ingest Template'!V287</f>
        <v/>
      </c>
      <c r="U287" s="35" t="str">
        <f>'Ingest Template'!W287</f>
        <v/>
      </c>
      <c r="V287" s="35" t="str">
        <f>LOWER(SUBSTITUTE(SUBSTITUTE(SUBSTITUTE(SUBSTITUTE(SUBSTITUTE('Ingest Template'!X287,"https:",""),"www.",""),"/",""),"?hl=en",""),"instagram.com",""))</f>
        <v/>
      </c>
      <c r="W287" s="74" t="str">
        <f t="array" ref="W287">IF(
'Ingest Template'!Y287="",
SUBSTITUTE(
INDEX(DropdownLists!$F$2:$F$277,MATCH('Ingest Template'!D287,DropdownLists!$C$2:$C$277,0)),
CHAR(10),
"|"&amp;'Ingest Template'!C287&amp;CHAR(10)
)&amp;"|"&amp;'Ingest Template'!C287,
SUBSTITUTE(
INDEX(DropdownLists!$F$2:$F$277,MATCH('Ingest Template'!D287,DropdownLists!$C$2:$C$277,0)),
CHAR(10),
"|"&amp;'Ingest Template'!C287&amp;CHAR(10)
)&amp;"|"&amp;'Ingest Template'!C287&amp;CHAR(10)&amp;'Ingest Template'!Y287
)</f>
        <v>#N/A</v>
      </c>
      <c r="X287" s="74" t="str">
        <f>'Ingest Template'!Z287</f>
        <v/>
      </c>
      <c r="Y287" s="35" t="str">
        <f>SUBSTITUTE(SUBSTITUTE(SUBSTITUTE('Ingest Template'!AA287,"http:",""),"https:",""),"/","")</f>
        <v/>
      </c>
      <c r="Z287" s="35" t="str">
        <f t="array" ref="Z287">IF('Ingest Template'!A287="Standard",(IF(ISBLANK('Ingest Template'!AB287),"", 'Ingest Template'!AB287&amp;"|DAR")),(IF(ISBLANK('Ingest Template'!AB287),"", 'Ingest Template'!AB287&amp;"|TV Ops")))</f>
        <v/>
      </c>
      <c r="AA287" s="35"/>
      <c r="AB287" s="35" t="str">
        <f>'Ingest Template'!R287</f>
        <v/>
      </c>
      <c r="AC287" s="35" t="str">
        <f>'Ingest Template'!T287</f>
        <v/>
      </c>
      <c r="AD287" s="35" t="str">
        <f>'Ingest Template'!S287</f>
        <v/>
      </c>
      <c r="AE287" s="35" t="str">
        <f>'Ingest Template'!U287</f>
        <v/>
      </c>
      <c r="AF287" s="22"/>
      <c r="AG287" s="35" t="str">
        <f t="array" ref="AG287">IF('Ingest Template'!A287="Standard",(CONCATENATE(IF(ISBLANK('Ingest Template'!N287),"", 'Ingest Template'!N287&amp;"|DAR"),CHAR(10), IF(ISBLANK('Ingest Template'!O287),"", 'Ingest Template'!O287&amp;"|DAR"),CHAR(10), IF(ISBLANK('Ingest Template'!P287),"", 'Ingest Template'!P287&amp;"|DAR"))),(CONCATENATE(IF(ISBLANK('Ingest Template'!N287),"", 'Ingest Template'!N287&amp;"|TV Ops"),CHAR(10), IF(ISBLANK('Ingest Template'!O287),"", 'Ingest Template'!O287&amp;"|TV Ops"),CHAR(10), IF(ISBLANK('Ingest Template'!P287),"", 'Ingest Template'!P287&amp;"|TV Ops"))))</f>
        <v>
</v>
      </c>
      <c r="AH287" s="35"/>
      <c r="AI287" s="35"/>
      <c r="AJ287" s="117" t="str">
        <f>if('Ingest Template'!A287="Standard",(IF(OR('Ingest Template'!F287 = "Program Type - Special", 'Ingest Template'!F287 = "Program Type - Live Event"),'Ingest Template'!M287&amp; "|DAR|DAR|"&amp;TEXT('Ingest Template'!C287-3, "yyyy-mm-dd")&amp;"|"&amp;TEXT('Ingest Template'!C287+3, "yyyy-mm-dd"),'Ingest Template'!M287&amp; "|DAR|DAR|2021-01-01")),(IF(OR('Ingest Template'!F287 = "Program Type - Special", 'Ingest Template'!F287 = "Program Type - Live Event"),'Ingest Template'!M287&amp; "|Operations - Core Title|Operations - Core Title|"&amp;TEXT('Ingest Template'!C287-3, "yyyy-mm-dd")&amp;"|"&amp;TEXT('Ingest Template'!C287+3, "yyyy-mm-dd"),'Ingest Template'!M287&amp; "|Operations - Core Title|Operations - Core Title")))</f>
        <v>|Operations - Core Title|Operations - Core Title</v>
      </c>
      <c r="AK287" s="35"/>
      <c r="AL287" s="117" t="str">
        <f>if('Ingest Template'!A287="Standard",(IF(OR('Ingest Template'!F287 = "Program Type - Special", 'Ingest Template'!F287 = "Program Type - Live Event"),'Ingest Template'!Q287&amp;"|"&amp;TEXT('Ingest Template'!C287-3, "yyyy-mm-dd")&amp;"|"&amp;TEXT('Ingest Template'!C287+3, "yyyy-mm-dd"),'Ingest Template'!Q287&amp; "|2021-01-01")),(IF(OR('Ingest Template'!F287 = "Program Type - Special", 'Ingest Template'!F287 = "Program Type - Live Event"),'Ingest Template'!Q287&amp; "|"&amp;TEXT('Ingest Template'!C287-3, "yyyy-mm-dd")&amp;"|"&amp;TEXT('Ingest Template'!C287+3, "yyyy-mm-dd"),'Ingest Template'!Q287)))</f>
        <v/>
      </c>
      <c r="AM287" s="35" t="str">
        <f>'Ingest Template'!AC287</f>
        <v/>
      </c>
    </row>
    <row r="288">
      <c r="A288" s="15"/>
      <c r="B288" s="22" t="str">
        <f>'Ingest Template'!C288&amp;IF('Ingest Template'!A288 = "Standard", " - DAR","")</f>
        <v/>
      </c>
      <c r="C288" s="22" t="s">
        <v>83</v>
      </c>
      <c r="D288" s="22" t="str">
        <f t="array" ref="D288">CONCATENATE(INDEX(DropdownLists!$H$2:$H$11,MATCH(1,COUNTIF('Ingest Template'!E288,"*"&amp;DropdownLists!$I$2:$I$11&amp;"*"),0)),CHAR(10),'Ingest Template'!F288,CHAR(10),'Ingest Template'!G288,CHAR(10),VLOOKUP('Ingest Template'!D288,DropdownLists!C:D,2,FALSE))</f>
        <v>#N/A</v>
      </c>
      <c r="E288" s="22" t="str">
        <f>CONCATENATE('Ingest Template'!H288,CHAR(10),'Ingest Template'!I288,CHAR(10),'Ingest Template'!J288,CHAR(10))</f>
        <v>
</v>
      </c>
      <c r="F288" s="35" t="str">
        <f t="array" ref="F288">INDEX(DropdownLists!$O$2:$O$36,MATCH(1,COUNTIF(E288,"*"&amp;DropdownLists!$N$2:$N$36&amp;"*"),0))</f>
        <v/>
      </c>
      <c r="G288" s="35"/>
      <c r="H288" s="22" t="str">
        <f t="array" ref="H288">INDEX(DropdownLists!$E$2:$E$276,MATCH('Ingest Template'!D288,DropdownLists!$C$2:$C$276,0))</f>
        <v>#N/A</v>
      </c>
      <c r="I288" s="22"/>
      <c r="J288" s="22" t="str">
        <f t="array" ref="J288">iF('Ingest Template'!A288="Standard","Pristine Brand",INDEX(DropdownLists!$B$2:$B$246,MATCH('Ingest Template'!D288,DropdownLists!$C$2:$C$246,0)))</f>
        <v>#N/A</v>
      </c>
      <c r="K288" s="22" t="str">
        <f>iF('Ingest Template'!A288="Standard",'Ingest Template'!K288&amp;CHAR(10)&amp;'Ingest Template'!L288,"Competitive View")</f>
        <v>Competitive View</v>
      </c>
      <c r="L288" s="22" t="s">
        <v>95</v>
      </c>
      <c r="M288" s="45" t="str">
        <f>'Ingest Template'!B288</f>
        <v/>
      </c>
      <c r="N288" s="35"/>
      <c r="O288" s="35"/>
      <c r="P288" s="35"/>
      <c r="Q288" s="35"/>
      <c r="R288" s="35" t="str">
        <f>'Ingest Template'!D288</f>
        <v/>
      </c>
      <c r="S288" s="22" t="s">
        <v>101</v>
      </c>
      <c r="T288" s="35" t="str">
        <f>'Ingest Template'!V288</f>
        <v/>
      </c>
      <c r="U288" s="35" t="str">
        <f>'Ingest Template'!W288</f>
        <v/>
      </c>
      <c r="V288" s="35" t="str">
        <f>LOWER(SUBSTITUTE(SUBSTITUTE(SUBSTITUTE(SUBSTITUTE(SUBSTITUTE('Ingest Template'!X288,"https:",""),"www.",""),"/",""),"?hl=en",""),"instagram.com",""))</f>
        <v/>
      </c>
      <c r="W288" s="74" t="str">
        <f t="array" ref="W288">IF(
'Ingest Template'!Y288="",
SUBSTITUTE(
INDEX(DropdownLists!$F$2:$F$277,MATCH('Ingest Template'!D288,DropdownLists!$C$2:$C$277,0)),
CHAR(10),
"|"&amp;'Ingest Template'!C288&amp;CHAR(10)
)&amp;"|"&amp;'Ingest Template'!C288,
SUBSTITUTE(
INDEX(DropdownLists!$F$2:$F$277,MATCH('Ingest Template'!D288,DropdownLists!$C$2:$C$277,0)),
CHAR(10),
"|"&amp;'Ingest Template'!C288&amp;CHAR(10)
)&amp;"|"&amp;'Ingest Template'!C288&amp;CHAR(10)&amp;'Ingest Template'!Y288
)</f>
        <v>#N/A</v>
      </c>
      <c r="X288" s="74" t="str">
        <f>'Ingest Template'!Z288</f>
        <v/>
      </c>
      <c r="Y288" s="35" t="str">
        <f>SUBSTITUTE(SUBSTITUTE(SUBSTITUTE('Ingest Template'!AA288,"http:",""),"https:",""),"/","")</f>
        <v/>
      </c>
      <c r="Z288" s="35" t="str">
        <f t="array" ref="Z288">IF('Ingest Template'!A288="Standard",(IF(ISBLANK('Ingest Template'!AB288),"", 'Ingest Template'!AB288&amp;"|DAR")),(IF(ISBLANK('Ingest Template'!AB288),"", 'Ingest Template'!AB288&amp;"|TV Ops")))</f>
        <v/>
      </c>
      <c r="AA288" s="35"/>
      <c r="AB288" s="35" t="str">
        <f>'Ingest Template'!R288</f>
        <v/>
      </c>
      <c r="AC288" s="35" t="str">
        <f>'Ingest Template'!T288</f>
        <v/>
      </c>
      <c r="AD288" s="35" t="str">
        <f>'Ingest Template'!S288</f>
        <v/>
      </c>
      <c r="AE288" s="35" t="str">
        <f>'Ingest Template'!U288</f>
        <v/>
      </c>
      <c r="AF288" s="22"/>
      <c r="AG288" s="35" t="str">
        <f t="array" ref="AG288">IF('Ingest Template'!A288="Standard",(CONCATENATE(IF(ISBLANK('Ingest Template'!N288),"", 'Ingest Template'!N288&amp;"|DAR"),CHAR(10), IF(ISBLANK('Ingest Template'!O288),"", 'Ingest Template'!O288&amp;"|DAR"),CHAR(10), IF(ISBLANK('Ingest Template'!P288),"", 'Ingest Template'!P288&amp;"|DAR"))),(CONCATENATE(IF(ISBLANK('Ingest Template'!N288),"", 'Ingest Template'!N288&amp;"|TV Ops"),CHAR(10), IF(ISBLANK('Ingest Template'!O288),"", 'Ingest Template'!O288&amp;"|TV Ops"),CHAR(10), IF(ISBLANK('Ingest Template'!P288),"", 'Ingest Template'!P288&amp;"|TV Ops"))))</f>
        <v>
</v>
      </c>
      <c r="AH288" s="35"/>
      <c r="AI288" s="35"/>
      <c r="AJ288" s="117" t="str">
        <f>if('Ingest Template'!A288="Standard",(IF(OR('Ingest Template'!F288 = "Program Type - Special", 'Ingest Template'!F288 = "Program Type - Live Event"),'Ingest Template'!M288&amp; "|DAR|DAR|"&amp;TEXT('Ingest Template'!C288-3, "yyyy-mm-dd")&amp;"|"&amp;TEXT('Ingest Template'!C288+3, "yyyy-mm-dd"),'Ingest Template'!M288&amp; "|DAR|DAR|2021-01-01")),(IF(OR('Ingest Template'!F288 = "Program Type - Special", 'Ingest Template'!F288 = "Program Type - Live Event"),'Ingest Template'!M288&amp; "|Operations - Core Title|Operations - Core Title|"&amp;TEXT('Ingest Template'!C288-3, "yyyy-mm-dd")&amp;"|"&amp;TEXT('Ingest Template'!C288+3, "yyyy-mm-dd"),'Ingest Template'!M288&amp; "|Operations - Core Title|Operations - Core Title")))</f>
        <v>|Operations - Core Title|Operations - Core Title</v>
      </c>
      <c r="AK288" s="35"/>
      <c r="AL288" s="117" t="str">
        <f>if('Ingest Template'!A288="Standard",(IF(OR('Ingest Template'!F288 = "Program Type - Special", 'Ingest Template'!F288 = "Program Type - Live Event"),'Ingest Template'!Q288&amp;"|"&amp;TEXT('Ingest Template'!C288-3, "yyyy-mm-dd")&amp;"|"&amp;TEXT('Ingest Template'!C288+3, "yyyy-mm-dd"),'Ingest Template'!Q288&amp; "|2021-01-01")),(IF(OR('Ingest Template'!F288 = "Program Type - Special", 'Ingest Template'!F288 = "Program Type - Live Event"),'Ingest Template'!Q288&amp; "|"&amp;TEXT('Ingest Template'!C288-3, "yyyy-mm-dd")&amp;"|"&amp;TEXT('Ingest Template'!C288+3, "yyyy-mm-dd"),'Ingest Template'!Q288)))</f>
        <v/>
      </c>
      <c r="AM288" s="35" t="str">
        <f>'Ingest Template'!AC288</f>
        <v/>
      </c>
    </row>
    <row r="289">
      <c r="A289" s="15"/>
      <c r="B289" s="22" t="str">
        <f>'Ingest Template'!C289&amp;IF('Ingest Template'!A289 = "Standard", " - DAR","")</f>
        <v/>
      </c>
      <c r="C289" s="22" t="s">
        <v>83</v>
      </c>
      <c r="D289" s="22" t="str">
        <f t="array" ref="D289">CONCATENATE(INDEX(DropdownLists!$H$2:$H$11,MATCH(1,COUNTIF('Ingest Template'!E289,"*"&amp;DropdownLists!$I$2:$I$11&amp;"*"),0)),CHAR(10),'Ingest Template'!F289,CHAR(10),'Ingest Template'!G289,CHAR(10),VLOOKUP('Ingest Template'!D289,DropdownLists!C:D,2,FALSE))</f>
        <v>#N/A</v>
      </c>
      <c r="E289" s="22" t="str">
        <f>CONCATENATE('Ingest Template'!H289,CHAR(10),'Ingest Template'!I289,CHAR(10),'Ingest Template'!J289,CHAR(10))</f>
        <v>
</v>
      </c>
      <c r="F289" s="35" t="str">
        <f t="array" ref="F289">INDEX(DropdownLists!$O$2:$O$36,MATCH(1,COUNTIF(E289,"*"&amp;DropdownLists!$N$2:$N$36&amp;"*"),0))</f>
        <v/>
      </c>
      <c r="G289" s="35"/>
      <c r="H289" s="22" t="str">
        <f t="array" ref="H289">INDEX(DropdownLists!$E$2:$E$276,MATCH('Ingest Template'!D289,DropdownLists!$C$2:$C$276,0))</f>
        <v>#N/A</v>
      </c>
      <c r="I289" s="22"/>
      <c r="J289" s="22" t="str">
        <f t="array" ref="J289">iF('Ingest Template'!A289="Standard","Pristine Brand",INDEX(DropdownLists!$B$2:$B$246,MATCH('Ingest Template'!D289,DropdownLists!$C$2:$C$246,0)))</f>
        <v>#N/A</v>
      </c>
      <c r="K289" s="22" t="str">
        <f>iF('Ingest Template'!A289="Standard",'Ingest Template'!K289&amp;CHAR(10)&amp;'Ingest Template'!L289,"Competitive View")</f>
        <v>Competitive View</v>
      </c>
      <c r="L289" s="22" t="s">
        <v>95</v>
      </c>
      <c r="M289" s="45" t="str">
        <f>'Ingest Template'!B289</f>
        <v/>
      </c>
      <c r="N289" s="35"/>
      <c r="O289" s="35"/>
      <c r="P289" s="35"/>
      <c r="Q289" s="35"/>
      <c r="R289" s="35" t="str">
        <f>'Ingest Template'!D289</f>
        <v/>
      </c>
      <c r="S289" s="22" t="s">
        <v>101</v>
      </c>
      <c r="T289" s="35" t="str">
        <f>'Ingest Template'!V289</f>
        <v/>
      </c>
      <c r="U289" s="35" t="str">
        <f>'Ingest Template'!W289</f>
        <v/>
      </c>
      <c r="V289" s="35" t="str">
        <f>LOWER(SUBSTITUTE(SUBSTITUTE(SUBSTITUTE(SUBSTITUTE(SUBSTITUTE('Ingest Template'!X289,"https:",""),"www.",""),"/",""),"?hl=en",""),"instagram.com",""))</f>
        <v/>
      </c>
      <c r="W289" s="74" t="str">
        <f t="array" ref="W289">IF(
'Ingest Template'!Y289="",
SUBSTITUTE(
INDEX(DropdownLists!$F$2:$F$277,MATCH('Ingest Template'!D289,DropdownLists!$C$2:$C$277,0)),
CHAR(10),
"|"&amp;'Ingest Template'!C289&amp;CHAR(10)
)&amp;"|"&amp;'Ingest Template'!C289,
SUBSTITUTE(
INDEX(DropdownLists!$F$2:$F$277,MATCH('Ingest Template'!D289,DropdownLists!$C$2:$C$277,0)),
CHAR(10),
"|"&amp;'Ingest Template'!C289&amp;CHAR(10)
)&amp;"|"&amp;'Ingest Template'!C289&amp;CHAR(10)&amp;'Ingest Template'!Y289
)</f>
        <v>#N/A</v>
      </c>
      <c r="X289" s="74" t="str">
        <f>'Ingest Template'!Z289</f>
        <v/>
      </c>
      <c r="Y289" s="35" t="str">
        <f>SUBSTITUTE(SUBSTITUTE(SUBSTITUTE('Ingest Template'!AA289,"http:",""),"https:",""),"/","")</f>
        <v/>
      </c>
      <c r="Z289" s="35" t="str">
        <f t="array" ref="Z289">IF('Ingest Template'!A289="Standard",(IF(ISBLANK('Ingest Template'!AB289),"", 'Ingest Template'!AB289&amp;"|DAR")),(IF(ISBLANK('Ingest Template'!AB289),"", 'Ingest Template'!AB289&amp;"|TV Ops")))</f>
        <v/>
      </c>
      <c r="AA289" s="35"/>
      <c r="AB289" s="35" t="str">
        <f>'Ingest Template'!R289</f>
        <v/>
      </c>
      <c r="AC289" s="35" t="str">
        <f>'Ingest Template'!T289</f>
        <v/>
      </c>
      <c r="AD289" s="35" t="str">
        <f>'Ingest Template'!S289</f>
        <v/>
      </c>
      <c r="AE289" s="35" t="str">
        <f>'Ingest Template'!U289</f>
        <v/>
      </c>
      <c r="AF289" s="22"/>
      <c r="AG289" s="35" t="str">
        <f t="array" ref="AG289">IF('Ingest Template'!A289="Standard",(CONCATENATE(IF(ISBLANK('Ingest Template'!N289),"", 'Ingest Template'!N289&amp;"|DAR"),CHAR(10), IF(ISBLANK('Ingest Template'!O289),"", 'Ingest Template'!O289&amp;"|DAR"),CHAR(10), IF(ISBLANK('Ingest Template'!P289),"", 'Ingest Template'!P289&amp;"|DAR"))),(CONCATENATE(IF(ISBLANK('Ingest Template'!N289),"", 'Ingest Template'!N289&amp;"|TV Ops"),CHAR(10), IF(ISBLANK('Ingest Template'!O289),"", 'Ingest Template'!O289&amp;"|TV Ops"),CHAR(10), IF(ISBLANK('Ingest Template'!P289),"", 'Ingest Template'!P289&amp;"|TV Ops"))))</f>
        <v>
</v>
      </c>
      <c r="AH289" s="35"/>
      <c r="AI289" s="35"/>
      <c r="AJ289" s="117" t="str">
        <f>if('Ingest Template'!A289="Standard",(IF(OR('Ingest Template'!F289 = "Program Type - Special", 'Ingest Template'!F289 = "Program Type - Live Event"),'Ingest Template'!M289&amp; "|DAR|DAR|"&amp;TEXT('Ingest Template'!C289-3, "yyyy-mm-dd")&amp;"|"&amp;TEXT('Ingest Template'!C289+3, "yyyy-mm-dd"),'Ingest Template'!M289&amp; "|DAR|DAR|2021-01-01")),(IF(OR('Ingest Template'!F289 = "Program Type - Special", 'Ingest Template'!F289 = "Program Type - Live Event"),'Ingest Template'!M289&amp; "|Operations - Core Title|Operations - Core Title|"&amp;TEXT('Ingest Template'!C289-3, "yyyy-mm-dd")&amp;"|"&amp;TEXT('Ingest Template'!C289+3, "yyyy-mm-dd"),'Ingest Template'!M289&amp; "|Operations - Core Title|Operations - Core Title")))</f>
        <v>|Operations - Core Title|Operations - Core Title</v>
      </c>
      <c r="AK289" s="35"/>
      <c r="AL289" s="117" t="str">
        <f>if('Ingest Template'!A289="Standard",(IF(OR('Ingest Template'!F289 = "Program Type - Special", 'Ingest Template'!F289 = "Program Type - Live Event"),'Ingest Template'!Q289&amp;"|"&amp;TEXT('Ingest Template'!C289-3, "yyyy-mm-dd")&amp;"|"&amp;TEXT('Ingest Template'!C289+3, "yyyy-mm-dd"),'Ingest Template'!Q289&amp; "|2021-01-01")),(IF(OR('Ingest Template'!F289 = "Program Type - Special", 'Ingest Template'!F289 = "Program Type - Live Event"),'Ingest Template'!Q289&amp; "|"&amp;TEXT('Ingest Template'!C289-3, "yyyy-mm-dd")&amp;"|"&amp;TEXT('Ingest Template'!C289+3, "yyyy-mm-dd"),'Ingest Template'!Q289)))</f>
        <v/>
      </c>
      <c r="AM289" s="35" t="str">
        <f>'Ingest Template'!AC289</f>
        <v/>
      </c>
    </row>
    <row r="290">
      <c r="A290" s="15"/>
      <c r="B290" s="22" t="str">
        <f>'Ingest Template'!C290&amp;IF('Ingest Template'!A290 = "Standard", " - DAR","")</f>
        <v/>
      </c>
      <c r="C290" s="22" t="s">
        <v>83</v>
      </c>
      <c r="D290" s="22" t="str">
        <f t="array" ref="D290">CONCATENATE(INDEX(DropdownLists!$H$2:$H$11,MATCH(1,COUNTIF('Ingest Template'!E290,"*"&amp;DropdownLists!$I$2:$I$11&amp;"*"),0)),CHAR(10),'Ingest Template'!F290,CHAR(10),'Ingest Template'!G290,CHAR(10),VLOOKUP('Ingest Template'!D290,DropdownLists!C:D,2,FALSE))</f>
        <v>#N/A</v>
      </c>
      <c r="E290" s="22" t="str">
        <f>CONCATENATE('Ingest Template'!H290,CHAR(10),'Ingest Template'!I290,CHAR(10),'Ingest Template'!J290,CHAR(10))</f>
        <v>
</v>
      </c>
      <c r="F290" s="35" t="str">
        <f t="array" ref="F290">INDEX(DropdownLists!$O$2:$O$36,MATCH(1,COUNTIF(E290,"*"&amp;DropdownLists!$N$2:$N$36&amp;"*"),0))</f>
        <v/>
      </c>
      <c r="G290" s="35"/>
      <c r="H290" s="22" t="str">
        <f t="array" ref="H290">INDEX(DropdownLists!$E$2:$E$276,MATCH('Ingest Template'!D290,DropdownLists!$C$2:$C$276,0))</f>
        <v>#N/A</v>
      </c>
      <c r="I290" s="22"/>
      <c r="J290" s="22" t="str">
        <f t="array" ref="J290">iF('Ingest Template'!A290="Standard","Pristine Brand",INDEX(DropdownLists!$B$2:$B$246,MATCH('Ingest Template'!D290,DropdownLists!$C$2:$C$246,0)))</f>
        <v>#N/A</v>
      </c>
      <c r="K290" s="22" t="str">
        <f>iF('Ingest Template'!A290="Standard",'Ingest Template'!K290&amp;CHAR(10)&amp;'Ingest Template'!L290,"Competitive View")</f>
        <v>Competitive View</v>
      </c>
      <c r="L290" s="22" t="s">
        <v>95</v>
      </c>
      <c r="M290" s="45" t="str">
        <f>'Ingest Template'!B290</f>
        <v/>
      </c>
      <c r="N290" s="35"/>
      <c r="O290" s="35"/>
      <c r="P290" s="35"/>
      <c r="Q290" s="35"/>
      <c r="R290" s="35" t="str">
        <f>'Ingest Template'!D290</f>
        <v/>
      </c>
      <c r="S290" s="22" t="s">
        <v>101</v>
      </c>
      <c r="T290" s="35" t="str">
        <f>'Ingest Template'!V290</f>
        <v/>
      </c>
      <c r="U290" s="35" t="str">
        <f>'Ingest Template'!W290</f>
        <v/>
      </c>
      <c r="V290" s="35" t="str">
        <f>LOWER(SUBSTITUTE(SUBSTITUTE(SUBSTITUTE(SUBSTITUTE(SUBSTITUTE('Ingest Template'!X290,"https:",""),"www.",""),"/",""),"?hl=en",""),"instagram.com",""))</f>
        <v/>
      </c>
      <c r="W290" s="74" t="str">
        <f t="array" ref="W290">IF(
'Ingest Template'!Y290="",
SUBSTITUTE(
INDEX(DropdownLists!$F$2:$F$277,MATCH('Ingest Template'!D290,DropdownLists!$C$2:$C$277,0)),
CHAR(10),
"|"&amp;'Ingest Template'!C290&amp;CHAR(10)
)&amp;"|"&amp;'Ingest Template'!C290,
SUBSTITUTE(
INDEX(DropdownLists!$F$2:$F$277,MATCH('Ingest Template'!D290,DropdownLists!$C$2:$C$277,0)),
CHAR(10),
"|"&amp;'Ingest Template'!C290&amp;CHAR(10)
)&amp;"|"&amp;'Ingest Template'!C290&amp;CHAR(10)&amp;'Ingest Template'!Y290
)</f>
        <v>#N/A</v>
      </c>
      <c r="X290" s="74" t="str">
        <f>'Ingest Template'!Z290</f>
        <v/>
      </c>
      <c r="Y290" s="35" t="str">
        <f>SUBSTITUTE(SUBSTITUTE(SUBSTITUTE('Ingest Template'!AA290,"http:",""),"https:",""),"/","")</f>
        <v/>
      </c>
      <c r="Z290" s="35" t="str">
        <f t="array" ref="Z290">IF('Ingest Template'!A290="Standard",(IF(ISBLANK('Ingest Template'!AB290),"", 'Ingest Template'!AB290&amp;"|DAR")),(IF(ISBLANK('Ingest Template'!AB290),"", 'Ingest Template'!AB290&amp;"|TV Ops")))</f>
        <v/>
      </c>
      <c r="AA290" s="35"/>
      <c r="AB290" s="35" t="str">
        <f>'Ingest Template'!R290</f>
        <v/>
      </c>
      <c r="AC290" s="35" t="str">
        <f>'Ingest Template'!T290</f>
        <v/>
      </c>
      <c r="AD290" s="35" t="str">
        <f>'Ingest Template'!S290</f>
        <v/>
      </c>
      <c r="AE290" s="35" t="str">
        <f>'Ingest Template'!U290</f>
        <v/>
      </c>
      <c r="AF290" s="22"/>
      <c r="AG290" s="35" t="str">
        <f t="array" ref="AG290">IF('Ingest Template'!A290="Standard",(CONCATENATE(IF(ISBLANK('Ingest Template'!N290),"", 'Ingest Template'!N290&amp;"|DAR"),CHAR(10), IF(ISBLANK('Ingest Template'!O290),"", 'Ingest Template'!O290&amp;"|DAR"),CHAR(10), IF(ISBLANK('Ingest Template'!P290),"", 'Ingest Template'!P290&amp;"|DAR"))),(CONCATENATE(IF(ISBLANK('Ingest Template'!N290),"", 'Ingest Template'!N290&amp;"|TV Ops"),CHAR(10), IF(ISBLANK('Ingest Template'!O290),"", 'Ingest Template'!O290&amp;"|TV Ops"),CHAR(10), IF(ISBLANK('Ingest Template'!P290),"", 'Ingest Template'!P290&amp;"|TV Ops"))))</f>
        <v>
</v>
      </c>
      <c r="AH290" s="35"/>
      <c r="AI290" s="35"/>
      <c r="AJ290" s="117" t="str">
        <f>if('Ingest Template'!A290="Standard",(IF(OR('Ingest Template'!F290 = "Program Type - Special", 'Ingest Template'!F290 = "Program Type - Live Event"),'Ingest Template'!M290&amp; "|DAR|DAR|"&amp;TEXT('Ingest Template'!C290-3, "yyyy-mm-dd")&amp;"|"&amp;TEXT('Ingest Template'!C290+3, "yyyy-mm-dd"),'Ingest Template'!M290&amp; "|DAR|DAR|2021-01-01")),(IF(OR('Ingest Template'!F290 = "Program Type - Special", 'Ingest Template'!F290 = "Program Type - Live Event"),'Ingest Template'!M290&amp; "|Operations - Core Title|Operations - Core Title|"&amp;TEXT('Ingest Template'!C290-3, "yyyy-mm-dd")&amp;"|"&amp;TEXT('Ingest Template'!C290+3, "yyyy-mm-dd"),'Ingest Template'!M290&amp; "|Operations - Core Title|Operations - Core Title")))</f>
        <v>|Operations - Core Title|Operations - Core Title</v>
      </c>
      <c r="AK290" s="35"/>
      <c r="AL290" s="117" t="str">
        <f>if('Ingest Template'!A290="Standard",(IF(OR('Ingest Template'!F290 = "Program Type - Special", 'Ingest Template'!F290 = "Program Type - Live Event"),'Ingest Template'!Q290&amp;"|"&amp;TEXT('Ingest Template'!C290-3, "yyyy-mm-dd")&amp;"|"&amp;TEXT('Ingest Template'!C290+3, "yyyy-mm-dd"),'Ingest Template'!Q290&amp; "|2021-01-01")),(IF(OR('Ingest Template'!F290 = "Program Type - Special", 'Ingest Template'!F290 = "Program Type - Live Event"),'Ingest Template'!Q290&amp; "|"&amp;TEXT('Ingest Template'!C290-3, "yyyy-mm-dd")&amp;"|"&amp;TEXT('Ingest Template'!C290+3, "yyyy-mm-dd"),'Ingest Template'!Q290)))</f>
        <v/>
      </c>
      <c r="AM290" s="35" t="str">
        <f>'Ingest Template'!AC290</f>
        <v/>
      </c>
    </row>
    <row r="291">
      <c r="A291" s="15"/>
      <c r="B291" s="22" t="str">
        <f>'Ingest Template'!C291&amp;IF('Ingest Template'!A291 = "Standard", " - DAR","")</f>
        <v/>
      </c>
      <c r="C291" s="22" t="s">
        <v>83</v>
      </c>
      <c r="D291" s="22" t="str">
        <f t="array" ref="D291">CONCATENATE(INDEX(DropdownLists!$H$2:$H$11,MATCH(1,COUNTIF('Ingest Template'!E291,"*"&amp;DropdownLists!$I$2:$I$11&amp;"*"),0)),CHAR(10),'Ingest Template'!F291,CHAR(10),'Ingest Template'!G291,CHAR(10),VLOOKUP('Ingest Template'!D291,DropdownLists!C:D,2,FALSE))</f>
        <v>#N/A</v>
      </c>
      <c r="E291" s="22" t="str">
        <f>CONCATENATE('Ingest Template'!H291,CHAR(10),'Ingest Template'!I291,CHAR(10),'Ingest Template'!J291,CHAR(10))</f>
        <v>
</v>
      </c>
      <c r="F291" s="35" t="str">
        <f t="array" ref="F291">INDEX(DropdownLists!$O$2:$O$36,MATCH(1,COUNTIF(E291,"*"&amp;DropdownLists!$N$2:$N$36&amp;"*"),0))</f>
        <v/>
      </c>
      <c r="G291" s="35"/>
      <c r="H291" s="22" t="str">
        <f t="array" ref="H291">INDEX(DropdownLists!$E$2:$E$276,MATCH('Ingest Template'!D291,DropdownLists!$C$2:$C$276,0))</f>
        <v>#N/A</v>
      </c>
      <c r="I291" s="22"/>
      <c r="J291" s="22" t="str">
        <f t="array" ref="J291">iF('Ingest Template'!A291="Standard","Pristine Brand",INDEX(DropdownLists!$B$2:$B$246,MATCH('Ingest Template'!D291,DropdownLists!$C$2:$C$246,0)))</f>
        <v>#N/A</v>
      </c>
      <c r="K291" s="22" t="str">
        <f>iF('Ingest Template'!A291="Standard",'Ingest Template'!K291&amp;CHAR(10)&amp;'Ingest Template'!L291,"Competitive View")</f>
        <v>Competitive View</v>
      </c>
      <c r="L291" s="22" t="s">
        <v>95</v>
      </c>
      <c r="M291" s="45" t="str">
        <f>'Ingest Template'!B291</f>
        <v/>
      </c>
      <c r="N291" s="35"/>
      <c r="O291" s="35"/>
      <c r="P291" s="35"/>
      <c r="Q291" s="35"/>
      <c r="R291" s="35" t="str">
        <f>'Ingest Template'!D291</f>
        <v/>
      </c>
      <c r="S291" s="22" t="s">
        <v>101</v>
      </c>
      <c r="T291" s="35" t="str">
        <f>'Ingest Template'!V291</f>
        <v/>
      </c>
      <c r="U291" s="35" t="str">
        <f>'Ingest Template'!W291</f>
        <v/>
      </c>
      <c r="V291" s="35" t="str">
        <f>LOWER(SUBSTITUTE(SUBSTITUTE(SUBSTITUTE(SUBSTITUTE(SUBSTITUTE('Ingest Template'!X291,"https:",""),"www.",""),"/",""),"?hl=en",""),"instagram.com",""))</f>
        <v/>
      </c>
      <c r="W291" s="74" t="str">
        <f t="array" ref="W291">IF(
'Ingest Template'!Y291="",
SUBSTITUTE(
INDEX(DropdownLists!$F$2:$F$277,MATCH('Ingest Template'!D291,DropdownLists!$C$2:$C$277,0)),
CHAR(10),
"|"&amp;'Ingest Template'!C291&amp;CHAR(10)
)&amp;"|"&amp;'Ingest Template'!C291,
SUBSTITUTE(
INDEX(DropdownLists!$F$2:$F$277,MATCH('Ingest Template'!D291,DropdownLists!$C$2:$C$277,0)),
CHAR(10),
"|"&amp;'Ingest Template'!C291&amp;CHAR(10)
)&amp;"|"&amp;'Ingest Template'!C291&amp;CHAR(10)&amp;'Ingest Template'!Y291
)</f>
        <v>#N/A</v>
      </c>
      <c r="X291" s="74" t="str">
        <f>'Ingest Template'!Z291</f>
        <v/>
      </c>
      <c r="Y291" s="35" t="str">
        <f>SUBSTITUTE(SUBSTITUTE(SUBSTITUTE('Ingest Template'!AA291,"http:",""),"https:",""),"/","")</f>
        <v/>
      </c>
      <c r="Z291" s="35" t="str">
        <f t="array" ref="Z291">IF('Ingest Template'!A291="Standard",(IF(ISBLANK('Ingest Template'!AB291),"", 'Ingest Template'!AB291&amp;"|DAR")),(IF(ISBLANK('Ingest Template'!AB291),"", 'Ingest Template'!AB291&amp;"|TV Ops")))</f>
        <v/>
      </c>
      <c r="AA291" s="35"/>
      <c r="AB291" s="35" t="str">
        <f>'Ingest Template'!R291</f>
        <v/>
      </c>
      <c r="AC291" s="35" t="str">
        <f>'Ingest Template'!T291</f>
        <v/>
      </c>
      <c r="AD291" s="35" t="str">
        <f>'Ingest Template'!S291</f>
        <v/>
      </c>
      <c r="AE291" s="35" t="str">
        <f>'Ingest Template'!U291</f>
        <v/>
      </c>
      <c r="AF291" s="22"/>
      <c r="AG291" s="35" t="str">
        <f t="array" ref="AG291">IF('Ingest Template'!A291="Standard",(CONCATENATE(IF(ISBLANK('Ingest Template'!N291),"", 'Ingest Template'!N291&amp;"|DAR"),CHAR(10), IF(ISBLANK('Ingest Template'!O291),"", 'Ingest Template'!O291&amp;"|DAR"),CHAR(10), IF(ISBLANK('Ingest Template'!P291),"", 'Ingest Template'!P291&amp;"|DAR"))),(CONCATENATE(IF(ISBLANK('Ingest Template'!N291),"", 'Ingest Template'!N291&amp;"|TV Ops"),CHAR(10), IF(ISBLANK('Ingest Template'!O291),"", 'Ingest Template'!O291&amp;"|TV Ops"),CHAR(10), IF(ISBLANK('Ingest Template'!P291),"", 'Ingest Template'!P291&amp;"|TV Ops"))))</f>
        <v>
</v>
      </c>
      <c r="AH291" s="35"/>
      <c r="AI291" s="35"/>
      <c r="AJ291" s="117" t="str">
        <f>if('Ingest Template'!A291="Standard",(IF(OR('Ingest Template'!F291 = "Program Type - Special", 'Ingest Template'!F291 = "Program Type - Live Event"),'Ingest Template'!M291&amp; "|DAR|DAR|"&amp;TEXT('Ingest Template'!C291-3, "yyyy-mm-dd")&amp;"|"&amp;TEXT('Ingest Template'!C291+3, "yyyy-mm-dd"),'Ingest Template'!M291&amp; "|DAR|DAR|2021-01-01")),(IF(OR('Ingest Template'!F291 = "Program Type - Special", 'Ingest Template'!F291 = "Program Type - Live Event"),'Ingest Template'!M291&amp; "|Operations - Core Title|Operations - Core Title|"&amp;TEXT('Ingest Template'!C291-3, "yyyy-mm-dd")&amp;"|"&amp;TEXT('Ingest Template'!C291+3, "yyyy-mm-dd"),'Ingest Template'!M291&amp; "|Operations - Core Title|Operations - Core Title")))</f>
        <v>|Operations - Core Title|Operations - Core Title</v>
      </c>
      <c r="AK291" s="35"/>
      <c r="AL291" s="117" t="str">
        <f>if('Ingest Template'!A291="Standard",(IF(OR('Ingest Template'!F291 = "Program Type - Special", 'Ingest Template'!F291 = "Program Type - Live Event"),'Ingest Template'!Q291&amp;"|"&amp;TEXT('Ingest Template'!C291-3, "yyyy-mm-dd")&amp;"|"&amp;TEXT('Ingest Template'!C291+3, "yyyy-mm-dd"),'Ingest Template'!Q291&amp; "|2021-01-01")),(IF(OR('Ingest Template'!F291 = "Program Type - Special", 'Ingest Template'!F291 = "Program Type - Live Event"),'Ingest Template'!Q291&amp; "|"&amp;TEXT('Ingest Template'!C291-3, "yyyy-mm-dd")&amp;"|"&amp;TEXT('Ingest Template'!C291+3, "yyyy-mm-dd"),'Ingest Template'!Q291)))</f>
        <v/>
      </c>
      <c r="AM291" s="35" t="str">
        <f>'Ingest Template'!AC291</f>
        <v/>
      </c>
    </row>
    <row r="292">
      <c r="A292" s="15"/>
      <c r="B292" s="22" t="str">
        <f>'Ingest Template'!C292&amp;IF('Ingest Template'!A292 = "Standard", " - DAR","")</f>
        <v/>
      </c>
      <c r="C292" s="22" t="s">
        <v>83</v>
      </c>
      <c r="D292" s="22" t="str">
        <f t="array" ref="D292">CONCATENATE(INDEX(DropdownLists!$H$2:$H$11,MATCH(1,COUNTIF('Ingest Template'!E292,"*"&amp;DropdownLists!$I$2:$I$11&amp;"*"),0)),CHAR(10),'Ingest Template'!F292,CHAR(10),'Ingest Template'!G292,CHAR(10),VLOOKUP('Ingest Template'!D292,DropdownLists!C:D,2,FALSE))</f>
        <v>#N/A</v>
      </c>
      <c r="E292" s="22" t="str">
        <f>CONCATENATE('Ingest Template'!H292,CHAR(10),'Ingest Template'!I292,CHAR(10),'Ingest Template'!J292,CHAR(10))</f>
        <v>
</v>
      </c>
      <c r="F292" s="35" t="str">
        <f t="array" ref="F292">INDEX(DropdownLists!$O$2:$O$36,MATCH(1,COUNTIF(E292,"*"&amp;DropdownLists!$N$2:$N$36&amp;"*"),0))</f>
        <v/>
      </c>
      <c r="G292" s="35"/>
      <c r="H292" s="22" t="str">
        <f t="array" ref="H292">INDEX(DropdownLists!$E$2:$E$276,MATCH('Ingest Template'!D292,DropdownLists!$C$2:$C$276,0))</f>
        <v>#N/A</v>
      </c>
      <c r="I292" s="22"/>
      <c r="J292" s="22" t="str">
        <f t="array" ref="J292">iF('Ingest Template'!A292="Standard","Pristine Brand",INDEX(DropdownLists!$B$2:$B$246,MATCH('Ingest Template'!D292,DropdownLists!$C$2:$C$246,0)))</f>
        <v>#N/A</v>
      </c>
      <c r="K292" s="22" t="str">
        <f>iF('Ingest Template'!A292="Standard",'Ingest Template'!K292&amp;CHAR(10)&amp;'Ingest Template'!L292,"Competitive View")</f>
        <v>Competitive View</v>
      </c>
      <c r="L292" s="22" t="s">
        <v>95</v>
      </c>
      <c r="M292" s="45" t="str">
        <f>'Ingest Template'!B292</f>
        <v/>
      </c>
      <c r="N292" s="35"/>
      <c r="O292" s="35"/>
      <c r="P292" s="35"/>
      <c r="Q292" s="35"/>
      <c r="R292" s="35" t="str">
        <f>'Ingest Template'!D292</f>
        <v/>
      </c>
      <c r="S292" s="22" t="s">
        <v>101</v>
      </c>
      <c r="T292" s="35" t="str">
        <f>'Ingest Template'!V292</f>
        <v/>
      </c>
      <c r="U292" s="35" t="str">
        <f>'Ingest Template'!W292</f>
        <v/>
      </c>
      <c r="V292" s="35" t="str">
        <f>LOWER(SUBSTITUTE(SUBSTITUTE(SUBSTITUTE(SUBSTITUTE(SUBSTITUTE('Ingest Template'!X292,"https:",""),"www.",""),"/",""),"?hl=en",""),"instagram.com",""))</f>
        <v/>
      </c>
      <c r="W292" s="74" t="str">
        <f t="array" ref="W292">IF(
'Ingest Template'!Y292="",
SUBSTITUTE(
INDEX(DropdownLists!$F$2:$F$277,MATCH('Ingest Template'!D292,DropdownLists!$C$2:$C$277,0)),
CHAR(10),
"|"&amp;'Ingest Template'!C292&amp;CHAR(10)
)&amp;"|"&amp;'Ingest Template'!C292,
SUBSTITUTE(
INDEX(DropdownLists!$F$2:$F$277,MATCH('Ingest Template'!D292,DropdownLists!$C$2:$C$277,0)),
CHAR(10),
"|"&amp;'Ingest Template'!C292&amp;CHAR(10)
)&amp;"|"&amp;'Ingest Template'!C292&amp;CHAR(10)&amp;'Ingest Template'!Y292
)</f>
        <v>#N/A</v>
      </c>
      <c r="X292" s="74" t="str">
        <f>'Ingest Template'!Z292</f>
        <v/>
      </c>
      <c r="Y292" s="35" t="str">
        <f>SUBSTITUTE(SUBSTITUTE(SUBSTITUTE('Ingest Template'!AA292,"http:",""),"https:",""),"/","")</f>
        <v/>
      </c>
      <c r="Z292" s="35" t="str">
        <f t="array" ref="Z292">IF('Ingest Template'!A292="Standard",(IF(ISBLANK('Ingest Template'!AB292),"", 'Ingest Template'!AB292&amp;"|DAR")),(IF(ISBLANK('Ingest Template'!AB292),"", 'Ingest Template'!AB292&amp;"|TV Ops")))</f>
        <v/>
      </c>
      <c r="AA292" s="35"/>
      <c r="AB292" s="35" t="str">
        <f>'Ingest Template'!R292</f>
        <v/>
      </c>
      <c r="AC292" s="35" t="str">
        <f>'Ingest Template'!T292</f>
        <v/>
      </c>
      <c r="AD292" s="35" t="str">
        <f>'Ingest Template'!S292</f>
        <v/>
      </c>
      <c r="AE292" s="35" t="str">
        <f>'Ingest Template'!U292</f>
        <v/>
      </c>
      <c r="AF292" s="22"/>
      <c r="AG292" s="35" t="str">
        <f t="array" ref="AG292">IF('Ingest Template'!A292="Standard",(CONCATENATE(IF(ISBLANK('Ingest Template'!N292),"", 'Ingest Template'!N292&amp;"|DAR"),CHAR(10), IF(ISBLANK('Ingest Template'!O292),"", 'Ingest Template'!O292&amp;"|DAR"),CHAR(10), IF(ISBLANK('Ingest Template'!P292),"", 'Ingest Template'!P292&amp;"|DAR"))),(CONCATENATE(IF(ISBLANK('Ingest Template'!N292),"", 'Ingest Template'!N292&amp;"|TV Ops"),CHAR(10), IF(ISBLANK('Ingest Template'!O292),"", 'Ingest Template'!O292&amp;"|TV Ops"),CHAR(10), IF(ISBLANK('Ingest Template'!P292),"", 'Ingest Template'!P292&amp;"|TV Ops"))))</f>
        <v>
</v>
      </c>
      <c r="AH292" s="35"/>
      <c r="AI292" s="35"/>
      <c r="AJ292" s="117" t="str">
        <f>if('Ingest Template'!A292="Standard",(IF(OR('Ingest Template'!F292 = "Program Type - Special", 'Ingest Template'!F292 = "Program Type - Live Event"),'Ingest Template'!M292&amp; "|DAR|DAR|"&amp;TEXT('Ingest Template'!C292-3, "yyyy-mm-dd")&amp;"|"&amp;TEXT('Ingest Template'!C292+3, "yyyy-mm-dd"),'Ingest Template'!M292&amp; "|DAR|DAR|2021-01-01")),(IF(OR('Ingest Template'!F292 = "Program Type - Special", 'Ingest Template'!F292 = "Program Type - Live Event"),'Ingest Template'!M292&amp; "|Operations - Core Title|Operations - Core Title|"&amp;TEXT('Ingest Template'!C292-3, "yyyy-mm-dd")&amp;"|"&amp;TEXT('Ingest Template'!C292+3, "yyyy-mm-dd"),'Ingest Template'!M292&amp; "|Operations - Core Title|Operations - Core Title")))</f>
        <v>|Operations - Core Title|Operations - Core Title</v>
      </c>
      <c r="AK292" s="35"/>
      <c r="AL292" s="117" t="str">
        <f>if('Ingest Template'!A292="Standard",(IF(OR('Ingest Template'!F292 = "Program Type - Special", 'Ingest Template'!F292 = "Program Type - Live Event"),'Ingest Template'!Q292&amp;"|"&amp;TEXT('Ingest Template'!C292-3, "yyyy-mm-dd")&amp;"|"&amp;TEXT('Ingest Template'!C292+3, "yyyy-mm-dd"),'Ingest Template'!Q292&amp; "|2021-01-01")),(IF(OR('Ingest Template'!F292 = "Program Type - Special", 'Ingest Template'!F292 = "Program Type - Live Event"),'Ingest Template'!Q292&amp; "|"&amp;TEXT('Ingest Template'!C292-3, "yyyy-mm-dd")&amp;"|"&amp;TEXT('Ingest Template'!C292+3, "yyyy-mm-dd"),'Ingest Template'!Q292)))</f>
        <v/>
      </c>
      <c r="AM292" s="35" t="str">
        <f>'Ingest Template'!AC292</f>
        <v/>
      </c>
    </row>
    <row r="293">
      <c r="A293" s="15"/>
      <c r="B293" s="22" t="str">
        <f>'Ingest Template'!C293&amp;IF('Ingest Template'!A293 = "Standard", " - DAR","")</f>
        <v/>
      </c>
      <c r="C293" s="22" t="s">
        <v>83</v>
      </c>
      <c r="D293" s="22" t="str">
        <f t="array" ref="D293">CONCATENATE(INDEX(DropdownLists!$H$2:$H$11,MATCH(1,COUNTIF('Ingest Template'!E293,"*"&amp;DropdownLists!$I$2:$I$11&amp;"*"),0)),CHAR(10),'Ingest Template'!F293,CHAR(10),'Ingest Template'!G293,CHAR(10),VLOOKUP('Ingest Template'!D293,DropdownLists!C:D,2,FALSE))</f>
        <v>#N/A</v>
      </c>
      <c r="E293" s="22" t="str">
        <f>CONCATENATE('Ingest Template'!H293,CHAR(10),'Ingest Template'!I293,CHAR(10),'Ingest Template'!J293,CHAR(10))</f>
        <v>
</v>
      </c>
      <c r="F293" s="35" t="str">
        <f t="array" ref="F293">INDEX(DropdownLists!$O$2:$O$36,MATCH(1,COUNTIF(E293,"*"&amp;DropdownLists!$N$2:$N$36&amp;"*"),0))</f>
        <v/>
      </c>
      <c r="G293" s="35"/>
      <c r="H293" s="22" t="str">
        <f t="array" ref="H293">INDEX(DropdownLists!$E$2:$E$276,MATCH('Ingest Template'!D293,DropdownLists!$C$2:$C$276,0))</f>
        <v>#N/A</v>
      </c>
      <c r="I293" s="22"/>
      <c r="J293" s="22" t="str">
        <f t="array" ref="J293">iF('Ingest Template'!A293="Standard","Pristine Brand",INDEX(DropdownLists!$B$2:$B$246,MATCH('Ingest Template'!D293,DropdownLists!$C$2:$C$246,0)))</f>
        <v>#N/A</v>
      </c>
      <c r="K293" s="22" t="str">
        <f>iF('Ingest Template'!A293="Standard",'Ingest Template'!K293&amp;CHAR(10)&amp;'Ingest Template'!L293,"Competitive View")</f>
        <v>Competitive View</v>
      </c>
      <c r="L293" s="22" t="s">
        <v>95</v>
      </c>
      <c r="M293" s="45" t="str">
        <f>'Ingest Template'!B293</f>
        <v/>
      </c>
      <c r="N293" s="35"/>
      <c r="O293" s="35"/>
      <c r="P293" s="35"/>
      <c r="Q293" s="35"/>
      <c r="R293" s="35" t="str">
        <f>'Ingest Template'!D293</f>
        <v/>
      </c>
      <c r="S293" s="22" t="s">
        <v>101</v>
      </c>
      <c r="T293" s="35" t="str">
        <f>'Ingest Template'!V293</f>
        <v/>
      </c>
      <c r="U293" s="35" t="str">
        <f>'Ingest Template'!W293</f>
        <v/>
      </c>
      <c r="V293" s="35" t="str">
        <f>LOWER(SUBSTITUTE(SUBSTITUTE(SUBSTITUTE(SUBSTITUTE(SUBSTITUTE('Ingest Template'!X293,"https:",""),"www.",""),"/",""),"?hl=en",""),"instagram.com",""))</f>
        <v/>
      </c>
      <c r="W293" s="74" t="str">
        <f t="array" ref="W293">IF(
'Ingest Template'!Y293="",
SUBSTITUTE(
INDEX(DropdownLists!$F$2:$F$277,MATCH('Ingest Template'!D293,DropdownLists!$C$2:$C$277,0)),
CHAR(10),
"|"&amp;'Ingest Template'!C293&amp;CHAR(10)
)&amp;"|"&amp;'Ingest Template'!C293,
SUBSTITUTE(
INDEX(DropdownLists!$F$2:$F$277,MATCH('Ingest Template'!D293,DropdownLists!$C$2:$C$277,0)),
CHAR(10),
"|"&amp;'Ingest Template'!C293&amp;CHAR(10)
)&amp;"|"&amp;'Ingest Template'!C293&amp;CHAR(10)&amp;'Ingest Template'!Y293
)</f>
        <v>#N/A</v>
      </c>
      <c r="X293" s="74" t="str">
        <f>'Ingest Template'!Z293</f>
        <v/>
      </c>
      <c r="Y293" s="35" t="str">
        <f>SUBSTITUTE(SUBSTITUTE(SUBSTITUTE('Ingest Template'!AA293,"http:",""),"https:",""),"/","")</f>
        <v/>
      </c>
      <c r="Z293" s="35" t="str">
        <f t="array" ref="Z293">IF('Ingest Template'!A293="Standard",(IF(ISBLANK('Ingest Template'!AB293),"", 'Ingest Template'!AB293&amp;"|DAR")),(IF(ISBLANK('Ingest Template'!AB293),"", 'Ingest Template'!AB293&amp;"|TV Ops")))</f>
        <v/>
      </c>
      <c r="AA293" s="35"/>
      <c r="AB293" s="35" t="str">
        <f>'Ingest Template'!R293</f>
        <v/>
      </c>
      <c r="AC293" s="35" t="str">
        <f>'Ingest Template'!T293</f>
        <v/>
      </c>
      <c r="AD293" s="35" t="str">
        <f>'Ingest Template'!S293</f>
        <v/>
      </c>
      <c r="AE293" s="35" t="str">
        <f>'Ingest Template'!U293</f>
        <v/>
      </c>
      <c r="AF293" s="22"/>
      <c r="AG293" s="35" t="str">
        <f t="array" ref="AG293">IF('Ingest Template'!A293="Standard",(CONCATENATE(IF(ISBLANK('Ingest Template'!N293),"", 'Ingest Template'!N293&amp;"|DAR"),CHAR(10), IF(ISBLANK('Ingest Template'!O293),"", 'Ingest Template'!O293&amp;"|DAR"),CHAR(10), IF(ISBLANK('Ingest Template'!P293),"", 'Ingest Template'!P293&amp;"|DAR"))),(CONCATENATE(IF(ISBLANK('Ingest Template'!N293),"", 'Ingest Template'!N293&amp;"|TV Ops"),CHAR(10), IF(ISBLANK('Ingest Template'!O293),"", 'Ingest Template'!O293&amp;"|TV Ops"),CHAR(10), IF(ISBLANK('Ingest Template'!P293),"", 'Ingest Template'!P293&amp;"|TV Ops"))))</f>
        <v>
</v>
      </c>
      <c r="AH293" s="35"/>
      <c r="AI293" s="35"/>
      <c r="AJ293" s="117" t="str">
        <f>if('Ingest Template'!A293="Standard",(IF(OR('Ingest Template'!F293 = "Program Type - Special", 'Ingest Template'!F293 = "Program Type - Live Event"),'Ingest Template'!M293&amp; "|DAR|DAR|"&amp;TEXT('Ingest Template'!C293-3, "yyyy-mm-dd")&amp;"|"&amp;TEXT('Ingest Template'!C293+3, "yyyy-mm-dd"),'Ingest Template'!M293&amp; "|DAR|DAR|2021-01-01")),(IF(OR('Ingest Template'!F293 = "Program Type - Special", 'Ingest Template'!F293 = "Program Type - Live Event"),'Ingest Template'!M293&amp; "|Operations - Core Title|Operations - Core Title|"&amp;TEXT('Ingest Template'!C293-3, "yyyy-mm-dd")&amp;"|"&amp;TEXT('Ingest Template'!C293+3, "yyyy-mm-dd"),'Ingest Template'!M293&amp; "|Operations - Core Title|Operations - Core Title")))</f>
        <v>|Operations - Core Title|Operations - Core Title</v>
      </c>
      <c r="AK293" s="35"/>
      <c r="AL293" s="117" t="str">
        <f>if('Ingest Template'!A293="Standard",(IF(OR('Ingest Template'!F293 = "Program Type - Special", 'Ingest Template'!F293 = "Program Type - Live Event"),'Ingest Template'!Q293&amp;"|"&amp;TEXT('Ingest Template'!C293-3, "yyyy-mm-dd")&amp;"|"&amp;TEXT('Ingest Template'!C293+3, "yyyy-mm-dd"),'Ingest Template'!Q293&amp; "|2021-01-01")),(IF(OR('Ingest Template'!F293 = "Program Type - Special", 'Ingest Template'!F293 = "Program Type - Live Event"),'Ingest Template'!Q293&amp; "|"&amp;TEXT('Ingest Template'!C293-3, "yyyy-mm-dd")&amp;"|"&amp;TEXT('Ingest Template'!C293+3, "yyyy-mm-dd"),'Ingest Template'!Q293)))</f>
        <v/>
      </c>
      <c r="AM293" s="35" t="str">
        <f>'Ingest Template'!AC293</f>
        <v/>
      </c>
    </row>
    <row r="294">
      <c r="A294" s="15"/>
      <c r="B294" s="22" t="str">
        <f>'Ingest Template'!C294&amp;IF('Ingest Template'!A294 = "Standard", " - DAR","")</f>
        <v/>
      </c>
      <c r="C294" s="22" t="s">
        <v>83</v>
      </c>
      <c r="D294" s="22" t="str">
        <f t="array" ref="D294">CONCATENATE(INDEX(DropdownLists!$H$2:$H$11,MATCH(1,COUNTIF('Ingest Template'!E294,"*"&amp;DropdownLists!$I$2:$I$11&amp;"*"),0)),CHAR(10),'Ingest Template'!F294,CHAR(10),'Ingest Template'!G294,CHAR(10),VLOOKUP('Ingest Template'!D294,DropdownLists!C:D,2,FALSE))</f>
        <v>#N/A</v>
      </c>
      <c r="E294" s="22" t="str">
        <f>CONCATENATE('Ingest Template'!H294,CHAR(10),'Ingest Template'!I294,CHAR(10),'Ingest Template'!J294,CHAR(10))</f>
        <v>
</v>
      </c>
      <c r="F294" s="35" t="str">
        <f t="array" ref="F294">INDEX(DropdownLists!$O$2:$O$36,MATCH(1,COUNTIF(E294,"*"&amp;DropdownLists!$N$2:$N$36&amp;"*"),0))</f>
        <v/>
      </c>
      <c r="G294" s="35"/>
      <c r="H294" s="22" t="str">
        <f t="array" ref="H294">INDEX(DropdownLists!$E$2:$E$276,MATCH('Ingest Template'!D294,DropdownLists!$C$2:$C$276,0))</f>
        <v>#N/A</v>
      </c>
      <c r="I294" s="22"/>
      <c r="J294" s="22" t="str">
        <f t="array" ref="J294">iF('Ingest Template'!A294="Standard","Pristine Brand",INDEX(DropdownLists!$B$2:$B$246,MATCH('Ingest Template'!D294,DropdownLists!$C$2:$C$246,0)))</f>
        <v>#N/A</v>
      </c>
      <c r="K294" s="22" t="str">
        <f>iF('Ingest Template'!A294="Standard",'Ingest Template'!K294&amp;CHAR(10)&amp;'Ingest Template'!L294,"Competitive View")</f>
        <v>Competitive View</v>
      </c>
      <c r="L294" s="22" t="s">
        <v>95</v>
      </c>
      <c r="M294" s="45" t="str">
        <f>'Ingest Template'!B294</f>
        <v/>
      </c>
      <c r="N294" s="35"/>
      <c r="O294" s="35"/>
      <c r="P294" s="35"/>
      <c r="Q294" s="35"/>
      <c r="R294" s="35" t="str">
        <f>'Ingest Template'!D294</f>
        <v/>
      </c>
      <c r="S294" s="22" t="s">
        <v>101</v>
      </c>
      <c r="T294" s="35" t="str">
        <f>'Ingest Template'!V294</f>
        <v/>
      </c>
      <c r="U294" s="35" t="str">
        <f>'Ingest Template'!W294</f>
        <v/>
      </c>
      <c r="V294" s="35" t="str">
        <f>LOWER(SUBSTITUTE(SUBSTITUTE(SUBSTITUTE(SUBSTITUTE(SUBSTITUTE('Ingest Template'!X294,"https:",""),"www.",""),"/",""),"?hl=en",""),"instagram.com",""))</f>
        <v/>
      </c>
      <c r="W294" s="74" t="str">
        <f t="array" ref="W294">IF(
'Ingest Template'!Y294="",
SUBSTITUTE(
INDEX(DropdownLists!$F$2:$F$277,MATCH('Ingest Template'!D294,DropdownLists!$C$2:$C$277,0)),
CHAR(10),
"|"&amp;'Ingest Template'!C294&amp;CHAR(10)
)&amp;"|"&amp;'Ingest Template'!C294,
SUBSTITUTE(
INDEX(DropdownLists!$F$2:$F$277,MATCH('Ingest Template'!D294,DropdownLists!$C$2:$C$277,0)),
CHAR(10),
"|"&amp;'Ingest Template'!C294&amp;CHAR(10)
)&amp;"|"&amp;'Ingest Template'!C294&amp;CHAR(10)&amp;'Ingest Template'!Y294
)</f>
        <v>#N/A</v>
      </c>
      <c r="X294" s="74" t="str">
        <f>'Ingest Template'!Z294</f>
        <v/>
      </c>
      <c r="Y294" s="35" t="str">
        <f>SUBSTITUTE(SUBSTITUTE(SUBSTITUTE('Ingest Template'!AA294,"http:",""),"https:",""),"/","")</f>
        <v/>
      </c>
      <c r="Z294" s="35" t="str">
        <f t="array" ref="Z294">IF('Ingest Template'!A294="Standard",(IF(ISBLANK('Ingest Template'!AB294),"", 'Ingest Template'!AB294&amp;"|DAR")),(IF(ISBLANK('Ingest Template'!AB294),"", 'Ingest Template'!AB294&amp;"|TV Ops")))</f>
        <v/>
      </c>
      <c r="AA294" s="35"/>
      <c r="AB294" s="35" t="str">
        <f>'Ingest Template'!R294</f>
        <v/>
      </c>
      <c r="AC294" s="35" t="str">
        <f>'Ingest Template'!T294</f>
        <v/>
      </c>
      <c r="AD294" s="35" t="str">
        <f>'Ingest Template'!S294</f>
        <v/>
      </c>
      <c r="AE294" s="35" t="str">
        <f>'Ingest Template'!U294</f>
        <v/>
      </c>
      <c r="AF294" s="22"/>
      <c r="AG294" s="35" t="str">
        <f t="array" ref="AG294">IF('Ingest Template'!A294="Standard",(CONCATENATE(IF(ISBLANK('Ingest Template'!N294),"", 'Ingest Template'!N294&amp;"|DAR"),CHAR(10), IF(ISBLANK('Ingest Template'!O294),"", 'Ingest Template'!O294&amp;"|DAR"),CHAR(10), IF(ISBLANK('Ingest Template'!P294),"", 'Ingest Template'!P294&amp;"|DAR"))),(CONCATENATE(IF(ISBLANK('Ingest Template'!N294),"", 'Ingest Template'!N294&amp;"|TV Ops"),CHAR(10), IF(ISBLANK('Ingest Template'!O294),"", 'Ingest Template'!O294&amp;"|TV Ops"),CHAR(10), IF(ISBLANK('Ingest Template'!P294),"", 'Ingest Template'!P294&amp;"|TV Ops"))))</f>
        <v>
</v>
      </c>
      <c r="AH294" s="35"/>
      <c r="AI294" s="35"/>
      <c r="AJ294" s="117" t="str">
        <f>if('Ingest Template'!A294="Standard",(IF(OR('Ingest Template'!F294 = "Program Type - Special", 'Ingest Template'!F294 = "Program Type - Live Event"),'Ingest Template'!M294&amp; "|DAR|DAR|"&amp;TEXT('Ingest Template'!C294-3, "yyyy-mm-dd")&amp;"|"&amp;TEXT('Ingest Template'!C294+3, "yyyy-mm-dd"),'Ingest Template'!M294&amp; "|DAR|DAR|2021-01-01")),(IF(OR('Ingest Template'!F294 = "Program Type - Special", 'Ingest Template'!F294 = "Program Type - Live Event"),'Ingest Template'!M294&amp; "|Operations - Core Title|Operations - Core Title|"&amp;TEXT('Ingest Template'!C294-3, "yyyy-mm-dd")&amp;"|"&amp;TEXT('Ingest Template'!C294+3, "yyyy-mm-dd"),'Ingest Template'!M294&amp; "|Operations - Core Title|Operations - Core Title")))</f>
        <v>|Operations - Core Title|Operations - Core Title</v>
      </c>
      <c r="AK294" s="35"/>
      <c r="AL294" s="117" t="str">
        <f>if('Ingest Template'!A294="Standard",(IF(OR('Ingest Template'!F294 = "Program Type - Special", 'Ingest Template'!F294 = "Program Type - Live Event"),'Ingest Template'!Q294&amp;"|"&amp;TEXT('Ingest Template'!C294-3, "yyyy-mm-dd")&amp;"|"&amp;TEXT('Ingest Template'!C294+3, "yyyy-mm-dd"),'Ingest Template'!Q294&amp; "|2021-01-01")),(IF(OR('Ingest Template'!F294 = "Program Type - Special", 'Ingest Template'!F294 = "Program Type - Live Event"),'Ingest Template'!Q294&amp; "|"&amp;TEXT('Ingest Template'!C294-3, "yyyy-mm-dd")&amp;"|"&amp;TEXT('Ingest Template'!C294+3, "yyyy-mm-dd"),'Ingest Template'!Q294)))</f>
        <v/>
      </c>
      <c r="AM294" s="35" t="str">
        <f>'Ingest Template'!AC294</f>
        <v/>
      </c>
    </row>
    <row r="295">
      <c r="A295" s="15"/>
      <c r="B295" s="22" t="str">
        <f>'Ingest Template'!C295&amp;IF('Ingest Template'!A295 = "Standard", " - DAR","")</f>
        <v/>
      </c>
      <c r="C295" s="22" t="s">
        <v>83</v>
      </c>
      <c r="D295" s="22" t="str">
        <f t="array" ref="D295">CONCATENATE(INDEX(DropdownLists!$H$2:$H$11,MATCH(1,COUNTIF('Ingest Template'!E295,"*"&amp;DropdownLists!$I$2:$I$11&amp;"*"),0)),CHAR(10),'Ingest Template'!F295,CHAR(10),'Ingest Template'!G295,CHAR(10),VLOOKUP('Ingest Template'!D295,DropdownLists!C:D,2,FALSE))</f>
        <v>#N/A</v>
      </c>
      <c r="E295" s="22" t="str">
        <f>CONCATENATE('Ingest Template'!H295,CHAR(10),'Ingest Template'!I295,CHAR(10),'Ingest Template'!J295,CHAR(10))</f>
        <v>
</v>
      </c>
      <c r="F295" s="35" t="str">
        <f t="array" ref="F295">INDEX(DropdownLists!$O$2:$O$36,MATCH(1,COUNTIF(E295,"*"&amp;DropdownLists!$N$2:$N$36&amp;"*"),0))</f>
        <v/>
      </c>
      <c r="G295" s="35"/>
      <c r="H295" s="22" t="str">
        <f t="array" ref="H295">INDEX(DropdownLists!$E$2:$E$276,MATCH('Ingest Template'!D295,DropdownLists!$C$2:$C$276,0))</f>
        <v>#N/A</v>
      </c>
      <c r="I295" s="22"/>
      <c r="J295" s="22" t="str">
        <f t="array" ref="J295">iF('Ingest Template'!A295="Standard","Pristine Brand",INDEX(DropdownLists!$B$2:$B$246,MATCH('Ingest Template'!D295,DropdownLists!$C$2:$C$246,0)))</f>
        <v>#N/A</v>
      </c>
      <c r="K295" s="22" t="str">
        <f>iF('Ingest Template'!A295="Standard",'Ingest Template'!K295&amp;CHAR(10)&amp;'Ingest Template'!L295,"Competitive View")</f>
        <v>Competitive View</v>
      </c>
      <c r="L295" s="22" t="s">
        <v>95</v>
      </c>
      <c r="M295" s="45" t="str">
        <f>'Ingest Template'!B295</f>
        <v/>
      </c>
      <c r="N295" s="35"/>
      <c r="O295" s="35"/>
      <c r="P295" s="35"/>
      <c r="Q295" s="35"/>
      <c r="R295" s="35" t="str">
        <f>'Ingest Template'!D295</f>
        <v/>
      </c>
      <c r="S295" s="22" t="s">
        <v>101</v>
      </c>
      <c r="T295" s="35" t="str">
        <f>'Ingest Template'!V295</f>
        <v/>
      </c>
      <c r="U295" s="35" t="str">
        <f>'Ingest Template'!W295</f>
        <v/>
      </c>
      <c r="V295" s="35" t="str">
        <f>LOWER(SUBSTITUTE(SUBSTITUTE(SUBSTITUTE(SUBSTITUTE(SUBSTITUTE('Ingest Template'!X295,"https:",""),"www.",""),"/",""),"?hl=en",""),"instagram.com",""))</f>
        <v/>
      </c>
      <c r="W295" s="74" t="str">
        <f t="array" ref="W295">IF(
'Ingest Template'!Y295="",
SUBSTITUTE(
INDEX(DropdownLists!$F$2:$F$277,MATCH('Ingest Template'!D295,DropdownLists!$C$2:$C$277,0)),
CHAR(10),
"|"&amp;'Ingest Template'!C295&amp;CHAR(10)
)&amp;"|"&amp;'Ingest Template'!C295,
SUBSTITUTE(
INDEX(DropdownLists!$F$2:$F$277,MATCH('Ingest Template'!D295,DropdownLists!$C$2:$C$277,0)),
CHAR(10),
"|"&amp;'Ingest Template'!C295&amp;CHAR(10)
)&amp;"|"&amp;'Ingest Template'!C295&amp;CHAR(10)&amp;'Ingest Template'!Y295
)</f>
        <v>#N/A</v>
      </c>
      <c r="X295" s="74" t="str">
        <f>'Ingest Template'!Z295</f>
        <v/>
      </c>
      <c r="Y295" s="35" t="str">
        <f>SUBSTITUTE(SUBSTITUTE(SUBSTITUTE('Ingest Template'!AA295,"http:",""),"https:",""),"/","")</f>
        <v/>
      </c>
      <c r="Z295" s="35" t="str">
        <f t="array" ref="Z295">IF('Ingest Template'!A295="Standard",(IF(ISBLANK('Ingest Template'!AB295),"", 'Ingest Template'!AB295&amp;"|DAR")),(IF(ISBLANK('Ingest Template'!AB295),"", 'Ingest Template'!AB295&amp;"|TV Ops")))</f>
        <v/>
      </c>
      <c r="AA295" s="35"/>
      <c r="AB295" s="35" t="str">
        <f>'Ingest Template'!R295</f>
        <v/>
      </c>
      <c r="AC295" s="35" t="str">
        <f>'Ingest Template'!T295</f>
        <v/>
      </c>
      <c r="AD295" s="35" t="str">
        <f>'Ingest Template'!S295</f>
        <v/>
      </c>
      <c r="AE295" s="35" t="str">
        <f>'Ingest Template'!U295</f>
        <v/>
      </c>
      <c r="AF295" s="22"/>
      <c r="AG295" s="35" t="str">
        <f t="array" ref="AG295">IF('Ingest Template'!A295="Standard",(CONCATENATE(IF(ISBLANK('Ingest Template'!N295),"", 'Ingest Template'!N295&amp;"|DAR"),CHAR(10), IF(ISBLANK('Ingest Template'!O295),"", 'Ingest Template'!O295&amp;"|DAR"),CHAR(10), IF(ISBLANK('Ingest Template'!P295),"", 'Ingest Template'!P295&amp;"|DAR"))),(CONCATENATE(IF(ISBLANK('Ingest Template'!N295),"", 'Ingest Template'!N295&amp;"|TV Ops"),CHAR(10), IF(ISBLANK('Ingest Template'!O295),"", 'Ingest Template'!O295&amp;"|TV Ops"),CHAR(10), IF(ISBLANK('Ingest Template'!P295),"", 'Ingest Template'!P295&amp;"|TV Ops"))))</f>
        <v>
</v>
      </c>
      <c r="AH295" s="35"/>
      <c r="AI295" s="35"/>
      <c r="AJ295" s="117" t="str">
        <f>if('Ingest Template'!A295="Standard",(IF(OR('Ingest Template'!F295 = "Program Type - Special", 'Ingest Template'!F295 = "Program Type - Live Event"),'Ingest Template'!M295&amp; "|DAR|DAR|"&amp;TEXT('Ingest Template'!C295-3, "yyyy-mm-dd")&amp;"|"&amp;TEXT('Ingest Template'!C295+3, "yyyy-mm-dd"),'Ingest Template'!M295&amp; "|DAR|DAR|2021-01-01")),(IF(OR('Ingest Template'!F295 = "Program Type - Special", 'Ingest Template'!F295 = "Program Type - Live Event"),'Ingest Template'!M295&amp; "|Operations - Core Title|Operations - Core Title|"&amp;TEXT('Ingest Template'!C295-3, "yyyy-mm-dd")&amp;"|"&amp;TEXT('Ingest Template'!C295+3, "yyyy-mm-dd"),'Ingest Template'!M295&amp; "|Operations - Core Title|Operations - Core Title")))</f>
        <v>|Operations - Core Title|Operations - Core Title</v>
      </c>
      <c r="AK295" s="35"/>
      <c r="AL295" s="117" t="str">
        <f>if('Ingest Template'!A295="Standard",(IF(OR('Ingest Template'!F295 = "Program Type - Special", 'Ingest Template'!F295 = "Program Type - Live Event"),'Ingest Template'!Q295&amp;"|"&amp;TEXT('Ingest Template'!C295-3, "yyyy-mm-dd")&amp;"|"&amp;TEXT('Ingest Template'!C295+3, "yyyy-mm-dd"),'Ingest Template'!Q295&amp; "|2021-01-01")),(IF(OR('Ingest Template'!F295 = "Program Type - Special", 'Ingest Template'!F295 = "Program Type - Live Event"),'Ingest Template'!Q295&amp; "|"&amp;TEXT('Ingest Template'!C295-3, "yyyy-mm-dd")&amp;"|"&amp;TEXT('Ingest Template'!C295+3, "yyyy-mm-dd"),'Ingest Template'!Q295)))</f>
        <v/>
      </c>
      <c r="AM295" s="35" t="str">
        <f>'Ingest Template'!AC295</f>
        <v/>
      </c>
    </row>
    <row r="296">
      <c r="A296" s="15"/>
      <c r="B296" s="22" t="str">
        <f>'Ingest Template'!C296&amp;IF('Ingest Template'!A296 = "Standard", " - DAR","")</f>
        <v/>
      </c>
      <c r="C296" s="22" t="s">
        <v>83</v>
      </c>
      <c r="D296" s="22" t="str">
        <f t="array" ref="D296">CONCATENATE(INDEX(DropdownLists!$H$2:$H$11,MATCH(1,COUNTIF('Ingest Template'!E296,"*"&amp;DropdownLists!$I$2:$I$11&amp;"*"),0)),CHAR(10),'Ingest Template'!F296,CHAR(10),'Ingest Template'!G296,CHAR(10),VLOOKUP('Ingest Template'!D296,DropdownLists!C:D,2,FALSE))</f>
        <v>#N/A</v>
      </c>
      <c r="E296" s="22" t="str">
        <f>CONCATENATE('Ingest Template'!H296,CHAR(10),'Ingest Template'!I296,CHAR(10),'Ingest Template'!J296,CHAR(10))</f>
        <v>
</v>
      </c>
      <c r="F296" s="35" t="str">
        <f t="array" ref="F296">INDEX(DropdownLists!$O$2:$O$36,MATCH(1,COUNTIF(E296,"*"&amp;DropdownLists!$N$2:$N$36&amp;"*"),0))</f>
        <v/>
      </c>
      <c r="G296" s="35"/>
      <c r="H296" s="22" t="str">
        <f t="array" ref="H296">INDEX(DropdownLists!$E$2:$E$276,MATCH('Ingest Template'!D296,DropdownLists!$C$2:$C$276,0))</f>
        <v>#N/A</v>
      </c>
      <c r="I296" s="22"/>
      <c r="J296" s="22" t="str">
        <f t="array" ref="J296">iF('Ingest Template'!A296="Standard","Pristine Brand",INDEX(DropdownLists!$B$2:$B$246,MATCH('Ingest Template'!D296,DropdownLists!$C$2:$C$246,0)))</f>
        <v>#N/A</v>
      </c>
      <c r="K296" s="22" t="str">
        <f>iF('Ingest Template'!A296="Standard",'Ingest Template'!K296&amp;CHAR(10)&amp;'Ingest Template'!L296,"Competitive View")</f>
        <v>Competitive View</v>
      </c>
      <c r="L296" s="22" t="s">
        <v>95</v>
      </c>
      <c r="M296" s="45" t="str">
        <f>'Ingest Template'!B296</f>
        <v/>
      </c>
      <c r="N296" s="35"/>
      <c r="O296" s="35"/>
      <c r="P296" s="35"/>
      <c r="Q296" s="35"/>
      <c r="R296" s="35" t="str">
        <f>'Ingest Template'!D296</f>
        <v/>
      </c>
      <c r="S296" s="22" t="s">
        <v>101</v>
      </c>
      <c r="T296" s="35" t="str">
        <f>'Ingest Template'!V296</f>
        <v/>
      </c>
      <c r="U296" s="35" t="str">
        <f>'Ingest Template'!W296</f>
        <v/>
      </c>
      <c r="V296" s="35" t="str">
        <f>LOWER(SUBSTITUTE(SUBSTITUTE(SUBSTITUTE(SUBSTITUTE(SUBSTITUTE('Ingest Template'!X296,"https:",""),"www.",""),"/",""),"?hl=en",""),"instagram.com",""))</f>
        <v/>
      </c>
      <c r="W296" s="74" t="str">
        <f t="array" ref="W296">IF(
'Ingest Template'!Y296="",
SUBSTITUTE(
INDEX(DropdownLists!$F$2:$F$277,MATCH('Ingest Template'!D296,DropdownLists!$C$2:$C$277,0)),
CHAR(10),
"|"&amp;'Ingest Template'!C296&amp;CHAR(10)
)&amp;"|"&amp;'Ingest Template'!C296,
SUBSTITUTE(
INDEX(DropdownLists!$F$2:$F$277,MATCH('Ingest Template'!D296,DropdownLists!$C$2:$C$277,0)),
CHAR(10),
"|"&amp;'Ingest Template'!C296&amp;CHAR(10)
)&amp;"|"&amp;'Ingest Template'!C296&amp;CHAR(10)&amp;'Ingest Template'!Y296
)</f>
        <v>#N/A</v>
      </c>
      <c r="X296" s="74" t="str">
        <f>'Ingest Template'!Z296</f>
        <v/>
      </c>
      <c r="Y296" s="35" t="str">
        <f>SUBSTITUTE(SUBSTITUTE(SUBSTITUTE('Ingest Template'!AA296,"http:",""),"https:",""),"/","")</f>
        <v/>
      </c>
      <c r="Z296" s="35" t="str">
        <f t="array" ref="Z296">IF('Ingest Template'!A296="Standard",(IF(ISBLANK('Ingest Template'!AB296),"", 'Ingest Template'!AB296&amp;"|DAR")),(IF(ISBLANK('Ingest Template'!AB296),"", 'Ingest Template'!AB296&amp;"|TV Ops")))</f>
        <v/>
      </c>
      <c r="AA296" s="35"/>
      <c r="AB296" s="35" t="str">
        <f>'Ingest Template'!R296</f>
        <v/>
      </c>
      <c r="AC296" s="35" t="str">
        <f>'Ingest Template'!T296</f>
        <v/>
      </c>
      <c r="AD296" s="35" t="str">
        <f>'Ingest Template'!S296</f>
        <v/>
      </c>
      <c r="AE296" s="35" t="str">
        <f>'Ingest Template'!U296</f>
        <v/>
      </c>
      <c r="AF296" s="22"/>
      <c r="AG296" s="35" t="str">
        <f t="array" ref="AG296">IF('Ingest Template'!A296="Standard",(CONCATENATE(IF(ISBLANK('Ingest Template'!N296),"", 'Ingest Template'!N296&amp;"|DAR"),CHAR(10), IF(ISBLANK('Ingest Template'!O296),"", 'Ingest Template'!O296&amp;"|DAR"),CHAR(10), IF(ISBLANK('Ingest Template'!P296),"", 'Ingest Template'!P296&amp;"|DAR"))),(CONCATENATE(IF(ISBLANK('Ingest Template'!N296),"", 'Ingest Template'!N296&amp;"|TV Ops"),CHAR(10), IF(ISBLANK('Ingest Template'!O296),"", 'Ingest Template'!O296&amp;"|TV Ops"),CHAR(10), IF(ISBLANK('Ingest Template'!P296),"", 'Ingest Template'!P296&amp;"|TV Ops"))))</f>
        <v>
</v>
      </c>
      <c r="AH296" s="35"/>
      <c r="AI296" s="35"/>
      <c r="AJ296" s="117" t="str">
        <f>if('Ingest Template'!A296="Standard",(IF(OR('Ingest Template'!F296 = "Program Type - Special", 'Ingest Template'!F296 = "Program Type - Live Event"),'Ingest Template'!M296&amp; "|DAR|DAR|"&amp;TEXT('Ingest Template'!C296-3, "yyyy-mm-dd")&amp;"|"&amp;TEXT('Ingest Template'!C296+3, "yyyy-mm-dd"),'Ingest Template'!M296&amp; "|DAR|DAR|2021-01-01")),(IF(OR('Ingest Template'!F296 = "Program Type - Special", 'Ingest Template'!F296 = "Program Type - Live Event"),'Ingest Template'!M296&amp; "|Operations - Core Title|Operations - Core Title|"&amp;TEXT('Ingest Template'!C296-3, "yyyy-mm-dd")&amp;"|"&amp;TEXT('Ingest Template'!C296+3, "yyyy-mm-dd"),'Ingest Template'!M296&amp; "|Operations - Core Title|Operations - Core Title")))</f>
        <v>|Operations - Core Title|Operations - Core Title</v>
      </c>
      <c r="AK296" s="35"/>
      <c r="AL296" s="117" t="str">
        <f>if('Ingest Template'!A296="Standard",(IF(OR('Ingest Template'!F296 = "Program Type - Special", 'Ingest Template'!F296 = "Program Type - Live Event"),'Ingest Template'!Q296&amp;"|"&amp;TEXT('Ingest Template'!C296-3, "yyyy-mm-dd")&amp;"|"&amp;TEXT('Ingest Template'!C296+3, "yyyy-mm-dd"),'Ingest Template'!Q296&amp; "|2021-01-01")),(IF(OR('Ingest Template'!F296 = "Program Type - Special", 'Ingest Template'!F296 = "Program Type - Live Event"),'Ingest Template'!Q296&amp; "|"&amp;TEXT('Ingest Template'!C296-3, "yyyy-mm-dd")&amp;"|"&amp;TEXT('Ingest Template'!C296+3, "yyyy-mm-dd"),'Ingest Template'!Q296)))</f>
        <v/>
      </c>
      <c r="AM296" s="35" t="str">
        <f>'Ingest Template'!AC296</f>
        <v/>
      </c>
    </row>
    <row r="297">
      <c r="A297" s="15"/>
      <c r="B297" s="22" t="str">
        <f>'Ingest Template'!C297&amp;IF('Ingest Template'!A297 = "Standard", " - DAR","")</f>
        <v/>
      </c>
      <c r="C297" s="22" t="s">
        <v>83</v>
      </c>
      <c r="D297" s="22" t="str">
        <f t="array" ref="D297">CONCATENATE(INDEX(DropdownLists!$H$2:$H$11,MATCH(1,COUNTIF('Ingest Template'!E297,"*"&amp;DropdownLists!$I$2:$I$11&amp;"*"),0)),CHAR(10),'Ingest Template'!F297,CHAR(10),'Ingest Template'!G297,CHAR(10),VLOOKUP('Ingest Template'!D297,DropdownLists!C:D,2,FALSE))</f>
        <v>#N/A</v>
      </c>
      <c r="E297" s="22" t="str">
        <f>CONCATENATE('Ingest Template'!H297,CHAR(10),'Ingest Template'!I297,CHAR(10),'Ingest Template'!J297,CHAR(10))</f>
        <v>
</v>
      </c>
      <c r="F297" s="35" t="str">
        <f t="array" ref="F297">INDEX(DropdownLists!$O$2:$O$36,MATCH(1,COUNTIF(E297,"*"&amp;DropdownLists!$N$2:$N$36&amp;"*"),0))</f>
        <v/>
      </c>
      <c r="G297" s="35"/>
      <c r="H297" s="22" t="str">
        <f t="array" ref="H297">INDEX(DropdownLists!$E$2:$E$276,MATCH('Ingest Template'!D297,DropdownLists!$C$2:$C$276,0))</f>
        <v>#N/A</v>
      </c>
      <c r="I297" s="22"/>
      <c r="J297" s="22" t="str">
        <f t="array" ref="J297">iF('Ingest Template'!A297="Standard","Pristine Brand",INDEX(DropdownLists!$B$2:$B$246,MATCH('Ingest Template'!D297,DropdownLists!$C$2:$C$246,0)))</f>
        <v>#N/A</v>
      </c>
      <c r="K297" s="22" t="str">
        <f>iF('Ingest Template'!A297="Standard",'Ingest Template'!K297&amp;CHAR(10)&amp;'Ingest Template'!L297,"Competitive View")</f>
        <v>Competitive View</v>
      </c>
      <c r="L297" s="22" t="s">
        <v>95</v>
      </c>
      <c r="M297" s="45" t="str">
        <f>'Ingest Template'!B297</f>
        <v/>
      </c>
      <c r="N297" s="35"/>
      <c r="O297" s="35"/>
      <c r="P297" s="35"/>
      <c r="Q297" s="35"/>
      <c r="R297" s="35" t="str">
        <f>'Ingest Template'!D297</f>
        <v/>
      </c>
      <c r="S297" s="22" t="s">
        <v>101</v>
      </c>
      <c r="T297" s="35" t="str">
        <f>'Ingest Template'!V297</f>
        <v/>
      </c>
      <c r="U297" s="35" t="str">
        <f>'Ingest Template'!W297</f>
        <v/>
      </c>
      <c r="V297" s="35" t="str">
        <f>LOWER(SUBSTITUTE(SUBSTITUTE(SUBSTITUTE(SUBSTITUTE(SUBSTITUTE('Ingest Template'!X297,"https:",""),"www.",""),"/",""),"?hl=en",""),"instagram.com",""))</f>
        <v/>
      </c>
      <c r="W297" s="74" t="str">
        <f t="array" ref="W297">IF(
'Ingest Template'!Y297="",
SUBSTITUTE(
INDEX(DropdownLists!$F$2:$F$277,MATCH('Ingest Template'!D297,DropdownLists!$C$2:$C$277,0)),
CHAR(10),
"|"&amp;'Ingest Template'!C297&amp;CHAR(10)
)&amp;"|"&amp;'Ingest Template'!C297,
SUBSTITUTE(
INDEX(DropdownLists!$F$2:$F$277,MATCH('Ingest Template'!D297,DropdownLists!$C$2:$C$277,0)),
CHAR(10),
"|"&amp;'Ingest Template'!C297&amp;CHAR(10)
)&amp;"|"&amp;'Ingest Template'!C297&amp;CHAR(10)&amp;'Ingest Template'!Y297
)</f>
        <v>#N/A</v>
      </c>
      <c r="X297" s="74" t="str">
        <f>'Ingest Template'!Z297</f>
        <v/>
      </c>
      <c r="Y297" s="35" t="str">
        <f>SUBSTITUTE(SUBSTITUTE(SUBSTITUTE('Ingest Template'!AA297,"http:",""),"https:",""),"/","")</f>
        <v/>
      </c>
      <c r="Z297" s="35" t="str">
        <f t="array" ref="Z297">IF('Ingest Template'!A297="Standard",(IF(ISBLANK('Ingest Template'!AB297),"", 'Ingest Template'!AB297&amp;"|DAR")),(IF(ISBLANK('Ingest Template'!AB297),"", 'Ingest Template'!AB297&amp;"|TV Ops")))</f>
        <v/>
      </c>
      <c r="AA297" s="35"/>
      <c r="AB297" s="35" t="str">
        <f>'Ingest Template'!R297</f>
        <v/>
      </c>
      <c r="AC297" s="35" t="str">
        <f>'Ingest Template'!T297</f>
        <v/>
      </c>
      <c r="AD297" s="35" t="str">
        <f>'Ingest Template'!S297</f>
        <v/>
      </c>
      <c r="AE297" s="35" t="str">
        <f>'Ingest Template'!U297</f>
        <v/>
      </c>
      <c r="AF297" s="22"/>
      <c r="AG297" s="35" t="str">
        <f t="array" ref="AG297">IF('Ingest Template'!A297="Standard",(CONCATENATE(IF(ISBLANK('Ingest Template'!N297),"", 'Ingest Template'!N297&amp;"|DAR"),CHAR(10), IF(ISBLANK('Ingest Template'!O297),"", 'Ingest Template'!O297&amp;"|DAR"),CHAR(10), IF(ISBLANK('Ingest Template'!P297),"", 'Ingest Template'!P297&amp;"|DAR"))),(CONCATENATE(IF(ISBLANK('Ingest Template'!N297),"", 'Ingest Template'!N297&amp;"|TV Ops"),CHAR(10), IF(ISBLANK('Ingest Template'!O297),"", 'Ingest Template'!O297&amp;"|TV Ops"),CHAR(10), IF(ISBLANK('Ingest Template'!P297),"", 'Ingest Template'!P297&amp;"|TV Ops"))))</f>
        <v>
</v>
      </c>
      <c r="AH297" s="35"/>
      <c r="AI297" s="35"/>
      <c r="AJ297" s="117" t="str">
        <f>if('Ingest Template'!A297="Standard",(IF(OR('Ingest Template'!F297 = "Program Type - Special", 'Ingest Template'!F297 = "Program Type - Live Event"),'Ingest Template'!M297&amp; "|DAR|DAR|"&amp;TEXT('Ingest Template'!C297-3, "yyyy-mm-dd")&amp;"|"&amp;TEXT('Ingest Template'!C297+3, "yyyy-mm-dd"),'Ingest Template'!M297&amp; "|DAR|DAR|2021-01-01")),(IF(OR('Ingest Template'!F297 = "Program Type - Special", 'Ingest Template'!F297 = "Program Type - Live Event"),'Ingest Template'!M297&amp; "|Operations - Core Title|Operations - Core Title|"&amp;TEXT('Ingest Template'!C297-3, "yyyy-mm-dd")&amp;"|"&amp;TEXT('Ingest Template'!C297+3, "yyyy-mm-dd"),'Ingest Template'!M297&amp; "|Operations - Core Title|Operations - Core Title")))</f>
        <v>|Operations - Core Title|Operations - Core Title</v>
      </c>
      <c r="AK297" s="35"/>
      <c r="AL297" s="117" t="str">
        <f>if('Ingest Template'!A297="Standard",(IF(OR('Ingest Template'!F297 = "Program Type - Special", 'Ingest Template'!F297 = "Program Type - Live Event"),'Ingest Template'!Q297&amp;"|"&amp;TEXT('Ingest Template'!C297-3, "yyyy-mm-dd")&amp;"|"&amp;TEXT('Ingest Template'!C297+3, "yyyy-mm-dd"),'Ingest Template'!Q297&amp; "|2021-01-01")),(IF(OR('Ingest Template'!F297 = "Program Type - Special", 'Ingest Template'!F297 = "Program Type - Live Event"),'Ingest Template'!Q297&amp; "|"&amp;TEXT('Ingest Template'!C297-3, "yyyy-mm-dd")&amp;"|"&amp;TEXT('Ingest Template'!C297+3, "yyyy-mm-dd"),'Ingest Template'!Q297)))</f>
        <v/>
      </c>
      <c r="AM297" s="35" t="str">
        <f>'Ingest Template'!AC297</f>
        <v/>
      </c>
    </row>
    <row r="298">
      <c r="A298" s="15"/>
      <c r="B298" s="22" t="str">
        <f>'Ingest Template'!C298&amp;IF('Ingest Template'!A298 = "Standard", " - DAR","")</f>
        <v/>
      </c>
      <c r="C298" s="22" t="s">
        <v>83</v>
      </c>
      <c r="D298" s="22" t="str">
        <f t="array" ref="D298">CONCATENATE(INDEX(DropdownLists!$H$2:$H$11,MATCH(1,COUNTIF('Ingest Template'!E298,"*"&amp;DropdownLists!$I$2:$I$11&amp;"*"),0)),CHAR(10),'Ingest Template'!F298,CHAR(10),'Ingest Template'!G298,CHAR(10),VLOOKUP('Ingest Template'!D298,DropdownLists!C:D,2,FALSE))</f>
        <v>#N/A</v>
      </c>
      <c r="E298" s="22" t="str">
        <f>CONCATENATE('Ingest Template'!H298,CHAR(10),'Ingest Template'!I298,CHAR(10),'Ingest Template'!J298,CHAR(10))</f>
        <v>
</v>
      </c>
      <c r="F298" s="35" t="str">
        <f t="array" ref="F298">INDEX(DropdownLists!$O$2:$O$36,MATCH(1,COUNTIF(E298,"*"&amp;DropdownLists!$N$2:$N$36&amp;"*"),0))</f>
        <v/>
      </c>
      <c r="G298" s="35"/>
      <c r="H298" s="22" t="str">
        <f t="array" ref="H298">INDEX(DropdownLists!$E$2:$E$276,MATCH('Ingest Template'!D298,DropdownLists!$C$2:$C$276,0))</f>
        <v>#N/A</v>
      </c>
      <c r="I298" s="22"/>
      <c r="J298" s="22" t="str">
        <f t="array" ref="J298">iF('Ingest Template'!A298="Standard","Pristine Brand",INDEX(DropdownLists!$B$2:$B$246,MATCH('Ingest Template'!D298,DropdownLists!$C$2:$C$246,0)))</f>
        <v>#N/A</v>
      </c>
      <c r="K298" s="22" t="str">
        <f>iF('Ingest Template'!A298="Standard",'Ingest Template'!K298&amp;CHAR(10)&amp;'Ingest Template'!L298,"Competitive View")</f>
        <v>Competitive View</v>
      </c>
      <c r="L298" s="22" t="s">
        <v>95</v>
      </c>
      <c r="M298" s="45" t="str">
        <f>'Ingest Template'!B298</f>
        <v/>
      </c>
      <c r="N298" s="35"/>
      <c r="O298" s="35"/>
      <c r="P298" s="35"/>
      <c r="Q298" s="35"/>
      <c r="R298" s="35" t="str">
        <f>'Ingest Template'!D298</f>
        <v/>
      </c>
      <c r="S298" s="22" t="s">
        <v>101</v>
      </c>
      <c r="T298" s="35" t="str">
        <f>'Ingest Template'!V298</f>
        <v/>
      </c>
      <c r="U298" s="35" t="str">
        <f>'Ingest Template'!W298</f>
        <v/>
      </c>
      <c r="V298" s="35" t="str">
        <f>LOWER(SUBSTITUTE(SUBSTITUTE(SUBSTITUTE(SUBSTITUTE(SUBSTITUTE('Ingest Template'!X298,"https:",""),"www.",""),"/",""),"?hl=en",""),"instagram.com",""))</f>
        <v/>
      </c>
      <c r="W298" s="74" t="str">
        <f t="array" ref="W298">IF(
'Ingest Template'!Y298="",
SUBSTITUTE(
INDEX(DropdownLists!$F$2:$F$277,MATCH('Ingest Template'!D298,DropdownLists!$C$2:$C$277,0)),
CHAR(10),
"|"&amp;'Ingest Template'!C298&amp;CHAR(10)
)&amp;"|"&amp;'Ingest Template'!C298,
SUBSTITUTE(
INDEX(DropdownLists!$F$2:$F$277,MATCH('Ingest Template'!D298,DropdownLists!$C$2:$C$277,0)),
CHAR(10),
"|"&amp;'Ingest Template'!C298&amp;CHAR(10)
)&amp;"|"&amp;'Ingest Template'!C298&amp;CHAR(10)&amp;'Ingest Template'!Y298
)</f>
        <v>#N/A</v>
      </c>
      <c r="X298" s="74" t="str">
        <f>'Ingest Template'!Z298</f>
        <v/>
      </c>
      <c r="Y298" s="35" t="str">
        <f>SUBSTITUTE(SUBSTITUTE(SUBSTITUTE('Ingest Template'!AA298,"http:",""),"https:",""),"/","")</f>
        <v/>
      </c>
      <c r="Z298" s="35" t="str">
        <f t="array" ref="Z298">IF('Ingest Template'!A298="Standard",(IF(ISBLANK('Ingest Template'!AB298),"", 'Ingest Template'!AB298&amp;"|DAR")),(IF(ISBLANK('Ingest Template'!AB298),"", 'Ingest Template'!AB298&amp;"|TV Ops")))</f>
        <v/>
      </c>
      <c r="AA298" s="35"/>
      <c r="AB298" s="35" t="str">
        <f>'Ingest Template'!R298</f>
        <v/>
      </c>
      <c r="AC298" s="35" t="str">
        <f>'Ingest Template'!T298</f>
        <v/>
      </c>
      <c r="AD298" s="35" t="str">
        <f>'Ingest Template'!S298</f>
        <v/>
      </c>
      <c r="AE298" s="35" t="str">
        <f>'Ingest Template'!U298</f>
        <v/>
      </c>
      <c r="AF298" s="22"/>
      <c r="AG298" s="35" t="str">
        <f t="array" ref="AG298">IF('Ingest Template'!A298="Standard",(CONCATENATE(IF(ISBLANK('Ingest Template'!N298),"", 'Ingest Template'!N298&amp;"|DAR"),CHAR(10), IF(ISBLANK('Ingest Template'!O298),"", 'Ingest Template'!O298&amp;"|DAR"),CHAR(10), IF(ISBLANK('Ingest Template'!P298),"", 'Ingest Template'!P298&amp;"|DAR"))),(CONCATENATE(IF(ISBLANK('Ingest Template'!N298),"", 'Ingest Template'!N298&amp;"|TV Ops"),CHAR(10), IF(ISBLANK('Ingest Template'!O298),"", 'Ingest Template'!O298&amp;"|TV Ops"),CHAR(10), IF(ISBLANK('Ingest Template'!P298),"", 'Ingest Template'!P298&amp;"|TV Ops"))))</f>
        <v>
</v>
      </c>
      <c r="AH298" s="35"/>
      <c r="AI298" s="35"/>
      <c r="AJ298" s="117" t="str">
        <f>if('Ingest Template'!A298="Standard",(IF(OR('Ingest Template'!F298 = "Program Type - Special", 'Ingest Template'!F298 = "Program Type - Live Event"),'Ingest Template'!M298&amp; "|DAR|DAR|"&amp;TEXT('Ingest Template'!C298-3, "yyyy-mm-dd")&amp;"|"&amp;TEXT('Ingest Template'!C298+3, "yyyy-mm-dd"),'Ingest Template'!M298&amp; "|DAR|DAR|2021-01-01")),(IF(OR('Ingest Template'!F298 = "Program Type - Special", 'Ingest Template'!F298 = "Program Type - Live Event"),'Ingest Template'!M298&amp; "|Operations - Core Title|Operations - Core Title|"&amp;TEXT('Ingest Template'!C298-3, "yyyy-mm-dd")&amp;"|"&amp;TEXT('Ingest Template'!C298+3, "yyyy-mm-dd"),'Ingest Template'!M298&amp; "|Operations - Core Title|Operations - Core Title")))</f>
        <v>|Operations - Core Title|Operations - Core Title</v>
      </c>
      <c r="AK298" s="35"/>
      <c r="AL298" s="117" t="str">
        <f>if('Ingest Template'!A298="Standard",(IF(OR('Ingest Template'!F298 = "Program Type - Special", 'Ingest Template'!F298 = "Program Type - Live Event"),'Ingest Template'!Q298&amp;"|"&amp;TEXT('Ingest Template'!C298-3, "yyyy-mm-dd")&amp;"|"&amp;TEXT('Ingest Template'!C298+3, "yyyy-mm-dd"),'Ingest Template'!Q298&amp; "|2021-01-01")),(IF(OR('Ingest Template'!F298 = "Program Type - Special", 'Ingest Template'!F298 = "Program Type - Live Event"),'Ingest Template'!Q298&amp; "|"&amp;TEXT('Ingest Template'!C298-3, "yyyy-mm-dd")&amp;"|"&amp;TEXT('Ingest Template'!C298+3, "yyyy-mm-dd"),'Ingest Template'!Q298)))</f>
        <v/>
      </c>
      <c r="AM298" s="35" t="str">
        <f>'Ingest Template'!AC298</f>
        <v/>
      </c>
    </row>
    <row r="299">
      <c r="A299" s="15"/>
      <c r="B299" s="22" t="str">
        <f>'Ingest Template'!C299&amp;IF('Ingest Template'!A299 = "Standard", " - DAR","")</f>
        <v/>
      </c>
      <c r="C299" s="22" t="s">
        <v>83</v>
      </c>
      <c r="D299" s="22" t="str">
        <f t="array" ref="D299">CONCATENATE(INDEX(DropdownLists!$H$2:$H$11,MATCH(1,COUNTIF('Ingest Template'!E299,"*"&amp;DropdownLists!$I$2:$I$11&amp;"*"),0)),CHAR(10),'Ingest Template'!F299,CHAR(10),'Ingest Template'!G299,CHAR(10),VLOOKUP('Ingest Template'!D299,DropdownLists!C:D,2,FALSE))</f>
        <v>#N/A</v>
      </c>
      <c r="E299" s="22" t="str">
        <f>CONCATENATE('Ingest Template'!H299,CHAR(10),'Ingest Template'!I299,CHAR(10),'Ingest Template'!J299,CHAR(10))</f>
        <v>
</v>
      </c>
      <c r="F299" s="35" t="str">
        <f t="array" ref="F299">INDEX(DropdownLists!$O$2:$O$36,MATCH(1,COUNTIF(E299,"*"&amp;DropdownLists!$N$2:$N$36&amp;"*"),0))</f>
        <v/>
      </c>
      <c r="G299" s="35"/>
      <c r="H299" s="22" t="str">
        <f t="array" ref="H299">INDEX(DropdownLists!$E$2:$E$276,MATCH('Ingest Template'!D299,DropdownLists!$C$2:$C$276,0))</f>
        <v>#N/A</v>
      </c>
      <c r="I299" s="22"/>
      <c r="J299" s="22" t="str">
        <f t="array" ref="J299">iF('Ingest Template'!A299="Standard","Pristine Brand",INDEX(DropdownLists!$B$2:$B$246,MATCH('Ingest Template'!D299,DropdownLists!$C$2:$C$246,0)))</f>
        <v>#N/A</v>
      </c>
      <c r="K299" s="22" t="str">
        <f>iF('Ingest Template'!A299="Standard",'Ingest Template'!K299&amp;CHAR(10)&amp;'Ingest Template'!L299,"Competitive View")</f>
        <v>Competitive View</v>
      </c>
      <c r="L299" s="22" t="s">
        <v>95</v>
      </c>
      <c r="M299" s="45" t="str">
        <f>'Ingest Template'!B299</f>
        <v/>
      </c>
      <c r="N299" s="35"/>
      <c r="O299" s="35"/>
      <c r="P299" s="35"/>
      <c r="Q299" s="35"/>
      <c r="R299" s="35" t="str">
        <f>'Ingest Template'!D299</f>
        <v/>
      </c>
      <c r="S299" s="22" t="s">
        <v>101</v>
      </c>
      <c r="T299" s="35" t="str">
        <f>'Ingest Template'!V299</f>
        <v/>
      </c>
      <c r="U299" s="35" t="str">
        <f>'Ingest Template'!W299</f>
        <v/>
      </c>
      <c r="V299" s="35" t="str">
        <f>LOWER(SUBSTITUTE(SUBSTITUTE(SUBSTITUTE(SUBSTITUTE(SUBSTITUTE('Ingest Template'!X299,"https:",""),"www.",""),"/",""),"?hl=en",""),"instagram.com",""))</f>
        <v/>
      </c>
      <c r="W299" s="74" t="str">
        <f t="array" ref="W299">IF(
'Ingest Template'!Y299="",
SUBSTITUTE(
INDEX(DropdownLists!$F$2:$F$277,MATCH('Ingest Template'!D299,DropdownLists!$C$2:$C$277,0)),
CHAR(10),
"|"&amp;'Ingest Template'!C299&amp;CHAR(10)
)&amp;"|"&amp;'Ingest Template'!C299,
SUBSTITUTE(
INDEX(DropdownLists!$F$2:$F$277,MATCH('Ingest Template'!D299,DropdownLists!$C$2:$C$277,0)),
CHAR(10),
"|"&amp;'Ingest Template'!C299&amp;CHAR(10)
)&amp;"|"&amp;'Ingest Template'!C299&amp;CHAR(10)&amp;'Ingest Template'!Y299
)</f>
        <v>#N/A</v>
      </c>
      <c r="X299" s="74" t="str">
        <f>'Ingest Template'!Z299</f>
        <v/>
      </c>
      <c r="Y299" s="35" t="str">
        <f>SUBSTITUTE(SUBSTITUTE(SUBSTITUTE('Ingest Template'!AA299,"http:",""),"https:",""),"/","")</f>
        <v/>
      </c>
      <c r="Z299" s="35" t="str">
        <f t="array" ref="Z299">IF('Ingest Template'!A299="Standard",(IF(ISBLANK('Ingest Template'!AB299),"", 'Ingest Template'!AB299&amp;"|DAR")),(IF(ISBLANK('Ingest Template'!AB299),"", 'Ingest Template'!AB299&amp;"|TV Ops")))</f>
        <v/>
      </c>
      <c r="AA299" s="35"/>
      <c r="AB299" s="35" t="str">
        <f>'Ingest Template'!R299</f>
        <v/>
      </c>
      <c r="AC299" s="35" t="str">
        <f>'Ingest Template'!T299</f>
        <v/>
      </c>
      <c r="AD299" s="35" t="str">
        <f>'Ingest Template'!S299</f>
        <v/>
      </c>
      <c r="AE299" s="35" t="str">
        <f>'Ingest Template'!U299</f>
        <v/>
      </c>
      <c r="AF299" s="22"/>
      <c r="AG299" s="35" t="str">
        <f t="array" ref="AG299">IF('Ingest Template'!A299="Standard",(CONCATENATE(IF(ISBLANK('Ingest Template'!N299),"", 'Ingest Template'!N299&amp;"|DAR"),CHAR(10), IF(ISBLANK('Ingest Template'!O299),"", 'Ingest Template'!O299&amp;"|DAR"),CHAR(10), IF(ISBLANK('Ingest Template'!P299),"", 'Ingest Template'!P299&amp;"|DAR"))),(CONCATENATE(IF(ISBLANK('Ingest Template'!N299),"", 'Ingest Template'!N299&amp;"|TV Ops"),CHAR(10), IF(ISBLANK('Ingest Template'!O299),"", 'Ingest Template'!O299&amp;"|TV Ops"),CHAR(10), IF(ISBLANK('Ingest Template'!P299),"", 'Ingest Template'!P299&amp;"|TV Ops"))))</f>
        <v>
</v>
      </c>
      <c r="AH299" s="35"/>
      <c r="AI299" s="35"/>
      <c r="AJ299" s="117" t="str">
        <f>if('Ingest Template'!A299="Standard",(IF(OR('Ingest Template'!F299 = "Program Type - Special", 'Ingest Template'!F299 = "Program Type - Live Event"),'Ingest Template'!M299&amp; "|DAR|DAR|"&amp;TEXT('Ingest Template'!C299-3, "yyyy-mm-dd")&amp;"|"&amp;TEXT('Ingest Template'!C299+3, "yyyy-mm-dd"),'Ingest Template'!M299&amp; "|DAR|DAR|2021-01-01")),(IF(OR('Ingest Template'!F299 = "Program Type - Special", 'Ingest Template'!F299 = "Program Type - Live Event"),'Ingest Template'!M299&amp; "|Operations - Core Title|Operations - Core Title|"&amp;TEXT('Ingest Template'!C299-3, "yyyy-mm-dd")&amp;"|"&amp;TEXT('Ingest Template'!C299+3, "yyyy-mm-dd"),'Ingest Template'!M299&amp; "|Operations - Core Title|Operations - Core Title")))</f>
        <v>|Operations - Core Title|Operations - Core Title</v>
      </c>
      <c r="AK299" s="35"/>
      <c r="AL299" s="117" t="str">
        <f>if('Ingest Template'!A299="Standard",(IF(OR('Ingest Template'!F299 = "Program Type - Special", 'Ingest Template'!F299 = "Program Type - Live Event"),'Ingest Template'!Q299&amp;"|"&amp;TEXT('Ingest Template'!C299-3, "yyyy-mm-dd")&amp;"|"&amp;TEXT('Ingest Template'!C299+3, "yyyy-mm-dd"),'Ingest Template'!Q299&amp; "|2021-01-01")),(IF(OR('Ingest Template'!F299 = "Program Type - Special", 'Ingest Template'!F299 = "Program Type - Live Event"),'Ingest Template'!Q299&amp; "|"&amp;TEXT('Ingest Template'!C299-3, "yyyy-mm-dd")&amp;"|"&amp;TEXT('Ingest Template'!C299+3, "yyyy-mm-dd"),'Ingest Template'!Q299)))</f>
        <v/>
      </c>
      <c r="AM299" s="35" t="str">
        <f>'Ingest Template'!AC299</f>
        <v/>
      </c>
    </row>
    <row r="300">
      <c r="A300" s="15"/>
      <c r="B300" s="22" t="str">
        <f>'Ingest Template'!C300&amp;IF('Ingest Template'!A300 = "Standard", " - DAR","")</f>
        <v/>
      </c>
      <c r="C300" s="22" t="s">
        <v>83</v>
      </c>
      <c r="D300" s="22" t="str">
        <f t="array" ref="D300">CONCATENATE(INDEX(DropdownLists!$H$2:$H$11,MATCH(1,COUNTIF('Ingest Template'!E300,"*"&amp;DropdownLists!$I$2:$I$11&amp;"*"),0)),CHAR(10),'Ingest Template'!F300,CHAR(10),'Ingest Template'!G300,CHAR(10),VLOOKUP('Ingest Template'!D300,DropdownLists!C:D,2,FALSE))</f>
        <v>#N/A</v>
      </c>
      <c r="E300" s="22" t="str">
        <f>CONCATENATE('Ingest Template'!H300,CHAR(10),'Ingest Template'!I300,CHAR(10),'Ingest Template'!J300,CHAR(10))</f>
        <v>
</v>
      </c>
      <c r="F300" s="35" t="str">
        <f t="array" ref="F300">INDEX(DropdownLists!$O$2:$O$36,MATCH(1,COUNTIF(E300,"*"&amp;DropdownLists!$N$2:$N$36&amp;"*"),0))</f>
        <v/>
      </c>
      <c r="G300" s="35"/>
      <c r="H300" s="22" t="str">
        <f t="array" ref="H300">INDEX(DropdownLists!$E$2:$E$276,MATCH('Ingest Template'!D300,DropdownLists!$C$2:$C$276,0))</f>
        <v>#N/A</v>
      </c>
      <c r="I300" s="22"/>
      <c r="J300" s="22" t="str">
        <f t="array" ref="J300">iF('Ingest Template'!A300="Standard","Pristine Brand",INDEX(DropdownLists!$B$2:$B$246,MATCH('Ingest Template'!D300,DropdownLists!$C$2:$C$246,0)))</f>
        <v>#N/A</v>
      </c>
      <c r="K300" s="22" t="str">
        <f>iF('Ingest Template'!A300="Standard",'Ingest Template'!K300&amp;CHAR(10)&amp;'Ingest Template'!L300,"Competitive View")</f>
        <v>Competitive View</v>
      </c>
      <c r="L300" s="22" t="s">
        <v>95</v>
      </c>
      <c r="M300" s="45" t="str">
        <f>'Ingest Template'!B300</f>
        <v/>
      </c>
      <c r="N300" s="35"/>
      <c r="O300" s="35"/>
      <c r="P300" s="35"/>
      <c r="Q300" s="35"/>
      <c r="R300" s="35" t="str">
        <f>'Ingest Template'!D300</f>
        <v/>
      </c>
      <c r="S300" s="22" t="s">
        <v>101</v>
      </c>
      <c r="T300" s="35" t="str">
        <f>'Ingest Template'!V300</f>
        <v/>
      </c>
      <c r="U300" s="35" t="str">
        <f>'Ingest Template'!W300</f>
        <v/>
      </c>
      <c r="V300" s="35" t="str">
        <f>LOWER(SUBSTITUTE(SUBSTITUTE(SUBSTITUTE(SUBSTITUTE(SUBSTITUTE('Ingest Template'!X300,"https:",""),"www.",""),"/",""),"?hl=en",""),"instagram.com",""))</f>
        <v/>
      </c>
      <c r="W300" s="74" t="str">
        <f t="array" ref="W300">IF(
'Ingest Template'!Y300="",
SUBSTITUTE(
INDEX(DropdownLists!$F$2:$F$277,MATCH('Ingest Template'!D300,DropdownLists!$C$2:$C$277,0)),
CHAR(10),
"|"&amp;'Ingest Template'!C300&amp;CHAR(10)
)&amp;"|"&amp;'Ingest Template'!C300,
SUBSTITUTE(
INDEX(DropdownLists!$F$2:$F$277,MATCH('Ingest Template'!D300,DropdownLists!$C$2:$C$277,0)),
CHAR(10),
"|"&amp;'Ingest Template'!C300&amp;CHAR(10)
)&amp;"|"&amp;'Ingest Template'!C300&amp;CHAR(10)&amp;'Ingest Template'!Y300
)</f>
        <v>#N/A</v>
      </c>
      <c r="X300" s="74" t="str">
        <f>'Ingest Template'!Z300</f>
        <v/>
      </c>
      <c r="Y300" s="35" t="str">
        <f>SUBSTITUTE(SUBSTITUTE(SUBSTITUTE('Ingest Template'!AA300,"http:",""),"https:",""),"/","")</f>
        <v/>
      </c>
      <c r="Z300" s="35" t="str">
        <f t="array" ref="Z300">IF('Ingest Template'!A300="Standard",(IF(ISBLANK('Ingest Template'!AB300),"", 'Ingest Template'!AB300&amp;"|DAR")),(IF(ISBLANK('Ingest Template'!AB300),"", 'Ingest Template'!AB300&amp;"|TV Ops")))</f>
        <v/>
      </c>
      <c r="AA300" s="35"/>
      <c r="AB300" s="35" t="str">
        <f>'Ingest Template'!R300</f>
        <v/>
      </c>
      <c r="AC300" s="35" t="str">
        <f>'Ingest Template'!T300</f>
        <v/>
      </c>
      <c r="AD300" s="35" t="str">
        <f>'Ingest Template'!S300</f>
        <v/>
      </c>
      <c r="AE300" s="35" t="str">
        <f>'Ingest Template'!U300</f>
        <v/>
      </c>
      <c r="AF300" s="22"/>
      <c r="AG300" s="35" t="str">
        <f t="array" ref="AG300">IF('Ingest Template'!A300="Standard",(CONCATENATE(IF(ISBLANK('Ingest Template'!N300),"", 'Ingest Template'!N300&amp;"|DAR"),CHAR(10), IF(ISBLANK('Ingest Template'!O300),"", 'Ingest Template'!O300&amp;"|DAR"),CHAR(10), IF(ISBLANK('Ingest Template'!P300),"", 'Ingest Template'!P300&amp;"|DAR"))),(CONCATENATE(IF(ISBLANK('Ingest Template'!N300),"", 'Ingest Template'!N300&amp;"|TV Ops"),CHAR(10), IF(ISBLANK('Ingest Template'!O300),"", 'Ingest Template'!O300&amp;"|TV Ops"),CHAR(10), IF(ISBLANK('Ingest Template'!P300),"", 'Ingest Template'!P300&amp;"|TV Ops"))))</f>
        <v>
</v>
      </c>
      <c r="AH300" s="35"/>
      <c r="AI300" s="35"/>
      <c r="AJ300" s="117" t="str">
        <f>if('Ingest Template'!A300="Standard",(IF(OR('Ingest Template'!F300 = "Program Type - Special", 'Ingest Template'!F300 = "Program Type - Live Event"),'Ingest Template'!M300&amp; "|DAR|DAR|"&amp;TEXT('Ingest Template'!C300-3, "yyyy-mm-dd")&amp;"|"&amp;TEXT('Ingest Template'!C300+3, "yyyy-mm-dd"),'Ingest Template'!M300&amp; "|DAR|DAR|2021-01-01")),(IF(OR('Ingest Template'!F300 = "Program Type - Special", 'Ingest Template'!F300 = "Program Type - Live Event"),'Ingest Template'!M300&amp; "|Operations - Core Title|Operations - Core Title|"&amp;TEXT('Ingest Template'!C300-3, "yyyy-mm-dd")&amp;"|"&amp;TEXT('Ingest Template'!C300+3, "yyyy-mm-dd"),'Ingest Template'!M300&amp; "|Operations - Core Title|Operations - Core Title")))</f>
        <v>|Operations - Core Title|Operations - Core Title</v>
      </c>
      <c r="AK300" s="35"/>
      <c r="AL300" s="117" t="str">
        <f>if('Ingest Template'!A300="Standard",(IF(OR('Ingest Template'!F300 = "Program Type - Special", 'Ingest Template'!F300 = "Program Type - Live Event"),'Ingest Template'!Q300&amp;"|"&amp;TEXT('Ingest Template'!C300-3, "yyyy-mm-dd")&amp;"|"&amp;TEXT('Ingest Template'!C300+3, "yyyy-mm-dd"),'Ingest Template'!Q300&amp; "|2021-01-01")),(IF(OR('Ingest Template'!F300 = "Program Type - Special", 'Ingest Template'!F300 = "Program Type - Live Event"),'Ingest Template'!Q300&amp; "|"&amp;TEXT('Ingest Template'!C300-3, "yyyy-mm-dd")&amp;"|"&amp;TEXT('Ingest Template'!C300+3, "yyyy-mm-dd"),'Ingest Template'!Q300)))</f>
        <v/>
      </c>
      <c r="AM300" s="35" t="str">
        <f>'Ingest Template'!AC300</f>
        <v/>
      </c>
    </row>
    <row r="301">
      <c r="A301" s="15"/>
      <c r="B301" s="22" t="str">
        <f>'Ingest Template'!C301&amp;IF('Ingest Template'!A301 = "Standard", " - DAR","")</f>
        <v/>
      </c>
      <c r="C301" s="22" t="s">
        <v>83</v>
      </c>
      <c r="D301" s="22" t="str">
        <f t="array" ref="D301">CONCATENATE(INDEX(DropdownLists!$H$2:$H$11,MATCH(1,COUNTIF('Ingest Template'!E301,"*"&amp;DropdownLists!$I$2:$I$11&amp;"*"),0)),CHAR(10),'Ingest Template'!F301,CHAR(10),'Ingest Template'!G301,CHAR(10),VLOOKUP('Ingest Template'!D301,DropdownLists!C:D,2,FALSE))</f>
        <v>#N/A</v>
      </c>
      <c r="E301" s="22" t="str">
        <f>CONCATENATE('Ingest Template'!H301,CHAR(10),'Ingest Template'!I301,CHAR(10),'Ingest Template'!J301,CHAR(10))</f>
        <v>
</v>
      </c>
      <c r="F301" s="35" t="str">
        <f t="array" ref="F301">INDEX(DropdownLists!$O$2:$O$36,MATCH(1,COUNTIF(E301,"*"&amp;DropdownLists!$N$2:$N$36&amp;"*"),0))</f>
        <v/>
      </c>
      <c r="G301" s="35"/>
      <c r="H301" s="22" t="str">
        <f t="array" ref="H301">INDEX(DropdownLists!$E$2:$E$276,MATCH('Ingest Template'!D301,DropdownLists!$C$2:$C$276,0))</f>
        <v>#N/A</v>
      </c>
      <c r="I301" s="22"/>
      <c r="J301" s="22" t="str">
        <f t="array" ref="J301">iF('Ingest Template'!A301="Standard","Pristine Brand",INDEX(DropdownLists!$B$2:$B$246,MATCH('Ingest Template'!D301,DropdownLists!$C$2:$C$246,0)))</f>
        <v>#N/A</v>
      </c>
      <c r="K301" s="22" t="str">
        <f>iF('Ingest Template'!A301="Standard",'Ingest Template'!K301&amp;CHAR(10)&amp;'Ingest Template'!L301,"Competitive View")</f>
        <v>Competitive View</v>
      </c>
      <c r="L301" s="22" t="s">
        <v>95</v>
      </c>
      <c r="M301" s="45" t="str">
        <f>'Ingest Template'!B301</f>
        <v/>
      </c>
      <c r="N301" s="35"/>
      <c r="O301" s="35"/>
      <c r="P301" s="35"/>
      <c r="Q301" s="35"/>
      <c r="R301" s="35" t="str">
        <f>'Ingest Template'!D301</f>
        <v/>
      </c>
      <c r="S301" s="22" t="s">
        <v>101</v>
      </c>
      <c r="T301" s="35" t="str">
        <f>'Ingest Template'!V301</f>
        <v/>
      </c>
      <c r="U301" s="35" t="str">
        <f>'Ingest Template'!W301</f>
        <v/>
      </c>
      <c r="V301" s="35" t="str">
        <f>LOWER(SUBSTITUTE(SUBSTITUTE(SUBSTITUTE(SUBSTITUTE(SUBSTITUTE('Ingest Template'!X301,"https:",""),"www.",""),"/",""),"?hl=en",""),"instagram.com",""))</f>
        <v/>
      </c>
      <c r="W301" s="74" t="str">
        <f t="array" ref="W301">IF(
'Ingest Template'!Y301="",
SUBSTITUTE(
INDEX(DropdownLists!$F$2:$F$277,MATCH('Ingest Template'!D301,DropdownLists!$C$2:$C$277,0)),
CHAR(10),
"|"&amp;'Ingest Template'!C301&amp;CHAR(10)
)&amp;"|"&amp;'Ingest Template'!C301,
SUBSTITUTE(
INDEX(DropdownLists!$F$2:$F$277,MATCH('Ingest Template'!D301,DropdownLists!$C$2:$C$277,0)),
CHAR(10),
"|"&amp;'Ingest Template'!C301&amp;CHAR(10)
)&amp;"|"&amp;'Ingest Template'!C301&amp;CHAR(10)&amp;'Ingest Template'!Y301
)</f>
        <v>#N/A</v>
      </c>
      <c r="X301" s="74" t="str">
        <f>'Ingest Template'!Z301</f>
        <v/>
      </c>
      <c r="Y301" s="35" t="str">
        <f>SUBSTITUTE(SUBSTITUTE(SUBSTITUTE('Ingest Template'!AA301,"http:",""),"https:",""),"/","")</f>
        <v/>
      </c>
      <c r="Z301" s="35" t="str">
        <f t="array" ref="Z301">IF('Ingest Template'!A301="Standard",(IF(ISBLANK('Ingest Template'!AB301),"", 'Ingest Template'!AB301&amp;"|DAR")),(IF(ISBLANK('Ingest Template'!AB301),"", 'Ingest Template'!AB301&amp;"|TV Ops")))</f>
        <v/>
      </c>
      <c r="AA301" s="35"/>
      <c r="AB301" s="35" t="str">
        <f>'Ingest Template'!R301</f>
        <v/>
      </c>
      <c r="AC301" s="35" t="str">
        <f>'Ingest Template'!T301</f>
        <v/>
      </c>
      <c r="AD301" s="35" t="str">
        <f>'Ingest Template'!S301</f>
        <v/>
      </c>
      <c r="AE301" s="35" t="str">
        <f>'Ingest Template'!U301</f>
        <v/>
      </c>
      <c r="AF301" s="22"/>
      <c r="AG301" s="35" t="str">
        <f t="array" ref="AG301">IF('Ingest Template'!A301="Standard",(CONCATENATE(IF(ISBLANK('Ingest Template'!N301),"", 'Ingest Template'!N301&amp;"|DAR"),CHAR(10), IF(ISBLANK('Ingest Template'!O301),"", 'Ingest Template'!O301&amp;"|DAR"),CHAR(10), IF(ISBLANK('Ingest Template'!P301),"", 'Ingest Template'!P301&amp;"|DAR"))),(CONCATENATE(IF(ISBLANK('Ingest Template'!N301),"", 'Ingest Template'!N301&amp;"|TV Ops"),CHAR(10), IF(ISBLANK('Ingest Template'!O301),"", 'Ingest Template'!O301&amp;"|TV Ops"),CHAR(10), IF(ISBLANK('Ingest Template'!P301),"", 'Ingest Template'!P301&amp;"|TV Ops"))))</f>
        <v>
</v>
      </c>
      <c r="AH301" s="35"/>
      <c r="AI301" s="35"/>
      <c r="AJ301" s="117" t="str">
        <f>if('Ingest Template'!A301="Standard",(IF(OR('Ingest Template'!F301 = "Program Type - Special", 'Ingest Template'!F301 = "Program Type - Live Event"),'Ingest Template'!M301&amp; "|DAR|DAR|"&amp;TEXT('Ingest Template'!C301-3, "yyyy-mm-dd")&amp;"|"&amp;TEXT('Ingest Template'!C301+3, "yyyy-mm-dd"),'Ingest Template'!M301&amp; "|DAR|DAR|2021-01-01")),(IF(OR('Ingest Template'!F301 = "Program Type - Special", 'Ingest Template'!F301 = "Program Type - Live Event"),'Ingest Template'!M301&amp; "|Operations - Core Title|Operations - Core Title|"&amp;TEXT('Ingest Template'!C301-3, "yyyy-mm-dd")&amp;"|"&amp;TEXT('Ingest Template'!C301+3, "yyyy-mm-dd"),'Ingest Template'!M301&amp; "|Operations - Core Title|Operations - Core Title")))</f>
        <v>|Operations - Core Title|Operations - Core Title</v>
      </c>
      <c r="AK301" s="35"/>
      <c r="AL301" s="117" t="str">
        <f>if('Ingest Template'!A301="Standard",(IF(OR('Ingest Template'!F301 = "Program Type - Special", 'Ingest Template'!F301 = "Program Type - Live Event"),'Ingest Template'!Q301&amp;"|"&amp;TEXT('Ingest Template'!C301-3, "yyyy-mm-dd")&amp;"|"&amp;TEXT('Ingest Template'!C301+3, "yyyy-mm-dd"),'Ingest Template'!Q301&amp; "|2021-01-01")),(IF(OR('Ingest Template'!F301 = "Program Type - Special", 'Ingest Template'!F301 = "Program Type - Live Event"),'Ingest Template'!Q301&amp; "|"&amp;TEXT('Ingest Template'!C301-3, "yyyy-mm-dd")&amp;"|"&amp;TEXT('Ingest Template'!C301+3, "yyyy-mm-dd"),'Ingest Template'!Q301)))</f>
        <v/>
      </c>
      <c r="AM301" s="35" t="str">
        <f>'Ingest Template'!AC301</f>
        <v/>
      </c>
    </row>
    <row r="302">
      <c r="A302" s="15"/>
      <c r="B302" s="22" t="str">
        <f>'Ingest Template'!C302&amp;IF('Ingest Template'!A302 = "Standard", " - DAR","")</f>
        <v/>
      </c>
      <c r="C302" s="22" t="s">
        <v>83</v>
      </c>
      <c r="D302" s="22" t="str">
        <f t="array" ref="D302">CONCATENATE(INDEX(DropdownLists!$H$2:$H$11,MATCH(1,COUNTIF('Ingest Template'!E302,"*"&amp;DropdownLists!$I$2:$I$11&amp;"*"),0)),CHAR(10),'Ingest Template'!F302,CHAR(10),'Ingest Template'!G302,CHAR(10),VLOOKUP('Ingest Template'!D302,DropdownLists!C:D,2,FALSE))</f>
        <v>#N/A</v>
      </c>
      <c r="E302" s="22" t="str">
        <f>CONCATENATE('Ingest Template'!H302,CHAR(10),'Ingest Template'!I302,CHAR(10),'Ingest Template'!J302,CHAR(10))</f>
        <v>
</v>
      </c>
      <c r="F302" s="35" t="str">
        <f t="array" ref="F302">INDEX(DropdownLists!$O$2:$O$36,MATCH(1,COUNTIF(E302,"*"&amp;DropdownLists!$N$2:$N$36&amp;"*"),0))</f>
        <v/>
      </c>
      <c r="G302" s="35"/>
      <c r="H302" s="22" t="str">
        <f t="array" ref="H302">INDEX(DropdownLists!$E$2:$E$276,MATCH('Ingest Template'!D302,DropdownLists!$C$2:$C$276,0))</f>
        <v>#N/A</v>
      </c>
      <c r="I302" s="22"/>
      <c r="J302" s="22" t="str">
        <f t="array" ref="J302">iF('Ingest Template'!A302="Standard","Pristine Brand",INDEX(DropdownLists!$B$2:$B$246,MATCH('Ingest Template'!D302,DropdownLists!$C$2:$C$246,0)))</f>
        <v>#N/A</v>
      </c>
      <c r="K302" s="22" t="str">
        <f>iF('Ingest Template'!A302="Standard",'Ingest Template'!K302&amp;CHAR(10)&amp;'Ingest Template'!L302,"Competitive View")</f>
        <v>Competitive View</v>
      </c>
      <c r="L302" s="22" t="s">
        <v>95</v>
      </c>
      <c r="M302" s="45" t="str">
        <f>'Ingest Template'!B302</f>
        <v/>
      </c>
      <c r="N302" s="35"/>
      <c r="O302" s="35"/>
      <c r="P302" s="35"/>
      <c r="Q302" s="35"/>
      <c r="R302" s="35" t="str">
        <f>'Ingest Template'!D302</f>
        <v/>
      </c>
      <c r="S302" s="22" t="s">
        <v>101</v>
      </c>
      <c r="T302" s="35" t="str">
        <f>'Ingest Template'!V302</f>
        <v/>
      </c>
      <c r="U302" s="35" t="str">
        <f>'Ingest Template'!W302</f>
        <v/>
      </c>
      <c r="V302" s="35" t="str">
        <f>LOWER(SUBSTITUTE(SUBSTITUTE(SUBSTITUTE(SUBSTITUTE(SUBSTITUTE('Ingest Template'!X302,"https:",""),"www.",""),"/",""),"?hl=en",""),"instagram.com",""))</f>
        <v/>
      </c>
      <c r="W302" s="74" t="str">
        <f t="array" ref="W302">IF(
'Ingest Template'!Y302="",
SUBSTITUTE(
INDEX(DropdownLists!$F$2:$F$277,MATCH('Ingest Template'!D302,DropdownLists!$C$2:$C$277,0)),
CHAR(10),
"|"&amp;'Ingest Template'!C302&amp;CHAR(10)
)&amp;"|"&amp;'Ingest Template'!C302,
SUBSTITUTE(
INDEX(DropdownLists!$F$2:$F$277,MATCH('Ingest Template'!D302,DropdownLists!$C$2:$C$277,0)),
CHAR(10),
"|"&amp;'Ingest Template'!C302&amp;CHAR(10)
)&amp;"|"&amp;'Ingest Template'!C302&amp;CHAR(10)&amp;'Ingest Template'!Y302
)</f>
        <v>#N/A</v>
      </c>
      <c r="X302" s="74" t="str">
        <f>'Ingest Template'!Z302</f>
        <v/>
      </c>
      <c r="Y302" s="35" t="str">
        <f>SUBSTITUTE(SUBSTITUTE(SUBSTITUTE('Ingest Template'!AA302,"http:",""),"https:",""),"/","")</f>
        <v/>
      </c>
      <c r="Z302" s="35" t="str">
        <f t="array" ref="Z302">IF('Ingest Template'!A302="Standard",(IF(ISBLANK('Ingest Template'!AB302),"", 'Ingest Template'!AB302&amp;"|DAR")),(IF(ISBLANK('Ingest Template'!AB302),"", 'Ingest Template'!AB302&amp;"|TV Ops")))</f>
        <v/>
      </c>
      <c r="AA302" s="35"/>
      <c r="AB302" s="35" t="str">
        <f>'Ingest Template'!R302</f>
        <v/>
      </c>
      <c r="AC302" s="35" t="str">
        <f>'Ingest Template'!T302</f>
        <v/>
      </c>
      <c r="AD302" s="35" t="str">
        <f>'Ingest Template'!S302</f>
        <v/>
      </c>
      <c r="AE302" s="35" t="str">
        <f>'Ingest Template'!U302</f>
        <v/>
      </c>
      <c r="AF302" s="22"/>
      <c r="AG302" s="35" t="str">
        <f t="array" ref="AG302">IF('Ingest Template'!A302="Standard",(CONCATENATE(IF(ISBLANK('Ingest Template'!N302),"", 'Ingest Template'!N302&amp;"|DAR"),CHAR(10), IF(ISBLANK('Ingest Template'!O302),"", 'Ingest Template'!O302&amp;"|DAR"),CHAR(10), IF(ISBLANK('Ingest Template'!P302),"", 'Ingest Template'!P302&amp;"|DAR"))),(CONCATENATE(IF(ISBLANK('Ingest Template'!N302),"", 'Ingest Template'!N302&amp;"|TV Ops"),CHAR(10), IF(ISBLANK('Ingest Template'!O302),"", 'Ingest Template'!O302&amp;"|TV Ops"),CHAR(10), IF(ISBLANK('Ingest Template'!P302),"", 'Ingest Template'!P302&amp;"|TV Ops"))))</f>
        <v>
</v>
      </c>
      <c r="AH302" s="35"/>
      <c r="AI302" s="35"/>
      <c r="AJ302" s="117" t="str">
        <f>if('Ingest Template'!A302="Standard",(IF(OR('Ingest Template'!F302 = "Program Type - Special", 'Ingest Template'!F302 = "Program Type - Live Event"),'Ingest Template'!M302&amp; "|DAR|DAR|"&amp;TEXT('Ingest Template'!C302-3, "yyyy-mm-dd")&amp;"|"&amp;TEXT('Ingest Template'!C302+3, "yyyy-mm-dd"),'Ingest Template'!M302&amp; "|DAR|DAR|2021-01-01")),(IF(OR('Ingest Template'!F302 = "Program Type - Special", 'Ingest Template'!F302 = "Program Type - Live Event"),'Ingest Template'!M302&amp; "|Operations - Core Title|Operations - Core Title|"&amp;TEXT('Ingest Template'!C302-3, "yyyy-mm-dd")&amp;"|"&amp;TEXT('Ingest Template'!C302+3, "yyyy-mm-dd"),'Ingest Template'!M302&amp; "|Operations - Core Title|Operations - Core Title")))</f>
        <v>|Operations - Core Title|Operations - Core Title</v>
      </c>
      <c r="AK302" s="35"/>
      <c r="AL302" s="117" t="str">
        <f>if('Ingest Template'!A302="Standard",(IF(OR('Ingest Template'!F302 = "Program Type - Special", 'Ingest Template'!F302 = "Program Type - Live Event"),'Ingest Template'!Q302&amp;"|"&amp;TEXT('Ingest Template'!C302-3, "yyyy-mm-dd")&amp;"|"&amp;TEXT('Ingest Template'!C302+3, "yyyy-mm-dd"),'Ingest Template'!Q302&amp; "|2021-01-01")),(IF(OR('Ingest Template'!F302 = "Program Type - Special", 'Ingest Template'!F302 = "Program Type - Live Event"),'Ingest Template'!Q302&amp; "|"&amp;TEXT('Ingest Template'!C302-3, "yyyy-mm-dd")&amp;"|"&amp;TEXT('Ingest Template'!C302+3, "yyyy-mm-dd"),'Ingest Template'!Q302)))</f>
        <v/>
      </c>
      <c r="AM302" s="35" t="str">
        <f>'Ingest Template'!AC302</f>
        <v/>
      </c>
    </row>
    <row r="303">
      <c r="A303" s="15"/>
      <c r="B303" s="22" t="str">
        <f>'Ingest Template'!C303&amp;IF('Ingest Template'!A303 = "Standard", " - DAR","")</f>
        <v/>
      </c>
      <c r="C303" s="22" t="s">
        <v>83</v>
      </c>
      <c r="D303" s="22" t="str">
        <f t="array" ref="D303">CONCATENATE(INDEX(DropdownLists!$H$2:$H$11,MATCH(1,COUNTIF('Ingest Template'!E303,"*"&amp;DropdownLists!$I$2:$I$11&amp;"*"),0)),CHAR(10),'Ingest Template'!F303,CHAR(10),'Ingest Template'!G303,CHAR(10),VLOOKUP('Ingest Template'!D303,DropdownLists!C:D,2,FALSE))</f>
        <v>#N/A</v>
      </c>
      <c r="E303" s="22" t="str">
        <f>CONCATENATE('Ingest Template'!H303,CHAR(10),'Ingest Template'!I303,CHAR(10),'Ingest Template'!J303,CHAR(10))</f>
        <v>
</v>
      </c>
      <c r="F303" s="35" t="str">
        <f t="array" ref="F303">INDEX(DropdownLists!$O$2:$O$36,MATCH(1,COUNTIF(E303,"*"&amp;DropdownLists!$N$2:$N$36&amp;"*"),0))</f>
        <v/>
      </c>
      <c r="G303" s="35"/>
      <c r="H303" s="22" t="str">
        <f t="array" ref="H303">INDEX(DropdownLists!$E$2:$E$276,MATCH('Ingest Template'!D303,DropdownLists!$C$2:$C$276,0))</f>
        <v>#N/A</v>
      </c>
      <c r="I303" s="22"/>
      <c r="J303" s="22" t="str">
        <f t="array" ref="J303">iF('Ingest Template'!A303="Standard","Pristine Brand",INDEX(DropdownLists!$B$2:$B$246,MATCH('Ingest Template'!D303,DropdownLists!$C$2:$C$246,0)))</f>
        <v>#N/A</v>
      </c>
      <c r="K303" s="22" t="str">
        <f>iF('Ingest Template'!A303="Standard",'Ingest Template'!K303&amp;CHAR(10)&amp;'Ingest Template'!L303,"Competitive View")</f>
        <v>Competitive View</v>
      </c>
      <c r="L303" s="22" t="s">
        <v>95</v>
      </c>
      <c r="M303" s="45" t="str">
        <f>'Ingest Template'!B303</f>
        <v/>
      </c>
      <c r="N303" s="35"/>
      <c r="O303" s="35"/>
      <c r="P303" s="35"/>
      <c r="Q303" s="35"/>
      <c r="R303" s="35" t="str">
        <f>'Ingest Template'!D303</f>
        <v/>
      </c>
      <c r="S303" s="22" t="s">
        <v>101</v>
      </c>
      <c r="T303" s="35" t="str">
        <f>'Ingest Template'!V303</f>
        <v/>
      </c>
      <c r="U303" s="35" t="str">
        <f>'Ingest Template'!W303</f>
        <v/>
      </c>
      <c r="V303" s="35" t="str">
        <f>LOWER(SUBSTITUTE(SUBSTITUTE(SUBSTITUTE(SUBSTITUTE(SUBSTITUTE('Ingest Template'!X303,"https:",""),"www.",""),"/",""),"?hl=en",""),"instagram.com",""))</f>
        <v/>
      </c>
      <c r="W303" s="74" t="str">
        <f t="array" ref="W303">IF(
'Ingest Template'!Y303="",
SUBSTITUTE(
INDEX(DropdownLists!$F$2:$F$277,MATCH('Ingest Template'!D303,DropdownLists!$C$2:$C$277,0)),
CHAR(10),
"|"&amp;'Ingest Template'!C303&amp;CHAR(10)
)&amp;"|"&amp;'Ingest Template'!C303,
SUBSTITUTE(
INDEX(DropdownLists!$F$2:$F$277,MATCH('Ingest Template'!D303,DropdownLists!$C$2:$C$277,0)),
CHAR(10),
"|"&amp;'Ingest Template'!C303&amp;CHAR(10)
)&amp;"|"&amp;'Ingest Template'!C303&amp;CHAR(10)&amp;'Ingest Template'!Y303
)</f>
        <v>#N/A</v>
      </c>
      <c r="X303" s="74" t="str">
        <f>'Ingest Template'!Z303</f>
        <v/>
      </c>
      <c r="Y303" s="35" t="str">
        <f>SUBSTITUTE(SUBSTITUTE(SUBSTITUTE('Ingest Template'!AA303,"http:",""),"https:",""),"/","")</f>
        <v/>
      </c>
      <c r="Z303" s="35" t="str">
        <f t="array" ref="Z303">IF('Ingest Template'!A303="Standard",(IF(ISBLANK('Ingest Template'!AB303),"", 'Ingest Template'!AB303&amp;"|DAR")),(IF(ISBLANK('Ingest Template'!AB303),"", 'Ingest Template'!AB303&amp;"|TV Ops")))</f>
        <v/>
      </c>
      <c r="AA303" s="35"/>
      <c r="AB303" s="35" t="str">
        <f>'Ingest Template'!R303</f>
        <v/>
      </c>
      <c r="AC303" s="35" t="str">
        <f>'Ingest Template'!T303</f>
        <v/>
      </c>
      <c r="AD303" s="35" t="str">
        <f>'Ingest Template'!S303</f>
        <v/>
      </c>
      <c r="AE303" s="35" t="str">
        <f>'Ingest Template'!U303</f>
        <v/>
      </c>
      <c r="AF303" s="22"/>
      <c r="AG303" s="35" t="str">
        <f t="array" ref="AG303">IF('Ingest Template'!A303="Standard",(CONCATENATE(IF(ISBLANK('Ingest Template'!N303),"", 'Ingest Template'!N303&amp;"|DAR"),CHAR(10), IF(ISBLANK('Ingest Template'!O303),"", 'Ingest Template'!O303&amp;"|DAR"),CHAR(10), IF(ISBLANK('Ingest Template'!P303),"", 'Ingest Template'!P303&amp;"|DAR"))),(CONCATENATE(IF(ISBLANK('Ingest Template'!N303),"", 'Ingest Template'!N303&amp;"|TV Ops"),CHAR(10), IF(ISBLANK('Ingest Template'!O303),"", 'Ingest Template'!O303&amp;"|TV Ops"),CHAR(10), IF(ISBLANK('Ingest Template'!P303),"", 'Ingest Template'!P303&amp;"|TV Ops"))))</f>
        <v>
</v>
      </c>
      <c r="AH303" s="35"/>
      <c r="AI303" s="35"/>
      <c r="AJ303" s="117" t="str">
        <f>if('Ingest Template'!A303="Standard",(IF(OR('Ingest Template'!F303 = "Program Type - Special", 'Ingest Template'!F303 = "Program Type - Live Event"),'Ingest Template'!M303&amp; "|DAR|DAR|"&amp;TEXT('Ingest Template'!C303-3, "yyyy-mm-dd")&amp;"|"&amp;TEXT('Ingest Template'!C303+3, "yyyy-mm-dd"),'Ingest Template'!M303&amp; "|DAR|DAR|2021-01-01")),(IF(OR('Ingest Template'!F303 = "Program Type - Special", 'Ingest Template'!F303 = "Program Type - Live Event"),'Ingest Template'!M303&amp; "|Operations - Core Title|Operations - Core Title|"&amp;TEXT('Ingest Template'!C303-3, "yyyy-mm-dd")&amp;"|"&amp;TEXT('Ingest Template'!C303+3, "yyyy-mm-dd"),'Ingest Template'!M303&amp; "|Operations - Core Title|Operations - Core Title")))</f>
        <v>|Operations - Core Title|Operations - Core Title</v>
      </c>
      <c r="AK303" s="35"/>
      <c r="AL303" s="117" t="str">
        <f>if('Ingest Template'!A303="Standard",(IF(OR('Ingest Template'!F303 = "Program Type - Special", 'Ingest Template'!F303 = "Program Type - Live Event"),'Ingest Template'!Q303&amp;"|"&amp;TEXT('Ingest Template'!C303-3, "yyyy-mm-dd")&amp;"|"&amp;TEXT('Ingest Template'!C303+3, "yyyy-mm-dd"),'Ingest Template'!Q303&amp; "|2021-01-01")),(IF(OR('Ingest Template'!F303 = "Program Type - Special", 'Ingest Template'!F303 = "Program Type - Live Event"),'Ingest Template'!Q303&amp; "|"&amp;TEXT('Ingest Template'!C303-3, "yyyy-mm-dd")&amp;"|"&amp;TEXT('Ingest Template'!C303+3, "yyyy-mm-dd"),'Ingest Template'!Q303)))</f>
        <v/>
      </c>
      <c r="AM303" s="35" t="str">
        <f>'Ingest Template'!AC303</f>
        <v/>
      </c>
    </row>
    <row r="304">
      <c r="A304" s="15"/>
      <c r="B304" s="22" t="str">
        <f>'Ingest Template'!C304&amp;IF('Ingest Template'!A304 = "Standard", " - DAR","")</f>
        <v/>
      </c>
      <c r="C304" s="22" t="s">
        <v>83</v>
      </c>
      <c r="D304" s="22" t="str">
        <f t="array" ref="D304">CONCATENATE(INDEX(DropdownLists!$H$2:$H$11,MATCH(1,COUNTIF('Ingest Template'!E304,"*"&amp;DropdownLists!$I$2:$I$11&amp;"*"),0)),CHAR(10),'Ingest Template'!F304,CHAR(10),'Ingest Template'!G304,CHAR(10),VLOOKUP('Ingest Template'!D304,DropdownLists!C:D,2,FALSE))</f>
        <v>#N/A</v>
      </c>
      <c r="E304" s="22" t="str">
        <f>CONCATENATE('Ingest Template'!H304,CHAR(10),'Ingest Template'!I304,CHAR(10),'Ingest Template'!J304,CHAR(10))</f>
        <v>
</v>
      </c>
      <c r="F304" s="35" t="str">
        <f t="array" ref="F304">INDEX(DropdownLists!$O$2:$O$36,MATCH(1,COUNTIF(E304,"*"&amp;DropdownLists!$N$2:$N$36&amp;"*"),0))</f>
        <v/>
      </c>
      <c r="G304" s="35"/>
      <c r="H304" s="22" t="str">
        <f t="array" ref="H304">INDEX(DropdownLists!$E$2:$E$276,MATCH('Ingest Template'!D304,DropdownLists!$C$2:$C$276,0))</f>
        <v>#N/A</v>
      </c>
      <c r="I304" s="22"/>
      <c r="J304" s="22" t="str">
        <f t="array" ref="J304">iF('Ingest Template'!A304="Standard","Pristine Brand",INDEX(DropdownLists!$B$2:$B$246,MATCH('Ingest Template'!D304,DropdownLists!$C$2:$C$246,0)))</f>
        <v>#N/A</v>
      </c>
      <c r="K304" s="22" t="str">
        <f>iF('Ingest Template'!A304="Standard",'Ingest Template'!K304&amp;CHAR(10)&amp;'Ingest Template'!L304,"Competitive View")</f>
        <v>Competitive View</v>
      </c>
      <c r="L304" s="22" t="s">
        <v>95</v>
      </c>
      <c r="M304" s="45" t="str">
        <f>'Ingest Template'!B304</f>
        <v/>
      </c>
      <c r="N304" s="35"/>
      <c r="O304" s="35"/>
      <c r="P304" s="35"/>
      <c r="Q304" s="35"/>
      <c r="R304" s="35" t="str">
        <f>'Ingest Template'!D304</f>
        <v/>
      </c>
      <c r="S304" s="22" t="s">
        <v>101</v>
      </c>
      <c r="T304" s="35" t="str">
        <f>'Ingest Template'!V304</f>
        <v/>
      </c>
      <c r="U304" s="35" t="str">
        <f>'Ingest Template'!W304</f>
        <v/>
      </c>
      <c r="V304" s="35" t="str">
        <f>LOWER(SUBSTITUTE(SUBSTITUTE(SUBSTITUTE(SUBSTITUTE(SUBSTITUTE('Ingest Template'!X304,"https:",""),"www.",""),"/",""),"?hl=en",""),"instagram.com",""))</f>
        <v/>
      </c>
      <c r="W304" s="74" t="str">
        <f t="array" ref="W304">IF(
'Ingest Template'!Y304="",
SUBSTITUTE(
INDEX(DropdownLists!$F$2:$F$277,MATCH('Ingest Template'!D304,DropdownLists!$C$2:$C$277,0)),
CHAR(10),
"|"&amp;'Ingest Template'!C304&amp;CHAR(10)
)&amp;"|"&amp;'Ingest Template'!C304,
SUBSTITUTE(
INDEX(DropdownLists!$F$2:$F$277,MATCH('Ingest Template'!D304,DropdownLists!$C$2:$C$277,0)),
CHAR(10),
"|"&amp;'Ingest Template'!C304&amp;CHAR(10)
)&amp;"|"&amp;'Ingest Template'!C304&amp;CHAR(10)&amp;'Ingest Template'!Y304
)</f>
        <v>#N/A</v>
      </c>
      <c r="X304" s="74" t="str">
        <f>'Ingest Template'!Z304</f>
        <v/>
      </c>
      <c r="Y304" s="35" t="str">
        <f>SUBSTITUTE(SUBSTITUTE(SUBSTITUTE('Ingest Template'!AA304,"http:",""),"https:",""),"/","")</f>
        <v/>
      </c>
      <c r="Z304" s="35" t="str">
        <f t="array" ref="Z304">IF('Ingest Template'!A304="Standard",(IF(ISBLANK('Ingest Template'!AB304),"", 'Ingest Template'!AB304&amp;"|DAR")),(IF(ISBLANK('Ingest Template'!AB304),"", 'Ingest Template'!AB304&amp;"|TV Ops")))</f>
        <v/>
      </c>
      <c r="AA304" s="35"/>
      <c r="AB304" s="35" t="str">
        <f>'Ingest Template'!R304</f>
        <v/>
      </c>
      <c r="AC304" s="35" t="str">
        <f>'Ingest Template'!T304</f>
        <v/>
      </c>
      <c r="AD304" s="35" t="str">
        <f>'Ingest Template'!S304</f>
        <v/>
      </c>
      <c r="AE304" s="35" t="str">
        <f>'Ingest Template'!U304</f>
        <v/>
      </c>
      <c r="AF304" s="22"/>
      <c r="AG304" s="35" t="str">
        <f t="array" ref="AG304">IF('Ingest Template'!A304="Standard",(CONCATENATE(IF(ISBLANK('Ingest Template'!N304),"", 'Ingest Template'!N304&amp;"|DAR"),CHAR(10), IF(ISBLANK('Ingest Template'!O304),"", 'Ingest Template'!O304&amp;"|DAR"),CHAR(10), IF(ISBLANK('Ingest Template'!P304),"", 'Ingest Template'!P304&amp;"|DAR"))),(CONCATENATE(IF(ISBLANK('Ingest Template'!N304),"", 'Ingest Template'!N304&amp;"|TV Ops"),CHAR(10), IF(ISBLANK('Ingest Template'!O304),"", 'Ingest Template'!O304&amp;"|TV Ops"),CHAR(10), IF(ISBLANK('Ingest Template'!P304),"", 'Ingest Template'!P304&amp;"|TV Ops"))))</f>
        <v>
</v>
      </c>
      <c r="AH304" s="35"/>
      <c r="AI304" s="35"/>
      <c r="AJ304" s="117" t="str">
        <f>if('Ingest Template'!A304="Standard",(IF(OR('Ingest Template'!F304 = "Program Type - Special", 'Ingest Template'!F304 = "Program Type - Live Event"),'Ingest Template'!M304&amp; "|DAR|DAR|"&amp;TEXT('Ingest Template'!C304-3, "yyyy-mm-dd")&amp;"|"&amp;TEXT('Ingest Template'!C304+3, "yyyy-mm-dd"),'Ingest Template'!M304&amp; "|DAR|DAR|2021-01-01")),(IF(OR('Ingest Template'!F304 = "Program Type - Special", 'Ingest Template'!F304 = "Program Type - Live Event"),'Ingest Template'!M304&amp; "|Operations - Core Title|Operations - Core Title|"&amp;TEXT('Ingest Template'!C304-3, "yyyy-mm-dd")&amp;"|"&amp;TEXT('Ingest Template'!C304+3, "yyyy-mm-dd"),'Ingest Template'!M304&amp; "|Operations - Core Title|Operations - Core Title")))</f>
        <v>|Operations - Core Title|Operations - Core Title</v>
      </c>
      <c r="AK304" s="35"/>
      <c r="AL304" s="117" t="str">
        <f>if('Ingest Template'!A304="Standard",(IF(OR('Ingest Template'!F304 = "Program Type - Special", 'Ingest Template'!F304 = "Program Type - Live Event"),'Ingest Template'!Q304&amp;"|"&amp;TEXT('Ingest Template'!C304-3, "yyyy-mm-dd")&amp;"|"&amp;TEXT('Ingest Template'!C304+3, "yyyy-mm-dd"),'Ingest Template'!Q304&amp; "|2021-01-01")),(IF(OR('Ingest Template'!F304 = "Program Type - Special", 'Ingest Template'!F304 = "Program Type - Live Event"),'Ingest Template'!Q304&amp; "|"&amp;TEXT('Ingest Template'!C304-3, "yyyy-mm-dd")&amp;"|"&amp;TEXT('Ingest Template'!C304+3, "yyyy-mm-dd"),'Ingest Template'!Q304)))</f>
        <v/>
      </c>
      <c r="AM304" s="35" t="str">
        <f>'Ingest Template'!AC304</f>
        <v/>
      </c>
    </row>
    <row r="305">
      <c r="A305" s="15"/>
      <c r="B305" s="22" t="str">
        <f>'Ingest Template'!C305&amp;IF('Ingest Template'!A305 = "Standard", " - DAR","")</f>
        <v/>
      </c>
      <c r="C305" s="22" t="s">
        <v>83</v>
      </c>
      <c r="D305" s="22" t="str">
        <f t="array" ref="D305">CONCATENATE(INDEX(DropdownLists!$H$2:$H$11,MATCH(1,COUNTIF('Ingest Template'!E305,"*"&amp;DropdownLists!$I$2:$I$11&amp;"*"),0)),CHAR(10),'Ingest Template'!F305,CHAR(10),'Ingest Template'!G305,CHAR(10),VLOOKUP('Ingest Template'!D305,DropdownLists!C:D,2,FALSE))</f>
        <v>#N/A</v>
      </c>
      <c r="E305" s="22" t="str">
        <f>CONCATENATE('Ingest Template'!H305,CHAR(10),'Ingest Template'!I305,CHAR(10),'Ingest Template'!J305,CHAR(10))</f>
        <v>
</v>
      </c>
      <c r="F305" s="35" t="str">
        <f t="array" ref="F305">INDEX(DropdownLists!$O$2:$O$36,MATCH(1,COUNTIF(E305,"*"&amp;DropdownLists!$N$2:$N$36&amp;"*"),0))</f>
        <v/>
      </c>
      <c r="G305" s="35"/>
      <c r="H305" s="22" t="str">
        <f t="array" ref="H305">INDEX(DropdownLists!$E$2:$E$276,MATCH('Ingest Template'!D305,DropdownLists!$C$2:$C$276,0))</f>
        <v>#N/A</v>
      </c>
      <c r="I305" s="22"/>
      <c r="J305" s="22" t="str">
        <f t="array" ref="J305">iF('Ingest Template'!A305="Standard","Pristine Brand",INDEX(DropdownLists!$B$2:$B$246,MATCH('Ingest Template'!D305,DropdownLists!$C$2:$C$246,0)))</f>
        <v>#N/A</v>
      </c>
      <c r="K305" s="22" t="str">
        <f>iF('Ingest Template'!A305="Standard",'Ingest Template'!K305&amp;CHAR(10)&amp;'Ingest Template'!L305,"Competitive View")</f>
        <v>Competitive View</v>
      </c>
      <c r="L305" s="22" t="s">
        <v>95</v>
      </c>
      <c r="M305" s="45" t="str">
        <f>'Ingest Template'!B305</f>
        <v/>
      </c>
      <c r="N305" s="35"/>
      <c r="O305" s="35"/>
      <c r="P305" s="35"/>
      <c r="Q305" s="35"/>
      <c r="R305" s="35" t="str">
        <f>'Ingest Template'!D305</f>
        <v/>
      </c>
      <c r="S305" s="22" t="s">
        <v>101</v>
      </c>
      <c r="T305" s="35" t="str">
        <f>'Ingest Template'!V305</f>
        <v/>
      </c>
      <c r="U305" s="35" t="str">
        <f>'Ingest Template'!W305</f>
        <v/>
      </c>
      <c r="V305" s="35" t="str">
        <f>LOWER(SUBSTITUTE(SUBSTITUTE(SUBSTITUTE(SUBSTITUTE(SUBSTITUTE('Ingest Template'!X305,"https:",""),"www.",""),"/",""),"?hl=en",""),"instagram.com",""))</f>
        <v/>
      </c>
      <c r="W305" s="74" t="str">
        <f t="array" ref="W305">IF(
'Ingest Template'!Y305="",
SUBSTITUTE(
INDEX(DropdownLists!$F$2:$F$277,MATCH('Ingest Template'!D305,DropdownLists!$C$2:$C$277,0)),
CHAR(10),
"|"&amp;'Ingest Template'!C305&amp;CHAR(10)
)&amp;"|"&amp;'Ingest Template'!C305,
SUBSTITUTE(
INDEX(DropdownLists!$F$2:$F$277,MATCH('Ingest Template'!D305,DropdownLists!$C$2:$C$277,0)),
CHAR(10),
"|"&amp;'Ingest Template'!C305&amp;CHAR(10)
)&amp;"|"&amp;'Ingest Template'!C305&amp;CHAR(10)&amp;'Ingest Template'!Y305
)</f>
        <v>#N/A</v>
      </c>
      <c r="X305" s="74" t="str">
        <f>'Ingest Template'!Z305</f>
        <v/>
      </c>
      <c r="Y305" s="35" t="str">
        <f>SUBSTITUTE(SUBSTITUTE(SUBSTITUTE('Ingest Template'!AA305,"http:",""),"https:",""),"/","")</f>
        <v/>
      </c>
      <c r="Z305" s="35" t="str">
        <f t="array" ref="Z305">IF('Ingest Template'!A305="Standard",(IF(ISBLANK('Ingest Template'!AB305),"", 'Ingest Template'!AB305&amp;"|DAR")),(IF(ISBLANK('Ingest Template'!AB305),"", 'Ingest Template'!AB305&amp;"|TV Ops")))</f>
        <v/>
      </c>
      <c r="AA305" s="35"/>
      <c r="AB305" s="35" t="str">
        <f>'Ingest Template'!R305</f>
        <v/>
      </c>
      <c r="AC305" s="35" t="str">
        <f>'Ingest Template'!T305</f>
        <v/>
      </c>
      <c r="AD305" s="35" t="str">
        <f>'Ingest Template'!S305</f>
        <v/>
      </c>
      <c r="AE305" s="35" t="str">
        <f>'Ingest Template'!U305</f>
        <v/>
      </c>
      <c r="AF305" s="22"/>
      <c r="AG305" s="35" t="str">
        <f t="array" ref="AG305">IF('Ingest Template'!A305="Standard",(CONCATENATE(IF(ISBLANK('Ingest Template'!N305),"", 'Ingest Template'!N305&amp;"|DAR"),CHAR(10), IF(ISBLANK('Ingest Template'!O305),"", 'Ingest Template'!O305&amp;"|DAR"),CHAR(10), IF(ISBLANK('Ingest Template'!P305),"", 'Ingest Template'!P305&amp;"|DAR"))),(CONCATENATE(IF(ISBLANK('Ingest Template'!N305),"", 'Ingest Template'!N305&amp;"|TV Ops"),CHAR(10), IF(ISBLANK('Ingest Template'!O305),"", 'Ingest Template'!O305&amp;"|TV Ops"),CHAR(10), IF(ISBLANK('Ingest Template'!P305),"", 'Ingest Template'!P305&amp;"|TV Ops"))))</f>
        <v>
</v>
      </c>
      <c r="AH305" s="35"/>
      <c r="AI305" s="35"/>
      <c r="AJ305" s="117" t="str">
        <f>if('Ingest Template'!A305="Standard",(IF(OR('Ingest Template'!F305 = "Program Type - Special", 'Ingest Template'!F305 = "Program Type - Live Event"),'Ingest Template'!M305&amp; "|DAR|DAR|"&amp;TEXT('Ingest Template'!C305-3, "yyyy-mm-dd")&amp;"|"&amp;TEXT('Ingest Template'!C305+3, "yyyy-mm-dd"),'Ingest Template'!M305&amp; "|DAR|DAR|2021-01-01")),(IF(OR('Ingest Template'!F305 = "Program Type - Special", 'Ingest Template'!F305 = "Program Type - Live Event"),'Ingest Template'!M305&amp; "|Operations - Core Title|Operations - Core Title|"&amp;TEXT('Ingest Template'!C305-3, "yyyy-mm-dd")&amp;"|"&amp;TEXT('Ingest Template'!C305+3, "yyyy-mm-dd"),'Ingest Template'!M305&amp; "|Operations - Core Title|Operations - Core Title")))</f>
        <v>|Operations - Core Title|Operations - Core Title</v>
      </c>
      <c r="AK305" s="35"/>
      <c r="AL305" s="117" t="str">
        <f>if('Ingest Template'!A305="Standard",(IF(OR('Ingest Template'!F305 = "Program Type - Special", 'Ingest Template'!F305 = "Program Type - Live Event"),'Ingest Template'!Q305&amp;"|"&amp;TEXT('Ingest Template'!C305-3, "yyyy-mm-dd")&amp;"|"&amp;TEXT('Ingest Template'!C305+3, "yyyy-mm-dd"),'Ingest Template'!Q305&amp; "|2021-01-01")),(IF(OR('Ingest Template'!F305 = "Program Type - Special", 'Ingest Template'!F305 = "Program Type - Live Event"),'Ingest Template'!Q305&amp; "|"&amp;TEXT('Ingest Template'!C305-3, "yyyy-mm-dd")&amp;"|"&amp;TEXT('Ingest Template'!C305+3, "yyyy-mm-dd"),'Ingest Template'!Q305)))</f>
        <v/>
      </c>
      <c r="AM305" s="35" t="str">
        <f>'Ingest Template'!AC305</f>
        <v/>
      </c>
    </row>
    <row r="306">
      <c r="A306" s="15"/>
      <c r="B306" s="22" t="str">
        <f>'Ingest Template'!C306&amp;IF('Ingest Template'!A306 = "Standard", " - DAR","")</f>
        <v/>
      </c>
      <c r="C306" s="22" t="s">
        <v>83</v>
      </c>
      <c r="D306" s="22" t="str">
        <f t="array" ref="D306">CONCATENATE(INDEX(DropdownLists!$H$2:$H$11,MATCH(1,COUNTIF('Ingest Template'!E306,"*"&amp;DropdownLists!$I$2:$I$11&amp;"*"),0)),CHAR(10),'Ingest Template'!F306,CHAR(10),'Ingest Template'!G306,CHAR(10),VLOOKUP('Ingest Template'!D306,DropdownLists!C:D,2,FALSE))</f>
        <v>#N/A</v>
      </c>
      <c r="E306" s="22" t="str">
        <f>CONCATENATE('Ingest Template'!H306,CHAR(10),'Ingest Template'!I306,CHAR(10),'Ingest Template'!J306,CHAR(10))</f>
        <v>
</v>
      </c>
      <c r="F306" s="35" t="str">
        <f t="array" ref="F306">INDEX(DropdownLists!$O$2:$O$36,MATCH(1,COUNTIF(E306,"*"&amp;DropdownLists!$N$2:$N$36&amp;"*"),0))</f>
        <v/>
      </c>
      <c r="G306" s="35"/>
      <c r="H306" s="22" t="str">
        <f t="array" ref="H306">INDEX(DropdownLists!$E$2:$E$276,MATCH('Ingest Template'!D306,DropdownLists!$C$2:$C$276,0))</f>
        <v>#N/A</v>
      </c>
      <c r="I306" s="22"/>
      <c r="J306" s="22" t="str">
        <f t="array" ref="J306">iF('Ingest Template'!A306="Standard","Pristine Brand",INDEX(DropdownLists!$B$2:$B$246,MATCH('Ingest Template'!D306,DropdownLists!$C$2:$C$246,0)))</f>
        <v>#N/A</v>
      </c>
      <c r="K306" s="22" t="str">
        <f>iF('Ingest Template'!A306="Standard",'Ingest Template'!K306&amp;CHAR(10)&amp;'Ingest Template'!L306,"Competitive View")</f>
        <v>Competitive View</v>
      </c>
      <c r="L306" s="22" t="s">
        <v>95</v>
      </c>
      <c r="M306" s="45" t="str">
        <f>'Ingest Template'!B306</f>
        <v/>
      </c>
      <c r="N306" s="35"/>
      <c r="O306" s="35"/>
      <c r="P306" s="35"/>
      <c r="Q306" s="35"/>
      <c r="R306" s="35" t="str">
        <f>'Ingest Template'!D306</f>
        <v/>
      </c>
      <c r="S306" s="22" t="s">
        <v>101</v>
      </c>
      <c r="T306" s="35" t="str">
        <f>'Ingest Template'!V306</f>
        <v/>
      </c>
      <c r="U306" s="35" t="str">
        <f>'Ingest Template'!W306</f>
        <v/>
      </c>
      <c r="V306" s="35" t="str">
        <f>LOWER(SUBSTITUTE(SUBSTITUTE(SUBSTITUTE(SUBSTITUTE(SUBSTITUTE('Ingest Template'!X306,"https:",""),"www.",""),"/",""),"?hl=en",""),"instagram.com",""))</f>
        <v/>
      </c>
      <c r="W306" s="74" t="str">
        <f t="array" ref="W306">IF(
'Ingest Template'!Y306="",
SUBSTITUTE(
INDEX(DropdownLists!$F$2:$F$277,MATCH('Ingest Template'!D306,DropdownLists!$C$2:$C$277,0)),
CHAR(10),
"|"&amp;'Ingest Template'!C306&amp;CHAR(10)
)&amp;"|"&amp;'Ingest Template'!C306,
SUBSTITUTE(
INDEX(DropdownLists!$F$2:$F$277,MATCH('Ingest Template'!D306,DropdownLists!$C$2:$C$277,0)),
CHAR(10),
"|"&amp;'Ingest Template'!C306&amp;CHAR(10)
)&amp;"|"&amp;'Ingest Template'!C306&amp;CHAR(10)&amp;'Ingest Template'!Y306
)</f>
        <v>#N/A</v>
      </c>
      <c r="X306" s="74" t="str">
        <f>'Ingest Template'!Z306</f>
        <v/>
      </c>
      <c r="Y306" s="35" t="str">
        <f>SUBSTITUTE(SUBSTITUTE(SUBSTITUTE('Ingest Template'!AA306,"http:",""),"https:",""),"/","")</f>
        <v/>
      </c>
      <c r="Z306" s="35" t="str">
        <f t="array" ref="Z306">IF('Ingest Template'!A306="Standard",(IF(ISBLANK('Ingest Template'!AB306),"", 'Ingest Template'!AB306&amp;"|DAR")),(IF(ISBLANK('Ingest Template'!AB306),"", 'Ingest Template'!AB306&amp;"|TV Ops")))</f>
        <v/>
      </c>
      <c r="AA306" s="35"/>
      <c r="AB306" s="35" t="str">
        <f>'Ingest Template'!R306</f>
        <v/>
      </c>
      <c r="AC306" s="35" t="str">
        <f>'Ingest Template'!T306</f>
        <v/>
      </c>
      <c r="AD306" s="35" t="str">
        <f>'Ingest Template'!S306</f>
        <v/>
      </c>
      <c r="AE306" s="35" t="str">
        <f>'Ingest Template'!U306</f>
        <v/>
      </c>
      <c r="AF306" s="22"/>
      <c r="AG306" s="35" t="str">
        <f t="array" ref="AG306">IF('Ingest Template'!A306="Standard",(CONCATENATE(IF(ISBLANK('Ingest Template'!N306),"", 'Ingest Template'!N306&amp;"|DAR"),CHAR(10), IF(ISBLANK('Ingest Template'!O306),"", 'Ingest Template'!O306&amp;"|DAR"),CHAR(10), IF(ISBLANK('Ingest Template'!P306),"", 'Ingest Template'!P306&amp;"|DAR"))),(CONCATENATE(IF(ISBLANK('Ingest Template'!N306),"", 'Ingest Template'!N306&amp;"|TV Ops"),CHAR(10), IF(ISBLANK('Ingest Template'!O306),"", 'Ingest Template'!O306&amp;"|TV Ops"),CHAR(10), IF(ISBLANK('Ingest Template'!P306),"", 'Ingest Template'!P306&amp;"|TV Ops"))))</f>
        <v>
</v>
      </c>
      <c r="AH306" s="35"/>
      <c r="AI306" s="35"/>
      <c r="AJ306" s="117" t="str">
        <f>if('Ingest Template'!A306="Standard",(IF(OR('Ingest Template'!F306 = "Program Type - Special", 'Ingest Template'!F306 = "Program Type - Live Event"),'Ingest Template'!M306&amp; "|DAR|DAR|"&amp;TEXT('Ingest Template'!C306-3, "yyyy-mm-dd")&amp;"|"&amp;TEXT('Ingest Template'!C306+3, "yyyy-mm-dd"),'Ingest Template'!M306&amp; "|DAR|DAR|2021-01-01")),(IF(OR('Ingest Template'!F306 = "Program Type - Special", 'Ingest Template'!F306 = "Program Type - Live Event"),'Ingest Template'!M306&amp; "|Operations - Core Title|Operations - Core Title|"&amp;TEXT('Ingest Template'!C306-3, "yyyy-mm-dd")&amp;"|"&amp;TEXT('Ingest Template'!C306+3, "yyyy-mm-dd"),'Ingest Template'!M306&amp; "|Operations - Core Title|Operations - Core Title")))</f>
        <v>|Operations - Core Title|Operations - Core Title</v>
      </c>
      <c r="AK306" s="35"/>
      <c r="AL306" s="117" t="str">
        <f>if('Ingest Template'!A306="Standard",(IF(OR('Ingest Template'!F306 = "Program Type - Special", 'Ingest Template'!F306 = "Program Type - Live Event"),'Ingest Template'!Q306&amp;"|"&amp;TEXT('Ingest Template'!C306-3, "yyyy-mm-dd")&amp;"|"&amp;TEXT('Ingest Template'!C306+3, "yyyy-mm-dd"),'Ingest Template'!Q306&amp; "|2021-01-01")),(IF(OR('Ingest Template'!F306 = "Program Type - Special", 'Ingest Template'!F306 = "Program Type - Live Event"),'Ingest Template'!Q306&amp; "|"&amp;TEXT('Ingest Template'!C306-3, "yyyy-mm-dd")&amp;"|"&amp;TEXT('Ingest Template'!C306+3, "yyyy-mm-dd"),'Ingest Template'!Q306)))</f>
        <v/>
      </c>
      <c r="AM306" s="35" t="str">
        <f>'Ingest Template'!AC306</f>
        <v/>
      </c>
    </row>
    <row r="307">
      <c r="A307" s="15"/>
      <c r="B307" s="22" t="str">
        <f>'Ingest Template'!C307&amp;IF('Ingest Template'!A307 = "Standard", " - DAR","")</f>
        <v/>
      </c>
      <c r="C307" s="22" t="s">
        <v>83</v>
      </c>
      <c r="D307" s="22" t="str">
        <f t="array" ref="D307">CONCATENATE(INDEX(DropdownLists!$H$2:$H$11,MATCH(1,COUNTIF('Ingest Template'!E307,"*"&amp;DropdownLists!$I$2:$I$11&amp;"*"),0)),CHAR(10),'Ingest Template'!F307,CHAR(10),'Ingest Template'!G307,CHAR(10),VLOOKUP('Ingest Template'!D307,DropdownLists!C:D,2,FALSE))</f>
        <v>#N/A</v>
      </c>
      <c r="E307" s="22" t="str">
        <f>CONCATENATE('Ingest Template'!H307,CHAR(10),'Ingest Template'!I307,CHAR(10),'Ingest Template'!J307,CHAR(10))</f>
        <v>
</v>
      </c>
      <c r="F307" s="35" t="str">
        <f t="array" ref="F307">INDEX(DropdownLists!$O$2:$O$36,MATCH(1,COUNTIF(E307,"*"&amp;DropdownLists!$N$2:$N$36&amp;"*"),0))</f>
        <v/>
      </c>
      <c r="G307" s="35"/>
      <c r="H307" s="22" t="str">
        <f t="array" ref="H307">INDEX(DropdownLists!$E$2:$E$276,MATCH('Ingest Template'!D307,DropdownLists!$C$2:$C$276,0))</f>
        <v>#N/A</v>
      </c>
      <c r="I307" s="22"/>
      <c r="J307" s="22" t="str">
        <f t="array" ref="J307">iF('Ingest Template'!A307="Standard","Pristine Brand",INDEX(DropdownLists!$B$2:$B$246,MATCH('Ingest Template'!D307,DropdownLists!$C$2:$C$246,0)))</f>
        <v>#N/A</v>
      </c>
      <c r="K307" s="22" t="str">
        <f>iF('Ingest Template'!A307="Standard",'Ingest Template'!K307&amp;CHAR(10)&amp;'Ingest Template'!L307,"Competitive View")</f>
        <v>Competitive View</v>
      </c>
      <c r="L307" s="22" t="s">
        <v>95</v>
      </c>
      <c r="M307" s="45" t="str">
        <f>'Ingest Template'!B307</f>
        <v/>
      </c>
      <c r="N307" s="35"/>
      <c r="O307" s="35"/>
      <c r="P307" s="35"/>
      <c r="Q307" s="35"/>
      <c r="R307" s="35" t="str">
        <f>'Ingest Template'!D307</f>
        <v/>
      </c>
      <c r="S307" s="22" t="s">
        <v>101</v>
      </c>
      <c r="T307" s="35" t="str">
        <f>'Ingest Template'!V307</f>
        <v/>
      </c>
      <c r="U307" s="35" t="str">
        <f>'Ingest Template'!W307</f>
        <v/>
      </c>
      <c r="V307" s="35" t="str">
        <f>LOWER(SUBSTITUTE(SUBSTITUTE(SUBSTITUTE(SUBSTITUTE(SUBSTITUTE('Ingest Template'!X307,"https:",""),"www.",""),"/",""),"?hl=en",""),"instagram.com",""))</f>
        <v/>
      </c>
      <c r="W307" s="74" t="str">
        <f t="array" ref="W307">IF(
'Ingest Template'!Y307="",
SUBSTITUTE(
INDEX(DropdownLists!$F$2:$F$277,MATCH('Ingest Template'!D307,DropdownLists!$C$2:$C$277,0)),
CHAR(10),
"|"&amp;'Ingest Template'!C307&amp;CHAR(10)
)&amp;"|"&amp;'Ingest Template'!C307,
SUBSTITUTE(
INDEX(DropdownLists!$F$2:$F$277,MATCH('Ingest Template'!D307,DropdownLists!$C$2:$C$277,0)),
CHAR(10),
"|"&amp;'Ingest Template'!C307&amp;CHAR(10)
)&amp;"|"&amp;'Ingest Template'!C307&amp;CHAR(10)&amp;'Ingest Template'!Y307
)</f>
        <v>#N/A</v>
      </c>
      <c r="X307" s="74" t="str">
        <f>'Ingest Template'!Z307</f>
        <v/>
      </c>
      <c r="Y307" s="35" t="str">
        <f>SUBSTITUTE(SUBSTITUTE(SUBSTITUTE('Ingest Template'!AA307,"http:",""),"https:",""),"/","")</f>
        <v/>
      </c>
      <c r="Z307" s="35" t="str">
        <f t="array" ref="Z307">IF('Ingest Template'!A307="Standard",(IF(ISBLANK('Ingest Template'!AB307),"", 'Ingest Template'!AB307&amp;"|DAR")),(IF(ISBLANK('Ingest Template'!AB307),"", 'Ingest Template'!AB307&amp;"|TV Ops")))</f>
        <v/>
      </c>
      <c r="AA307" s="35"/>
      <c r="AB307" s="35" t="str">
        <f>'Ingest Template'!R307</f>
        <v/>
      </c>
      <c r="AC307" s="35" t="str">
        <f>'Ingest Template'!T307</f>
        <v/>
      </c>
      <c r="AD307" s="35" t="str">
        <f>'Ingest Template'!S307</f>
        <v/>
      </c>
      <c r="AE307" s="35" t="str">
        <f>'Ingest Template'!U307</f>
        <v/>
      </c>
      <c r="AF307" s="22"/>
      <c r="AG307" s="35" t="str">
        <f t="array" ref="AG307">IF('Ingest Template'!A307="Standard",(CONCATENATE(IF(ISBLANK('Ingest Template'!N307),"", 'Ingest Template'!N307&amp;"|DAR"),CHAR(10), IF(ISBLANK('Ingest Template'!O307),"", 'Ingest Template'!O307&amp;"|DAR"),CHAR(10), IF(ISBLANK('Ingest Template'!P307),"", 'Ingest Template'!P307&amp;"|DAR"))),(CONCATENATE(IF(ISBLANK('Ingest Template'!N307),"", 'Ingest Template'!N307&amp;"|TV Ops"),CHAR(10), IF(ISBLANK('Ingest Template'!O307),"", 'Ingest Template'!O307&amp;"|TV Ops"),CHAR(10), IF(ISBLANK('Ingest Template'!P307),"", 'Ingest Template'!P307&amp;"|TV Ops"))))</f>
        <v>
</v>
      </c>
      <c r="AH307" s="35"/>
      <c r="AI307" s="35"/>
      <c r="AJ307" s="117" t="str">
        <f>if('Ingest Template'!A307="Standard",(IF(OR('Ingest Template'!F307 = "Program Type - Special", 'Ingest Template'!F307 = "Program Type - Live Event"),'Ingest Template'!M307&amp; "|DAR|DAR|"&amp;TEXT('Ingest Template'!C307-3, "yyyy-mm-dd")&amp;"|"&amp;TEXT('Ingest Template'!C307+3, "yyyy-mm-dd"),'Ingest Template'!M307&amp; "|DAR|DAR|2021-01-01")),(IF(OR('Ingest Template'!F307 = "Program Type - Special", 'Ingest Template'!F307 = "Program Type - Live Event"),'Ingest Template'!M307&amp; "|Operations - Core Title|Operations - Core Title|"&amp;TEXT('Ingest Template'!C307-3, "yyyy-mm-dd")&amp;"|"&amp;TEXT('Ingest Template'!C307+3, "yyyy-mm-dd"),'Ingest Template'!M307&amp; "|Operations - Core Title|Operations - Core Title")))</f>
        <v>|Operations - Core Title|Operations - Core Title</v>
      </c>
      <c r="AK307" s="35"/>
      <c r="AL307" s="117" t="str">
        <f>if('Ingest Template'!A307="Standard",(IF(OR('Ingest Template'!F307 = "Program Type - Special", 'Ingest Template'!F307 = "Program Type - Live Event"),'Ingest Template'!Q307&amp;"|"&amp;TEXT('Ingest Template'!C307-3, "yyyy-mm-dd")&amp;"|"&amp;TEXT('Ingest Template'!C307+3, "yyyy-mm-dd"),'Ingest Template'!Q307&amp; "|2021-01-01")),(IF(OR('Ingest Template'!F307 = "Program Type - Special", 'Ingest Template'!F307 = "Program Type - Live Event"),'Ingest Template'!Q307&amp; "|"&amp;TEXT('Ingest Template'!C307-3, "yyyy-mm-dd")&amp;"|"&amp;TEXT('Ingest Template'!C307+3, "yyyy-mm-dd"),'Ingest Template'!Q307)))</f>
        <v/>
      </c>
      <c r="AM307" s="35" t="str">
        <f>'Ingest Template'!AC307</f>
        <v/>
      </c>
    </row>
    <row r="308">
      <c r="A308" s="15"/>
      <c r="B308" s="22" t="str">
        <f>'Ingest Template'!C308&amp;IF('Ingest Template'!A308 = "Standard", " - DAR","")</f>
        <v/>
      </c>
      <c r="C308" s="22" t="s">
        <v>83</v>
      </c>
      <c r="D308" s="22" t="str">
        <f t="array" ref="D308">CONCATENATE(INDEX(DropdownLists!$H$2:$H$11,MATCH(1,COUNTIF('Ingest Template'!E308,"*"&amp;DropdownLists!$I$2:$I$11&amp;"*"),0)),CHAR(10),'Ingest Template'!F308,CHAR(10),'Ingest Template'!G308,CHAR(10),VLOOKUP('Ingest Template'!D308,DropdownLists!C:D,2,FALSE))</f>
        <v>#N/A</v>
      </c>
      <c r="E308" s="22" t="str">
        <f>CONCATENATE('Ingest Template'!H308,CHAR(10),'Ingest Template'!I308,CHAR(10),'Ingest Template'!J308,CHAR(10))</f>
        <v>
</v>
      </c>
      <c r="F308" s="35" t="str">
        <f t="array" ref="F308">INDEX(DropdownLists!$O$2:$O$36,MATCH(1,COUNTIF(E308,"*"&amp;DropdownLists!$N$2:$N$36&amp;"*"),0))</f>
        <v/>
      </c>
      <c r="G308" s="35"/>
      <c r="H308" s="22" t="str">
        <f t="array" ref="H308">INDEX(DropdownLists!$E$2:$E$276,MATCH('Ingest Template'!D308,DropdownLists!$C$2:$C$276,0))</f>
        <v>#N/A</v>
      </c>
      <c r="I308" s="22"/>
      <c r="J308" s="22" t="str">
        <f t="array" ref="J308">iF('Ingest Template'!A308="Standard","Pristine Brand",INDEX(DropdownLists!$B$2:$B$246,MATCH('Ingest Template'!D308,DropdownLists!$C$2:$C$246,0)))</f>
        <v>#N/A</v>
      </c>
      <c r="K308" s="22" t="str">
        <f>iF('Ingest Template'!A308="Standard",'Ingest Template'!K308&amp;CHAR(10)&amp;'Ingest Template'!L308,"Competitive View")</f>
        <v>Competitive View</v>
      </c>
      <c r="L308" s="22" t="s">
        <v>95</v>
      </c>
      <c r="M308" s="45" t="str">
        <f>'Ingest Template'!B308</f>
        <v/>
      </c>
      <c r="N308" s="35"/>
      <c r="O308" s="35"/>
      <c r="P308" s="35"/>
      <c r="Q308" s="35"/>
      <c r="R308" s="35" t="str">
        <f>'Ingest Template'!D308</f>
        <v/>
      </c>
      <c r="S308" s="22" t="s">
        <v>101</v>
      </c>
      <c r="T308" s="35" t="str">
        <f>'Ingest Template'!V308</f>
        <v/>
      </c>
      <c r="U308" s="35" t="str">
        <f>'Ingest Template'!W308</f>
        <v/>
      </c>
      <c r="V308" s="35" t="str">
        <f>LOWER(SUBSTITUTE(SUBSTITUTE(SUBSTITUTE(SUBSTITUTE(SUBSTITUTE('Ingest Template'!X308,"https:",""),"www.",""),"/",""),"?hl=en",""),"instagram.com",""))</f>
        <v/>
      </c>
      <c r="W308" s="74" t="str">
        <f t="array" ref="W308">IF(
'Ingest Template'!Y308="",
SUBSTITUTE(
INDEX(DropdownLists!$F$2:$F$277,MATCH('Ingest Template'!D308,DropdownLists!$C$2:$C$277,0)),
CHAR(10),
"|"&amp;'Ingest Template'!C308&amp;CHAR(10)
)&amp;"|"&amp;'Ingest Template'!C308,
SUBSTITUTE(
INDEX(DropdownLists!$F$2:$F$277,MATCH('Ingest Template'!D308,DropdownLists!$C$2:$C$277,0)),
CHAR(10),
"|"&amp;'Ingest Template'!C308&amp;CHAR(10)
)&amp;"|"&amp;'Ingest Template'!C308&amp;CHAR(10)&amp;'Ingest Template'!Y308
)</f>
        <v>#N/A</v>
      </c>
      <c r="X308" s="74" t="str">
        <f>'Ingest Template'!Z308</f>
        <v/>
      </c>
      <c r="Y308" s="35" t="str">
        <f>SUBSTITUTE(SUBSTITUTE(SUBSTITUTE('Ingest Template'!AA308,"http:",""),"https:",""),"/","")</f>
        <v/>
      </c>
      <c r="Z308" s="35" t="str">
        <f t="array" ref="Z308">IF('Ingest Template'!A308="Standard",(IF(ISBLANK('Ingest Template'!AB308),"", 'Ingest Template'!AB308&amp;"|DAR")),(IF(ISBLANK('Ingest Template'!AB308),"", 'Ingest Template'!AB308&amp;"|TV Ops")))</f>
        <v/>
      </c>
      <c r="AA308" s="35"/>
      <c r="AB308" s="35" t="str">
        <f>'Ingest Template'!R308</f>
        <v/>
      </c>
      <c r="AC308" s="35" t="str">
        <f>'Ingest Template'!T308</f>
        <v/>
      </c>
      <c r="AD308" s="35" t="str">
        <f>'Ingest Template'!S308</f>
        <v/>
      </c>
      <c r="AE308" s="35" t="str">
        <f>'Ingest Template'!U308</f>
        <v/>
      </c>
      <c r="AF308" s="22"/>
      <c r="AG308" s="35" t="str">
        <f t="array" ref="AG308">IF('Ingest Template'!A308="Standard",(CONCATENATE(IF(ISBLANK('Ingest Template'!N308),"", 'Ingest Template'!N308&amp;"|DAR"),CHAR(10), IF(ISBLANK('Ingest Template'!O308),"", 'Ingest Template'!O308&amp;"|DAR"),CHAR(10), IF(ISBLANK('Ingest Template'!P308),"", 'Ingest Template'!P308&amp;"|DAR"))),(CONCATENATE(IF(ISBLANK('Ingest Template'!N308),"", 'Ingest Template'!N308&amp;"|TV Ops"),CHAR(10), IF(ISBLANK('Ingest Template'!O308),"", 'Ingest Template'!O308&amp;"|TV Ops"),CHAR(10), IF(ISBLANK('Ingest Template'!P308),"", 'Ingest Template'!P308&amp;"|TV Ops"))))</f>
        <v>
</v>
      </c>
      <c r="AH308" s="35"/>
      <c r="AI308" s="35"/>
      <c r="AJ308" s="117" t="str">
        <f>if('Ingest Template'!A308="Standard",(IF(OR('Ingest Template'!F308 = "Program Type - Special", 'Ingest Template'!F308 = "Program Type - Live Event"),'Ingest Template'!M308&amp; "|DAR|DAR|"&amp;TEXT('Ingest Template'!C308-3, "yyyy-mm-dd")&amp;"|"&amp;TEXT('Ingest Template'!C308+3, "yyyy-mm-dd"),'Ingest Template'!M308&amp; "|DAR|DAR|2021-01-01")),(IF(OR('Ingest Template'!F308 = "Program Type - Special", 'Ingest Template'!F308 = "Program Type - Live Event"),'Ingest Template'!M308&amp; "|Operations - Core Title|Operations - Core Title|"&amp;TEXT('Ingest Template'!C308-3, "yyyy-mm-dd")&amp;"|"&amp;TEXT('Ingest Template'!C308+3, "yyyy-mm-dd"),'Ingest Template'!M308&amp; "|Operations - Core Title|Operations - Core Title")))</f>
        <v>|Operations - Core Title|Operations - Core Title</v>
      </c>
      <c r="AK308" s="35"/>
      <c r="AL308" s="117" t="str">
        <f>if('Ingest Template'!A308="Standard",(IF(OR('Ingest Template'!F308 = "Program Type - Special", 'Ingest Template'!F308 = "Program Type - Live Event"),'Ingest Template'!Q308&amp;"|"&amp;TEXT('Ingest Template'!C308-3, "yyyy-mm-dd")&amp;"|"&amp;TEXT('Ingest Template'!C308+3, "yyyy-mm-dd"),'Ingest Template'!Q308&amp; "|2021-01-01")),(IF(OR('Ingest Template'!F308 = "Program Type - Special", 'Ingest Template'!F308 = "Program Type - Live Event"),'Ingest Template'!Q308&amp; "|"&amp;TEXT('Ingest Template'!C308-3, "yyyy-mm-dd")&amp;"|"&amp;TEXT('Ingest Template'!C308+3, "yyyy-mm-dd"),'Ingest Template'!Q308)))</f>
        <v/>
      </c>
      <c r="AM308" s="35" t="str">
        <f>'Ingest Template'!AC308</f>
        <v/>
      </c>
    </row>
    <row r="309">
      <c r="A309" s="15"/>
      <c r="B309" s="22" t="str">
        <f>'Ingest Template'!C309&amp;IF('Ingest Template'!A309 = "Standard", " - DAR","")</f>
        <v/>
      </c>
      <c r="C309" s="22" t="s">
        <v>83</v>
      </c>
      <c r="D309" s="22" t="str">
        <f t="array" ref="D309">CONCATENATE(INDEX(DropdownLists!$H$2:$H$11,MATCH(1,COUNTIF('Ingest Template'!E309,"*"&amp;DropdownLists!$I$2:$I$11&amp;"*"),0)),CHAR(10),'Ingest Template'!F309,CHAR(10),'Ingest Template'!G309,CHAR(10),VLOOKUP('Ingest Template'!D309,DropdownLists!C:D,2,FALSE))</f>
        <v>#N/A</v>
      </c>
      <c r="E309" s="22" t="str">
        <f>CONCATENATE('Ingest Template'!H309,CHAR(10),'Ingest Template'!I309,CHAR(10),'Ingest Template'!J309,CHAR(10))</f>
        <v>
</v>
      </c>
      <c r="F309" s="35" t="str">
        <f t="array" ref="F309">INDEX(DropdownLists!$O$2:$O$36,MATCH(1,COUNTIF(E309,"*"&amp;DropdownLists!$N$2:$N$36&amp;"*"),0))</f>
        <v/>
      </c>
      <c r="G309" s="35"/>
      <c r="H309" s="22" t="str">
        <f t="array" ref="H309">INDEX(DropdownLists!$E$2:$E$276,MATCH('Ingest Template'!D309,DropdownLists!$C$2:$C$276,0))</f>
        <v>#N/A</v>
      </c>
      <c r="I309" s="22"/>
      <c r="J309" s="22" t="str">
        <f t="array" ref="J309">iF('Ingest Template'!A309="Standard","Pristine Brand",INDEX(DropdownLists!$B$2:$B$246,MATCH('Ingest Template'!D309,DropdownLists!$C$2:$C$246,0)))</f>
        <v>#N/A</v>
      </c>
      <c r="K309" s="22" t="str">
        <f>iF('Ingest Template'!A309="Standard",'Ingest Template'!K309&amp;CHAR(10)&amp;'Ingest Template'!L309,"Competitive View")</f>
        <v>Competitive View</v>
      </c>
      <c r="L309" s="22" t="s">
        <v>95</v>
      </c>
      <c r="M309" s="45" t="str">
        <f>'Ingest Template'!B309</f>
        <v/>
      </c>
      <c r="N309" s="35"/>
      <c r="O309" s="35"/>
      <c r="P309" s="35"/>
      <c r="Q309" s="35"/>
      <c r="R309" s="35" t="str">
        <f>'Ingest Template'!D309</f>
        <v/>
      </c>
      <c r="S309" s="22" t="s">
        <v>101</v>
      </c>
      <c r="T309" s="35" t="str">
        <f>'Ingest Template'!V309</f>
        <v/>
      </c>
      <c r="U309" s="35" t="str">
        <f>'Ingest Template'!W309</f>
        <v/>
      </c>
      <c r="V309" s="35" t="str">
        <f>LOWER(SUBSTITUTE(SUBSTITUTE(SUBSTITUTE(SUBSTITUTE(SUBSTITUTE('Ingest Template'!X309,"https:",""),"www.",""),"/",""),"?hl=en",""),"instagram.com",""))</f>
        <v/>
      </c>
      <c r="W309" s="74" t="str">
        <f t="array" ref="W309">IF(
'Ingest Template'!Y309="",
SUBSTITUTE(
INDEX(DropdownLists!$F$2:$F$277,MATCH('Ingest Template'!D309,DropdownLists!$C$2:$C$277,0)),
CHAR(10),
"|"&amp;'Ingest Template'!C309&amp;CHAR(10)
)&amp;"|"&amp;'Ingest Template'!C309,
SUBSTITUTE(
INDEX(DropdownLists!$F$2:$F$277,MATCH('Ingest Template'!D309,DropdownLists!$C$2:$C$277,0)),
CHAR(10),
"|"&amp;'Ingest Template'!C309&amp;CHAR(10)
)&amp;"|"&amp;'Ingest Template'!C309&amp;CHAR(10)&amp;'Ingest Template'!Y309
)</f>
        <v>#N/A</v>
      </c>
      <c r="X309" s="74" t="str">
        <f>'Ingest Template'!Z309</f>
        <v/>
      </c>
      <c r="Y309" s="35" t="str">
        <f>SUBSTITUTE(SUBSTITUTE(SUBSTITUTE('Ingest Template'!AA309,"http:",""),"https:",""),"/","")</f>
        <v/>
      </c>
      <c r="Z309" s="35" t="str">
        <f t="array" ref="Z309">IF('Ingest Template'!A309="Standard",(IF(ISBLANK('Ingest Template'!AB309),"", 'Ingest Template'!AB309&amp;"|DAR")),(IF(ISBLANK('Ingest Template'!AB309),"", 'Ingest Template'!AB309&amp;"|TV Ops")))</f>
        <v/>
      </c>
      <c r="AA309" s="35"/>
      <c r="AB309" s="35" t="str">
        <f>'Ingest Template'!R309</f>
        <v/>
      </c>
      <c r="AC309" s="35" t="str">
        <f>'Ingest Template'!T309</f>
        <v/>
      </c>
      <c r="AD309" s="35" t="str">
        <f>'Ingest Template'!S309</f>
        <v/>
      </c>
      <c r="AE309" s="35" t="str">
        <f>'Ingest Template'!U309</f>
        <v/>
      </c>
      <c r="AF309" s="22"/>
      <c r="AG309" s="35" t="str">
        <f t="array" ref="AG309">IF('Ingest Template'!A309="Standard",(CONCATENATE(IF(ISBLANK('Ingest Template'!N309),"", 'Ingest Template'!N309&amp;"|DAR"),CHAR(10), IF(ISBLANK('Ingest Template'!O309),"", 'Ingest Template'!O309&amp;"|DAR"),CHAR(10), IF(ISBLANK('Ingest Template'!P309),"", 'Ingest Template'!P309&amp;"|DAR"))),(CONCATENATE(IF(ISBLANK('Ingest Template'!N309),"", 'Ingest Template'!N309&amp;"|TV Ops"),CHAR(10), IF(ISBLANK('Ingest Template'!O309),"", 'Ingest Template'!O309&amp;"|TV Ops"),CHAR(10), IF(ISBLANK('Ingest Template'!P309),"", 'Ingest Template'!P309&amp;"|TV Ops"))))</f>
        <v>
</v>
      </c>
      <c r="AH309" s="35"/>
      <c r="AI309" s="35"/>
      <c r="AJ309" s="117" t="str">
        <f>if('Ingest Template'!A309="Standard",(IF(OR('Ingest Template'!F309 = "Program Type - Special", 'Ingest Template'!F309 = "Program Type - Live Event"),'Ingest Template'!M309&amp; "|DAR|DAR|"&amp;TEXT('Ingest Template'!C309-3, "yyyy-mm-dd")&amp;"|"&amp;TEXT('Ingest Template'!C309+3, "yyyy-mm-dd"),'Ingest Template'!M309&amp; "|DAR|DAR|2021-01-01")),(IF(OR('Ingest Template'!F309 = "Program Type - Special", 'Ingest Template'!F309 = "Program Type - Live Event"),'Ingest Template'!M309&amp; "|Operations - Core Title|Operations - Core Title|"&amp;TEXT('Ingest Template'!C309-3, "yyyy-mm-dd")&amp;"|"&amp;TEXT('Ingest Template'!C309+3, "yyyy-mm-dd"),'Ingest Template'!M309&amp; "|Operations - Core Title|Operations - Core Title")))</f>
        <v>|Operations - Core Title|Operations - Core Title</v>
      </c>
      <c r="AK309" s="35"/>
      <c r="AL309" s="117" t="str">
        <f>if('Ingest Template'!A309="Standard",(IF(OR('Ingest Template'!F309 = "Program Type - Special", 'Ingest Template'!F309 = "Program Type - Live Event"),'Ingest Template'!Q309&amp;"|"&amp;TEXT('Ingest Template'!C309-3, "yyyy-mm-dd")&amp;"|"&amp;TEXT('Ingest Template'!C309+3, "yyyy-mm-dd"),'Ingest Template'!Q309&amp; "|2021-01-01")),(IF(OR('Ingest Template'!F309 = "Program Type - Special", 'Ingest Template'!F309 = "Program Type - Live Event"),'Ingest Template'!Q309&amp; "|"&amp;TEXT('Ingest Template'!C309-3, "yyyy-mm-dd")&amp;"|"&amp;TEXT('Ingest Template'!C309+3, "yyyy-mm-dd"),'Ingest Template'!Q309)))</f>
        <v/>
      </c>
      <c r="AM309" s="35" t="str">
        <f>'Ingest Template'!AC309</f>
        <v/>
      </c>
    </row>
    <row r="310">
      <c r="A310" s="15"/>
      <c r="B310" s="22" t="str">
        <f>'Ingest Template'!C310&amp;IF('Ingest Template'!A310 = "Standard", " - DAR","")</f>
        <v/>
      </c>
      <c r="C310" s="22" t="s">
        <v>83</v>
      </c>
      <c r="D310" s="22" t="str">
        <f t="array" ref="D310">CONCATENATE(INDEX(DropdownLists!$H$2:$H$11,MATCH(1,COUNTIF('Ingest Template'!E310,"*"&amp;DropdownLists!$I$2:$I$11&amp;"*"),0)),CHAR(10),'Ingest Template'!F310,CHAR(10),'Ingest Template'!G310,CHAR(10),VLOOKUP('Ingest Template'!D310,DropdownLists!C:D,2,FALSE))</f>
        <v>#N/A</v>
      </c>
      <c r="E310" s="22" t="str">
        <f>CONCATENATE('Ingest Template'!H310,CHAR(10),'Ingest Template'!I310,CHAR(10),'Ingest Template'!J310,CHAR(10))</f>
        <v>
</v>
      </c>
      <c r="F310" s="35" t="str">
        <f t="array" ref="F310">INDEX(DropdownLists!$O$2:$O$36,MATCH(1,COUNTIF(E310,"*"&amp;DropdownLists!$N$2:$N$36&amp;"*"),0))</f>
        <v/>
      </c>
      <c r="G310" s="35"/>
      <c r="H310" s="22" t="str">
        <f t="array" ref="H310">INDEX(DropdownLists!$E$2:$E$276,MATCH('Ingest Template'!D310,DropdownLists!$C$2:$C$276,0))</f>
        <v>#N/A</v>
      </c>
      <c r="I310" s="22"/>
      <c r="J310" s="22" t="str">
        <f t="array" ref="J310">iF('Ingest Template'!A310="Standard","Pristine Brand",INDEX(DropdownLists!$B$2:$B$246,MATCH('Ingest Template'!D310,DropdownLists!$C$2:$C$246,0)))</f>
        <v>#N/A</v>
      </c>
      <c r="K310" s="22" t="str">
        <f>iF('Ingest Template'!A310="Standard",'Ingest Template'!K310&amp;CHAR(10)&amp;'Ingest Template'!L310,"Competitive View")</f>
        <v>Competitive View</v>
      </c>
      <c r="L310" s="22" t="s">
        <v>95</v>
      </c>
      <c r="M310" s="45" t="str">
        <f>'Ingest Template'!B310</f>
        <v/>
      </c>
      <c r="N310" s="35"/>
      <c r="O310" s="35"/>
      <c r="P310" s="35"/>
      <c r="Q310" s="35"/>
      <c r="R310" s="35" t="str">
        <f>'Ingest Template'!D310</f>
        <v/>
      </c>
      <c r="S310" s="22" t="s">
        <v>101</v>
      </c>
      <c r="T310" s="35" t="str">
        <f>'Ingest Template'!V310</f>
        <v/>
      </c>
      <c r="U310" s="35" t="str">
        <f>'Ingest Template'!W310</f>
        <v/>
      </c>
      <c r="V310" s="35" t="str">
        <f>LOWER(SUBSTITUTE(SUBSTITUTE(SUBSTITUTE(SUBSTITUTE(SUBSTITUTE('Ingest Template'!X310,"https:",""),"www.",""),"/",""),"?hl=en",""),"instagram.com",""))</f>
        <v/>
      </c>
      <c r="W310" s="74" t="str">
        <f t="array" ref="W310">IF(
'Ingest Template'!Y310="",
SUBSTITUTE(
INDEX(DropdownLists!$F$2:$F$277,MATCH('Ingest Template'!D310,DropdownLists!$C$2:$C$277,0)),
CHAR(10),
"|"&amp;'Ingest Template'!C310&amp;CHAR(10)
)&amp;"|"&amp;'Ingest Template'!C310,
SUBSTITUTE(
INDEX(DropdownLists!$F$2:$F$277,MATCH('Ingest Template'!D310,DropdownLists!$C$2:$C$277,0)),
CHAR(10),
"|"&amp;'Ingest Template'!C310&amp;CHAR(10)
)&amp;"|"&amp;'Ingest Template'!C310&amp;CHAR(10)&amp;'Ingest Template'!Y310
)</f>
        <v>#N/A</v>
      </c>
      <c r="X310" s="74" t="str">
        <f>'Ingest Template'!Z310</f>
        <v/>
      </c>
      <c r="Y310" s="35" t="str">
        <f>SUBSTITUTE(SUBSTITUTE(SUBSTITUTE('Ingest Template'!AA310,"http:",""),"https:",""),"/","")</f>
        <v/>
      </c>
      <c r="Z310" s="35" t="str">
        <f t="array" ref="Z310">IF('Ingest Template'!A310="Standard",(IF(ISBLANK('Ingest Template'!AB310),"", 'Ingest Template'!AB310&amp;"|DAR")),(IF(ISBLANK('Ingest Template'!AB310),"", 'Ingest Template'!AB310&amp;"|TV Ops")))</f>
        <v/>
      </c>
      <c r="AA310" s="35"/>
      <c r="AB310" s="35" t="str">
        <f>'Ingest Template'!R310</f>
        <v/>
      </c>
      <c r="AC310" s="35" t="str">
        <f>'Ingest Template'!T310</f>
        <v/>
      </c>
      <c r="AD310" s="35" t="str">
        <f>'Ingest Template'!S310</f>
        <v/>
      </c>
      <c r="AE310" s="35" t="str">
        <f>'Ingest Template'!U310</f>
        <v/>
      </c>
      <c r="AF310" s="22"/>
      <c r="AG310" s="35" t="str">
        <f t="array" ref="AG310">IF('Ingest Template'!A310="Standard",(CONCATENATE(IF(ISBLANK('Ingest Template'!N310),"", 'Ingest Template'!N310&amp;"|DAR"),CHAR(10), IF(ISBLANK('Ingest Template'!O310),"", 'Ingest Template'!O310&amp;"|DAR"),CHAR(10), IF(ISBLANK('Ingest Template'!P310),"", 'Ingest Template'!P310&amp;"|DAR"))),(CONCATENATE(IF(ISBLANK('Ingest Template'!N310),"", 'Ingest Template'!N310&amp;"|TV Ops"),CHAR(10), IF(ISBLANK('Ingest Template'!O310),"", 'Ingest Template'!O310&amp;"|TV Ops"),CHAR(10), IF(ISBLANK('Ingest Template'!P310),"", 'Ingest Template'!P310&amp;"|TV Ops"))))</f>
        <v>
</v>
      </c>
      <c r="AH310" s="35"/>
      <c r="AI310" s="35"/>
      <c r="AJ310" s="117" t="str">
        <f>if('Ingest Template'!A310="Standard",(IF(OR('Ingest Template'!F310 = "Program Type - Special", 'Ingest Template'!F310 = "Program Type - Live Event"),'Ingest Template'!M310&amp; "|DAR|DAR|"&amp;TEXT('Ingest Template'!C310-3, "yyyy-mm-dd")&amp;"|"&amp;TEXT('Ingest Template'!C310+3, "yyyy-mm-dd"),'Ingest Template'!M310&amp; "|DAR|DAR|2021-01-01")),(IF(OR('Ingest Template'!F310 = "Program Type - Special", 'Ingest Template'!F310 = "Program Type - Live Event"),'Ingest Template'!M310&amp; "|Operations - Core Title|Operations - Core Title|"&amp;TEXT('Ingest Template'!C310-3, "yyyy-mm-dd")&amp;"|"&amp;TEXT('Ingest Template'!C310+3, "yyyy-mm-dd"),'Ingest Template'!M310&amp; "|Operations - Core Title|Operations - Core Title")))</f>
        <v>|Operations - Core Title|Operations - Core Title</v>
      </c>
      <c r="AK310" s="35"/>
      <c r="AL310" s="117" t="str">
        <f>if('Ingest Template'!A310="Standard",(IF(OR('Ingest Template'!F310 = "Program Type - Special", 'Ingest Template'!F310 = "Program Type - Live Event"),'Ingest Template'!Q310&amp;"|"&amp;TEXT('Ingest Template'!C310-3, "yyyy-mm-dd")&amp;"|"&amp;TEXT('Ingest Template'!C310+3, "yyyy-mm-dd"),'Ingest Template'!Q310&amp; "|2021-01-01")),(IF(OR('Ingest Template'!F310 = "Program Type - Special", 'Ingest Template'!F310 = "Program Type - Live Event"),'Ingest Template'!Q310&amp; "|"&amp;TEXT('Ingest Template'!C310-3, "yyyy-mm-dd")&amp;"|"&amp;TEXT('Ingest Template'!C310+3, "yyyy-mm-dd"),'Ingest Template'!Q310)))</f>
        <v/>
      </c>
      <c r="AM310" s="35" t="str">
        <f>'Ingest Template'!AC310</f>
        <v/>
      </c>
    </row>
    <row r="311">
      <c r="A311" s="15"/>
      <c r="B311" s="22" t="str">
        <f>'Ingest Template'!C311&amp;IF('Ingest Template'!A311 = "Standard", " - DAR","")</f>
        <v/>
      </c>
      <c r="C311" s="22" t="s">
        <v>83</v>
      </c>
      <c r="D311" s="22" t="str">
        <f t="array" ref="D311">CONCATENATE(INDEX(DropdownLists!$H$2:$H$11,MATCH(1,COUNTIF('Ingest Template'!E311,"*"&amp;DropdownLists!$I$2:$I$11&amp;"*"),0)),CHAR(10),'Ingest Template'!F311,CHAR(10),'Ingest Template'!G311,CHAR(10),VLOOKUP('Ingest Template'!D311,DropdownLists!C:D,2,FALSE))</f>
        <v>#N/A</v>
      </c>
      <c r="E311" s="22" t="str">
        <f>CONCATENATE('Ingest Template'!H311,CHAR(10),'Ingest Template'!I311,CHAR(10),'Ingest Template'!J311,CHAR(10))</f>
        <v>
</v>
      </c>
      <c r="F311" s="35" t="str">
        <f t="array" ref="F311">INDEX(DropdownLists!$O$2:$O$36,MATCH(1,COUNTIF(E311,"*"&amp;DropdownLists!$N$2:$N$36&amp;"*"),0))</f>
        <v/>
      </c>
      <c r="G311" s="35"/>
      <c r="H311" s="22" t="str">
        <f t="array" ref="H311">INDEX(DropdownLists!$E$2:$E$276,MATCH('Ingest Template'!D311,DropdownLists!$C$2:$C$276,0))</f>
        <v>#N/A</v>
      </c>
      <c r="I311" s="22"/>
      <c r="J311" s="22" t="str">
        <f t="array" ref="J311">iF('Ingest Template'!A311="Standard","Pristine Brand",INDEX(DropdownLists!$B$2:$B$246,MATCH('Ingest Template'!D311,DropdownLists!$C$2:$C$246,0)))</f>
        <v>#N/A</v>
      </c>
      <c r="K311" s="22" t="str">
        <f>iF('Ingest Template'!A311="Standard",'Ingest Template'!K311&amp;CHAR(10)&amp;'Ingest Template'!L311,"Competitive View")</f>
        <v>Competitive View</v>
      </c>
      <c r="L311" s="22" t="s">
        <v>95</v>
      </c>
      <c r="M311" s="45" t="str">
        <f>'Ingest Template'!B311</f>
        <v/>
      </c>
      <c r="N311" s="35"/>
      <c r="O311" s="35"/>
      <c r="P311" s="35"/>
      <c r="Q311" s="35"/>
      <c r="R311" s="35" t="str">
        <f>'Ingest Template'!D311</f>
        <v/>
      </c>
      <c r="S311" s="22" t="s">
        <v>101</v>
      </c>
      <c r="T311" s="35" t="str">
        <f>'Ingest Template'!V311</f>
        <v/>
      </c>
      <c r="U311" s="35" t="str">
        <f>'Ingest Template'!W311</f>
        <v/>
      </c>
      <c r="V311" s="35" t="str">
        <f>LOWER(SUBSTITUTE(SUBSTITUTE(SUBSTITUTE(SUBSTITUTE(SUBSTITUTE('Ingest Template'!X311,"https:",""),"www.",""),"/",""),"?hl=en",""),"instagram.com",""))</f>
        <v/>
      </c>
      <c r="W311" s="74" t="str">
        <f t="array" ref="W311">IF(
'Ingest Template'!Y311="",
SUBSTITUTE(
INDEX(DropdownLists!$F$2:$F$277,MATCH('Ingest Template'!D311,DropdownLists!$C$2:$C$277,0)),
CHAR(10),
"|"&amp;'Ingest Template'!C311&amp;CHAR(10)
)&amp;"|"&amp;'Ingest Template'!C311,
SUBSTITUTE(
INDEX(DropdownLists!$F$2:$F$277,MATCH('Ingest Template'!D311,DropdownLists!$C$2:$C$277,0)),
CHAR(10),
"|"&amp;'Ingest Template'!C311&amp;CHAR(10)
)&amp;"|"&amp;'Ingest Template'!C311&amp;CHAR(10)&amp;'Ingest Template'!Y311
)</f>
        <v>#N/A</v>
      </c>
      <c r="X311" s="74" t="str">
        <f>'Ingest Template'!Z311</f>
        <v/>
      </c>
      <c r="Y311" s="35" t="str">
        <f>SUBSTITUTE(SUBSTITUTE(SUBSTITUTE('Ingest Template'!AA311,"http:",""),"https:",""),"/","")</f>
        <v/>
      </c>
      <c r="Z311" s="35" t="str">
        <f t="array" ref="Z311">IF('Ingest Template'!A311="Standard",(IF(ISBLANK('Ingest Template'!AB311),"", 'Ingest Template'!AB311&amp;"|DAR")),(IF(ISBLANK('Ingest Template'!AB311),"", 'Ingest Template'!AB311&amp;"|TV Ops")))</f>
        <v/>
      </c>
      <c r="AA311" s="35"/>
      <c r="AB311" s="35" t="str">
        <f>'Ingest Template'!R311</f>
        <v/>
      </c>
      <c r="AC311" s="35" t="str">
        <f>'Ingest Template'!T311</f>
        <v/>
      </c>
      <c r="AD311" s="35" t="str">
        <f>'Ingest Template'!S311</f>
        <v/>
      </c>
      <c r="AE311" s="35" t="str">
        <f>'Ingest Template'!U311</f>
        <v/>
      </c>
      <c r="AF311" s="22"/>
      <c r="AG311" s="35" t="str">
        <f t="array" ref="AG311">IF('Ingest Template'!A311="Standard",(CONCATENATE(IF(ISBLANK('Ingest Template'!N311),"", 'Ingest Template'!N311&amp;"|DAR"),CHAR(10), IF(ISBLANK('Ingest Template'!O311),"", 'Ingest Template'!O311&amp;"|DAR"),CHAR(10), IF(ISBLANK('Ingest Template'!P311),"", 'Ingest Template'!P311&amp;"|DAR"))),(CONCATENATE(IF(ISBLANK('Ingest Template'!N311),"", 'Ingest Template'!N311&amp;"|TV Ops"),CHAR(10), IF(ISBLANK('Ingest Template'!O311),"", 'Ingest Template'!O311&amp;"|TV Ops"),CHAR(10), IF(ISBLANK('Ingest Template'!P311),"", 'Ingest Template'!P311&amp;"|TV Ops"))))</f>
        <v>
</v>
      </c>
      <c r="AH311" s="35"/>
      <c r="AI311" s="35"/>
      <c r="AJ311" s="117" t="str">
        <f>if('Ingest Template'!A311="Standard",(IF(OR('Ingest Template'!F311 = "Program Type - Special", 'Ingest Template'!F311 = "Program Type - Live Event"),'Ingest Template'!M311&amp; "|DAR|DAR|"&amp;TEXT('Ingest Template'!C311-3, "yyyy-mm-dd")&amp;"|"&amp;TEXT('Ingest Template'!C311+3, "yyyy-mm-dd"),'Ingest Template'!M311&amp; "|DAR|DAR|2021-01-01")),(IF(OR('Ingest Template'!F311 = "Program Type - Special", 'Ingest Template'!F311 = "Program Type - Live Event"),'Ingest Template'!M311&amp; "|Operations - Core Title|Operations - Core Title|"&amp;TEXT('Ingest Template'!C311-3, "yyyy-mm-dd")&amp;"|"&amp;TEXT('Ingest Template'!C311+3, "yyyy-mm-dd"),'Ingest Template'!M311&amp; "|Operations - Core Title|Operations - Core Title")))</f>
        <v>|Operations - Core Title|Operations - Core Title</v>
      </c>
      <c r="AK311" s="35"/>
      <c r="AL311" s="117" t="str">
        <f>if('Ingest Template'!A311="Standard",(IF(OR('Ingest Template'!F311 = "Program Type - Special", 'Ingest Template'!F311 = "Program Type - Live Event"),'Ingest Template'!Q311&amp;"|"&amp;TEXT('Ingest Template'!C311-3, "yyyy-mm-dd")&amp;"|"&amp;TEXT('Ingest Template'!C311+3, "yyyy-mm-dd"),'Ingest Template'!Q311&amp; "|2021-01-01")),(IF(OR('Ingest Template'!F311 = "Program Type - Special", 'Ingest Template'!F311 = "Program Type - Live Event"),'Ingest Template'!Q311&amp; "|"&amp;TEXT('Ingest Template'!C311-3, "yyyy-mm-dd")&amp;"|"&amp;TEXT('Ingest Template'!C311+3, "yyyy-mm-dd"),'Ingest Template'!Q311)))</f>
        <v/>
      </c>
      <c r="AM311" s="35" t="str">
        <f>'Ingest Template'!AC311</f>
        <v/>
      </c>
    </row>
    <row r="312">
      <c r="A312" s="15"/>
      <c r="B312" s="22" t="str">
        <f>'Ingest Template'!C312&amp;IF('Ingest Template'!A312 = "Standard", " - DAR","")</f>
        <v/>
      </c>
      <c r="C312" s="22" t="s">
        <v>83</v>
      </c>
      <c r="D312" s="22" t="str">
        <f t="array" ref="D312">CONCATENATE(INDEX(DropdownLists!$H$2:$H$11,MATCH(1,COUNTIF('Ingest Template'!E312,"*"&amp;DropdownLists!$I$2:$I$11&amp;"*"),0)),CHAR(10),'Ingest Template'!F312,CHAR(10),'Ingest Template'!G312,CHAR(10),VLOOKUP('Ingest Template'!D312,DropdownLists!C:D,2,FALSE))</f>
        <v>#N/A</v>
      </c>
      <c r="E312" s="22" t="str">
        <f>CONCATENATE('Ingest Template'!H312,CHAR(10),'Ingest Template'!I312,CHAR(10),'Ingest Template'!J312,CHAR(10))</f>
        <v>
</v>
      </c>
      <c r="F312" s="35" t="str">
        <f t="array" ref="F312">INDEX(DropdownLists!$O$2:$O$36,MATCH(1,COUNTIF(E312,"*"&amp;DropdownLists!$N$2:$N$36&amp;"*"),0))</f>
        <v/>
      </c>
      <c r="G312" s="35"/>
      <c r="H312" s="22" t="str">
        <f t="array" ref="H312">INDEX(DropdownLists!$E$2:$E$276,MATCH('Ingest Template'!D312,DropdownLists!$C$2:$C$276,0))</f>
        <v>#N/A</v>
      </c>
      <c r="I312" s="22"/>
      <c r="J312" s="22" t="str">
        <f t="array" ref="J312">iF('Ingest Template'!A312="Standard","Pristine Brand",INDEX(DropdownLists!$B$2:$B$246,MATCH('Ingest Template'!D312,DropdownLists!$C$2:$C$246,0)))</f>
        <v>#N/A</v>
      </c>
      <c r="K312" s="22" t="str">
        <f>iF('Ingest Template'!A312="Standard",'Ingest Template'!K312&amp;CHAR(10)&amp;'Ingest Template'!L312,"Competitive View")</f>
        <v>Competitive View</v>
      </c>
      <c r="L312" s="22" t="s">
        <v>95</v>
      </c>
      <c r="M312" s="45" t="str">
        <f>'Ingest Template'!B312</f>
        <v/>
      </c>
      <c r="N312" s="35"/>
      <c r="O312" s="35"/>
      <c r="P312" s="35"/>
      <c r="Q312" s="35"/>
      <c r="R312" s="35" t="str">
        <f>'Ingest Template'!D312</f>
        <v/>
      </c>
      <c r="S312" s="22" t="s">
        <v>101</v>
      </c>
      <c r="T312" s="35" t="str">
        <f>'Ingest Template'!V312</f>
        <v/>
      </c>
      <c r="U312" s="35" t="str">
        <f>'Ingest Template'!W312</f>
        <v/>
      </c>
      <c r="V312" s="35" t="str">
        <f>LOWER(SUBSTITUTE(SUBSTITUTE(SUBSTITUTE(SUBSTITUTE(SUBSTITUTE('Ingest Template'!X312,"https:",""),"www.",""),"/",""),"?hl=en",""),"instagram.com",""))</f>
        <v/>
      </c>
      <c r="W312" s="74" t="str">
        <f t="array" ref="W312">IF(
'Ingest Template'!Y312="",
SUBSTITUTE(
INDEX(DropdownLists!$F$2:$F$277,MATCH('Ingest Template'!D312,DropdownLists!$C$2:$C$277,0)),
CHAR(10),
"|"&amp;'Ingest Template'!C312&amp;CHAR(10)
)&amp;"|"&amp;'Ingest Template'!C312,
SUBSTITUTE(
INDEX(DropdownLists!$F$2:$F$277,MATCH('Ingest Template'!D312,DropdownLists!$C$2:$C$277,0)),
CHAR(10),
"|"&amp;'Ingest Template'!C312&amp;CHAR(10)
)&amp;"|"&amp;'Ingest Template'!C312&amp;CHAR(10)&amp;'Ingest Template'!Y312
)</f>
        <v>#N/A</v>
      </c>
      <c r="X312" s="74" t="str">
        <f>'Ingest Template'!Z312</f>
        <v/>
      </c>
      <c r="Y312" s="35" t="str">
        <f>SUBSTITUTE(SUBSTITUTE(SUBSTITUTE('Ingest Template'!AA312,"http:",""),"https:",""),"/","")</f>
        <v/>
      </c>
      <c r="Z312" s="35" t="str">
        <f t="array" ref="Z312">IF('Ingest Template'!A312="Standard",(IF(ISBLANK('Ingest Template'!AB312),"", 'Ingest Template'!AB312&amp;"|DAR")),(IF(ISBLANK('Ingest Template'!AB312),"", 'Ingest Template'!AB312&amp;"|TV Ops")))</f>
        <v/>
      </c>
      <c r="AA312" s="35"/>
      <c r="AB312" s="35" t="str">
        <f>'Ingest Template'!R312</f>
        <v/>
      </c>
      <c r="AC312" s="35" t="str">
        <f>'Ingest Template'!T312</f>
        <v/>
      </c>
      <c r="AD312" s="35" t="str">
        <f>'Ingest Template'!S312</f>
        <v/>
      </c>
      <c r="AE312" s="35" t="str">
        <f>'Ingest Template'!U312</f>
        <v/>
      </c>
      <c r="AF312" s="22"/>
      <c r="AG312" s="35" t="str">
        <f t="array" ref="AG312">IF('Ingest Template'!A312="Standard",(CONCATENATE(IF(ISBLANK('Ingest Template'!N312),"", 'Ingest Template'!N312&amp;"|DAR"),CHAR(10), IF(ISBLANK('Ingest Template'!O312),"", 'Ingest Template'!O312&amp;"|DAR"),CHAR(10), IF(ISBLANK('Ingest Template'!P312),"", 'Ingest Template'!P312&amp;"|DAR"))),(CONCATENATE(IF(ISBLANK('Ingest Template'!N312),"", 'Ingest Template'!N312&amp;"|TV Ops"),CHAR(10), IF(ISBLANK('Ingest Template'!O312),"", 'Ingest Template'!O312&amp;"|TV Ops"),CHAR(10), IF(ISBLANK('Ingest Template'!P312),"", 'Ingest Template'!P312&amp;"|TV Ops"))))</f>
        <v>
</v>
      </c>
      <c r="AH312" s="35"/>
      <c r="AI312" s="35"/>
      <c r="AJ312" s="117" t="str">
        <f>if('Ingest Template'!A312="Standard",(IF(OR('Ingest Template'!F312 = "Program Type - Special", 'Ingest Template'!F312 = "Program Type - Live Event"),'Ingest Template'!M312&amp; "|DAR|DAR|"&amp;TEXT('Ingest Template'!C312-3, "yyyy-mm-dd")&amp;"|"&amp;TEXT('Ingest Template'!C312+3, "yyyy-mm-dd"),'Ingest Template'!M312&amp; "|DAR|DAR|2021-01-01")),(IF(OR('Ingest Template'!F312 = "Program Type - Special", 'Ingest Template'!F312 = "Program Type - Live Event"),'Ingest Template'!M312&amp; "|Operations - Core Title|Operations - Core Title|"&amp;TEXT('Ingest Template'!C312-3, "yyyy-mm-dd")&amp;"|"&amp;TEXT('Ingest Template'!C312+3, "yyyy-mm-dd"),'Ingest Template'!M312&amp; "|Operations - Core Title|Operations - Core Title")))</f>
        <v>|Operations - Core Title|Operations - Core Title</v>
      </c>
      <c r="AK312" s="35"/>
      <c r="AL312" s="117" t="str">
        <f>if('Ingest Template'!A312="Standard",(IF(OR('Ingest Template'!F312 = "Program Type - Special", 'Ingest Template'!F312 = "Program Type - Live Event"),'Ingest Template'!Q312&amp;"|"&amp;TEXT('Ingest Template'!C312-3, "yyyy-mm-dd")&amp;"|"&amp;TEXT('Ingest Template'!C312+3, "yyyy-mm-dd"),'Ingest Template'!Q312&amp; "|2021-01-01")),(IF(OR('Ingest Template'!F312 = "Program Type - Special", 'Ingest Template'!F312 = "Program Type - Live Event"),'Ingest Template'!Q312&amp; "|"&amp;TEXT('Ingest Template'!C312-3, "yyyy-mm-dd")&amp;"|"&amp;TEXT('Ingest Template'!C312+3, "yyyy-mm-dd"),'Ingest Template'!Q312)))</f>
        <v/>
      </c>
      <c r="AM312" s="35" t="str">
        <f>'Ingest Template'!AC312</f>
        <v/>
      </c>
    </row>
    <row r="313">
      <c r="A313" s="15"/>
      <c r="B313" s="22" t="str">
        <f>'Ingest Template'!C313&amp;IF('Ingest Template'!A313 = "Standard", " - DAR","")</f>
        <v/>
      </c>
      <c r="C313" s="22" t="s">
        <v>83</v>
      </c>
      <c r="D313" s="22" t="str">
        <f t="array" ref="D313">CONCATENATE(INDEX(DropdownLists!$H$2:$H$11,MATCH(1,COUNTIF('Ingest Template'!E313,"*"&amp;DropdownLists!$I$2:$I$11&amp;"*"),0)),CHAR(10),'Ingest Template'!F313,CHAR(10),'Ingest Template'!G313,CHAR(10),VLOOKUP('Ingest Template'!D313,DropdownLists!C:D,2,FALSE))</f>
        <v>#N/A</v>
      </c>
      <c r="E313" s="22" t="str">
        <f>CONCATENATE('Ingest Template'!H313,CHAR(10),'Ingest Template'!I313,CHAR(10),'Ingest Template'!J313,CHAR(10))</f>
        <v>
</v>
      </c>
      <c r="F313" s="35" t="str">
        <f t="array" ref="F313">INDEX(DropdownLists!$O$2:$O$36,MATCH(1,COUNTIF(E313,"*"&amp;DropdownLists!$N$2:$N$36&amp;"*"),0))</f>
        <v/>
      </c>
      <c r="G313" s="35"/>
      <c r="H313" s="22" t="str">
        <f t="array" ref="H313">INDEX(DropdownLists!$E$2:$E$276,MATCH('Ingest Template'!D313,DropdownLists!$C$2:$C$276,0))</f>
        <v>#N/A</v>
      </c>
      <c r="I313" s="22"/>
      <c r="J313" s="22" t="str">
        <f t="array" ref="J313">iF('Ingest Template'!A313="Standard","Pristine Brand",INDEX(DropdownLists!$B$2:$B$246,MATCH('Ingest Template'!D313,DropdownLists!$C$2:$C$246,0)))</f>
        <v>#N/A</v>
      </c>
      <c r="K313" s="22" t="str">
        <f>iF('Ingest Template'!A313="Standard",'Ingest Template'!K313&amp;CHAR(10)&amp;'Ingest Template'!L313,"Competitive View")</f>
        <v>Competitive View</v>
      </c>
      <c r="L313" s="22" t="s">
        <v>95</v>
      </c>
      <c r="M313" s="45" t="str">
        <f>'Ingest Template'!B313</f>
        <v/>
      </c>
      <c r="N313" s="35"/>
      <c r="O313" s="35"/>
      <c r="P313" s="35"/>
      <c r="Q313" s="35"/>
      <c r="R313" s="35" t="str">
        <f>'Ingest Template'!D313</f>
        <v/>
      </c>
      <c r="S313" s="22" t="s">
        <v>101</v>
      </c>
      <c r="T313" s="35" t="str">
        <f>'Ingest Template'!V313</f>
        <v/>
      </c>
      <c r="U313" s="35" t="str">
        <f>'Ingest Template'!W313</f>
        <v/>
      </c>
      <c r="V313" s="35" t="str">
        <f>LOWER(SUBSTITUTE(SUBSTITUTE(SUBSTITUTE(SUBSTITUTE(SUBSTITUTE('Ingest Template'!X313,"https:",""),"www.",""),"/",""),"?hl=en",""),"instagram.com",""))</f>
        <v/>
      </c>
      <c r="W313" s="74" t="str">
        <f t="array" ref="W313">IF(
'Ingest Template'!Y313="",
SUBSTITUTE(
INDEX(DropdownLists!$F$2:$F$277,MATCH('Ingest Template'!D313,DropdownLists!$C$2:$C$277,0)),
CHAR(10),
"|"&amp;'Ingest Template'!C313&amp;CHAR(10)
)&amp;"|"&amp;'Ingest Template'!C313,
SUBSTITUTE(
INDEX(DropdownLists!$F$2:$F$277,MATCH('Ingest Template'!D313,DropdownLists!$C$2:$C$277,0)),
CHAR(10),
"|"&amp;'Ingest Template'!C313&amp;CHAR(10)
)&amp;"|"&amp;'Ingest Template'!C313&amp;CHAR(10)&amp;'Ingest Template'!Y313
)</f>
        <v>#N/A</v>
      </c>
      <c r="X313" s="74" t="str">
        <f>'Ingest Template'!Z313</f>
        <v/>
      </c>
      <c r="Y313" s="35" t="str">
        <f>SUBSTITUTE(SUBSTITUTE(SUBSTITUTE('Ingest Template'!AA313,"http:",""),"https:",""),"/","")</f>
        <v/>
      </c>
      <c r="Z313" s="35" t="str">
        <f t="array" ref="Z313">IF('Ingest Template'!A313="Standard",(IF(ISBLANK('Ingest Template'!AB313),"", 'Ingest Template'!AB313&amp;"|DAR")),(IF(ISBLANK('Ingest Template'!AB313),"", 'Ingest Template'!AB313&amp;"|TV Ops")))</f>
        <v/>
      </c>
      <c r="AA313" s="35"/>
      <c r="AB313" s="35" t="str">
        <f>'Ingest Template'!R313</f>
        <v/>
      </c>
      <c r="AC313" s="35" t="str">
        <f>'Ingest Template'!T313</f>
        <v/>
      </c>
      <c r="AD313" s="35" t="str">
        <f>'Ingest Template'!S313</f>
        <v/>
      </c>
      <c r="AE313" s="35" t="str">
        <f>'Ingest Template'!U313</f>
        <v/>
      </c>
      <c r="AF313" s="22"/>
      <c r="AG313" s="35" t="str">
        <f t="array" ref="AG313">IF('Ingest Template'!A313="Standard",(CONCATENATE(IF(ISBLANK('Ingest Template'!N313),"", 'Ingest Template'!N313&amp;"|DAR"),CHAR(10), IF(ISBLANK('Ingest Template'!O313),"", 'Ingest Template'!O313&amp;"|DAR"),CHAR(10), IF(ISBLANK('Ingest Template'!P313),"", 'Ingest Template'!P313&amp;"|DAR"))),(CONCATENATE(IF(ISBLANK('Ingest Template'!N313),"", 'Ingest Template'!N313&amp;"|TV Ops"),CHAR(10), IF(ISBLANK('Ingest Template'!O313),"", 'Ingest Template'!O313&amp;"|TV Ops"),CHAR(10), IF(ISBLANK('Ingest Template'!P313),"", 'Ingest Template'!P313&amp;"|TV Ops"))))</f>
        <v>
</v>
      </c>
      <c r="AH313" s="35"/>
      <c r="AI313" s="35"/>
      <c r="AJ313" s="117" t="str">
        <f>if('Ingest Template'!A313="Standard",(IF(OR('Ingest Template'!F313 = "Program Type - Special", 'Ingest Template'!F313 = "Program Type - Live Event"),'Ingest Template'!M313&amp; "|DAR|DAR|"&amp;TEXT('Ingest Template'!C313-3, "yyyy-mm-dd")&amp;"|"&amp;TEXT('Ingest Template'!C313+3, "yyyy-mm-dd"),'Ingest Template'!M313&amp; "|DAR|DAR|2021-01-01")),(IF(OR('Ingest Template'!F313 = "Program Type - Special", 'Ingest Template'!F313 = "Program Type - Live Event"),'Ingest Template'!M313&amp; "|Operations - Core Title|Operations - Core Title|"&amp;TEXT('Ingest Template'!C313-3, "yyyy-mm-dd")&amp;"|"&amp;TEXT('Ingest Template'!C313+3, "yyyy-mm-dd"),'Ingest Template'!M313&amp; "|Operations - Core Title|Operations - Core Title")))</f>
        <v>|Operations - Core Title|Operations - Core Title</v>
      </c>
      <c r="AK313" s="35"/>
      <c r="AL313" s="117" t="str">
        <f>if('Ingest Template'!A313="Standard",(IF(OR('Ingest Template'!F313 = "Program Type - Special", 'Ingest Template'!F313 = "Program Type - Live Event"),'Ingest Template'!Q313&amp;"|"&amp;TEXT('Ingest Template'!C313-3, "yyyy-mm-dd")&amp;"|"&amp;TEXT('Ingest Template'!C313+3, "yyyy-mm-dd"),'Ingest Template'!Q313&amp; "|2021-01-01")),(IF(OR('Ingest Template'!F313 = "Program Type - Special", 'Ingest Template'!F313 = "Program Type - Live Event"),'Ingest Template'!Q313&amp; "|"&amp;TEXT('Ingest Template'!C313-3, "yyyy-mm-dd")&amp;"|"&amp;TEXT('Ingest Template'!C313+3, "yyyy-mm-dd"),'Ingest Template'!Q313)))</f>
        <v/>
      </c>
      <c r="AM313" s="35" t="str">
        <f>'Ingest Template'!AC313</f>
        <v/>
      </c>
    </row>
    <row r="314">
      <c r="A314" s="15"/>
      <c r="B314" s="22" t="str">
        <f>'Ingest Template'!C314&amp;IF('Ingest Template'!A314 = "Standard", " - DAR","")</f>
        <v/>
      </c>
      <c r="C314" s="22" t="s">
        <v>83</v>
      </c>
      <c r="D314" s="22" t="str">
        <f t="array" ref="D314">CONCATENATE(INDEX(DropdownLists!$H$2:$H$11,MATCH(1,COUNTIF('Ingest Template'!E314,"*"&amp;DropdownLists!$I$2:$I$11&amp;"*"),0)),CHAR(10),'Ingest Template'!F314,CHAR(10),'Ingest Template'!G314,CHAR(10),VLOOKUP('Ingest Template'!D314,DropdownLists!C:D,2,FALSE))</f>
        <v>#N/A</v>
      </c>
      <c r="E314" s="22" t="str">
        <f>CONCATENATE('Ingest Template'!H314,CHAR(10),'Ingest Template'!I314,CHAR(10),'Ingest Template'!J314,CHAR(10))</f>
        <v>
</v>
      </c>
      <c r="F314" s="35" t="str">
        <f t="array" ref="F314">INDEX(DropdownLists!$O$2:$O$36,MATCH(1,COUNTIF(E314,"*"&amp;DropdownLists!$N$2:$N$36&amp;"*"),0))</f>
        <v/>
      </c>
      <c r="G314" s="35"/>
      <c r="H314" s="22" t="str">
        <f t="array" ref="H314">INDEX(DropdownLists!$E$2:$E$276,MATCH('Ingest Template'!D314,DropdownLists!$C$2:$C$276,0))</f>
        <v>#N/A</v>
      </c>
      <c r="I314" s="22"/>
      <c r="J314" s="22" t="str">
        <f t="array" ref="J314">iF('Ingest Template'!A314="Standard","Pristine Brand",INDEX(DropdownLists!$B$2:$B$246,MATCH('Ingest Template'!D314,DropdownLists!$C$2:$C$246,0)))</f>
        <v>#N/A</v>
      </c>
      <c r="K314" s="22" t="str">
        <f>iF('Ingest Template'!A314="Standard",'Ingest Template'!K314&amp;CHAR(10)&amp;'Ingest Template'!L314,"Competitive View")</f>
        <v>Competitive View</v>
      </c>
      <c r="L314" s="22" t="s">
        <v>95</v>
      </c>
      <c r="M314" s="45" t="str">
        <f>'Ingest Template'!B314</f>
        <v/>
      </c>
      <c r="N314" s="35"/>
      <c r="O314" s="35"/>
      <c r="P314" s="35"/>
      <c r="Q314" s="35"/>
      <c r="R314" s="35" t="str">
        <f>'Ingest Template'!D314</f>
        <v/>
      </c>
      <c r="S314" s="22" t="s">
        <v>101</v>
      </c>
      <c r="T314" s="35" t="str">
        <f>'Ingest Template'!V314</f>
        <v/>
      </c>
      <c r="U314" s="35" t="str">
        <f>'Ingest Template'!W314</f>
        <v/>
      </c>
      <c r="V314" s="35" t="str">
        <f>LOWER(SUBSTITUTE(SUBSTITUTE(SUBSTITUTE(SUBSTITUTE(SUBSTITUTE('Ingest Template'!X314,"https:",""),"www.",""),"/",""),"?hl=en",""),"instagram.com",""))</f>
        <v/>
      </c>
      <c r="W314" s="74" t="str">
        <f t="array" ref="W314">IF(
'Ingest Template'!Y314="",
SUBSTITUTE(
INDEX(DropdownLists!$F$2:$F$277,MATCH('Ingest Template'!D314,DropdownLists!$C$2:$C$277,0)),
CHAR(10),
"|"&amp;'Ingest Template'!C314&amp;CHAR(10)
)&amp;"|"&amp;'Ingest Template'!C314,
SUBSTITUTE(
INDEX(DropdownLists!$F$2:$F$277,MATCH('Ingest Template'!D314,DropdownLists!$C$2:$C$277,0)),
CHAR(10),
"|"&amp;'Ingest Template'!C314&amp;CHAR(10)
)&amp;"|"&amp;'Ingest Template'!C314&amp;CHAR(10)&amp;'Ingest Template'!Y314
)</f>
        <v>#N/A</v>
      </c>
      <c r="X314" s="74" t="str">
        <f>'Ingest Template'!Z314</f>
        <v/>
      </c>
      <c r="Y314" s="35" t="str">
        <f>SUBSTITUTE(SUBSTITUTE(SUBSTITUTE('Ingest Template'!AA314,"http:",""),"https:",""),"/","")</f>
        <v/>
      </c>
      <c r="Z314" s="35" t="str">
        <f t="array" ref="Z314">IF('Ingest Template'!A314="Standard",(IF(ISBLANK('Ingest Template'!AB314),"", 'Ingest Template'!AB314&amp;"|DAR")),(IF(ISBLANK('Ingest Template'!AB314),"", 'Ingest Template'!AB314&amp;"|TV Ops")))</f>
        <v/>
      </c>
      <c r="AA314" s="35"/>
      <c r="AB314" s="35" t="str">
        <f>'Ingest Template'!R314</f>
        <v/>
      </c>
      <c r="AC314" s="35" t="str">
        <f>'Ingest Template'!T314</f>
        <v/>
      </c>
      <c r="AD314" s="35" t="str">
        <f>'Ingest Template'!S314</f>
        <v/>
      </c>
      <c r="AE314" s="35" t="str">
        <f>'Ingest Template'!U314</f>
        <v/>
      </c>
      <c r="AF314" s="22"/>
      <c r="AG314" s="35" t="str">
        <f t="array" ref="AG314">IF('Ingest Template'!A314="Standard",(CONCATENATE(IF(ISBLANK('Ingest Template'!N314),"", 'Ingest Template'!N314&amp;"|DAR"),CHAR(10), IF(ISBLANK('Ingest Template'!O314),"", 'Ingest Template'!O314&amp;"|DAR"),CHAR(10), IF(ISBLANK('Ingest Template'!P314),"", 'Ingest Template'!P314&amp;"|DAR"))),(CONCATENATE(IF(ISBLANK('Ingest Template'!N314),"", 'Ingest Template'!N314&amp;"|TV Ops"),CHAR(10), IF(ISBLANK('Ingest Template'!O314),"", 'Ingest Template'!O314&amp;"|TV Ops"),CHAR(10), IF(ISBLANK('Ingest Template'!P314),"", 'Ingest Template'!P314&amp;"|TV Ops"))))</f>
        <v>
</v>
      </c>
      <c r="AH314" s="35"/>
      <c r="AI314" s="35"/>
      <c r="AJ314" s="117" t="str">
        <f>if('Ingest Template'!A314="Standard",(IF(OR('Ingest Template'!F314 = "Program Type - Special", 'Ingest Template'!F314 = "Program Type - Live Event"),'Ingest Template'!M314&amp; "|DAR|DAR|"&amp;TEXT('Ingest Template'!C314-3, "yyyy-mm-dd")&amp;"|"&amp;TEXT('Ingest Template'!C314+3, "yyyy-mm-dd"),'Ingest Template'!M314&amp; "|DAR|DAR|2021-01-01")),(IF(OR('Ingest Template'!F314 = "Program Type - Special", 'Ingest Template'!F314 = "Program Type - Live Event"),'Ingest Template'!M314&amp; "|Operations - Core Title|Operations - Core Title|"&amp;TEXT('Ingest Template'!C314-3, "yyyy-mm-dd")&amp;"|"&amp;TEXT('Ingest Template'!C314+3, "yyyy-mm-dd"),'Ingest Template'!M314&amp; "|Operations - Core Title|Operations - Core Title")))</f>
        <v>|Operations - Core Title|Operations - Core Title</v>
      </c>
      <c r="AK314" s="35"/>
      <c r="AL314" s="117" t="str">
        <f>if('Ingest Template'!A314="Standard",(IF(OR('Ingest Template'!F314 = "Program Type - Special", 'Ingest Template'!F314 = "Program Type - Live Event"),'Ingest Template'!Q314&amp;"|"&amp;TEXT('Ingest Template'!C314-3, "yyyy-mm-dd")&amp;"|"&amp;TEXT('Ingest Template'!C314+3, "yyyy-mm-dd"),'Ingest Template'!Q314&amp; "|2021-01-01")),(IF(OR('Ingest Template'!F314 = "Program Type - Special", 'Ingest Template'!F314 = "Program Type - Live Event"),'Ingest Template'!Q314&amp; "|"&amp;TEXT('Ingest Template'!C314-3, "yyyy-mm-dd")&amp;"|"&amp;TEXT('Ingest Template'!C314+3, "yyyy-mm-dd"),'Ingest Template'!Q314)))</f>
        <v/>
      </c>
      <c r="AM314" s="35" t="str">
        <f>'Ingest Template'!AC314</f>
        <v/>
      </c>
    </row>
    <row r="315">
      <c r="A315" s="15"/>
      <c r="B315" s="22" t="str">
        <f>'Ingest Template'!C315&amp;IF('Ingest Template'!A315 = "Standard", " - DAR","")</f>
        <v/>
      </c>
      <c r="C315" s="22" t="s">
        <v>83</v>
      </c>
      <c r="D315" s="22" t="str">
        <f t="array" ref="D315">CONCATENATE(INDEX(DropdownLists!$H$2:$H$11,MATCH(1,COUNTIF('Ingest Template'!E315,"*"&amp;DropdownLists!$I$2:$I$11&amp;"*"),0)),CHAR(10),'Ingest Template'!F315,CHAR(10),'Ingest Template'!G315,CHAR(10),VLOOKUP('Ingest Template'!D315,DropdownLists!C:D,2,FALSE))</f>
        <v>#N/A</v>
      </c>
      <c r="E315" s="22" t="str">
        <f>CONCATENATE('Ingest Template'!H315,CHAR(10),'Ingest Template'!I315,CHAR(10),'Ingest Template'!J315,CHAR(10))</f>
        <v>
</v>
      </c>
      <c r="F315" s="35" t="str">
        <f t="array" ref="F315">INDEX(DropdownLists!$O$2:$O$36,MATCH(1,COUNTIF(E315,"*"&amp;DropdownLists!$N$2:$N$36&amp;"*"),0))</f>
        <v/>
      </c>
      <c r="G315" s="35"/>
      <c r="H315" s="22" t="str">
        <f t="array" ref="H315">INDEX(DropdownLists!$E$2:$E$276,MATCH('Ingest Template'!D315,DropdownLists!$C$2:$C$276,0))</f>
        <v>#N/A</v>
      </c>
      <c r="I315" s="22"/>
      <c r="J315" s="22" t="str">
        <f t="array" ref="J315">iF('Ingest Template'!A315="Standard","Pristine Brand",INDEX(DropdownLists!$B$2:$B$246,MATCH('Ingest Template'!D315,DropdownLists!$C$2:$C$246,0)))</f>
        <v>#N/A</v>
      </c>
      <c r="K315" s="22" t="str">
        <f>iF('Ingest Template'!A315="Standard",'Ingest Template'!K315&amp;CHAR(10)&amp;'Ingest Template'!L315,"Competitive View")</f>
        <v>Competitive View</v>
      </c>
      <c r="L315" s="22" t="s">
        <v>95</v>
      </c>
      <c r="M315" s="45" t="str">
        <f>'Ingest Template'!B315</f>
        <v/>
      </c>
      <c r="N315" s="35"/>
      <c r="O315" s="35"/>
      <c r="P315" s="35"/>
      <c r="Q315" s="35"/>
      <c r="R315" s="35" t="str">
        <f>'Ingest Template'!D315</f>
        <v/>
      </c>
      <c r="S315" s="22" t="s">
        <v>101</v>
      </c>
      <c r="T315" s="35" t="str">
        <f>'Ingest Template'!V315</f>
        <v/>
      </c>
      <c r="U315" s="35" t="str">
        <f>'Ingest Template'!W315</f>
        <v/>
      </c>
      <c r="V315" s="35" t="str">
        <f>LOWER(SUBSTITUTE(SUBSTITUTE(SUBSTITUTE(SUBSTITUTE(SUBSTITUTE('Ingest Template'!X315,"https:",""),"www.",""),"/",""),"?hl=en",""),"instagram.com",""))</f>
        <v/>
      </c>
      <c r="W315" s="74" t="str">
        <f t="array" ref="W315">IF(
'Ingest Template'!Y315="",
SUBSTITUTE(
INDEX(DropdownLists!$F$2:$F$277,MATCH('Ingest Template'!D315,DropdownLists!$C$2:$C$277,0)),
CHAR(10),
"|"&amp;'Ingest Template'!C315&amp;CHAR(10)
)&amp;"|"&amp;'Ingest Template'!C315,
SUBSTITUTE(
INDEX(DropdownLists!$F$2:$F$277,MATCH('Ingest Template'!D315,DropdownLists!$C$2:$C$277,0)),
CHAR(10),
"|"&amp;'Ingest Template'!C315&amp;CHAR(10)
)&amp;"|"&amp;'Ingest Template'!C315&amp;CHAR(10)&amp;'Ingest Template'!Y315
)</f>
        <v>#N/A</v>
      </c>
      <c r="X315" s="74" t="str">
        <f>'Ingest Template'!Z315</f>
        <v/>
      </c>
      <c r="Y315" s="35" t="str">
        <f>SUBSTITUTE(SUBSTITUTE(SUBSTITUTE('Ingest Template'!AA315,"http:",""),"https:",""),"/","")</f>
        <v/>
      </c>
      <c r="Z315" s="35" t="str">
        <f t="array" ref="Z315">IF('Ingest Template'!A315="Standard",(IF(ISBLANK('Ingest Template'!AB315),"", 'Ingest Template'!AB315&amp;"|DAR")),(IF(ISBLANK('Ingest Template'!AB315),"", 'Ingest Template'!AB315&amp;"|TV Ops")))</f>
        <v/>
      </c>
      <c r="AA315" s="35"/>
      <c r="AB315" s="35" t="str">
        <f>'Ingest Template'!R315</f>
        <v/>
      </c>
      <c r="AC315" s="35" t="str">
        <f>'Ingest Template'!T315</f>
        <v/>
      </c>
      <c r="AD315" s="35" t="str">
        <f>'Ingest Template'!S315</f>
        <v/>
      </c>
      <c r="AE315" s="35" t="str">
        <f>'Ingest Template'!U315</f>
        <v/>
      </c>
      <c r="AF315" s="22"/>
      <c r="AG315" s="35" t="str">
        <f t="array" ref="AG315">IF('Ingest Template'!A315="Standard",(CONCATENATE(IF(ISBLANK('Ingest Template'!N315),"", 'Ingest Template'!N315&amp;"|DAR"),CHAR(10), IF(ISBLANK('Ingest Template'!O315),"", 'Ingest Template'!O315&amp;"|DAR"),CHAR(10), IF(ISBLANK('Ingest Template'!P315),"", 'Ingest Template'!P315&amp;"|DAR"))),(CONCATENATE(IF(ISBLANK('Ingest Template'!N315),"", 'Ingest Template'!N315&amp;"|TV Ops"),CHAR(10), IF(ISBLANK('Ingest Template'!O315),"", 'Ingest Template'!O315&amp;"|TV Ops"),CHAR(10), IF(ISBLANK('Ingest Template'!P315),"", 'Ingest Template'!P315&amp;"|TV Ops"))))</f>
        <v>
</v>
      </c>
      <c r="AH315" s="35"/>
      <c r="AI315" s="35"/>
      <c r="AJ315" s="117" t="str">
        <f>if('Ingest Template'!A315="Standard",(IF(OR('Ingest Template'!F315 = "Program Type - Special", 'Ingest Template'!F315 = "Program Type - Live Event"),'Ingest Template'!M315&amp; "|DAR|DAR|"&amp;TEXT('Ingest Template'!C315-3, "yyyy-mm-dd")&amp;"|"&amp;TEXT('Ingest Template'!C315+3, "yyyy-mm-dd"),'Ingest Template'!M315&amp; "|DAR|DAR|2021-01-01")),(IF(OR('Ingest Template'!F315 = "Program Type - Special", 'Ingest Template'!F315 = "Program Type - Live Event"),'Ingest Template'!M315&amp; "|Operations - Core Title|Operations - Core Title|"&amp;TEXT('Ingest Template'!C315-3, "yyyy-mm-dd")&amp;"|"&amp;TEXT('Ingest Template'!C315+3, "yyyy-mm-dd"),'Ingest Template'!M315&amp; "|Operations - Core Title|Operations - Core Title")))</f>
        <v>|Operations - Core Title|Operations - Core Title</v>
      </c>
      <c r="AK315" s="35"/>
      <c r="AL315" s="117" t="str">
        <f>if('Ingest Template'!A315="Standard",(IF(OR('Ingest Template'!F315 = "Program Type - Special", 'Ingest Template'!F315 = "Program Type - Live Event"),'Ingest Template'!Q315&amp;"|"&amp;TEXT('Ingest Template'!C315-3, "yyyy-mm-dd")&amp;"|"&amp;TEXT('Ingest Template'!C315+3, "yyyy-mm-dd"),'Ingest Template'!Q315&amp; "|2021-01-01")),(IF(OR('Ingest Template'!F315 = "Program Type - Special", 'Ingest Template'!F315 = "Program Type - Live Event"),'Ingest Template'!Q315&amp; "|"&amp;TEXT('Ingest Template'!C315-3, "yyyy-mm-dd")&amp;"|"&amp;TEXT('Ingest Template'!C315+3, "yyyy-mm-dd"),'Ingest Template'!Q315)))</f>
        <v/>
      </c>
      <c r="AM315" s="35" t="str">
        <f>'Ingest Template'!AC315</f>
        <v/>
      </c>
    </row>
    <row r="316">
      <c r="A316" s="15"/>
      <c r="B316" s="22" t="str">
        <f>'Ingest Template'!C316&amp;IF('Ingest Template'!A316 = "Standard", " - DAR","")</f>
        <v/>
      </c>
      <c r="C316" s="22" t="s">
        <v>83</v>
      </c>
      <c r="D316" s="22" t="str">
        <f t="array" ref="D316">CONCATENATE(INDEX(DropdownLists!$H$2:$H$11,MATCH(1,COUNTIF('Ingest Template'!E316,"*"&amp;DropdownLists!$I$2:$I$11&amp;"*"),0)),CHAR(10),'Ingest Template'!F316,CHAR(10),'Ingest Template'!G316,CHAR(10),VLOOKUP('Ingest Template'!D316,DropdownLists!C:D,2,FALSE))</f>
        <v>#N/A</v>
      </c>
      <c r="E316" s="22" t="str">
        <f>CONCATENATE('Ingest Template'!H316,CHAR(10),'Ingest Template'!I316,CHAR(10),'Ingest Template'!J316,CHAR(10))</f>
        <v>
</v>
      </c>
      <c r="F316" s="35" t="str">
        <f t="array" ref="F316">INDEX(DropdownLists!$O$2:$O$36,MATCH(1,COUNTIF(E316,"*"&amp;DropdownLists!$N$2:$N$36&amp;"*"),0))</f>
        <v/>
      </c>
      <c r="G316" s="35"/>
      <c r="H316" s="22" t="str">
        <f t="array" ref="H316">INDEX(DropdownLists!$E$2:$E$276,MATCH('Ingest Template'!D316,DropdownLists!$C$2:$C$276,0))</f>
        <v>#N/A</v>
      </c>
      <c r="I316" s="22"/>
      <c r="J316" s="22" t="str">
        <f t="array" ref="J316">iF('Ingest Template'!A316="Standard","Pristine Brand",INDEX(DropdownLists!$B$2:$B$246,MATCH('Ingest Template'!D316,DropdownLists!$C$2:$C$246,0)))</f>
        <v>#N/A</v>
      </c>
      <c r="K316" s="22" t="str">
        <f>iF('Ingest Template'!A316="Standard",'Ingest Template'!K316&amp;CHAR(10)&amp;'Ingest Template'!L316,"Competitive View")</f>
        <v>Competitive View</v>
      </c>
      <c r="L316" s="22" t="s">
        <v>95</v>
      </c>
      <c r="M316" s="45" t="str">
        <f>'Ingest Template'!B316</f>
        <v/>
      </c>
      <c r="N316" s="35"/>
      <c r="O316" s="35"/>
      <c r="P316" s="35"/>
      <c r="Q316" s="35"/>
      <c r="R316" s="35" t="str">
        <f>'Ingest Template'!D316</f>
        <v/>
      </c>
      <c r="S316" s="22" t="s">
        <v>101</v>
      </c>
      <c r="T316" s="35" t="str">
        <f>'Ingest Template'!V316</f>
        <v/>
      </c>
      <c r="U316" s="35" t="str">
        <f>'Ingest Template'!W316</f>
        <v/>
      </c>
      <c r="V316" s="35" t="str">
        <f>LOWER(SUBSTITUTE(SUBSTITUTE(SUBSTITUTE(SUBSTITUTE(SUBSTITUTE('Ingest Template'!X316,"https:",""),"www.",""),"/",""),"?hl=en",""),"instagram.com",""))</f>
        <v/>
      </c>
      <c r="W316" s="74" t="str">
        <f t="array" ref="W316">IF(
'Ingest Template'!Y316="",
SUBSTITUTE(
INDEX(DropdownLists!$F$2:$F$277,MATCH('Ingest Template'!D316,DropdownLists!$C$2:$C$277,0)),
CHAR(10),
"|"&amp;'Ingest Template'!C316&amp;CHAR(10)
)&amp;"|"&amp;'Ingest Template'!C316,
SUBSTITUTE(
INDEX(DropdownLists!$F$2:$F$277,MATCH('Ingest Template'!D316,DropdownLists!$C$2:$C$277,0)),
CHAR(10),
"|"&amp;'Ingest Template'!C316&amp;CHAR(10)
)&amp;"|"&amp;'Ingest Template'!C316&amp;CHAR(10)&amp;'Ingest Template'!Y316
)</f>
        <v>#N/A</v>
      </c>
      <c r="X316" s="74" t="str">
        <f>'Ingest Template'!Z316</f>
        <v/>
      </c>
      <c r="Y316" s="35" t="str">
        <f>SUBSTITUTE(SUBSTITUTE(SUBSTITUTE('Ingest Template'!AA316,"http:",""),"https:",""),"/","")</f>
        <v/>
      </c>
      <c r="Z316" s="35" t="str">
        <f t="array" ref="Z316">IF('Ingest Template'!A316="Standard",(IF(ISBLANK('Ingest Template'!AB316),"", 'Ingest Template'!AB316&amp;"|DAR")),(IF(ISBLANK('Ingest Template'!AB316),"", 'Ingest Template'!AB316&amp;"|TV Ops")))</f>
        <v/>
      </c>
      <c r="AA316" s="35"/>
      <c r="AB316" s="35" t="str">
        <f>'Ingest Template'!R316</f>
        <v/>
      </c>
      <c r="AC316" s="35" t="str">
        <f>'Ingest Template'!T316</f>
        <v/>
      </c>
      <c r="AD316" s="35" t="str">
        <f>'Ingest Template'!S316</f>
        <v/>
      </c>
      <c r="AE316" s="35" t="str">
        <f>'Ingest Template'!U316</f>
        <v/>
      </c>
      <c r="AF316" s="22"/>
      <c r="AG316" s="35" t="str">
        <f t="array" ref="AG316">IF('Ingest Template'!A316="Standard",(CONCATENATE(IF(ISBLANK('Ingest Template'!N316),"", 'Ingest Template'!N316&amp;"|DAR"),CHAR(10), IF(ISBLANK('Ingest Template'!O316),"", 'Ingest Template'!O316&amp;"|DAR"),CHAR(10), IF(ISBLANK('Ingest Template'!P316),"", 'Ingest Template'!P316&amp;"|DAR"))),(CONCATENATE(IF(ISBLANK('Ingest Template'!N316),"", 'Ingest Template'!N316&amp;"|TV Ops"),CHAR(10), IF(ISBLANK('Ingest Template'!O316),"", 'Ingest Template'!O316&amp;"|TV Ops"),CHAR(10), IF(ISBLANK('Ingest Template'!P316),"", 'Ingest Template'!P316&amp;"|TV Ops"))))</f>
        <v>
</v>
      </c>
      <c r="AH316" s="35"/>
      <c r="AI316" s="35"/>
      <c r="AJ316" s="117" t="str">
        <f>if('Ingest Template'!A316="Standard",(IF(OR('Ingest Template'!F316 = "Program Type - Special", 'Ingest Template'!F316 = "Program Type - Live Event"),'Ingest Template'!M316&amp; "|DAR|DAR|"&amp;TEXT('Ingest Template'!C316-3, "yyyy-mm-dd")&amp;"|"&amp;TEXT('Ingest Template'!C316+3, "yyyy-mm-dd"),'Ingest Template'!M316&amp; "|DAR|DAR|2021-01-01")),(IF(OR('Ingest Template'!F316 = "Program Type - Special", 'Ingest Template'!F316 = "Program Type - Live Event"),'Ingest Template'!M316&amp; "|Operations - Core Title|Operations - Core Title|"&amp;TEXT('Ingest Template'!C316-3, "yyyy-mm-dd")&amp;"|"&amp;TEXT('Ingest Template'!C316+3, "yyyy-mm-dd"),'Ingest Template'!M316&amp; "|Operations - Core Title|Operations - Core Title")))</f>
        <v>|Operations - Core Title|Operations - Core Title</v>
      </c>
      <c r="AK316" s="35"/>
      <c r="AL316" s="117" t="str">
        <f>if('Ingest Template'!A316="Standard",(IF(OR('Ingest Template'!F316 = "Program Type - Special", 'Ingest Template'!F316 = "Program Type - Live Event"),'Ingest Template'!Q316&amp;"|"&amp;TEXT('Ingest Template'!C316-3, "yyyy-mm-dd")&amp;"|"&amp;TEXT('Ingest Template'!C316+3, "yyyy-mm-dd"),'Ingest Template'!Q316&amp; "|2021-01-01")),(IF(OR('Ingest Template'!F316 = "Program Type - Special", 'Ingest Template'!F316 = "Program Type - Live Event"),'Ingest Template'!Q316&amp; "|"&amp;TEXT('Ingest Template'!C316-3, "yyyy-mm-dd")&amp;"|"&amp;TEXT('Ingest Template'!C316+3, "yyyy-mm-dd"),'Ingest Template'!Q316)))</f>
        <v/>
      </c>
      <c r="AM316" s="35" t="str">
        <f>'Ingest Template'!AC316</f>
        <v/>
      </c>
    </row>
    <row r="317">
      <c r="A317" s="15"/>
      <c r="B317" s="22" t="str">
        <f>'Ingest Template'!C317&amp;IF('Ingest Template'!A317 = "Standard", " - DAR","")</f>
        <v/>
      </c>
      <c r="C317" s="22" t="s">
        <v>83</v>
      </c>
      <c r="D317" s="22" t="str">
        <f t="array" ref="D317">CONCATENATE(INDEX(DropdownLists!$H$2:$H$11,MATCH(1,COUNTIF('Ingest Template'!E317,"*"&amp;DropdownLists!$I$2:$I$11&amp;"*"),0)),CHAR(10),'Ingest Template'!F317,CHAR(10),'Ingest Template'!G317,CHAR(10),VLOOKUP('Ingest Template'!D317,DropdownLists!C:D,2,FALSE))</f>
        <v>#N/A</v>
      </c>
      <c r="E317" s="22" t="str">
        <f>CONCATENATE('Ingest Template'!H317,CHAR(10),'Ingest Template'!I317,CHAR(10),'Ingest Template'!J317,CHAR(10))</f>
        <v>
</v>
      </c>
      <c r="F317" s="35" t="str">
        <f t="array" ref="F317">INDEX(DropdownLists!$O$2:$O$36,MATCH(1,COUNTIF(E317,"*"&amp;DropdownLists!$N$2:$N$36&amp;"*"),0))</f>
        <v/>
      </c>
      <c r="G317" s="35"/>
      <c r="H317" s="22" t="str">
        <f t="array" ref="H317">INDEX(DropdownLists!$E$2:$E$276,MATCH('Ingest Template'!D317,DropdownLists!$C$2:$C$276,0))</f>
        <v>#N/A</v>
      </c>
      <c r="I317" s="22"/>
      <c r="J317" s="22" t="str">
        <f t="array" ref="J317">iF('Ingest Template'!A317="Standard","Pristine Brand",INDEX(DropdownLists!$B$2:$B$246,MATCH('Ingest Template'!D317,DropdownLists!$C$2:$C$246,0)))</f>
        <v>#N/A</v>
      </c>
      <c r="K317" s="22" t="str">
        <f>iF('Ingest Template'!A317="Standard",'Ingest Template'!K317&amp;CHAR(10)&amp;'Ingest Template'!L317,"Competitive View")</f>
        <v>Competitive View</v>
      </c>
      <c r="L317" s="22" t="s">
        <v>95</v>
      </c>
      <c r="M317" s="45" t="str">
        <f>'Ingest Template'!B317</f>
        <v/>
      </c>
      <c r="N317" s="35"/>
      <c r="O317" s="35"/>
      <c r="P317" s="35"/>
      <c r="Q317" s="35"/>
      <c r="R317" s="35" t="str">
        <f>'Ingest Template'!D317</f>
        <v/>
      </c>
      <c r="S317" s="22" t="s">
        <v>101</v>
      </c>
      <c r="T317" s="35" t="str">
        <f>'Ingest Template'!V317</f>
        <v/>
      </c>
      <c r="U317" s="35" t="str">
        <f>'Ingest Template'!W317</f>
        <v/>
      </c>
      <c r="V317" s="35" t="str">
        <f>LOWER(SUBSTITUTE(SUBSTITUTE(SUBSTITUTE(SUBSTITUTE(SUBSTITUTE('Ingest Template'!X317,"https:",""),"www.",""),"/",""),"?hl=en",""),"instagram.com",""))</f>
        <v/>
      </c>
      <c r="W317" s="74" t="str">
        <f t="array" ref="W317">IF(
'Ingest Template'!Y317="",
SUBSTITUTE(
INDEX(DropdownLists!$F$2:$F$277,MATCH('Ingest Template'!D317,DropdownLists!$C$2:$C$277,0)),
CHAR(10),
"|"&amp;'Ingest Template'!C317&amp;CHAR(10)
)&amp;"|"&amp;'Ingest Template'!C317,
SUBSTITUTE(
INDEX(DropdownLists!$F$2:$F$277,MATCH('Ingest Template'!D317,DropdownLists!$C$2:$C$277,0)),
CHAR(10),
"|"&amp;'Ingest Template'!C317&amp;CHAR(10)
)&amp;"|"&amp;'Ingest Template'!C317&amp;CHAR(10)&amp;'Ingest Template'!Y317
)</f>
        <v>#N/A</v>
      </c>
      <c r="X317" s="74" t="str">
        <f>'Ingest Template'!Z317</f>
        <v/>
      </c>
      <c r="Y317" s="35" t="str">
        <f>SUBSTITUTE(SUBSTITUTE(SUBSTITUTE('Ingest Template'!AA317,"http:",""),"https:",""),"/","")</f>
        <v/>
      </c>
      <c r="Z317" s="35" t="str">
        <f t="array" ref="Z317">IF('Ingest Template'!A317="Standard",(IF(ISBLANK('Ingest Template'!AB317),"", 'Ingest Template'!AB317&amp;"|DAR")),(IF(ISBLANK('Ingest Template'!AB317),"", 'Ingest Template'!AB317&amp;"|TV Ops")))</f>
        <v/>
      </c>
      <c r="AA317" s="35"/>
      <c r="AB317" s="35" t="str">
        <f>'Ingest Template'!R317</f>
        <v/>
      </c>
      <c r="AC317" s="35" t="str">
        <f>'Ingest Template'!T317</f>
        <v/>
      </c>
      <c r="AD317" s="35" t="str">
        <f>'Ingest Template'!S317</f>
        <v/>
      </c>
      <c r="AE317" s="35" t="str">
        <f>'Ingest Template'!U317</f>
        <v/>
      </c>
      <c r="AF317" s="22"/>
      <c r="AG317" s="35" t="str">
        <f t="array" ref="AG317">IF('Ingest Template'!A317="Standard",(CONCATENATE(IF(ISBLANK('Ingest Template'!N317),"", 'Ingest Template'!N317&amp;"|DAR"),CHAR(10), IF(ISBLANK('Ingest Template'!O317),"", 'Ingest Template'!O317&amp;"|DAR"),CHAR(10), IF(ISBLANK('Ingest Template'!P317),"", 'Ingest Template'!P317&amp;"|DAR"))),(CONCATENATE(IF(ISBLANK('Ingest Template'!N317),"", 'Ingest Template'!N317&amp;"|TV Ops"),CHAR(10), IF(ISBLANK('Ingest Template'!O317),"", 'Ingest Template'!O317&amp;"|TV Ops"),CHAR(10), IF(ISBLANK('Ingest Template'!P317),"", 'Ingest Template'!P317&amp;"|TV Ops"))))</f>
        <v>
</v>
      </c>
      <c r="AH317" s="35"/>
      <c r="AI317" s="35"/>
      <c r="AJ317" s="117" t="str">
        <f>if('Ingest Template'!A317="Standard",(IF(OR('Ingest Template'!F317 = "Program Type - Special", 'Ingest Template'!F317 = "Program Type - Live Event"),'Ingest Template'!M317&amp; "|DAR|DAR|"&amp;TEXT('Ingest Template'!C317-3, "yyyy-mm-dd")&amp;"|"&amp;TEXT('Ingest Template'!C317+3, "yyyy-mm-dd"),'Ingest Template'!M317&amp; "|DAR|DAR|2021-01-01")),(IF(OR('Ingest Template'!F317 = "Program Type - Special", 'Ingest Template'!F317 = "Program Type - Live Event"),'Ingest Template'!M317&amp; "|Operations - Core Title|Operations - Core Title|"&amp;TEXT('Ingest Template'!C317-3, "yyyy-mm-dd")&amp;"|"&amp;TEXT('Ingest Template'!C317+3, "yyyy-mm-dd"),'Ingest Template'!M317&amp; "|Operations - Core Title|Operations - Core Title")))</f>
        <v>|Operations - Core Title|Operations - Core Title</v>
      </c>
      <c r="AK317" s="35"/>
      <c r="AL317" s="117" t="str">
        <f>if('Ingest Template'!A317="Standard",(IF(OR('Ingest Template'!F317 = "Program Type - Special", 'Ingest Template'!F317 = "Program Type - Live Event"),'Ingest Template'!Q317&amp;"|"&amp;TEXT('Ingest Template'!C317-3, "yyyy-mm-dd")&amp;"|"&amp;TEXT('Ingest Template'!C317+3, "yyyy-mm-dd"),'Ingest Template'!Q317&amp; "|2021-01-01")),(IF(OR('Ingest Template'!F317 = "Program Type - Special", 'Ingest Template'!F317 = "Program Type - Live Event"),'Ingest Template'!Q317&amp; "|"&amp;TEXT('Ingest Template'!C317-3, "yyyy-mm-dd")&amp;"|"&amp;TEXT('Ingest Template'!C317+3, "yyyy-mm-dd"),'Ingest Template'!Q317)))</f>
        <v/>
      </c>
      <c r="AM317" s="35" t="str">
        <f>'Ingest Template'!AC317</f>
        <v/>
      </c>
    </row>
    <row r="318">
      <c r="A318" s="15"/>
      <c r="B318" s="22" t="str">
        <f>'Ingest Template'!C318&amp;IF('Ingest Template'!A318 = "Standard", " - DAR","")</f>
        <v/>
      </c>
      <c r="C318" s="22" t="s">
        <v>83</v>
      </c>
      <c r="D318" s="22" t="str">
        <f t="array" ref="D318">CONCATENATE(INDEX(DropdownLists!$H$2:$H$11,MATCH(1,COUNTIF('Ingest Template'!E318,"*"&amp;DropdownLists!$I$2:$I$11&amp;"*"),0)),CHAR(10),'Ingest Template'!F318,CHAR(10),'Ingest Template'!G318,CHAR(10),VLOOKUP('Ingest Template'!D318,DropdownLists!C:D,2,FALSE))</f>
        <v>#N/A</v>
      </c>
      <c r="E318" s="22" t="str">
        <f>CONCATENATE('Ingest Template'!H318,CHAR(10),'Ingest Template'!I318,CHAR(10),'Ingest Template'!J318,CHAR(10))</f>
        <v>
</v>
      </c>
      <c r="F318" s="35" t="str">
        <f t="array" ref="F318">INDEX(DropdownLists!$O$2:$O$36,MATCH(1,COUNTIF(E318,"*"&amp;DropdownLists!$N$2:$N$36&amp;"*"),0))</f>
        <v/>
      </c>
      <c r="G318" s="35"/>
      <c r="H318" s="22" t="str">
        <f t="array" ref="H318">INDEX(DropdownLists!$E$2:$E$276,MATCH('Ingest Template'!D318,DropdownLists!$C$2:$C$276,0))</f>
        <v>#N/A</v>
      </c>
      <c r="I318" s="22"/>
      <c r="J318" s="22" t="str">
        <f t="array" ref="J318">iF('Ingest Template'!A318="Standard","Pristine Brand",INDEX(DropdownLists!$B$2:$B$246,MATCH('Ingest Template'!D318,DropdownLists!$C$2:$C$246,0)))</f>
        <v>#N/A</v>
      </c>
      <c r="K318" s="22" t="str">
        <f>iF('Ingest Template'!A318="Standard",'Ingest Template'!K318&amp;CHAR(10)&amp;'Ingest Template'!L318,"Competitive View")</f>
        <v>Competitive View</v>
      </c>
      <c r="L318" s="22" t="s">
        <v>95</v>
      </c>
      <c r="M318" s="45" t="str">
        <f>'Ingest Template'!B318</f>
        <v/>
      </c>
      <c r="N318" s="35"/>
      <c r="O318" s="35"/>
      <c r="P318" s="35"/>
      <c r="Q318" s="35"/>
      <c r="R318" s="35" t="str">
        <f>'Ingest Template'!D318</f>
        <v/>
      </c>
      <c r="S318" s="22" t="s">
        <v>101</v>
      </c>
      <c r="T318" s="35" t="str">
        <f>'Ingest Template'!V318</f>
        <v/>
      </c>
      <c r="U318" s="35" t="str">
        <f>'Ingest Template'!W318</f>
        <v/>
      </c>
      <c r="V318" s="35" t="str">
        <f>LOWER(SUBSTITUTE(SUBSTITUTE(SUBSTITUTE(SUBSTITUTE(SUBSTITUTE('Ingest Template'!X318,"https:",""),"www.",""),"/",""),"?hl=en",""),"instagram.com",""))</f>
        <v/>
      </c>
      <c r="W318" s="74" t="str">
        <f t="array" ref="W318">IF(
'Ingest Template'!Y318="",
SUBSTITUTE(
INDEX(DropdownLists!$F$2:$F$277,MATCH('Ingest Template'!D318,DropdownLists!$C$2:$C$277,0)),
CHAR(10),
"|"&amp;'Ingest Template'!C318&amp;CHAR(10)
)&amp;"|"&amp;'Ingest Template'!C318,
SUBSTITUTE(
INDEX(DropdownLists!$F$2:$F$277,MATCH('Ingest Template'!D318,DropdownLists!$C$2:$C$277,0)),
CHAR(10),
"|"&amp;'Ingest Template'!C318&amp;CHAR(10)
)&amp;"|"&amp;'Ingest Template'!C318&amp;CHAR(10)&amp;'Ingest Template'!Y318
)</f>
        <v>#N/A</v>
      </c>
      <c r="X318" s="74" t="str">
        <f>'Ingest Template'!Z318</f>
        <v/>
      </c>
      <c r="Y318" s="35" t="str">
        <f>SUBSTITUTE(SUBSTITUTE(SUBSTITUTE('Ingest Template'!AA318,"http:",""),"https:",""),"/","")</f>
        <v/>
      </c>
      <c r="Z318" s="35" t="str">
        <f t="array" ref="Z318">IF('Ingest Template'!A318="Standard",(IF(ISBLANK('Ingest Template'!AB318),"", 'Ingest Template'!AB318&amp;"|DAR")),(IF(ISBLANK('Ingest Template'!AB318),"", 'Ingest Template'!AB318&amp;"|TV Ops")))</f>
        <v/>
      </c>
      <c r="AA318" s="35"/>
      <c r="AB318" s="35" t="str">
        <f>'Ingest Template'!R318</f>
        <v/>
      </c>
      <c r="AC318" s="35" t="str">
        <f>'Ingest Template'!T318</f>
        <v/>
      </c>
      <c r="AD318" s="35" t="str">
        <f>'Ingest Template'!S318</f>
        <v/>
      </c>
      <c r="AE318" s="35" t="str">
        <f>'Ingest Template'!U318</f>
        <v/>
      </c>
      <c r="AF318" s="22"/>
      <c r="AG318" s="35" t="str">
        <f t="array" ref="AG318">IF('Ingest Template'!A318="Standard",(CONCATENATE(IF(ISBLANK('Ingest Template'!N318),"", 'Ingest Template'!N318&amp;"|DAR"),CHAR(10), IF(ISBLANK('Ingest Template'!O318),"", 'Ingest Template'!O318&amp;"|DAR"),CHAR(10), IF(ISBLANK('Ingest Template'!P318),"", 'Ingest Template'!P318&amp;"|DAR"))),(CONCATENATE(IF(ISBLANK('Ingest Template'!N318),"", 'Ingest Template'!N318&amp;"|TV Ops"),CHAR(10), IF(ISBLANK('Ingest Template'!O318),"", 'Ingest Template'!O318&amp;"|TV Ops"),CHAR(10), IF(ISBLANK('Ingest Template'!P318),"", 'Ingest Template'!P318&amp;"|TV Ops"))))</f>
        <v>
</v>
      </c>
      <c r="AH318" s="35"/>
      <c r="AI318" s="35"/>
      <c r="AJ318" s="117" t="str">
        <f>if('Ingest Template'!A318="Standard",(IF(OR('Ingest Template'!F318 = "Program Type - Special", 'Ingest Template'!F318 = "Program Type - Live Event"),'Ingest Template'!M318&amp; "|DAR|DAR|"&amp;TEXT('Ingest Template'!C318-3, "yyyy-mm-dd")&amp;"|"&amp;TEXT('Ingest Template'!C318+3, "yyyy-mm-dd"),'Ingest Template'!M318&amp; "|DAR|DAR|2021-01-01")),(IF(OR('Ingest Template'!F318 = "Program Type - Special", 'Ingest Template'!F318 = "Program Type - Live Event"),'Ingest Template'!M318&amp; "|Operations - Core Title|Operations - Core Title|"&amp;TEXT('Ingest Template'!C318-3, "yyyy-mm-dd")&amp;"|"&amp;TEXT('Ingest Template'!C318+3, "yyyy-mm-dd"),'Ingest Template'!M318&amp; "|Operations - Core Title|Operations - Core Title")))</f>
        <v>|Operations - Core Title|Operations - Core Title</v>
      </c>
      <c r="AK318" s="35"/>
      <c r="AL318" s="117" t="str">
        <f>if('Ingest Template'!A318="Standard",(IF(OR('Ingest Template'!F318 = "Program Type - Special", 'Ingest Template'!F318 = "Program Type - Live Event"),'Ingest Template'!Q318&amp;"|"&amp;TEXT('Ingest Template'!C318-3, "yyyy-mm-dd")&amp;"|"&amp;TEXT('Ingest Template'!C318+3, "yyyy-mm-dd"),'Ingest Template'!Q318&amp; "|2021-01-01")),(IF(OR('Ingest Template'!F318 = "Program Type - Special", 'Ingest Template'!F318 = "Program Type - Live Event"),'Ingest Template'!Q318&amp; "|"&amp;TEXT('Ingest Template'!C318-3, "yyyy-mm-dd")&amp;"|"&amp;TEXT('Ingest Template'!C318+3, "yyyy-mm-dd"),'Ingest Template'!Q318)))</f>
        <v/>
      </c>
      <c r="AM318" s="35" t="str">
        <f>'Ingest Template'!AC318</f>
        <v/>
      </c>
    </row>
    <row r="319">
      <c r="A319" s="15"/>
      <c r="B319" s="22" t="str">
        <f>'Ingest Template'!C319&amp;IF('Ingest Template'!A319 = "Standard", " - DAR","")</f>
        <v/>
      </c>
      <c r="C319" s="22" t="s">
        <v>83</v>
      </c>
      <c r="D319" s="22" t="str">
        <f t="array" ref="D319">CONCATENATE(INDEX(DropdownLists!$H$2:$H$11,MATCH(1,COUNTIF('Ingest Template'!E319,"*"&amp;DropdownLists!$I$2:$I$11&amp;"*"),0)),CHAR(10),'Ingest Template'!F319,CHAR(10),'Ingest Template'!G319,CHAR(10),VLOOKUP('Ingest Template'!D319,DropdownLists!C:D,2,FALSE))</f>
        <v>#N/A</v>
      </c>
      <c r="E319" s="22" t="str">
        <f>CONCATENATE('Ingest Template'!H319,CHAR(10),'Ingest Template'!I319,CHAR(10),'Ingest Template'!J319,CHAR(10))</f>
        <v>
</v>
      </c>
      <c r="F319" s="35" t="str">
        <f t="array" ref="F319">INDEX(DropdownLists!$O$2:$O$36,MATCH(1,COUNTIF(E319,"*"&amp;DropdownLists!$N$2:$N$36&amp;"*"),0))</f>
        <v/>
      </c>
      <c r="G319" s="35"/>
      <c r="H319" s="22" t="str">
        <f t="array" ref="H319">INDEX(DropdownLists!$E$2:$E$276,MATCH('Ingest Template'!D319,DropdownLists!$C$2:$C$276,0))</f>
        <v>#N/A</v>
      </c>
      <c r="I319" s="22"/>
      <c r="J319" s="22" t="str">
        <f t="array" ref="J319">iF('Ingest Template'!A319="Standard","Pristine Brand",INDEX(DropdownLists!$B$2:$B$246,MATCH('Ingest Template'!D319,DropdownLists!$C$2:$C$246,0)))</f>
        <v>#N/A</v>
      </c>
      <c r="K319" s="22" t="str">
        <f>iF('Ingest Template'!A319="Standard",'Ingest Template'!K319&amp;CHAR(10)&amp;'Ingest Template'!L319,"Competitive View")</f>
        <v>Competitive View</v>
      </c>
      <c r="L319" s="22" t="s">
        <v>95</v>
      </c>
      <c r="M319" s="45" t="str">
        <f>'Ingest Template'!B319</f>
        <v/>
      </c>
      <c r="N319" s="35"/>
      <c r="O319" s="35"/>
      <c r="P319" s="35"/>
      <c r="Q319" s="35"/>
      <c r="R319" s="35" t="str">
        <f>'Ingest Template'!D319</f>
        <v/>
      </c>
      <c r="S319" s="22" t="s">
        <v>101</v>
      </c>
      <c r="T319" s="35" t="str">
        <f>'Ingest Template'!V319</f>
        <v/>
      </c>
      <c r="U319" s="35" t="str">
        <f>'Ingest Template'!W319</f>
        <v/>
      </c>
      <c r="V319" s="35" t="str">
        <f>LOWER(SUBSTITUTE(SUBSTITUTE(SUBSTITUTE(SUBSTITUTE(SUBSTITUTE('Ingest Template'!X319,"https:",""),"www.",""),"/",""),"?hl=en",""),"instagram.com",""))</f>
        <v/>
      </c>
      <c r="W319" s="74" t="str">
        <f t="array" ref="W319">IF(
'Ingest Template'!Y319="",
SUBSTITUTE(
INDEX(DropdownLists!$F$2:$F$277,MATCH('Ingest Template'!D319,DropdownLists!$C$2:$C$277,0)),
CHAR(10),
"|"&amp;'Ingest Template'!C319&amp;CHAR(10)
)&amp;"|"&amp;'Ingest Template'!C319,
SUBSTITUTE(
INDEX(DropdownLists!$F$2:$F$277,MATCH('Ingest Template'!D319,DropdownLists!$C$2:$C$277,0)),
CHAR(10),
"|"&amp;'Ingest Template'!C319&amp;CHAR(10)
)&amp;"|"&amp;'Ingest Template'!C319&amp;CHAR(10)&amp;'Ingest Template'!Y319
)</f>
        <v>#N/A</v>
      </c>
      <c r="X319" s="74" t="str">
        <f>'Ingest Template'!Z319</f>
        <v/>
      </c>
      <c r="Y319" s="35" t="str">
        <f>SUBSTITUTE(SUBSTITUTE(SUBSTITUTE('Ingest Template'!AA319,"http:",""),"https:",""),"/","")</f>
        <v/>
      </c>
      <c r="Z319" s="35" t="str">
        <f t="array" ref="Z319">IF('Ingest Template'!A319="Standard",(IF(ISBLANK('Ingest Template'!AB319),"", 'Ingest Template'!AB319&amp;"|DAR")),(IF(ISBLANK('Ingest Template'!AB319),"", 'Ingest Template'!AB319&amp;"|TV Ops")))</f>
        <v/>
      </c>
      <c r="AA319" s="35"/>
      <c r="AB319" s="35" t="str">
        <f>'Ingest Template'!R319</f>
        <v/>
      </c>
      <c r="AC319" s="35" t="str">
        <f>'Ingest Template'!T319</f>
        <v/>
      </c>
      <c r="AD319" s="35" t="str">
        <f>'Ingest Template'!S319</f>
        <v/>
      </c>
      <c r="AE319" s="35" t="str">
        <f>'Ingest Template'!U319</f>
        <v/>
      </c>
      <c r="AF319" s="22"/>
      <c r="AG319" s="35" t="str">
        <f t="array" ref="AG319">IF('Ingest Template'!A319="Standard",(CONCATENATE(IF(ISBLANK('Ingest Template'!N319),"", 'Ingest Template'!N319&amp;"|DAR"),CHAR(10), IF(ISBLANK('Ingest Template'!O319),"", 'Ingest Template'!O319&amp;"|DAR"),CHAR(10), IF(ISBLANK('Ingest Template'!P319),"", 'Ingest Template'!P319&amp;"|DAR"))),(CONCATENATE(IF(ISBLANK('Ingest Template'!N319),"", 'Ingest Template'!N319&amp;"|TV Ops"),CHAR(10), IF(ISBLANK('Ingest Template'!O319),"", 'Ingest Template'!O319&amp;"|TV Ops"),CHAR(10), IF(ISBLANK('Ingest Template'!P319),"", 'Ingest Template'!P319&amp;"|TV Ops"))))</f>
        <v>
</v>
      </c>
      <c r="AH319" s="35"/>
      <c r="AI319" s="35"/>
      <c r="AJ319" s="117" t="str">
        <f>if('Ingest Template'!A319="Standard",(IF(OR('Ingest Template'!F319 = "Program Type - Special", 'Ingest Template'!F319 = "Program Type - Live Event"),'Ingest Template'!M319&amp; "|DAR|DAR|"&amp;TEXT('Ingest Template'!C319-3, "yyyy-mm-dd")&amp;"|"&amp;TEXT('Ingest Template'!C319+3, "yyyy-mm-dd"),'Ingest Template'!M319&amp; "|DAR|DAR|2021-01-01")),(IF(OR('Ingest Template'!F319 = "Program Type - Special", 'Ingest Template'!F319 = "Program Type - Live Event"),'Ingest Template'!M319&amp; "|Operations - Core Title|Operations - Core Title|"&amp;TEXT('Ingest Template'!C319-3, "yyyy-mm-dd")&amp;"|"&amp;TEXT('Ingest Template'!C319+3, "yyyy-mm-dd"),'Ingest Template'!M319&amp; "|Operations - Core Title|Operations - Core Title")))</f>
        <v>|Operations - Core Title|Operations - Core Title</v>
      </c>
      <c r="AK319" s="35"/>
      <c r="AL319" s="117" t="str">
        <f>if('Ingest Template'!A319="Standard",(IF(OR('Ingest Template'!F319 = "Program Type - Special", 'Ingest Template'!F319 = "Program Type - Live Event"),'Ingest Template'!Q319&amp;"|"&amp;TEXT('Ingest Template'!C319-3, "yyyy-mm-dd")&amp;"|"&amp;TEXT('Ingest Template'!C319+3, "yyyy-mm-dd"),'Ingest Template'!Q319&amp; "|2021-01-01")),(IF(OR('Ingest Template'!F319 = "Program Type - Special", 'Ingest Template'!F319 = "Program Type - Live Event"),'Ingest Template'!Q319&amp; "|"&amp;TEXT('Ingest Template'!C319-3, "yyyy-mm-dd")&amp;"|"&amp;TEXT('Ingest Template'!C319+3, "yyyy-mm-dd"),'Ingest Template'!Q319)))</f>
        <v/>
      </c>
      <c r="AM319" s="35" t="str">
        <f>'Ingest Template'!AC319</f>
        <v/>
      </c>
    </row>
    <row r="320">
      <c r="A320" s="15"/>
      <c r="B320" s="22" t="str">
        <f>'Ingest Template'!C320&amp;IF('Ingest Template'!A320 = "Standard", " - DAR","")</f>
        <v/>
      </c>
      <c r="C320" s="22" t="s">
        <v>83</v>
      </c>
      <c r="D320" s="22" t="str">
        <f t="array" ref="D320">CONCATENATE(INDEX(DropdownLists!$H$2:$H$11,MATCH(1,COUNTIF('Ingest Template'!E320,"*"&amp;DropdownLists!$I$2:$I$11&amp;"*"),0)),CHAR(10),'Ingest Template'!F320,CHAR(10),'Ingest Template'!G320,CHAR(10),VLOOKUP('Ingest Template'!D320,DropdownLists!C:D,2,FALSE))</f>
        <v>#N/A</v>
      </c>
      <c r="E320" s="22" t="str">
        <f>CONCATENATE('Ingest Template'!H320,CHAR(10),'Ingest Template'!I320,CHAR(10),'Ingest Template'!J320,CHAR(10))</f>
        <v>
</v>
      </c>
      <c r="F320" s="35" t="str">
        <f t="array" ref="F320">INDEX(DropdownLists!$O$2:$O$36,MATCH(1,COUNTIF(E320,"*"&amp;DropdownLists!$N$2:$N$36&amp;"*"),0))</f>
        <v/>
      </c>
      <c r="G320" s="35"/>
      <c r="H320" s="22" t="str">
        <f t="array" ref="H320">INDEX(DropdownLists!$E$2:$E$276,MATCH('Ingest Template'!D320,DropdownLists!$C$2:$C$276,0))</f>
        <v>#N/A</v>
      </c>
      <c r="I320" s="22"/>
      <c r="J320" s="22" t="str">
        <f t="array" ref="J320">iF('Ingest Template'!A320="Standard","Pristine Brand",INDEX(DropdownLists!$B$2:$B$246,MATCH('Ingest Template'!D320,DropdownLists!$C$2:$C$246,0)))</f>
        <v>#N/A</v>
      </c>
      <c r="K320" s="22" t="str">
        <f>iF('Ingest Template'!A320="Standard",'Ingest Template'!K320&amp;CHAR(10)&amp;'Ingest Template'!L320,"Competitive View")</f>
        <v>Competitive View</v>
      </c>
      <c r="L320" s="22" t="s">
        <v>95</v>
      </c>
      <c r="M320" s="45" t="str">
        <f>'Ingest Template'!B320</f>
        <v/>
      </c>
      <c r="N320" s="35"/>
      <c r="O320" s="35"/>
      <c r="P320" s="35"/>
      <c r="Q320" s="35"/>
      <c r="R320" s="35" t="str">
        <f>'Ingest Template'!D320</f>
        <v/>
      </c>
      <c r="S320" s="22" t="s">
        <v>101</v>
      </c>
      <c r="T320" s="35" t="str">
        <f>'Ingest Template'!V320</f>
        <v/>
      </c>
      <c r="U320" s="35" t="str">
        <f>'Ingest Template'!W320</f>
        <v/>
      </c>
      <c r="V320" s="35" t="str">
        <f>LOWER(SUBSTITUTE(SUBSTITUTE(SUBSTITUTE(SUBSTITUTE(SUBSTITUTE('Ingest Template'!X320,"https:",""),"www.",""),"/",""),"?hl=en",""),"instagram.com",""))</f>
        <v/>
      </c>
      <c r="W320" s="74" t="str">
        <f t="array" ref="W320">IF(
'Ingest Template'!Y320="",
SUBSTITUTE(
INDEX(DropdownLists!$F$2:$F$277,MATCH('Ingest Template'!D320,DropdownLists!$C$2:$C$277,0)),
CHAR(10),
"|"&amp;'Ingest Template'!C320&amp;CHAR(10)
)&amp;"|"&amp;'Ingest Template'!C320,
SUBSTITUTE(
INDEX(DropdownLists!$F$2:$F$277,MATCH('Ingest Template'!D320,DropdownLists!$C$2:$C$277,0)),
CHAR(10),
"|"&amp;'Ingest Template'!C320&amp;CHAR(10)
)&amp;"|"&amp;'Ingest Template'!C320&amp;CHAR(10)&amp;'Ingest Template'!Y320
)</f>
        <v>#N/A</v>
      </c>
      <c r="X320" s="74" t="str">
        <f>'Ingest Template'!Z320</f>
        <v/>
      </c>
      <c r="Y320" s="35" t="str">
        <f>SUBSTITUTE(SUBSTITUTE(SUBSTITUTE('Ingest Template'!AA320,"http:",""),"https:",""),"/","")</f>
        <v/>
      </c>
      <c r="Z320" s="35" t="str">
        <f t="array" ref="Z320">IF('Ingest Template'!A320="Standard",(IF(ISBLANK('Ingest Template'!AB320),"", 'Ingest Template'!AB320&amp;"|DAR")),(IF(ISBLANK('Ingest Template'!AB320),"", 'Ingest Template'!AB320&amp;"|TV Ops")))</f>
        <v/>
      </c>
      <c r="AA320" s="35"/>
      <c r="AB320" s="35" t="str">
        <f>'Ingest Template'!R320</f>
        <v/>
      </c>
      <c r="AC320" s="35" t="str">
        <f>'Ingest Template'!T320</f>
        <v/>
      </c>
      <c r="AD320" s="35" t="str">
        <f>'Ingest Template'!S320</f>
        <v/>
      </c>
      <c r="AE320" s="35" t="str">
        <f>'Ingest Template'!U320</f>
        <v/>
      </c>
      <c r="AF320" s="22"/>
      <c r="AG320" s="35" t="str">
        <f t="array" ref="AG320">IF('Ingest Template'!A320="Standard",(CONCATENATE(IF(ISBLANK('Ingest Template'!N320),"", 'Ingest Template'!N320&amp;"|DAR"),CHAR(10), IF(ISBLANK('Ingest Template'!O320),"", 'Ingest Template'!O320&amp;"|DAR"),CHAR(10), IF(ISBLANK('Ingest Template'!P320),"", 'Ingest Template'!P320&amp;"|DAR"))),(CONCATENATE(IF(ISBLANK('Ingest Template'!N320),"", 'Ingest Template'!N320&amp;"|TV Ops"),CHAR(10), IF(ISBLANK('Ingest Template'!O320),"", 'Ingest Template'!O320&amp;"|TV Ops"),CHAR(10), IF(ISBLANK('Ingest Template'!P320),"", 'Ingest Template'!P320&amp;"|TV Ops"))))</f>
        <v>
</v>
      </c>
      <c r="AH320" s="35"/>
      <c r="AI320" s="35"/>
      <c r="AJ320" s="117" t="str">
        <f>if('Ingest Template'!A320="Standard",(IF(OR('Ingest Template'!F320 = "Program Type - Special", 'Ingest Template'!F320 = "Program Type - Live Event"),'Ingest Template'!M320&amp; "|DAR|DAR|"&amp;TEXT('Ingest Template'!C320-3, "yyyy-mm-dd")&amp;"|"&amp;TEXT('Ingest Template'!C320+3, "yyyy-mm-dd"),'Ingest Template'!M320&amp; "|DAR|DAR|2021-01-01")),(IF(OR('Ingest Template'!F320 = "Program Type - Special", 'Ingest Template'!F320 = "Program Type - Live Event"),'Ingest Template'!M320&amp; "|Operations - Core Title|Operations - Core Title|"&amp;TEXT('Ingest Template'!C320-3, "yyyy-mm-dd")&amp;"|"&amp;TEXT('Ingest Template'!C320+3, "yyyy-mm-dd"),'Ingest Template'!M320&amp; "|Operations - Core Title|Operations - Core Title")))</f>
        <v>|Operations - Core Title|Operations - Core Title</v>
      </c>
      <c r="AK320" s="35"/>
      <c r="AL320" s="117" t="str">
        <f>if('Ingest Template'!A320="Standard",(IF(OR('Ingest Template'!F320 = "Program Type - Special", 'Ingest Template'!F320 = "Program Type - Live Event"),'Ingest Template'!Q320&amp;"|"&amp;TEXT('Ingest Template'!C320-3, "yyyy-mm-dd")&amp;"|"&amp;TEXT('Ingest Template'!C320+3, "yyyy-mm-dd"),'Ingest Template'!Q320&amp; "|2021-01-01")),(IF(OR('Ingest Template'!F320 = "Program Type - Special", 'Ingest Template'!F320 = "Program Type - Live Event"),'Ingest Template'!Q320&amp; "|"&amp;TEXT('Ingest Template'!C320-3, "yyyy-mm-dd")&amp;"|"&amp;TEXT('Ingest Template'!C320+3, "yyyy-mm-dd"),'Ingest Template'!Q320)))</f>
        <v/>
      </c>
      <c r="AM320" s="35" t="str">
        <f>'Ingest Template'!AC320</f>
        <v/>
      </c>
    </row>
    <row r="321">
      <c r="A321" s="15"/>
      <c r="B321" s="22" t="str">
        <f>'Ingest Template'!C321&amp;IF('Ingest Template'!A321 = "Standard", " - DAR","")</f>
        <v/>
      </c>
      <c r="C321" s="22" t="s">
        <v>83</v>
      </c>
      <c r="D321" s="22" t="str">
        <f t="array" ref="D321">CONCATENATE(INDEX(DropdownLists!$H$2:$H$11,MATCH(1,COUNTIF('Ingest Template'!E321,"*"&amp;DropdownLists!$I$2:$I$11&amp;"*"),0)),CHAR(10),'Ingest Template'!F321,CHAR(10),'Ingest Template'!G321,CHAR(10),VLOOKUP('Ingest Template'!D321,DropdownLists!C:D,2,FALSE))</f>
        <v>#N/A</v>
      </c>
      <c r="E321" s="22" t="str">
        <f>CONCATENATE('Ingest Template'!H321,CHAR(10),'Ingest Template'!I321,CHAR(10),'Ingest Template'!J321,CHAR(10))</f>
        <v>
</v>
      </c>
      <c r="F321" s="35" t="str">
        <f t="array" ref="F321">INDEX(DropdownLists!$O$2:$O$36,MATCH(1,COUNTIF(E321,"*"&amp;DropdownLists!$N$2:$N$36&amp;"*"),0))</f>
        <v/>
      </c>
      <c r="G321" s="35"/>
      <c r="H321" s="22" t="str">
        <f t="array" ref="H321">INDEX(DropdownLists!$E$2:$E$276,MATCH('Ingest Template'!D321,DropdownLists!$C$2:$C$276,0))</f>
        <v>#N/A</v>
      </c>
      <c r="I321" s="22"/>
      <c r="J321" s="22" t="str">
        <f t="array" ref="J321">iF('Ingest Template'!A321="Standard","Pristine Brand",INDEX(DropdownLists!$B$2:$B$246,MATCH('Ingest Template'!D321,DropdownLists!$C$2:$C$246,0)))</f>
        <v>#N/A</v>
      </c>
      <c r="K321" s="22" t="str">
        <f>iF('Ingest Template'!A321="Standard",'Ingest Template'!K321&amp;CHAR(10)&amp;'Ingest Template'!L321,"Competitive View")</f>
        <v>Competitive View</v>
      </c>
      <c r="L321" s="22" t="s">
        <v>95</v>
      </c>
      <c r="M321" s="45" t="str">
        <f>'Ingest Template'!B321</f>
        <v/>
      </c>
      <c r="N321" s="35"/>
      <c r="O321" s="35"/>
      <c r="P321" s="35"/>
      <c r="Q321" s="35"/>
      <c r="R321" s="35" t="str">
        <f>'Ingest Template'!D321</f>
        <v/>
      </c>
      <c r="S321" s="22" t="s">
        <v>101</v>
      </c>
      <c r="T321" s="35" t="str">
        <f>'Ingest Template'!V321</f>
        <v/>
      </c>
      <c r="U321" s="35" t="str">
        <f>'Ingest Template'!W321</f>
        <v/>
      </c>
      <c r="V321" s="35" t="str">
        <f>LOWER(SUBSTITUTE(SUBSTITUTE(SUBSTITUTE(SUBSTITUTE(SUBSTITUTE('Ingest Template'!X321,"https:",""),"www.",""),"/",""),"?hl=en",""),"instagram.com",""))</f>
        <v/>
      </c>
      <c r="W321" s="74" t="str">
        <f t="array" ref="W321">IF(
'Ingest Template'!Y321="",
SUBSTITUTE(
INDEX(DropdownLists!$F$2:$F$277,MATCH('Ingest Template'!D321,DropdownLists!$C$2:$C$277,0)),
CHAR(10),
"|"&amp;'Ingest Template'!C321&amp;CHAR(10)
)&amp;"|"&amp;'Ingest Template'!C321,
SUBSTITUTE(
INDEX(DropdownLists!$F$2:$F$277,MATCH('Ingest Template'!D321,DropdownLists!$C$2:$C$277,0)),
CHAR(10),
"|"&amp;'Ingest Template'!C321&amp;CHAR(10)
)&amp;"|"&amp;'Ingest Template'!C321&amp;CHAR(10)&amp;'Ingest Template'!Y321
)</f>
        <v>#N/A</v>
      </c>
      <c r="X321" s="74" t="str">
        <f>'Ingest Template'!Z321</f>
        <v/>
      </c>
      <c r="Y321" s="35" t="str">
        <f>SUBSTITUTE(SUBSTITUTE(SUBSTITUTE('Ingest Template'!AA321,"http:",""),"https:",""),"/","")</f>
        <v/>
      </c>
      <c r="Z321" s="35" t="str">
        <f t="array" ref="Z321">IF('Ingest Template'!A321="Standard",(IF(ISBLANK('Ingest Template'!AB321),"", 'Ingest Template'!AB321&amp;"|DAR")),(IF(ISBLANK('Ingest Template'!AB321),"", 'Ingest Template'!AB321&amp;"|TV Ops")))</f>
        <v/>
      </c>
      <c r="AA321" s="35"/>
      <c r="AB321" s="35" t="str">
        <f>'Ingest Template'!R321</f>
        <v/>
      </c>
      <c r="AC321" s="35" t="str">
        <f>'Ingest Template'!T321</f>
        <v/>
      </c>
      <c r="AD321" s="35" t="str">
        <f>'Ingest Template'!S321</f>
        <v/>
      </c>
      <c r="AE321" s="35" t="str">
        <f>'Ingest Template'!U321</f>
        <v/>
      </c>
      <c r="AF321" s="22"/>
      <c r="AG321" s="35" t="str">
        <f t="array" ref="AG321">IF('Ingest Template'!A321="Standard",(CONCATENATE(IF(ISBLANK('Ingest Template'!N321),"", 'Ingest Template'!N321&amp;"|DAR"),CHAR(10), IF(ISBLANK('Ingest Template'!O321),"", 'Ingest Template'!O321&amp;"|DAR"),CHAR(10), IF(ISBLANK('Ingest Template'!P321),"", 'Ingest Template'!P321&amp;"|DAR"))),(CONCATENATE(IF(ISBLANK('Ingest Template'!N321),"", 'Ingest Template'!N321&amp;"|TV Ops"),CHAR(10), IF(ISBLANK('Ingest Template'!O321),"", 'Ingest Template'!O321&amp;"|TV Ops"),CHAR(10), IF(ISBLANK('Ingest Template'!P321),"", 'Ingest Template'!P321&amp;"|TV Ops"))))</f>
        <v>
</v>
      </c>
      <c r="AH321" s="35"/>
      <c r="AI321" s="35"/>
      <c r="AJ321" s="117" t="str">
        <f>if('Ingest Template'!A321="Standard",(IF(OR('Ingest Template'!F321 = "Program Type - Special", 'Ingest Template'!F321 = "Program Type - Live Event"),'Ingest Template'!M321&amp; "|DAR|DAR|"&amp;TEXT('Ingest Template'!C321-3, "yyyy-mm-dd")&amp;"|"&amp;TEXT('Ingest Template'!C321+3, "yyyy-mm-dd"),'Ingest Template'!M321&amp; "|DAR|DAR|2021-01-01")),(IF(OR('Ingest Template'!F321 = "Program Type - Special", 'Ingest Template'!F321 = "Program Type - Live Event"),'Ingest Template'!M321&amp; "|Operations - Core Title|Operations - Core Title|"&amp;TEXT('Ingest Template'!C321-3, "yyyy-mm-dd")&amp;"|"&amp;TEXT('Ingest Template'!C321+3, "yyyy-mm-dd"),'Ingest Template'!M321&amp; "|Operations - Core Title|Operations - Core Title")))</f>
        <v>|Operations - Core Title|Operations - Core Title</v>
      </c>
      <c r="AK321" s="35"/>
      <c r="AL321" s="117" t="str">
        <f>if('Ingest Template'!A321="Standard",(IF(OR('Ingest Template'!F321 = "Program Type - Special", 'Ingest Template'!F321 = "Program Type - Live Event"),'Ingest Template'!Q321&amp;"|"&amp;TEXT('Ingest Template'!C321-3, "yyyy-mm-dd")&amp;"|"&amp;TEXT('Ingest Template'!C321+3, "yyyy-mm-dd"),'Ingest Template'!Q321&amp; "|2021-01-01")),(IF(OR('Ingest Template'!F321 = "Program Type - Special", 'Ingest Template'!F321 = "Program Type - Live Event"),'Ingest Template'!Q321&amp; "|"&amp;TEXT('Ingest Template'!C321-3, "yyyy-mm-dd")&amp;"|"&amp;TEXT('Ingest Template'!C321+3, "yyyy-mm-dd"),'Ingest Template'!Q321)))</f>
        <v/>
      </c>
      <c r="AM321" s="35" t="str">
        <f>'Ingest Template'!AC321</f>
        <v/>
      </c>
    </row>
    <row r="322">
      <c r="A322" s="15"/>
      <c r="B322" s="22" t="str">
        <f>'Ingest Template'!C322&amp;IF('Ingest Template'!A322 = "Standard", " - DAR","")</f>
        <v/>
      </c>
      <c r="C322" s="22" t="s">
        <v>83</v>
      </c>
      <c r="D322" s="22" t="str">
        <f t="array" ref="D322">CONCATENATE(INDEX(DropdownLists!$H$2:$H$11,MATCH(1,COUNTIF('Ingest Template'!E322,"*"&amp;DropdownLists!$I$2:$I$11&amp;"*"),0)),CHAR(10),'Ingest Template'!F322,CHAR(10),'Ingest Template'!G322,CHAR(10),VLOOKUP('Ingest Template'!D322,DropdownLists!C:D,2,FALSE))</f>
        <v>#N/A</v>
      </c>
      <c r="E322" s="22" t="str">
        <f>CONCATENATE('Ingest Template'!H322,CHAR(10),'Ingest Template'!I322,CHAR(10),'Ingest Template'!J322,CHAR(10))</f>
        <v>
</v>
      </c>
      <c r="F322" s="35" t="str">
        <f t="array" ref="F322">INDEX(DropdownLists!$O$2:$O$36,MATCH(1,COUNTIF(E322,"*"&amp;DropdownLists!$N$2:$N$36&amp;"*"),0))</f>
        <v/>
      </c>
      <c r="G322" s="35"/>
      <c r="H322" s="22" t="str">
        <f t="array" ref="H322">INDEX(DropdownLists!$E$2:$E$276,MATCH('Ingest Template'!D322,DropdownLists!$C$2:$C$276,0))</f>
        <v>#N/A</v>
      </c>
      <c r="I322" s="22"/>
      <c r="J322" s="22" t="str">
        <f t="array" ref="J322">iF('Ingest Template'!A322="Standard","Pristine Brand",INDEX(DropdownLists!$B$2:$B$246,MATCH('Ingest Template'!D322,DropdownLists!$C$2:$C$246,0)))</f>
        <v>#N/A</v>
      </c>
      <c r="K322" s="22" t="str">
        <f>iF('Ingest Template'!A322="Standard",'Ingest Template'!K322&amp;CHAR(10)&amp;'Ingest Template'!L322,"Competitive View")</f>
        <v>Competitive View</v>
      </c>
      <c r="L322" s="22" t="s">
        <v>95</v>
      </c>
      <c r="M322" s="45" t="str">
        <f>'Ingest Template'!B322</f>
        <v/>
      </c>
      <c r="N322" s="35"/>
      <c r="O322" s="35"/>
      <c r="P322" s="35"/>
      <c r="Q322" s="35"/>
      <c r="R322" s="35" t="str">
        <f>'Ingest Template'!D322</f>
        <v/>
      </c>
      <c r="S322" s="22" t="s">
        <v>101</v>
      </c>
      <c r="T322" s="35" t="str">
        <f>'Ingest Template'!V322</f>
        <v/>
      </c>
      <c r="U322" s="35" t="str">
        <f>'Ingest Template'!W322</f>
        <v/>
      </c>
      <c r="V322" s="35" t="str">
        <f>LOWER(SUBSTITUTE(SUBSTITUTE(SUBSTITUTE(SUBSTITUTE(SUBSTITUTE('Ingest Template'!X322,"https:",""),"www.",""),"/",""),"?hl=en",""),"instagram.com",""))</f>
        <v/>
      </c>
      <c r="W322" s="74" t="str">
        <f t="array" ref="W322">IF(
'Ingest Template'!Y322="",
SUBSTITUTE(
INDEX(DropdownLists!$F$2:$F$277,MATCH('Ingest Template'!D322,DropdownLists!$C$2:$C$277,0)),
CHAR(10),
"|"&amp;'Ingest Template'!C322&amp;CHAR(10)
)&amp;"|"&amp;'Ingest Template'!C322,
SUBSTITUTE(
INDEX(DropdownLists!$F$2:$F$277,MATCH('Ingest Template'!D322,DropdownLists!$C$2:$C$277,0)),
CHAR(10),
"|"&amp;'Ingest Template'!C322&amp;CHAR(10)
)&amp;"|"&amp;'Ingest Template'!C322&amp;CHAR(10)&amp;'Ingest Template'!Y322
)</f>
        <v>#N/A</v>
      </c>
      <c r="X322" s="74" t="str">
        <f>'Ingest Template'!Z322</f>
        <v/>
      </c>
      <c r="Y322" s="35" t="str">
        <f>SUBSTITUTE(SUBSTITUTE(SUBSTITUTE('Ingest Template'!AA322,"http:",""),"https:",""),"/","")</f>
        <v/>
      </c>
      <c r="Z322" s="35" t="str">
        <f t="array" ref="Z322">IF('Ingest Template'!A322="Standard",(IF(ISBLANK('Ingest Template'!AB322),"", 'Ingest Template'!AB322&amp;"|DAR")),(IF(ISBLANK('Ingest Template'!AB322),"", 'Ingest Template'!AB322&amp;"|TV Ops")))</f>
        <v/>
      </c>
      <c r="AA322" s="35"/>
      <c r="AB322" s="35" t="str">
        <f>'Ingest Template'!R322</f>
        <v/>
      </c>
      <c r="AC322" s="35" t="str">
        <f>'Ingest Template'!T322</f>
        <v/>
      </c>
      <c r="AD322" s="35" t="str">
        <f>'Ingest Template'!S322</f>
        <v/>
      </c>
      <c r="AE322" s="35" t="str">
        <f>'Ingest Template'!U322</f>
        <v/>
      </c>
      <c r="AF322" s="22"/>
      <c r="AG322" s="35" t="str">
        <f t="array" ref="AG322">IF('Ingest Template'!A322="Standard",(CONCATENATE(IF(ISBLANK('Ingest Template'!N322),"", 'Ingest Template'!N322&amp;"|DAR"),CHAR(10), IF(ISBLANK('Ingest Template'!O322),"", 'Ingest Template'!O322&amp;"|DAR"),CHAR(10), IF(ISBLANK('Ingest Template'!P322),"", 'Ingest Template'!P322&amp;"|DAR"))),(CONCATENATE(IF(ISBLANK('Ingest Template'!N322),"", 'Ingest Template'!N322&amp;"|TV Ops"),CHAR(10), IF(ISBLANK('Ingest Template'!O322),"", 'Ingest Template'!O322&amp;"|TV Ops"),CHAR(10), IF(ISBLANK('Ingest Template'!P322),"", 'Ingest Template'!P322&amp;"|TV Ops"))))</f>
        <v>
</v>
      </c>
      <c r="AH322" s="35"/>
      <c r="AI322" s="35"/>
      <c r="AJ322" s="117" t="str">
        <f>if('Ingest Template'!A322="Standard",(IF(OR('Ingest Template'!F322 = "Program Type - Special", 'Ingest Template'!F322 = "Program Type - Live Event"),'Ingest Template'!M322&amp; "|DAR|DAR|"&amp;TEXT('Ingest Template'!C322-3, "yyyy-mm-dd")&amp;"|"&amp;TEXT('Ingest Template'!C322+3, "yyyy-mm-dd"),'Ingest Template'!M322&amp; "|DAR|DAR|2021-01-01")),(IF(OR('Ingest Template'!F322 = "Program Type - Special", 'Ingest Template'!F322 = "Program Type - Live Event"),'Ingest Template'!M322&amp; "|Operations - Core Title|Operations - Core Title|"&amp;TEXT('Ingest Template'!C322-3, "yyyy-mm-dd")&amp;"|"&amp;TEXT('Ingest Template'!C322+3, "yyyy-mm-dd"),'Ingest Template'!M322&amp; "|Operations - Core Title|Operations - Core Title")))</f>
        <v>|Operations - Core Title|Operations - Core Title</v>
      </c>
      <c r="AK322" s="35"/>
      <c r="AL322" s="117" t="str">
        <f>if('Ingest Template'!A322="Standard",(IF(OR('Ingest Template'!F322 = "Program Type - Special", 'Ingest Template'!F322 = "Program Type - Live Event"),'Ingest Template'!Q322&amp;"|"&amp;TEXT('Ingest Template'!C322-3, "yyyy-mm-dd")&amp;"|"&amp;TEXT('Ingest Template'!C322+3, "yyyy-mm-dd"),'Ingest Template'!Q322&amp; "|2021-01-01")),(IF(OR('Ingest Template'!F322 = "Program Type - Special", 'Ingest Template'!F322 = "Program Type - Live Event"),'Ingest Template'!Q322&amp; "|"&amp;TEXT('Ingest Template'!C322-3, "yyyy-mm-dd")&amp;"|"&amp;TEXT('Ingest Template'!C322+3, "yyyy-mm-dd"),'Ingest Template'!Q322)))</f>
        <v/>
      </c>
      <c r="AM322" s="35" t="str">
        <f>'Ingest Template'!AC322</f>
        <v/>
      </c>
    </row>
    <row r="323">
      <c r="A323" s="15"/>
      <c r="B323" s="22" t="str">
        <f>'Ingest Template'!C323&amp;IF('Ingest Template'!A323 = "Standard", " - DAR","")</f>
        <v/>
      </c>
      <c r="C323" s="22" t="s">
        <v>83</v>
      </c>
      <c r="D323" s="22" t="str">
        <f t="array" ref="D323">CONCATENATE(INDEX(DropdownLists!$H$2:$H$11,MATCH(1,COUNTIF('Ingest Template'!E323,"*"&amp;DropdownLists!$I$2:$I$11&amp;"*"),0)),CHAR(10),'Ingest Template'!F323,CHAR(10),'Ingest Template'!G323,CHAR(10),VLOOKUP('Ingest Template'!D323,DropdownLists!C:D,2,FALSE))</f>
        <v>#N/A</v>
      </c>
      <c r="E323" s="22" t="str">
        <f>CONCATENATE('Ingest Template'!H323,CHAR(10),'Ingest Template'!I323,CHAR(10),'Ingest Template'!J323,CHAR(10))</f>
        <v>
</v>
      </c>
      <c r="F323" s="35" t="str">
        <f t="array" ref="F323">INDEX(DropdownLists!$O$2:$O$36,MATCH(1,COUNTIF(E323,"*"&amp;DropdownLists!$N$2:$N$36&amp;"*"),0))</f>
        <v/>
      </c>
      <c r="G323" s="35"/>
      <c r="H323" s="22" t="str">
        <f t="array" ref="H323">INDEX(DropdownLists!$E$2:$E$276,MATCH('Ingest Template'!D323,DropdownLists!$C$2:$C$276,0))</f>
        <v>#N/A</v>
      </c>
      <c r="I323" s="22"/>
      <c r="J323" s="22" t="str">
        <f t="array" ref="J323">iF('Ingest Template'!A323="Standard","Pristine Brand",INDEX(DropdownLists!$B$2:$B$246,MATCH('Ingest Template'!D323,DropdownLists!$C$2:$C$246,0)))</f>
        <v>#N/A</v>
      </c>
      <c r="K323" s="22" t="str">
        <f>iF('Ingest Template'!A323="Standard",'Ingest Template'!K323&amp;CHAR(10)&amp;'Ingest Template'!L323,"Competitive View")</f>
        <v>Competitive View</v>
      </c>
      <c r="L323" s="22" t="s">
        <v>95</v>
      </c>
      <c r="M323" s="45" t="str">
        <f>'Ingest Template'!B323</f>
        <v/>
      </c>
      <c r="N323" s="35"/>
      <c r="O323" s="35"/>
      <c r="P323" s="35"/>
      <c r="Q323" s="35"/>
      <c r="R323" s="35" t="str">
        <f>'Ingest Template'!D323</f>
        <v/>
      </c>
      <c r="S323" s="22" t="s">
        <v>101</v>
      </c>
      <c r="T323" s="35" t="str">
        <f>'Ingest Template'!V323</f>
        <v/>
      </c>
      <c r="U323" s="35" t="str">
        <f>'Ingest Template'!W323</f>
        <v/>
      </c>
      <c r="V323" s="35" t="str">
        <f>LOWER(SUBSTITUTE(SUBSTITUTE(SUBSTITUTE(SUBSTITUTE(SUBSTITUTE('Ingest Template'!X323,"https:",""),"www.",""),"/",""),"?hl=en",""),"instagram.com",""))</f>
        <v/>
      </c>
      <c r="W323" s="74" t="str">
        <f t="array" ref="W323">IF(
'Ingest Template'!Y323="",
SUBSTITUTE(
INDEX(DropdownLists!$F$2:$F$277,MATCH('Ingest Template'!D323,DropdownLists!$C$2:$C$277,0)),
CHAR(10),
"|"&amp;'Ingest Template'!C323&amp;CHAR(10)
)&amp;"|"&amp;'Ingest Template'!C323,
SUBSTITUTE(
INDEX(DropdownLists!$F$2:$F$277,MATCH('Ingest Template'!D323,DropdownLists!$C$2:$C$277,0)),
CHAR(10),
"|"&amp;'Ingest Template'!C323&amp;CHAR(10)
)&amp;"|"&amp;'Ingest Template'!C323&amp;CHAR(10)&amp;'Ingest Template'!Y323
)</f>
        <v>#N/A</v>
      </c>
      <c r="X323" s="74" t="str">
        <f>'Ingest Template'!Z323</f>
        <v/>
      </c>
      <c r="Y323" s="35" t="str">
        <f>SUBSTITUTE(SUBSTITUTE(SUBSTITUTE('Ingest Template'!AA323,"http:",""),"https:",""),"/","")</f>
        <v/>
      </c>
      <c r="Z323" s="35" t="str">
        <f t="array" ref="Z323">IF('Ingest Template'!A323="Standard",(IF(ISBLANK('Ingest Template'!AB323),"", 'Ingest Template'!AB323&amp;"|DAR")),(IF(ISBLANK('Ingest Template'!AB323),"", 'Ingest Template'!AB323&amp;"|TV Ops")))</f>
        <v/>
      </c>
      <c r="AA323" s="35"/>
      <c r="AB323" s="35" t="str">
        <f>'Ingest Template'!R323</f>
        <v/>
      </c>
      <c r="AC323" s="35" t="str">
        <f>'Ingest Template'!T323</f>
        <v/>
      </c>
      <c r="AD323" s="35" t="str">
        <f>'Ingest Template'!S323</f>
        <v/>
      </c>
      <c r="AE323" s="35" t="str">
        <f>'Ingest Template'!U323</f>
        <v/>
      </c>
      <c r="AF323" s="22"/>
      <c r="AG323" s="35" t="str">
        <f t="array" ref="AG323">IF('Ingest Template'!A323="Standard",(CONCATENATE(IF(ISBLANK('Ingest Template'!N323),"", 'Ingest Template'!N323&amp;"|DAR"),CHAR(10), IF(ISBLANK('Ingest Template'!O323),"", 'Ingest Template'!O323&amp;"|DAR"),CHAR(10), IF(ISBLANK('Ingest Template'!P323),"", 'Ingest Template'!P323&amp;"|DAR"))),(CONCATENATE(IF(ISBLANK('Ingest Template'!N323),"", 'Ingest Template'!N323&amp;"|TV Ops"),CHAR(10), IF(ISBLANK('Ingest Template'!O323),"", 'Ingest Template'!O323&amp;"|TV Ops"),CHAR(10), IF(ISBLANK('Ingest Template'!P323),"", 'Ingest Template'!P323&amp;"|TV Ops"))))</f>
        <v>
</v>
      </c>
      <c r="AH323" s="35"/>
      <c r="AI323" s="35"/>
      <c r="AJ323" s="117" t="str">
        <f>if('Ingest Template'!A323="Standard",(IF(OR('Ingest Template'!F323 = "Program Type - Special", 'Ingest Template'!F323 = "Program Type - Live Event"),'Ingest Template'!M323&amp; "|DAR|DAR|"&amp;TEXT('Ingest Template'!C323-3, "yyyy-mm-dd")&amp;"|"&amp;TEXT('Ingest Template'!C323+3, "yyyy-mm-dd"),'Ingest Template'!M323&amp; "|DAR|DAR|2021-01-01")),(IF(OR('Ingest Template'!F323 = "Program Type - Special", 'Ingest Template'!F323 = "Program Type - Live Event"),'Ingest Template'!M323&amp; "|Operations - Core Title|Operations - Core Title|"&amp;TEXT('Ingest Template'!C323-3, "yyyy-mm-dd")&amp;"|"&amp;TEXT('Ingest Template'!C323+3, "yyyy-mm-dd"),'Ingest Template'!M323&amp; "|Operations - Core Title|Operations - Core Title")))</f>
        <v>|Operations - Core Title|Operations - Core Title</v>
      </c>
      <c r="AK323" s="35"/>
      <c r="AL323" s="117" t="str">
        <f>if('Ingest Template'!A323="Standard",(IF(OR('Ingest Template'!F323 = "Program Type - Special", 'Ingest Template'!F323 = "Program Type - Live Event"),'Ingest Template'!Q323&amp;"|"&amp;TEXT('Ingest Template'!C323-3, "yyyy-mm-dd")&amp;"|"&amp;TEXT('Ingest Template'!C323+3, "yyyy-mm-dd"),'Ingest Template'!Q323&amp; "|2021-01-01")),(IF(OR('Ingest Template'!F323 = "Program Type - Special", 'Ingest Template'!F323 = "Program Type - Live Event"),'Ingest Template'!Q323&amp; "|"&amp;TEXT('Ingest Template'!C323-3, "yyyy-mm-dd")&amp;"|"&amp;TEXT('Ingest Template'!C323+3, "yyyy-mm-dd"),'Ingest Template'!Q323)))</f>
        <v/>
      </c>
      <c r="AM323" s="35" t="str">
        <f>'Ingest Template'!AC323</f>
        <v/>
      </c>
    </row>
    <row r="324">
      <c r="A324" s="15"/>
      <c r="B324" s="22" t="str">
        <f>'Ingest Template'!C324&amp;IF('Ingest Template'!A324 = "Standard", " - DAR","")</f>
        <v/>
      </c>
      <c r="C324" s="22" t="s">
        <v>83</v>
      </c>
      <c r="D324" s="22" t="str">
        <f t="array" ref="D324">CONCATENATE(INDEX(DropdownLists!$H$2:$H$11,MATCH(1,COUNTIF('Ingest Template'!E324,"*"&amp;DropdownLists!$I$2:$I$11&amp;"*"),0)),CHAR(10),'Ingest Template'!F324,CHAR(10),'Ingest Template'!G324,CHAR(10),VLOOKUP('Ingest Template'!D324,DropdownLists!C:D,2,FALSE))</f>
        <v>#N/A</v>
      </c>
      <c r="E324" s="22" t="str">
        <f>CONCATENATE('Ingest Template'!H324,CHAR(10),'Ingest Template'!I324,CHAR(10),'Ingest Template'!J324,CHAR(10))</f>
        <v>
</v>
      </c>
      <c r="F324" s="35" t="str">
        <f t="array" ref="F324">INDEX(DropdownLists!$O$2:$O$36,MATCH(1,COUNTIF(E324,"*"&amp;DropdownLists!$N$2:$N$36&amp;"*"),0))</f>
        <v/>
      </c>
      <c r="G324" s="35"/>
      <c r="H324" s="22" t="str">
        <f t="array" ref="H324">INDEX(DropdownLists!$E$2:$E$276,MATCH('Ingest Template'!D324,DropdownLists!$C$2:$C$276,0))</f>
        <v>#N/A</v>
      </c>
      <c r="I324" s="22"/>
      <c r="J324" s="22" t="str">
        <f t="array" ref="J324">iF('Ingest Template'!A324="Standard","Pristine Brand",INDEX(DropdownLists!$B$2:$B$246,MATCH('Ingest Template'!D324,DropdownLists!$C$2:$C$246,0)))</f>
        <v>#N/A</v>
      </c>
      <c r="K324" s="22" t="str">
        <f>iF('Ingest Template'!A324="Standard",'Ingest Template'!K324&amp;CHAR(10)&amp;'Ingest Template'!L324,"Competitive View")</f>
        <v>Competitive View</v>
      </c>
      <c r="L324" s="22" t="s">
        <v>95</v>
      </c>
      <c r="M324" s="45" t="str">
        <f>'Ingest Template'!B324</f>
        <v/>
      </c>
      <c r="N324" s="35"/>
      <c r="O324" s="35"/>
      <c r="P324" s="35"/>
      <c r="Q324" s="35"/>
      <c r="R324" s="35" t="str">
        <f>'Ingest Template'!D324</f>
        <v/>
      </c>
      <c r="S324" s="22" t="s">
        <v>101</v>
      </c>
      <c r="T324" s="35" t="str">
        <f>'Ingest Template'!V324</f>
        <v/>
      </c>
      <c r="U324" s="35" t="str">
        <f>'Ingest Template'!W324</f>
        <v/>
      </c>
      <c r="V324" s="35" t="str">
        <f>LOWER(SUBSTITUTE(SUBSTITUTE(SUBSTITUTE(SUBSTITUTE(SUBSTITUTE('Ingest Template'!X324,"https:",""),"www.",""),"/",""),"?hl=en",""),"instagram.com",""))</f>
        <v/>
      </c>
      <c r="W324" s="74" t="str">
        <f t="array" ref="W324">IF(
'Ingest Template'!Y324="",
SUBSTITUTE(
INDEX(DropdownLists!$F$2:$F$277,MATCH('Ingest Template'!D324,DropdownLists!$C$2:$C$277,0)),
CHAR(10),
"|"&amp;'Ingest Template'!C324&amp;CHAR(10)
)&amp;"|"&amp;'Ingest Template'!C324,
SUBSTITUTE(
INDEX(DropdownLists!$F$2:$F$277,MATCH('Ingest Template'!D324,DropdownLists!$C$2:$C$277,0)),
CHAR(10),
"|"&amp;'Ingest Template'!C324&amp;CHAR(10)
)&amp;"|"&amp;'Ingest Template'!C324&amp;CHAR(10)&amp;'Ingest Template'!Y324
)</f>
        <v>#N/A</v>
      </c>
      <c r="X324" s="74" t="str">
        <f>'Ingest Template'!Z324</f>
        <v/>
      </c>
      <c r="Y324" s="35" t="str">
        <f>SUBSTITUTE(SUBSTITUTE(SUBSTITUTE('Ingest Template'!AA324,"http:",""),"https:",""),"/","")</f>
        <v/>
      </c>
      <c r="Z324" s="35" t="str">
        <f t="array" ref="Z324">IF('Ingest Template'!A324="Standard",(IF(ISBLANK('Ingest Template'!AB324),"", 'Ingest Template'!AB324&amp;"|DAR")),(IF(ISBLANK('Ingest Template'!AB324),"", 'Ingest Template'!AB324&amp;"|TV Ops")))</f>
        <v/>
      </c>
      <c r="AA324" s="35"/>
      <c r="AB324" s="35" t="str">
        <f>'Ingest Template'!R324</f>
        <v/>
      </c>
      <c r="AC324" s="35" t="str">
        <f>'Ingest Template'!T324</f>
        <v/>
      </c>
      <c r="AD324" s="35" t="str">
        <f>'Ingest Template'!S324</f>
        <v/>
      </c>
      <c r="AE324" s="35" t="str">
        <f>'Ingest Template'!U324</f>
        <v/>
      </c>
      <c r="AF324" s="22"/>
      <c r="AG324" s="35" t="str">
        <f t="array" ref="AG324">IF('Ingest Template'!A324="Standard",(CONCATENATE(IF(ISBLANK('Ingest Template'!N324),"", 'Ingest Template'!N324&amp;"|DAR"),CHAR(10), IF(ISBLANK('Ingest Template'!O324),"", 'Ingest Template'!O324&amp;"|DAR"),CHAR(10), IF(ISBLANK('Ingest Template'!P324),"", 'Ingest Template'!P324&amp;"|DAR"))),(CONCATENATE(IF(ISBLANK('Ingest Template'!N324),"", 'Ingest Template'!N324&amp;"|TV Ops"),CHAR(10), IF(ISBLANK('Ingest Template'!O324),"", 'Ingest Template'!O324&amp;"|TV Ops"),CHAR(10), IF(ISBLANK('Ingest Template'!P324),"", 'Ingest Template'!P324&amp;"|TV Ops"))))</f>
        <v>
</v>
      </c>
      <c r="AH324" s="35"/>
      <c r="AI324" s="35"/>
      <c r="AJ324" s="117" t="str">
        <f>if('Ingest Template'!A324="Standard",(IF(OR('Ingest Template'!F324 = "Program Type - Special", 'Ingest Template'!F324 = "Program Type - Live Event"),'Ingest Template'!M324&amp; "|DAR|DAR|"&amp;TEXT('Ingest Template'!C324-3, "yyyy-mm-dd")&amp;"|"&amp;TEXT('Ingest Template'!C324+3, "yyyy-mm-dd"),'Ingest Template'!M324&amp; "|DAR|DAR|2021-01-01")),(IF(OR('Ingest Template'!F324 = "Program Type - Special", 'Ingest Template'!F324 = "Program Type - Live Event"),'Ingest Template'!M324&amp; "|Operations - Core Title|Operations - Core Title|"&amp;TEXT('Ingest Template'!C324-3, "yyyy-mm-dd")&amp;"|"&amp;TEXT('Ingest Template'!C324+3, "yyyy-mm-dd"),'Ingest Template'!M324&amp; "|Operations - Core Title|Operations - Core Title")))</f>
        <v>|Operations - Core Title|Operations - Core Title</v>
      </c>
      <c r="AK324" s="35"/>
      <c r="AL324" s="117" t="str">
        <f>if('Ingest Template'!A324="Standard",(IF(OR('Ingest Template'!F324 = "Program Type - Special", 'Ingest Template'!F324 = "Program Type - Live Event"),'Ingest Template'!Q324&amp;"|"&amp;TEXT('Ingest Template'!C324-3, "yyyy-mm-dd")&amp;"|"&amp;TEXT('Ingest Template'!C324+3, "yyyy-mm-dd"),'Ingest Template'!Q324&amp; "|2021-01-01")),(IF(OR('Ingest Template'!F324 = "Program Type - Special", 'Ingest Template'!F324 = "Program Type - Live Event"),'Ingest Template'!Q324&amp; "|"&amp;TEXT('Ingest Template'!C324-3, "yyyy-mm-dd")&amp;"|"&amp;TEXT('Ingest Template'!C324+3, "yyyy-mm-dd"),'Ingest Template'!Q324)))</f>
        <v/>
      </c>
      <c r="AM324" s="35" t="str">
        <f>'Ingest Template'!AC324</f>
        <v/>
      </c>
    </row>
    <row r="325">
      <c r="A325" s="15"/>
      <c r="B325" s="22" t="str">
        <f>'Ingest Template'!C325&amp;IF('Ingest Template'!A325 = "Standard", " - DAR","")</f>
        <v/>
      </c>
      <c r="C325" s="22" t="s">
        <v>83</v>
      </c>
      <c r="D325" s="22" t="str">
        <f t="array" ref="D325">CONCATENATE(INDEX(DropdownLists!$H$2:$H$11,MATCH(1,COUNTIF('Ingest Template'!E325,"*"&amp;DropdownLists!$I$2:$I$11&amp;"*"),0)),CHAR(10),'Ingest Template'!F325,CHAR(10),'Ingest Template'!G325,CHAR(10),VLOOKUP('Ingest Template'!D325,DropdownLists!C:D,2,FALSE))</f>
        <v>#N/A</v>
      </c>
      <c r="E325" s="22" t="str">
        <f>CONCATENATE('Ingest Template'!H325,CHAR(10),'Ingest Template'!I325,CHAR(10),'Ingest Template'!J325,CHAR(10))</f>
        <v>
</v>
      </c>
      <c r="F325" s="35" t="str">
        <f t="array" ref="F325">INDEX(DropdownLists!$O$2:$O$36,MATCH(1,COUNTIF(E325,"*"&amp;DropdownLists!$N$2:$N$36&amp;"*"),0))</f>
        <v/>
      </c>
      <c r="G325" s="35"/>
      <c r="H325" s="22" t="str">
        <f t="array" ref="H325">INDEX(DropdownLists!$E$2:$E$276,MATCH('Ingest Template'!D325,DropdownLists!$C$2:$C$276,0))</f>
        <v>#N/A</v>
      </c>
      <c r="I325" s="22"/>
      <c r="J325" s="22" t="str">
        <f t="array" ref="J325">iF('Ingest Template'!A325="Standard","Pristine Brand",INDEX(DropdownLists!$B$2:$B$246,MATCH('Ingest Template'!D325,DropdownLists!$C$2:$C$246,0)))</f>
        <v>#N/A</v>
      </c>
      <c r="K325" s="22" t="str">
        <f>iF('Ingest Template'!A325="Standard",'Ingest Template'!K325&amp;CHAR(10)&amp;'Ingest Template'!L325,"Competitive View")</f>
        <v>Competitive View</v>
      </c>
      <c r="L325" s="22" t="s">
        <v>95</v>
      </c>
      <c r="M325" s="45" t="str">
        <f>'Ingest Template'!B325</f>
        <v/>
      </c>
      <c r="N325" s="35"/>
      <c r="O325" s="35"/>
      <c r="P325" s="35"/>
      <c r="Q325" s="35"/>
      <c r="R325" s="35" t="str">
        <f>'Ingest Template'!D325</f>
        <v/>
      </c>
      <c r="S325" s="22" t="s">
        <v>101</v>
      </c>
      <c r="T325" s="35" t="str">
        <f>'Ingest Template'!V325</f>
        <v/>
      </c>
      <c r="U325" s="35" t="str">
        <f>'Ingest Template'!W325</f>
        <v/>
      </c>
      <c r="V325" s="35" t="str">
        <f>LOWER(SUBSTITUTE(SUBSTITUTE(SUBSTITUTE(SUBSTITUTE(SUBSTITUTE('Ingest Template'!X325,"https:",""),"www.",""),"/",""),"?hl=en",""),"instagram.com",""))</f>
        <v/>
      </c>
      <c r="W325" s="74" t="str">
        <f t="array" ref="W325">IF(
'Ingest Template'!Y325="",
SUBSTITUTE(
INDEX(DropdownLists!$F$2:$F$277,MATCH('Ingest Template'!D325,DropdownLists!$C$2:$C$277,0)),
CHAR(10),
"|"&amp;'Ingest Template'!C325&amp;CHAR(10)
)&amp;"|"&amp;'Ingest Template'!C325,
SUBSTITUTE(
INDEX(DropdownLists!$F$2:$F$277,MATCH('Ingest Template'!D325,DropdownLists!$C$2:$C$277,0)),
CHAR(10),
"|"&amp;'Ingest Template'!C325&amp;CHAR(10)
)&amp;"|"&amp;'Ingest Template'!C325&amp;CHAR(10)&amp;'Ingest Template'!Y325
)</f>
        <v>#N/A</v>
      </c>
      <c r="X325" s="74" t="str">
        <f>'Ingest Template'!Z325</f>
        <v/>
      </c>
      <c r="Y325" s="35" t="str">
        <f>SUBSTITUTE(SUBSTITUTE(SUBSTITUTE('Ingest Template'!AA325,"http:",""),"https:",""),"/","")</f>
        <v/>
      </c>
      <c r="Z325" s="35" t="str">
        <f t="array" ref="Z325">IF('Ingest Template'!A325="Standard",(IF(ISBLANK('Ingest Template'!AB325),"", 'Ingest Template'!AB325&amp;"|DAR")),(IF(ISBLANK('Ingest Template'!AB325),"", 'Ingest Template'!AB325&amp;"|TV Ops")))</f>
        <v/>
      </c>
      <c r="AA325" s="35"/>
      <c r="AB325" s="35" t="str">
        <f>'Ingest Template'!R325</f>
        <v/>
      </c>
      <c r="AC325" s="35" t="str">
        <f>'Ingest Template'!T325</f>
        <v/>
      </c>
      <c r="AD325" s="35" t="str">
        <f>'Ingest Template'!S325</f>
        <v/>
      </c>
      <c r="AE325" s="35" t="str">
        <f>'Ingest Template'!U325</f>
        <v/>
      </c>
      <c r="AF325" s="22"/>
      <c r="AG325" s="35" t="str">
        <f t="array" ref="AG325">IF('Ingest Template'!A325="Standard",(CONCATENATE(IF(ISBLANK('Ingest Template'!N325),"", 'Ingest Template'!N325&amp;"|DAR"),CHAR(10), IF(ISBLANK('Ingest Template'!O325),"", 'Ingest Template'!O325&amp;"|DAR"),CHAR(10), IF(ISBLANK('Ingest Template'!P325),"", 'Ingest Template'!P325&amp;"|DAR"))),(CONCATENATE(IF(ISBLANK('Ingest Template'!N325),"", 'Ingest Template'!N325&amp;"|TV Ops"),CHAR(10), IF(ISBLANK('Ingest Template'!O325),"", 'Ingest Template'!O325&amp;"|TV Ops"),CHAR(10), IF(ISBLANK('Ingest Template'!P325),"", 'Ingest Template'!P325&amp;"|TV Ops"))))</f>
        <v>
</v>
      </c>
      <c r="AH325" s="35"/>
      <c r="AI325" s="35"/>
      <c r="AJ325" s="117" t="str">
        <f>if('Ingest Template'!A325="Standard",(IF(OR('Ingest Template'!F325 = "Program Type - Special", 'Ingest Template'!F325 = "Program Type - Live Event"),'Ingest Template'!M325&amp; "|DAR|DAR|"&amp;TEXT('Ingest Template'!C325-3, "yyyy-mm-dd")&amp;"|"&amp;TEXT('Ingest Template'!C325+3, "yyyy-mm-dd"),'Ingest Template'!M325&amp; "|DAR|DAR|2021-01-01")),(IF(OR('Ingest Template'!F325 = "Program Type - Special", 'Ingest Template'!F325 = "Program Type - Live Event"),'Ingest Template'!M325&amp; "|Operations - Core Title|Operations - Core Title|"&amp;TEXT('Ingest Template'!C325-3, "yyyy-mm-dd")&amp;"|"&amp;TEXT('Ingest Template'!C325+3, "yyyy-mm-dd"),'Ingest Template'!M325&amp; "|Operations - Core Title|Operations - Core Title")))</f>
        <v>|Operations - Core Title|Operations - Core Title</v>
      </c>
      <c r="AK325" s="35"/>
      <c r="AL325" s="117" t="str">
        <f>if('Ingest Template'!A325="Standard",(IF(OR('Ingest Template'!F325 = "Program Type - Special", 'Ingest Template'!F325 = "Program Type - Live Event"),'Ingest Template'!Q325&amp;"|"&amp;TEXT('Ingest Template'!C325-3, "yyyy-mm-dd")&amp;"|"&amp;TEXT('Ingest Template'!C325+3, "yyyy-mm-dd"),'Ingest Template'!Q325&amp; "|2021-01-01")),(IF(OR('Ingest Template'!F325 = "Program Type - Special", 'Ingest Template'!F325 = "Program Type - Live Event"),'Ingest Template'!Q325&amp; "|"&amp;TEXT('Ingest Template'!C325-3, "yyyy-mm-dd")&amp;"|"&amp;TEXT('Ingest Template'!C325+3, "yyyy-mm-dd"),'Ingest Template'!Q325)))</f>
        <v/>
      </c>
      <c r="AM325" s="35" t="str">
        <f>'Ingest Template'!AC325</f>
        <v/>
      </c>
    </row>
    <row r="326">
      <c r="A326" s="15"/>
      <c r="B326" s="22" t="str">
        <f>'Ingest Template'!C326&amp;IF('Ingest Template'!A326 = "Standard", " - DAR","")</f>
        <v/>
      </c>
      <c r="C326" s="22" t="s">
        <v>83</v>
      </c>
      <c r="D326" s="22" t="str">
        <f t="array" ref="D326">CONCATENATE(INDEX(DropdownLists!$H$2:$H$11,MATCH(1,COUNTIF('Ingest Template'!E326,"*"&amp;DropdownLists!$I$2:$I$11&amp;"*"),0)),CHAR(10),'Ingest Template'!F326,CHAR(10),'Ingest Template'!G326,CHAR(10),VLOOKUP('Ingest Template'!D326,DropdownLists!C:D,2,FALSE))</f>
        <v>#N/A</v>
      </c>
      <c r="E326" s="22" t="str">
        <f>CONCATENATE('Ingest Template'!H326,CHAR(10),'Ingest Template'!I326,CHAR(10),'Ingest Template'!J326,CHAR(10))</f>
        <v>
</v>
      </c>
      <c r="F326" s="35" t="str">
        <f t="array" ref="F326">INDEX(DropdownLists!$O$2:$O$36,MATCH(1,COUNTIF(E326,"*"&amp;DropdownLists!$N$2:$N$36&amp;"*"),0))</f>
        <v/>
      </c>
      <c r="G326" s="35"/>
      <c r="H326" s="22" t="str">
        <f t="array" ref="H326">INDEX(DropdownLists!$E$2:$E$276,MATCH('Ingest Template'!D326,DropdownLists!$C$2:$C$276,0))</f>
        <v>#N/A</v>
      </c>
      <c r="I326" s="22"/>
      <c r="J326" s="22" t="str">
        <f t="array" ref="J326">iF('Ingest Template'!A326="Standard","Pristine Brand",INDEX(DropdownLists!$B$2:$B$246,MATCH('Ingest Template'!D326,DropdownLists!$C$2:$C$246,0)))</f>
        <v>#N/A</v>
      </c>
      <c r="K326" s="22" t="str">
        <f>iF('Ingest Template'!A326="Standard",'Ingest Template'!K326&amp;CHAR(10)&amp;'Ingest Template'!L326,"Competitive View")</f>
        <v>Competitive View</v>
      </c>
      <c r="L326" s="22" t="s">
        <v>95</v>
      </c>
      <c r="M326" s="45" t="str">
        <f>'Ingest Template'!B326</f>
        <v/>
      </c>
      <c r="N326" s="35"/>
      <c r="O326" s="35"/>
      <c r="P326" s="35"/>
      <c r="Q326" s="35"/>
      <c r="R326" s="35" t="str">
        <f>'Ingest Template'!D326</f>
        <v/>
      </c>
      <c r="S326" s="22" t="s">
        <v>101</v>
      </c>
      <c r="T326" s="35" t="str">
        <f>'Ingest Template'!V326</f>
        <v/>
      </c>
      <c r="U326" s="35" t="str">
        <f>'Ingest Template'!W326</f>
        <v/>
      </c>
      <c r="V326" s="35" t="str">
        <f>LOWER(SUBSTITUTE(SUBSTITUTE(SUBSTITUTE(SUBSTITUTE(SUBSTITUTE('Ingest Template'!X326,"https:",""),"www.",""),"/",""),"?hl=en",""),"instagram.com",""))</f>
        <v/>
      </c>
      <c r="W326" s="74" t="str">
        <f t="array" ref="W326">IF(
'Ingest Template'!Y326="",
SUBSTITUTE(
INDEX(DropdownLists!$F$2:$F$277,MATCH('Ingest Template'!D326,DropdownLists!$C$2:$C$277,0)),
CHAR(10),
"|"&amp;'Ingest Template'!C326&amp;CHAR(10)
)&amp;"|"&amp;'Ingest Template'!C326,
SUBSTITUTE(
INDEX(DropdownLists!$F$2:$F$277,MATCH('Ingest Template'!D326,DropdownLists!$C$2:$C$277,0)),
CHAR(10),
"|"&amp;'Ingest Template'!C326&amp;CHAR(10)
)&amp;"|"&amp;'Ingest Template'!C326&amp;CHAR(10)&amp;'Ingest Template'!Y326
)</f>
        <v>#N/A</v>
      </c>
      <c r="X326" s="74" t="str">
        <f>'Ingest Template'!Z326</f>
        <v/>
      </c>
      <c r="Y326" s="35" t="str">
        <f>SUBSTITUTE(SUBSTITUTE(SUBSTITUTE('Ingest Template'!AA326,"http:",""),"https:",""),"/","")</f>
        <v/>
      </c>
      <c r="Z326" s="35" t="str">
        <f t="array" ref="Z326">IF('Ingest Template'!A326="Standard",(IF(ISBLANK('Ingest Template'!AB326),"", 'Ingest Template'!AB326&amp;"|DAR")),(IF(ISBLANK('Ingest Template'!AB326),"", 'Ingest Template'!AB326&amp;"|TV Ops")))</f>
        <v/>
      </c>
      <c r="AA326" s="35"/>
      <c r="AB326" s="35" t="str">
        <f>'Ingest Template'!R326</f>
        <v/>
      </c>
      <c r="AC326" s="35" t="str">
        <f>'Ingest Template'!T326</f>
        <v/>
      </c>
      <c r="AD326" s="35" t="str">
        <f>'Ingest Template'!S326</f>
        <v/>
      </c>
      <c r="AE326" s="35" t="str">
        <f>'Ingest Template'!U326</f>
        <v/>
      </c>
      <c r="AF326" s="22"/>
      <c r="AG326" s="35" t="str">
        <f t="array" ref="AG326">IF('Ingest Template'!A326="Standard",(CONCATENATE(IF(ISBLANK('Ingest Template'!N326),"", 'Ingest Template'!N326&amp;"|DAR"),CHAR(10), IF(ISBLANK('Ingest Template'!O326),"", 'Ingest Template'!O326&amp;"|DAR"),CHAR(10), IF(ISBLANK('Ingest Template'!P326),"", 'Ingest Template'!P326&amp;"|DAR"))),(CONCATENATE(IF(ISBLANK('Ingest Template'!N326),"", 'Ingest Template'!N326&amp;"|TV Ops"),CHAR(10), IF(ISBLANK('Ingest Template'!O326),"", 'Ingest Template'!O326&amp;"|TV Ops"),CHAR(10), IF(ISBLANK('Ingest Template'!P326),"", 'Ingest Template'!P326&amp;"|TV Ops"))))</f>
        <v>
</v>
      </c>
      <c r="AH326" s="35"/>
      <c r="AI326" s="35"/>
      <c r="AJ326" s="117" t="str">
        <f>if('Ingest Template'!A326="Standard",(IF(OR('Ingest Template'!F326 = "Program Type - Special", 'Ingest Template'!F326 = "Program Type - Live Event"),'Ingest Template'!M326&amp; "|DAR|DAR|"&amp;TEXT('Ingest Template'!C326-3, "yyyy-mm-dd")&amp;"|"&amp;TEXT('Ingest Template'!C326+3, "yyyy-mm-dd"),'Ingest Template'!M326&amp; "|DAR|DAR|2021-01-01")),(IF(OR('Ingest Template'!F326 = "Program Type - Special", 'Ingest Template'!F326 = "Program Type - Live Event"),'Ingest Template'!M326&amp; "|Operations - Core Title|Operations - Core Title|"&amp;TEXT('Ingest Template'!C326-3, "yyyy-mm-dd")&amp;"|"&amp;TEXT('Ingest Template'!C326+3, "yyyy-mm-dd"),'Ingest Template'!M326&amp; "|Operations - Core Title|Operations - Core Title")))</f>
        <v>|Operations - Core Title|Operations - Core Title</v>
      </c>
      <c r="AK326" s="35"/>
      <c r="AL326" s="117" t="str">
        <f>if('Ingest Template'!A326="Standard",(IF(OR('Ingest Template'!F326 = "Program Type - Special", 'Ingest Template'!F326 = "Program Type - Live Event"),'Ingest Template'!Q326&amp;"|"&amp;TEXT('Ingest Template'!C326-3, "yyyy-mm-dd")&amp;"|"&amp;TEXT('Ingest Template'!C326+3, "yyyy-mm-dd"),'Ingest Template'!Q326&amp; "|2021-01-01")),(IF(OR('Ingest Template'!F326 = "Program Type - Special", 'Ingest Template'!F326 = "Program Type - Live Event"),'Ingest Template'!Q326&amp; "|"&amp;TEXT('Ingest Template'!C326-3, "yyyy-mm-dd")&amp;"|"&amp;TEXT('Ingest Template'!C326+3, "yyyy-mm-dd"),'Ingest Template'!Q326)))</f>
        <v/>
      </c>
      <c r="AM326" s="35" t="str">
        <f>'Ingest Template'!AC326</f>
        <v/>
      </c>
    </row>
    <row r="327">
      <c r="A327" s="15"/>
      <c r="B327" s="22" t="str">
        <f>'Ingest Template'!C327&amp;IF('Ingest Template'!A327 = "Standard", " - DAR","")</f>
        <v/>
      </c>
      <c r="C327" s="22" t="s">
        <v>83</v>
      </c>
      <c r="D327" s="22" t="str">
        <f t="array" ref="D327">CONCATENATE(INDEX(DropdownLists!$H$2:$H$11,MATCH(1,COUNTIF('Ingest Template'!E327,"*"&amp;DropdownLists!$I$2:$I$11&amp;"*"),0)),CHAR(10),'Ingest Template'!F327,CHAR(10),'Ingest Template'!G327,CHAR(10),VLOOKUP('Ingest Template'!D327,DropdownLists!C:D,2,FALSE))</f>
        <v>#N/A</v>
      </c>
      <c r="E327" s="22" t="str">
        <f>CONCATENATE('Ingest Template'!H327,CHAR(10),'Ingest Template'!I327,CHAR(10),'Ingest Template'!J327,CHAR(10))</f>
        <v>
</v>
      </c>
      <c r="F327" s="35" t="str">
        <f t="array" ref="F327">INDEX(DropdownLists!$O$2:$O$36,MATCH(1,COUNTIF(E327,"*"&amp;DropdownLists!$N$2:$N$36&amp;"*"),0))</f>
        <v/>
      </c>
      <c r="G327" s="35"/>
      <c r="H327" s="22" t="str">
        <f t="array" ref="H327">INDEX(DropdownLists!$E$2:$E$276,MATCH('Ingest Template'!D327,DropdownLists!$C$2:$C$276,0))</f>
        <v>#N/A</v>
      </c>
      <c r="I327" s="22"/>
      <c r="J327" s="22" t="str">
        <f t="array" ref="J327">iF('Ingest Template'!A327="Standard","Pristine Brand",INDEX(DropdownLists!$B$2:$B$246,MATCH('Ingest Template'!D327,DropdownLists!$C$2:$C$246,0)))</f>
        <v>#N/A</v>
      </c>
      <c r="K327" s="22" t="str">
        <f>iF('Ingest Template'!A327="Standard",'Ingest Template'!K327&amp;CHAR(10)&amp;'Ingest Template'!L327,"Competitive View")</f>
        <v>Competitive View</v>
      </c>
      <c r="L327" s="22" t="s">
        <v>95</v>
      </c>
      <c r="M327" s="45" t="str">
        <f>'Ingest Template'!B327</f>
        <v/>
      </c>
      <c r="N327" s="35"/>
      <c r="O327" s="35"/>
      <c r="P327" s="35"/>
      <c r="Q327" s="35"/>
      <c r="R327" s="35" t="str">
        <f>'Ingest Template'!D327</f>
        <v/>
      </c>
      <c r="S327" s="22" t="s">
        <v>101</v>
      </c>
      <c r="T327" s="35" t="str">
        <f>'Ingest Template'!V327</f>
        <v/>
      </c>
      <c r="U327" s="35" t="str">
        <f>'Ingest Template'!W327</f>
        <v/>
      </c>
      <c r="V327" s="35" t="str">
        <f>LOWER(SUBSTITUTE(SUBSTITUTE(SUBSTITUTE(SUBSTITUTE(SUBSTITUTE('Ingest Template'!X327,"https:",""),"www.",""),"/",""),"?hl=en",""),"instagram.com",""))</f>
        <v/>
      </c>
      <c r="W327" s="74" t="str">
        <f t="array" ref="W327">IF(
'Ingest Template'!Y327="",
SUBSTITUTE(
INDEX(DropdownLists!$F$2:$F$277,MATCH('Ingest Template'!D327,DropdownLists!$C$2:$C$277,0)),
CHAR(10),
"|"&amp;'Ingest Template'!C327&amp;CHAR(10)
)&amp;"|"&amp;'Ingest Template'!C327,
SUBSTITUTE(
INDEX(DropdownLists!$F$2:$F$277,MATCH('Ingest Template'!D327,DropdownLists!$C$2:$C$277,0)),
CHAR(10),
"|"&amp;'Ingest Template'!C327&amp;CHAR(10)
)&amp;"|"&amp;'Ingest Template'!C327&amp;CHAR(10)&amp;'Ingest Template'!Y327
)</f>
        <v>#N/A</v>
      </c>
      <c r="X327" s="74" t="str">
        <f>'Ingest Template'!Z327</f>
        <v/>
      </c>
      <c r="Y327" s="35" t="str">
        <f>SUBSTITUTE(SUBSTITUTE(SUBSTITUTE('Ingest Template'!AA327,"http:",""),"https:",""),"/","")</f>
        <v/>
      </c>
      <c r="Z327" s="35" t="str">
        <f t="array" ref="Z327">IF('Ingest Template'!A327="Standard",(IF(ISBLANK('Ingest Template'!AB327),"", 'Ingest Template'!AB327&amp;"|DAR")),(IF(ISBLANK('Ingest Template'!AB327),"", 'Ingest Template'!AB327&amp;"|TV Ops")))</f>
        <v/>
      </c>
      <c r="AA327" s="35"/>
      <c r="AB327" s="35" t="str">
        <f>'Ingest Template'!R327</f>
        <v/>
      </c>
      <c r="AC327" s="35" t="str">
        <f>'Ingest Template'!T327</f>
        <v/>
      </c>
      <c r="AD327" s="35" t="str">
        <f>'Ingest Template'!S327</f>
        <v/>
      </c>
      <c r="AE327" s="35" t="str">
        <f>'Ingest Template'!U327</f>
        <v/>
      </c>
      <c r="AF327" s="22"/>
      <c r="AG327" s="35" t="str">
        <f t="array" ref="AG327">IF('Ingest Template'!A327="Standard",(CONCATENATE(IF(ISBLANK('Ingest Template'!N327),"", 'Ingest Template'!N327&amp;"|DAR"),CHAR(10), IF(ISBLANK('Ingest Template'!O327),"", 'Ingest Template'!O327&amp;"|DAR"),CHAR(10), IF(ISBLANK('Ingest Template'!P327),"", 'Ingest Template'!P327&amp;"|DAR"))),(CONCATENATE(IF(ISBLANK('Ingest Template'!N327),"", 'Ingest Template'!N327&amp;"|TV Ops"),CHAR(10), IF(ISBLANK('Ingest Template'!O327),"", 'Ingest Template'!O327&amp;"|TV Ops"),CHAR(10), IF(ISBLANK('Ingest Template'!P327),"", 'Ingest Template'!P327&amp;"|TV Ops"))))</f>
        <v>
</v>
      </c>
      <c r="AH327" s="35"/>
      <c r="AI327" s="35"/>
      <c r="AJ327" s="117" t="str">
        <f>if('Ingest Template'!A327="Standard",(IF(OR('Ingest Template'!F327 = "Program Type - Special", 'Ingest Template'!F327 = "Program Type - Live Event"),'Ingest Template'!M327&amp; "|DAR|DAR|"&amp;TEXT('Ingest Template'!C327-3, "yyyy-mm-dd")&amp;"|"&amp;TEXT('Ingest Template'!C327+3, "yyyy-mm-dd"),'Ingest Template'!M327&amp; "|DAR|DAR|2021-01-01")),(IF(OR('Ingest Template'!F327 = "Program Type - Special", 'Ingest Template'!F327 = "Program Type - Live Event"),'Ingest Template'!M327&amp; "|Operations - Core Title|Operations - Core Title|"&amp;TEXT('Ingest Template'!C327-3, "yyyy-mm-dd")&amp;"|"&amp;TEXT('Ingest Template'!C327+3, "yyyy-mm-dd"),'Ingest Template'!M327&amp; "|Operations - Core Title|Operations - Core Title")))</f>
        <v>|Operations - Core Title|Operations - Core Title</v>
      </c>
      <c r="AK327" s="35"/>
      <c r="AL327" s="117" t="str">
        <f>if('Ingest Template'!A327="Standard",(IF(OR('Ingest Template'!F327 = "Program Type - Special", 'Ingest Template'!F327 = "Program Type - Live Event"),'Ingest Template'!Q327&amp;"|"&amp;TEXT('Ingest Template'!C327-3, "yyyy-mm-dd")&amp;"|"&amp;TEXT('Ingest Template'!C327+3, "yyyy-mm-dd"),'Ingest Template'!Q327&amp; "|2021-01-01")),(IF(OR('Ingest Template'!F327 = "Program Type - Special", 'Ingest Template'!F327 = "Program Type - Live Event"),'Ingest Template'!Q327&amp; "|"&amp;TEXT('Ingest Template'!C327-3, "yyyy-mm-dd")&amp;"|"&amp;TEXT('Ingest Template'!C327+3, "yyyy-mm-dd"),'Ingest Template'!Q327)))</f>
        <v/>
      </c>
      <c r="AM327" s="35" t="str">
        <f>'Ingest Template'!AC327</f>
        <v/>
      </c>
    </row>
    <row r="328">
      <c r="A328" s="15"/>
      <c r="B328" s="22" t="str">
        <f>'Ingest Template'!C328&amp;IF('Ingest Template'!A328 = "Standard", " - DAR","")</f>
        <v/>
      </c>
      <c r="C328" s="22" t="s">
        <v>83</v>
      </c>
      <c r="D328" s="22" t="str">
        <f t="array" ref="D328">CONCATENATE(INDEX(DropdownLists!$H$2:$H$11,MATCH(1,COUNTIF('Ingest Template'!E328,"*"&amp;DropdownLists!$I$2:$I$11&amp;"*"),0)),CHAR(10),'Ingest Template'!F328,CHAR(10),'Ingest Template'!G328,CHAR(10),VLOOKUP('Ingest Template'!D328,DropdownLists!C:D,2,FALSE))</f>
        <v>#N/A</v>
      </c>
      <c r="E328" s="22" t="str">
        <f>CONCATENATE('Ingest Template'!H328,CHAR(10),'Ingest Template'!I328,CHAR(10),'Ingest Template'!J328,CHAR(10))</f>
        <v>
</v>
      </c>
      <c r="F328" s="35" t="str">
        <f t="array" ref="F328">INDEX(DropdownLists!$O$2:$O$36,MATCH(1,COUNTIF(E328,"*"&amp;DropdownLists!$N$2:$N$36&amp;"*"),0))</f>
        <v/>
      </c>
      <c r="G328" s="35"/>
      <c r="H328" s="22" t="str">
        <f t="array" ref="H328">INDEX(DropdownLists!$E$2:$E$276,MATCH('Ingest Template'!D328,DropdownLists!$C$2:$C$276,0))</f>
        <v>#N/A</v>
      </c>
      <c r="I328" s="22"/>
      <c r="J328" s="22" t="str">
        <f t="array" ref="J328">iF('Ingest Template'!A328="Standard","Pristine Brand",INDEX(DropdownLists!$B$2:$B$246,MATCH('Ingest Template'!D328,DropdownLists!$C$2:$C$246,0)))</f>
        <v>#N/A</v>
      </c>
      <c r="K328" s="22" t="str">
        <f>iF('Ingest Template'!A328="Standard",'Ingest Template'!K328&amp;CHAR(10)&amp;'Ingest Template'!L328,"Competitive View")</f>
        <v>Competitive View</v>
      </c>
      <c r="L328" s="22" t="s">
        <v>95</v>
      </c>
      <c r="M328" s="45" t="str">
        <f>'Ingest Template'!B328</f>
        <v/>
      </c>
      <c r="N328" s="35"/>
      <c r="O328" s="35"/>
      <c r="P328" s="35"/>
      <c r="Q328" s="35"/>
      <c r="R328" s="35" t="str">
        <f>'Ingest Template'!D328</f>
        <v/>
      </c>
      <c r="S328" s="22" t="s">
        <v>101</v>
      </c>
      <c r="T328" s="35" t="str">
        <f>'Ingest Template'!V328</f>
        <v/>
      </c>
      <c r="U328" s="35" t="str">
        <f>'Ingest Template'!W328</f>
        <v/>
      </c>
      <c r="V328" s="35" t="str">
        <f>LOWER(SUBSTITUTE(SUBSTITUTE(SUBSTITUTE(SUBSTITUTE(SUBSTITUTE('Ingest Template'!X328,"https:",""),"www.",""),"/",""),"?hl=en",""),"instagram.com",""))</f>
        <v/>
      </c>
      <c r="W328" s="74" t="str">
        <f t="array" ref="W328">IF(
'Ingest Template'!Y328="",
SUBSTITUTE(
INDEX(DropdownLists!$F$2:$F$277,MATCH('Ingest Template'!D328,DropdownLists!$C$2:$C$277,0)),
CHAR(10),
"|"&amp;'Ingest Template'!C328&amp;CHAR(10)
)&amp;"|"&amp;'Ingest Template'!C328,
SUBSTITUTE(
INDEX(DropdownLists!$F$2:$F$277,MATCH('Ingest Template'!D328,DropdownLists!$C$2:$C$277,0)),
CHAR(10),
"|"&amp;'Ingest Template'!C328&amp;CHAR(10)
)&amp;"|"&amp;'Ingest Template'!C328&amp;CHAR(10)&amp;'Ingest Template'!Y328
)</f>
        <v>#N/A</v>
      </c>
      <c r="X328" s="74" t="str">
        <f>'Ingest Template'!Z328</f>
        <v/>
      </c>
      <c r="Y328" s="35" t="str">
        <f>SUBSTITUTE(SUBSTITUTE(SUBSTITUTE('Ingest Template'!AA328,"http:",""),"https:",""),"/","")</f>
        <v/>
      </c>
      <c r="Z328" s="35" t="str">
        <f t="array" ref="Z328">IF('Ingest Template'!A328="Standard",(IF(ISBLANK('Ingest Template'!AB328),"", 'Ingest Template'!AB328&amp;"|DAR")),(IF(ISBLANK('Ingest Template'!AB328),"", 'Ingest Template'!AB328&amp;"|TV Ops")))</f>
        <v/>
      </c>
      <c r="AA328" s="35"/>
      <c r="AB328" s="35" t="str">
        <f>'Ingest Template'!R328</f>
        <v/>
      </c>
      <c r="AC328" s="35" t="str">
        <f>'Ingest Template'!T328</f>
        <v/>
      </c>
      <c r="AD328" s="35" t="str">
        <f>'Ingest Template'!S328</f>
        <v/>
      </c>
      <c r="AE328" s="35" t="str">
        <f>'Ingest Template'!U328</f>
        <v/>
      </c>
      <c r="AF328" s="22"/>
      <c r="AG328" s="35" t="str">
        <f t="array" ref="AG328">IF('Ingest Template'!A328="Standard",(CONCATENATE(IF(ISBLANK('Ingest Template'!N328),"", 'Ingest Template'!N328&amp;"|DAR"),CHAR(10), IF(ISBLANK('Ingest Template'!O328),"", 'Ingest Template'!O328&amp;"|DAR"),CHAR(10), IF(ISBLANK('Ingest Template'!P328),"", 'Ingest Template'!P328&amp;"|DAR"))),(CONCATENATE(IF(ISBLANK('Ingest Template'!N328),"", 'Ingest Template'!N328&amp;"|TV Ops"),CHAR(10), IF(ISBLANK('Ingest Template'!O328),"", 'Ingest Template'!O328&amp;"|TV Ops"),CHAR(10), IF(ISBLANK('Ingest Template'!P328),"", 'Ingest Template'!P328&amp;"|TV Ops"))))</f>
        <v>
</v>
      </c>
      <c r="AH328" s="35"/>
      <c r="AI328" s="35"/>
      <c r="AJ328" s="117" t="str">
        <f>if('Ingest Template'!A328="Standard",(IF(OR('Ingest Template'!F328 = "Program Type - Special", 'Ingest Template'!F328 = "Program Type - Live Event"),'Ingest Template'!M328&amp; "|DAR|DAR|"&amp;TEXT('Ingest Template'!C328-3, "yyyy-mm-dd")&amp;"|"&amp;TEXT('Ingest Template'!C328+3, "yyyy-mm-dd"),'Ingest Template'!M328&amp; "|DAR|DAR|2021-01-01")),(IF(OR('Ingest Template'!F328 = "Program Type - Special", 'Ingest Template'!F328 = "Program Type - Live Event"),'Ingest Template'!M328&amp; "|Operations - Core Title|Operations - Core Title|"&amp;TEXT('Ingest Template'!C328-3, "yyyy-mm-dd")&amp;"|"&amp;TEXT('Ingest Template'!C328+3, "yyyy-mm-dd"),'Ingest Template'!M328&amp; "|Operations - Core Title|Operations - Core Title")))</f>
        <v>|Operations - Core Title|Operations - Core Title</v>
      </c>
      <c r="AK328" s="35"/>
      <c r="AL328" s="117" t="str">
        <f>if('Ingest Template'!A328="Standard",(IF(OR('Ingest Template'!F328 = "Program Type - Special", 'Ingest Template'!F328 = "Program Type - Live Event"),'Ingest Template'!Q328&amp;"|"&amp;TEXT('Ingest Template'!C328-3, "yyyy-mm-dd")&amp;"|"&amp;TEXT('Ingest Template'!C328+3, "yyyy-mm-dd"),'Ingest Template'!Q328&amp; "|2021-01-01")),(IF(OR('Ingest Template'!F328 = "Program Type - Special", 'Ingest Template'!F328 = "Program Type - Live Event"),'Ingest Template'!Q328&amp; "|"&amp;TEXT('Ingest Template'!C328-3, "yyyy-mm-dd")&amp;"|"&amp;TEXT('Ingest Template'!C328+3, "yyyy-mm-dd"),'Ingest Template'!Q328)))</f>
        <v/>
      </c>
      <c r="AM328" s="35" t="str">
        <f>'Ingest Template'!AC328</f>
        <v/>
      </c>
    </row>
    <row r="329">
      <c r="A329" s="15"/>
      <c r="B329" s="22" t="str">
        <f>'Ingest Template'!C329&amp;IF('Ingest Template'!A329 = "Standard", " - DAR","")</f>
        <v/>
      </c>
      <c r="C329" s="22" t="s">
        <v>83</v>
      </c>
      <c r="D329" s="22" t="str">
        <f t="array" ref="D329">CONCATENATE(INDEX(DropdownLists!$H$2:$H$11,MATCH(1,COUNTIF('Ingest Template'!E329,"*"&amp;DropdownLists!$I$2:$I$11&amp;"*"),0)),CHAR(10),'Ingest Template'!F329,CHAR(10),'Ingest Template'!G329,CHAR(10),VLOOKUP('Ingest Template'!D329,DropdownLists!C:D,2,FALSE))</f>
        <v>#N/A</v>
      </c>
      <c r="E329" s="22" t="str">
        <f>CONCATENATE('Ingest Template'!H329,CHAR(10),'Ingest Template'!I329,CHAR(10),'Ingest Template'!J329,CHAR(10))</f>
        <v>
</v>
      </c>
      <c r="F329" s="35" t="str">
        <f t="array" ref="F329">INDEX(DropdownLists!$O$2:$O$36,MATCH(1,COUNTIF(E329,"*"&amp;DropdownLists!$N$2:$N$36&amp;"*"),0))</f>
        <v/>
      </c>
      <c r="G329" s="35"/>
      <c r="H329" s="22" t="str">
        <f t="array" ref="H329">INDEX(DropdownLists!$E$2:$E$276,MATCH('Ingest Template'!D329,DropdownLists!$C$2:$C$276,0))</f>
        <v>#N/A</v>
      </c>
      <c r="I329" s="22"/>
      <c r="J329" s="22" t="str">
        <f t="array" ref="J329">iF('Ingest Template'!A329="Standard","Pristine Brand",INDEX(DropdownLists!$B$2:$B$246,MATCH('Ingest Template'!D329,DropdownLists!$C$2:$C$246,0)))</f>
        <v>#N/A</v>
      </c>
      <c r="K329" s="22" t="str">
        <f>iF('Ingest Template'!A329="Standard",'Ingest Template'!K329&amp;CHAR(10)&amp;'Ingest Template'!L329,"Competitive View")</f>
        <v>Competitive View</v>
      </c>
      <c r="L329" s="22" t="s">
        <v>95</v>
      </c>
      <c r="M329" s="45" t="str">
        <f>'Ingest Template'!B329</f>
        <v/>
      </c>
      <c r="N329" s="35"/>
      <c r="O329" s="35"/>
      <c r="P329" s="35"/>
      <c r="Q329" s="35"/>
      <c r="R329" s="35" t="str">
        <f>'Ingest Template'!D329</f>
        <v/>
      </c>
      <c r="S329" s="22" t="s">
        <v>101</v>
      </c>
      <c r="T329" s="35" t="str">
        <f>'Ingest Template'!V329</f>
        <v/>
      </c>
      <c r="U329" s="35" t="str">
        <f>'Ingest Template'!W329</f>
        <v/>
      </c>
      <c r="V329" s="35" t="str">
        <f>LOWER(SUBSTITUTE(SUBSTITUTE(SUBSTITUTE(SUBSTITUTE(SUBSTITUTE('Ingest Template'!X329,"https:",""),"www.",""),"/",""),"?hl=en",""),"instagram.com",""))</f>
        <v/>
      </c>
      <c r="W329" s="74" t="str">
        <f t="array" ref="W329">IF(
'Ingest Template'!Y329="",
SUBSTITUTE(
INDEX(DropdownLists!$F$2:$F$277,MATCH('Ingest Template'!D329,DropdownLists!$C$2:$C$277,0)),
CHAR(10),
"|"&amp;'Ingest Template'!C329&amp;CHAR(10)
)&amp;"|"&amp;'Ingest Template'!C329,
SUBSTITUTE(
INDEX(DropdownLists!$F$2:$F$277,MATCH('Ingest Template'!D329,DropdownLists!$C$2:$C$277,0)),
CHAR(10),
"|"&amp;'Ingest Template'!C329&amp;CHAR(10)
)&amp;"|"&amp;'Ingest Template'!C329&amp;CHAR(10)&amp;'Ingest Template'!Y329
)</f>
        <v>#N/A</v>
      </c>
      <c r="X329" s="74" t="str">
        <f>'Ingest Template'!Z329</f>
        <v/>
      </c>
      <c r="Y329" s="35" t="str">
        <f>SUBSTITUTE(SUBSTITUTE(SUBSTITUTE('Ingest Template'!AA329,"http:",""),"https:",""),"/","")</f>
        <v/>
      </c>
      <c r="Z329" s="35" t="str">
        <f t="array" ref="Z329">IF('Ingest Template'!A329="Standard",(IF(ISBLANK('Ingest Template'!AB329),"", 'Ingest Template'!AB329&amp;"|DAR")),(IF(ISBLANK('Ingest Template'!AB329),"", 'Ingest Template'!AB329&amp;"|TV Ops")))</f>
        <v/>
      </c>
      <c r="AA329" s="35"/>
      <c r="AB329" s="35" t="str">
        <f>'Ingest Template'!R329</f>
        <v/>
      </c>
      <c r="AC329" s="35" t="str">
        <f>'Ingest Template'!T329</f>
        <v/>
      </c>
      <c r="AD329" s="35" t="str">
        <f>'Ingest Template'!S329</f>
        <v/>
      </c>
      <c r="AE329" s="35" t="str">
        <f>'Ingest Template'!U329</f>
        <v/>
      </c>
      <c r="AF329" s="22"/>
      <c r="AG329" s="35" t="str">
        <f t="array" ref="AG329">IF('Ingest Template'!A329="Standard",(CONCATENATE(IF(ISBLANK('Ingest Template'!N329),"", 'Ingest Template'!N329&amp;"|DAR"),CHAR(10), IF(ISBLANK('Ingest Template'!O329),"", 'Ingest Template'!O329&amp;"|DAR"),CHAR(10), IF(ISBLANK('Ingest Template'!P329),"", 'Ingest Template'!P329&amp;"|DAR"))),(CONCATENATE(IF(ISBLANK('Ingest Template'!N329),"", 'Ingest Template'!N329&amp;"|TV Ops"),CHAR(10), IF(ISBLANK('Ingest Template'!O329),"", 'Ingest Template'!O329&amp;"|TV Ops"),CHAR(10), IF(ISBLANK('Ingest Template'!P329),"", 'Ingest Template'!P329&amp;"|TV Ops"))))</f>
        <v>
</v>
      </c>
      <c r="AH329" s="35"/>
      <c r="AI329" s="35"/>
      <c r="AJ329" s="117" t="str">
        <f>if('Ingest Template'!A329="Standard",(IF(OR('Ingest Template'!F329 = "Program Type - Special", 'Ingest Template'!F329 = "Program Type - Live Event"),'Ingest Template'!M329&amp; "|DAR|DAR|"&amp;TEXT('Ingest Template'!C329-3, "yyyy-mm-dd")&amp;"|"&amp;TEXT('Ingest Template'!C329+3, "yyyy-mm-dd"),'Ingest Template'!M329&amp; "|DAR|DAR|2021-01-01")),(IF(OR('Ingest Template'!F329 = "Program Type - Special", 'Ingest Template'!F329 = "Program Type - Live Event"),'Ingest Template'!M329&amp; "|Operations - Core Title|Operations - Core Title|"&amp;TEXT('Ingest Template'!C329-3, "yyyy-mm-dd")&amp;"|"&amp;TEXT('Ingest Template'!C329+3, "yyyy-mm-dd"),'Ingest Template'!M329&amp; "|Operations - Core Title|Operations - Core Title")))</f>
        <v>|Operations - Core Title|Operations - Core Title</v>
      </c>
      <c r="AK329" s="35"/>
      <c r="AL329" s="117" t="str">
        <f>if('Ingest Template'!A329="Standard",(IF(OR('Ingest Template'!F329 = "Program Type - Special", 'Ingest Template'!F329 = "Program Type - Live Event"),'Ingest Template'!Q329&amp;"|"&amp;TEXT('Ingest Template'!C329-3, "yyyy-mm-dd")&amp;"|"&amp;TEXT('Ingest Template'!C329+3, "yyyy-mm-dd"),'Ingest Template'!Q329&amp; "|2021-01-01")),(IF(OR('Ingest Template'!F329 = "Program Type - Special", 'Ingest Template'!F329 = "Program Type - Live Event"),'Ingest Template'!Q329&amp; "|"&amp;TEXT('Ingest Template'!C329-3, "yyyy-mm-dd")&amp;"|"&amp;TEXT('Ingest Template'!C329+3, "yyyy-mm-dd"),'Ingest Template'!Q329)))</f>
        <v/>
      </c>
      <c r="AM329" s="35" t="str">
        <f>'Ingest Template'!AC329</f>
        <v/>
      </c>
    </row>
    <row r="330">
      <c r="A330" s="15"/>
      <c r="B330" s="22" t="str">
        <f>'Ingest Template'!C330&amp;IF('Ingest Template'!A330 = "Standard", " - DAR","")</f>
        <v/>
      </c>
      <c r="C330" s="22" t="s">
        <v>83</v>
      </c>
      <c r="D330" s="22" t="str">
        <f t="array" ref="D330">CONCATENATE(INDEX(DropdownLists!$H$2:$H$11,MATCH(1,COUNTIF('Ingest Template'!E330,"*"&amp;DropdownLists!$I$2:$I$11&amp;"*"),0)),CHAR(10),'Ingest Template'!F330,CHAR(10),'Ingest Template'!G330,CHAR(10),VLOOKUP('Ingest Template'!D330,DropdownLists!C:D,2,FALSE))</f>
        <v>#N/A</v>
      </c>
      <c r="E330" s="22" t="str">
        <f>CONCATENATE('Ingest Template'!H330,CHAR(10),'Ingest Template'!I330,CHAR(10),'Ingest Template'!J330,CHAR(10))</f>
        <v>
</v>
      </c>
      <c r="F330" s="35" t="str">
        <f t="array" ref="F330">INDEX(DropdownLists!$O$2:$O$36,MATCH(1,COUNTIF(E330,"*"&amp;DropdownLists!$N$2:$N$36&amp;"*"),0))</f>
        <v/>
      </c>
      <c r="G330" s="35"/>
      <c r="H330" s="22" t="str">
        <f t="array" ref="H330">INDEX(DropdownLists!$E$2:$E$276,MATCH('Ingest Template'!D330,DropdownLists!$C$2:$C$276,0))</f>
        <v>#N/A</v>
      </c>
      <c r="I330" s="22"/>
      <c r="J330" s="22" t="str">
        <f t="array" ref="J330">iF('Ingest Template'!A330="Standard","Pristine Brand",INDEX(DropdownLists!$B$2:$B$246,MATCH('Ingest Template'!D330,DropdownLists!$C$2:$C$246,0)))</f>
        <v>#N/A</v>
      </c>
      <c r="K330" s="22" t="str">
        <f>iF('Ingest Template'!A330="Standard",'Ingest Template'!K330&amp;CHAR(10)&amp;'Ingest Template'!L330,"Competitive View")</f>
        <v>Competitive View</v>
      </c>
      <c r="L330" s="22" t="s">
        <v>95</v>
      </c>
      <c r="M330" s="45" t="str">
        <f>'Ingest Template'!B330</f>
        <v/>
      </c>
      <c r="N330" s="35"/>
      <c r="O330" s="35"/>
      <c r="P330" s="35"/>
      <c r="Q330" s="35"/>
      <c r="R330" s="35" t="str">
        <f>'Ingest Template'!D330</f>
        <v/>
      </c>
      <c r="S330" s="22" t="s">
        <v>101</v>
      </c>
      <c r="T330" s="35" t="str">
        <f>'Ingest Template'!V330</f>
        <v/>
      </c>
      <c r="U330" s="35" t="str">
        <f>'Ingest Template'!W330</f>
        <v/>
      </c>
      <c r="V330" s="35" t="str">
        <f>LOWER(SUBSTITUTE(SUBSTITUTE(SUBSTITUTE(SUBSTITUTE(SUBSTITUTE('Ingest Template'!X330,"https:",""),"www.",""),"/",""),"?hl=en",""),"instagram.com",""))</f>
        <v/>
      </c>
      <c r="W330" s="74" t="str">
        <f t="array" ref="W330">IF(
'Ingest Template'!Y330="",
SUBSTITUTE(
INDEX(DropdownLists!$F$2:$F$277,MATCH('Ingest Template'!D330,DropdownLists!$C$2:$C$277,0)),
CHAR(10),
"|"&amp;'Ingest Template'!C330&amp;CHAR(10)
)&amp;"|"&amp;'Ingest Template'!C330,
SUBSTITUTE(
INDEX(DropdownLists!$F$2:$F$277,MATCH('Ingest Template'!D330,DropdownLists!$C$2:$C$277,0)),
CHAR(10),
"|"&amp;'Ingest Template'!C330&amp;CHAR(10)
)&amp;"|"&amp;'Ingest Template'!C330&amp;CHAR(10)&amp;'Ingest Template'!Y330
)</f>
        <v>#N/A</v>
      </c>
      <c r="X330" s="74" t="str">
        <f>'Ingest Template'!Z330</f>
        <v/>
      </c>
      <c r="Y330" s="35" t="str">
        <f>SUBSTITUTE(SUBSTITUTE(SUBSTITUTE('Ingest Template'!AA330,"http:",""),"https:",""),"/","")</f>
        <v/>
      </c>
      <c r="Z330" s="35" t="str">
        <f t="array" ref="Z330">IF('Ingest Template'!A330="Standard",(IF(ISBLANK('Ingest Template'!AB330),"", 'Ingest Template'!AB330&amp;"|DAR")),(IF(ISBLANK('Ingest Template'!AB330),"", 'Ingest Template'!AB330&amp;"|TV Ops")))</f>
        <v/>
      </c>
      <c r="AA330" s="35"/>
      <c r="AB330" s="35" t="str">
        <f>'Ingest Template'!R330</f>
        <v/>
      </c>
      <c r="AC330" s="35" t="str">
        <f>'Ingest Template'!T330</f>
        <v/>
      </c>
      <c r="AD330" s="35" t="str">
        <f>'Ingest Template'!S330</f>
        <v/>
      </c>
      <c r="AE330" s="35" t="str">
        <f>'Ingest Template'!U330</f>
        <v/>
      </c>
      <c r="AF330" s="22"/>
      <c r="AG330" s="35" t="str">
        <f t="array" ref="AG330">IF('Ingest Template'!A330="Standard",(CONCATENATE(IF(ISBLANK('Ingest Template'!N330),"", 'Ingest Template'!N330&amp;"|DAR"),CHAR(10), IF(ISBLANK('Ingest Template'!O330),"", 'Ingest Template'!O330&amp;"|DAR"),CHAR(10), IF(ISBLANK('Ingest Template'!P330),"", 'Ingest Template'!P330&amp;"|DAR"))),(CONCATENATE(IF(ISBLANK('Ingest Template'!N330),"", 'Ingest Template'!N330&amp;"|TV Ops"),CHAR(10), IF(ISBLANK('Ingest Template'!O330),"", 'Ingest Template'!O330&amp;"|TV Ops"),CHAR(10), IF(ISBLANK('Ingest Template'!P330),"", 'Ingest Template'!P330&amp;"|TV Ops"))))</f>
        <v>
</v>
      </c>
      <c r="AH330" s="35"/>
      <c r="AI330" s="35"/>
      <c r="AJ330" s="117" t="str">
        <f>if('Ingest Template'!A330="Standard",(IF(OR('Ingest Template'!F330 = "Program Type - Special", 'Ingest Template'!F330 = "Program Type - Live Event"),'Ingest Template'!M330&amp; "|DAR|DAR|"&amp;TEXT('Ingest Template'!C330-3, "yyyy-mm-dd")&amp;"|"&amp;TEXT('Ingest Template'!C330+3, "yyyy-mm-dd"),'Ingest Template'!M330&amp; "|DAR|DAR|2021-01-01")),(IF(OR('Ingest Template'!F330 = "Program Type - Special", 'Ingest Template'!F330 = "Program Type - Live Event"),'Ingest Template'!M330&amp; "|Operations - Core Title|Operations - Core Title|"&amp;TEXT('Ingest Template'!C330-3, "yyyy-mm-dd")&amp;"|"&amp;TEXT('Ingest Template'!C330+3, "yyyy-mm-dd"),'Ingest Template'!M330&amp; "|Operations - Core Title|Operations - Core Title")))</f>
        <v>|Operations - Core Title|Operations - Core Title</v>
      </c>
      <c r="AK330" s="35"/>
      <c r="AL330" s="117" t="str">
        <f>if('Ingest Template'!A330="Standard",(IF(OR('Ingest Template'!F330 = "Program Type - Special", 'Ingest Template'!F330 = "Program Type - Live Event"),'Ingest Template'!Q330&amp;"|"&amp;TEXT('Ingest Template'!C330-3, "yyyy-mm-dd")&amp;"|"&amp;TEXT('Ingest Template'!C330+3, "yyyy-mm-dd"),'Ingest Template'!Q330&amp; "|2021-01-01")),(IF(OR('Ingest Template'!F330 = "Program Type - Special", 'Ingest Template'!F330 = "Program Type - Live Event"),'Ingest Template'!Q330&amp; "|"&amp;TEXT('Ingest Template'!C330-3, "yyyy-mm-dd")&amp;"|"&amp;TEXT('Ingest Template'!C330+3, "yyyy-mm-dd"),'Ingest Template'!Q330)))</f>
        <v/>
      </c>
      <c r="AM330" s="35" t="str">
        <f>'Ingest Template'!AC330</f>
        <v/>
      </c>
    </row>
    <row r="331">
      <c r="A331" s="15"/>
      <c r="B331" s="22" t="str">
        <f>'Ingest Template'!C331&amp;IF('Ingest Template'!A331 = "Standard", " - DAR","")</f>
        <v/>
      </c>
      <c r="C331" s="22" t="s">
        <v>83</v>
      </c>
      <c r="D331" s="22" t="str">
        <f t="array" ref="D331">CONCATENATE(INDEX(DropdownLists!$H$2:$H$11,MATCH(1,COUNTIF('Ingest Template'!E331,"*"&amp;DropdownLists!$I$2:$I$11&amp;"*"),0)),CHAR(10),'Ingest Template'!F331,CHAR(10),'Ingest Template'!G331,CHAR(10),VLOOKUP('Ingest Template'!D331,DropdownLists!C:D,2,FALSE))</f>
        <v>#N/A</v>
      </c>
      <c r="E331" s="22" t="str">
        <f>CONCATENATE('Ingest Template'!H331,CHAR(10),'Ingest Template'!I331,CHAR(10),'Ingest Template'!J331,CHAR(10))</f>
        <v>
</v>
      </c>
      <c r="F331" s="35" t="str">
        <f t="array" ref="F331">INDEX(DropdownLists!$O$2:$O$36,MATCH(1,COUNTIF(E331,"*"&amp;DropdownLists!$N$2:$N$36&amp;"*"),0))</f>
        <v/>
      </c>
      <c r="G331" s="35"/>
      <c r="H331" s="22" t="str">
        <f t="array" ref="H331">INDEX(DropdownLists!$E$2:$E$276,MATCH('Ingest Template'!D331,DropdownLists!$C$2:$C$276,0))</f>
        <v>#N/A</v>
      </c>
      <c r="I331" s="22"/>
      <c r="J331" s="22" t="str">
        <f t="array" ref="J331">iF('Ingest Template'!A331="Standard","Pristine Brand",INDEX(DropdownLists!$B$2:$B$246,MATCH('Ingest Template'!D331,DropdownLists!$C$2:$C$246,0)))</f>
        <v>#N/A</v>
      </c>
      <c r="K331" s="22" t="str">
        <f>iF('Ingest Template'!A331="Standard",'Ingest Template'!K331&amp;CHAR(10)&amp;'Ingest Template'!L331,"Competitive View")</f>
        <v>Competitive View</v>
      </c>
      <c r="L331" s="22" t="s">
        <v>95</v>
      </c>
      <c r="M331" s="45" t="str">
        <f>'Ingest Template'!B331</f>
        <v/>
      </c>
      <c r="N331" s="35"/>
      <c r="O331" s="35"/>
      <c r="P331" s="35"/>
      <c r="Q331" s="35"/>
      <c r="R331" s="35" t="str">
        <f>'Ingest Template'!D331</f>
        <v/>
      </c>
      <c r="S331" s="22" t="s">
        <v>101</v>
      </c>
      <c r="T331" s="35" t="str">
        <f>'Ingest Template'!V331</f>
        <v/>
      </c>
      <c r="U331" s="35" t="str">
        <f>'Ingest Template'!W331</f>
        <v/>
      </c>
      <c r="V331" s="35" t="str">
        <f>LOWER(SUBSTITUTE(SUBSTITUTE(SUBSTITUTE(SUBSTITUTE(SUBSTITUTE('Ingest Template'!X331,"https:",""),"www.",""),"/",""),"?hl=en",""),"instagram.com",""))</f>
        <v/>
      </c>
      <c r="W331" s="74" t="str">
        <f t="array" ref="W331">IF(
'Ingest Template'!Y331="",
SUBSTITUTE(
INDEX(DropdownLists!$F$2:$F$277,MATCH('Ingest Template'!D331,DropdownLists!$C$2:$C$277,0)),
CHAR(10),
"|"&amp;'Ingest Template'!C331&amp;CHAR(10)
)&amp;"|"&amp;'Ingest Template'!C331,
SUBSTITUTE(
INDEX(DropdownLists!$F$2:$F$277,MATCH('Ingest Template'!D331,DropdownLists!$C$2:$C$277,0)),
CHAR(10),
"|"&amp;'Ingest Template'!C331&amp;CHAR(10)
)&amp;"|"&amp;'Ingest Template'!C331&amp;CHAR(10)&amp;'Ingest Template'!Y331
)</f>
        <v>#N/A</v>
      </c>
      <c r="X331" s="74" t="str">
        <f>'Ingest Template'!Z331</f>
        <v/>
      </c>
      <c r="Y331" s="35" t="str">
        <f>SUBSTITUTE(SUBSTITUTE(SUBSTITUTE('Ingest Template'!AA331,"http:",""),"https:",""),"/","")</f>
        <v/>
      </c>
      <c r="Z331" s="35" t="str">
        <f t="array" ref="Z331">IF('Ingest Template'!A331="Standard",(IF(ISBLANK('Ingest Template'!AB331),"", 'Ingest Template'!AB331&amp;"|DAR")),(IF(ISBLANK('Ingest Template'!AB331),"", 'Ingest Template'!AB331&amp;"|TV Ops")))</f>
        <v/>
      </c>
      <c r="AA331" s="35"/>
      <c r="AB331" s="35" t="str">
        <f>'Ingest Template'!R331</f>
        <v/>
      </c>
      <c r="AC331" s="35" t="str">
        <f>'Ingest Template'!T331</f>
        <v/>
      </c>
      <c r="AD331" s="35" t="str">
        <f>'Ingest Template'!S331</f>
        <v/>
      </c>
      <c r="AE331" s="35" t="str">
        <f>'Ingest Template'!U331</f>
        <v/>
      </c>
      <c r="AF331" s="22"/>
      <c r="AG331" s="35" t="str">
        <f t="array" ref="AG331">IF('Ingest Template'!A331="Standard",(CONCATENATE(IF(ISBLANK('Ingest Template'!N331),"", 'Ingest Template'!N331&amp;"|DAR"),CHAR(10), IF(ISBLANK('Ingest Template'!O331),"", 'Ingest Template'!O331&amp;"|DAR"),CHAR(10), IF(ISBLANK('Ingest Template'!P331),"", 'Ingest Template'!P331&amp;"|DAR"))),(CONCATENATE(IF(ISBLANK('Ingest Template'!N331),"", 'Ingest Template'!N331&amp;"|TV Ops"),CHAR(10), IF(ISBLANK('Ingest Template'!O331),"", 'Ingest Template'!O331&amp;"|TV Ops"),CHAR(10), IF(ISBLANK('Ingest Template'!P331),"", 'Ingest Template'!P331&amp;"|TV Ops"))))</f>
        <v>
</v>
      </c>
      <c r="AH331" s="35"/>
      <c r="AI331" s="35"/>
      <c r="AJ331" s="117" t="str">
        <f>if('Ingest Template'!A331="Standard",(IF(OR('Ingest Template'!F331 = "Program Type - Special", 'Ingest Template'!F331 = "Program Type - Live Event"),'Ingest Template'!M331&amp; "|DAR|DAR|"&amp;TEXT('Ingest Template'!C331-3, "yyyy-mm-dd")&amp;"|"&amp;TEXT('Ingest Template'!C331+3, "yyyy-mm-dd"),'Ingest Template'!M331&amp; "|DAR|DAR|2021-01-01")),(IF(OR('Ingest Template'!F331 = "Program Type - Special", 'Ingest Template'!F331 = "Program Type - Live Event"),'Ingest Template'!M331&amp; "|Operations - Core Title|Operations - Core Title|"&amp;TEXT('Ingest Template'!C331-3, "yyyy-mm-dd")&amp;"|"&amp;TEXT('Ingest Template'!C331+3, "yyyy-mm-dd"),'Ingest Template'!M331&amp; "|Operations - Core Title|Operations - Core Title")))</f>
        <v>|Operations - Core Title|Operations - Core Title</v>
      </c>
      <c r="AK331" s="35"/>
      <c r="AL331" s="117" t="str">
        <f>if('Ingest Template'!A331="Standard",(IF(OR('Ingest Template'!F331 = "Program Type - Special", 'Ingest Template'!F331 = "Program Type - Live Event"),'Ingest Template'!Q331&amp;"|"&amp;TEXT('Ingest Template'!C331-3, "yyyy-mm-dd")&amp;"|"&amp;TEXT('Ingest Template'!C331+3, "yyyy-mm-dd"),'Ingest Template'!Q331&amp; "|2021-01-01")),(IF(OR('Ingest Template'!F331 = "Program Type - Special", 'Ingest Template'!F331 = "Program Type - Live Event"),'Ingest Template'!Q331&amp; "|"&amp;TEXT('Ingest Template'!C331-3, "yyyy-mm-dd")&amp;"|"&amp;TEXT('Ingest Template'!C331+3, "yyyy-mm-dd"),'Ingest Template'!Q331)))</f>
        <v/>
      </c>
      <c r="AM331" s="35" t="str">
        <f>'Ingest Template'!AC331</f>
        <v/>
      </c>
    </row>
    <row r="332">
      <c r="A332" s="15"/>
      <c r="B332" s="22" t="str">
        <f>'Ingest Template'!C332&amp;IF('Ingest Template'!A332 = "Standard", " - DAR","")</f>
        <v/>
      </c>
      <c r="C332" s="22" t="s">
        <v>83</v>
      </c>
      <c r="D332" s="22" t="str">
        <f t="array" ref="D332">CONCATENATE(INDEX(DropdownLists!$H$2:$H$11,MATCH(1,COUNTIF('Ingest Template'!E332,"*"&amp;DropdownLists!$I$2:$I$11&amp;"*"),0)),CHAR(10),'Ingest Template'!F332,CHAR(10),'Ingest Template'!G332,CHAR(10),VLOOKUP('Ingest Template'!D332,DropdownLists!C:D,2,FALSE))</f>
        <v>#N/A</v>
      </c>
      <c r="E332" s="22" t="str">
        <f>CONCATENATE('Ingest Template'!H332,CHAR(10),'Ingest Template'!I332,CHAR(10),'Ingest Template'!J332,CHAR(10))</f>
        <v>
</v>
      </c>
      <c r="F332" s="35" t="str">
        <f t="array" ref="F332">INDEX(DropdownLists!$O$2:$O$36,MATCH(1,COUNTIF(E332,"*"&amp;DropdownLists!$N$2:$N$36&amp;"*"),0))</f>
        <v/>
      </c>
      <c r="G332" s="35"/>
      <c r="H332" s="22" t="str">
        <f t="array" ref="H332">INDEX(DropdownLists!$E$2:$E$276,MATCH('Ingest Template'!D332,DropdownLists!$C$2:$C$276,0))</f>
        <v>#N/A</v>
      </c>
      <c r="I332" s="22"/>
      <c r="J332" s="22" t="str">
        <f t="array" ref="J332">iF('Ingest Template'!A332="Standard","Pristine Brand",INDEX(DropdownLists!$B$2:$B$246,MATCH('Ingest Template'!D332,DropdownLists!$C$2:$C$246,0)))</f>
        <v>#N/A</v>
      </c>
      <c r="K332" s="22" t="str">
        <f>iF('Ingest Template'!A332="Standard",'Ingest Template'!K332&amp;CHAR(10)&amp;'Ingest Template'!L332,"Competitive View")</f>
        <v>Competitive View</v>
      </c>
      <c r="L332" s="22" t="s">
        <v>95</v>
      </c>
      <c r="M332" s="45" t="str">
        <f>'Ingest Template'!B332</f>
        <v/>
      </c>
      <c r="N332" s="35"/>
      <c r="O332" s="35"/>
      <c r="P332" s="35"/>
      <c r="Q332" s="35"/>
      <c r="R332" s="35" t="str">
        <f>'Ingest Template'!D332</f>
        <v/>
      </c>
      <c r="S332" s="22" t="s">
        <v>101</v>
      </c>
      <c r="T332" s="35" t="str">
        <f>'Ingest Template'!V332</f>
        <v/>
      </c>
      <c r="U332" s="35" t="str">
        <f>'Ingest Template'!W332</f>
        <v/>
      </c>
      <c r="V332" s="35" t="str">
        <f>LOWER(SUBSTITUTE(SUBSTITUTE(SUBSTITUTE(SUBSTITUTE(SUBSTITUTE('Ingest Template'!X332,"https:",""),"www.",""),"/",""),"?hl=en",""),"instagram.com",""))</f>
        <v/>
      </c>
      <c r="W332" s="74" t="str">
        <f t="array" ref="W332">IF(
'Ingest Template'!Y332="",
SUBSTITUTE(
INDEX(DropdownLists!$F$2:$F$277,MATCH('Ingest Template'!D332,DropdownLists!$C$2:$C$277,0)),
CHAR(10),
"|"&amp;'Ingest Template'!C332&amp;CHAR(10)
)&amp;"|"&amp;'Ingest Template'!C332,
SUBSTITUTE(
INDEX(DropdownLists!$F$2:$F$277,MATCH('Ingest Template'!D332,DropdownLists!$C$2:$C$277,0)),
CHAR(10),
"|"&amp;'Ingest Template'!C332&amp;CHAR(10)
)&amp;"|"&amp;'Ingest Template'!C332&amp;CHAR(10)&amp;'Ingest Template'!Y332
)</f>
        <v>#N/A</v>
      </c>
      <c r="X332" s="74" t="str">
        <f>'Ingest Template'!Z332</f>
        <v/>
      </c>
      <c r="Y332" s="35" t="str">
        <f>SUBSTITUTE(SUBSTITUTE(SUBSTITUTE('Ingest Template'!AA332,"http:",""),"https:",""),"/","")</f>
        <v/>
      </c>
      <c r="Z332" s="35" t="str">
        <f t="array" ref="Z332">IF('Ingest Template'!A332="Standard",(IF(ISBLANK('Ingest Template'!AB332),"", 'Ingest Template'!AB332&amp;"|DAR")),(IF(ISBLANK('Ingest Template'!AB332),"", 'Ingest Template'!AB332&amp;"|TV Ops")))</f>
        <v/>
      </c>
      <c r="AA332" s="35"/>
      <c r="AB332" s="35" t="str">
        <f>'Ingest Template'!R332</f>
        <v/>
      </c>
      <c r="AC332" s="35" t="str">
        <f>'Ingest Template'!T332</f>
        <v/>
      </c>
      <c r="AD332" s="35" t="str">
        <f>'Ingest Template'!S332</f>
        <v/>
      </c>
      <c r="AE332" s="35" t="str">
        <f>'Ingest Template'!U332</f>
        <v/>
      </c>
      <c r="AF332" s="22"/>
      <c r="AG332" s="35" t="str">
        <f t="array" ref="AG332">IF('Ingest Template'!A332="Standard",(CONCATENATE(IF(ISBLANK('Ingest Template'!N332),"", 'Ingest Template'!N332&amp;"|DAR"),CHAR(10), IF(ISBLANK('Ingest Template'!O332),"", 'Ingest Template'!O332&amp;"|DAR"),CHAR(10), IF(ISBLANK('Ingest Template'!P332),"", 'Ingest Template'!P332&amp;"|DAR"))),(CONCATENATE(IF(ISBLANK('Ingest Template'!N332),"", 'Ingest Template'!N332&amp;"|TV Ops"),CHAR(10), IF(ISBLANK('Ingest Template'!O332),"", 'Ingest Template'!O332&amp;"|TV Ops"),CHAR(10), IF(ISBLANK('Ingest Template'!P332),"", 'Ingest Template'!P332&amp;"|TV Ops"))))</f>
        <v>
</v>
      </c>
      <c r="AH332" s="35"/>
      <c r="AI332" s="35"/>
      <c r="AJ332" s="117" t="str">
        <f>if('Ingest Template'!A332="Standard",(IF(OR('Ingest Template'!F332 = "Program Type - Special", 'Ingest Template'!F332 = "Program Type - Live Event"),'Ingest Template'!M332&amp; "|DAR|DAR|"&amp;TEXT('Ingest Template'!C332-3, "yyyy-mm-dd")&amp;"|"&amp;TEXT('Ingest Template'!C332+3, "yyyy-mm-dd"),'Ingest Template'!M332&amp; "|DAR|DAR|2021-01-01")),(IF(OR('Ingest Template'!F332 = "Program Type - Special", 'Ingest Template'!F332 = "Program Type - Live Event"),'Ingest Template'!M332&amp; "|Operations - Core Title|Operations - Core Title|"&amp;TEXT('Ingest Template'!C332-3, "yyyy-mm-dd")&amp;"|"&amp;TEXT('Ingest Template'!C332+3, "yyyy-mm-dd"),'Ingest Template'!M332&amp; "|Operations - Core Title|Operations - Core Title")))</f>
        <v>|Operations - Core Title|Operations - Core Title</v>
      </c>
      <c r="AK332" s="35"/>
      <c r="AL332" s="117" t="str">
        <f>if('Ingest Template'!A332="Standard",(IF(OR('Ingest Template'!F332 = "Program Type - Special", 'Ingest Template'!F332 = "Program Type - Live Event"),'Ingest Template'!Q332&amp;"|"&amp;TEXT('Ingest Template'!C332-3, "yyyy-mm-dd")&amp;"|"&amp;TEXT('Ingest Template'!C332+3, "yyyy-mm-dd"),'Ingest Template'!Q332&amp; "|2021-01-01")),(IF(OR('Ingest Template'!F332 = "Program Type - Special", 'Ingest Template'!F332 = "Program Type - Live Event"),'Ingest Template'!Q332&amp; "|"&amp;TEXT('Ingest Template'!C332-3, "yyyy-mm-dd")&amp;"|"&amp;TEXT('Ingest Template'!C332+3, "yyyy-mm-dd"),'Ingest Template'!Q332)))</f>
        <v/>
      </c>
      <c r="AM332" s="35" t="str">
        <f>'Ingest Template'!AC332</f>
        <v/>
      </c>
    </row>
    <row r="333">
      <c r="A333" s="15"/>
      <c r="B333" s="22" t="str">
        <f>'Ingest Template'!C333&amp;IF('Ingest Template'!A333 = "Standard", " - DAR","")</f>
        <v/>
      </c>
      <c r="C333" s="22" t="s">
        <v>83</v>
      </c>
      <c r="D333" s="22" t="str">
        <f t="array" ref="D333">CONCATENATE(INDEX(DropdownLists!$H$2:$H$11,MATCH(1,COUNTIF('Ingest Template'!E333,"*"&amp;DropdownLists!$I$2:$I$11&amp;"*"),0)),CHAR(10),'Ingest Template'!F333,CHAR(10),'Ingest Template'!G333,CHAR(10),VLOOKUP('Ingest Template'!D333,DropdownLists!C:D,2,FALSE))</f>
        <v>#N/A</v>
      </c>
      <c r="E333" s="22" t="str">
        <f>CONCATENATE('Ingest Template'!H333,CHAR(10),'Ingest Template'!I333,CHAR(10),'Ingest Template'!J333,CHAR(10))</f>
        <v>
</v>
      </c>
      <c r="F333" s="35" t="str">
        <f t="array" ref="F333">INDEX(DropdownLists!$O$2:$O$36,MATCH(1,COUNTIF(E333,"*"&amp;DropdownLists!$N$2:$N$36&amp;"*"),0))</f>
        <v/>
      </c>
      <c r="G333" s="35"/>
      <c r="H333" s="22" t="str">
        <f t="array" ref="H333">INDEX(DropdownLists!$E$2:$E$276,MATCH('Ingest Template'!D333,DropdownLists!$C$2:$C$276,0))</f>
        <v>#N/A</v>
      </c>
      <c r="I333" s="22"/>
      <c r="J333" s="22" t="str">
        <f t="array" ref="J333">iF('Ingest Template'!A333="Standard","Pristine Brand",INDEX(DropdownLists!$B$2:$B$246,MATCH('Ingest Template'!D333,DropdownLists!$C$2:$C$246,0)))</f>
        <v>#N/A</v>
      </c>
      <c r="K333" s="22" t="str">
        <f>iF('Ingest Template'!A333="Standard",'Ingest Template'!K333&amp;CHAR(10)&amp;'Ingest Template'!L333,"Competitive View")</f>
        <v>Competitive View</v>
      </c>
      <c r="L333" s="22" t="s">
        <v>95</v>
      </c>
      <c r="M333" s="45" t="str">
        <f>'Ingest Template'!B333</f>
        <v/>
      </c>
      <c r="N333" s="35"/>
      <c r="O333" s="35"/>
      <c r="P333" s="35"/>
      <c r="Q333" s="35"/>
      <c r="R333" s="35" t="str">
        <f>'Ingest Template'!D333</f>
        <v/>
      </c>
      <c r="S333" s="22" t="s">
        <v>101</v>
      </c>
      <c r="T333" s="35" t="str">
        <f>'Ingest Template'!V333</f>
        <v/>
      </c>
      <c r="U333" s="35" t="str">
        <f>'Ingest Template'!W333</f>
        <v/>
      </c>
      <c r="V333" s="35" t="str">
        <f>LOWER(SUBSTITUTE(SUBSTITUTE(SUBSTITUTE(SUBSTITUTE(SUBSTITUTE('Ingest Template'!X333,"https:",""),"www.",""),"/",""),"?hl=en",""),"instagram.com",""))</f>
        <v/>
      </c>
      <c r="W333" s="74" t="str">
        <f t="array" ref="W333">IF(
'Ingest Template'!Y333="",
SUBSTITUTE(
INDEX(DropdownLists!$F$2:$F$277,MATCH('Ingest Template'!D333,DropdownLists!$C$2:$C$277,0)),
CHAR(10),
"|"&amp;'Ingest Template'!C333&amp;CHAR(10)
)&amp;"|"&amp;'Ingest Template'!C333,
SUBSTITUTE(
INDEX(DropdownLists!$F$2:$F$277,MATCH('Ingest Template'!D333,DropdownLists!$C$2:$C$277,0)),
CHAR(10),
"|"&amp;'Ingest Template'!C333&amp;CHAR(10)
)&amp;"|"&amp;'Ingest Template'!C333&amp;CHAR(10)&amp;'Ingest Template'!Y333
)</f>
        <v>#N/A</v>
      </c>
      <c r="X333" s="74" t="str">
        <f>'Ingest Template'!Z333</f>
        <v/>
      </c>
      <c r="Y333" s="35" t="str">
        <f>SUBSTITUTE(SUBSTITUTE(SUBSTITUTE('Ingest Template'!AA333,"http:",""),"https:",""),"/","")</f>
        <v/>
      </c>
      <c r="Z333" s="35" t="str">
        <f t="array" ref="Z333">IF('Ingest Template'!A333="Standard",(IF(ISBLANK('Ingest Template'!AB333),"", 'Ingest Template'!AB333&amp;"|DAR")),(IF(ISBLANK('Ingest Template'!AB333),"", 'Ingest Template'!AB333&amp;"|TV Ops")))</f>
        <v/>
      </c>
      <c r="AA333" s="35"/>
      <c r="AB333" s="35" t="str">
        <f>'Ingest Template'!R333</f>
        <v/>
      </c>
      <c r="AC333" s="35" t="str">
        <f>'Ingest Template'!T333</f>
        <v/>
      </c>
      <c r="AD333" s="35" t="str">
        <f>'Ingest Template'!S333</f>
        <v/>
      </c>
      <c r="AE333" s="35" t="str">
        <f>'Ingest Template'!U333</f>
        <v/>
      </c>
      <c r="AF333" s="22"/>
      <c r="AG333" s="35" t="str">
        <f t="array" ref="AG333">IF('Ingest Template'!A333="Standard",(CONCATENATE(IF(ISBLANK('Ingest Template'!N333),"", 'Ingest Template'!N333&amp;"|DAR"),CHAR(10), IF(ISBLANK('Ingest Template'!O333),"", 'Ingest Template'!O333&amp;"|DAR"),CHAR(10), IF(ISBLANK('Ingest Template'!P333),"", 'Ingest Template'!P333&amp;"|DAR"))),(CONCATENATE(IF(ISBLANK('Ingest Template'!N333),"", 'Ingest Template'!N333&amp;"|TV Ops"),CHAR(10), IF(ISBLANK('Ingest Template'!O333),"", 'Ingest Template'!O333&amp;"|TV Ops"),CHAR(10), IF(ISBLANK('Ingest Template'!P333),"", 'Ingest Template'!P333&amp;"|TV Ops"))))</f>
        <v>
</v>
      </c>
      <c r="AH333" s="35"/>
      <c r="AI333" s="35"/>
      <c r="AJ333" s="117" t="str">
        <f>if('Ingest Template'!A333="Standard",(IF(OR('Ingest Template'!F333 = "Program Type - Special", 'Ingest Template'!F333 = "Program Type - Live Event"),'Ingest Template'!M333&amp; "|DAR|DAR|"&amp;TEXT('Ingest Template'!C333-3, "yyyy-mm-dd")&amp;"|"&amp;TEXT('Ingest Template'!C333+3, "yyyy-mm-dd"),'Ingest Template'!M333&amp; "|DAR|DAR|2021-01-01")),(IF(OR('Ingest Template'!F333 = "Program Type - Special", 'Ingest Template'!F333 = "Program Type - Live Event"),'Ingest Template'!M333&amp; "|Operations - Core Title|Operations - Core Title|"&amp;TEXT('Ingest Template'!C333-3, "yyyy-mm-dd")&amp;"|"&amp;TEXT('Ingest Template'!C333+3, "yyyy-mm-dd"),'Ingest Template'!M333&amp; "|Operations - Core Title|Operations - Core Title")))</f>
        <v>|Operations - Core Title|Operations - Core Title</v>
      </c>
      <c r="AK333" s="35"/>
      <c r="AL333" s="117" t="str">
        <f>if('Ingest Template'!A333="Standard",(IF(OR('Ingest Template'!F333 = "Program Type - Special", 'Ingest Template'!F333 = "Program Type - Live Event"),'Ingest Template'!Q333&amp;"|"&amp;TEXT('Ingest Template'!C333-3, "yyyy-mm-dd")&amp;"|"&amp;TEXT('Ingest Template'!C333+3, "yyyy-mm-dd"),'Ingest Template'!Q333&amp; "|2021-01-01")),(IF(OR('Ingest Template'!F333 = "Program Type - Special", 'Ingest Template'!F333 = "Program Type - Live Event"),'Ingest Template'!Q333&amp; "|"&amp;TEXT('Ingest Template'!C333-3, "yyyy-mm-dd")&amp;"|"&amp;TEXT('Ingest Template'!C333+3, "yyyy-mm-dd"),'Ingest Template'!Q333)))</f>
        <v/>
      </c>
      <c r="AM333" s="35" t="str">
        <f>'Ingest Template'!AC333</f>
        <v/>
      </c>
    </row>
    <row r="334">
      <c r="A334" s="15"/>
      <c r="B334" s="22" t="str">
        <f>'Ingest Template'!C334&amp;IF('Ingest Template'!A334 = "Standard", " - DAR","")</f>
        <v/>
      </c>
      <c r="C334" s="22" t="s">
        <v>83</v>
      </c>
      <c r="D334" s="22" t="str">
        <f t="array" ref="D334">CONCATENATE(INDEX(DropdownLists!$H$2:$H$11,MATCH(1,COUNTIF('Ingest Template'!E334,"*"&amp;DropdownLists!$I$2:$I$11&amp;"*"),0)),CHAR(10),'Ingest Template'!F334,CHAR(10),'Ingest Template'!G334,CHAR(10),VLOOKUP('Ingest Template'!D334,DropdownLists!C:D,2,FALSE))</f>
        <v>#N/A</v>
      </c>
      <c r="E334" s="22" t="str">
        <f>CONCATENATE('Ingest Template'!H334,CHAR(10),'Ingest Template'!I334,CHAR(10),'Ingest Template'!J334,CHAR(10))</f>
        <v>
</v>
      </c>
      <c r="F334" s="35" t="str">
        <f t="array" ref="F334">INDEX(DropdownLists!$O$2:$O$36,MATCH(1,COUNTIF(E334,"*"&amp;DropdownLists!$N$2:$N$36&amp;"*"),0))</f>
        <v/>
      </c>
      <c r="G334" s="35"/>
      <c r="H334" s="22" t="str">
        <f t="array" ref="H334">INDEX(DropdownLists!$E$2:$E$276,MATCH('Ingest Template'!D334,DropdownLists!$C$2:$C$276,0))</f>
        <v>#N/A</v>
      </c>
      <c r="I334" s="22"/>
      <c r="J334" s="22" t="str">
        <f t="array" ref="J334">iF('Ingest Template'!A334="Standard","Pristine Brand",INDEX(DropdownLists!$B$2:$B$246,MATCH('Ingest Template'!D334,DropdownLists!$C$2:$C$246,0)))</f>
        <v>#N/A</v>
      </c>
      <c r="K334" s="22" t="str">
        <f>iF('Ingest Template'!A334="Standard",'Ingest Template'!K334&amp;CHAR(10)&amp;'Ingest Template'!L334,"Competitive View")</f>
        <v>Competitive View</v>
      </c>
      <c r="L334" s="22" t="s">
        <v>95</v>
      </c>
      <c r="M334" s="45" t="str">
        <f>'Ingest Template'!B334</f>
        <v/>
      </c>
      <c r="N334" s="35"/>
      <c r="O334" s="35"/>
      <c r="P334" s="35"/>
      <c r="Q334" s="35"/>
      <c r="R334" s="35" t="str">
        <f>'Ingest Template'!D334</f>
        <v/>
      </c>
      <c r="S334" s="22" t="s">
        <v>101</v>
      </c>
      <c r="T334" s="35" t="str">
        <f>'Ingest Template'!V334</f>
        <v/>
      </c>
      <c r="U334" s="35" t="str">
        <f>'Ingest Template'!W334</f>
        <v/>
      </c>
      <c r="V334" s="35" t="str">
        <f>LOWER(SUBSTITUTE(SUBSTITUTE(SUBSTITUTE(SUBSTITUTE(SUBSTITUTE('Ingest Template'!X334,"https:",""),"www.",""),"/",""),"?hl=en",""),"instagram.com",""))</f>
        <v/>
      </c>
      <c r="W334" s="74" t="str">
        <f t="array" ref="W334">IF(
'Ingest Template'!Y334="",
SUBSTITUTE(
INDEX(DropdownLists!$F$2:$F$277,MATCH('Ingest Template'!D334,DropdownLists!$C$2:$C$277,0)),
CHAR(10),
"|"&amp;'Ingest Template'!C334&amp;CHAR(10)
)&amp;"|"&amp;'Ingest Template'!C334,
SUBSTITUTE(
INDEX(DropdownLists!$F$2:$F$277,MATCH('Ingest Template'!D334,DropdownLists!$C$2:$C$277,0)),
CHAR(10),
"|"&amp;'Ingest Template'!C334&amp;CHAR(10)
)&amp;"|"&amp;'Ingest Template'!C334&amp;CHAR(10)&amp;'Ingest Template'!Y334
)</f>
        <v>#N/A</v>
      </c>
      <c r="X334" s="74" t="str">
        <f>'Ingest Template'!Z334</f>
        <v/>
      </c>
      <c r="Y334" s="35" t="str">
        <f>SUBSTITUTE(SUBSTITUTE(SUBSTITUTE('Ingest Template'!AA334,"http:",""),"https:",""),"/","")</f>
        <v/>
      </c>
      <c r="Z334" s="35" t="str">
        <f t="array" ref="Z334">IF('Ingest Template'!A334="Standard",(IF(ISBLANK('Ingest Template'!AB334),"", 'Ingest Template'!AB334&amp;"|DAR")),(IF(ISBLANK('Ingest Template'!AB334),"", 'Ingest Template'!AB334&amp;"|TV Ops")))</f>
        <v/>
      </c>
      <c r="AA334" s="35"/>
      <c r="AB334" s="35" t="str">
        <f>'Ingest Template'!R334</f>
        <v/>
      </c>
      <c r="AC334" s="35" t="str">
        <f>'Ingest Template'!T334</f>
        <v/>
      </c>
      <c r="AD334" s="35" t="str">
        <f>'Ingest Template'!S334</f>
        <v/>
      </c>
      <c r="AE334" s="35" t="str">
        <f>'Ingest Template'!U334</f>
        <v/>
      </c>
      <c r="AF334" s="22"/>
      <c r="AG334" s="35" t="str">
        <f t="array" ref="AG334">IF('Ingest Template'!A334="Standard",(CONCATENATE(IF(ISBLANK('Ingest Template'!N334),"", 'Ingest Template'!N334&amp;"|DAR"),CHAR(10), IF(ISBLANK('Ingest Template'!O334),"", 'Ingest Template'!O334&amp;"|DAR"),CHAR(10), IF(ISBLANK('Ingest Template'!P334),"", 'Ingest Template'!P334&amp;"|DAR"))),(CONCATENATE(IF(ISBLANK('Ingest Template'!N334),"", 'Ingest Template'!N334&amp;"|TV Ops"),CHAR(10), IF(ISBLANK('Ingest Template'!O334),"", 'Ingest Template'!O334&amp;"|TV Ops"),CHAR(10), IF(ISBLANK('Ingest Template'!P334),"", 'Ingest Template'!P334&amp;"|TV Ops"))))</f>
        <v>
</v>
      </c>
      <c r="AH334" s="35"/>
      <c r="AI334" s="35"/>
      <c r="AJ334" s="117" t="str">
        <f>if('Ingest Template'!A334="Standard",(IF(OR('Ingest Template'!F334 = "Program Type - Special", 'Ingest Template'!F334 = "Program Type - Live Event"),'Ingest Template'!M334&amp; "|DAR|DAR|"&amp;TEXT('Ingest Template'!C334-3, "yyyy-mm-dd")&amp;"|"&amp;TEXT('Ingest Template'!C334+3, "yyyy-mm-dd"),'Ingest Template'!M334&amp; "|DAR|DAR|2021-01-01")),(IF(OR('Ingest Template'!F334 = "Program Type - Special", 'Ingest Template'!F334 = "Program Type - Live Event"),'Ingest Template'!M334&amp; "|Operations - Core Title|Operations - Core Title|"&amp;TEXT('Ingest Template'!C334-3, "yyyy-mm-dd")&amp;"|"&amp;TEXT('Ingest Template'!C334+3, "yyyy-mm-dd"),'Ingest Template'!M334&amp; "|Operations - Core Title|Operations - Core Title")))</f>
        <v>|Operations - Core Title|Operations - Core Title</v>
      </c>
      <c r="AK334" s="35"/>
      <c r="AL334" s="117" t="str">
        <f>if('Ingest Template'!A334="Standard",(IF(OR('Ingest Template'!F334 = "Program Type - Special", 'Ingest Template'!F334 = "Program Type - Live Event"),'Ingest Template'!Q334&amp;"|"&amp;TEXT('Ingest Template'!C334-3, "yyyy-mm-dd")&amp;"|"&amp;TEXT('Ingest Template'!C334+3, "yyyy-mm-dd"),'Ingest Template'!Q334&amp; "|2021-01-01")),(IF(OR('Ingest Template'!F334 = "Program Type - Special", 'Ingest Template'!F334 = "Program Type - Live Event"),'Ingest Template'!Q334&amp; "|"&amp;TEXT('Ingest Template'!C334-3, "yyyy-mm-dd")&amp;"|"&amp;TEXT('Ingest Template'!C334+3, "yyyy-mm-dd"),'Ingest Template'!Q334)))</f>
        <v/>
      </c>
      <c r="AM334" s="35" t="str">
        <f>'Ingest Template'!AC334</f>
        <v/>
      </c>
    </row>
    <row r="335">
      <c r="A335" s="15"/>
      <c r="B335" s="22" t="str">
        <f>'Ingest Template'!C335&amp;IF('Ingest Template'!A335 = "Standard", " - DAR","")</f>
        <v/>
      </c>
      <c r="C335" s="22" t="s">
        <v>83</v>
      </c>
      <c r="D335" s="22" t="str">
        <f t="array" ref="D335">CONCATENATE(INDEX(DropdownLists!$H$2:$H$11,MATCH(1,COUNTIF('Ingest Template'!E335,"*"&amp;DropdownLists!$I$2:$I$11&amp;"*"),0)),CHAR(10),'Ingest Template'!F335,CHAR(10),'Ingest Template'!G335,CHAR(10),VLOOKUP('Ingest Template'!D335,DropdownLists!C:D,2,FALSE))</f>
        <v>#N/A</v>
      </c>
      <c r="E335" s="22" t="str">
        <f>CONCATENATE('Ingest Template'!H335,CHAR(10),'Ingest Template'!I335,CHAR(10),'Ingest Template'!J335,CHAR(10))</f>
        <v>
</v>
      </c>
      <c r="F335" s="35" t="str">
        <f t="array" ref="F335">INDEX(DropdownLists!$O$2:$O$36,MATCH(1,COUNTIF(E335,"*"&amp;DropdownLists!$N$2:$N$36&amp;"*"),0))</f>
        <v/>
      </c>
      <c r="G335" s="35"/>
      <c r="H335" s="22" t="str">
        <f t="array" ref="H335">INDEX(DropdownLists!$E$2:$E$276,MATCH('Ingest Template'!D335,DropdownLists!$C$2:$C$276,0))</f>
        <v>#N/A</v>
      </c>
      <c r="I335" s="22"/>
      <c r="J335" s="22" t="str">
        <f t="array" ref="J335">iF('Ingest Template'!A335="Standard","Pristine Brand",INDEX(DropdownLists!$B$2:$B$246,MATCH('Ingest Template'!D335,DropdownLists!$C$2:$C$246,0)))</f>
        <v>#N/A</v>
      </c>
      <c r="K335" s="22" t="str">
        <f>iF('Ingest Template'!A335="Standard",'Ingest Template'!K335&amp;CHAR(10)&amp;'Ingest Template'!L335,"Competitive View")</f>
        <v>Competitive View</v>
      </c>
      <c r="L335" s="22" t="s">
        <v>95</v>
      </c>
      <c r="M335" s="45" t="str">
        <f>'Ingest Template'!B335</f>
        <v/>
      </c>
      <c r="N335" s="35"/>
      <c r="O335" s="35"/>
      <c r="P335" s="35"/>
      <c r="Q335" s="35"/>
      <c r="R335" s="35" t="str">
        <f>'Ingest Template'!D335</f>
        <v/>
      </c>
      <c r="S335" s="22" t="s">
        <v>101</v>
      </c>
      <c r="T335" s="35" t="str">
        <f>'Ingest Template'!V335</f>
        <v/>
      </c>
      <c r="U335" s="35" t="str">
        <f>'Ingest Template'!W335</f>
        <v/>
      </c>
      <c r="V335" s="35" t="str">
        <f>LOWER(SUBSTITUTE(SUBSTITUTE(SUBSTITUTE(SUBSTITUTE(SUBSTITUTE('Ingest Template'!X335,"https:",""),"www.",""),"/",""),"?hl=en",""),"instagram.com",""))</f>
        <v/>
      </c>
      <c r="W335" s="74" t="str">
        <f t="array" ref="W335">IF(
'Ingest Template'!Y335="",
SUBSTITUTE(
INDEX(DropdownLists!$F$2:$F$277,MATCH('Ingest Template'!D335,DropdownLists!$C$2:$C$277,0)),
CHAR(10),
"|"&amp;'Ingest Template'!C335&amp;CHAR(10)
)&amp;"|"&amp;'Ingest Template'!C335,
SUBSTITUTE(
INDEX(DropdownLists!$F$2:$F$277,MATCH('Ingest Template'!D335,DropdownLists!$C$2:$C$277,0)),
CHAR(10),
"|"&amp;'Ingest Template'!C335&amp;CHAR(10)
)&amp;"|"&amp;'Ingest Template'!C335&amp;CHAR(10)&amp;'Ingest Template'!Y335
)</f>
        <v>#N/A</v>
      </c>
      <c r="X335" s="74" t="str">
        <f>'Ingest Template'!Z335</f>
        <v/>
      </c>
      <c r="Y335" s="35" t="str">
        <f>SUBSTITUTE(SUBSTITUTE(SUBSTITUTE('Ingest Template'!AA335,"http:",""),"https:",""),"/","")</f>
        <v/>
      </c>
      <c r="Z335" s="35" t="str">
        <f t="array" ref="Z335">IF('Ingest Template'!A335="Standard",(IF(ISBLANK('Ingest Template'!AB335),"", 'Ingest Template'!AB335&amp;"|DAR")),(IF(ISBLANK('Ingest Template'!AB335),"", 'Ingest Template'!AB335&amp;"|TV Ops")))</f>
        <v/>
      </c>
      <c r="AA335" s="35"/>
      <c r="AB335" s="35" t="str">
        <f>'Ingest Template'!R335</f>
        <v/>
      </c>
      <c r="AC335" s="35" t="str">
        <f>'Ingest Template'!T335</f>
        <v/>
      </c>
      <c r="AD335" s="35" t="str">
        <f>'Ingest Template'!S335</f>
        <v/>
      </c>
      <c r="AE335" s="35" t="str">
        <f>'Ingest Template'!U335</f>
        <v/>
      </c>
      <c r="AF335" s="22"/>
      <c r="AG335" s="35" t="str">
        <f t="array" ref="AG335">IF('Ingest Template'!A335="Standard",(CONCATENATE(IF(ISBLANK('Ingest Template'!N335),"", 'Ingest Template'!N335&amp;"|DAR"),CHAR(10), IF(ISBLANK('Ingest Template'!O335),"", 'Ingest Template'!O335&amp;"|DAR"),CHAR(10), IF(ISBLANK('Ingest Template'!P335),"", 'Ingest Template'!P335&amp;"|DAR"))),(CONCATENATE(IF(ISBLANK('Ingest Template'!N335),"", 'Ingest Template'!N335&amp;"|TV Ops"),CHAR(10), IF(ISBLANK('Ingest Template'!O335),"", 'Ingest Template'!O335&amp;"|TV Ops"),CHAR(10), IF(ISBLANK('Ingest Template'!P335),"", 'Ingest Template'!P335&amp;"|TV Ops"))))</f>
        <v>
</v>
      </c>
      <c r="AH335" s="35"/>
      <c r="AI335" s="35"/>
      <c r="AJ335" s="117" t="str">
        <f>if('Ingest Template'!A335="Standard",(IF(OR('Ingest Template'!F335 = "Program Type - Special", 'Ingest Template'!F335 = "Program Type - Live Event"),'Ingest Template'!M335&amp; "|DAR|DAR|"&amp;TEXT('Ingest Template'!C335-3, "yyyy-mm-dd")&amp;"|"&amp;TEXT('Ingest Template'!C335+3, "yyyy-mm-dd"),'Ingest Template'!M335&amp; "|DAR|DAR|2021-01-01")),(IF(OR('Ingest Template'!F335 = "Program Type - Special", 'Ingest Template'!F335 = "Program Type - Live Event"),'Ingest Template'!M335&amp; "|Operations - Core Title|Operations - Core Title|"&amp;TEXT('Ingest Template'!C335-3, "yyyy-mm-dd")&amp;"|"&amp;TEXT('Ingest Template'!C335+3, "yyyy-mm-dd"),'Ingest Template'!M335&amp; "|Operations - Core Title|Operations - Core Title")))</f>
        <v>|Operations - Core Title|Operations - Core Title</v>
      </c>
      <c r="AK335" s="35"/>
      <c r="AL335" s="117" t="str">
        <f>if('Ingest Template'!A335="Standard",(IF(OR('Ingest Template'!F335 = "Program Type - Special", 'Ingest Template'!F335 = "Program Type - Live Event"),'Ingest Template'!Q335&amp;"|"&amp;TEXT('Ingest Template'!C335-3, "yyyy-mm-dd")&amp;"|"&amp;TEXT('Ingest Template'!C335+3, "yyyy-mm-dd"),'Ingest Template'!Q335&amp; "|2021-01-01")),(IF(OR('Ingest Template'!F335 = "Program Type - Special", 'Ingest Template'!F335 = "Program Type - Live Event"),'Ingest Template'!Q335&amp; "|"&amp;TEXT('Ingest Template'!C335-3, "yyyy-mm-dd")&amp;"|"&amp;TEXT('Ingest Template'!C335+3, "yyyy-mm-dd"),'Ingest Template'!Q335)))</f>
        <v/>
      </c>
      <c r="AM335" s="35" t="str">
        <f>'Ingest Template'!AC335</f>
        <v/>
      </c>
    </row>
    <row r="336">
      <c r="A336" s="15"/>
      <c r="B336" s="22" t="str">
        <f>'Ingest Template'!C336&amp;IF('Ingest Template'!A336 = "Standard", " - DAR","")</f>
        <v/>
      </c>
      <c r="C336" s="22" t="s">
        <v>83</v>
      </c>
      <c r="D336" s="22" t="str">
        <f t="array" ref="D336">CONCATENATE(INDEX(DropdownLists!$H$2:$H$11,MATCH(1,COUNTIF('Ingest Template'!E336,"*"&amp;DropdownLists!$I$2:$I$11&amp;"*"),0)),CHAR(10),'Ingest Template'!F336,CHAR(10),'Ingest Template'!G336,CHAR(10),VLOOKUP('Ingest Template'!D336,DropdownLists!C:D,2,FALSE))</f>
        <v>#N/A</v>
      </c>
      <c r="E336" s="22" t="str">
        <f>CONCATENATE('Ingest Template'!H336,CHAR(10),'Ingest Template'!I336,CHAR(10),'Ingest Template'!J336,CHAR(10))</f>
        <v>
</v>
      </c>
      <c r="F336" s="35" t="str">
        <f t="array" ref="F336">INDEX(DropdownLists!$O$2:$O$36,MATCH(1,COUNTIF(E336,"*"&amp;DropdownLists!$N$2:$N$36&amp;"*"),0))</f>
        <v/>
      </c>
      <c r="G336" s="35"/>
      <c r="H336" s="22" t="str">
        <f t="array" ref="H336">INDEX(DropdownLists!$E$2:$E$276,MATCH('Ingest Template'!D336,DropdownLists!$C$2:$C$276,0))</f>
        <v>#N/A</v>
      </c>
      <c r="I336" s="22"/>
      <c r="J336" s="22" t="str">
        <f t="array" ref="J336">iF('Ingest Template'!A336="Standard","Pristine Brand",INDEX(DropdownLists!$B$2:$B$246,MATCH('Ingest Template'!D336,DropdownLists!$C$2:$C$246,0)))</f>
        <v>#N/A</v>
      </c>
      <c r="K336" s="22" t="str">
        <f>iF('Ingest Template'!A336="Standard",'Ingest Template'!K336&amp;CHAR(10)&amp;'Ingest Template'!L336,"Competitive View")</f>
        <v>Competitive View</v>
      </c>
      <c r="L336" s="22" t="s">
        <v>95</v>
      </c>
      <c r="M336" s="45" t="str">
        <f>'Ingest Template'!B336</f>
        <v/>
      </c>
      <c r="N336" s="35"/>
      <c r="O336" s="35"/>
      <c r="P336" s="35"/>
      <c r="Q336" s="35"/>
      <c r="R336" s="35" t="str">
        <f>'Ingest Template'!D336</f>
        <v/>
      </c>
      <c r="S336" s="22" t="s">
        <v>101</v>
      </c>
      <c r="T336" s="35" t="str">
        <f>'Ingest Template'!V336</f>
        <v/>
      </c>
      <c r="U336" s="35" t="str">
        <f>'Ingest Template'!W336</f>
        <v/>
      </c>
      <c r="V336" s="35" t="str">
        <f>LOWER(SUBSTITUTE(SUBSTITUTE(SUBSTITUTE(SUBSTITUTE(SUBSTITUTE('Ingest Template'!X336,"https:",""),"www.",""),"/",""),"?hl=en",""),"instagram.com",""))</f>
        <v/>
      </c>
      <c r="W336" s="74" t="str">
        <f t="array" ref="W336">IF(
'Ingest Template'!Y336="",
SUBSTITUTE(
INDEX(DropdownLists!$F$2:$F$277,MATCH('Ingest Template'!D336,DropdownLists!$C$2:$C$277,0)),
CHAR(10),
"|"&amp;'Ingest Template'!C336&amp;CHAR(10)
)&amp;"|"&amp;'Ingest Template'!C336,
SUBSTITUTE(
INDEX(DropdownLists!$F$2:$F$277,MATCH('Ingest Template'!D336,DropdownLists!$C$2:$C$277,0)),
CHAR(10),
"|"&amp;'Ingest Template'!C336&amp;CHAR(10)
)&amp;"|"&amp;'Ingest Template'!C336&amp;CHAR(10)&amp;'Ingest Template'!Y336
)</f>
        <v>#N/A</v>
      </c>
      <c r="X336" s="74" t="str">
        <f>'Ingest Template'!Z336</f>
        <v/>
      </c>
      <c r="Y336" s="35" t="str">
        <f>SUBSTITUTE(SUBSTITUTE(SUBSTITUTE('Ingest Template'!AA336,"http:",""),"https:",""),"/","")</f>
        <v/>
      </c>
      <c r="Z336" s="35" t="str">
        <f t="array" ref="Z336">IF('Ingest Template'!A336="Standard",(IF(ISBLANK('Ingest Template'!AB336),"", 'Ingest Template'!AB336&amp;"|DAR")),(IF(ISBLANK('Ingest Template'!AB336),"", 'Ingest Template'!AB336&amp;"|TV Ops")))</f>
        <v/>
      </c>
      <c r="AA336" s="35"/>
      <c r="AB336" s="35" t="str">
        <f>'Ingest Template'!R336</f>
        <v/>
      </c>
      <c r="AC336" s="35" t="str">
        <f>'Ingest Template'!T336</f>
        <v/>
      </c>
      <c r="AD336" s="35" t="str">
        <f>'Ingest Template'!S336</f>
        <v/>
      </c>
      <c r="AE336" s="35" t="str">
        <f>'Ingest Template'!U336</f>
        <v/>
      </c>
      <c r="AF336" s="22"/>
      <c r="AG336" s="35" t="str">
        <f t="array" ref="AG336">IF('Ingest Template'!A336="Standard",(CONCATENATE(IF(ISBLANK('Ingest Template'!N336),"", 'Ingest Template'!N336&amp;"|DAR"),CHAR(10), IF(ISBLANK('Ingest Template'!O336),"", 'Ingest Template'!O336&amp;"|DAR"),CHAR(10), IF(ISBLANK('Ingest Template'!P336),"", 'Ingest Template'!P336&amp;"|DAR"))),(CONCATENATE(IF(ISBLANK('Ingest Template'!N336),"", 'Ingest Template'!N336&amp;"|TV Ops"),CHAR(10), IF(ISBLANK('Ingest Template'!O336),"", 'Ingest Template'!O336&amp;"|TV Ops"),CHAR(10), IF(ISBLANK('Ingest Template'!P336),"", 'Ingest Template'!P336&amp;"|TV Ops"))))</f>
        <v>
</v>
      </c>
      <c r="AH336" s="35"/>
      <c r="AI336" s="35"/>
      <c r="AJ336" s="117" t="str">
        <f>if('Ingest Template'!A336="Standard",(IF(OR('Ingest Template'!F336 = "Program Type - Special", 'Ingest Template'!F336 = "Program Type - Live Event"),'Ingest Template'!M336&amp; "|DAR|DAR|"&amp;TEXT('Ingest Template'!C336-3, "yyyy-mm-dd")&amp;"|"&amp;TEXT('Ingest Template'!C336+3, "yyyy-mm-dd"),'Ingest Template'!M336&amp; "|DAR|DAR|2021-01-01")),(IF(OR('Ingest Template'!F336 = "Program Type - Special", 'Ingest Template'!F336 = "Program Type - Live Event"),'Ingest Template'!M336&amp; "|Operations - Core Title|Operations - Core Title|"&amp;TEXT('Ingest Template'!C336-3, "yyyy-mm-dd")&amp;"|"&amp;TEXT('Ingest Template'!C336+3, "yyyy-mm-dd"),'Ingest Template'!M336&amp; "|Operations - Core Title|Operations - Core Title")))</f>
        <v>|Operations - Core Title|Operations - Core Title</v>
      </c>
      <c r="AK336" s="35"/>
      <c r="AL336" s="117" t="str">
        <f>if('Ingest Template'!A336="Standard",(IF(OR('Ingest Template'!F336 = "Program Type - Special", 'Ingest Template'!F336 = "Program Type - Live Event"),'Ingest Template'!Q336&amp;"|"&amp;TEXT('Ingest Template'!C336-3, "yyyy-mm-dd")&amp;"|"&amp;TEXT('Ingest Template'!C336+3, "yyyy-mm-dd"),'Ingest Template'!Q336&amp; "|2021-01-01")),(IF(OR('Ingest Template'!F336 = "Program Type - Special", 'Ingest Template'!F336 = "Program Type - Live Event"),'Ingest Template'!Q336&amp; "|"&amp;TEXT('Ingest Template'!C336-3, "yyyy-mm-dd")&amp;"|"&amp;TEXT('Ingest Template'!C336+3, "yyyy-mm-dd"),'Ingest Template'!Q336)))</f>
        <v/>
      </c>
      <c r="AM336" s="35" t="str">
        <f>'Ingest Template'!AC336</f>
        <v/>
      </c>
    </row>
    <row r="337">
      <c r="A337" s="15"/>
      <c r="B337" s="22" t="str">
        <f>'Ingest Template'!C337&amp;IF('Ingest Template'!A337 = "Standard", " - DAR","")</f>
        <v/>
      </c>
      <c r="C337" s="22" t="s">
        <v>83</v>
      </c>
      <c r="D337" s="22" t="str">
        <f t="array" ref="D337">CONCATENATE(INDEX(DropdownLists!$H$2:$H$11,MATCH(1,COUNTIF('Ingest Template'!E337,"*"&amp;DropdownLists!$I$2:$I$11&amp;"*"),0)),CHAR(10),'Ingest Template'!F337,CHAR(10),'Ingest Template'!G337,CHAR(10),VLOOKUP('Ingest Template'!D337,DropdownLists!C:D,2,FALSE))</f>
        <v>#N/A</v>
      </c>
      <c r="E337" s="22" t="str">
        <f>CONCATENATE('Ingest Template'!H337,CHAR(10),'Ingest Template'!I337,CHAR(10),'Ingest Template'!J337,CHAR(10))</f>
        <v>
</v>
      </c>
      <c r="F337" s="35" t="str">
        <f t="array" ref="F337">INDEX(DropdownLists!$O$2:$O$36,MATCH(1,COUNTIF(E337,"*"&amp;DropdownLists!$N$2:$N$36&amp;"*"),0))</f>
        <v/>
      </c>
      <c r="G337" s="35"/>
      <c r="H337" s="22" t="str">
        <f t="array" ref="H337">INDEX(DropdownLists!$E$2:$E$276,MATCH('Ingest Template'!D337,DropdownLists!$C$2:$C$276,0))</f>
        <v>#N/A</v>
      </c>
      <c r="I337" s="22"/>
      <c r="J337" s="22" t="str">
        <f t="array" ref="J337">iF('Ingest Template'!A337="Standard","Pristine Brand",INDEX(DropdownLists!$B$2:$B$246,MATCH('Ingest Template'!D337,DropdownLists!$C$2:$C$246,0)))</f>
        <v>#N/A</v>
      </c>
      <c r="K337" s="22" t="str">
        <f>iF('Ingest Template'!A337="Standard",'Ingest Template'!K337&amp;CHAR(10)&amp;'Ingest Template'!L337,"Competitive View")</f>
        <v>Competitive View</v>
      </c>
      <c r="L337" s="22" t="s">
        <v>95</v>
      </c>
      <c r="M337" s="45" t="str">
        <f>'Ingest Template'!B337</f>
        <v/>
      </c>
      <c r="N337" s="35"/>
      <c r="O337" s="35"/>
      <c r="P337" s="35"/>
      <c r="Q337" s="35"/>
      <c r="R337" s="35" t="str">
        <f>'Ingest Template'!D337</f>
        <v/>
      </c>
      <c r="S337" s="22" t="s">
        <v>101</v>
      </c>
      <c r="T337" s="35" t="str">
        <f>'Ingest Template'!V337</f>
        <v/>
      </c>
      <c r="U337" s="35" t="str">
        <f>'Ingest Template'!W337</f>
        <v/>
      </c>
      <c r="V337" s="35" t="str">
        <f>LOWER(SUBSTITUTE(SUBSTITUTE(SUBSTITUTE(SUBSTITUTE(SUBSTITUTE('Ingest Template'!X337,"https:",""),"www.",""),"/",""),"?hl=en",""),"instagram.com",""))</f>
        <v/>
      </c>
      <c r="W337" s="74" t="str">
        <f t="array" ref="W337">IF(
'Ingest Template'!Y337="",
SUBSTITUTE(
INDEX(DropdownLists!$F$2:$F$277,MATCH('Ingest Template'!D337,DropdownLists!$C$2:$C$277,0)),
CHAR(10),
"|"&amp;'Ingest Template'!C337&amp;CHAR(10)
)&amp;"|"&amp;'Ingest Template'!C337,
SUBSTITUTE(
INDEX(DropdownLists!$F$2:$F$277,MATCH('Ingest Template'!D337,DropdownLists!$C$2:$C$277,0)),
CHAR(10),
"|"&amp;'Ingest Template'!C337&amp;CHAR(10)
)&amp;"|"&amp;'Ingest Template'!C337&amp;CHAR(10)&amp;'Ingest Template'!Y337
)</f>
        <v>#N/A</v>
      </c>
      <c r="X337" s="74" t="str">
        <f>'Ingest Template'!Z337</f>
        <v/>
      </c>
      <c r="Y337" s="35" t="str">
        <f>SUBSTITUTE(SUBSTITUTE(SUBSTITUTE('Ingest Template'!AA337,"http:",""),"https:",""),"/","")</f>
        <v/>
      </c>
      <c r="Z337" s="35" t="str">
        <f t="array" ref="Z337">IF('Ingest Template'!A337="Standard",(IF(ISBLANK('Ingest Template'!AB337),"", 'Ingest Template'!AB337&amp;"|DAR")),(IF(ISBLANK('Ingest Template'!AB337),"", 'Ingest Template'!AB337&amp;"|TV Ops")))</f>
        <v/>
      </c>
      <c r="AA337" s="35"/>
      <c r="AB337" s="35" t="str">
        <f>'Ingest Template'!R337</f>
        <v/>
      </c>
      <c r="AC337" s="35" t="str">
        <f>'Ingest Template'!T337</f>
        <v/>
      </c>
      <c r="AD337" s="35" t="str">
        <f>'Ingest Template'!S337</f>
        <v/>
      </c>
      <c r="AE337" s="35" t="str">
        <f>'Ingest Template'!U337</f>
        <v/>
      </c>
      <c r="AF337" s="22"/>
      <c r="AG337" s="35" t="str">
        <f t="array" ref="AG337">IF('Ingest Template'!A337="Standard",(CONCATENATE(IF(ISBLANK('Ingest Template'!N337),"", 'Ingest Template'!N337&amp;"|DAR"),CHAR(10), IF(ISBLANK('Ingest Template'!O337),"", 'Ingest Template'!O337&amp;"|DAR"),CHAR(10), IF(ISBLANK('Ingest Template'!P337),"", 'Ingest Template'!P337&amp;"|DAR"))),(CONCATENATE(IF(ISBLANK('Ingest Template'!N337),"", 'Ingest Template'!N337&amp;"|TV Ops"),CHAR(10), IF(ISBLANK('Ingest Template'!O337),"", 'Ingest Template'!O337&amp;"|TV Ops"),CHAR(10), IF(ISBLANK('Ingest Template'!P337),"", 'Ingest Template'!P337&amp;"|TV Ops"))))</f>
        <v>
</v>
      </c>
      <c r="AH337" s="35"/>
      <c r="AI337" s="35"/>
      <c r="AJ337" s="117" t="str">
        <f>if('Ingest Template'!A337="Standard",(IF(OR('Ingest Template'!F337 = "Program Type - Special", 'Ingest Template'!F337 = "Program Type - Live Event"),'Ingest Template'!M337&amp; "|DAR|DAR|"&amp;TEXT('Ingest Template'!C337-3, "yyyy-mm-dd")&amp;"|"&amp;TEXT('Ingest Template'!C337+3, "yyyy-mm-dd"),'Ingest Template'!M337&amp; "|DAR|DAR|2021-01-01")),(IF(OR('Ingest Template'!F337 = "Program Type - Special", 'Ingest Template'!F337 = "Program Type - Live Event"),'Ingest Template'!M337&amp; "|Operations - Core Title|Operations - Core Title|"&amp;TEXT('Ingest Template'!C337-3, "yyyy-mm-dd")&amp;"|"&amp;TEXT('Ingest Template'!C337+3, "yyyy-mm-dd"),'Ingest Template'!M337&amp; "|Operations - Core Title|Operations - Core Title")))</f>
        <v>|Operations - Core Title|Operations - Core Title</v>
      </c>
      <c r="AK337" s="35"/>
      <c r="AL337" s="117" t="str">
        <f>if('Ingest Template'!A337="Standard",(IF(OR('Ingest Template'!F337 = "Program Type - Special", 'Ingest Template'!F337 = "Program Type - Live Event"),'Ingest Template'!Q337&amp;"|"&amp;TEXT('Ingest Template'!C337-3, "yyyy-mm-dd")&amp;"|"&amp;TEXT('Ingest Template'!C337+3, "yyyy-mm-dd"),'Ingest Template'!Q337&amp; "|2021-01-01")),(IF(OR('Ingest Template'!F337 = "Program Type - Special", 'Ingest Template'!F337 = "Program Type - Live Event"),'Ingest Template'!Q337&amp; "|"&amp;TEXT('Ingest Template'!C337-3, "yyyy-mm-dd")&amp;"|"&amp;TEXT('Ingest Template'!C337+3, "yyyy-mm-dd"),'Ingest Template'!Q337)))</f>
        <v/>
      </c>
      <c r="AM337" s="35" t="str">
        <f>'Ingest Template'!AC337</f>
        <v/>
      </c>
    </row>
    <row r="338">
      <c r="A338" s="15"/>
      <c r="B338" s="22" t="str">
        <f>'Ingest Template'!C338&amp;IF('Ingest Template'!A338 = "Standard", " - DAR","")</f>
        <v/>
      </c>
      <c r="C338" s="22" t="s">
        <v>83</v>
      </c>
      <c r="D338" s="22" t="str">
        <f t="array" ref="D338">CONCATENATE(INDEX(DropdownLists!$H$2:$H$11,MATCH(1,COUNTIF('Ingest Template'!E338,"*"&amp;DropdownLists!$I$2:$I$11&amp;"*"),0)),CHAR(10),'Ingest Template'!F338,CHAR(10),'Ingest Template'!G338,CHAR(10),VLOOKUP('Ingest Template'!D338,DropdownLists!C:D,2,FALSE))</f>
        <v>#N/A</v>
      </c>
      <c r="E338" s="22" t="str">
        <f>CONCATENATE('Ingest Template'!H338,CHAR(10),'Ingest Template'!I338,CHAR(10),'Ingest Template'!J338,CHAR(10))</f>
        <v>
</v>
      </c>
      <c r="F338" s="35" t="str">
        <f t="array" ref="F338">INDEX(DropdownLists!$O$2:$O$36,MATCH(1,COUNTIF(E338,"*"&amp;DropdownLists!$N$2:$N$36&amp;"*"),0))</f>
        <v/>
      </c>
      <c r="G338" s="35"/>
      <c r="H338" s="22" t="str">
        <f t="array" ref="H338">INDEX(DropdownLists!$E$2:$E$276,MATCH('Ingest Template'!D338,DropdownLists!$C$2:$C$276,0))</f>
        <v>#N/A</v>
      </c>
      <c r="I338" s="22"/>
      <c r="J338" s="22" t="str">
        <f t="array" ref="J338">iF('Ingest Template'!A338="Standard","Pristine Brand",INDEX(DropdownLists!$B$2:$B$246,MATCH('Ingest Template'!D338,DropdownLists!$C$2:$C$246,0)))</f>
        <v>#N/A</v>
      </c>
      <c r="K338" s="22" t="str">
        <f>iF('Ingest Template'!A338="Standard",'Ingest Template'!K338&amp;CHAR(10)&amp;'Ingest Template'!L338,"Competitive View")</f>
        <v>Competitive View</v>
      </c>
      <c r="L338" s="22" t="s">
        <v>95</v>
      </c>
      <c r="M338" s="45" t="str">
        <f>'Ingest Template'!B338</f>
        <v/>
      </c>
      <c r="N338" s="35"/>
      <c r="O338" s="35"/>
      <c r="P338" s="35"/>
      <c r="Q338" s="35"/>
      <c r="R338" s="35" t="str">
        <f>'Ingest Template'!D338</f>
        <v/>
      </c>
      <c r="S338" s="22" t="s">
        <v>101</v>
      </c>
      <c r="T338" s="35" t="str">
        <f>'Ingest Template'!V338</f>
        <v/>
      </c>
      <c r="U338" s="35" t="str">
        <f>'Ingest Template'!W338</f>
        <v/>
      </c>
      <c r="V338" s="35" t="str">
        <f>LOWER(SUBSTITUTE(SUBSTITUTE(SUBSTITUTE(SUBSTITUTE(SUBSTITUTE('Ingest Template'!X338,"https:",""),"www.",""),"/",""),"?hl=en",""),"instagram.com",""))</f>
        <v/>
      </c>
      <c r="W338" s="74" t="str">
        <f t="array" ref="W338">IF(
'Ingest Template'!Y338="",
SUBSTITUTE(
INDEX(DropdownLists!$F$2:$F$277,MATCH('Ingest Template'!D338,DropdownLists!$C$2:$C$277,0)),
CHAR(10),
"|"&amp;'Ingest Template'!C338&amp;CHAR(10)
)&amp;"|"&amp;'Ingest Template'!C338,
SUBSTITUTE(
INDEX(DropdownLists!$F$2:$F$277,MATCH('Ingest Template'!D338,DropdownLists!$C$2:$C$277,0)),
CHAR(10),
"|"&amp;'Ingest Template'!C338&amp;CHAR(10)
)&amp;"|"&amp;'Ingest Template'!C338&amp;CHAR(10)&amp;'Ingest Template'!Y338
)</f>
        <v>#N/A</v>
      </c>
      <c r="X338" s="74" t="str">
        <f>'Ingest Template'!Z338</f>
        <v/>
      </c>
      <c r="Y338" s="35" t="str">
        <f>SUBSTITUTE(SUBSTITUTE(SUBSTITUTE('Ingest Template'!AA338,"http:",""),"https:",""),"/","")</f>
        <v/>
      </c>
      <c r="Z338" s="35" t="str">
        <f t="array" ref="Z338">IF('Ingest Template'!A338="Standard",(IF(ISBLANK('Ingest Template'!AB338),"", 'Ingest Template'!AB338&amp;"|DAR")),(IF(ISBLANK('Ingest Template'!AB338),"", 'Ingest Template'!AB338&amp;"|TV Ops")))</f>
        <v/>
      </c>
      <c r="AA338" s="35"/>
      <c r="AB338" s="35" t="str">
        <f>'Ingest Template'!R338</f>
        <v/>
      </c>
      <c r="AC338" s="35" t="str">
        <f>'Ingest Template'!T338</f>
        <v/>
      </c>
      <c r="AD338" s="35" t="str">
        <f>'Ingest Template'!S338</f>
        <v/>
      </c>
      <c r="AE338" s="35" t="str">
        <f>'Ingest Template'!U338</f>
        <v/>
      </c>
      <c r="AF338" s="22"/>
      <c r="AG338" s="35" t="str">
        <f t="array" ref="AG338">IF('Ingest Template'!A338="Standard",(CONCATENATE(IF(ISBLANK('Ingest Template'!N338),"", 'Ingest Template'!N338&amp;"|DAR"),CHAR(10), IF(ISBLANK('Ingest Template'!O338),"", 'Ingest Template'!O338&amp;"|DAR"),CHAR(10), IF(ISBLANK('Ingest Template'!P338),"", 'Ingest Template'!P338&amp;"|DAR"))),(CONCATENATE(IF(ISBLANK('Ingest Template'!N338),"", 'Ingest Template'!N338&amp;"|TV Ops"),CHAR(10), IF(ISBLANK('Ingest Template'!O338),"", 'Ingest Template'!O338&amp;"|TV Ops"),CHAR(10), IF(ISBLANK('Ingest Template'!P338),"", 'Ingest Template'!P338&amp;"|TV Ops"))))</f>
        <v>
</v>
      </c>
      <c r="AH338" s="35"/>
      <c r="AI338" s="35"/>
      <c r="AJ338" s="117" t="str">
        <f>if('Ingest Template'!A338="Standard",(IF(OR('Ingest Template'!F338 = "Program Type - Special", 'Ingest Template'!F338 = "Program Type - Live Event"),'Ingest Template'!M338&amp; "|DAR|DAR|"&amp;TEXT('Ingest Template'!C338-3, "yyyy-mm-dd")&amp;"|"&amp;TEXT('Ingest Template'!C338+3, "yyyy-mm-dd"),'Ingest Template'!M338&amp; "|DAR|DAR|2021-01-01")),(IF(OR('Ingest Template'!F338 = "Program Type - Special", 'Ingest Template'!F338 = "Program Type - Live Event"),'Ingest Template'!M338&amp; "|Operations - Core Title|Operations - Core Title|"&amp;TEXT('Ingest Template'!C338-3, "yyyy-mm-dd")&amp;"|"&amp;TEXT('Ingest Template'!C338+3, "yyyy-mm-dd"),'Ingest Template'!M338&amp; "|Operations - Core Title|Operations - Core Title")))</f>
        <v>|Operations - Core Title|Operations - Core Title</v>
      </c>
      <c r="AK338" s="35"/>
      <c r="AL338" s="117" t="str">
        <f>if('Ingest Template'!A338="Standard",(IF(OR('Ingest Template'!F338 = "Program Type - Special", 'Ingest Template'!F338 = "Program Type - Live Event"),'Ingest Template'!Q338&amp;"|"&amp;TEXT('Ingest Template'!C338-3, "yyyy-mm-dd")&amp;"|"&amp;TEXT('Ingest Template'!C338+3, "yyyy-mm-dd"),'Ingest Template'!Q338&amp; "|2021-01-01")),(IF(OR('Ingest Template'!F338 = "Program Type - Special", 'Ingest Template'!F338 = "Program Type - Live Event"),'Ingest Template'!Q338&amp; "|"&amp;TEXT('Ingest Template'!C338-3, "yyyy-mm-dd")&amp;"|"&amp;TEXT('Ingest Template'!C338+3, "yyyy-mm-dd"),'Ingest Template'!Q338)))</f>
        <v/>
      </c>
      <c r="AM338" s="35" t="str">
        <f>'Ingest Template'!AC338</f>
        <v/>
      </c>
    </row>
    <row r="339">
      <c r="A339" s="15"/>
      <c r="B339" s="22" t="str">
        <f>'Ingest Template'!C339&amp;IF('Ingest Template'!A339 = "Standard", " - DAR","")</f>
        <v/>
      </c>
      <c r="C339" s="22" t="s">
        <v>83</v>
      </c>
      <c r="D339" s="22" t="str">
        <f t="array" ref="D339">CONCATENATE(INDEX(DropdownLists!$H$2:$H$11,MATCH(1,COUNTIF('Ingest Template'!E339,"*"&amp;DropdownLists!$I$2:$I$11&amp;"*"),0)),CHAR(10),'Ingest Template'!F339,CHAR(10),'Ingest Template'!G339,CHAR(10),VLOOKUP('Ingest Template'!D339,DropdownLists!C:D,2,FALSE))</f>
        <v>#N/A</v>
      </c>
      <c r="E339" s="22" t="str">
        <f>CONCATENATE('Ingest Template'!H339,CHAR(10),'Ingest Template'!I339,CHAR(10),'Ingest Template'!J339,CHAR(10))</f>
        <v>
</v>
      </c>
      <c r="F339" s="35" t="str">
        <f t="array" ref="F339">INDEX(DropdownLists!$O$2:$O$36,MATCH(1,COUNTIF(E339,"*"&amp;DropdownLists!$N$2:$N$36&amp;"*"),0))</f>
        <v/>
      </c>
      <c r="G339" s="35"/>
      <c r="H339" s="22" t="str">
        <f t="array" ref="H339">INDEX(DropdownLists!$E$2:$E$276,MATCH('Ingest Template'!D339,DropdownLists!$C$2:$C$276,0))</f>
        <v>#N/A</v>
      </c>
      <c r="I339" s="22"/>
      <c r="J339" s="22" t="str">
        <f t="array" ref="J339">iF('Ingest Template'!A339="Standard","Pristine Brand",INDEX(DropdownLists!$B$2:$B$246,MATCH('Ingest Template'!D339,DropdownLists!$C$2:$C$246,0)))</f>
        <v>#N/A</v>
      </c>
      <c r="K339" s="22" t="str">
        <f>iF('Ingest Template'!A339="Standard",'Ingest Template'!K339&amp;CHAR(10)&amp;'Ingest Template'!L339,"Competitive View")</f>
        <v>Competitive View</v>
      </c>
      <c r="L339" s="22" t="s">
        <v>95</v>
      </c>
      <c r="M339" s="45" t="str">
        <f>'Ingest Template'!B339</f>
        <v/>
      </c>
      <c r="N339" s="35"/>
      <c r="O339" s="35"/>
      <c r="P339" s="35"/>
      <c r="Q339" s="35"/>
      <c r="R339" s="35" t="str">
        <f>'Ingest Template'!D339</f>
        <v/>
      </c>
      <c r="S339" s="22" t="s">
        <v>101</v>
      </c>
      <c r="T339" s="35" t="str">
        <f>'Ingest Template'!V339</f>
        <v/>
      </c>
      <c r="U339" s="35" t="str">
        <f>'Ingest Template'!W339</f>
        <v/>
      </c>
      <c r="V339" s="35" t="str">
        <f>LOWER(SUBSTITUTE(SUBSTITUTE(SUBSTITUTE(SUBSTITUTE(SUBSTITUTE('Ingest Template'!X339,"https:",""),"www.",""),"/",""),"?hl=en",""),"instagram.com",""))</f>
        <v/>
      </c>
      <c r="W339" s="74" t="str">
        <f t="array" ref="W339">IF(
'Ingest Template'!Y339="",
SUBSTITUTE(
INDEX(DropdownLists!$F$2:$F$277,MATCH('Ingest Template'!D339,DropdownLists!$C$2:$C$277,0)),
CHAR(10),
"|"&amp;'Ingest Template'!C339&amp;CHAR(10)
)&amp;"|"&amp;'Ingest Template'!C339,
SUBSTITUTE(
INDEX(DropdownLists!$F$2:$F$277,MATCH('Ingest Template'!D339,DropdownLists!$C$2:$C$277,0)),
CHAR(10),
"|"&amp;'Ingest Template'!C339&amp;CHAR(10)
)&amp;"|"&amp;'Ingest Template'!C339&amp;CHAR(10)&amp;'Ingest Template'!Y339
)</f>
        <v>#N/A</v>
      </c>
      <c r="X339" s="74" t="str">
        <f>'Ingest Template'!Z339</f>
        <v/>
      </c>
      <c r="Y339" s="35" t="str">
        <f>SUBSTITUTE(SUBSTITUTE(SUBSTITUTE('Ingest Template'!AA339,"http:",""),"https:",""),"/","")</f>
        <v/>
      </c>
      <c r="Z339" s="35" t="str">
        <f t="array" ref="Z339">IF('Ingest Template'!A339="Standard",(IF(ISBLANK('Ingest Template'!AB339),"", 'Ingest Template'!AB339&amp;"|DAR")),(IF(ISBLANK('Ingest Template'!AB339),"", 'Ingest Template'!AB339&amp;"|TV Ops")))</f>
        <v/>
      </c>
      <c r="AA339" s="35"/>
      <c r="AB339" s="35" t="str">
        <f>'Ingest Template'!R339</f>
        <v/>
      </c>
      <c r="AC339" s="35" t="str">
        <f>'Ingest Template'!T339</f>
        <v/>
      </c>
      <c r="AD339" s="35" t="str">
        <f>'Ingest Template'!S339</f>
        <v/>
      </c>
      <c r="AE339" s="35" t="str">
        <f>'Ingest Template'!U339</f>
        <v/>
      </c>
      <c r="AF339" s="22"/>
      <c r="AG339" s="35" t="str">
        <f t="array" ref="AG339">IF('Ingest Template'!A339="Standard",(CONCATENATE(IF(ISBLANK('Ingest Template'!N339),"", 'Ingest Template'!N339&amp;"|DAR"),CHAR(10), IF(ISBLANK('Ingest Template'!O339),"", 'Ingest Template'!O339&amp;"|DAR"),CHAR(10), IF(ISBLANK('Ingest Template'!P339),"", 'Ingest Template'!P339&amp;"|DAR"))),(CONCATENATE(IF(ISBLANK('Ingest Template'!N339),"", 'Ingest Template'!N339&amp;"|TV Ops"),CHAR(10), IF(ISBLANK('Ingest Template'!O339),"", 'Ingest Template'!O339&amp;"|TV Ops"),CHAR(10), IF(ISBLANK('Ingest Template'!P339),"", 'Ingest Template'!P339&amp;"|TV Ops"))))</f>
        <v>
</v>
      </c>
      <c r="AH339" s="35"/>
      <c r="AI339" s="35"/>
      <c r="AJ339" s="117" t="str">
        <f>if('Ingest Template'!A339="Standard",(IF(OR('Ingest Template'!F339 = "Program Type - Special", 'Ingest Template'!F339 = "Program Type - Live Event"),'Ingest Template'!M339&amp; "|DAR|DAR|"&amp;TEXT('Ingest Template'!C339-3, "yyyy-mm-dd")&amp;"|"&amp;TEXT('Ingest Template'!C339+3, "yyyy-mm-dd"),'Ingest Template'!M339&amp; "|DAR|DAR|2021-01-01")),(IF(OR('Ingest Template'!F339 = "Program Type - Special", 'Ingest Template'!F339 = "Program Type - Live Event"),'Ingest Template'!M339&amp; "|Operations - Core Title|Operations - Core Title|"&amp;TEXT('Ingest Template'!C339-3, "yyyy-mm-dd")&amp;"|"&amp;TEXT('Ingest Template'!C339+3, "yyyy-mm-dd"),'Ingest Template'!M339&amp; "|Operations - Core Title|Operations - Core Title")))</f>
        <v>|Operations - Core Title|Operations - Core Title</v>
      </c>
      <c r="AK339" s="35"/>
      <c r="AL339" s="117" t="str">
        <f>if('Ingest Template'!A339="Standard",(IF(OR('Ingest Template'!F339 = "Program Type - Special", 'Ingest Template'!F339 = "Program Type - Live Event"),'Ingest Template'!Q339&amp;"|"&amp;TEXT('Ingest Template'!C339-3, "yyyy-mm-dd")&amp;"|"&amp;TEXT('Ingest Template'!C339+3, "yyyy-mm-dd"),'Ingest Template'!Q339&amp; "|2021-01-01")),(IF(OR('Ingest Template'!F339 = "Program Type - Special", 'Ingest Template'!F339 = "Program Type - Live Event"),'Ingest Template'!Q339&amp; "|"&amp;TEXT('Ingest Template'!C339-3, "yyyy-mm-dd")&amp;"|"&amp;TEXT('Ingest Template'!C339+3, "yyyy-mm-dd"),'Ingest Template'!Q339)))</f>
        <v/>
      </c>
      <c r="AM339" s="35" t="str">
        <f>'Ingest Template'!AC339</f>
        <v/>
      </c>
    </row>
    <row r="340">
      <c r="A340" s="15"/>
      <c r="B340" s="22" t="str">
        <f>'Ingest Template'!C340&amp;IF('Ingest Template'!A340 = "Standard", " - DAR","")</f>
        <v/>
      </c>
      <c r="C340" s="22" t="s">
        <v>83</v>
      </c>
      <c r="D340" s="22" t="str">
        <f t="array" ref="D340">CONCATENATE(INDEX(DropdownLists!$H$2:$H$11,MATCH(1,COUNTIF('Ingest Template'!E340,"*"&amp;DropdownLists!$I$2:$I$11&amp;"*"),0)),CHAR(10),'Ingest Template'!F340,CHAR(10),'Ingest Template'!G340,CHAR(10),VLOOKUP('Ingest Template'!D340,DropdownLists!C:D,2,FALSE))</f>
        <v>#N/A</v>
      </c>
      <c r="E340" s="22" t="str">
        <f>CONCATENATE('Ingest Template'!H340,CHAR(10),'Ingest Template'!I340,CHAR(10),'Ingest Template'!J340,CHAR(10))</f>
        <v>
</v>
      </c>
      <c r="F340" s="35" t="str">
        <f t="array" ref="F340">INDEX(DropdownLists!$O$2:$O$36,MATCH(1,COUNTIF(E340,"*"&amp;DropdownLists!$N$2:$N$36&amp;"*"),0))</f>
        <v/>
      </c>
      <c r="G340" s="35"/>
      <c r="H340" s="22" t="str">
        <f t="array" ref="H340">INDEX(DropdownLists!$E$2:$E$276,MATCH('Ingest Template'!D340,DropdownLists!$C$2:$C$276,0))</f>
        <v>#N/A</v>
      </c>
      <c r="I340" s="22"/>
      <c r="J340" s="22" t="str">
        <f t="array" ref="J340">iF('Ingest Template'!A340="Standard","Pristine Brand",INDEX(DropdownLists!$B$2:$B$246,MATCH('Ingest Template'!D340,DropdownLists!$C$2:$C$246,0)))</f>
        <v>#N/A</v>
      </c>
      <c r="K340" s="22" t="str">
        <f>iF('Ingest Template'!A340="Standard",'Ingest Template'!K340&amp;CHAR(10)&amp;'Ingest Template'!L340,"Competitive View")</f>
        <v>Competitive View</v>
      </c>
      <c r="L340" s="22" t="s">
        <v>95</v>
      </c>
      <c r="M340" s="45" t="str">
        <f>'Ingest Template'!B340</f>
        <v/>
      </c>
      <c r="N340" s="35"/>
      <c r="O340" s="35"/>
      <c r="P340" s="35"/>
      <c r="Q340" s="35"/>
      <c r="R340" s="35" t="str">
        <f>'Ingest Template'!D340</f>
        <v/>
      </c>
      <c r="S340" s="22" t="s">
        <v>101</v>
      </c>
      <c r="T340" s="35" t="str">
        <f>'Ingest Template'!V340</f>
        <v/>
      </c>
      <c r="U340" s="35" t="str">
        <f>'Ingest Template'!W340</f>
        <v/>
      </c>
      <c r="V340" s="35" t="str">
        <f>LOWER(SUBSTITUTE(SUBSTITUTE(SUBSTITUTE(SUBSTITUTE(SUBSTITUTE('Ingest Template'!X340,"https:",""),"www.",""),"/",""),"?hl=en",""),"instagram.com",""))</f>
        <v/>
      </c>
      <c r="W340" s="74" t="str">
        <f t="array" ref="W340">IF(
'Ingest Template'!Y340="",
SUBSTITUTE(
INDEX(DropdownLists!$F$2:$F$277,MATCH('Ingest Template'!D340,DropdownLists!$C$2:$C$277,0)),
CHAR(10),
"|"&amp;'Ingest Template'!C340&amp;CHAR(10)
)&amp;"|"&amp;'Ingest Template'!C340,
SUBSTITUTE(
INDEX(DropdownLists!$F$2:$F$277,MATCH('Ingest Template'!D340,DropdownLists!$C$2:$C$277,0)),
CHAR(10),
"|"&amp;'Ingest Template'!C340&amp;CHAR(10)
)&amp;"|"&amp;'Ingest Template'!C340&amp;CHAR(10)&amp;'Ingest Template'!Y340
)</f>
        <v>#N/A</v>
      </c>
      <c r="X340" s="74" t="str">
        <f>'Ingest Template'!Z340</f>
        <v/>
      </c>
      <c r="Y340" s="35" t="str">
        <f>SUBSTITUTE(SUBSTITUTE(SUBSTITUTE('Ingest Template'!AA340,"http:",""),"https:",""),"/","")</f>
        <v/>
      </c>
      <c r="Z340" s="35" t="str">
        <f t="array" ref="Z340">IF('Ingest Template'!A340="Standard",(IF(ISBLANK('Ingest Template'!AB340),"", 'Ingest Template'!AB340&amp;"|DAR")),(IF(ISBLANK('Ingest Template'!AB340),"", 'Ingest Template'!AB340&amp;"|TV Ops")))</f>
        <v/>
      </c>
      <c r="AA340" s="35"/>
      <c r="AB340" s="35" t="str">
        <f>'Ingest Template'!R340</f>
        <v/>
      </c>
      <c r="AC340" s="35" t="str">
        <f>'Ingest Template'!T340</f>
        <v/>
      </c>
      <c r="AD340" s="35" t="str">
        <f>'Ingest Template'!S340</f>
        <v/>
      </c>
      <c r="AE340" s="35" t="str">
        <f>'Ingest Template'!U340</f>
        <v/>
      </c>
      <c r="AF340" s="22"/>
      <c r="AG340" s="35" t="str">
        <f t="array" ref="AG340">IF('Ingest Template'!A340="Standard",(CONCATENATE(IF(ISBLANK('Ingest Template'!N340),"", 'Ingest Template'!N340&amp;"|DAR"),CHAR(10), IF(ISBLANK('Ingest Template'!O340),"", 'Ingest Template'!O340&amp;"|DAR"),CHAR(10), IF(ISBLANK('Ingest Template'!P340),"", 'Ingest Template'!P340&amp;"|DAR"))),(CONCATENATE(IF(ISBLANK('Ingest Template'!N340),"", 'Ingest Template'!N340&amp;"|TV Ops"),CHAR(10), IF(ISBLANK('Ingest Template'!O340),"", 'Ingest Template'!O340&amp;"|TV Ops"),CHAR(10), IF(ISBLANK('Ingest Template'!P340),"", 'Ingest Template'!P340&amp;"|TV Ops"))))</f>
        <v>
</v>
      </c>
      <c r="AH340" s="35"/>
      <c r="AI340" s="35"/>
      <c r="AJ340" s="117" t="str">
        <f>if('Ingest Template'!A340="Standard",(IF(OR('Ingest Template'!F340 = "Program Type - Special", 'Ingest Template'!F340 = "Program Type - Live Event"),'Ingest Template'!M340&amp; "|DAR|DAR|"&amp;TEXT('Ingest Template'!C340-3, "yyyy-mm-dd")&amp;"|"&amp;TEXT('Ingest Template'!C340+3, "yyyy-mm-dd"),'Ingest Template'!M340&amp; "|DAR|DAR|2021-01-01")),(IF(OR('Ingest Template'!F340 = "Program Type - Special", 'Ingest Template'!F340 = "Program Type - Live Event"),'Ingest Template'!M340&amp; "|Operations - Core Title|Operations - Core Title|"&amp;TEXT('Ingest Template'!C340-3, "yyyy-mm-dd")&amp;"|"&amp;TEXT('Ingest Template'!C340+3, "yyyy-mm-dd"),'Ingest Template'!M340&amp; "|Operations - Core Title|Operations - Core Title")))</f>
        <v>|Operations - Core Title|Operations - Core Title</v>
      </c>
      <c r="AK340" s="35"/>
      <c r="AL340" s="117" t="str">
        <f>if('Ingest Template'!A340="Standard",(IF(OR('Ingest Template'!F340 = "Program Type - Special", 'Ingest Template'!F340 = "Program Type - Live Event"),'Ingest Template'!Q340&amp;"|"&amp;TEXT('Ingest Template'!C340-3, "yyyy-mm-dd")&amp;"|"&amp;TEXT('Ingest Template'!C340+3, "yyyy-mm-dd"),'Ingest Template'!Q340&amp; "|2021-01-01")),(IF(OR('Ingest Template'!F340 = "Program Type - Special", 'Ingest Template'!F340 = "Program Type - Live Event"),'Ingest Template'!Q340&amp; "|"&amp;TEXT('Ingest Template'!C340-3, "yyyy-mm-dd")&amp;"|"&amp;TEXT('Ingest Template'!C340+3, "yyyy-mm-dd"),'Ingest Template'!Q340)))</f>
        <v/>
      </c>
      <c r="AM340" s="35" t="str">
        <f>'Ingest Template'!AC340</f>
        <v/>
      </c>
    </row>
    <row r="341">
      <c r="A341" s="15"/>
      <c r="B341" s="22" t="str">
        <f>'Ingest Template'!C341&amp;IF('Ingest Template'!A341 = "Standard", " - DAR","")</f>
        <v/>
      </c>
      <c r="C341" s="22" t="s">
        <v>83</v>
      </c>
      <c r="D341" s="22" t="str">
        <f t="array" ref="D341">CONCATENATE(INDEX(DropdownLists!$H$2:$H$11,MATCH(1,COUNTIF('Ingest Template'!E341,"*"&amp;DropdownLists!$I$2:$I$11&amp;"*"),0)),CHAR(10),'Ingest Template'!F341,CHAR(10),'Ingest Template'!G341,CHAR(10),VLOOKUP('Ingest Template'!D341,DropdownLists!C:D,2,FALSE))</f>
        <v>#N/A</v>
      </c>
      <c r="E341" s="22" t="str">
        <f>CONCATENATE('Ingest Template'!H341,CHAR(10),'Ingest Template'!I341,CHAR(10),'Ingest Template'!J341,CHAR(10))</f>
        <v>
</v>
      </c>
      <c r="F341" s="35" t="str">
        <f t="array" ref="F341">INDEX(DropdownLists!$O$2:$O$36,MATCH(1,COUNTIF(E341,"*"&amp;DropdownLists!$N$2:$N$36&amp;"*"),0))</f>
        <v/>
      </c>
      <c r="G341" s="35"/>
      <c r="H341" s="22" t="str">
        <f t="array" ref="H341">INDEX(DropdownLists!$E$2:$E$276,MATCH('Ingest Template'!D341,DropdownLists!$C$2:$C$276,0))</f>
        <v>#N/A</v>
      </c>
      <c r="I341" s="22"/>
      <c r="J341" s="22" t="str">
        <f t="array" ref="J341">iF('Ingest Template'!A341="Standard","Pristine Brand",INDEX(DropdownLists!$B$2:$B$246,MATCH('Ingest Template'!D341,DropdownLists!$C$2:$C$246,0)))</f>
        <v>#N/A</v>
      </c>
      <c r="K341" s="22" t="str">
        <f>iF('Ingest Template'!A341="Standard",'Ingest Template'!K341&amp;CHAR(10)&amp;'Ingest Template'!L341,"Competitive View")</f>
        <v>Competitive View</v>
      </c>
      <c r="L341" s="22" t="s">
        <v>95</v>
      </c>
      <c r="M341" s="45" t="str">
        <f>'Ingest Template'!B341</f>
        <v/>
      </c>
      <c r="N341" s="35"/>
      <c r="O341" s="35"/>
      <c r="P341" s="35"/>
      <c r="Q341" s="35"/>
      <c r="R341" s="35" t="str">
        <f>'Ingest Template'!D341</f>
        <v/>
      </c>
      <c r="S341" s="22" t="s">
        <v>101</v>
      </c>
      <c r="T341" s="35" t="str">
        <f>'Ingest Template'!V341</f>
        <v/>
      </c>
      <c r="U341" s="35" t="str">
        <f>'Ingest Template'!W341</f>
        <v/>
      </c>
      <c r="V341" s="35" t="str">
        <f>LOWER(SUBSTITUTE(SUBSTITUTE(SUBSTITUTE(SUBSTITUTE(SUBSTITUTE('Ingest Template'!X341,"https:",""),"www.",""),"/",""),"?hl=en",""),"instagram.com",""))</f>
        <v/>
      </c>
      <c r="W341" s="74" t="str">
        <f t="array" ref="W341">IF(
'Ingest Template'!Y341="",
SUBSTITUTE(
INDEX(DropdownLists!$F$2:$F$277,MATCH('Ingest Template'!D341,DropdownLists!$C$2:$C$277,0)),
CHAR(10),
"|"&amp;'Ingest Template'!C341&amp;CHAR(10)
)&amp;"|"&amp;'Ingest Template'!C341,
SUBSTITUTE(
INDEX(DropdownLists!$F$2:$F$277,MATCH('Ingest Template'!D341,DropdownLists!$C$2:$C$277,0)),
CHAR(10),
"|"&amp;'Ingest Template'!C341&amp;CHAR(10)
)&amp;"|"&amp;'Ingest Template'!C341&amp;CHAR(10)&amp;'Ingest Template'!Y341
)</f>
        <v>#N/A</v>
      </c>
      <c r="X341" s="74" t="str">
        <f>'Ingest Template'!Z341</f>
        <v/>
      </c>
      <c r="Y341" s="35" t="str">
        <f>SUBSTITUTE(SUBSTITUTE(SUBSTITUTE('Ingest Template'!AA341,"http:",""),"https:",""),"/","")</f>
        <v/>
      </c>
      <c r="Z341" s="35" t="str">
        <f t="array" ref="Z341">IF('Ingest Template'!A341="Standard",(IF(ISBLANK('Ingest Template'!AB341),"", 'Ingest Template'!AB341&amp;"|DAR")),(IF(ISBLANK('Ingest Template'!AB341),"", 'Ingest Template'!AB341&amp;"|TV Ops")))</f>
        <v/>
      </c>
      <c r="AA341" s="35"/>
      <c r="AB341" s="35" t="str">
        <f>'Ingest Template'!R341</f>
        <v/>
      </c>
      <c r="AC341" s="35" t="str">
        <f>'Ingest Template'!T341</f>
        <v/>
      </c>
      <c r="AD341" s="35" t="str">
        <f>'Ingest Template'!S341</f>
        <v/>
      </c>
      <c r="AE341" s="35" t="str">
        <f>'Ingest Template'!U341</f>
        <v/>
      </c>
      <c r="AF341" s="22"/>
      <c r="AG341" s="35" t="str">
        <f t="array" ref="AG341">IF('Ingest Template'!A341="Standard",(CONCATENATE(IF(ISBLANK('Ingest Template'!N341),"", 'Ingest Template'!N341&amp;"|DAR"),CHAR(10), IF(ISBLANK('Ingest Template'!O341),"", 'Ingest Template'!O341&amp;"|DAR"),CHAR(10), IF(ISBLANK('Ingest Template'!P341),"", 'Ingest Template'!P341&amp;"|DAR"))),(CONCATENATE(IF(ISBLANK('Ingest Template'!N341),"", 'Ingest Template'!N341&amp;"|TV Ops"),CHAR(10), IF(ISBLANK('Ingest Template'!O341),"", 'Ingest Template'!O341&amp;"|TV Ops"),CHAR(10), IF(ISBLANK('Ingest Template'!P341),"", 'Ingest Template'!P341&amp;"|TV Ops"))))</f>
        <v>
</v>
      </c>
      <c r="AH341" s="35"/>
      <c r="AI341" s="35"/>
      <c r="AJ341" s="117" t="str">
        <f>if('Ingest Template'!A341="Standard",(IF(OR('Ingest Template'!F341 = "Program Type - Special", 'Ingest Template'!F341 = "Program Type - Live Event"),'Ingest Template'!M341&amp; "|DAR|DAR|"&amp;TEXT('Ingest Template'!C341-3, "yyyy-mm-dd")&amp;"|"&amp;TEXT('Ingest Template'!C341+3, "yyyy-mm-dd"),'Ingest Template'!M341&amp; "|DAR|DAR|2021-01-01")),(IF(OR('Ingest Template'!F341 = "Program Type - Special", 'Ingest Template'!F341 = "Program Type - Live Event"),'Ingest Template'!M341&amp; "|Operations - Core Title|Operations - Core Title|"&amp;TEXT('Ingest Template'!C341-3, "yyyy-mm-dd")&amp;"|"&amp;TEXT('Ingest Template'!C341+3, "yyyy-mm-dd"),'Ingest Template'!M341&amp; "|Operations - Core Title|Operations - Core Title")))</f>
        <v>|Operations - Core Title|Operations - Core Title</v>
      </c>
      <c r="AK341" s="35"/>
      <c r="AL341" s="117" t="str">
        <f>if('Ingest Template'!A341="Standard",(IF(OR('Ingest Template'!F341 = "Program Type - Special", 'Ingest Template'!F341 = "Program Type - Live Event"),'Ingest Template'!Q341&amp;"|"&amp;TEXT('Ingest Template'!C341-3, "yyyy-mm-dd")&amp;"|"&amp;TEXT('Ingest Template'!C341+3, "yyyy-mm-dd"),'Ingest Template'!Q341&amp; "|2021-01-01")),(IF(OR('Ingest Template'!F341 = "Program Type - Special", 'Ingest Template'!F341 = "Program Type - Live Event"),'Ingest Template'!Q341&amp; "|"&amp;TEXT('Ingest Template'!C341-3, "yyyy-mm-dd")&amp;"|"&amp;TEXT('Ingest Template'!C341+3, "yyyy-mm-dd"),'Ingest Template'!Q341)))</f>
        <v/>
      </c>
      <c r="AM341" s="35" t="str">
        <f>'Ingest Template'!AC341</f>
        <v/>
      </c>
    </row>
    <row r="342">
      <c r="A342" s="15"/>
      <c r="B342" s="22" t="str">
        <f>'Ingest Template'!C342&amp;IF('Ingest Template'!A342 = "Standard", " - DAR","")</f>
        <v/>
      </c>
      <c r="C342" s="22" t="s">
        <v>83</v>
      </c>
      <c r="D342" s="22" t="str">
        <f t="array" ref="D342">CONCATENATE(INDEX(DropdownLists!$H$2:$H$11,MATCH(1,COUNTIF('Ingest Template'!E342,"*"&amp;DropdownLists!$I$2:$I$11&amp;"*"),0)),CHAR(10),'Ingest Template'!F342,CHAR(10),'Ingest Template'!G342,CHAR(10),VLOOKUP('Ingest Template'!D342,DropdownLists!C:D,2,FALSE))</f>
        <v>#N/A</v>
      </c>
      <c r="E342" s="22" t="str">
        <f>CONCATENATE('Ingest Template'!H342,CHAR(10),'Ingest Template'!I342,CHAR(10),'Ingest Template'!J342,CHAR(10))</f>
        <v>
</v>
      </c>
      <c r="F342" s="35" t="str">
        <f t="array" ref="F342">INDEX(DropdownLists!$O$2:$O$36,MATCH(1,COUNTIF(E342,"*"&amp;DropdownLists!$N$2:$N$36&amp;"*"),0))</f>
        <v/>
      </c>
      <c r="G342" s="35"/>
      <c r="H342" s="22" t="str">
        <f t="array" ref="H342">INDEX(DropdownLists!$E$2:$E$276,MATCH('Ingest Template'!D342,DropdownLists!$C$2:$C$276,0))</f>
        <v>#N/A</v>
      </c>
      <c r="I342" s="22"/>
      <c r="J342" s="22" t="str">
        <f t="array" ref="J342">iF('Ingest Template'!A342="Standard","Pristine Brand",INDEX(DropdownLists!$B$2:$B$246,MATCH('Ingest Template'!D342,DropdownLists!$C$2:$C$246,0)))</f>
        <v>#N/A</v>
      </c>
      <c r="K342" s="22" t="str">
        <f>iF('Ingest Template'!A342="Standard",'Ingest Template'!K342&amp;CHAR(10)&amp;'Ingest Template'!L342,"Competitive View")</f>
        <v>Competitive View</v>
      </c>
      <c r="L342" s="22" t="s">
        <v>95</v>
      </c>
      <c r="M342" s="45" t="str">
        <f>'Ingest Template'!B342</f>
        <v/>
      </c>
      <c r="N342" s="35"/>
      <c r="O342" s="35"/>
      <c r="P342" s="35"/>
      <c r="Q342" s="35"/>
      <c r="R342" s="35" t="str">
        <f>'Ingest Template'!D342</f>
        <v/>
      </c>
      <c r="S342" s="22" t="s">
        <v>101</v>
      </c>
      <c r="T342" s="35" t="str">
        <f>'Ingest Template'!V342</f>
        <v/>
      </c>
      <c r="U342" s="35" t="str">
        <f>'Ingest Template'!W342</f>
        <v/>
      </c>
      <c r="V342" s="35" t="str">
        <f>LOWER(SUBSTITUTE(SUBSTITUTE(SUBSTITUTE(SUBSTITUTE(SUBSTITUTE('Ingest Template'!X342,"https:",""),"www.",""),"/",""),"?hl=en",""),"instagram.com",""))</f>
        <v/>
      </c>
      <c r="W342" s="74" t="str">
        <f t="array" ref="W342">IF(
'Ingest Template'!Y342="",
SUBSTITUTE(
INDEX(DropdownLists!$F$2:$F$277,MATCH('Ingest Template'!D342,DropdownLists!$C$2:$C$277,0)),
CHAR(10),
"|"&amp;'Ingest Template'!C342&amp;CHAR(10)
)&amp;"|"&amp;'Ingest Template'!C342,
SUBSTITUTE(
INDEX(DropdownLists!$F$2:$F$277,MATCH('Ingest Template'!D342,DropdownLists!$C$2:$C$277,0)),
CHAR(10),
"|"&amp;'Ingest Template'!C342&amp;CHAR(10)
)&amp;"|"&amp;'Ingest Template'!C342&amp;CHAR(10)&amp;'Ingest Template'!Y342
)</f>
        <v>#N/A</v>
      </c>
      <c r="X342" s="74" t="str">
        <f>'Ingest Template'!Z342</f>
        <v/>
      </c>
      <c r="Y342" s="35" t="str">
        <f>SUBSTITUTE(SUBSTITUTE(SUBSTITUTE('Ingest Template'!AA342,"http:",""),"https:",""),"/","")</f>
        <v/>
      </c>
      <c r="Z342" s="35" t="str">
        <f t="array" ref="Z342">IF('Ingest Template'!A342="Standard",(IF(ISBLANK('Ingest Template'!AB342),"", 'Ingest Template'!AB342&amp;"|DAR")),(IF(ISBLANK('Ingest Template'!AB342),"", 'Ingest Template'!AB342&amp;"|TV Ops")))</f>
        <v/>
      </c>
      <c r="AA342" s="35"/>
      <c r="AB342" s="35" t="str">
        <f>'Ingest Template'!R342</f>
        <v/>
      </c>
      <c r="AC342" s="35" t="str">
        <f>'Ingest Template'!T342</f>
        <v/>
      </c>
      <c r="AD342" s="35" t="str">
        <f>'Ingest Template'!S342</f>
        <v/>
      </c>
      <c r="AE342" s="35" t="str">
        <f>'Ingest Template'!U342</f>
        <v/>
      </c>
      <c r="AF342" s="22"/>
      <c r="AG342" s="35" t="str">
        <f t="array" ref="AG342">IF('Ingest Template'!A342="Standard",(CONCATENATE(IF(ISBLANK('Ingest Template'!N342),"", 'Ingest Template'!N342&amp;"|DAR"),CHAR(10), IF(ISBLANK('Ingest Template'!O342),"", 'Ingest Template'!O342&amp;"|DAR"),CHAR(10), IF(ISBLANK('Ingest Template'!P342),"", 'Ingest Template'!P342&amp;"|DAR"))),(CONCATENATE(IF(ISBLANK('Ingest Template'!N342),"", 'Ingest Template'!N342&amp;"|TV Ops"),CHAR(10), IF(ISBLANK('Ingest Template'!O342),"", 'Ingest Template'!O342&amp;"|TV Ops"),CHAR(10), IF(ISBLANK('Ingest Template'!P342),"", 'Ingest Template'!P342&amp;"|TV Ops"))))</f>
        <v>
</v>
      </c>
      <c r="AH342" s="35"/>
      <c r="AI342" s="35"/>
      <c r="AJ342" s="117" t="str">
        <f>if('Ingest Template'!A342="Standard",(IF(OR('Ingest Template'!F342 = "Program Type - Special", 'Ingest Template'!F342 = "Program Type - Live Event"),'Ingest Template'!M342&amp; "|DAR|DAR|"&amp;TEXT('Ingest Template'!C342-3, "yyyy-mm-dd")&amp;"|"&amp;TEXT('Ingest Template'!C342+3, "yyyy-mm-dd"),'Ingest Template'!M342&amp; "|DAR|DAR|2021-01-01")),(IF(OR('Ingest Template'!F342 = "Program Type - Special", 'Ingest Template'!F342 = "Program Type - Live Event"),'Ingest Template'!M342&amp; "|Operations - Core Title|Operations - Core Title|"&amp;TEXT('Ingest Template'!C342-3, "yyyy-mm-dd")&amp;"|"&amp;TEXT('Ingest Template'!C342+3, "yyyy-mm-dd"),'Ingest Template'!M342&amp; "|Operations - Core Title|Operations - Core Title")))</f>
        <v>|Operations - Core Title|Operations - Core Title</v>
      </c>
      <c r="AK342" s="35"/>
      <c r="AL342" s="117" t="str">
        <f>if('Ingest Template'!A342="Standard",(IF(OR('Ingest Template'!F342 = "Program Type - Special", 'Ingest Template'!F342 = "Program Type - Live Event"),'Ingest Template'!Q342&amp;"|"&amp;TEXT('Ingest Template'!C342-3, "yyyy-mm-dd")&amp;"|"&amp;TEXT('Ingest Template'!C342+3, "yyyy-mm-dd"),'Ingest Template'!Q342&amp; "|2021-01-01")),(IF(OR('Ingest Template'!F342 = "Program Type - Special", 'Ingest Template'!F342 = "Program Type - Live Event"),'Ingest Template'!Q342&amp; "|"&amp;TEXT('Ingest Template'!C342-3, "yyyy-mm-dd")&amp;"|"&amp;TEXT('Ingest Template'!C342+3, "yyyy-mm-dd"),'Ingest Template'!Q342)))</f>
        <v/>
      </c>
      <c r="AM342" s="35" t="str">
        <f>'Ingest Template'!AC342</f>
        <v/>
      </c>
    </row>
    <row r="343">
      <c r="A343" s="15"/>
      <c r="B343" s="22" t="str">
        <f>'Ingest Template'!C343&amp;IF('Ingest Template'!A343 = "Standard", " - DAR","")</f>
        <v/>
      </c>
      <c r="C343" s="22" t="s">
        <v>83</v>
      </c>
      <c r="D343" s="22" t="str">
        <f t="array" ref="D343">CONCATENATE(INDEX(DropdownLists!$H$2:$H$11,MATCH(1,COUNTIF('Ingest Template'!E343,"*"&amp;DropdownLists!$I$2:$I$11&amp;"*"),0)),CHAR(10),'Ingest Template'!F343,CHAR(10),'Ingest Template'!G343,CHAR(10),VLOOKUP('Ingest Template'!D343,DropdownLists!C:D,2,FALSE))</f>
        <v>#N/A</v>
      </c>
      <c r="E343" s="22" t="str">
        <f>CONCATENATE('Ingest Template'!H343,CHAR(10),'Ingest Template'!I343,CHAR(10),'Ingest Template'!J343,CHAR(10))</f>
        <v>
</v>
      </c>
      <c r="F343" s="35" t="str">
        <f t="array" ref="F343">INDEX(DropdownLists!$O$2:$O$36,MATCH(1,COUNTIF(E343,"*"&amp;DropdownLists!$N$2:$N$36&amp;"*"),0))</f>
        <v/>
      </c>
      <c r="G343" s="35"/>
      <c r="H343" s="22" t="str">
        <f t="array" ref="H343">INDEX(DropdownLists!$E$2:$E$276,MATCH('Ingest Template'!D343,DropdownLists!$C$2:$C$276,0))</f>
        <v>#N/A</v>
      </c>
      <c r="I343" s="22"/>
      <c r="J343" s="22" t="str">
        <f t="array" ref="J343">iF('Ingest Template'!A343="Standard","Pristine Brand",INDEX(DropdownLists!$B$2:$B$246,MATCH('Ingest Template'!D343,DropdownLists!$C$2:$C$246,0)))</f>
        <v>#N/A</v>
      </c>
      <c r="K343" s="22" t="str">
        <f>iF('Ingest Template'!A343="Standard",'Ingest Template'!K343&amp;CHAR(10)&amp;'Ingest Template'!L343,"Competitive View")</f>
        <v>Competitive View</v>
      </c>
      <c r="L343" s="22" t="s">
        <v>95</v>
      </c>
      <c r="M343" s="45" t="str">
        <f>'Ingest Template'!B343</f>
        <v/>
      </c>
      <c r="N343" s="35"/>
      <c r="O343" s="35"/>
      <c r="P343" s="35"/>
      <c r="Q343" s="35"/>
      <c r="R343" s="35" t="str">
        <f>'Ingest Template'!D343</f>
        <v/>
      </c>
      <c r="S343" s="22" t="s">
        <v>101</v>
      </c>
      <c r="T343" s="35" t="str">
        <f>'Ingest Template'!V343</f>
        <v/>
      </c>
      <c r="U343" s="35" t="str">
        <f>'Ingest Template'!W343</f>
        <v/>
      </c>
      <c r="V343" s="35" t="str">
        <f>LOWER(SUBSTITUTE(SUBSTITUTE(SUBSTITUTE(SUBSTITUTE(SUBSTITUTE('Ingest Template'!X343,"https:",""),"www.",""),"/",""),"?hl=en",""),"instagram.com",""))</f>
        <v/>
      </c>
      <c r="W343" s="74" t="str">
        <f t="array" ref="W343">IF(
'Ingest Template'!Y343="",
SUBSTITUTE(
INDEX(DropdownLists!$F$2:$F$277,MATCH('Ingest Template'!D343,DropdownLists!$C$2:$C$277,0)),
CHAR(10),
"|"&amp;'Ingest Template'!C343&amp;CHAR(10)
)&amp;"|"&amp;'Ingest Template'!C343,
SUBSTITUTE(
INDEX(DropdownLists!$F$2:$F$277,MATCH('Ingest Template'!D343,DropdownLists!$C$2:$C$277,0)),
CHAR(10),
"|"&amp;'Ingest Template'!C343&amp;CHAR(10)
)&amp;"|"&amp;'Ingest Template'!C343&amp;CHAR(10)&amp;'Ingest Template'!Y343
)</f>
        <v>#N/A</v>
      </c>
      <c r="X343" s="74" t="str">
        <f>'Ingest Template'!Z343</f>
        <v/>
      </c>
      <c r="Y343" s="35" t="str">
        <f>SUBSTITUTE(SUBSTITUTE(SUBSTITUTE('Ingest Template'!AA343,"http:",""),"https:",""),"/","")</f>
        <v/>
      </c>
      <c r="Z343" s="35" t="str">
        <f t="array" ref="Z343">IF('Ingest Template'!A343="Standard",(IF(ISBLANK('Ingest Template'!AB343),"", 'Ingest Template'!AB343&amp;"|DAR")),(IF(ISBLANK('Ingest Template'!AB343),"", 'Ingest Template'!AB343&amp;"|TV Ops")))</f>
        <v/>
      </c>
      <c r="AA343" s="35"/>
      <c r="AB343" s="35" t="str">
        <f>'Ingest Template'!R343</f>
        <v/>
      </c>
      <c r="AC343" s="35" t="str">
        <f>'Ingest Template'!T343</f>
        <v/>
      </c>
      <c r="AD343" s="35" t="str">
        <f>'Ingest Template'!S343</f>
        <v/>
      </c>
      <c r="AE343" s="35" t="str">
        <f>'Ingest Template'!U343</f>
        <v/>
      </c>
      <c r="AF343" s="22"/>
      <c r="AG343" s="35" t="str">
        <f t="array" ref="AG343">IF('Ingest Template'!A343="Standard",(CONCATENATE(IF(ISBLANK('Ingest Template'!N343),"", 'Ingest Template'!N343&amp;"|DAR"),CHAR(10), IF(ISBLANK('Ingest Template'!O343),"", 'Ingest Template'!O343&amp;"|DAR"),CHAR(10), IF(ISBLANK('Ingest Template'!P343),"", 'Ingest Template'!P343&amp;"|DAR"))),(CONCATENATE(IF(ISBLANK('Ingest Template'!N343),"", 'Ingest Template'!N343&amp;"|TV Ops"),CHAR(10), IF(ISBLANK('Ingest Template'!O343),"", 'Ingest Template'!O343&amp;"|TV Ops"),CHAR(10), IF(ISBLANK('Ingest Template'!P343),"", 'Ingest Template'!P343&amp;"|TV Ops"))))</f>
        <v>
</v>
      </c>
      <c r="AH343" s="35"/>
      <c r="AI343" s="35"/>
      <c r="AJ343" s="117" t="str">
        <f>if('Ingest Template'!A343="Standard",(IF(OR('Ingest Template'!F343 = "Program Type - Special", 'Ingest Template'!F343 = "Program Type - Live Event"),'Ingest Template'!M343&amp; "|DAR|DAR|"&amp;TEXT('Ingest Template'!C343-3, "yyyy-mm-dd")&amp;"|"&amp;TEXT('Ingest Template'!C343+3, "yyyy-mm-dd"),'Ingest Template'!M343&amp; "|DAR|DAR|2021-01-01")),(IF(OR('Ingest Template'!F343 = "Program Type - Special", 'Ingest Template'!F343 = "Program Type - Live Event"),'Ingest Template'!M343&amp; "|Operations - Core Title|Operations - Core Title|"&amp;TEXT('Ingest Template'!C343-3, "yyyy-mm-dd")&amp;"|"&amp;TEXT('Ingest Template'!C343+3, "yyyy-mm-dd"),'Ingest Template'!M343&amp; "|Operations - Core Title|Operations - Core Title")))</f>
        <v>|Operations - Core Title|Operations - Core Title</v>
      </c>
      <c r="AK343" s="35"/>
      <c r="AL343" s="117" t="str">
        <f>if('Ingest Template'!A343="Standard",(IF(OR('Ingest Template'!F343 = "Program Type - Special", 'Ingest Template'!F343 = "Program Type - Live Event"),'Ingest Template'!Q343&amp;"|"&amp;TEXT('Ingest Template'!C343-3, "yyyy-mm-dd")&amp;"|"&amp;TEXT('Ingest Template'!C343+3, "yyyy-mm-dd"),'Ingest Template'!Q343&amp; "|2021-01-01")),(IF(OR('Ingest Template'!F343 = "Program Type - Special", 'Ingest Template'!F343 = "Program Type - Live Event"),'Ingest Template'!Q343&amp; "|"&amp;TEXT('Ingest Template'!C343-3, "yyyy-mm-dd")&amp;"|"&amp;TEXT('Ingest Template'!C343+3, "yyyy-mm-dd"),'Ingest Template'!Q343)))</f>
        <v/>
      </c>
      <c r="AM343" s="35" t="str">
        <f>'Ingest Template'!AC343</f>
        <v/>
      </c>
    </row>
    <row r="344">
      <c r="A344" s="15"/>
      <c r="B344" s="22" t="str">
        <f>'Ingest Template'!C344&amp;IF('Ingest Template'!A344 = "Standard", " - DAR","")</f>
        <v/>
      </c>
      <c r="C344" s="22" t="s">
        <v>83</v>
      </c>
      <c r="D344" s="22" t="str">
        <f t="array" ref="D344">CONCATENATE(INDEX(DropdownLists!$H$2:$H$11,MATCH(1,COUNTIF('Ingest Template'!E344,"*"&amp;DropdownLists!$I$2:$I$11&amp;"*"),0)),CHAR(10),'Ingest Template'!F344,CHAR(10),'Ingest Template'!G344,CHAR(10),VLOOKUP('Ingest Template'!D344,DropdownLists!C:D,2,FALSE))</f>
        <v>#N/A</v>
      </c>
      <c r="E344" s="22" t="str">
        <f>CONCATENATE('Ingest Template'!H344,CHAR(10),'Ingest Template'!I344,CHAR(10),'Ingest Template'!J344,CHAR(10))</f>
        <v>
</v>
      </c>
      <c r="F344" s="35" t="str">
        <f t="array" ref="F344">INDEX(DropdownLists!$O$2:$O$36,MATCH(1,COUNTIF(E344,"*"&amp;DropdownLists!$N$2:$N$36&amp;"*"),0))</f>
        <v/>
      </c>
      <c r="G344" s="35"/>
      <c r="H344" s="22" t="str">
        <f t="array" ref="H344">INDEX(DropdownLists!$E$2:$E$276,MATCH('Ingest Template'!D344,DropdownLists!$C$2:$C$276,0))</f>
        <v>#N/A</v>
      </c>
      <c r="I344" s="22"/>
      <c r="J344" s="22" t="str">
        <f t="array" ref="J344">iF('Ingest Template'!A344="Standard","Pristine Brand",INDEX(DropdownLists!$B$2:$B$246,MATCH('Ingest Template'!D344,DropdownLists!$C$2:$C$246,0)))</f>
        <v>#N/A</v>
      </c>
      <c r="K344" s="22" t="str">
        <f>iF('Ingest Template'!A344="Standard",'Ingest Template'!K344&amp;CHAR(10)&amp;'Ingest Template'!L344,"Competitive View")</f>
        <v>Competitive View</v>
      </c>
      <c r="L344" s="22" t="s">
        <v>95</v>
      </c>
      <c r="M344" s="45" t="str">
        <f>'Ingest Template'!B344</f>
        <v/>
      </c>
      <c r="N344" s="35"/>
      <c r="O344" s="35"/>
      <c r="P344" s="35"/>
      <c r="Q344" s="35"/>
      <c r="R344" s="35" t="str">
        <f>'Ingest Template'!D344</f>
        <v/>
      </c>
      <c r="S344" s="22" t="s">
        <v>101</v>
      </c>
      <c r="T344" s="35" t="str">
        <f>'Ingest Template'!V344</f>
        <v/>
      </c>
      <c r="U344" s="35" t="str">
        <f>'Ingest Template'!W344</f>
        <v/>
      </c>
      <c r="V344" s="35" t="str">
        <f>LOWER(SUBSTITUTE(SUBSTITUTE(SUBSTITUTE(SUBSTITUTE(SUBSTITUTE('Ingest Template'!X344,"https:",""),"www.",""),"/",""),"?hl=en",""),"instagram.com",""))</f>
        <v/>
      </c>
      <c r="W344" s="74" t="str">
        <f t="array" ref="W344">IF(
'Ingest Template'!Y344="",
SUBSTITUTE(
INDEX(DropdownLists!$F$2:$F$277,MATCH('Ingest Template'!D344,DropdownLists!$C$2:$C$277,0)),
CHAR(10),
"|"&amp;'Ingest Template'!C344&amp;CHAR(10)
)&amp;"|"&amp;'Ingest Template'!C344,
SUBSTITUTE(
INDEX(DropdownLists!$F$2:$F$277,MATCH('Ingest Template'!D344,DropdownLists!$C$2:$C$277,0)),
CHAR(10),
"|"&amp;'Ingest Template'!C344&amp;CHAR(10)
)&amp;"|"&amp;'Ingest Template'!C344&amp;CHAR(10)&amp;'Ingest Template'!Y344
)</f>
        <v>#N/A</v>
      </c>
      <c r="X344" s="74" t="str">
        <f>'Ingest Template'!Z344</f>
        <v/>
      </c>
      <c r="Y344" s="35" t="str">
        <f>SUBSTITUTE(SUBSTITUTE(SUBSTITUTE('Ingest Template'!AA344,"http:",""),"https:",""),"/","")</f>
        <v/>
      </c>
      <c r="Z344" s="35" t="str">
        <f t="array" ref="Z344">IF('Ingest Template'!A344="Standard",(IF(ISBLANK('Ingest Template'!AB344),"", 'Ingest Template'!AB344&amp;"|DAR")),(IF(ISBLANK('Ingest Template'!AB344),"", 'Ingest Template'!AB344&amp;"|TV Ops")))</f>
        <v/>
      </c>
      <c r="AA344" s="35"/>
      <c r="AB344" s="35" t="str">
        <f>'Ingest Template'!R344</f>
        <v/>
      </c>
      <c r="AC344" s="35" t="str">
        <f>'Ingest Template'!T344</f>
        <v/>
      </c>
      <c r="AD344" s="35" t="str">
        <f>'Ingest Template'!S344</f>
        <v/>
      </c>
      <c r="AE344" s="35" t="str">
        <f>'Ingest Template'!U344</f>
        <v/>
      </c>
      <c r="AF344" s="22"/>
      <c r="AG344" s="35" t="str">
        <f t="array" ref="AG344">IF('Ingest Template'!A344="Standard",(CONCATENATE(IF(ISBLANK('Ingest Template'!N344),"", 'Ingest Template'!N344&amp;"|DAR"),CHAR(10), IF(ISBLANK('Ingest Template'!O344),"", 'Ingest Template'!O344&amp;"|DAR"),CHAR(10), IF(ISBLANK('Ingest Template'!P344),"", 'Ingest Template'!P344&amp;"|DAR"))),(CONCATENATE(IF(ISBLANK('Ingest Template'!N344),"", 'Ingest Template'!N344&amp;"|TV Ops"),CHAR(10), IF(ISBLANK('Ingest Template'!O344),"", 'Ingest Template'!O344&amp;"|TV Ops"),CHAR(10), IF(ISBLANK('Ingest Template'!P344),"", 'Ingest Template'!P344&amp;"|TV Ops"))))</f>
        <v>
</v>
      </c>
      <c r="AH344" s="35"/>
      <c r="AI344" s="35"/>
      <c r="AJ344" s="117" t="str">
        <f>if('Ingest Template'!A344="Standard",(IF(OR('Ingest Template'!F344 = "Program Type - Special", 'Ingest Template'!F344 = "Program Type - Live Event"),'Ingest Template'!M344&amp; "|DAR|DAR|"&amp;TEXT('Ingest Template'!C344-3, "yyyy-mm-dd")&amp;"|"&amp;TEXT('Ingest Template'!C344+3, "yyyy-mm-dd"),'Ingest Template'!M344&amp; "|DAR|DAR|2021-01-01")),(IF(OR('Ingest Template'!F344 = "Program Type - Special", 'Ingest Template'!F344 = "Program Type - Live Event"),'Ingest Template'!M344&amp; "|Operations - Core Title|Operations - Core Title|"&amp;TEXT('Ingest Template'!C344-3, "yyyy-mm-dd")&amp;"|"&amp;TEXT('Ingest Template'!C344+3, "yyyy-mm-dd"),'Ingest Template'!M344&amp; "|Operations - Core Title|Operations - Core Title")))</f>
        <v>|Operations - Core Title|Operations - Core Title</v>
      </c>
      <c r="AK344" s="35"/>
      <c r="AL344" s="117" t="str">
        <f>if('Ingest Template'!A344="Standard",(IF(OR('Ingest Template'!F344 = "Program Type - Special", 'Ingest Template'!F344 = "Program Type - Live Event"),'Ingest Template'!Q344&amp;"|"&amp;TEXT('Ingest Template'!C344-3, "yyyy-mm-dd")&amp;"|"&amp;TEXT('Ingest Template'!C344+3, "yyyy-mm-dd"),'Ingest Template'!Q344&amp; "|2021-01-01")),(IF(OR('Ingest Template'!F344 = "Program Type - Special", 'Ingest Template'!F344 = "Program Type - Live Event"),'Ingest Template'!Q344&amp; "|"&amp;TEXT('Ingest Template'!C344-3, "yyyy-mm-dd")&amp;"|"&amp;TEXT('Ingest Template'!C344+3, "yyyy-mm-dd"),'Ingest Template'!Q344)))</f>
        <v/>
      </c>
      <c r="AM344" s="35" t="str">
        <f>'Ingest Template'!AC344</f>
        <v/>
      </c>
    </row>
    <row r="345">
      <c r="A345" s="15"/>
      <c r="B345" s="22" t="str">
        <f>'Ingest Template'!C345&amp;IF('Ingest Template'!A345 = "Standard", " - DAR","")</f>
        <v/>
      </c>
      <c r="C345" s="22" t="s">
        <v>83</v>
      </c>
      <c r="D345" s="22" t="str">
        <f t="array" ref="D345">CONCATENATE(INDEX(DropdownLists!$H$2:$H$11,MATCH(1,COUNTIF('Ingest Template'!E345,"*"&amp;DropdownLists!$I$2:$I$11&amp;"*"),0)),CHAR(10),'Ingest Template'!F345,CHAR(10),'Ingest Template'!G345,CHAR(10),VLOOKUP('Ingest Template'!D345,DropdownLists!C:D,2,FALSE))</f>
        <v>#N/A</v>
      </c>
      <c r="E345" s="22" t="str">
        <f>CONCATENATE('Ingest Template'!H345,CHAR(10),'Ingest Template'!I345,CHAR(10),'Ingest Template'!J345,CHAR(10))</f>
        <v>
</v>
      </c>
      <c r="F345" s="35" t="str">
        <f t="array" ref="F345">INDEX(DropdownLists!$O$2:$O$36,MATCH(1,COUNTIF(E345,"*"&amp;DropdownLists!$N$2:$N$36&amp;"*"),0))</f>
        <v/>
      </c>
      <c r="G345" s="35"/>
      <c r="H345" s="22" t="str">
        <f t="array" ref="H345">INDEX(DropdownLists!$E$2:$E$276,MATCH('Ingest Template'!D345,DropdownLists!$C$2:$C$276,0))</f>
        <v>#N/A</v>
      </c>
      <c r="I345" s="22"/>
      <c r="J345" s="22" t="str">
        <f t="array" ref="J345">iF('Ingest Template'!A345="Standard","Pristine Brand",INDEX(DropdownLists!$B$2:$B$246,MATCH('Ingest Template'!D345,DropdownLists!$C$2:$C$246,0)))</f>
        <v>#N/A</v>
      </c>
      <c r="K345" s="22" t="str">
        <f>iF('Ingest Template'!A345="Standard",'Ingest Template'!K345&amp;CHAR(10)&amp;'Ingest Template'!L345,"Competitive View")</f>
        <v>Competitive View</v>
      </c>
      <c r="L345" s="22" t="s">
        <v>95</v>
      </c>
      <c r="M345" s="45" t="str">
        <f>'Ingest Template'!B345</f>
        <v/>
      </c>
      <c r="N345" s="35"/>
      <c r="O345" s="35"/>
      <c r="P345" s="35"/>
      <c r="Q345" s="35"/>
      <c r="R345" s="35" t="str">
        <f>'Ingest Template'!D345</f>
        <v/>
      </c>
      <c r="S345" s="22" t="s">
        <v>101</v>
      </c>
      <c r="T345" s="35" t="str">
        <f>'Ingest Template'!V345</f>
        <v/>
      </c>
      <c r="U345" s="35" t="str">
        <f>'Ingest Template'!W345</f>
        <v/>
      </c>
      <c r="V345" s="35" t="str">
        <f>LOWER(SUBSTITUTE(SUBSTITUTE(SUBSTITUTE(SUBSTITUTE(SUBSTITUTE('Ingest Template'!X345,"https:",""),"www.",""),"/",""),"?hl=en",""),"instagram.com",""))</f>
        <v/>
      </c>
      <c r="W345" s="74" t="str">
        <f t="array" ref="W345">IF(
'Ingest Template'!Y345="",
SUBSTITUTE(
INDEX(DropdownLists!$F$2:$F$277,MATCH('Ingest Template'!D345,DropdownLists!$C$2:$C$277,0)),
CHAR(10),
"|"&amp;'Ingest Template'!C345&amp;CHAR(10)
)&amp;"|"&amp;'Ingest Template'!C345,
SUBSTITUTE(
INDEX(DropdownLists!$F$2:$F$277,MATCH('Ingest Template'!D345,DropdownLists!$C$2:$C$277,0)),
CHAR(10),
"|"&amp;'Ingest Template'!C345&amp;CHAR(10)
)&amp;"|"&amp;'Ingest Template'!C345&amp;CHAR(10)&amp;'Ingest Template'!Y345
)</f>
        <v>#N/A</v>
      </c>
      <c r="X345" s="74" t="str">
        <f>'Ingest Template'!Z345</f>
        <v/>
      </c>
      <c r="Y345" s="35" t="str">
        <f>SUBSTITUTE(SUBSTITUTE(SUBSTITUTE('Ingest Template'!AA345,"http:",""),"https:",""),"/","")</f>
        <v/>
      </c>
      <c r="Z345" s="35" t="str">
        <f t="array" ref="Z345">IF('Ingest Template'!A345="Standard",(IF(ISBLANK('Ingest Template'!AB345),"", 'Ingest Template'!AB345&amp;"|DAR")),(IF(ISBLANK('Ingest Template'!AB345),"", 'Ingest Template'!AB345&amp;"|TV Ops")))</f>
        <v/>
      </c>
      <c r="AA345" s="35"/>
      <c r="AB345" s="35" t="str">
        <f>'Ingest Template'!R345</f>
        <v/>
      </c>
      <c r="AC345" s="35" t="str">
        <f>'Ingest Template'!T345</f>
        <v/>
      </c>
      <c r="AD345" s="35" t="str">
        <f>'Ingest Template'!S345</f>
        <v/>
      </c>
      <c r="AE345" s="35" t="str">
        <f>'Ingest Template'!U345</f>
        <v/>
      </c>
      <c r="AF345" s="22"/>
      <c r="AG345" s="35" t="str">
        <f t="array" ref="AG345">IF('Ingest Template'!A345="Standard",(CONCATENATE(IF(ISBLANK('Ingest Template'!N345),"", 'Ingest Template'!N345&amp;"|DAR"),CHAR(10), IF(ISBLANK('Ingest Template'!O345),"", 'Ingest Template'!O345&amp;"|DAR"),CHAR(10), IF(ISBLANK('Ingest Template'!P345),"", 'Ingest Template'!P345&amp;"|DAR"))),(CONCATENATE(IF(ISBLANK('Ingest Template'!N345),"", 'Ingest Template'!N345&amp;"|TV Ops"),CHAR(10), IF(ISBLANK('Ingest Template'!O345),"", 'Ingest Template'!O345&amp;"|TV Ops"),CHAR(10), IF(ISBLANK('Ingest Template'!P345),"", 'Ingest Template'!P345&amp;"|TV Ops"))))</f>
        <v>
</v>
      </c>
      <c r="AH345" s="35"/>
      <c r="AI345" s="35"/>
      <c r="AJ345" s="117" t="str">
        <f>if('Ingest Template'!A345="Standard",(IF(OR('Ingest Template'!F345 = "Program Type - Special", 'Ingest Template'!F345 = "Program Type - Live Event"),'Ingest Template'!M345&amp; "|DAR|DAR|"&amp;TEXT('Ingest Template'!C345-3, "yyyy-mm-dd")&amp;"|"&amp;TEXT('Ingest Template'!C345+3, "yyyy-mm-dd"),'Ingest Template'!M345&amp; "|DAR|DAR|2021-01-01")),(IF(OR('Ingest Template'!F345 = "Program Type - Special", 'Ingest Template'!F345 = "Program Type - Live Event"),'Ingest Template'!M345&amp; "|Operations - Core Title|Operations - Core Title|"&amp;TEXT('Ingest Template'!C345-3, "yyyy-mm-dd")&amp;"|"&amp;TEXT('Ingest Template'!C345+3, "yyyy-mm-dd"),'Ingest Template'!M345&amp; "|Operations - Core Title|Operations - Core Title")))</f>
        <v>|Operations - Core Title|Operations - Core Title</v>
      </c>
      <c r="AK345" s="35"/>
      <c r="AL345" s="117" t="str">
        <f>if('Ingest Template'!A345="Standard",(IF(OR('Ingest Template'!F345 = "Program Type - Special", 'Ingest Template'!F345 = "Program Type - Live Event"),'Ingest Template'!Q345&amp;"|"&amp;TEXT('Ingest Template'!C345-3, "yyyy-mm-dd")&amp;"|"&amp;TEXT('Ingest Template'!C345+3, "yyyy-mm-dd"),'Ingest Template'!Q345&amp; "|2021-01-01")),(IF(OR('Ingest Template'!F345 = "Program Type - Special", 'Ingest Template'!F345 = "Program Type - Live Event"),'Ingest Template'!Q345&amp; "|"&amp;TEXT('Ingest Template'!C345-3, "yyyy-mm-dd")&amp;"|"&amp;TEXT('Ingest Template'!C345+3, "yyyy-mm-dd"),'Ingest Template'!Q345)))</f>
        <v/>
      </c>
      <c r="AM345" s="35" t="str">
        <f>'Ingest Template'!AC345</f>
        <v/>
      </c>
    </row>
    <row r="346">
      <c r="A346" s="15"/>
      <c r="B346" s="22" t="str">
        <f>'Ingest Template'!C346&amp;IF('Ingest Template'!A346 = "Standard", " - DAR","")</f>
        <v/>
      </c>
      <c r="C346" s="22" t="s">
        <v>83</v>
      </c>
      <c r="D346" s="22" t="str">
        <f t="array" ref="D346">CONCATENATE(INDEX(DropdownLists!$H$2:$H$11,MATCH(1,COUNTIF('Ingest Template'!E346,"*"&amp;DropdownLists!$I$2:$I$11&amp;"*"),0)),CHAR(10),'Ingest Template'!F346,CHAR(10),'Ingest Template'!G346,CHAR(10),VLOOKUP('Ingest Template'!D346,DropdownLists!C:D,2,FALSE))</f>
        <v>#N/A</v>
      </c>
      <c r="E346" s="22" t="str">
        <f>CONCATENATE('Ingest Template'!H346,CHAR(10),'Ingest Template'!I346,CHAR(10),'Ingest Template'!J346,CHAR(10))</f>
        <v>
</v>
      </c>
      <c r="F346" s="35" t="str">
        <f t="array" ref="F346">INDEX(DropdownLists!$O$2:$O$36,MATCH(1,COUNTIF(E346,"*"&amp;DropdownLists!$N$2:$N$36&amp;"*"),0))</f>
        <v/>
      </c>
      <c r="G346" s="35"/>
      <c r="H346" s="22" t="str">
        <f t="array" ref="H346">INDEX(DropdownLists!$E$2:$E$276,MATCH('Ingest Template'!D346,DropdownLists!$C$2:$C$276,0))</f>
        <v>#N/A</v>
      </c>
      <c r="I346" s="22"/>
      <c r="J346" s="22" t="str">
        <f t="array" ref="J346">iF('Ingest Template'!A346="Standard","Pristine Brand",INDEX(DropdownLists!$B$2:$B$246,MATCH('Ingest Template'!D346,DropdownLists!$C$2:$C$246,0)))</f>
        <v>#N/A</v>
      </c>
      <c r="K346" s="22" t="str">
        <f>iF('Ingest Template'!A346="Standard",'Ingest Template'!K346&amp;CHAR(10)&amp;'Ingest Template'!L346,"Competitive View")</f>
        <v>Competitive View</v>
      </c>
      <c r="L346" s="22" t="s">
        <v>95</v>
      </c>
      <c r="M346" s="45" t="str">
        <f>'Ingest Template'!B346</f>
        <v/>
      </c>
      <c r="N346" s="35"/>
      <c r="O346" s="35"/>
      <c r="P346" s="35"/>
      <c r="Q346" s="35"/>
      <c r="R346" s="35" t="str">
        <f>'Ingest Template'!D346</f>
        <v/>
      </c>
      <c r="S346" s="22" t="s">
        <v>101</v>
      </c>
      <c r="T346" s="35" t="str">
        <f>'Ingest Template'!V346</f>
        <v/>
      </c>
      <c r="U346" s="35" t="str">
        <f>'Ingest Template'!W346</f>
        <v/>
      </c>
      <c r="V346" s="35" t="str">
        <f>LOWER(SUBSTITUTE(SUBSTITUTE(SUBSTITUTE(SUBSTITUTE(SUBSTITUTE('Ingest Template'!X346,"https:",""),"www.",""),"/",""),"?hl=en",""),"instagram.com",""))</f>
        <v/>
      </c>
      <c r="W346" s="74" t="str">
        <f t="array" ref="W346">IF(
'Ingest Template'!Y346="",
SUBSTITUTE(
INDEX(DropdownLists!$F$2:$F$277,MATCH('Ingest Template'!D346,DropdownLists!$C$2:$C$277,0)),
CHAR(10),
"|"&amp;'Ingest Template'!C346&amp;CHAR(10)
)&amp;"|"&amp;'Ingest Template'!C346,
SUBSTITUTE(
INDEX(DropdownLists!$F$2:$F$277,MATCH('Ingest Template'!D346,DropdownLists!$C$2:$C$277,0)),
CHAR(10),
"|"&amp;'Ingest Template'!C346&amp;CHAR(10)
)&amp;"|"&amp;'Ingest Template'!C346&amp;CHAR(10)&amp;'Ingest Template'!Y346
)</f>
        <v>#N/A</v>
      </c>
      <c r="X346" s="74" t="str">
        <f>'Ingest Template'!Z346</f>
        <v/>
      </c>
      <c r="Y346" s="35" t="str">
        <f>SUBSTITUTE(SUBSTITUTE(SUBSTITUTE('Ingest Template'!AA346,"http:",""),"https:",""),"/","")</f>
        <v/>
      </c>
      <c r="Z346" s="35" t="str">
        <f t="array" ref="Z346">IF('Ingest Template'!A346="Standard",(IF(ISBLANK('Ingest Template'!AB346),"", 'Ingest Template'!AB346&amp;"|DAR")),(IF(ISBLANK('Ingest Template'!AB346),"", 'Ingest Template'!AB346&amp;"|TV Ops")))</f>
        <v/>
      </c>
      <c r="AA346" s="35"/>
      <c r="AB346" s="35" t="str">
        <f>'Ingest Template'!R346</f>
        <v/>
      </c>
      <c r="AC346" s="35" t="str">
        <f>'Ingest Template'!T346</f>
        <v/>
      </c>
      <c r="AD346" s="35" t="str">
        <f>'Ingest Template'!S346</f>
        <v/>
      </c>
      <c r="AE346" s="35" t="str">
        <f>'Ingest Template'!U346</f>
        <v/>
      </c>
      <c r="AF346" s="22"/>
      <c r="AG346" s="35" t="str">
        <f t="array" ref="AG346">IF('Ingest Template'!A346="Standard",(CONCATENATE(IF(ISBLANK('Ingest Template'!N346),"", 'Ingest Template'!N346&amp;"|DAR"),CHAR(10), IF(ISBLANK('Ingest Template'!O346),"", 'Ingest Template'!O346&amp;"|DAR"),CHAR(10), IF(ISBLANK('Ingest Template'!P346),"", 'Ingest Template'!P346&amp;"|DAR"))),(CONCATENATE(IF(ISBLANK('Ingest Template'!N346),"", 'Ingest Template'!N346&amp;"|TV Ops"),CHAR(10), IF(ISBLANK('Ingest Template'!O346),"", 'Ingest Template'!O346&amp;"|TV Ops"),CHAR(10), IF(ISBLANK('Ingest Template'!P346),"", 'Ingest Template'!P346&amp;"|TV Ops"))))</f>
        <v>
</v>
      </c>
      <c r="AH346" s="35"/>
      <c r="AI346" s="35"/>
      <c r="AJ346" s="117" t="str">
        <f>if('Ingest Template'!A346="Standard",(IF(OR('Ingest Template'!F346 = "Program Type - Special", 'Ingest Template'!F346 = "Program Type - Live Event"),'Ingest Template'!M346&amp; "|DAR|DAR|"&amp;TEXT('Ingest Template'!C346-3, "yyyy-mm-dd")&amp;"|"&amp;TEXT('Ingest Template'!C346+3, "yyyy-mm-dd"),'Ingest Template'!M346&amp; "|DAR|DAR|2021-01-01")),(IF(OR('Ingest Template'!F346 = "Program Type - Special", 'Ingest Template'!F346 = "Program Type - Live Event"),'Ingest Template'!M346&amp; "|Operations - Core Title|Operations - Core Title|"&amp;TEXT('Ingest Template'!C346-3, "yyyy-mm-dd")&amp;"|"&amp;TEXT('Ingest Template'!C346+3, "yyyy-mm-dd"),'Ingest Template'!M346&amp; "|Operations - Core Title|Operations - Core Title")))</f>
        <v>|Operations - Core Title|Operations - Core Title</v>
      </c>
      <c r="AK346" s="35"/>
      <c r="AL346" s="117" t="str">
        <f>if('Ingest Template'!A346="Standard",(IF(OR('Ingest Template'!F346 = "Program Type - Special", 'Ingest Template'!F346 = "Program Type - Live Event"),'Ingest Template'!Q346&amp;"|"&amp;TEXT('Ingest Template'!C346-3, "yyyy-mm-dd")&amp;"|"&amp;TEXT('Ingest Template'!C346+3, "yyyy-mm-dd"),'Ingest Template'!Q346&amp; "|2021-01-01")),(IF(OR('Ingest Template'!F346 = "Program Type - Special", 'Ingest Template'!F346 = "Program Type - Live Event"),'Ingest Template'!Q346&amp; "|"&amp;TEXT('Ingest Template'!C346-3, "yyyy-mm-dd")&amp;"|"&amp;TEXT('Ingest Template'!C346+3, "yyyy-mm-dd"),'Ingest Template'!Q346)))</f>
        <v/>
      </c>
      <c r="AM346" s="35" t="str">
        <f>'Ingest Template'!AC346</f>
        <v/>
      </c>
    </row>
    <row r="347">
      <c r="A347" s="15"/>
      <c r="B347" s="22" t="str">
        <f>'Ingest Template'!C347&amp;IF('Ingest Template'!A347 = "Standard", " - DAR","")</f>
        <v/>
      </c>
      <c r="C347" s="22" t="s">
        <v>83</v>
      </c>
      <c r="D347" s="22" t="str">
        <f t="array" ref="D347">CONCATENATE(INDEX(DropdownLists!$H$2:$H$11,MATCH(1,COUNTIF('Ingest Template'!E347,"*"&amp;DropdownLists!$I$2:$I$11&amp;"*"),0)),CHAR(10),'Ingest Template'!F347,CHAR(10),'Ingest Template'!G347,CHAR(10),VLOOKUP('Ingest Template'!D347,DropdownLists!C:D,2,FALSE))</f>
        <v>#N/A</v>
      </c>
      <c r="E347" s="22" t="str">
        <f>CONCATENATE('Ingest Template'!H347,CHAR(10),'Ingest Template'!I347,CHAR(10),'Ingest Template'!J347,CHAR(10))</f>
        <v>
</v>
      </c>
      <c r="F347" s="35" t="str">
        <f t="array" ref="F347">INDEX(DropdownLists!$O$2:$O$36,MATCH(1,COUNTIF(E347,"*"&amp;DropdownLists!$N$2:$N$36&amp;"*"),0))</f>
        <v/>
      </c>
      <c r="G347" s="35"/>
      <c r="H347" s="22" t="str">
        <f t="array" ref="H347">INDEX(DropdownLists!$E$2:$E$276,MATCH('Ingest Template'!D347,DropdownLists!$C$2:$C$276,0))</f>
        <v>#N/A</v>
      </c>
      <c r="I347" s="22"/>
      <c r="J347" s="22" t="str">
        <f t="array" ref="J347">iF('Ingest Template'!A347="Standard","Pristine Brand",INDEX(DropdownLists!$B$2:$B$246,MATCH('Ingest Template'!D347,DropdownLists!$C$2:$C$246,0)))</f>
        <v>#N/A</v>
      </c>
      <c r="K347" s="22" t="str">
        <f>iF('Ingest Template'!A347="Standard",'Ingest Template'!K347&amp;CHAR(10)&amp;'Ingest Template'!L347,"Competitive View")</f>
        <v>Competitive View</v>
      </c>
      <c r="L347" s="22" t="s">
        <v>95</v>
      </c>
      <c r="M347" s="45" t="str">
        <f>'Ingest Template'!B347</f>
        <v/>
      </c>
      <c r="N347" s="35"/>
      <c r="O347" s="35"/>
      <c r="P347" s="35"/>
      <c r="Q347" s="35"/>
      <c r="R347" s="35" t="str">
        <f>'Ingest Template'!D347</f>
        <v/>
      </c>
      <c r="S347" s="22" t="s">
        <v>101</v>
      </c>
      <c r="T347" s="35" t="str">
        <f>'Ingest Template'!V347</f>
        <v/>
      </c>
      <c r="U347" s="35" t="str">
        <f>'Ingest Template'!W347</f>
        <v/>
      </c>
      <c r="V347" s="35" t="str">
        <f>LOWER(SUBSTITUTE(SUBSTITUTE(SUBSTITUTE(SUBSTITUTE(SUBSTITUTE('Ingest Template'!X347,"https:",""),"www.",""),"/",""),"?hl=en",""),"instagram.com",""))</f>
        <v/>
      </c>
      <c r="W347" s="74" t="str">
        <f t="array" ref="W347">IF(
'Ingest Template'!Y347="",
SUBSTITUTE(
INDEX(DropdownLists!$F$2:$F$277,MATCH('Ingest Template'!D347,DropdownLists!$C$2:$C$277,0)),
CHAR(10),
"|"&amp;'Ingest Template'!C347&amp;CHAR(10)
)&amp;"|"&amp;'Ingest Template'!C347,
SUBSTITUTE(
INDEX(DropdownLists!$F$2:$F$277,MATCH('Ingest Template'!D347,DropdownLists!$C$2:$C$277,0)),
CHAR(10),
"|"&amp;'Ingest Template'!C347&amp;CHAR(10)
)&amp;"|"&amp;'Ingest Template'!C347&amp;CHAR(10)&amp;'Ingest Template'!Y347
)</f>
        <v>#N/A</v>
      </c>
      <c r="X347" s="74" t="str">
        <f>'Ingest Template'!Z347</f>
        <v/>
      </c>
      <c r="Y347" s="35" t="str">
        <f>SUBSTITUTE(SUBSTITUTE(SUBSTITUTE('Ingest Template'!AA347,"http:",""),"https:",""),"/","")</f>
        <v/>
      </c>
      <c r="Z347" s="35" t="str">
        <f t="array" ref="Z347">IF('Ingest Template'!A347="Standard",(IF(ISBLANK('Ingest Template'!AB347),"", 'Ingest Template'!AB347&amp;"|DAR")),(IF(ISBLANK('Ingest Template'!AB347),"", 'Ingest Template'!AB347&amp;"|TV Ops")))</f>
        <v/>
      </c>
      <c r="AA347" s="35"/>
      <c r="AB347" s="35" t="str">
        <f>'Ingest Template'!R347</f>
        <v/>
      </c>
      <c r="AC347" s="35" t="str">
        <f>'Ingest Template'!T347</f>
        <v/>
      </c>
      <c r="AD347" s="35" t="str">
        <f>'Ingest Template'!S347</f>
        <v/>
      </c>
      <c r="AE347" s="35" t="str">
        <f>'Ingest Template'!U347</f>
        <v/>
      </c>
      <c r="AF347" s="22"/>
      <c r="AG347" s="35" t="str">
        <f t="array" ref="AG347">IF('Ingest Template'!A347="Standard",(CONCATENATE(IF(ISBLANK('Ingest Template'!N347),"", 'Ingest Template'!N347&amp;"|DAR"),CHAR(10), IF(ISBLANK('Ingest Template'!O347),"", 'Ingest Template'!O347&amp;"|DAR"),CHAR(10), IF(ISBLANK('Ingest Template'!P347),"", 'Ingest Template'!P347&amp;"|DAR"))),(CONCATENATE(IF(ISBLANK('Ingest Template'!N347),"", 'Ingest Template'!N347&amp;"|TV Ops"),CHAR(10), IF(ISBLANK('Ingest Template'!O347),"", 'Ingest Template'!O347&amp;"|TV Ops"),CHAR(10), IF(ISBLANK('Ingest Template'!P347),"", 'Ingest Template'!P347&amp;"|TV Ops"))))</f>
        <v>
</v>
      </c>
      <c r="AH347" s="35"/>
      <c r="AI347" s="35"/>
      <c r="AJ347" s="117" t="str">
        <f>if('Ingest Template'!A347="Standard",(IF(OR('Ingest Template'!F347 = "Program Type - Special", 'Ingest Template'!F347 = "Program Type - Live Event"),'Ingest Template'!M347&amp; "|DAR|DAR|"&amp;TEXT('Ingest Template'!C347-3, "yyyy-mm-dd")&amp;"|"&amp;TEXT('Ingest Template'!C347+3, "yyyy-mm-dd"),'Ingest Template'!M347&amp; "|DAR|DAR|2021-01-01")),(IF(OR('Ingest Template'!F347 = "Program Type - Special", 'Ingest Template'!F347 = "Program Type - Live Event"),'Ingest Template'!M347&amp; "|Operations - Core Title|Operations - Core Title|"&amp;TEXT('Ingest Template'!C347-3, "yyyy-mm-dd")&amp;"|"&amp;TEXT('Ingest Template'!C347+3, "yyyy-mm-dd"),'Ingest Template'!M347&amp; "|Operations - Core Title|Operations - Core Title")))</f>
        <v>|Operations - Core Title|Operations - Core Title</v>
      </c>
      <c r="AK347" s="35"/>
      <c r="AL347" s="117" t="str">
        <f>if('Ingest Template'!A347="Standard",(IF(OR('Ingest Template'!F347 = "Program Type - Special", 'Ingest Template'!F347 = "Program Type - Live Event"),'Ingest Template'!Q347&amp;"|"&amp;TEXT('Ingest Template'!C347-3, "yyyy-mm-dd")&amp;"|"&amp;TEXT('Ingest Template'!C347+3, "yyyy-mm-dd"),'Ingest Template'!Q347&amp; "|2021-01-01")),(IF(OR('Ingest Template'!F347 = "Program Type - Special", 'Ingest Template'!F347 = "Program Type - Live Event"),'Ingest Template'!Q347&amp; "|"&amp;TEXT('Ingest Template'!C347-3, "yyyy-mm-dd")&amp;"|"&amp;TEXT('Ingest Template'!C347+3, "yyyy-mm-dd"),'Ingest Template'!Q347)))</f>
        <v/>
      </c>
      <c r="AM347" s="35" t="str">
        <f>'Ingest Template'!AC347</f>
        <v/>
      </c>
    </row>
    <row r="348">
      <c r="A348" s="15"/>
      <c r="B348" s="22" t="str">
        <f>'Ingest Template'!C348&amp;IF('Ingest Template'!A348 = "Standard", " - DAR","")</f>
        <v/>
      </c>
      <c r="C348" s="22" t="s">
        <v>83</v>
      </c>
      <c r="D348" s="22" t="str">
        <f t="array" ref="D348">CONCATENATE(INDEX(DropdownLists!$H$2:$H$11,MATCH(1,COUNTIF('Ingest Template'!E348,"*"&amp;DropdownLists!$I$2:$I$11&amp;"*"),0)),CHAR(10),'Ingest Template'!F348,CHAR(10),'Ingest Template'!G348,CHAR(10),VLOOKUP('Ingest Template'!D348,DropdownLists!C:D,2,FALSE))</f>
        <v>#N/A</v>
      </c>
      <c r="E348" s="22" t="str">
        <f>CONCATENATE('Ingest Template'!H348,CHAR(10),'Ingest Template'!I348,CHAR(10),'Ingest Template'!J348,CHAR(10))</f>
        <v>
</v>
      </c>
      <c r="F348" s="35" t="str">
        <f t="array" ref="F348">INDEX(DropdownLists!$O$2:$O$36,MATCH(1,COUNTIF(E348,"*"&amp;DropdownLists!$N$2:$N$36&amp;"*"),0))</f>
        <v/>
      </c>
      <c r="G348" s="35"/>
      <c r="H348" s="22" t="str">
        <f t="array" ref="H348">INDEX(DropdownLists!$E$2:$E$276,MATCH('Ingest Template'!D348,DropdownLists!$C$2:$C$276,0))</f>
        <v>#N/A</v>
      </c>
      <c r="I348" s="22"/>
      <c r="J348" s="22" t="str">
        <f t="array" ref="J348">iF('Ingest Template'!A348="Standard","Pristine Brand",INDEX(DropdownLists!$B$2:$B$246,MATCH('Ingest Template'!D348,DropdownLists!$C$2:$C$246,0)))</f>
        <v>#N/A</v>
      </c>
      <c r="K348" s="22" t="str">
        <f>iF('Ingest Template'!A348="Standard",'Ingest Template'!K348&amp;CHAR(10)&amp;'Ingest Template'!L348,"Competitive View")</f>
        <v>Competitive View</v>
      </c>
      <c r="L348" s="22" t="s">
        <v>95</v>
      </c>
      <c r="M348" s="45" t="str">
        <f>'Ingest Template'!B348</f>
        <v/>
      </c>
      <c r="N348" s="35"/>
      <c r="O348" s="35"/>
      <c r="P348" s="35"/>
      <c r="Q348" s="35"/>
      <c r="R348" s="35" t="str">
        <f>'Ingest Template'!D348</f>
        <v/>
      </c>
      <c r="S348" s="22" t="s">
        <v>101</v>
      </c>
      <c r="T348" s="35" t="str">
        <f>'Ingest Template'!V348</f>
        <v/>
      </c>
      <c r="U348" s="35" t="str">
        <f>'Ingest Template'!W348</f>
        <v/>
      </c>
      <c r="V348" s="35" t="str">
        <f>LOWER(SUBSTITUTE(SUBSTITUTE(SUBSTITUTE(SUBSTITUTE(SUBSTITUTE('Ingest Template'!X348,"https:",""),"www.",""),"/",""),"?hl=en",""),"instagram.com",""))</f>
        <v/>
      </c>
      <c r="W348" s="74" t="str">
        <f t="array" ref="W348">IF(
'Ingest Template'!Y348="",
SUBSTITUTE(
INDEX(DropdownLists!$F$2:$F$277,MATCH('Ingest Template'!D348,DropdownLists!$C$2:$C$277,0)),
CHAR(10),
"|"&amp;'Ingest Template'!C348&amp;CHAR(10)
)&amp;"|"&amp;'Ingest Template'!C348,
SUBSTITUTE(
INDEX(DropdownLists!$F$2:$F$277,MATCH('Ingest Template'!D348,DropdownLists!$C$2:$C$277,0)),
CHAR(10),
"|"&amp;'Ingest Template'!C348&amp;CHAR(10)
)&amp;"|"&amp;'Ingest Template'!C348&amp;CHAR(10)&amp;'Ingest Template'!Y348
)</f>
        <v>#N/A</v>
      </c>
      <c r="X348" s="74" t="str">
        <f>'Ingest Template'!Z348</f>
        <v/>
      </c>
      <c r="Y348" s="35" t="str">
        <f>SUBSTITUTE(SUBSTITUTE(SUBSTITUTE('Ingest Template'!AA348,"http:",""),"https:",""),"/","")</f>
        <v/>
      </c>
      <c r="Z348" s="35" t="str">
        <f t="array" ref="Z348">IF('Ingest Template'!A348="Standard",(IF(ISBLANK('Ingest Template'!AB348),"", 'Ingest Template'!AB348&amp;"|DAR")),(IF(ISBLANK('Ingest Template'!AB348),"", 'Ingest Template'!AB348&amp;"|TV Ops")))</f>
        <v/>
      </c>
      <c r="AA348" s="35"/>
      <c r="AB348" s="35" t="str">
        <f>'Ingest Template'!R348</f>
        <v/>
      </c>
      <c r="AC348" s="35" t="str">
        <f>'Ingest Template'!T348</f>
        <v/>
      </c>
      <c r="AD348" s="35" t="str">
        <f>'Ingest Template'!S348</f>
        <v/>
      </c>
      <c r="AE348" s="35" t="str">
        <f>'Ingest Template'!U348</f>
        <v/>
      </c>
      <c r="AF348" s="22"/>
      <c r="AG348" s="35" t="str">
        <f t="array" ref="AG348">IF('Ingest Template'!A348="Standard",(CONCATENATE(IF(ISBLANK('Ingest Template'!N348),"", 'Ingest Template'!N348&amp;"|DAR"),CHAR(10), IF(ISBLANK('Ingest Template'!O348),"", 'Ingest Template'!O348&amp;"|DAR"),CHAR(10), IF(ISBLANK('Ingest Template'!P348),"", 'Ingest Template'!P348&amp;"|DAR"))),(CONCATENATE(IF(ISBLANK('Ingest Template'!N348),"", 'Ingest Template'!N348&amp;"|TV Ops"),CHAR(10), IF(ISBLANK('Ingest Template'!O348),"", 'Ingest Template'!O348&amp;"|TV Ops"),CHAR(10), IF(ISBLANK('Ingest Template'!P348),"", 'Ingest Template'!P348&amp;"|TV Ops"))))</f>
        <v>
</v>
      </c>
      <c r="AH348" s="35"/>
      <c r="AI348" s="35"/>
      <c r="AJ348" s="117" t="str">
        <f>if('Ingest Template'!A348="Standard",(IF(OR('Ingest Template'!F348 = "Program Type - Special", 'Ingest Template'!F348 = "Program Type - Live Event"),'Ingest Template'!M348&amp; "|DAR|DAR|"&amp;TEXT('Ingest Template'!C348-3, "yyyy-mm-dd")&amp;"|"&amp;TEXT('Ingest Template'!C348+3, "yyyy-mm-dd"),'Ingest Template'!M348&amp; "|DAR|DAR|2021-01-01")),(IF(OR('Ingest Template'!F348 = "Program Type - Special", 'Ingest Template'!F348 = "Program Type - Live Event"),'Ingest Template'!M348&amp; "|Operations - Core Title|Operations - Core Title|"&amp;TEXT('Ingest Template'!C348-3, "yyyy-mm-dd")&amp;"|"&amp;TEXT('Ingest Template'!C348+3, "yyyy-mm-dd"),'Ingest Template'!M348&amp; "|Operations - Core Title|Operations - Core Title")))</f>
        <v>|Operations - Core Title|Operations - Core Title</v>
      </c>
      <c r="AK348" s="35"/>
      <c r="AL348" s="117" t="str">
        <f>if('Ingest Template'!A348="Standard",(IF(OR('Ingest Template'!F348 = "Program Type - Special", 'Ingest Template'!F348 = "Program Type - Live Event"),'Ingest Template'!Q348&amp;"|"&amp;TEXT('Ingest Template'!C348-3, "yyyy-mm-dd")&amp;"|"&amp;TEXT('Ingest Template'!C348+3, "yyyy-mm-dd"),'Ingest Template'!Q348&amp; "|2021-01-01")),(IF(OR('Ingest Template'!F348 = "Program Type - Special", 'Ingest Template'!F348 = "Program Type - Live Event"),'Ingest Template'!Q348&amp; "|"&amp;TEXT('Ingest Template'!C348-3, "yyyy-mm-dd")&amp;"|"&amp;TEXT('Ingest Template'!C348+3, "yyyy-mm-dd"),'Ingest Template'!Q348)))</f>
        <v/>
      </c>
      <c r="AM348" s="35" t="str">
        <f>'Ingest Template'!AC348</f>
        <v/>
      </c>
    </row>
    <row r="349">
      <c r="A349" s="15"/>
      <c r="B349" s="22" t="str">
        <f>'Ingest Template'!C349&amp;IF('Ingest Template'!A349 = "Standard", " - DAR","")</f>
        <v/>
      </c>
      <c r="C349" s="22" t="s">
        <v>83</v>
      </c>
      <c r="D349" s="22" t="str">
        <f t="array" ref="D349">CONCATENATE(INDEX(DropdownLists!$H$2:$H$11,MATCH(1,COUNTIF('Ingest Template'!E349,"*"&amp;DropdownLists!$I$2:$I$11&amp;"*"),0)),CHAR(10),'Ingest Template'!F349,CHAR(10),'Ingest Template'!G349,CHAR(10),VLOOKUP('Ingest Template'!D349,DropdownLists!C:D,2,FALSE))</f>
        <v>#N/A</v>
      </c>
      <c r="E349" s="22" t="str">
        <f>CONCATENATE('Ingest Template'!H349,CHAR(10),'Ingest Template'!I349,CHAR(10),'Ingest Template'!J349,CHAR(10))</f>
        <v>
</v>
      </c>
      <c r="F349" s="35" t="str">
        <f t="array" ref="F349">INDEX(DropdownLists!$O$2:$O$36,MATCH(1,COUNTIF(E349,"*"&amp;DropdownLists!$N$2:$N$36&amp;"*"),0))</f>
        <v/>
      </c>
      <c r="G349" s="35"/>
      <c r="H349" s="22" t="str">
        <f t="array" ref="H349">INDEX(DropdownLists!$E$2:$E$276,MATCH('Ingest Template'!D349,DropdownLists!$C$2:$C$276,0))</f>
        <v>#N/A</v>
      </c>
      <c r="I349" s="22"/>
      <c r="J349" s="22" t="str">
        <f t="array" ref="J349">iF('Ingest Template'!A349="Standard","Pristine Brand",INDEX(DropdownLists!$B$2:$B$246,MATCH('Ingest Template'!D349,DropdownLists!$C$2:$C$246,0)))</f>
        <v>#N/A</v>
      </c>
      <c r="K349" s="22" t="str">
        <f>iF('Ingest Template'!A349="Standard",'Ingest Template'!K349&amp;CHAR(10)&amp;'Ingest Template'!L349,"Competitive View")</f>
        <v>Competitive View</v>
      </c>
      <c r="L349" s="22" t="s">
        <v>95</v>
      </c>
      <c r="M349" s="45" t="str">
        <f>'Ingest Template'!B349</f>
        <v/>
      </c>
      <c r="N349" s="35"/>
      <c r="O349" s="35"/>
      <c r="P349" s="35"/>
      <c r="Q349" s="35"/>
      <c r="R349" s="35" t="str">
        <f>'Ingest Template'!D349</f>
        <v/>
      </c>
      <c r="S349" s="22" t="s">
        <v>101</v>
      </c>
      <c r="T349" s="35" t="str">
        <f>'Ingest Template'!V349</f>
        <v/>
      </c>
      <c r="U349" s="35" t="str">
        <f>'Ingest Template'!W349</f>
        <v/>
      </c>
      <c r="V349" s="35" t="str">
        <f>LOWER(SUBSTITUTE(SUBSTITUTE(SUBSTITUTE(SUBSTITUTE(SUBSTITUTE('Ingest Template'!X349,"https:",""),"www.",""),"/",""),"?hl=en",""),"instagram.com",""))</f>
        <v/>
      </c>
      <c r="W349" s="74" t="str">
        <f t="array" ref="W349">IF(
'Ingest Template'!Y349="",
SUBSTITUTE(
INDEX(DropdownLists!$F$2:$F$277,MATCH('Ingest Template'!D349,DropdownLists!$C$2:$C$277,0)),
CHAR(10),
"|"&amp;'Ingest Template'!C349&amp;CHAR(10)
)&amp;"|"&amp;'Ingest Template'!C349,
SUBSTITUTE(
INDEX(DropdownLists!$F$2:$F$277,MATCH('Ingest Template'!D349,DropdownLists!$C$2:$C$277,0)),
CHAR(10),
"|"&amp;'Ingest Template'!C349&amp;CHAR(10)
)&amp;"|"&amp;'Ingest Template'!C349&amp;CHAR(10)&amp;'Ingest Template'!Y349
)</f>
        <v>#N/A</v>
      </c>
      <c r="X349" s="74" t="str">
        <f>'Ingest Template'!Z349</f>
        <v/>
      </c>
      <c r="Y349" s="35" t="str">
        <f>SUBSTITUTE(SUBSTITUTE(SUBSTITUTE('Ingest Template'!AA349,"http:",""),"https:",""),"/","")</f>
        <v/>
      </c>
      <c r="Z349" s="35" t="str">
        <f t="array" ref="Z349">IF('Ingest Template'!A349="Standard",(IF(ISBLANK('Ingest Template'!AB349),"", 'Ingest Template'!AB349&amp;"|DAR")),(IF(ISBLANK('Ingest Template'!AB349),"", 'Ingest Template'!AB349&amp;"|TV Ops")))</f>
        <v/>
      </c>
      <c r="AA349" s="35"/>
      <c r="AB349" s="35" t="str">
        <f>'Ingest Template'!R349</f>
        <v/>
      </c>
      <c r="AC349" s="35" t="str">
        <f>'Ingest Template'!T349</f>
        <v/>
      </c>
      <c r="AD349" s="35" t="str">
        <f>'Ingest Template'!S349</f>
        <v/>
      </c>
      <c r="AE349" s="35" t="str">
        <f>'Ingest Template'!U349</f>
        <v/>
      </c>
      <c r="AF349" s="22"/>
      <c r="AG349" s="35" t="str">
        <f t="array" ref="AG349">IF('Ingest Template'!A349="Standard",(CONCATENATE(IF(ISBLANK('Ingest Template'!N349),"", 'Ingest Template'!N349&amp;"|DAR"),CHAR(10), IF(ISBLANK('Ingest Template'!O349),"", 'Ingest Template'!O349&amp;"|DAR"),CHAR(10), IF(ISBLANK('Ingest Template'!P349),"", 'Ingest Template'!P349&amp;"|DAR"))),(CONCATENATE(IF(ISBLANK('Ingest Template'!N349),"", 'Ingest Template'!N349&amp;"|TV Ops"),CHAR(10), IF(ISBLANK('Ingest Template'!O349),"", 'Ingest Template'!O349&amp;"|TV Ops"),CHAR(10), IF(ISBLANK('Ingest Template'!P349),"", 'Ingest Template'!P349&amp;"|TV Ops"))))</f>
        <v>
</v>
      </c>
      <c r="AH349" s="35"/>
      <c r="AI349" s="35"/>
      <c r="AJ349" s="117" t="str">
        <f>if('Ingest Template'!A349="Standard",(IF(OR('Ingest Template'!F349 = "Program Type - Special", 'Ingest Template'!F349 = "Program Type - Live Event"),'Ingest Template'!M349&amp; "|DAR|DAR|"&amp;TEXT('Ingest Template'!C349-3, "yyyy-mm-dd")&amp;"|"&amp;TEXT('Ingest Template'!C349+3, "yyyy-mm-dd"),'Ingest Template'!M349&amp; "|DAR|DAR|2021-01-01")),(IF(OR('Ingest Template'!F349 = "Program Type - Special", 'Ingest Template'!F349 = "Program Type - Live Event"),'Ingest Template'!M349&amp; "|Operations - Core Title|Operations - Core Title|"&amp;TEXT('Ingest Template'!C349-3, "yyyy-mm-dd")&amp;"|"&amp;TEXT('Ingest Template'!C349+3, "yyyy-mm-dd"),'Ingest Template'!M349&amp; "|Operations - Core Title|Operations - Core Title")))</f>
        <v>|Operations - Core Title|Operations - Core Title</v>
      </c>
      <c r="AK349" s="35"/>
      <c r="AL349" s="117" t="str">
        <f>if('Ingest Template'!A349="Standard",(IF(OR('Ingest Template'!F349 = "Program Type - Special", 'Ingest Template'!F349 = "Program Type - Live Event"),'Ingest Template'!Q349&amp;"|"&amp;TEXT('Ingest Template'!C349-3, "yyyy-mm-dd")&amp;"|"&amp;TEXT('Ingest Template'!C349+3, "yyyy-mm-dd"),'Ingest Template'!Q349&amp; "|2021-01-01")),(IF(OR('Ingest Template'!F349 = "Program Type - Special", 'Ingest Template'!F349 = "Program Type - Live Event"),'Ingest Template'!Q349&amp; "|"&amp;TEXT('Ingest Template'!C349-3, "yyyy-mm-dd")&amp;"|"&amp;TEXT('Ingest Template'!C349+3, "yyyy-mm-dd"),'Ingest Template'!Q349)))</f>
        <v/>
      </c>
      <c r="AM349" s="35" t="str">
        <f>'Ingest Template'!AC349</f>
        <v/>
      </c>
    </row>
    <row r="350">
      <c r="A350" s="15"/>
      <c r="B350" s="22" t="str">
        <f>'Ingest Template'!C350&amp;IF('Ingest Template'!A350 = "Standard", " - DAR","")</f>
        <v/>
      </c>
      <c r="C350" s="22" t="s">
        <v>83</v>
      </c>
      <c r="D350" s="22" t="str">
        <f t="array" ref="D350">CONCATENATE(INDEX(DropdownLists!$H$2:$H$11,MATCH(1,COUNTIF('Ingest Template'!E350,"*"&amp;DropdownLists!$I$2:$I$11&amp;"*"),0)),CHAR(10),'Ingest Template'!F350,CHAR(10),'Ingest Template'!G350,CHAR(10),VLOOKUP('Ingest Template'!D350,DropdownLists!C:D,2,FALSE))</f>
        <v>#N/A</v>
      </c>
      <c r="E350" s="22" t="str">
        <f>CONCATENATE('Ingest Template'!H350,CHAR(10),'Ingest Template'!I350,CHAR(10),'Ingest Template'!J350,CHAR(10))</f>
        <v>
</v>
      </c>
      <c r="F350" s="35" t="str">
        <f t="array" ref="F350">INDEX(DropdownLists!$O$2:$O$36,MATCH(1,COUNTIF(E350,"*"&amp;DropdownLists!$N$2:$N$36&amp;"*"),0))</f>
        <v/>
      </c>
      <c r="G350" s="35"/>
      <c r="H350" s="22" t="str">
        <f t="array" ref="H350">INDEX(DropdownLists!$E$2:$E$276,MATCH('Ingest Template'!D350,DropdownLists!$C$2:$C$276,0))</f>
        <v>#N/A</v>
      </c>
      <c r="I350" s="22"/>
      <c r="J350" s="22" t="str">
        <f t="array" ref="J350">iF('Ingest Template'!A350="Standard","Pristine Brand",INDEX(DropdownLists!$B$2:$B$246,MATCH('Ingest Template'!D350,DropdownLists!$C$2:$C$246,0)))</f>
        <v>#N/A</v>
      </c>
      <c r="K350" s="22" t="str">
        <f>iF('Ingest Template'!A350="Standard",'Ingest Template'!K350&amp;CHAR(10)&amp;'Ingest Template'!L350,"Competitive View")</f>
        <v>Competitive View</v>
      </c>
      <c r="L350" s="22" t="s">
        <v>95</v>
      </c>
      <c r="M350" s="45" t="str">
        <f>'Ingest Template'!B350</f>
        <v/>
      </c>
      <c r="N350" s="35"/>
      <c r="O350" s="35"/>
      <c r="P350" s="35"/>
      <c r="Q350" s="35"/>
      <c r="R350" s="35" t="str">
        <f>'Ingest Template'!D350</f>
        <v/>
      </c>
      <c r="S350" s="22" t="s">
        <v>101</v>
      </c>
      <c r="T350" s="35" t="str">
        <f>'Ingest Template'!V350</f>
        <v/>
      </c>
      <c r="U350" s="35" t="str">
        <f>'Ingest Template'!W350</f>
        <v/>
      </c>
      <c r="V350" s="35" t="str">
        <f>LOWER(SUBSTITUTE(SUBSTITUTE(SUBSTITUTE(SUBSTITUTE(SUBSTITUTE('Ingest Template'!X350,"https:",""),"www.",""),"/",""),"?hl=en",""),"instagram.com",""))</f>
        <v/>
      </c>
      <c r="W350" s="74" t="str">
        <f t="array" ref="W350">IF(
'Ingest Template'!Y350="",
SUBSTITUTE(
INDEX(DropdownLists!$F$2:$F$277,MATCH('Ingest Template'!D350,DropdownLists!$C$2:$C$277,0)),
CHAR(10),
"|"&amp;'Ingest Template'!C350&amp;CHAR(10)
)&amp;"|"&amp;'Ingest Template'!C350,
SUBSTITUTE(
INDEX(DropdownLists!$F$2:$F$277,MATCH('Ingest Template'!D350,DropdownLists!$C$2:$C$277,0)),
CHAR(10),
"|"&amp;'Ingest Template'!C350&amp;CHAR(10)
)&amp;"|"&amp;'Ingest Template'!C350&amp;CHAR(10)&amp;'Ingest Template'!Y350
)</f>
        <v>#N/A</v>
      </c>
      <c r="X350" s="74" t="str">
        <f>'Ingest Template'!Z350</f>
        <v/>
      </c>
      <c r="Y350" s="35" t="str">
        <f>SUBSTITUTE(SUBSTITUTE(SUBSTITUTE('Ingest Template'!AA350,"http:",""),"https:",""),"/","")</f>
        <v/>
      </c>
      <c r="Z350" s="35" t="str">
        <f t="array" ref="Z350">IF('Ingest Template'!A350="Standard",(IF(ISBLANK('Ingest Template'!AB350),"", 'Ingest Template'!AB350&amp;"|DAR")),(IF(ISBLANK('Ingest Template'!AB350),"", 'Ingest Template'!AB350&amp;"|TV Ops")))</f>
        <v/>
      </c>
      <c r="AA350" s="35"/>
      <c r="AB350" s="35" t="str">
        <f>'Ingest Template'!R350</f>
        <v/>
      </c>
      <c r="AC350" s="35" t="str">
        <f>'Ingest Template'!T350</f>
        <v/>
      </c>
      <c r="AD350" s="35" t="str">
        <f>'Ingest Template'!S350</f>
        <v/>
      </c>
      <c r="AE350" s="35" t="str">
        <f>'Ingest Template'!U350</f>
        <v/>
      </c>
      <c r="AF350" s="22"/>
      <c r="AG350" s="35" t="str">
        <f t="array" ref="AG350">IF('Ingest Template'!A350="Standard",(CONCATENATE(IF(ISBLANK('Ingest Template'!N350),"", 'Ingest Template'!N350&amp;"|DAR"),CHAR(10), IF(ISBLANK('Ingest Template'!O350),"", 'Ingest Template'!O350&amp;"|DAR"),CHAR(10), IF(ISBLANK('Ingest Template'!P350),"", 'Ingest Template'!P350&amp;"|DAR"))),(CONCATENATE(IF(ISBLANK('Ingest Template'!N350),"", 'Ingest Template'!N350&amp;"|TV Ops"),CHAR(10), IF(ISBLANK('Ingest Template'!O350),"", 'Ingest Template'!O350&amp;"|TV Ops"),CHAR(10), IF(ISBLANK('Ingest Template'!P350),"", 'Ingest Template'!P350&amp;"|TV Ops"))))</f>
        <v>
</v>
      </c>
      <c r="AH350" s="35"/>
      <c r="AI350" s="35"/>
      <c r="AJ350" s="117" t="str">
        <f>if('Ingest Template'!A350="Standard",(IF(OR('Ingest Template'!F350 = "Program Type - Special", 'Ingest Template'!F350 = "Program Type - Live Event"),'Ingest Template'!M350&amp; "|DAR|DAR|"&amp;TEXT('Ingest Template'!C350-3, "yyyy-mm-dd")&amp;"|"&amp;TEXT('Ingest Template'!C350+3, "yyyy-mm-dd"),'Ingest Template'!M350&amp; "|DAR|DAR|2021-01-01")),(IF(OR('Ingest Template'!F350 = "Program Type - Special", 'Ingest Template'!F350 = "Program Type - Live Event"),'Ingest Template'!M350&amp; "|Operations - Core Title|Operations - Core Title|"&amp;TEXT('Ingest Template'!C350-3, "yyyy-mm-dd")&amp;"|"&amp;TEXT('Ingest Template'!C350+3, "yyyy-mm-dd"),'Ingest Template'!M350&amp; "|Operations - Core Title|Operations - Core Title")))</f>
        <v>|Operations - Core Title|Operations - Core Title</v>
      </c>
      <c r="AK350" s="35"/>
      <c r="AL350" s="117" t="str">
        <f>if('Ingest Template'!A350="Standard",(IF(OR('Ingest Template'!F350 = "Program Type - Special", 'Ingest Template'!F350 = "Program Type - Live Event"),'Ingest Template'!Q350&amp;"|"&amp;TEXT('Ingest Template'!C350-3, "yyyy-mm-dd")&amp;"|"&amp;TEXT('Ingest Template'!C350+3, "yyyy-mm-dd"),'Ingest Template'!Q350&amp; "|2021-01-01")),(IF(OR('Ingest Template'!F350 = "Program Type - Special", 'Ingest Template'!F350 = "Program Type - Live Event"),'Ingest Template'!Q350&amp; "|"&amp;TEXT('Ingest Template'!C350-3, "yyyy-mm-dd")&amp;"|"&amp;TEXT('Ingest Template'!C350+3, "yyyy-mm-dd"),'Ingest Template'!Q350)))</f>
        <v/>
      </c>
      <c r="AM350" s="35" t="str">
        <f>'Ingest Template'!AC350</f>
        <v/>
      </c>
    </row>
    <row r="351">
      <c r="A351" s="15"/>
      <c r="B351" s="22" t="str">
        <f>'Ingest Template'!C351&amp;IF('Ingest Template'!A351 = "Standard", " - DAR","")</f>
        <v/>
      </c>
      <c r="C351" s="22" t="s">
        <v>83</v>
      </c>
      <c r="D351" s="22" t="str">
        <f t="array" ref="D351">CONCATENATE(INDEX(DropdownLists!$H$2:$H$11,MATCH(1,COUNTIF('Ingest Template'!E351,"*"&amp;DropdownLists!$I$2:$I$11&amp;"*"),0)),CHAR(10),'Ingest Template'!F351,CHAR(10),'Ingest Template'!G351,CHAR(10),VLOOKUP('Ingest Template'!D351,DropdownLists!C:D,2,FALSE))</f>
        <v>#N/A</v>
      </c>
      <c r="E351" s="22" t="str">
        <f>CONCATENATE('Ingest Template'!H351,CHAR(10),'Ingest Template'!I351,CHAR(10),'Ingest Template'!J351,CHAR(10))</f>
        <v>
</v>
      </c>
      <c r="F351" s="35" t="str">
        <f t="array" ref="F351">INDEX(DropdownLists!$O$2:$O$36,MATCH(1,COUNTIF(E351,"*"&amp;DropdownLists!$N$2:$N$36&amp;"*"),0))</f>
        <v/>
      </c>
      <c r="G351" s="35"/>
      <c r="H351" s="22" t="str">
        <f t="array" ref="H351">INDEX(DropdownLists!$E$2:$E$276,MATCH('Ingest Template'!D351,DropdownLists!$C$2:$C$276,0))</f>
        <v>#N/A</v>
      </c>
      <c r="I351" s="22"/>
      <c r="J351" s="22" t="str">
        <f t="array" ref="J351">iF('Ingest Template'!A351="Standard","Pristine Brand",INDEX(DropdownLists!$B$2:$B$246,MATCH('Ingest Template'!D351,DropdownLists!$C$2:$C$246,0)))</f>
        <v>#N/A</v>
      </c>
      <c r="K351" s="22" t="str">
        <f>iF('Ingest Template'!A351="Standard",'Ingest Template'!K351&amp;CHAR(10)&amp;'Ingest Template'!L351,"Competitive View")</f>
        <v>Competitive View</v>
      </c>
      <c r="L351" s="22" t="s">
        <v>95</v>
      </c>
      <c r="M351" s="45" t="str">
        <f>'Ingest Template'!B351</f>
        <v/>
      </c>
      <c r="N351" s="35"/>
      <c r="O351" s="35"/>
      <c r="P351" s="35"/>
      <c r="Q351" s="35"/>
      <c r="R351" s="35" t="str">
        <f>'Ingest Template'!D351</f>
        <v/>
      </c>
      <c r="S351" s="22" t="s">
        <v>101</v>
      </c>
      <c r="T351" s="35" t="str">
        <f>'Ingest Template'!V351</f>
        <v/>
      </c>
      <c r="U351" s="35" t="str">
        <f>'Ingest Template'!W351</f>
        <v/>
      </c>
      <c r="V351" s="35" t="str">
        <f>LOWER(SUBSTITUTE(SUBSTITUTE(SUBSTITUTE(SUBSTITUTE(SUBSTITUTE('Ingest Template'!X351,"https:",""),"www.",""),"/",""),"?hl=en",""),"instagram.com",""))</f>
        <v/>
      </c>
      <c r="W351" s="74" t="str">
        <f t="array" ref="W351">IF(
'Ingest Template'!Y351="",
SUBSTITUTE(
INDEX(DropdownLists!$F$2:$F$277,MATCH('Ingest Template'!D351,DropdownLists!$C$2:$C$277,0)),
CHAR(10),
"|"&amp;'Ingest Template'!C351&amp;CHAR(10)
)&amp;"|"&amp;'Ingest Template'!C351,
SUBSTITUTE(
INDEX(DropdownLists!$F$2:$F$277,MATCH('Ingest Template'!D351,DropdownLists!$C$2:$C$277,0)),
CHAR(10),
"|"&amp;'Ingest Template'!C351&amp;CHAR(10)
)&amp;"|"&amp;'Ingest Template'!C351&amp;CHAR(10)&amp;'Ingest Template'!Y351
)</f>
        <v>#N/A</v>
      </c>
      <c r="X351" s="74" t="str">
        <f>'Ingest Template'!Z351</f>
        <v/>
      </c>
      <c r="Y351" s="35" t="str">
        <f>SUBSTITUTE(SUBSTITUTE(SUBSTITUTE('Ingest Template'!AA351,"http:",""),"https:",""),"/","")</f>
        <v/>
      </c>
      <c r="Z351" s="35" t="str">
        <f t="array" ref="Z351">IF('Ingest Template'!A351="Standard",(IF(ISBLANK('Ingest Template'!AB351),"", 'Ingest Template'!AB351&amp;"|DAR")),(IF(ISBLANK('Ingest Template'!AB351),"", 'Ingest Template'!AB351&amp;"|TV Ops")))</f>
        <v/>
      </c>
      <c r="AA351" s="35"/>
      <c r="AB351" s="35" t="str">
        <f>'Ingest Template'!R351</f>
        <v/>
      </c>
      <c r="AC351" s="35" t="str">
        <f>'Ingest Template'!T351</f>
        <v/>
      </c>
      <c r="AD351" s="35" t="str">
        <f>'Ingest Template'!S351</f>
        <v/>
      </c>
      <c r="AE351" s="35" t="str">
        <f>'Ingest Template'!U351</f>
        <v/>
      </c>
      <c r="AF351" s="22"/>
      <c r="AG351" s="35" t="str">
        <f t="array" ref="AG351">IF('Ingest Template'!A351="Standard",(CONCATENATE(IF(ISBLANK('Ingest Template'!N351),"", 'Ingest Template'!N351&amp;"|DAR"),CHAR(10), IF(ISBLANK('Ingest Template'!O351),"", 'Ingest Template'!O351&amp;"|DAR"),CHAR(10), IF(ISBLANK('Ingest Template'!P351),"", 'Ingest Template'!P351&amp;"|DAR"))),(CONCATENATE(IF(ISBLANK('Ingest Template'!N351),"", 'Ingest Template'!N351&amp;"|TV Ops"),CHAR(10), IF(ISBLANK('Ingest Template'!O351),"", 'Ingest Template'!O351&amp;"|TV Ops"),CHAR(10), IF(ISBLANK('Ingest Template'!P351),"", 'Ingest Template'!P351&amp;"|TV Ops"))))</f>
        <v>
</v>
      </c>
      <c r="AH351" s="35"/>
      <c r="AI351" s="35"/>
      <c r="AJ351" s="117" t="str">
        <f>if('Ingest Template'!A351="Standard",(IF(OR('Ingest Template'!F351 = "Program Type - Special", 'Ingest Template'!F351 = "Program Type - Live Event"),'Ingest Template'!M351&amp; "|DAR|DAR|"&amp;TEXT('Ingest Template'!C351-3, "yyyy-mm-dd")&amp;"|"&amp;TEXT('Ingest Template'!C351+3, "yyyy-mm-dd"),'Ingest Template'!M351&amp; "|DAR|DAR|2021-01-01")),(IF(OR('Ingest Template'!F351 = "Program Type - Special", 'Ingest Template'!F351 = "Program Type - Live Event"),'Ingest Template'!M351&amp; "|Operations - Core Title|Operations - Core Title|"&amp;TEXT('Ingest Template'!C351-3, "yyyy-mm-dd")&amp;"|"&amp;TEXT('Ingest Template'!C351+3, "yyyy-mm-dd"),'Ingest Template'!M351&amp; "|Operations - Core Title|Operations - Core Title")))</f>
        <v>|Operations - Core Title|Operations - Core Title</v>
      </c>
      <c r="AK351" s="35"/>
      <c r="AL351" s="117" t="str">
        <f>if('Ingest Template'!A351="Standard",(IF(OR('Ingest Template'!F351 = "Program Type - Special", 'Ingest Template'!F351 = "Program Type - Live Event"),'Ingest Template'!Q351&amp;"|"&amp;TEXT('Ingest Template'!C351-3, "yyyy-mm-dd")&amp;"|"&amp;TEXT('Ingest Template'!C351+3, "yyyy-mm-dd"),'Ingest Template'!Q351&amp; "|2021-01-01")),(IF(OR('Ingest Template'!F351 = "Program Type - Special", 'Ingest Template'!F351 = "Program Type - Live Event"),'Ingest Template'!Q351&amp; "|"&amp;TEXT('Ingest Template'!C351-3, "yyyy-mm-dd")&amp;"|"&amp;TEXT('Ingest Template'!C351+3, "yyyy-mm-dd"),'Ingest Template'!Q351)))</f>
        <v/>
      </c>
      <c r="AM351" s="35" t="str">
        <f>'Ingest Template'!AC351</f>
        <v/>
      </c>
    </row>
    <row r="352">
      <c r="A352" s="15"/>
      <c r="B352" s="22" t="str">
        <f>'Ingest Template'!C352&amp;IF('Ingest Template'!A352 = "Standard", " - DAR","")</f>
        <v/>
      </c>
      <c r="C352" s="22" t="s">
        <v>83</v>
      </c>
      <c r="D352" s="22" t="str">
        <f t="array" ref="D352">CONCATENATE(INDEX(DropdownLists!$H$2:$H$11,MATCH(1,COUNTIF('Ingest Template'!E352,"*"&amp;DropdownLists!$I$2:$I$11&amp;"*"),0)),CHAR(10),'Ingest Template'!F352,CHAR(10),'Ingest Template'!G352,CHAR(10),VLOOKUP('Ingest Template'!D352,DropdownLists!C:D,2,FALSE))</f>
        <v>#N/A</v>
      </c>
      <c r="E352" s="22" t="str">
        <f>CONCATENATE('Ingest Template'!H352,CHAR(10),'Ingest Template'!I352,CHAR(10),'Ingest Template'!J352,CHAR(10))</f>
        <v>
</v>
      </c>
      <c r="F352" s="35" t="str">
        <f t="array" ref="F352">INDEX(DropdownLists!$O$2:$O$36,MATCH(1,COUNTIF(E352,"*"&amp;DropdownLists!$N$2:$N$36&amp;"*"),0))</f>
        <v/>
      </c>
      <c r="G352" s="35"/>
      <c r="H352" s="22" t="str">
        <f t="array" ref="H352">INDEX(DropdownLists!$E$2:$E$276,MATCH('Ingest Template'!D352,DropdownLists!$C$2:$C$276,0))</f>
        <v>#N/A</v>
      </c>
      <c r="I352" s="22"/>
      <c r="J352" s="22" t="str">
        <f t="array" ref="J352">iF('Ingest Template'!A352="Standard","Pristine Brand",INDEX(DropdownLists!$B$2:$B$246,MATCH('Ingest Template'!D352,DropdownLists!$C$2:$C$246,0)))</f>
        <v>#N/A</v>
      </c>
      <c r="K352" s="22" t="str">
        <f>iF('Ingest Template'!A352="Standard",'Ingest Template'!K352&amp;CHAR(10)&amp;'Ingest Template'!L352,"Competitive View")</f>
        <v>Competitive View</v>
      </c>
      <c r="L352" s="22" t="s">
        <v>95</v>
      </c>
      <c r="M352" s="45" t="str">
        <f>'Ingest Template'!B352</f>
        <v/>
      </c>
      <c r="N352" s="35"/>
      <c r="O352" s="35"/>
      <c r="P352" s="35"/>
      <c r="Q352" s="35"/>
      <c r="R352" s="35" t="str">
        <f>'Ingest Template'!D352</f>
        <v/>
      </c>
      <c r="S352" s="22" t="s">
        <v>101</v>
      </c>
      <c r="T352" s="35" t="str">
        <f>'Ingest Template'!V352</f>
        <v/>
      </c>
      <c r="U352" s="35" t="str">
        <f>'Ingest Template'!W352</f>
        <v/>
      </c>
      <c r="V352" s="35" t="str">
        <f>LOWER(SUBSTITUTE(SUBSTITUTE(SUBSTITUTE(SUBSTITUTE(SUBSTITUTE('Ingest Template'!X352,"https:",""),"www.",""),"/",""),"?hl=en",""),"instagram.com",""))</f>
        <v/>
      </c>
      <c r="W352" s="74" t="str">
        <f t="array" ref="W352">IF(
'Ingest Template'!Y352="",
SUBSTITUTE(
INDEX(DropdownLists!$F$2:$F$277,MATCH('Ingest Template'!D352,DropdownLists!$C$2:$C$277,0)),
CHAR(10),
"|"&amp;'Ingest Template'!C352&amp;CHAR(10)
)&amp;"|"&amp;'Ingest Template'!C352,
SUBSTITUTE(
INDEX(DropdownLists!$F$2:$F$277,MATCH('Ingest Template'!D352,DropdownLists!$C$2:$C$277,0)),
CHAR(10),
"|"&amp;'Ingest Template'!C352&amp;CHAR(10)
)&amp;"|"&amp;'Ingest Template'!C352&amp;CHAR(10)&amp;'Ingest Template'!Y352
)</f>
        <v>#N/A</v>
      </c>
      <c r="X352" s="74" t="str">
        <f>'Ingest Template'!Z352</f>
        <v/>
      </c>
      <c r="Y352" s="35" t="str">
        <f>SUBSTITUTE(SUBSTITUTE(SUBSTITUTE('Ingest Template'!AA352,"http:",""),"https:",""),"/","")</f>
        <v/>
      </c>
      <c r="Z352" s="35" t="str">
        <f t="array" ref="Z352">IF('Ingest Template'!A352="Standard",(IF(ISBLANK('Ingest Template'!AB352),"", 'Ingest Template'!AB352&amp;"|DAR")),(IF(ISBLANK('Ingest Template'!AB352),"", 'Ingest Template'!AB352&amp;"|TV Ops")))</f>
        <v/>
      </c>
      <c r="AA352" s="35"/>
      <c r="AB352" s="35" t="str">
        <f>'Ingest Template'!R352</f>
        <v/>
      </c>
      <c r="AC352" s="35" t="str">
        <f>'Ingest Template'!T352</f>
        <v/>
      </c>
      <c r="AD352" s="35" t="str">
        <f>'Ingest Template'!S352</f>
        <v/>
      </c>
      <c r="AE352" s="35" t="str">
        <f>'Ingest Template'!U352</f>
        <v/>
      </c>
      <c r="AF352" s="22"/>
      <c r="AG352" s="35" t="str">
        <f t="array" ref="AG352">IF('Ingest Template'!A352="Standard",(CONCATENATE(IF(ISBLANK('Ingest Template'!N352),"", 'Ingest Template'!N352&amp;"|DAR"),CHAR(10), IF(ISBLANK('Ingest Template'!O352),"", 'Ingest Template'!O352&amp;"|DAR"),CHAR(10), IF(ISBLANK('Ingest Template'!P352),"", 'Ingest Template'!P352&amp;"|DAR"))),(CONCATENATE(IF(ISBLANK('Ingest Template'!N352),"", 'Ingest Template'!N352&amp;"|TV Ops"),CHAR(10), IF(ISBLANK('Ingest Template'!O352),"", 'Ingest Template'!O352&amp;"|TV Ops"),CHAR(10), IF(ISBLANK('Ingest Template'!P352),"", 'Ingest Template'!P352&amp;"|TV Ops"))))</f>
        <v>
</v>
      </c>
      <c r="AH352" s="35"/>
      <c r="AI352" s="35"/>
      <c r="AJ352" s="117" t="str">
        <f>if('Ingest Template'!A352="Standard",(IF(OR('Ingest Template'!F352 = "Program Type - Special", 'Ingest Template'!F352 = "Program Type - Live Event"),'Ingest Template'!M352&amp; "|DAR|DAR|"&amp;TEXT('Ingest Template'!C352-3, "yyyy-mm-dd")&amp;"|"&amp;TEXT('Ingest Template'!C352+3, "yyyy-mm-dd"),'Ingest Template'!M352&amp; "|DAR|DAR|2021-01-01")),(IF(OR('Ingest Template'!F352 = "Program Type - Special", 'Ingest Template'!F352 = "Program Type - Live Event"),'Ingest Template'!M352&amp; "|Operations - Core Title|Operations - Core Title|"&amp;TEXT('Ingest Template'!C352-3, "yyyy-mm-dd")&amp;"|"&amp;TEXT('Ingest Template'!C352+3, "yyyy-mm-dd"),'Ingest Template'!M352&amp; "|Operations - Core Title|Operations - Core Title")))</f>
        <v>|Operations - Core Title|Operations - Core Title</v>
      </c>
      <c r="AK352" s="35"/>
      <c r="AL352" s="117" t="str">
        <f>if('Ingest Template'!A352="Standard",(IF(OR('Ingest Template'!F352 = "Program Type - Special", 'Ingest Template'!F352 = "Program Type - Live Event"),'Ingest Template'!Q352&amp;"|"&amp;TEXT('Ingest Template'!C352-3, "yyyy-mm-dd")&amp;"|"&amp;TEXT('Ingest Template'!C352+3, "yyyy-mm-dd"),'Ingest Template'!Q352&amp; "|2021-01-01")),(IF(OR('Ingest Template'!F352 = "Program Type - Special", 'Ingest Template'!F352 = "Program Type - Live Event"),'Ingest Template'!Q352&amp; "|"&amp;TEXT('Ingest Template'!C352-3, "yyyy-mm-dd")&amp;"|"&amp;TEXT('Ingest Template'!C352+3, "yyyy-mm-dd"),'Ingest Template'!Q352)))</f>
        <v/>
      </c>
      <c r="AM352" s="35" t="str">
        <f>'Ingest Template'!AC352</f>
        <v/>
      </c>
    </row>
    <row r="353">
      <c r="A353" s="15"/>
      <c r="B353" s="22" t="str">
        <f>'Ingest Template'!C353&amp;IF('Ingest Template'!A353 = "Standard", " - DAR","")</f>
        <v/>
      </c>
      <c r="C353" s="22" t="s">
        <v>83</v>
      </c>
      <c r="D353" s="22" t="str">
        <f t="array" ref="D353">CONCATENATE(INDEX(DropdownLists!$H$2:$H$11,MATCH(1,COUNTIF('Ingest Template'!E353,"*"&amp;DropdownLists!$I$2:$I$11&amp;"*"),0)),CHAR(10),'Ingest Template'!F353,CHAR(10),'Ingest Template'!G353,CHAR(10),VLOOKUP('Ingest Template'!D353,DropdownLists!C:D,2,FALSE))</f>
        <v>#N/A</v>
      </c>
      <c r="E353" s="22" t="str">
        <f>CONCATENATE('Ingest Template'!H353,CHAR(10),'Ingest Template'!I353,CHAR(10),'Ingest Template'!J353,CHAR(10))</f>
        <v>
</v>
      </c>
      <c r="F353" s="35" t="str">
        <f t="array" ref="F353">INDEX(DropdownLists!$O$2:$O$36,MATCH(1,COUNTIF(E353,"*"&amp;DropdownLists!$N$2:$N$36&amp;"*"),0))</f>
        <v/>
      </c>
      <c r="G353" s="35"/>
      <c r="H353" s="22" t="str">
        <f t="array" ref="H353">INDEX(DropdownLists!$E$2:$E$276,MATCH('Ingest Template'!D353,DropdownLists!$C$2:$C$276,0))</f>
        <v>#N/A</v>
      </c>
      <c r="I353" s="22"/>
      <c r="J353" s="22" t="str">
        <f t="array" ref="J353">iF('Ingest Template'!A353="Standard","Pristine Brand",INDEX(DropdownLists!$B$2:$B$246,MATCH('Ingest Template'!D353,DropdownLists!$C$2:$C$246,0)))</f>
        <v>#N/A</v>
      </c>
      <c r="K353" s="22" t="str">
        <f>iF('Ingest Template'!A353="Standard",'Ingest Template'!K353&amp;CHAR(10)&amp;'Ingest Template'!L353,"Competitive View")</f>
        <v>Competitive View</v>
      </c>
      <c r="L353" s="22" t="s">
        <v>95</v>
      </c>
      <c r="M353" s="45" t="str">
        <f>'Ingest Template'!B353</f>
        <v/>
      </c>
      <c r="N353" s="35"/>
      <c r="O353" s="35"/>
      <c r="P353" s="35"/>
      <c r="Q353" s="35"/>
      <c r="R353" s="35" t="str">
        <f>'Ingest Template'!D353</f>
        <v/>
      </c>
      <c r="S353" s="22" t="s">
        <v>101</v>
      </c>
      <c r="T353" s="35" t="str">
        <f>'Ingest Template'!V353</f>
        <v/>
      </c>
      <c r="U353" s="35" t="str">
        <f>'Ingest Template'!W353</f>
        <v/>
      </c>
      <c r="V353" s="35" t="str">
        <f>LOWER(SUBSTITUTE(SUBSTITUTE(SUBSTITUTE(SUBSTITUTE(SUBSTITUTE('Ingest Template'!X353,"https:",""),"www.",""),"/",""),"?hl=en",""),"instagram.com",""))</f>
        <v/>
      </c>
      <c r="W353" s="74" t="str">
        <f t="array" ref="W353">IF(
'Ingest Template'!Y353="",
SUBSTITUTE(
INDEX(DropdownLists!$F$2:$F$277,MATCH('Ingest Template'!D353,DropdownLists!$C$2:$C$277,0)),
CHAR(10),
"|"&amp;'Ingest Template'!C353&amp;CHAR(10)
)&amp;"|"&amp;'Ingest Template'!C353,
SUBSTITUTE(
INDEX(DropdownLists!$F$2:$F$277,MATCH('Ingest Template'!D353,DropdownLists!$C$2:$C$277,0)),
CHAR(10),
"|"&amp;'Ingest Template'!C353&amp;CHAR(10)
)&amp;"|"&amp;'Ingest Template'!C353&amp;CHAR(10)&amp;'Ingest Template'!Y353
)</f>
        <v>#N/A</v>
      </c>
      <c r="X353" s="74" t="str">
        <f>'Ingest Template'!Z353</f>
        <v/>
      </c>
      <c r="Y353" s="35" t="str">
        <f>SUBSTITUTE(SUBSTITUTE(SUBSTITUTE('Ingest Template'!AA353,"http:",""),"https:",""),"/","")</f>
        <v/>
      </c>
      <c r="Z353" s="35" t="str">
        <f t="array" ref="Z353">IF('Ingest Template'!A353="Standard",(IF(ISBLANK('Ingest Template'!AB353),"", 'Ingest Template'!AB353&amp;"|DAR")),(IF(ISBLANK('Ingest Template'!AB353),"", 'Ingest Template'!AB353&amp;"|TV Ops")))</f>
        <v/>
      </c>
      <c r="AA353" s="35"/>
      <c r="AB353" s="35" t="str">
        <f>'Ingest Template'!R353</f>
        <v/>
      </c>
      <c r="AC353" s="35" t="str">
        <f>'Ingest Template'!T353</f>
        <v/>
      </c>
      <c r="AD353" s="35" t="str">
        <f>'Ingest Template'!S353</f>
        <v/>
      </c>
      <c r="AE353" s="35" t="str">
        <f>'Ingest Template'!U353</f>
        <v/>
      </c>
      <c r="AF353" s="22"/>
      <c r="AG353" s="35" t="str">
        <f t="array" ref="AG353">IF('Ingest Template'!A353="Standard",(CONCATENATE(IF(ISBLANK('Ingest Template'!N353),"", 'Ingest Template'!N353&amp;"|DAR"),CHAR(10), IF(ISBLANK('Ingest Template'!O353),"", 'Ingest Template'!O353&amp;"|DAR"),CHAR(10), IF(ISBLANK('Ingest Template'!P353),"", 'Ingest Template'!P353&amp;"|DAR"))),(CONCATENATE(IF(ISBLANK('Ingest Template'!N353),"", 'Ingest Template'!N353&amp;"|TV Ops"),CHAR(10), IF(ISBLANK('Ingest Template'!O353),"", 'Ingest Template'!O353&amp;"|TV Ops"),CHAR(10), IF(ISBLANK('Ingest Template'!P353),"", 'Ingest Template'!P353&amp;"|TV Ops"))))</f>
        <v>
</v>
      </c>
      <c r="AH353" s="35"/>
      <c r="AI353" s="35"/>
      <c r="AJ353" s="117" t="str">
        <f>if('Ingest Template'!A353="Standard",(IF(OR('Ingest Template'!F353 = "Program Type - Special", 'Ingest Template'!F353 = "Program Type - Live Event"),'Ingest Template'!M353&amp; "|DAR|DAR|"&amp;TEXT('Ingest Template'!C353-3, "yyyy-mm-dd")&amp;"|"&amp;TEXT('Ingest Template'!C353+3, "yyyy-mm-dd"),'Ingest Template'!M353&amp; "|DAR|DAR|2021-01-01")),(IF(OR('Ingest Template'!F353 = "Program Type - Special", 'Ingest Template'!F353 = "Program Type - Live Event"),'Ingest Template'!M353&amp; "|Operations - Core Title|Operations - Core Title|"&amp;TEXT('Ingest Template'!C353-3, "yyyy-mm-dd")&amp;"|"&amp;TEXT('Ingest Template'!C353+3, "yyyy-mm-dd"),'Ingest Template'!M353&amp; "|Operations - Core Title|Operations - Core Title")))</f>
        <v>|Operations - Core Title|Operations - Core Title</v>
      </c>
      <c r="AK353" s="35"/>
      <c r="AL353" s="117" t="str">
        <f>if('Ingest Template'!A353="Standard",(IF(OR('Ingest Template'!F353 = "Program Type - Special", 'Ingest Template'!F353 = "Program Type - Live Event"),'Ingest Template'!Q353&amp;"|"&amp;TEXT('Ingest Template'!C353-3, "yyyy-mm-dd")&amp;"|"&amp;TEXT('Ingest Template'!C353+3, "yyyy-mm-dd"),'Ingest Template'!Q353&amp; "|2021-01-01")),(IF(OR('Ingest Template'!F353 = "Program Type - Special", 'Ingest Template'!F353 = "Program Type - Live Event"),'Ingest Template'!Q353&amp; "|"&amp;TEXT('Ingest Template'!C353-3, "yyyy-mm-dd")&amp;"|"&amp;TEXT('Ingest Template'!C353+3, "yyyy-mm-dd"),'Ingest Template'!Q353)))</f>
        <v/>
      </c>
      <c r="AM353" s="35" t="str">
        <f>'Ingest Template'!AC353</f>
        <v/>
      </c>
    </row>
    <row r="354">
      <c r="A354" s="15"/>
      <c r="B354" s="22" t="str">
        <f>'Ingest Template'!C354&amp;IF('Ingest Template'!A354 = "Standard", " - DAR","")</f>
        <v/>
      </c>
      <c r="C354" s="22" t="s">
        <v>83</v>
      </c>
      <c r="D354" s="22" t="str">
        <f t="array" ref="D354">CONCATENATE(INDEX(DropdownLists!$H$2:$H$11,MATCH(1,COUNTIF('Ingest Template'!E354,"*"&amp;DropdownLists!$I$2:$I$11&amp;"*"),0)),CHAR(10),'Ingest Template'!F354,CHAR(10),'Ingest Template'!G354,CHAR(10),VLOOKUP('Ingest Template'!D354,DropdownLists!C:D,2,FALSE))</f>
        <v>#N/A</v>
      </c>
      <c r="E354" s="22" t="str">
        <f>CONCATENATE('Ingest Template'!H354,CHAR(10),'Ingest Template'!I354,CHAR(10),'Ingest Template'!J354,CHAR(10))</f>
        <v>
</v>
      </c>
      <c r="F354" s="35" t="str">
        <f t="array" ref="F354">INDEX(DropdownLists!$O$2:$O$36,MATCH(1,COUNTIF(E354,"*"&amp;DropdownLists!$N$2:$N$36&amp;"*"),0))</f>
        <v/>
      </c>
      <c r="G354" s="35"/>
      <c r="H354" s="22" t="str">
        <f t="array" ref="H354">INDEX(DropdownLists!$E$2:$E$276,MATCH('Ingest Template'!D354,DropdownLists!$C$2:$C$276,0))</f>
        <v>#N/A</v>
      </c>
      <c r="I354" s="22"/>
      <c r="J354" s="22" t="str">
        <f t="array" ref="J354">iF('Ingest Template'!A354="Standard","Pristine Brand",INDEX(DropdownLists!$B$2:$B$246,MATCH('Ingest Template'!D354,DropdownLists!$C$2:$C$246,0)))</f>
        <v>#N/A</v>
      </c>
      <c r="K354" s="22" t="str">
        <f>iF('Ingest Template'!A354="Standard",'Ingest Template'!K354&amp;CHAR(10)&amp;'Ingest Template'!L354,"Competitive View")</f>
        <v>Competitive View</v>
      </c>
      <c r="L354" s="22" t="s">
        <v>95</v>
      </c>
      <c r="M354" s="45" t="str">
        <f>'Ingest Template'!B354</f>
        <v/>
      </c>
      <c r="N354" s="35"/>
      <c r="O354" s="35"/>
      <c r="P354" s="35"/>
      <c r="Q354" s="35"/>
      <c r="R354" s="35" t="str">
        <f>'Ingest Template'!D354</f>
        <v/>
      </c>
      <c r="S354" s="22" t="s">
        <v>101</v>
      </c>
      <c r="T354" s="35" t="str">
        <f>'Ingest Template'!V354</f>
        <v/>
      </c>
      <c r="U354" s="35" t="str">
        <f>'Ingest Template'!W354</f>
        <v/>
      </c>
      <c r="V354" s="35" t="str">
        <f>LOWER(SUBSTITUTE(SUBSTITUTE(SUBSTITUTE(SUBSTITUTE(SUBSTITUTE('Ingest Template'!X354,"https:",""),"www.",""),"/",""),"?hl=en",""),"instagram.com",""))</f>
        <v/>
      </c>
      <c r="W354" s="74" t="str">
        <f t="array" ref="W354">IF(
'Ingest Template'!Y354="",
SUBSTITUTE(
INDEX(DropdownLists!$F$2:$F$277,MATCH('Ingest Template'!D354,DropdownLists!$C$2:$C$277,0)),
CHAR(10),
"|"&amp;'Ingest Template'!C354&amp;CHAR(10)
)&amp;"|"&amp;'Ingest Template'!C354,
SUBSTITUTE(
INDEX(DropdownLists!$F$2:$F$277,MATCH('Ingest Template'!D354,DropdownLists!$C$2:$C$277,0)),
CHAR(10),
"|"&amp;'Ingest Template'!C354&amp;CHAR(10)
)&amp;"|"&amp;'Ingest Template'!C354&amp;CHAR(10)&amp;'Ingest Template'!Y354
)</f>
        <v>#N/A</v>
      </c>
      <c r="X354" s="74" t="str">
        <f>'Ingest Template'!Z354</f>
        <v/>
      </c>
      <c r="Y354" s="35" t="str">
        <f>SUBSTITUTE(SUBSTITUTE(SUBSTITUTE('Ingest Template'!AA354,"http:",""),"https:",""),"/","")</f>
        <v/>
      </c>
      <c r="Z354" s="35" t="str">
        <f t="array" ref="Z354">IF('Ingest Template'!A354="Standard",(IF(ISBLANK('Ingest Template'!AB354),"", 'Ingest Template'!AB354&amp;"|DAR")),(IF(ISBLANK('Ingest Template'!AB354),"", 'Ingest Template'!AB354&amp;"|TV Ops")))</f>
        <v/>
      </c>
      <c r="AA354" s="35"/>
      <c r="AB354" s="35" t="str">
        <f>'Ingest Template'!R354</f>
        <v/>
      </c>
      <c r="AC354" s="35" t="str">
        <f>'Ingest Template'!T354</f>
        <v/>
      </c>
      <c r="AD354" s="35" t="str">
        <f>'Ingest Template'!S354</f>
        <v/>
      </c>
      <c r="AE354" s="35" t="str">
        <f>'Ingest Template'!U354</f>
        <v/>
      </c>
      <c r="AF354" s="22"/>
      <c r="AG354" s="35" t="str">
        <f t="array" ref="AG354">IF('Ingest Template'!A354="Standard",(CONCATENATE(IF(ISBLANK('Ingest Template'!N354),"", 'Ingest Template'!N354&amp;"|DAR"),CHAR(10), IF(ISBLANK('Ingest Template'!O354),"", 'Ingest Template'!O354&amp;"|DAR"),CHAR(10), IF(ISBLANK('Ingest Template'!P354),"", 'Ingest Template'!P354&amp;"|DAR"))),(CONCATENATE(IF(ISBLANK('Ingest Template'!N354),"", 'Ingest Template'!N354&amp;"|TV Ops"),CHAR(10), IF(ISBLANK('Ingest Template'!O354),"", 'Ingest Template'!O354&amp;"|TV Ops"),CHAR(10), IF(ISBLANK('Ingest Template'!P354),"", 'Ingest Template'!P354&amp;"|TV Ops"))))</f>
        <v>
</v>
      </c>
      <c r="AH354" s="35"/>
      <c r="AI354" s="35"/>
      <c r="AJ354" s="117" t="str">
        <f>if('Ingest Template'!A354="Standard",(IF(OR('Ingest Template'!F354 = "Program Type - Special", 'Ingest Template'!F354 = "Program Type - Live Event"),'Ingest Template'!M354&amp; "|DAR|DAR|"&amp;TEXT('Ingest Template'!C354-3, "yyyy-mm-dd")&amp;"|"&amp;TEXT('Ingest Template'!C354+3, "yyyy-mm-dd"),'Ingest Template'!M354&amp; "|DAR|DAR|2021-01-01")),(IF(OR('Ingest Template'!F354 = "Program Type - Special", 'Ingest Template'!F354 = "Program Type - Live Event"),'Ingest Template'!M354&amp; "|Operations - Core Title|Operations - Core Title|"&amp;TEXT('Ingest Template'!C354-3, "yyyy-mm-dd")&amp;"|"&amp;TEXT('Ingest Template'!C354+3, "yyyy-mm-dd"),'Ingest Template'!M354&amp; "|Operations - Core Title|Operations - Core Title")))</f>
        <v>|Operations - Core Title|Operations - Core Title</v>
      </c>
      <c r="AK354" s="35"/>
      <c r="AL354" s="117" t="str">
        <f>if('Ingest Template'!A354="Standard",(IF(OR('Ingest Template'!F354 = "Program Type - Special", 'Ingest Template'!F354 = "Program Type - Live Event"),'Ingest Template'!Q354&amp;"|"&amp;TEXT('Ingest Template'!C354-3, "yyyy-mm-dd")&amp;"|"&amp;TEXT('Ingest Template'!C354+3, "yyyy-mm-dd"),'Ingest Template'!Q354&amp; "|2021-01-01")),(IF(OR('Ingest Template'!F354 = "Program Type - Special", 'Ingest Template'!F354 = "Program Type - Live Event"),'Ingest Template'!Q354&amp; "|"&amp;TEXT('Ingest Template'!C354-3, "yyyy-mm-dd")&amp;"|"&amp;TEXT('Ingest Template'!C354+3, "yyyy-mm-dd"),'Ingest Template'!Q354)))</f>
        <v/>
      </c>
      <c r="AM354" s="35" t="str">
        <f>'Ingest Template'!AC354</f>
        <v/>
      </c>
    </row>
    <row r="355">
      <c r="A355" s="15"/>
      <c r="B355" s="22" t="str">
        <f>'Ingest Template'!C355&amp;IF('Ingest Template'!A355 = "Standard", " - DAR","")</f>
        <v/>
      </c>
      <c r="C355" s="22" t="s">
        <v>83</v>
      </c>
      <c r="D355" s="22" t="str">
        <f t="array" ref="D355">CONCATENATE(INDEX(DropdownLists!$H$2:$H$11,MATCH(1,COUNTIF('Ingest Template'!E355,"*"&amp;DropdownLists!$I$2:$I$11&amp;"*"),0)),CHAR(10),'Ingest Template'!F355,CHAR(10),'Ingest Template'!G355,CHAR(10),VLOOKUP('Ingest Template'!D355,DropdownLists!C:D,2,FALSE))</f>
        <v>#N/A</v>
      </c>
      <c r="E355" s="22" t="str">
        <f>CONCATENATE('Ingest Template'!H355,CHAR(10),'Ingest Template'!I355,CHAR(10),'Ingest Template'!J355,CHAR(10))</f>
        <v>
</v>
      </c>
      <c r="F355" s="35" t="str">
        <f t="array" ref="F355">INDEX(DropdownLists!$O$2:$O$36,MATCH(1,COUNTIF(E355,"*"&amp;DropdownLists!$N$2:$N$36&amp;"*"),0))</f>
        <v/>
      </c>
      <c r="G355" s="35"/>
      <c r="H355" s="22" t="str">
        <f t="array" ref="H355">INDEX(DropdownLists!$E$2:$E$276,MATCH('Ingest Template'!D355,DropdownLists!$C$2:$C$276,0))</f>
        <v>#N/A</v>
      </c>
      <c r="I355" s="22"/>
      <c r="J355" s="22" t="str">
        <f t="array" ref="J355">iF('Ingest Template'!A355="Standard","Pristine Brand",INDEX(DropdownLists!$B$2:$B$246,MATCH('Ingest Template'!D355,DropdownLists!$C$2:$C$246,0)))</f>
        <v>#N/A</v>
      </c>
      <c r="K355" s="22" t="str">
        <f>iF('Ingest Template'!A355="Standard",'Ingest Template'!K355&amp;CHAR(10)&amp;'Ingest Template'!L355,"Competitive View")</f>
        <v>Competitive View</v>
      </c>
      <c r="L355" s="22" t="s">
        <v>95</v>
      </c>
      <c r="M355" s="45" t="str">
        <f>'Ingest Template'!B355</f>
        <v/>
      </c>
      <c r="N355" s="35"/>
      <c r="O355" s="35"/>
      <c r="P355" s="35"/>
      <c r="Q355" s="35"/>
      <c r="R355" s="35" t="str">
        <f>'Ingest Template'!D355</f>
        <v/>
      </c>
      <c r="S355" s="22" t="s">
        <v>101</v>
      </c>
      <c r="T355" s="35" t="str">
        <f>'Ingest Template'!V355</f>
        <v/>
      </c>
      <c r="U355" s="35" t="str">
        <f>'Ingest Template'!W355</f>
        <v/>
      </c>
      <c r="V355" s="35" t="str">
        <f>LOWER(SUBSTITUTE(SUBSTITUTE(SUBSTITUTE(SUBSTITUTE(SUBSTITUTE('Ingest Template'!X355,"https:",""),"www.",""),"/",""),"?hl=en",""),"instagram.com",""))</f>
        <v/>
      </c>
      <c r="W355" s="74" t="str">
        <f t="array" ref="W355">IF(
'Ingest Template'!Y355="",
SUBSTITUTE(
INDEX(DropdownLists!$F$2:$F$277,MATCH('Ingest Template'!D355,DropdownLists!$C$2:$C$277,0)),
CHAR(10),
"|"&amp;'Ingest Template'!C355&amp;CHAR(10)
)&amp;"|"&amp;'Ingest Template'!C355,
SUBSTITUTE(
INDEX(DropdownLists!$F$2:$F$277,MATCH('Ingest Template'!D355,DropdownLists!$C$2:$C$277,0)),
CHAR(10),
"|"&amp;'Ingest Template'!C355&amp;CHAR(10)
)&amp;"|"&amp;'Ingest Template'!C355&amp;CHAR(10)&amp;'Ingest Template'!Y355
)</f>
        <v>#N/A</v>
      </c>
      <c r="X355" s="74" t="str">
        <f>'Ingest Template'!Z355</f>
        <v/>
      </c>
      <c r="Y355" s="35" t="str">
        <f>SUBSTITUTE(SUBSTITUTE(SUBSTITUTE('Ingest Template'!AA355,"http:",""),"https:",""),"/","")</f>
        <v/>
      </c>
      <c r="Z355" s="35" t="str">
        <f t="array" ref="Z355">IF('Ingest Template'!A355="Standard",(IF(ISBLANK('Ingest Template'!AB355),"", 'Ingest Template'!AB355&amp;"|DAR")),(IF(ISBLANK('Ingest Template'!AB355),"", 'Ingest Template'!AB355&amp;"|TV Ops")))</f>
        <v/>
      </c>
      <c r="AA355" s="35"/>
      <c r="AB355" s="35" t="str">
        <f>'Ingest Template'!R355</f>
        <v/>
      </c>
      <c r="AC355" s="35" t="str">
        <f>'Ingest Template'!T355</f>
        <v/>
      </c>
      <c r="AD355" s="35" t="str">
        <f>'Ingest Template'!S355</f>
        <v/>
      </c>
      <c r="AE355" s="35" t="str">
        <f>'Ingest Template'!U355</f>
        <v/>
      </c>
      <c r="AF355" s="22"/>
      <c r="AG355" s="35" t="str">
        <f t="array" ref="AG355">IF('Ingest Template'!A355="Standard",(CONCATENATE(IF(ISBLANK('Ingest Template'!N355),"", 'Ingest Template'!N355&amp;"|DAR"),CHAR(10), IF(ISBLANK('Ingest Template'!O355),"", 'Ingest Template'!O355&amp;"|DAR"),CHAR(10), IF(ISBLANK('Ingest Template'!P355),"", 'Ingest Template'!P355&amp;"|DAR"))),(CONCATENATE(IF(ISBLANK('Ingest Template'!N355),"", 'Ingest Template'!N355&amp;"|TV Ops"),CHAR(10), IF(ISBLANK('Ingest Template'!O355),"", 'Ingest Template'!O355&amp;"|TV Ops"),CHAR(10), IF(ISBLANK('Ingest Template'!P355),"", 'Ingest Template'!P355&amp;"|TV Ops"))))</f>
        <v>
</v>
      </c>
      <c r="AH355" s="35"/>
      <c r="AI355" s="35"/>
      <c r="AJ355" s="117" t="str">
        <f>if('Ingest Template'!A355="Standard",(IF(OR('Ingest Template'!F355 = "Program Type - Special", 'Ingest Template'!F355 = "Program Type - Live Event"),'Ingest Template'!M355&amp; "|DAR|DAR|"&amp;TEXT('Ingest Template'!C355-3, "yyyy-mm-dd")&amp;"|"&amp;TEXT('Ingest Template'!C355+3, "yyyy-mm-dd"),'Ingest Template'!M355&amp; "|DAR|DAR|2021-01-01")),(IF(OR('Ingest Template'!F355 = "Program Type - Special", 'Ingest Template'!F355 = "Program Type - Live Event"),'Ingest Template'!M355&amp; "|Operations - Core Title|Operations - Core Title|"&amp;TEXT('Ingest Template'!C355-3, "yyyy-mm-dd")&amp;"|"&amp;TEXT('Ingest Template'!C355+3, "yyyy-mm-dd"),'Ingest Template'!M355&amp; "|Operations - Core Title|Operations - Core Title")))</f>
        <v>|Operations - Core Title|Operations - Core Title</v>
      </c>
      <c r="AK355" s="35"/>
      <c r="AL355" s="117" t="str">
        <f>if('Ingest Template'!A355="Standard",(IF(OR('Ingest Template'!F355 = "Program Type - Special", 'Ingest Template'!F355 = "Program Type - Live Event"),'Ingest Template'!Q355&amp;"|"&amp;TEXT('Ingest Template'!C355-3, "yyyy-mm-dd")&amp;"|"&amp;TEXT('Ingest Template'!C355+3, "yyyy-mm-dd"),'Ingest Template'!Q355&amp; "|2021-01-01")),(IF(OR('Ingest Template'!F355 = "Program Type - Special", 'Ingest Template'!F355 = "Program Type - Live Event"),'Ingest Template'!Q355&amp; "|"&amp;TEXT('Ingest Template'!C355-3, "yyyy-mm-dd")&amp;"|"&amp;TEXT('Ingest Template'!C355+3, "yyyy-mm-dd"),'Ingest Template'!Q355)))</f>
        <v/>
      </c>
      <c r="AM355" s="35" t="str">
        <f>'Ingest Template'!AC355</f>
        <v/>
      </c>
    </row>
    <row r="356">
      <c r="A356" s="15"/>
      <c r="B356" s="22" t="str">
        <f>'Ingest Template'!C356&amp;IF('Ingest Template'!A356 = "Standard", " - DAR","")</f>
        <v/>
      </c>
      <c r="C356" s="22" t="s">
        <v>83</v>
      </c>
      <c r="D356" s="22" t="str">
        <f t="array" ref="D356">CONCATENATE(INDEX(DropdownLists!$H$2:$H$11,MATCH(1,COUNTIF('Ingest Template'!E356,"*"&amp;DropdownLists!$I$2:$I$11&amp;"*"),0)),CHAR(10),'Ingest Template'!F356,CHAR(10),'Ingest Template'!G356,CHAR(10),VLOOKUP('Ingest Template'!D356,DropdownLists!C:D,2,FALSE))</f>
        <v>#N/A</v>
      </c>
      <c r="E356" s="22" t="str">
        <f>CONCATENATE('Ingest Template'!H356,CHAR(10),'Ingest Template'!I356,CHAR(10),'Ingest Template'!J356,CHAR(10))</f>
        <v>
</v>
      </c>
      <c r="F356" s="35" t="str">
        <f t="array" ref="F356">INDEX(DropdownLists!$O$2:$O$36,MATCH(1,COUNTIF(E356,"*"&amp;DropdownLists!$N$2:$N$36&amp;"*"),0))</f>
        <v/>
      </c>
      <c r="G356" s="35"/>
      <c r="H356" s="22" t="str">
        <f t="array" ref="H356">INDEX(DropdownLists!$E$2:$E$276,MATCH('Ingest Template'!D356,DropdownLists!$C$2:$C$276,0))</f>
        <v>#N/A</v>
      </c>
      <c r="I356" s="22"/>
      <c r="J356" s="22" t="str">
        <f t="array" ref="J356">iF('Ingest Template'!A356="Standard","Pristine Brand",INDEX(DropdownLists!$B$2:$B$246,MATCH('Ingest Template'!D356,DropdownLists!$C$2:$C$246,0)))</f>
        <v>#N/A</v>
      </c>
      <c r="K356" s="22" t="str">
        <f>iF('Ingest Template'!A356="Standard",'Ingest Template'!K356&amp;CHAR(10)&amp;'Ingest Template'!L356,"Competitive View")</f>
        <v>Competitive View</v>
      </c>
      <c r="L356" s="22" t="s">
        <v>95</v>
      </c>
      <c r="M356" s="45" t="str">
        <f>'Ingest Template'!B356</f>
        <v/>
      </c>
      <c r="N356" s="35"/>
      <c r="O356" s="35"/>
      <c r="P356" s="35"/>
      <c r="Q356" s="35"/>
      <c r="R356" s="35" t="str">
        <f>'Ingest Template'!D356</f>
        <v/>
      </c>
      <c r="S356" s="22" t="s">
        <v>101</v>
      </c>
      <c r="T356" s="35" t="str">
        <f>'Ingest Template'!V356</f>
        <v/>
      </c>
      <c r="U356" s="35" t="str">
        <f>'Ingest Template'!W356</f>
        <v/>
      </c>
      <c r="V356" s="35" t="str">
        <f>LOWER(SUBSTITUTE(SUBSTITUTE(SUBSTITUTE(SUBSTITUTE(SUBSTITUTE('Ingest Template'!X356,"https:",""),"www.",""),"/",""),"?hl=en",""),"instagram.com",""))</f>
        <v/>
      </c>
      <c r="W356" s="74" t="str">
        <f t="array" ref="W356">IF(
'Ingest Template'!Y356="",
SUBSTITUTE(
INDEX(DropdownLists!$F$2:$F$277,MATCH('Ingest Template'!D356,DropdownLists!$C$2:$C$277,0)),
CHAR(10),
"|"&amp;'Ingest Template'!C356&amp;CHAR(10)
)&amp;"|"&amp;'Ingest Template'!C356,
SUBSTITUTE(
INDEX(DropdownLists!$F$2:$F$277,MATCH('Ingest Template'!D356,DropdownLists!$C$2:$C$277,0)),
CHAR(10),
"|"&amp;'Ingest Template'!C356&amp;CHAR(10)
)&amp;"|"&amp;'Ingest Template'!C356&amp;CHAR(10)&amp;'Ingest Template'!Y356
)</f>
        <v>#N/A</v>
      </c>
      <c r="X356" s="74" t="str">
        <f>'Ingest Template'!Z356</f>
        <v/>
      </c>
      <c r="Y356" s="35" t="str">
        <f>SUBSTITUTE(SUBSTITUTE(SUBSTITUTE('Ingest Template'!AA356,"http:",""),"https:",""),"/","")</f>
        <v/>
      </c>
      <c r="Z356" s="35" t="str">
        <f t="array" ref="Z356">IF('Ingest Template'!A356="Standard",(IF(ISBLANK('Ingest Template'!AB356),"", 'Ingest Template'!AB356&amp;"|DAR")),(IF(ISBLANK('Ingest Template'!AB356),"", 'Ingest Template'!AB356&amp;"|TV Ops")))</f>
        <v/>
      </c>
      <c r="AA356" s="35"/>
      <c r="AB356" s="35" t="str">
        <f>'Ingest Template'!R356</f>
        <v/>
      </c>
      <c r="AC356" s="35" t="str">
        <f>'Ingest Template'!T356</f>
        <v/>
      </c>
      <c r="AD356" s="35" t="str">
        <f>'Ingest Template'!S356</f>
        <v/>
      </c>
      <c r="AE356" s="35" t="str">
        <f>'Ingest Template'!U356</f>
        <v/>
      </c>
      <c r="AF356" s="22"/>
      <c r="AG356" s="35" t="str">
        <f t="array" ref="AG356">IF('Ingest Template'!A356="Standard",(CONCATENATE(IF(ISBLANK('Ingest Template'!N356),"", 'Ingest Template'!N356&amp;"|DAR"),CHAR(10), IF(ISBLANK('Ingest Template'!O356),"", 'Ingest Template'!O356&amp;"|DAR"),CHAR(10), IF(ISBLANK('Ingest Template'!P356),"", 'Ingest Template'!P356&amp;"|DAR"))),(CONCATENATE(IF(ISBLANK('Ingest Template'!N356),"", 'Ingest Template'!N356&amp;"|TV Ops"),CHAR(10), IF(ISBLANK('Ingest Template'!O356),"", 'Ingest Template'!O356&amp;"|TV Ops"),CHAR(10), IF(ISBLANK('Ingest Template'!P356),"", 'Ingest Template'!P356&amp;"|TV Ops"))))</f>
        <v>
</v>
      </c>
      <c r="AH356" s="35"/>
      <c r="AI356" s="35"/>
      <c r="AJ356" s="117" t="str">
        <f>if('Ingest Template'!A356="Standard",(IF(OR('Ingest Template'!F356 = "Program Type - Special", 'Ingest Template'!F356 = "Program Type - Live Event"),'Ingest Template'!M356&amp; "|DAR|DAR|"&amp;TEXT('Ingest Template'!C356-3, "yyyy-mm-dd")&amp;"|"&amp;TEXT('Ingest Template'!C356+3, "yyyy-mm-dd"),'Ingest Template'!M356&amp; "|DAR|DAR|2021-01-01")),(IF(OR('Ingest Template'!F356 = "Program Type - Special", 'Ingest Template'!F356 = "Program Type - Live Event"),'Ingest Template'!M356&amp; "|Operations - Core Title|Operations - Core Title|"&amp;TEXT('Ingest Template'!C356-3, "yyyy-mm-dd")&amp;"|"&amp;TEXT('Ingest Template'!C356+3, "yyyy-mm-dd"),'Ingest Template'!M356&amp; "|Operations - Core Title|Operations - Core Title")))</f>
        <v>|Operations - Core Title|Operations - Core Title</v>
      </c>
      <c r="AK356" s="35"/>
      <c r="AL356" s="117" t="str">
        <f>if('Ingest Template'!A356="Standard",(IF(OR('Ingest Template'!F356 = "Program Type - Special", 'Ingest Template'!F356 = "Program Type - Live Event"),'Ingest Template'!Q356&amp;"|"&amp;TEXT('Ingest Template'!C356-3, "yyyy-mm-dd")&amp;"|"&amp;TEXT('Ingest Template'!C356+3, "yyyy-mm-dd"),'Ingest Template'!Q356&amp; "|2021-01-01")),(IF(OR('Ingest Template'!F356 = "Program Type - Special", 'Ingest Template'!F356 = "Program Type - Live Event"),'Ingest Template'!Q356&amp; "|"&amp;TEXT('Ingest Template'!C356-3, "yyyy-mm-dd")&amp;"|"&amp;TEXT('Ingest Template'!C356+3, "yyyy-mm-dd"),'Ingest Template'!Q356)))</f>
        <v/>
      </c>
      <c r="AM356" s="35" t="str">
        <f>'Ingest Template'!AC356</f>
        <v/>
      </c>
    </row>
    <row r="357">
      <c r="A357" s="15"/>
      <c r="B357" s="22" t="str">
        <f>'Ingest Template'!C357&amp;IF('Ingest Template'!A357 = "Standard", " - DAR","")</f>
        <v/>
      </c>
      <c r="C357" s="22" t="s">
        <v>83</v>
      </c>
      <c r="D357" s="22" t="str">
        <f t="array" ref="D357">CONCATENATE(INDEX(DropdownLists!$H$2:$H$11,MATCH(1,COUNTIF('Ingest Template'!E357,"*"&amp;DropdownLists!$I$2:$I$11&amp;"*"),0)),CHAR(10),'Ingest Template'!F357,CHAR(10),'Ingest Template'!G357,CHAR(10),VLOOKUP('Ingest Template'!D357,DropdownLists!C:D,2,FALSE))</f>
        <v>#N/A</v>
      </c>
      <c r="E357" s="22" t="str">
        <f>CONCATENATE('Ingest Template'!H357,CHAR(10),'Ingest Template'!I357,CHAR(10),'Ingest Template'!J357,CHAR(10))</f>
        <v>
</v>
      </c>
      <c r="F357" s="35" t="str">
        <f t="array" ref="F357">INDEX(DropdownLists!$O$2:$O$36,MATCH(1,COUNTIF(E357,"*"&amp;DropdownLists!$N$2:$N$36&amp;"*"),0))</f>
        <v/>
      </c>
      <c r="G357" s="35"/>
      <c r="H357" s="22" t="str">
        <f t="array" ref="H357">INDEX(DropdownLists!$E$2:$E$276,MATCH('Ingest Template'!D357,DropdownLists!$C$2:$C$276,0))</f>
        <v>#N/A</v>
      </c>
      <c r="I357" s="22"/>
      <c r="J357" s="22" t="str">
        <f t="array" ref="J357">iF('Ingest Template'!A357="Standard","Pristine Brand",INDEX(DropdownLists!$B$2:$B$246,MATCH('Ingest Template'!D357,DropdownLists!$C$2:$C$246,0)))</f>
        <v>#N/A</v>
      </c>
      <c r="K357" s="22" t="str">
        <f>iF('Ingest Template'!A357="Standard",'Ingest Template'!K357&amp;CHAR(10)&amp;'Ingest Template'!L357,"Competitive View")</f>
        <v>Competitive View</v>
      </c>
      <c r="L357" s="22" t="s">
        <v>95</v>
      </c>
      <c r="M357" s="45" t="str">
        <f>'Ingest Template'!B357</f>
        <v/>
      </c>
      <c r="N357" s="35"/>
      <c r="O357" s="35"/>
      <c r="P357" s="35"/>
      <c r="Q357" s="35"/>
      <c r="R357" s="35" t="str">
        <f>'Ingest Template'!D357</f>
        <v/>
      </c>
      <c r="S357" s="22" t="s">
        <v>101</v>
      </c>
      <c r="T357" s="35" t="str">
        <f>'Ingest Template'!V357</f>
        <v/>
      </c>
      <c r="U357" s="35" t="str">
        <f>'Ingest Template'!W357</f>
        <v/>
      </c>
      <c r="V357" s="35" t="str">
        <f>LOWER(SUBSTITUTE(SUBSTITUTE(SUBSTITUTE(SUBSTITUTE(SUBSTITUTE('Ingest Template'!X357,"https:",""),"www.",""),"/",""),"?hl=en",""),"instagram.com",""))</f>
        <v/>
      </c>
      <c r="W357" s="74" t="str">
        <f t="array" ref="W357">IF(
'Ingest Template'!Y357="",
SUBSTITUTE(
INDEX(DropdownLists!$F$2:$F$277,MATCH('Ingest Template'!D357,DropdownLists!$C$2:$C$277,0)),
CHAR(10),
"|"&amp;'Ingest Template'!C357&amp;CHAR(10)
)&amp;"|"&amp;'Ingest Template'!C357,
SUBSTITUTE(
INDEX(DropdownLists!$F$2:$F$277,MATCH('Ingest Template'!D357,DropdownLists!$C$2:$C$277,0)),
CHAR(10),
"|"&amp;'Ingest Template'!C357&amp;CHAR(10)
)&amp;"|"&amp;'Ingest Template'!C357&amp;CHAR(10)&amp;'Ingest Template'!Y357
)</f>
        <v>#N/A</v>
      </c>
      <c r="X357" s="74" t="str">
        <f>'Ingest Template'!Z357</f>
        <v/>
      </c>
      <c r="Y357" s="35" t="str">
        <f>SUBSTITUTE(SUBSTITUTE(SUBSTITUTE('Ingest Template'!AA357,"http:",""),"https:",""),"/","")</f>
        <v/>
      </c>
      <c r="Z357" s="35" t="str">
        <f t="array" ref="Z357">IF('Ingest Template'!A357="Standard",(IF(ISBLANK('Ingest Template'!AB357),"", 'Ingest Template'!AB357&amp;"|DAR")),(IF(ISBLANK('Ingest Template'!AB357),"", 'Ingest Template'!AB357&amp;"|TV Ops")))</f>
        <v/>
      </c>
      <c r="AA357" s="35"/>
      <c r="AB357" s="35" t="str">
        <f>'Ingest Template'!R357</f>
        <v/>
      </c>
      <c r="AC357" s="35" t="str">
        <f>'Ingest Template'!T357</f>
        <v/>
      </c>
      <c r="AD357" s="35" t="str">
        <f>'Ingest Template'!S357</f>
        <v/>
      </c>
      <c r="AE357" s="35" t="str">
        <f>'Ingest Template'!U357</f>
        <v/>
      </c>
      <c r="AF357" s="22"/>
      <c r="AG357" s="35" t="str">
        <f t="array" ref="AG357">IF('Ingest Template'!A357="Standard",(CONCATENATE(IF(ISBLANK('Ingest Template'!N357),"", 'Ingest Template'!N357&amp;"|DAR"),CHAR(10), IF(ISBLANK('Ingest Template'!O357),"", 'Ingest Template'!O357&amp;"|DAR"),CHAR(10), IF(ISBLANK('Ingest Template'!P357),"", 'Ingest Template'!P357&amp;"|DAR"))),(CONCATENATE(IF(ISBLANK('Ingest Template'!N357),"", 'Ingest Template'!N357&amp;"|TV Ops"),CHAR(10), IF(ISBLANK('Ingest Template'!O357),"", 'Ingest Template'!O357&amp;"|TV Ops"),CHAR(10), IF(ISBLANK('Ingest Template'!P357),"", 'Ingest Template'!P357&amp;"|TV Ops"))))</f>
        <v>
</v>
      </c>
      <c r="AH357" s="35"/>
      <c r="AI357" s="35"/>
      <c r="AJ357" s="117" t="str">
        <f>if('Ingest Template'!A357="Standard",(IF(OR('Ingest Template'!F357 = "Program Type - Special", 'Ingest Template'!F357 = "Program Type - Live Event"),'Ingest Template'!M357&amp; "|DAR|DAR|"&amp;TEXT('Ingest Template'!C357-3, "yyyy-mm-dd")&amp;"|"&amp;TEXT('Ingest Template'!C357+3, "yyyy-mm-dd"),'Ingest Template'!M357&amp; "|DAR|DAR|2021-01-01")),(IF(OR('Ingest Template'!F357 = "Program Type - Special", 'Ingest Template'!F357 = "Program Type - Live Event"),'Ingest Template'!M357&amp; "|Operations - Core Title|Operations - Core Title|"&amp;TEXT('Ingest Template'!C357-3, "yyyy-mm-dd")&amp;"|"&amp;TEXT('Ingest Template'!C357+3, "yyyy-mm-dd"),'Ingest Template'!M357&amp; "|Operations - Core Title|Operations - Core Title")))</f>
        <v>|Operations - Core Title|Operations - Core Title</v>
      </c>
      <c r="AK357" s="35"/>
      <c r="AL357" s="117" t="str">
        <f>if('Ingest Template'!A357="Standard",(IF(OR('Ingest Template'!F357 = "Program Type - Special", 'Ingest Template'!F357 = "Program Type - Live Event"),'Ingest Template'!Q357&amp;"|"&amp;TEXT('Ingest Template'!C357-3, "yyyy-mm-dd")&amp;"|"&amp;TEXT('Ingest Template'!C357+3, "yyyy-mm-dd"),'Ingest Template'!Q357&amp; "|2021-01-01")),(IF(OR('Ingest Template'!F357 = "Program Type - Special", 'Ingest Template'!F357 = "Program Type - Live Event"),'Ingest Template'!Q357&amp; "|"&amp;TEXT('Ingest Template'!C357-3, "yyyy-mm-dd")&amp;"|"&amp;TEXT('Ingest Template'!C357+3, "yyyy-mm-dd"),'Ingest Template'!Q357)))</f>
        <v/>
      </c>
      <c r="AM357" s="35" t="str">
        <f>'Ingest Template'!AC357</f>
        <v/>
      </c>
    </row>
    <row r="358">
      <c r="A358" s="15"/>
      <c r="B358" s="22" t="str">
        <f>'Ingest Template'!C358&amp;IF('Ingest Template'!A358 = "Standard", " - DAR","")</f>
        <v/>
      </c>
      <c r="C358" s="22" t="s">
        <v>83</v>
      </c>
      <c r="D358" s="22" t="str">
        <f t="array" ref="D358">CONCATENATE(INDEX(DropdownLists!$H$2:$H$11,MATCH(1,COUNTIF('Ingest Template'!E358,"*"&amp;DropdownLists!$I$2:$I$11&amp;"*"),0)),CHAR(10),'Ingest Template'!F358,CHAR(10),'Ingest Template'!G358,CHAR(10),VLOOKUP('Ingest Template'!D358,DropdownLists!C:D,2,FALSE))</f>
        <v>#N/A</v>
      </c>
      <c r="E358" s="22" t="str">
        <f>CONCATENATE('Ingest Template'!H358,CHAR(10),'Ingest Template'!I358,CHAR(10),'Ingest Template'!J358,CHAR(10))</f>
        <v>
</v>
      </c>
      <c r="F358" s="35" t="str">
        <f t="array" ref="F358">INDEX(DropdownLists!$O$2:$O$36,MATCH(1,COUNTIF(E358,"*"&amp;DropdownLists!$N$2:$N$36&amp;"*"),0))</f>
        <v/>
      </c>
      <c r="G358" s="35"/>
      <c r="H358" s="22" t="str">
        <f t="array" ref="H358">INDEX(DropdownLists!$E$2:$E$276,MATCH('Ingest Template'!D358,DropdownLists!$C$2:$C$276,0))</f>
        <v>#N/A</v>
      </c>
      <c r="I358" s="22"/>
      <c r="J358" s="22" t="str">
        <f t="array" ref="J358">iF('Ingest Template'!A358="Standard","Pristine Brand",INDEX(DropdownLists!$B$2:$B$246,MATCH('Ingest Template'!D358,DropdownLists!$C$2:$C$246,0)))</f>
        <v>#N/A</v>
      </c>
      <c r="K358" s="22" t="str">
        <f>iF('Ingest Template'!A358="Standard",'Ingest Template'!K358&amp;CHAR(10)&amp;'Ingest Template'!L358,"Competitive View")</f>
        <v>Competitive View</v>
      </c>
      <c r="L358" s="22" t="s">
        <v>95</v>
      </c>
      <c r="M358" s="45" t="str">
        <f>'Ingest Template'!B358</f>
        <v/>
      </c>
      <c r="N358" s="35"/>
      <c r="O358" s="35"/>
      <c r="P358" s="35"/>
      <c r="Q358" s="35"/>
      <c r="R358" s="35" t="str">
        <f>'Ingest Template'!D358</f>
        <v/>
      </c>
      <c r="S358" s="22" t="s">
        <v>101</v>
      </c>
      <c r="T358" s="35" t="str">
        <f>'Ingest Template'!V358</f>
        <v/>
      </c>
      <c r="U358" s="35" t="str">
        <f>'Ingest Template'!W358</f>
        <v/>
      </c>
      <c r="V358" s="35" t="str">
        <f>LOWER(SUBSTITUTE(SUBSTITUTE(SUBSTITUTE(SUBSTITUTE(SUBSTITUTE('Ingest Template'!X358,"https:",""),"www.",""),"/",""),"?hl=en",""),"instagram.com",""))</f>
        <v/>
      </c>
      <c r="W358" s="74" t="str">
        <f t="array" ref="W358">IF(
'Ingest Template'!Y358="",
SUBSTITUTE(
INDEX(DropdownLists!$F$2:$F$277,MATCH('Ingest Template'!D358,DropdownLists!$C$2:$C$277,0)),
CHAR(10),
"|"&amp;'Ingest Template'!C358&amp;CHAR(10)
)&amp;"|"&amp;'Ingest Template'!C358,
SUBSTITUTE(
INDEX(DropdownLists!$F$2:$F$277,MATCH('Ingest Template'!D358,DropdownLists!$C$2:$C$277,0)),
CHAR(10),
"|"&amp;'Ingest Template'!C358&amp;CHAR(10)
)&amp;"|"&amp;'Ingest Template'!C358&amp;CHAR(10)&amp;'Ingest Template'!Y358
)</f>
        <v>#N/A</v>
      </c>
      <c r="X358" s="74" t="str">
        <f>'Ingest Template'!Z358</f>
        <v/>
      </c>
      <c r="Y358" s="35" t="str">
        <f>SUBSTITUTE(SUBSTITUTE(SUBSTITUTE('Ingest Template'!AA358,"http:",""),"https:",""),"/","")</f>
        <v/>
      </c>
      <c r="Z358" s="35" t="str">
        <f t="array" ref="Z358">IF('Ingest Template'!A358="Standard",(IF(ISBLANK('Ingest Template'!AB358),"", 'Ingest Template'!AB358&amp;"|DAR")),(IF(ISBLANK('Ingest Template'!AB358),"", 'Ingest Template'!AB358&amp;"|TV Ops")))</f>
        <v/>
      </c>
      <c r="AA358" s="35"/>
      <c r="AB358" s="35" t="str">
        <f>'Ingest Template'!R358</f>
        <v/>
      </c>
      <c r="AC358" s="35" t="str">
        <f>'Ingest Template'!T358</f>
        <v/>
      </c>
      <c r="AD358" s="35" t="str">
        <f>'Ingest Template'!S358</f>
        <v/>
      </c>
      <c r="AE358" s="35" t="str">
        <f>'Ingest Template'!U358</f>
        <v/>
      </c>
      <c r="AF358" s="22"/>
      <c r="AG358" s="35" t="str">
        <f t="array" ref="AG358">IF('Ingest Template'!A358="Standard",(CONCATENATE(IF(ISBLANK('Ingest Template'!N358),"", 'Ingest Template'!N358&amp;"|DAR"),CHAR(10), IF(ISBLANK('Ingest Template'!O358),"", 'Ingest Template'!O358&amp;"|DAR"),CHAR(10), IF(ISBLANK('Ingest Template'!P358),"", 'Ingest Template'!P358&amp;"|DAR"))),(CONCATENATE(IF(ISBLANK('Ingest Template'!N358),"", 'Ingest Template'!N358&amp;"|TV Ops"),CHAR(10), IF(ISBLANK('Ingest Template'!O358),"", 'Ingest Template'!O358&amp;"|TV Ops"),CHAR(10), IF(ISBLANK('Ingest Template'!P358),"", 'Ingest Template'!P358&amp;"|TV Ops"))))</f>
        <v>
</v>
      </c>
      <c r="AH358" s="35"/>
      <c r="AI358" s="35"/>
      <c r="AJ358" s="117" t="str">
        <f>if('Ingest Template'!A358="Standard",(IF(OR('Ingest Template'!F358 = "Program Type - Special", 'Ingest Template'!F358 = "Program Type - Live Event"),'Ingest Template'!M358&amp; "|DAR|DAR|"&amp;TEXT('Ingest Template'!C358-3, "yyyy-mm-dd")&amp;"|"&amp;TEXT('Ingest Template'!C358+3, "yyyy-mm-dd"),'Ingest Template'!M358&amp; "|DAR|DAR|2021-01-01")),(IF(OR('Ingest Template'!F358 = "Program Type - Special", 'Ingest Template'!F358 = "Program Type - Live Event"),'Ingest Template'!M358&amp; "|Operations - Core Title|Operations - Core Title|"&amp;TEXT('Ingest Template'!C358-3, "yyyy-mm-dd")&amp;"|"&amp;TEXT('Ingest Template'!C358+3, "yyyy-mm-dd"),'Ingest Template'!M358&amp; "|Operations - Core Title|Operations - Core Title")))</f>
        <v>|Operations - Core Title|Operations - Core Title</v>
      </c>
      <c r="AK358" s="35"/>
      <c r="AL358" s="117" t="str">
        <f>if('Ingest Template'!A358="Standard",(IF(OR('Ingest Template'!F358 = "Program Type - Special", 'Ingest Template'!F358 = "Program Type - Live Event"),'Ingest Template'!Q358&amp;"|"&amp;TEXT('Ingest Template'!C358-3, "yyyy-mm-dd")&amp;"|"&amp;TEXT('Ingest Template'!C358+3, "yyyy-mm-dd"),'Ingest Template'!Q358&amp; "|2021-01-01")),(IF(OR('Ingest Template'!F358 = "Program Type - Special", 'Ingest Template'!F358 = "Program Type - Live Event"),'Ingest Template'!Q358&amp; "|"&amp;TEXT('Ingest Template'!C358-3, "yyyy-mm-dd")&amp;"|"&amp;TEXT('Ingest Template'!C358+3, "yyyy-mm-dd"),'Ingest Template'!Q358)))</f>
        <v/>
      </c>
      <c r="AM358" s="35" t="str">
        <f>'Ingest Template'!AC358</f>
        <v/>
      </c>
    </row>
    <row r="359">
      <c r="A359" s="15"/>
      <c r="B359" s="22" t="str">
        <f>'Ingest Template'!C359&amp;IF('Ingest Template'!A359 = "Standard", " - DAR","")</f>
        <v/>
      </c>
      <c r="C359" s="22" t="s">
        <v>83</v>
      </c>
      <c r="D359" s="22" t="str">
        <f t="array" ref="D359">CONCATENATE(INDEX(DropdownLists!$H$2:$H$11,MATCH(1,COUNTIF('Ingest Template'!E359,"*"&amp;DropdownLists!$I$2:$I$11&amp;"*"),0)),CHAR(10),'Ingest Template'!F359,CHAR(10),'Ingest Template'!G359,CHAR(10),VLOOKUP('Ingest Template'!D359,DropdownLists!C:D,2,FALSE))</f>
        <v>#N/A</v>
      </c>
      <c r="E359" s="22" t="str">
        <f>CONCATENATE('Ingest Template'!H359,CHAR(10),'Ingest Template'!I359,CHAR(10),'Ingest Template'!J359,CHAR(10))</f>
        <v>
</v>
      </c>
      <c r="F359" s="35" t="str">
        <f t="array" ref="F359">INDEX(DropdownLists!$O$2:$O$36,MATCH(1,COUNTIF(E359,"*"&amp;DropdownLists!$N$2:$N$36&amp;"*"),0))</f>
        <v/>
      </c>
      <c r="G359" s="35"/>
      <c r="H359" s="22" t="str">
        <f t="array" ref="H359">INDEX(DropdownLists!$E$2:$E$276,MATCH('Ingest Template'!D359,DropdownLists!$C$2:$C$276,0))</f>
        <v>#N/A</v>
      </c>
      <c r="I359" s="22"/>
      <c r="J359" s="22" t="str">
        <f t="array" ref="J359">iF('Ingest Template'!A359="Standard","Pristine Brand",INDEX(DropdownLists!$B$2:$B$246,MATCH('Ingest Template'!D359,DropdownLists!$C$2:$C$246,0)))</f>
        <v>#N/A</v>
      </c>
      <c r="K359" s="22" t="str">
        <f>iF('Ingest Template'!A359="Standard",'Ingest Template'!K359&amp;CHAR(10)&amp;'Ingest Template'!L359,"Competitive View")</f>
        <v>Competitive View</v>
      </c>
      <c r="L359" s="22" t="s">
        <v>95</v>
      </c>
      <c r="M359" s="45" t="str">
        <f>'Ingest Template'!B359</f>
        <v/>
      </c>
      <c r="N359" s="35"/>
      <c r="O359" s="35"/>
      <c r="P359" s="35"/>
      <c r="Q359" s="35"/>
      <c r="R359" s="35" t="str">
        <f>'Ingest Template'!D359</f>
        <v/>
      </c>
      <c r="S359" s="22" t="s">
        <v>101</v>
      </c>
      <c r="T359" s="35" t="str">
        <f>'Ingest Template'!V359</f>
        <v/>
      </c>
      <c r="U359" s="35" t="str">
        <f>'Ingest Template'!W359</f>
        <v/>
      </c>
      <c r="V359" s="35" t="str">
        <f>LOWER(SUBSTITUTE(SUBSTITUTE(SUBSTITUTE(SUBSTITUTE(SUBSTITUTE('Ingest Template'!X359,"https:",""),"www.",""),"/",""),"?hl=en",""),"instagram.com",""))</f>
        <v/>
      </c>
      <c r="W359" s="74" t="str">
        <f t="array" ref="W359">IF(
'Ingest Template'!Y359="",
SUBSTITUTE(
INDEX(DropdownLists!$F$2:$F$277,MATCH('Ingest Template'!D359,DropdownLists!$C$2:$C$277,0)),
CHAR(10),
"|"&amp;'Ingest Template'!C359&amp;CHAR(10)
)&amp;"|"&amp;'Ingest Template'!C359,
SUBSTITUTE(
INDEX(DropdownLists!$F$2:$F$277,MATCH('Ingest Template'!D359,DropdownLists!$C$2:$C$277,0)),
CHAR(10),
"|"&amp;'Ingest Template'!C359&amp;CHAR(10)
)&amp;"|"&amp;'Ingest Template'!C359&amp;CHAR(10)&amp;'Ingest Template'!Y359
)</f>
        <v>#N/A</v>
      </c>
      <c r="X359" s="74" t="str">
        <f>'Ingest Template'!Z359</f>
        <v/>
      </c>
      <c r="Y359" s="35" t="str">
        <f>SUBSTITUTE(SUBSTITUTE(SUBSTITUTE('Ingest Template'!AA359,"http:",""),"https:",""),"/","")</f>
        <v/>
      </c>
      <c r="Z359" s="35" t="str">
        <f t="array" ref="Z359">IF('Ingest Template'!A359="Standard",(IF(ISBLANK('Ingest Template'!AB359),"", 'Ingest Template'!AB359&amp;"|DAR")),(IF(ISBLANK('Ingest Template'!AB359),"", 'Ingest Template'!AB359&amp;"|TV Ops")))</f>
        <v/>
      </c>
      <c r="AA359" s="35"/>
      <c r="AB359" s="35" t="str">
        <f>'Ingest Template'!R359</f>
        <v/>
      </c>
      <c r="AC359" s="35" t="str">
        <f>'Ingest Template'!T359</f>
        <v/>
      </c>
      <c r="AD359" s="35" t="str">
        <f>'Ingest Template'!S359</f>
        <v/>
      </c>
      <c r="AE359" s="35" t="str">
        <f>'Ingest Template'!U359</f>
        <v/>
      </c>
      <c r="AF359" s="22"/>
      <c r="AG359" s="35" t="str">
        <f t="array" ref="AG359">IF('Ingest Template'!A359="Standard",(CONCATENATE(IF(ISBLANK('Ingest Template'!N359),"", 'Ingest Template'!N359&amp;"|DAR"),CHAR(10), IF(ISBLANK('Ingest Template'!O359),"", 'Ingest Template'!O359&amp;"|DAR"),CHAR(10), IF(ISBLANK('Ingest Template'!P359),"", 'Ingest Template'!P359&amp;"|DAR"))),(CONCATENATE(IF(ISBLANK('Ingest Template'!N359),"", 'Ingest Template'!N359&amp;"|TV Ops"),CHAR(10), IF(ISBLANK('Ingest Template'!O359),"", 'Ingest Template'!O359&amp;"|TV Ops"),CHAR(10), IF(ISBLANK('Ingest Template'!P359),"", 'Ingest Template'!P359&amp;"|TV Ops"))))</f>
        <v>
</v>
      </c>
      <c r="AH359" s="35"/>
      <c r="AI359" s="35"/>
      <c r="AJ359" s="117" t="str">
        <f>if('Ingest Template'!A359="Standard",(IF(OR('Ingest Template'!F359 = "Program Type - Special", 'Ingest Template'!F359 = "Program Type - Live Event"),'Ingest Template'!M359&amp; "|DAR|DAR|"&amp;TEXT('Ingest Template'!C359-3, "yyyy-mm-dd")&amp;"|"&amp;TEXT('Ingest Template'!C359+3, "yyyy-mm-dd"),'Ingest Template'!M359&amp; "|DAR|DAR|2021-01-01")),(IF(OR('Ingest Template'!F359 = "Program Type - Special", 'Ingest Template'!F359 = "Program Type - Live Event"),'Ingest Template'!M359&amp; "|Operations - Core Title|Operations - Core Title|"&amp;TEXT('Ingest Template'!C359-3, "yyyy-mm-dd")&amp;"|"&amp;TEXT('Ingest Template'!C359+3, "yyyy-mm-dd"),'Ingest Template'!M359&amp; "|Operations - Core Title|Operations - Core Title")))</f>
        <v>|Operations - Core Title|Operations - Core Title</v>
      </c>
      <c r="AK359" s="35"/>
      <c r="AL359" s="117" t="str">
        <f>if('Ingest Template'!A359="Standard",(IF(OR('Ingest Template'!F359 = "Program Type - Special", 'Ingest Template'!F359 = "Program Type - Live Event"),'Ingest Template'!Q359&amp;"|"&amp;TEXT('Ingest Template'!C359-3, "yyyy-mm-dd")&amp;"|"&amp;TEXT('Ingest Template'!C359+3, "yyyy-mm-dd"),'Ingest Template'!Q359&amp; "|2021-01-01")),(IF(OR('Ingest Template'!F359 = "Program Type - Special", 'Ingest Template'!F359 = "Program Type - Live Event"),'Ingest Template'!Q359&amp; "|"&amp;TEXT('Ingest Template'!C359-3, "yyyy-mm-dd")&amp;"|"&amp;TEXT('Ingest Template'!C359+3, "yyyy-mm-dd"),'Ingest Template'!Q359)))</f>
        <v/>
      </c>
      <c r="AM359" s="35" t="str">
        <f>'Ingest Template'!AC359</f>
        <v/>
      </c>
    </row>
    <row r="360">
      <c r="A360" s="15"/>
      <c r="B360" s="22" t="str">
        <f>'Ingest Template'!C360&amp;IF('Ingest Template'!A360 = "Standard", " - DAR","")</f>
        <v/>
      </c>
      <c r="C360" s="22" t="s">
        <v>83</v>
      </c>
      <c r="D360" s="22" t="str">
        <f t="array" ref="D360">CONCATENATE(INDEX(DropdownLists!$H$2:$H$11,MATCH(1,COUNTIF('Ingest Template'!E360,"*"&amp;DropdownLists!$I$2:$I$11&amp;"*"),0)),CHAR(10),'Ingest Template'!F360,CHAR(10),'Ingest Template'!G360,CHAR(10),VLOOKUP('Ingest Template'!D360,DropdownLists!C:D,2,FALSE))</f>
        <v>#N/A</v>
      </c>
      <c r="E360" s="22" t="str">
        <f>CONCATENATE('Ingest Template'!H360,CHAR(10),'Ingest Template'!I360,CHAR(10),'Ingest Template'!J360,CHAR(10))</f>
        <v>
</v>
      </c>
      <c r="F360" s="35" t="str">
        <f t="array" ref="F360">INDEX(DropdownLists!$O$2:$O$36,MATCH(1,COUNTIF(E360,"*"&amp;DropdownLists!$N$2:$N$36&amp;"*"),0))</f>
        <v/>
      </c>
      <c r="G360" s="35"/>
      <c r="H360" s="22" t="str">
        <f t="array" ref="H360">INDEX(DropdownLists!$E$2:$E$276,MATCH('Ingest Template'!D360,DropdownLists!$C$2:$C$276,0))</f>
        <v>#N/A</v>
      </c>
      <c r="I360" s="22"/>
      <c r="J360" s="22" t="str">
        <f t="array" ref="J360">iF('Ingest Template'!A360="Standard","Pristine Brand",INDEX(DropdownLists!$B$2:$B$246,MATCH('Ingest Template'!D360,DropdownLists!$C$2:$C$246,0)))</f>
        <v>#N/A</v>
      </c>
      <c r="K360" s="22" t="str">
        <f>iF('Ingest Template'!A360="Standard",'Ingest Template'!K360&amp;CHAR(10)&amp;'Ingest Template'!L360,"Competitive View")</f>
        <v>Competitive View</v>
      </c>
      <c r="L360" s="22" t="s">
        <v>95</v>
      </c>
      <c r="M360" s="45" t="str">
        <f>'Ingest Template'!B360</f>
        <v/>
      </c>
      <c r="N360" s="35"/>
      <c r="O360" s="35"/>
      <c r="P360" s="35"/>
      <c r="Q360" s="35"/>
      <c r="R360" s="35" t="str">
        <f>'Ingest Template'!D360</f>
        <v/>
      </c>
      <c r="S360" s="22" t="s">
        <v>101</v>
      </c>
      <c r="T360" s="35" t="str">
        <f>'Ingest Template'!V360</f>
        <v/>
      </c>
      <c r="U360" s="35" t="str">
        <f>'Ingest Template'!W360</f>
        <v/>
      </c>
      <c r="V360" s="35" t="str">
        <f>LOWER(SUBSTITUTE(SUBSTITUTE(SUBSTITUTE(SUBSTITUTE(SUBSTITUTE('Ingest Template'!X360,"https:",""),"www.",""),"/",""),"?hl=en",""),"instagram.com",""))</f>
        <v/>
      </c>
      <c r="W360" s="74" t="str">
        <f t="array" ref="W360">IF(
'Ingest Template'!Y360="",
SUBSTITUTE(
INDEX(DropdownLists!$F$2:$F$277,MATCH('Ingest Template'!D360,DropdownLists!$C$2:$C$277,0)),
CHAR(10),
"|"&amp;'Ingest Template'!C360&amp;CHAR(10)
)&amp;"|"&amp;'Ingest Template'!C360,
SUBSTITUTE(
INDEX(DropdownLists!$F$2:$F$277,MATCH('Ingest Template'!D360,DropdownLists!$C$2:$C$277,0)),
CHAR(10),
"|"&amp;'Ingest Template'!C360&amp;CHAR(10)
)&amp;"|"&amp;'Ingest Template'!C360&amp;CHAR(10)&amp;'Ingest Template'!Y360
)</f>
        <v>#N/A</v>
      </c>
      <c r="X360" s="74" t="str">
        <f>'Ingest Template'!Z360</f>
        <v/>
      </c>
      <c r="Y360" s="35" t="str">
        <f>SUBSTITUTE(SUBSTITUTE(SUBSTITUTE('Ingest Template'!AA360,"http:",""),"https:",""),"/","")</f>
        <v/>
      </c>
      <c r="Z360" s="35" t="str">
        <f t="array" ref="Z360">IF('Ingest Template'!A360="Standard",(IF(ISBLANK('Ingest Template'!AB360),"", 'Ingest Template'!AB360&amp;"|DAR")),(IF(ISBLANK('Ingest Template'!AB360),"", 'Ingest Template'!AB360&amp;"|TV Ops")))</f>
        <v/>
      </c>
      <c r="AA360" s="35"/>
      <c r="AB360" s="35" t="str">
        <f>'Ingest Template'!R360</f>
        <v/>
      </c>
      <c r="AC360" s="35" t="str">
        <f>'Ingest Template'!T360</f>
        <v/>
      </c>
      <c r="AD360" s="35" t="str">
        <f>'Ingest Template'!S360</f>
        <v/>
      </c>
      <c r="AE360" s="35" t="str">
        <f>'Ingest Template'!U360</f>
        <v/>
      </c>
      <c r="AF360" s="22"/>
      <c r="AG360" s="35" t="str">
        <f t="array" ref="AG360">IF('Ingest Template'!A360="Standard",(CONCATENATE(IF(ISBLANK('Ingest Template'!N360),"", 'Ingest Template'!N360&amp;"|DAR"),CHAR(10), IF(ISBLANK('Ingest Template'!O360),"", 'Ingest Template'!O360&amp;"|DAR"),CHAR(10), IF(ISBLANK('Ingest Template'!P360),"", 'Ingest Template'!P360&amp;"|DAR"))),(CONCATENATE(IF(ISBLANK('Ingest Template'!N360),"", 'Ingest Template'!N360&amp;"|TV Ops"),CHAR(10), IF(ISBLANK('Ingest Template'!O360),"", 'Ingest Template'!O360&amp;"|TV Ops"),CHAR(10), IF(ISBLANK('Ingest Template'!P360),"", 'Ingest Template'!P360&amp;"|TV Ops"))))</f>
        <v>
</v>
      </c>
      <c r="AH360" s="35"/>
      <c r="AI360" s="35"/>
      <c r="AJ360" s="117" t="str">
        <f>if('Ingest Template'!A360="Standard",(IF(OR('Ingest Template'!F360 = "Program Type - Special", 'Ingest Template'!F360 = "Program Type - Live Event"),'Ingest Template'!M360&amp; "|DAR|DAR|"&amp;TEXT('Ingest Template'!C360-3, "yyyy-mm-dd")&amp;"|"&amp;TEXT('Ingest Template'!C360+3, "yyyy-mm-dd"),'Ingest Template'!M360&amp; "|DAR|DAR|2021-01-01")),(IF(OR('Ingest Template'!F360 = "Program Type - Special", 'Ingest Template'!F360 = "Program Type - Live Event"),'Ingest Template'!M360&amp; "|Operations - Core Title|Operations - Core Title|"&amp;TEXT('Ingest Template'!C360-3, "yyyy-mm-dd")&amp;"|"&amp;TEXT('Ingest Template'!C360+3, "yyyy-mm-dd"),'Ingest Template'!M360&amp; "|Operations - Core Title|Operations - Core Title")))</f>
        <v>|Operations - Core Title|Operations - Core Title</v>
      </c>
      <c r="AK360" s="35"/>
      <c r="AL360" s="117" t="str">
        <f>if('Ingest Template'!A360="Standard",(IF(OR('Ingest Template'!F360 = "Program Type - Special", 'Ingest Template'!F360 = "Program Type - Live Event"),'Ingest Template'!Q360&amp;"|"&amp;TEXT('Ingest Template'!C360-3, "yyyy-mm-dd")&amp;"|"&amp;TEXT('Ingest Template'!C360+3, "yyyy-mm-dd"),'Ingest Template'!Q360&amp; "|2021-01-01")),(IF(OR('Ingest Template'!F360 = "Program Type - Special", 'Ingest Template'!F360 = "Program Type - Live Event"),'Ingest Template'!Q360&amp; "|"&amp;TEXT('Ingest Template'!C360-3, "yyyy-mm-dd")&amp;"|"&amp;TEXT('Ingest Template'!C360+3, "yyyy-mm-dd"),'Ingest Template'!Q360)))</f>
        <v/>
      </c>
      <c r="AM360" s="35" t="str">
        <f>'Ingest Template'!AC360</f>
        <v/>
      </c>
    </row>
    <row r="361">
      <c r="A361" s="15"/>
      <c r="B361" s="22" t="str">
        <f>'Ingest Template'!C361&amp;IF('Ingest Template'!A361 = "Standard", " - DAR","")</f>
        <v/>
      </c>
      <c r="C361" s="22" t="s">
        <v>83</v>
      </c>
      <c r="D361" s="22" t="str">
        <f t="array" ref="D361">CONCATENATE(INDEX(DropdownLists!$H$2:$H$11,MATCH(1,COUNTIF('Ingest Template'!E361,"*"&amp;DropdownLists!$I$2:$I$11&amp;"*"),0)),CHAR(10),'Ingest Template'!F361,CHAR(10),'Ingest Template'!G361,CHAR(10),VLOOKUP('Ingest Template'!D361,DropdownLists!C:D,2,FALSE))</f>
        <v>#N/A</v>
      </c>
      <c r="E361" s="22" t="str">
        <f>CONCATENATE('Ingest Template'!H361,CHAR(10),'Ingest Template'!I361,CHAR(10),'Ingest Template'!J361,CHAR(10))</f>
        <v>
</v>
      </c>
      <c r="F361" s="35" t="str">
        <f t="array" ref="F361">INDEX(DropdownLists!$O$2:$O$36,MATCH(1,COUNTIF(E361,"*"&amp;DropdownLists!$N$2:$N$36&amp;"*"),0))</f>
        <v/>
      </c>
      <c r="G361" s="35"/>
      <c r="H361" s="22" t="str">
        <f t="array" ref="H361">INDEX(DropdownLists!$E$2:$E$276,MATCH('Ingest Template'!D361,DropdownLists!$C$2:$C$276,0))</f>
        <v>#N/A</v>
      </c>
      <c r="I361" s="22"/>
      <c r="J361" s="22" t="str">
        <f t="array" ref="J361">iF('Ingest Template'!A361="Standard","Pristine Brand",INDEX(DropdownLists!$B$2:$B$246,MATCH('Ingest Template'!D361,DropdownLists!$C$2:$C$246,0)))</f>
        <v>#N/A</v>
      </c>
      <c r="K361" s="22" t="str">
        <f>iF('Ingest Template'!A361="Standard",'Ingest Template'!K361&amp;CHAR(10)&amp;'Ingest Template'!L361,"Competitive View")</f>
        <v>Competitive View</v>
      </c>
      <c r="L361" s="22" t="s">
        <v>95</v>
      </c>
      <c r="M361" s="45" t="str">
        <f>'Ingest Template'!B361</f>
        <v/>
      </c>
      <c r="N361" s="35"/>
      <c r="O361" s="35"/>
      <c r="P361" s="35"/>
      <c r="Q361" s="35"/>
      <c r="R361" s="35" t="str">
        <f>'Ingest Template'!D361</f>
        <v/>
      </c>
      <c r="S361" s="22" t="s">
        <v>101</v>
      </c>
      <c r="T361" s="35" t="str">
        <f>'Ingest Template'!V361</f>
        <v/>
      </c>
      <c r="U361" s="35" t="str">
        <f>'Ingest Template'!W361</f>
        <v/>
      </c>
      <c r="V361" s="35" t="str">
        <f>LOWER(SUBSTITUTE(SUBSTITUTE(SUBSTITUTE(SUBSTITUTE(SUBSTITUTE('Ingest Template'!X361,"https:",""),"www.",""),"/",""),"?hl=en",""),"instagram.com",""))</f>
        <v/>
      </c>
      <c r="W361" s="74" t="str">
        <f t="array" ref="W361">IF(
'Ingest Template'!Y361="",
SUBSTITUTE(
INDEX(DropdownLists!$F$2:$F$277,MATCH('Ingest Template'!D361,DropdownLists!$C$2:$C$277,0)),
CHAR(10),
"|"&amp;'Ingest Template'!C361&amp;CHAR(10)
)&amp;"|"&amp;'Ingest Template'!C361,
SUBSTITUTE(
INDEX(DropdownLists!$F$2:$F$277,MATCH('Ingest Template'!D361,DropdownLists!$C$2:$C$277,0)),
CHAR(10),
"|"&amp;'Ingest Template'!C361&amp;CHAR(10)
)&amp;"|"&amp;'Ingest Template'!C361&amp;CHAR(10)&amp;'Ingest Template'!Y361
)</f>
        <v>#N/A</v>
      </c>
      <c r="X361" s="74" t="str">
        <f>'Ingest Template'!Z361</f>
        <v/>
      </c>
      <c r="Y361" s="35" t="str">
        <f>SUBSTITUTE(SUBSTITUTE(SUBSTITUTE('Ingest Template'!AA361,"http:",""),"https:",""),"/","")</f>
        <v/>
      </c>
      <c r="Z361" s="35" t="str">
        <f t="array" ref="Z361">IF('Ingest Template'!A361="Standard",(IF(ISBLANK('Ingest Template'!AB361),"", 'Ingest Template'!AB361&amp;"|DAR")),(IF(ISBLANK('Ingest Template'!AB361),"", 'Ingest Template'!AB361&amp;"|TV Ops")))</f>
        <v/>
      </c>
      <c r="AA361" s="35"/>
      <c r="AB361" s="35" t="str">
        <f>'Ingest Template'!R361</f>
        <v/>
      </c>
      <c r="AC361" s="35" t="str">
        <f>'Ingest Template'!T361</f>
        <v/>
      </c>
      <c r="AD361" s="35" t="str">
        <f>'Ingest Template'!S361</f>
        <v/>
      </c>
      <c r="AE361" s="35" t="str">
        <f>'Ingest Template'!U361</f>
        <v/>
      </c>
      <c r="AF361" s="22"/>
      <c r="AG361" s="35" t="str">
        <f t="array" ref="AG361">IF('Ingest Template'!A361="Standard",(CONCATENATE(IF(ISBLANK('Ingest Template'!N361),"", 'Ingest Template'!N361&amp;"|DAR"),CHAR(10), IF(ISBLANK('Ingest Template'!O361),"", 'Ingest Template'!O361&amp;"|DAR"),CHAR(10), IF(ISBLANK('Ingest Template'!P361),"", 'Ingest Template'!P361&amp;"|DAR"))),(CONCATENATE(IF(ISBLANK('Ingest Template'!N361),"", 'Ingest Template'!N361&amp;"|TV Ops"),CHAR(10), IF(ISBLANK('Ingest Template'!O361),"", 'Ingest Template'!O361&amp;"|TV Ops"),CHAR(10), IF(ISBLANK('Ingest Template'!P361),"", 'Ingest Template'!P361&amp;"|TV Ops"))))</f>
        <v>
</v>
      </c>
      <c r="AH361" s="35"/>
      <c r="AI361" s="35"/>
      <c r="AJ361" s="117" t="str">
        <f>if('Ingest Template'!A361="Standard",(IF(OR('Ingest Template'!F361 = "Program Type - Special", 'Ingest Template'!F361 = "Program Type - Live Event"),'Ingest Template'!M361&amp; "|DAR|DAR|"&amp;TEXT('Ingest Template'!C361-3, "yyyy-mm-dd")&amp;"|"&amp;TEXT('Ingest Template'!C361+3, "yyyy-mm-dd"),'Ingest Template'!M361&amp; "|DAR|DAR|2021-01-01")),(IF(OR('Ingest Template'!F361 = "Program Type - Special", 'Ingest Template'!F361 = "Program Type - Live Event"),'Ingest Template'!M361&amp; "|Operations - Core Title|Operations - Core Title|"&amp;TEXT('Ingest Template'!C361-3, "yyyy-mm-dd")&amp;"|"&amp;TEXT('Ingest Template'!C361+3, "yyyy-mm-dd"),'Ingest Template'!M361&amp; "|Operations - Core Title|Operations - Core Title")))</f>
        <v>|Operations - Core Title|Operations - Core Title</v>
      </c>
      <c r="AK361" s="35"/>
      <c r="AL361" s="117" t="str">
        <f>if('Ingest Template'!A361="Standard",(IF(OR('Ingest Template'!F361 = "Program Type - Special", 'Ingest Template'!F361 = "Program Type - Live Event"),'Ingest Template'!Q361&amp;"|"&amp;TEXT('Ingest Template'!C361-3, "yyyy-mm-dd")&amp;"|"&amp;TEXT('Ingest Template'!C361+3, "yyyy-mm-dd"),'Ingest Template'!Q361&amp; "|2021-01-01")),(IF(OR('Ingest Template'!F361 = "Program Type - Special", 'Ingest Template'!F361 = "Program Type - Live Event"),'Ingest Template'!Q361&amp; "|"&amp;TEXT('Ingest Template'!C361-3, "yyyy-mm-dd")&amp;"|"&amp;TEXT('Ingest Template'!C361+3, "yyyy-mm-dd"),'Ingest Template'!Q361)))</f>
        <v/>
      </c>
      <c r="AM361" s="35" t="str">
        <f>'Ingest Template'!AC361</f>
        <v/>
      </c>
    </row>
    <row r="362">
      <c r="A362" s="15"/>
      <c r="B362" s="22" t="str">
        <f>'Ingest Template'!C362&amp;IF('Ingest Template'!A362 = "Standard", " - DAR","")</f>
        <v/>
      </c>
      <c r="C362" s="22" t="s">
        <v>83</v>
      </c>
      <c r="D362" s="22" t="str">
        <f t="array" ref="D362">CONCATENATE(INDEX(DropdownLists!$H$2:$H$11,MATCH(1,COUNTIF('Ingest Template'!E362,"*"&amp;DropdownLists!$I$2:$I$11&amp;"*"),0)),CHAR(10),'Ingest Template'!F362,CHAR(10),'Ingest Template'!G362,CHAR(10),VLOOKUP('Ingest Template'!D362,DropdownLists!C:D,2,FALSE))</f>
        <v>#N/A</v>
      </c>
      <c r="E362" s="22" t="str">
        <f>CONCATENATE('Ingest Template'!H362,CHAR(10),'Ingest Template'!I362,CHAR(10),'Ingest Template'!J362,CHAR(10))</f>
        <v>
</v>
      </c>
      <c r="F362" s="35" t="str">
        <f t="array" ref="F362">INDEX(DropdownLists!$O$2:$O$36,MATCH(1,COUNTIF(E362,"*"&amp;DropdownLists!$N$2:$N$36&amp;"*"),0))</f>
        <v/>
      </c>
      <c r="G362" s="35"/>
      <c r="H362" s="22" t="str">
        <f t="array" ref="H362">INDEX(DropdownLists!$E$2:$E$276,MATCH('Ingest Template'!D362,DropdownLists!$C$2:$C$276,0))</f>
        <v>#N/A</v>
      </c>
      <c r="I362" s="22"/>
      <c r="J362" s="22" t="str">
        <f t="array" ref="J362">iF('Ingest Template'!A362="Standard","Pristine Brand",INDEX(DropdownLists!$B$2:$B$246,MATCH('Ingest Template'!D362,DropdownLists!$C$2:$C$246,0)))</f>
        <v>#N/A</v>
      </c>
      <c r="K362" s="22" t="str">
        <f>iF('Ingest Template'!A362="Standard",'Ingest Template'!K362&amp;CHAR(10)&amp;'Ingest Template'!L362,"Competitive View")</f>
        <v>Competitive View</v>
      </c>
      <c r="L362" s="22" t="s">
        <v>95</v>
      </c>
      <c r="M362" s="45" t="str">
        <f>'Ingest Template'!B362</f>
        <v/>
      </c>
      <c r="N362" s="35"/>
      <c r="O362" s="35"/>
      <c r="P362" s="35"/>
      <c r="Q362" s="35"/>
      <c r="R362" s="35" t="str">
        <f>'Ingest Template'!D362</f>
        <v/>
      </c>
      <c r="S362" s="22" t="s">
        <v>101</v>
      </c>
      <c r="T362" s="35" t="str">
        <f>'Ingest Template'!V362</f>
        <v/>
      </c>
      <c r="U362" s="35" t="str">
        <f>'Ingest Template'!W362</f>
        <v/>
      </c>
      <c r="V362" s="35" t="str">
        <f>LOWER(SUBSTITUTE(SUBSTITUTE(SUBSTITUTE(SUBSTITUTE(SUBSTITUTE('Ingest Template'!X362,"https:",""),"www.",""),"/",""),"?hl=en",""),"instagram.com",""))</f>
        <v/>
      </c>
      <c r="W362" s="74" t="str">
        <f t="array" ref="W362">IF(
'Ingest Template'!Y362="",
SUBSTITUTE(
INDEX(DropdownLists!$F$2:$F$277,MATCH('Ingest Template'!D362,DropdownLists!$C$2:$C$277,0)),
CHAR(10),
"|"&amp;'Ingest Template'!C362&amp;CHAR(10)
)&amp;"|"&amp;'Ingest Template'!C362,
SUBSTITUTE(
INDEX(DropdownLists!$F$2:$F$277,MATCH('Ingest Template'!D362,DropdownLists!$C$2:$C$277,0)),
CHAR(10),
"|"&amp;'Ingest Template'!C362&amp;CHAR(10)
)&amp;"|"&amp;'Ingest Template'!C362&amp;CHAR(10)&amp;'Ingest Template'!Y362
)</f>
        <v>#N/A</v>
      </c>
      <c r="X362" s="74" t="str">
        <f>'Ingest Template'!Z362</f>
        <v/>
      </c>
      <c r="Y362" s="35" t="str">
        <f>SUBSTITUTE(SUBSTITUTE(SUBSTITUTE('Ingest Template'!AA362,"http:",""),"https:",""),"/","")</f>
        <v/>
      </c>
      <c r="Z362" s="35" t="str">
        <f t="array" ref="Z362">IF('Ingest Template'!A362="Standard",(IF(ISBLANK('Ingest Template'!AB362),"", 'Ingest Template'!AB362&amp;"|DAR")),(IF(ISBLANK('Ingest Template'!AB362),"", 'Ingest Template'!AB362&amp;"|TV Ops")))</f>
        <v/>
      </c>
      <c r="AA362" s="35"/>
      <c r="AB362" s="35" t="str">
        <f>'Ingest Template'!R362</f>
        <v/>
      </c>
      <c r="AC362" s="35" t="str">
        <f>'Ingest Template'!T362</f>
        <v/>
      </c>
      <c r="AD362" s="35" t="str">
        <f>'Ingest Template'!S362</f>
        <v/>
      </c>
      <c r="AE362" s="35" t="str">
        <f>'Ingest Template'!U362</f>
        <v/>
      </c>
      <c r="AF362" s="22"/>
      <c r="AG362" s="35" t="str">
        <f t="array" ref="AG362">IF('Ingest Template'!A362="Standard",(CONCATENATE(IF(ISBLANK('Ingest Template'!N362),"", 'Ingest Template'!N362&amp;"|DAR"),CHAR(10), IF(ISBLANK('Ingest Template'!O362),"", 'Ingest Template'!O362&amp;"|DAR"),CHAR(10), IF(ISBLANK('Ingest Template'!P362),"", 'Ingest Template'!P362&amp;"|DAR"))),(CONCATENATE(IF(ISBLANK('Ingest Template'!N362),"", 'Ingest Template'!N362&amp;"|TV Ops"),CHAR(10), IF(ISBLANK('Ingest Template'!O362),"", 'Ingest Template'!O362&amp;"|TV Ops"),CHAR(10), IF(ISBLANK('Ingest Template'!P362),"", 'Ingest Template'!P362&amp;"|TV Ops"))))</f>
        <v>
</v>
      </c>
      <c r="AH362" s="35"/>
      <c r="AI362" s="35"/>
      <c r="AJ362" s="117" t="str">
        <f>if('Ingest Template'!A362="Standard",(IF(OR('Ingest Template'!F362 = "Program Type - Special", 'Ingest Template'!F362 = "Program Type - Live Event"),'Ingest Template'!M362&amp; "|DAR|DAR|"&amp;TEXT('Ingest Template'!C362-3, "yyyy-mm-dd")&amp;"|"&amp;TEXT('Ingest Template'!C362+3, "yyyy-mm-dd"),'Ingest Template'!M362&amp; "|DAR|DAR|2021-01-01")),(IF(OR('Ingest Template'!F362 = "Program Type - Special", 'Ingest Template'!F362 = "Program Type - Live Event"),'Ingest Template'!M362&amp; "|Operations - Core Title|Operations - Core Title|"&amp;TEXT('Ingest Template'!C362-3, "yyyy-mm-dd")&amp;"|"&amp;TEXT('Ingest Template'!C362+3, "yyyy-mm-dd"),'Ingest Template'!M362&amp; "|Operations - Core Title|Operations - Core Title")))</f>
        <v>|Operations - Core Title|Operations - Core Title</v>
      </c>
      <c r="AK362" s="35"/>
      <c r="AL362" s="117" t="str">
        <f>if('Ingest Template'!A362="Standard",(IF(OR('Ingest Template'!F362 = "Program Type - Special", 'Ingest Template'!F362 = "Program Type - Live Event"),'Ingest Template'!Q362&amp;"|"&amp;TEXT('Ingest Template'!C362-3, "yyyy-mm-dd")&amp;"|"&amp;TEXT('Ingest Template'!C362+3, "yyyy-mm-dd"),'Ingest Template'!Q362&amp; "|2021-01-01")),(IF(OR('Ingest Template'!F362 = "Program Type - Special", 'Ingest Template'!F362 = "Program Type - Live Event"),'Ingest Template'!Q362&amp; "|"&amp;TEXT('Ingest Template'!C362-3, "yyyy-mm-dd")&amp;"|"&amp;TEXT('Ingest Template'!C362+3, "yyyy-mm-dd"),'Ingest Template'!Q362)))</f>
        <v/>
      </c>
      <c r="AM362" s="35" t="str">
        <f>'Ingest Template'!AC362</f>
        <v/>
      </c>
    </row>
    <row r="363">
      <c r="A363" s="15"/>
      <c r="B363" s="22" t="str">
        <f>'Ingest Template'!C363&amp;IF('Ingest Template'!A363 = "Standard", " - DAR","")</f>
        <v/>
      </c>
      <c r="C363" s="22" t="s">
        <v>83</v>
      </c>
      <c r="D363" s="22" t="str">
        <f t="array" ref="D363">CONCATENATE(INDEX(DropdownLists!$H$2:$H$11,MATCH(1,COUNTIF('Ingest Template'!E363,"*"&amp;DropdownLists!$I$2:$I$11&amp;"*"),0)),CHAR(10),'Ingest Template'!F363,CHAR(10),'Ingest Template'!G363,CHAR(10),VLOOKUP('Ingest Template'!D363,DropdownLists!C:D,2,FALSE))</f>
        <v>#N/A</v>
      </c>
      <c r="E363" s="22" t="str">
        <f>CONCATENATE('Ingest Template'!H363,CHAR(10),'Ingest Template'!I363,CHAR(10),'Ingest Template'!J363,CHAR(10))</f>
        <v>
</v>
      </c>
      <c r="F363" s="35" t="str">
        <f t="array" ref="F363">INDEX(DropdownLists!$O$2:$O$36,MATCH(1,COUNTIF(E363,"*"&amp;DropdownLists!$N$2:$N$36&amp;"*"),0))</f>
        <v/>
      </c>
      <c r="G363" s="35"/>
      <c r="H363" s="22" t="str">
        <f t="array" ref="H363">INDEX(DropdownLists!$E$2:$E$276,MATCH('Ingest Template'!D363,DropdownLists!$C$2:$C$276,0))</f>
        <v>#N/A</v>
      </c>
      <c r="I363" s="22"/>
      <c r="J363" s="22" t="str">
        <f t="array" ref="J363">iF('Ingest Template'!A363="Standard","Pristine Brand",INDEX(DropdownLists!$B$2:$B$246,MATCH('Ingest Template'!D363,DropdownLists!$C$2:$C$246,0)))</f>
        <v>#N/A</v>
      </c>
      <c r="K363" s="22" t="str">
        <f>iF('Ingest Template'!A363="Standard",'Ingest Template'!K363&amp;CHAR(10)&amp;'Ingest Template'!L363,"Competitive View")</f>
        <v>Competitive View</v>
      </c>
      <c r="L363" s="22" t="s">
        <v>95</v>
      </c>
      <c r="M363" s="45" t="str">
        <f>'Ingest Template'!B363</f>
        <v/>
      </c>
      <c r="N363" s="35"/>
      <c r="O363" s="35"/>
      <c r="P363" s="35"/>
      <c r="Q363" s="35"/>
      <c r="R363" s="35" t="str">
        <f>'Ingest Template'!D363</f>
        <v/>
      </c>
      <c r="S363" s="22" t="s">
        <v>101</v>
      </c>
      <c r="T363" s="35" t="str">
        <f>'Ingest Template'!V363</f>
        <v/>
      </c>
      <c r="U363" s="35" t="str">
        <f>'Ingest Template'!W363</f>
        <v/>
      </c>
      <c r="V363" s="35" t="str">
        <f>LOWER(SUBSTITUTE(SUBSTITUTE(SUBSTITUTE(SUBSTITUTE(SUBSTITUTE('Ingest Template'!X363,"https:",""),"www.",""),"/",""),"?hl=en",""),"instagram.com",""))</f>
        <v/>
      </c>
      <c r="W363" s="74" t="str">
        <f t="array" ref="W363">IF(
'Ingest Template'!Y363="",
SUBSTITUTE(
INDEX(DropdownLists!$F$2:$F$277,MATCH('Ingest Template'!D363,DropdownLists!$C$2:$C$277,0)),
CHAR(10),
"|"&amp;'Ingest Template'!C363&amp;CHAR(10)
)&amp;"|"&amp;'Ingest Template'!C363,
SUBSTITUTE(
INDEX(DropdownLists!$F$2:$F$277,MATCH('Ingest Template'!D363,DropdownLists!$C$2:$C$277,0)),
CHAR(10),
"|"&amp;'Ingest Template'!C363&amp;CHAR(10)
)&amp;"|"&amp;'Ingest Template'!C363&amp;CHAR(10)&amp;'Ingest Template'!Y363
)</f>
        <v>#N/A</v>
      </c>
      <c r="X363" s="74" t="str">
        <f>'Ingest Template'!Z363</f>
        <v/>
      </c>
      <c r="Y363" s="35" t="str">
        <f>SUBSTITUTE(SUBSTITUTE(SUBSTITUTE('Ingest Template'!AA363,"http:",""),"https:",""),"/","")</f>
        <v/>
      </c>
      <c r="Z363" s="35" t="str">
        <f t="array" ref="Z363">IF('Ingest Template'!A363="Standard",(IF(ISBLANK('Ingest Template'!AB363),"", 'Ingest Template'!AB363&amp;"|DAR")),(IF(ISBLANK('Ingest Template'!AB363),"", 'Ingest Template'!AB363&amp;"|TV Ops")))</f>
        <v/>
      </c>
      <c r="AA363" s="35"/>
      <c r="AB363" s="35" t="str">
        <f>'Ingest Template'!R363</f>
        <v/>
      </c>
      <c r="AC363" s="35" t="str">
        <f>'Ingest Template'!T363</f>
        <v/>
      </c>
      <c r="AD363" s="35" t="str">
        <f>'Ingest Template'!S363</f>
        <v/>
      </c>
      <c r="AE363" s="35" t="str">
        <f>'Ingest Template'!U363</f>
        <v/>
      </c>
      <c r="AF363" s="22"/>
      <c r="AG363" s="35" t="str">
        <f t="array" ref="AG363">IF('Ingest Template'!A363="Standard",(CONCATENATE(IF(ISBLANK('Ingest Template'!N363),"", 'Ingest Template'!N363&amp;"|DAR"),CHAR(10), IF(ISBLANK('Ingest Template'!O363),"", 'Ingest Template'!O363&amp;"|DAR"),CHAR(10), IF(ISBLANK('Ingest Template'!P363),"", 'Ingest Template'!P363&amp;"|DAR"))),(CONCATENATE(IF(ISBLANK('Ingest Template'!N363),"", 'Ingest Template'!N363&amp;"|TV Ops"),CHAR(10), IF(ISBLANK('Ingest Template'!O363),"", 'Ingest Template'!O363&amp;"|TV Ops"),CHAR(10), IF(ISBLANK('Ingest Template'!P363),"", 'Ingest Template'!P363&amp;"|TV Ops"))))</f>
        <v>
</v>
      </c>
      <c r="AH363" s="35"/>
      <c r="AI363" s="35"/>
      <c r="AJ363" s="117" t="str">
        <f>if('Ingest Template'!A363="Standard",(IF(OR('Ingest Template'!F363 = "Program Type - Special", 'Ingest Template'!F363 = "Program Type - Live Event"),'Ingest Template'!M363&amp; "|DAR|DAR|"&amp;TEXT('Ingest Template'!C363-3, "yyyy-mm-dd")&amp;"|"&amp;TEXT('Ingest Template'!C363+3, "yyyy-mm-dd"),'Ingest Template'!M363&amp; "|DAR|DAR|2021-01-01")),(IF(OR('Ingest Template'!F363 = "Program Type - Special", 'Ingest Template'!F363 = "Program Type - Live Event"),'Ingest Template'!M363&amp; "|Operations - Core Title|Operations - Core Title|"&amp;TEXT('Ingest Template'!C363-3, "yyyy-mm-dd")&amp;"|"&amp;TEXT('Ingest Template'!C363+3, "yyyy-mm-dd"),'Ingest Template'!M363&amp; "|Operations - Core Title|Operations - Core Title")))</f>
        <v>|Operations - Core Title|Operations - Core Title</v>
      </c>
      <c r="AK363" s="35"/>
      <c r="AL363" s="117" t="str">
        <f>if('Ingest Template'!A363="Standard",(IF(OR('Ingest Template'!F363 = "Program Type - Special", 'Ingest Template'!F363 = "Program Type - Live Event"),'Ingest Template'!Q363&amp;"|"&amp;TEXT('Ingest Template'!C363-3, "yyyy-mm-dd")&amp;"|"&amp;TEXT('Ingest Template'!C363+3, "yyyy-mm-dd"),'Ingest Template'!Q363&amp; "|2021-01-01")),(IF(OR('Ingest Template'!F363 = "Program Type - Special", 'Ingest Template'!F363 = "Program Type - Live Event"),'Ingest Template'!Q363&amp; "|"&amp;TEXT('Ingest Template'!C363-3, "yyyy-mm-dd")&amp;"|"&amp;TEXT('Ingest Template'!C363+3, "yyyy-mm-dd"),'Ingest Template'!Q363)))</f>
        <v/>
      </c>
      <c r="AM363" s="35" t="str">
        <f>'Ingest Template'!AC363</f>
        <v/>
      </c>
    </row>
    <row r="364">
      <c r="A364" s="15"/>
      <c r="B364" s="22" t="str">
        <f>'Ingest Template'!C364&amp;IF('Ingest Template'!A364 = "Standard", " - DAR","")</f>
        <v/>
      </c>
      <c r="C364" s="22" t="s">
        <v>83</v>
      </c>
      <c r="D364" s="22" t="str">
        <f t="array" ref="D364">CONCATENATE(INDEX(DropdownLists!$H$2:$H$11,MATCH(1,COUNTIF('Ingest Template'!E364,"*"&amp;DropdownLists!$I$2:$I$11&amp;"*"),0)),CHAR(10),'Ingest Template'!F364,CHAR(10),'Ingest Template'!G364,CHAR(10),VLOOKUP('Ingest Template'!D364,DropdownLists!C:D,2,FALSE))</f>
        <v>#N/A</v>
      </c>
      <c r="E364" s="22" t="str">
        <f>CONCATENATE('Ingest Template'!H364,CHAR(10),'Ingest Template'!I364,CHAR(10),'Ingest Template'!J364,CHAR(10))</f>
        <v>
</v>
      </c>
      <c r="F364" s="35" t="str">
        <f t="array" ref="F364">INDEX(DropdownLists!$O$2:$O$36,MATCH(1,COUNTIF(E364,"*"&amp;DropdownLists!$N$2:$N$36&amp;"*"),0))</f>
        <v/>
      </c>
      <c r="G364" s="35"/>
      <c r="H364" s="22" t="str">
        <f t="array" ref="H364">INDEX(DropdownLists!$E$2:$E$276,MATCH('Ingest Template'!D364,DropdownLists!$C$2:$C$276,0))</f>
        <v>#N/A</v>
      </c>
      <c r="I364" s="22"/>
      <c r="J364" s="22" t="str">
        <f t="array" ref="J364">iF('Ingest Template'!A364="Standard","Pristine Brand",INDEX(DropdownLists!$B$2:$B$246,MATCH('Ingest Template'!D364,DropdownLists!$C$2:$C$246,0)))</f>
        <v>#N/A</v>
      </c>
      <c r="K364" s="22" t="str">
        <f>iF('Ingest Template'!A364="Standard",'Ingest Template'!K364&amp;CHAR(10)&amp;'Ingest Template'!L364,"Competitive View")</f>
        <v>Competitive View</v>
      </c>
      <c r="L364" s="22" t="s">
        <v>95</v>
      </c>
      <c r="M364" s="45" t="str">
        <f>'Ingest Template'!B364</f>
        <v/>
      </c>
      <c r="N364" s="35"/>
      <c r="O364" s="35"/>
      <c r="P364" s="35"/>
      <c r="Q364" s="35"/>
      <c r="R364" s="35" t="str">
        <f>'Ingest Template'!D364</f>
        <v/>
      </c>
      <c r="S364" s="22" t="s">
        <v>101</v>
      </c>
      <c r="T364" s="35" t="str">
        <f>'Ingest Template'!V364</f>
        <v/>
      </c>
      <c r="U364" s="35" t="str">
        <f>'Ingest Template'!W364</f>
        <v/>
      </c>
      <c r="V364" s="35" t="str">
        <f>LOWER(SUBSTITUTE(SUBSTITUTE(SUBSTITUTE(SUBSTITUTE(SUBSTITUTE('Ingest Template'!X364,"https:",""),"www.",""),"/",""),"?hl=en",""),"instagram.com",""))</f>
        <v/>
      </c>
      <c r="W364" s="74" t="str">
        <f t="array" ref="W364">IF(
'Ingest Template'!Y364="",
SUBSTITUTE(
INDEX(DropdownLists!$F$2:$F$277,MATCH('Ingest Template'!D364,DropdownLists!$C$2:$C$277,0)),
CHAR(10),
"|"&amp;'Ingest Template'!C364&amp;CHAR(10)
)&amp;"|"&amp;'Ingest Template'!C364,
SUBSTITUTE(
INDEX(DropdownLists!$F$2:$F$277,MATCH('Ingest Template'!D364,DropdownLists!$C$2:$C$277,0)),
CHAR(10),
"|"&amp;'Ingest Template'!C364&amp;CHAR(10)
)&amp;"|"&amp;'Ingest Template'!C364&amp;CHAR(10)&amp;'Ingest Template'!Y364
)</f>
        <v>#N/A</v>
      </c>
      <c r="X364" s="74" t="str">
        <f>'Ingest Template'!Z364</f>
        <v/>
      </c>
      <c r="Y364" s="35" t="str">
        <f>SUBSTITUTE(SUBSTITUTE(SUBSTITUTE('Ingest Template'!AA364,"http:",""),"https:",""),"/","")</f>
        <v/>
      </c>
      <c r="Z364" s="35" t="str">
        <f t="array" ref="Z364">IF('Ingest Template'!A364="Standard",(IF(ISBLANK('Ingest Template'!AB364),"", 'Ingest Template'!AB364&amp;"|DAR")),(IF(ISBLANK('Ingest Template'!AB364),"", 'Ingest Template'!AB364&amp;"|TV Ops")))</f>
        <v/>
      </c>
      <c r="AA364" s="35"/>
      <c r="AB364" s="35" t="str">
        <f>'Ingest Template'!R364</f>
        <v/>
      </c>
      <c r="AC364" s="35" t="str">
        <f>'Ingest Template'!T364</f>
        <v/>
      </c>
      <c r="AD364" s="35" t="str">
        <f>'Ingest Template'!S364</f>
        <v/>
      </c>
      <c r="AE364" s="35" t="str">
        <f>'Ingest Template'!U364</f>
        <v/>
      </c>
      <c r="AF364" s="22"/>
      <c r="AG364" s="35" t="str">
        <f t="array" ref="AG364">IF('Ingest Template'!A364="Standard",(CONCATENATE(IF(ISBLANK('Ingest Template'!N364),"", 'Ingest Template'!N364&amp;"|DAR"),CHAR(10), IF(ISBLANK('Ingest Template'!O364),"", 'Ingest Template'!O364&amp;"|DAR"),CHAR(10), IF(ISBLANK('Ingest Template'!P364),"", 'Ingest Template'!P364&amp;"|DAR"))),(CONCATENATE(IF(ISBLANK('Ingest Template'!N364),"", 'Ingest Template'!N364&amp;"|TV Ops"),CHAR(10), IF(ISBLANK('Ingest Template'!O364),"", 'Ingest Template'!O364&amp;"|TV Ops"),CHAR(10), IF(ISBLANK('Ingest Template'!P364),"", 'Ingest Template'!P364&amp;"|TV Ops"))))</f>
        <v>
</v>
      </c>
      <c r="AH364" s="35"/>
      <c r="AI364" s="35"/>
      <c r="AJ364" s="117" t="str">
        <f>if('Ingest Template'!A364="Standard",(IF(OR('Ingest Template'!F364 = "Program Type - Special", 'Ingest Template'!F364 = "Program Type - Live Event"),'Ingest Template'!M364&amp; "|DAR|DAR|"&amp;TEXT('Ingest Template'!C364-3, "yyyy-mm-dd")&amp;"|"&amp;TEXT('Ingest Template'!C364+3, "yyyy-mm-dd"),'Ingest Template'!M364&amp; "|DAR|DAR|2021-01-01")),(IF(OR('Ingest Template'!F364 = "Program Type - Special", 'Ingest Template'!F364 = "Program Type - Live Event"),'Ingest Template'!M364&amp; "|Operations - Core Title|Operations - Core Title|"&amp;TEXT('Ingest Template'!C364-3, "yyyy-mm-dd")&amp;"|"&amp;TEXT('Ingest Template'!C364+3, "yyyy-mm-dd"),'Ingest Template'!M364&amp; "|Operations - Core Title|Operations - Core Title")))</f>
        <v>|Operations - Core Title|Operations - Core Title</v>
      </c>
      <c r="AK364" s="35"/>
      <c r="AL364" s="117" t="str">
        <f>if('Ingest Template'!A364="Standard",(IF(OR('Ingest Template'!F364 = "Program Type - Special", 'Ingest Template'!F364 = "Program Type - Live Event"),'Ingest Template'!Q364&amp;"|"&amp;TEXT('Ingest Template'!C364-3, "yyyy-mm-dd")&amp;"|"&amp;TEXT('Ingest Template'!C364+3, "yyyy-mm-dd"),'Ingest Template'!Q364&amp; "|2021-01-01")),(IF(OR('Ingest Template'!F364 = "Program Type - Special", 'Ingest Template'!F364 = "Program Type - Live Event"),'Ingest Template'!Q364&amp; "|"&amp;TEXT('Ingest Template'!C364-3, "yyyy-mm-dd")&amp;"|"&amp;TEXT('Ingest Template'!C364+3, "yyyy-mm-dd"),'Ingest Template'!Q364)))</f>
        <v/>
      </c>
      <c r="AM364" s="35" t="str">
        <f>'Ingest Template'!AC364</f>
        <v/>
      </c>
    </row>
    <row r="365">
      <c r="A365" s="15"/>
      <c r="B365" s="22" t="str">
        <f>'Ingest Template'!C365&amp;IF('Ingest Template'!A365 = "Standard", " - DAR","")</f>
        <v/>
      </c>
      <c r="C365" s="22" t="s">
        <v>83</v>
      </c>
      <c r="D365" s="22" t="str">
        <f t="array" ref="D365">CONCATENATE(INDEX(DropdownLists!$H$2:$H$11,MATCH(1,COUNTIF('Ingest Template'!E365,"*"&amp;DropdownLists!$I$2:$I$11&amp;"*"),0)),CHAR(10),'Ingest Template'!F365,CHAR(10),'Ingest Template'!G365,CHAR(10),VLOOKUP('Ingest Template'!D365,DropdownLists!C:D,2,FALSE))</f>
        <v>#N/A</v>
      </c>
      <c r="E365" s="22" t="str">
        <f>CONCATENATE('Ingest Template'!H365,CHAR(10),'Ingest Template'!I365,CHAR(10),'Ingest Template'!J365,CHAR(10))</f>
        <v>
</v>
      </c>
      <c r="F365" s="35" t="str">
        <f t="array" ref="F365">INDEX(DropdownLists!$O$2:$O$36,MATCH(1,COUNTIF(E365,"*"&amp;DropdownLists!$N$2:$N$36&amp;"*"),0))</f>
        <v/>
      </c>
      <c r="G365" s="35"/>
      <c r="H365" s="22" t="str">
        <f t="array" ref="H365">INDEX(DropdownLists!$E$2:$E$276,MATCH('Ingest Template'!D365,DropdownLists!$C$2:$C$276,0))</f>
        <v>#N/A</v>
      </c>
      <c r="I365" s="22"/>
      <c r="J365" s="22" t="str">
        <f t="array" ref="J365">iF('Ingest Template'!A365="Standard","Pristine Brand",INDEX(DropdownLists!$B$2:$B$246,MATCH('Ingest Template'!D365,DropdownLists!$C$2:$C$246,0)))</f>
        <v>#N/A</v>
      </c>
      <c r="K365" s="22" t="str">
        <f>iF('Ingest Template'!A365="Standard",'Ingest Template'!K365&amp;CHAR(10)&amp;'Ingest Template'!L365,"Competitive View")</f>
        <v>Competitive View</v>
      </c>
      <c r="L365" s="22" t="s">
        <v>95</v>
      </c>
      <c r="M365" s="45" t="str">
        <f>'Ingest Template'!B365</f>
        <v/>
      </c>
      <c r="N365" s="35"/>
      <c r="O365" s="35"/>
      <c r="P365" s="35"/>
      <c r="Q365" s="35"/>
      <c r="R365" s="35" t="str">
        <f>'Ingest Template'!D365</f>
        <v/>
      </c>
      <c r="S365" s="22" t="s">
        <v>101</v>
      </c>
      <c r="T365" s="35" t="str">
        <f>'Ingest Template'!V365</f>
        <v/>
      </c>
      <c r="U365" s="35" t="str">
        <f>'Ingest Template'!W365</f>
        <v/>
      </c>
      <c r="V365" s="35" t="str">
        <f>LOWER(SUBSTITUTE(SUBSTITUTE(SUBSTITUTE(SUBSTITUTE(SUBSTITUTE('Ingest Template'!X365,"https:",""),"www.",""),"/",""),"?hl=en",""),"instagram.com",""))</f>
        <v/>
      </c>
      <c r="W365" s="74" t="str">
        <f t="array" ref="W365">IF(
'Ingest Template'!Y365="",
SUBSTITUTE(
INDEX(DropdownLists!$F$2:$F$277,MATCH('Ingest Template'!D365,DropdownLists!$C$2:$C$277,0)),
CHAR(10),
"|"&amp;'Ingest Template'!C365&amp;CHAR(10)
)&amp;"|"&amp;'Ingest Template'!C365,
SUBSTITUTE(
INDEX(DropdownLists!$F$2:$F$277,MATCH('Ingest Template'!D365,DropdownLists!$C$2:$C$277,0)),
CHAR(10),
"|"&amp;'Ingest Template'!C365&amp;CHAR(10)
)&amp;"|"&amp;'Ingest Template'!C365&amp;CHAR(10)&amp;'Ingest Template'!Y365
)</f>
        <v>#N/A</v>
      </c>
      <c r="X365" s="74" t="str">
        <f>'Ingest Template'!Z365</f>
        <v/>
      </c>
      <c r="Y365" s="35" t="str">
        <f>SUBSTITUTE(SUBSTITUTE(SUBSTITUTE('Ingest Template'!AA365,"http:",""),"https:",""),"/","")</f>
        <v/>
      </c>
      <c r="Z365" s="35" t="str">
        <f t="array" ref="Z365">IF('Ingest Template'!A365="Standard",(IF(ISBLANK('Ingest Template'!AB365),"", 'Ingest Template'!AB365&amp;"|DAR")),(IF(ISBLANK('Ingest Template'!AB365),"", 'Ingest Template'!AB365&amp;"|TV Ops")))</f>
        <v/>
      </c>
      <c r="AA365" s="35"/>
      <c r="AB365" s="35" t="str">
        <f>'Ingest Template'!R365</f>
        <v/>
      </c>
      <c r="AC365" s="35" t="str">
        <f>'Ingest Template'!T365</f>
        <v/>
      </c>
      <c r="AD365" s="35" t="str">
        <f>'Ingest Template'!S365</f>
        <v/>
      </c>
      <c r="AE365" s="35" t="str">
        <f>'Ingest Template'!U365</f>
        <v/>
      </c>
      <c r="AF365" s="22"/>
      <c r="AG365" s="35" t="str">
        <f t="array" ref="AG365">IF('Ingest Template'!A365="Standard",(CONCATENATE(IF(ISBLANK('Ingest Template'!N365),"", 'Ingest Template'!N365&amp;"|DAR"),CHAR(10), IF(ISBLANK('Ingest Template'!O365),"", 'Ingest Template'!O365&amp;"|DAR"),CHAR(10), IF(ISBLANK('Ingest Template'!P365),"", 'Ingest Template'!P365&amp;"|DAR"))),(CONCATENATE(IF(ISBLANK('Ingest Template'!N365),"", 'Ingest Template'!N365&amp;"|TV Ops"),CHAR(10), IF(ISBLANK('Ingest Template'!O365),"", 'Ingest Template'!O365&amp;"|TV Ops"),CHAR(10), IF(ISBLANK('Ingest Template'!P365),"", 'Ingest Template'!P365&amp;"|TV Ops"))))</f>
        <v>
</v>
      </c>
      <c r="AH365" s="35"/>
      <c r="AI365" s="35"/>
      <c r="AJ365" s="117" t="str">
        <f>if('Ingest Template'!A365="Standard",(IF(OR('Ingest Template'!F365 = "Program Type - Special", 'Ingest Template'!F365 = "Program Type - Live Event"),'Ingest Template'!M365&amp; "|DAR|DAR|"&amp;TEXT('Ingest Template'!C365-3, "yyyy-mm-dd")&amp;"|"&amp;TEXT('Ingest Template'!C365+3, "yyyy-mm-dd"),'Ingest Template'!M365&amp; "|DAR|DAR|2021-01-01")),(IF(OR('Ingest Template'!F365 = "Program Type - Special", 'Ingest Template'!F365 = "Program Type - Live Event"),'Ingest Template'!M365&amp; "|Operations - Core Title|Operations - Core Title|"&amp;TEXT('Ingest Template'!C365-3, "yyyy-mm-dd")&amp;"|"&amp;TEXT('Ingest Template'!C365+3, "yyyy-mm-dd"),'Ingest Template'!M365&amp; "|Operations - Core Title|Operations - Core Title")))</f>
        <v>|Operations - Core Title|Operations - Core Title</v>
      </c>
      <c r="AK365" s="35"/>
      <c r="AL365" s="117" t="str">
        <f>if('Ingest Template'!A365="Standard",(IF(OR('Ingest Template'!F365 = "Program Type - Special", 'Ingest Template'!F365 = "Program Type - Live Event"),'Ingest Template'!Q365&amp;"|"&amp;TEXT('Ingest Template'!C365-3, "yyyy-mm-dd")&amp;"|"&amp;TEXT('Ingest Template'!C365+3, "yyyy-mm-dd"),'Ingest Template'!Q365&amp; "|2021-01-01")),(IF(OR('Ingest Template'!F365 = "Program Type - Special", 'Ingest Template'!F365 = "Program Type - Live Event"),'Ingest Template'!Q365&amp; "|"&amp;TEXT('Ingest Template'!C365-3, "yyyy-mm-dd")&amp;"|"&amp;TEXT('Ingest Template'!C365+3, "yyyy-mm-dd"),'Ingest Template'!Q365)))</f>
        <v/>
      </c>
      <c r="AM365" s="35" t="str">
        <f>'Ingest Template'!AC365</f>
        <v/>
      </c>
    </row>
    <row r="366">
      <c r="A366" s="15"/>
      <c r="B366" s="22" t="str">
        <f>'Ingest Template'!C366&amp;IF('Ingest Template'!A366 = "Standard", " - DAR","")</f>
        <v/>
      </c>
      <c r="C366" s="22" t="s">
        <v>83</v>
      </c>
      <c r="D366" s="22" t="str">
        <f t="array" ref="D366">CONCATENATE(INDEX(DropdownLists!$H$2:$H$11,MATCH(1,COUNTIF('Ingest Template'!E366,"*"&amp;DropdownLists!$I$2:$I$11&amp;"*"),0)),CHAR(10),'Ingest Template'!F366,CHAR(10),'Ingest Template'!G366,CHAR(10),VLOOKUP('Ingest Template'!D366,DropdownLists!C:D,2,FALSE))</f>
        <v>#N/A</v>
      </c>
      <c r="E366" s="22" t="str">
        <f>CONCATENATE('Ingest Template'!H366,CHAR(10),'Ingest Template'!I366,CHAR(10),'Ingest Template'!J366,CHAR(10))</f>
        <v>
</v>
      </c>
      <c r="F366" s="35" t="str">
        <f t="array" ref="F366">INDEX(DropdownLists!$O$2:$O$36,MATCH(1,COUNTIF(E366,"*"&amp;DropdownLists!$N$2:$N$36&amp;"*"),0))</f>
        <v/>
      </c>
      <c r="G366" s="35"/>
      <c r="H366" s="22" t="str">
        <f t="array" ref="H366">INDEX(DropdownLists!$E$2:$E$276,MATCH('Ingest Template'!D366,DropdownLists!$C$2:$C$276,0))</f>
        <v>#N/A</v>
      </c>
      <c r="I366" s="22"/>
      <c r="J366" s="22" t="str">
        <f t="array" ref="J366">iF('Ingest Template'!A366="Standard","Pristine Brand",INDEX(DropdownLists!$B$2:$B$246,MATCH('Ingest Template'!D366,DropdownLists!$C$2:$C$246,0)))</f>
        <v>#N/A</v>
      </c>
      <c r="K366" s="22" t="str">
        <f>iF('Ingest Template'!A366="Standard",'Ingest Template'!K366&amp;CHAR(10)&amp;'Ingest Template'!L366,"Competitive View")</f>
        <v>Competitive View</v>
      </c>
      <c r="L366" s="22" t="s">
        <v>95</v>
      </c>
      <c r="M366" s="45" t="str">
        <f>'Ingest Template'!B366</f>
        <v/>
      </c>
      <c r="N366" s="35"/>
      <c r="O366" s="35"/>
      <c r="P366" s="35"/>
      <c r="Q366" s="35"/>
      <c r="R366" s="35" t="str">
        <f>'Ingest Template'!D366</f>
        <v/>
      </c>
      <c r="S366" s="22" t="s">
        <v>101</v>
      </c>
      <c r="T366" s="35" t="str">
        <f>'Ingest Template'!V366</f>
        <v/>
      </c>
      <c r="U366" s="35" t="str">
        <f>'Ingest Template'!W366</f>
        <v/>
      </c>
      <c r="V366" s="35" t="str">
        <f>LOWER(SUBSTITUTE(SUBSTITUTE(SUBSTITUTE(SUBSTITUTE(SUBSTITUTE('Ingest Template'!X366,"https:",""),"www.",""),"/",""),"?hl=en",""),"instagram.com",""))</f>
        <v/>
      </c>
      <c r="W366" s="74" t="str">
        <f t="array" ref="W366">IF(
'Ingest Template'!Y366="",
SUBSTITUTE(
INDEX(DropdownLists!$F$2:$F$277,MATCH('Ingest Template'!D366,DropdownLists!$C$2:$C$277,0)),
CHAR(10),
"|"&amp;'Ingest Template'!C366&amp;CHAR(10)
)&amp;"|"&amp;'Ingest Template'!C366,
SUBSTITUTE(
INDEX(DropdownLists!$F$2:$F$277,MATCH('Ingest Template'!D366,DropdownLists!$C$2:$C$277,0)),
CHAR(10),
"|"&amp;'Ingest Template'!C366&amp;CHAR(10)
)&amp;"|"&amp;'Ingest Template'!C366&amp;CHAR(10)&amp;'Ingest Template'!Y366
)</f>
        <v>#N/A</v>
      </c>
      <c r="X366" s="74" t="str">
        <f>'Ingest Template'!Z366</f>
        <v/>
      </c>
      <c r="Y366" s="35" t="str">
        <f>SUBSTITUTE(SUBSTITUTE(SUBSTITUTE('Ingest Template'!AA366,"http:",""),"https:",""),"/","")</f>
        <v/>
      </c>
      <c r="Z366" s="35" t="str">
        <f t="array" ref="Z366">IF('Ingest Template'!A366="Standard",(IF(ISBLANK('Ingest Template'!AB366),"", 'Ingest Template'!AB366&amp;"|DAR")),(IF(ISBLANK('Ingest Template'!AB366),"", 'Ingest Template'!AB366&amp;"|TV Ops")))</f>
        <v/>
      </c>
      <c r="AA366" s="35"/>
      <c r="AB366" s="35" t="str">
        <f>'Ingest Template'!R366</f>
        <v/>
      </c>
      <c r="AC366" s="35" t="str">
        <f>'Ingest Template'!T366</f>
        <v/>
      </c>
      <c r="AD366" s="35" t="str">
        <f>'Ingest Template'!S366</f>
        <v/>
      </c>
      <c r="AE366" s="35" t="str">
        <f>'Ingest Template'!U366</f>
        <v/>
      </c>
      <c r="AF366" s="22"/>
      <c r="AG366" s="35" t="str">
        <f t="array" ref="AG366">IF('Ingest Template'!A366="Standard",(CONCATENATE(IF(ISBLANK('Ingest Template'!N366),"", 'Ingest Template'!N366&amp;"|DAR"),CHAR(10), IF(ISBLANK('Ingest Template'!O366),"", 'Ingest Template'!O366&amp;"|DAR"),CHAR(10), IF(ISBLANK('Ingest Template'!P366),"", 'Ingest Template'!P366&amp;"|DAR"))),(CONCATENATE(IF(ISBLANK('Ingest Template'!N366),"", 'Ingest Template'!N366&amp;"|TV Ops"),CHAR(10), IF(ISBLANK('Ingest Template'!O366),"", 'Ingest Template'!O366&amp;"|TV Ops"),CHAR(10), IF(ISBLANK('Ingest Template'!P366),"", 'Ingest Template'!P366&amp;"|TV Ops"))))</f>
        <v>
</v>
      </c>
      <c r="AH366" s="35"/>
      <c r="AI366" s="35"/>
      <c r="AJ366" s="117" t="str">
        <f>if('Ingest Template'!A366="Standard",(IF(OR('Ingest Template'!F366 = "Program Type - Special", 'Ingest Template'!F366 = "Program Type - Live Event"),'Ingest Template'!M366&amp; "|DAR|DAR|"&amp;TEXT('Ingest Template'!C366-3, "yyyy-mm-dd")&amp;"|"&amp;TEXT('Ingest Template'!C366+3, "yyyy-mm-dd"),'Ingest Template'!M366&amp; "|DAR|DAR|2021-01-01")),(IF(OR('Ingest Template'!F366 = "Program Type - Special", 'Ingest Template'!F366 = "Program Type - Live Event"),'Ingest Template'!M366&amp; "|Operations - Core Title|Operations - Core Title|"&amp;TEXT('Ingest Template'!C366-3, "yyyy-mm-dd")&amp;"|"&amp;TEXT('Ingest Template'!C366+3, "yyyy-mm-dd"),'Ingest Template'!M366&amp; "|Operations - Core Title|Operations - Core Title")))</f>
        <v>|Operations - Core Title|Operations - Core Title</v>
      </c>
      <c r="AK366" s="35"/>
      <c r="AL366" s="117" t="str">
        <f>if('Ingest Template'!A366="Standard",(IF(OR('Ingest Template'!F366 = "Program Type - Special", 'Ingest Template'!F366 = "Program Type - Live Event"),'Ingest Template'!Q366&amp;"|"&amp;TEXT('Ingest Template'!C366-3, "yyyy-mm-dd")&amp;"|"&amp;TEXT('Ingest Template'!C366+3, "yyyy-mm-dd"),'Ingest Template'!Q366&amp; "|2021-01-01")),(IF(OR('Ingest Template'!F366 = "Program Type - Special", 'Ingest Template'!F366 = "Program Type - Live Event"),'Ingest Template'!Q366&amp; "|"&amp;TEXT('Ingest Template'!C366-3, "yyyy-mm-dd")&amp;"|"&amp;TEXT('Ingest Template'!C366+3, "yyyy-mm-dd"),'Ingest Template'!Q366)))</f>
        <v/>
      </c>
      <c r="AM366" s="35" t="str">
        <f>'Ingest Template'!AC366</f>
        <v/>
      </c>
    </row>
    <row r="367">
      <c r="A367" s="15"/>
      <c r="B367" s="22" t="str">
        <f>'Ingest Template'!C367&amp;IF('Ingest Template'!A367 = "Standard", " - DAR","")</f>
        <v/>
      </c>
      <c r="C367" s="22" t="s">
        <v>83</v>
      </c>
      <c r="D367" s="22" t="str">
        <f t="array" ref="D367">CONCATENATE(INDEX(DropdownLists!$H$2:$H$11,MATCH(1,COUNTIF('Ingest Template'!E367,"*"&amp;DropdownLists!$I$2:$I$11&amp;"*"),0)),CHAR(10),'Ingest Template'!F367,CHAR(10),'Ingest Template'!G367,CHAR(10),VLOOKUP('Ingest Template'!D367,DropdownLists!C:D,2,FALSE))</f>
        <v>#N/A</v>
      </c>
      <c r="E367" s="22" t="str">
        <f>CONCATENATE('Ingest Template'!H367,CHAR(10),'Ingest Template'!I367,CHAR(10),'Ingest Template'!J367,CHAR(10))</f>
        <v>
</v>
      </c>
      <c r="F367" s="35" t="str">
        <f t="array" ref="F367">INDEX(DropdownLists!$O$2:$O$36,MATCH(1,COUNTIF(E367,"*"&amp;DropdownLists!$N$2:$N$36&amp;"*"),0))</f>
        <v/>
      </c>
      <c r="G367" s="35"/>
      <c r="H367" s="22" t="str">
        <f t="array" ref="H367">INDEX(DropdownLists!$E$2:$E$276,MATCH('Ingest Template'!D367,DropdownLists!$C$2:$C$276,0))</f>
        <v>#N/A</v>
      </c>
      <c r="I367" s="22"/>
      <c r="J367" s="22" t="str">
        <f t="array" ref="J367">iF('Ingest Template'!A367="Standard","Pristine Brand",INDEX(DropdownLists!$B$2:$B$246,MATCH('Ingest Template'!D367,DropdownLists!$C$2:$C$246,0)))</f>
        <v>#N/A</v>
      </c>
      <c r="K367" s="22" t="str">
        <f>iF('Ingest Template'!A367="Standard",'Ingest Template'!K367&amp;CHAR(10)&amp;'Ingest Template'!L367,"Competitive View")</f>
        <v>Competitive View</v>
      </c>
      <c r="L367" s="22" t="s">
        <v>95</v>
      </c>
      <c r="M367" s="45" t="str">
        <f>'Ingest Template'!B367</f>
        <v/>
      </c>
      <c r="N367" s="35"/>
      <c r="O367" s="35"/>
      <c r="P367" s="35"/>
      <c r="Q367" s="35"/>
      <c r="R367" s="35" t="str">
        <f>'Ingest Template'!D367</f>
        <v/>
      </c>
      <c r="S367" s="22" t="s">
        <v>101</v>
      </c>
      <c r="T367" s="35" t="str">
        <f>'Ingest Template'!V367</f>
        <v/>
      </c>
      <c r="U367" s="35" t="str">
        <f>'Ingest Template'!W367</f>
        <v/>
      </c>
      <c r="V367" s="35" t="str">
        <f>LOWER(SUBSTITUTE(SUBSTITUTE(SUBSTITUTE(SUBSTITUTE(SUBSTITUTE('Ingest Template'!X367,"https:",""),"www.",""),"/",""),"?hl=en",""),"instagram.com",""))</f>
        <v/>
      </c>
      <c r="W367" s="74" t="str">
        <f t="array" ref="W367">IF(
'Ingest Template'!Y367="",
SUBSTITUTE(
INDEX(DropdownLists!$F$2:$F$277,MATCH('Ingest Template'!D367,DropdownLists!$C$2:$C$277,0)),
CHAR(10),
"|"&amp;'Ingest Template'!C367&amp;CHAR(10)
)&amp;"|"&amp;'Ingest Template'!C367,
SUBSTITUTE(
INDEX(DropdownLists!$F$2:$F$277,MATCH('Ingest Template'!D367,DropdownLists!$C$2:$C$277,0)),
CHAR(10),
"|"&amp;'Ingest Template'!C367&amp;CHAR(10)
)&amp;"|"&amp;'Ingest Template'!C367&amp;CHAR(10)&amp;'Ingest Template'!Y367
)</f>
        <v>#N/A</v>
      </c>
      <c r="X367" s="74" t="str">
        <f>'Ingest Template'!Z367</f>
        <v/>
      </c>
      <c r="Y367" s="35" t="str">
        <f>SUBSTITUTE(SUBSTITUTE(SUBSTITUTE('Ingest Template'!AA367,"http:",""),"https:",""),"/","")</f>
        <v/>
      </c>
      <c r="Z367" s="35" t="str">
        <f t="array" ref="Z367">IF('Ingest Template'!A367="Standard",(IF(ISBLANK('Ingest Template'!AB367),"", 'Ingest Template'!AB367&amp;"|DAR")),(IF(ISBLANK('Ingest Template'!AB367),"", 'Ingest Template'!AB367&amp;"|TV Ops")))</f>
        <v/>
      </c>
      <c r="AA367" s="35"/>
      <c r="AB367" s="35" t="str">
        <f>'Ingest Template'!R367</f>
        <v/>
      </c>
      <c r="AC367" s="35" t="str">
        <f>'Ingest Template'!T367</f>
        <v/>
      </c>
      <c r="AD367" s="35" t="str">
        <f>'Ingest Template'!S367</f>
        <v/>
      </c>
      <c r="AE367" s="35" t="str">
        <f>'Ingest Template'!U367</f>
        <v/>
      </c>
      <c r="AF367" s="22"/>
      <c r="AG367" s="35" t="str">
        <f t="array" ref="AG367">IF('Ingest Template'!A367="Standard",(CONCATENATE(IF(ISBLANK('Ingest Template'!N367),"", 'Ingest Template'!N367&amp;"|DAR"),CHAR(10), IF(ISBLANK('Ingest Template'!O367),"", 'Ingest Template'!O367&amp;"|DAR"),CHAR(10), IF(ISBLANK('Ingest Template'!P367),"", 'Ingest Template'!P367&amp;"|DAR"))),(CONCATENATE(IF(ISBLANK('Ingest Template'!N367),"", 'Ingest Template'!N367&amp;"|TV Ops"),CHAR(10), IF(ISBLANK('Ingest Template'!O367),"", 'Ingest Template'!O367&amp;"|TV Ops"),CHAR(10), IF(ISBLANK('Ingest Template'!P367),"", 'Ingest Template'!P367&amp;"|TV Ops"))))</f>
        <v>
</v>
      </c>
      <c r="AH367" s="35"/>
      <c r="AI367" s="35"/>
      <c r="AJ367" s="117" t="str">
        <f>if('Ingest Template'!A367="Standard",(IF(OR('Ingest Template'!F367 = "Program Type - Special", 'Ingest Template'!F367 = "Program Type - Live Event"),'Ingest Template'!M367&amp; "|DAR|DAR|"&amp;TEXT('Ingest Template'!C367-3, "yyyy-mm-dd")&amp;"|"&amp;TEXT('Ingest Template'!C367+3, "yyyy-mm-dd"),'Ingest Template'!M367&amp; "|DAR|DAR|2021-01-01")),(IF(OR('Ingest Template'!F367 = "Program Type - Special", 'Ingest Template'!F367 = "Program Type - Live Event"),'Ingest Template'!M367&amp; "|Operations - Core Title|Operations - Core Title|"&amp;TEXT('Ingest Template'!C367-3, "yyyy-mm-dd")&amp;"|"&amp;TEXT('Ingest Template'!C367+3, "yyyy-mm-dd"),'Ingest Template'!M367&amp; "|Operations - Core Title|Operations - Core Title")))</f>
        <v>|Operations - Core Title|Operations - Core Title</v>
      </c>
      <c r="AK367" s="35"/>
      <c r="AL367" s="117" t="str">
        <f>if('Ingest Template'!A367="Standard",(IF(OR('Ingest Template'!F367 = "Program Type - Special", 'Ingest Template'!F367 = "Program Type - Live Event"),'Ingest Template'!Q367&amp;"|"&amp;TEXT('Ingest Template'!C367-3, "yyyy-mm-dd")&amp;"|"&amp;TEXT('Ingest Template'!C367+3, "yyyy-mm-dd"),'Ingest Template'!Q367&amp; "|2021-01-01")),(IF(OR('Ingest Template'!F367 = "Program Type - Special", 'Ingest Template'!F367 = "Program Type - Live Event"),'Ingest Template'!Q367&amp; "|"&amp;TEXT('Ingest Template'!C367-3, "yyyy-mm-dd")&amp;"|"&amp;TEXT('Ingest Template'!C367+3, "yyyy-mm-dd"),'Ingest Template'!Q367)))</f>
        <v/>
      </c>
      <c r="AM367" s="35" t="str">
        <f>'Ingest Template'!AC367</f>
        <v/>
      </c>
    </row>
    <row r="368">
      <c r="A368" s="15"/>
      <c r="B368" s="22" t="str">
        <f>'Ingest Template'!C368&amp;IF('Ingest Template'!A368 = "Standard", " - DAR","")</f>
        <v/>
      </c>
      <c r="C368" s="22" t="s">
        <v>83</v>
      </c>
      <c r="D368" s="22" t="str">
        <f t="array" ref="D368">CONCATENATE(INDEX(DropdownLists!$H$2:$H$11,MATCH(1,COUNTIF('Ingest Template'!E368,"*"&amp;DropdownLists!$I$2:$I$11&amp;"*"),0)),CHAR(10),'Ingest Template'!F368,CHAR(10),'Ingest Template'!G368,CHAR(10),VLOOKUP('Ingest Template'!D368,DropdownLists!C:D,2,FALSE))</f>
        <v>#N/A</v>
      </c>
      <c r="E368" s="22" t="str">
        <f>CONCATENATE('Ingest Template'!H368,CHAR(10),'Ingest Template'!I368,CHAR(10),'Ingest Template'!J368,CHAR(10))</f>
        <v>
</v>
      </c>
      <c r="F368" s="35" t="str">
        <f t="array" ref="F368">INDEX(DropdownLists!$O$2:$O$36,MATCH(1,COUNTIF(E368,"*"&amp;DropdownLists!$N$2:$N$36&amp;"*"),0))</f>
        <v/>
      </c>
      <c r="G368" s="35"/>
      <c r="H368" s="22" t="str">
        <f t="array" ref="H368">INDEX(DropdownLists!$E$2:$E$276,MATCH('Ingest Template'!D368,DropdownLists!$C$2:$C$276,0))</f>
        <v>#N/A</v>
      </c>
      <c r="I368" s="22"/>
      <c r="J368" s="22" t="str">
        <f t="array" ref="J368">iF('Ingest Template'!A368="Standard","Pristine Brand",INDEX(DropdownLists!$B$2:$B$246,MATCH('Ingest Template'!D368,DropdownLists!$C$2:$C$246,0)))</f>
        <v>#N/A</v>
      </c>
      <c r="K368" s="22" t="str">
        <f>iF('Ingest Template'!A368="Standard",'Ingest Template'!K368&amp;CHAR(10)&amp;'Ingest Template'!L368,"Competitive View")</f>
        <v>Competitive View</v>
      </c>
      <c r="L368" s="22" t="s">
        <v>95</v>
      </c>
      <c r="M368" s="45" t="str">
        <f>'Ingest Template'!B368</f>
        <v/>
      </c>
      <c r="N368" s="35"/>
      <c r="O368" s="35"/>
      <c r="P368" s="35"/>
      <c r="Q368" s="35"/>
      <c r="R368" s="35" t="str">
        <f>'Ingest Template'!D368</f>
        <v/>
      </c>
      <c r="S368" s="22" t="s">
        <v>101</v>
      </c>
      <c r="T368" s="35" t="str">
        <f>'Ingest Template'!V368</f>
        <v/>
      </c>
      <c r="U368" s="35" t="str">
        <f>'Ingest Template'!W368</f>
        <v/>
      </c>
      <c r="V368" s="35" t="str">
        <f>LOWER(SUBSTITUTE(SUBSTITUTE(SUBSTITUTE(SUBSTITUTE(SUBSTITUTE('Ingest Template'!X368,"https:",""),"www.",""),"/",""),"?hl=en",""),"instagram.com",""))</f>
        <v/>
      </c>
      <c r="W368" s="74" t="str">
        <f t="array" ref="W368">IF(
'Ingest Template'!Y368="",
SUBSTITUTE(
INDEX(DropdownLists!$F$2:$F$277,MATCH('Ingest Template'!D368,DropdownLists!$C$2:$C$277,0)),
CHAR(10),
"|"&amp;'Ingest Template'!C368&amp;CHAR(10)
)&amp;"|"&amp;'Ingest Template'!C368,
SUBSTITUTE(
INDEX(DropdownLists!$F$2:$F$277,MATCH('Ingest Template'!D368,DropdownLists!$C$2:$C$277,0)),
CHAR(10),
"|"&amp;'Ingest Template'!C368&amp;CHAR(10)
)&amp;"|"&amp;'Ingest Template'!C368&amp;CHAR(10)&amp;'Ingest Template'!Y368
)</f>
        <v>#N/A</v>
      </c>
      <c r="X368" s="74" t="str">
        <f>'Ingest Template'!Z368</f>
        <v/>
      </c>
      <c r="Y368" s="35" t="str">
        <f>SUBSTITUTE(SUBSTITUTE(SUBSTITUTE('Ingest Template'!AA368,"http:",""),"https:",""),"/","")</f>
        <v/>
      </c>
      <c r="Z368" s="35" t="str">
        <f t="array" ref="Z368">IF('Ingest Template'!A368="Standard",(IF(ISBLANK('Ingest Template'!AB368),"", 'Ingest Template'!AB368&amp;"|DAR")),(IF(ISBLANK('Ingest Template'!AB368),"", 'Ingest Template'!AB368&amp;"|TV Ops")))</f>
        <v/>
      </c>
      <c r="AA368" s="35"/>
      <c r="AB368" s="35" t="str">
        <f>'Ingest Template'!R368</f>
        <v/>
      </c>
      <c r="AC368" s="35" t="str">
        <f>'Ingest Template'!T368</f>
        <v/>
      </c>
      <c r="AD368" s="35" t="str">
        <f>'Ingest Template'!S368</f>
        <v/>
      </c>
      <c r="AE368" s="35" t="str">
        <f>'Ingest Template'!U368</f>
        <v/>
      </c>
      <c r="AF368" s="22"/>
      <c r="AG368" s="35" t="str">
        <f t="array" ref="AG368">IF('Ingest Template'!A368="Standard",(CONCATENATE(IF(ISBLANK('Ingest Template'!N368),"", 'Ingest Template'!N368&amp;"|DAR"),CHAR(10), IF(ISBLANK('Ingest Template'!O368),"", 'Ingest Template'!O368&amp;"|DAR"),CHAR(10), IF(ISBLANK('Ingest Template'!P368),"", 'Ingest Template'!P368&amp;"|DAR"))),(CONCATENATE(IF(ISBLANK('Ingest Template'!N368),"", 'Ingest Template'!N368&amp;"|TV Ops"),CHAR(10), IF(ISBLANK('Ingest Template'!O368),"", 'Ingest Template'!O368&amp;"|TV Ops"),CHAR(10), IF(ISBLANK('Ingest Template'!P368),"", 'Ingest Template'!P368&amp;"|TV Ops"))))</f>
        <v>
</v>
      </c>
      <c r="AH368" s="35"/>
      <c r="AI368" s="35"/>
      <c r="AJ368" s="117" t="str">
        <f>if('Ingest Template'!A368="Standard",(IF(OR('Ingest Template'!F368 = "Program Type - Special", 'Ingest Template'!F368 = "Program Type - Live Event"),'Ingest Template'!M368&amp; "|DAR|DAR|"&amp;TEXT('Ingest Template'!C368-3, "yyyy-mm-dd")&amp;"|"&amp;TEXT('Ingest Template'!C368+3, "yyyy-mm-dd"),'Ingest Template'!M368&amp; "|DAR|DAR|2021-01-01")),(IF(OR('Ingest Template'!F368 = "Program Type - Special", 'Ingest Template'!F368 = "Program Type - Live Event"),'Ingest Template'!M368&amp; "|Operations - Core Title|Operations - Core Title|"&amp;TEXT('Ingest Template'!C368-3, "yyyy-mm-dd")&amp;"|"&amp;TEXT('Ingest Template'!C368+3, "yyyy-mm-dd"),'Ingest Template'!M368&amp; "|Operations - Core Title|Operations - Core Title")))</f>
        <v>|Operations - Core Title|Operations - Core Title</v>
      </c>
      <c r="AK368" s="35"/>
      <c r="AL368" s="117" t="str">
        <f>if('Ingest Template'!A368="Standard",(IF(OR('Ingest Template'!F368 = "Program Type - Special", 'Ingest Template'!F368 = "Program Type - Live Event"),'Ingest Template'!Q368&amp;"|"&amp;TEXT('Ingest Template'!C368-3, "yyyy-mm-dd")&amp;"|"&amp;TEXT('Ingest Template'!C368+3, "yyyy-mm-dd"),'Ingest Template'!Q368&amp; "|2021-01-01")),(IF(OR('Ingest Template'!F368 = "Program Type - Special", 'Ingest Template'!F368 = "Program Type - Live Event"),'Ingest Template'!Q368&amp; "|"&amp;TEXT('Ingest Template'!C368-3, "yyyy-mm-dd")&amp;"|"&amp;TEXT('Ingest Template'!C368+3, "yyyy-mm-dd"),'Ingest Template'!Q368)))</f>
        <v/>
      </c>
      <c r="AM368" s="35" t="str">
        <f>'Ingest Template'!AC368</f>
        <v/>
      </c>
    </row>
    <row r="369">
      <c r="A369" s="15"/>
      <c r="B369" s="22" t="str">
        <f>'Ingest Template'!C369&amp;IF('Ingest Template'!A369 = "Standard", " - DAR","")</f>
        <v/>
      </c>
      <c r="C369" s="22" t="s">
        <v>83</v>
      </c>
      <c r="D369" s="22" t="str">
        <f t="array" ref="D369">CONCATENATE(INDEX(DropdownLists!$H$2:$H$11,MATCH(1,COUNTIF('Ingest Template'!E369,"*"&amp;DropdownLists!$I$2:$I$11&amp;"*"),0)),CHAR(10),'Ingest Template'!F369,CHAR(10),'Ingest Template'!G369,CHAR(10),VLOOKUP('Ingest Template'!D369,DropdownLists!C:D,2,FALSE))</f>
        <v>#N/A</v>
      </c>
      <c r="E369" s="22" t="str">
        <f>CONCATENATE('Ingest Template'!H369,CHAR(10),'Ingest Template'!I369,CHAR(10),'Ingest Template'!J369,CHAR(10))</f>
        <v>
</v>
      </c>
      <c r="F369" s="35" t="str">
        <f t="array" ref="F369">INDEX(DropdownLists!$O$2:$O$36,MATCH(1,COUNTIF(E369,"*"&amp;DropdownLists!$N$2:$N$36&amp;"*"),0))</f>
        <v/>
      </c>
      <c r="G369" s="35"/>
      <c r="H369" s="22" t="str">
        <f t="array" ref="H369">INDEX(DropdownLists!$E$2:$E$276,MATCH('Ingest Template'!D369,DropdownLists!$C$2:$C$276,0))</f>
        <v>#N/A</v>
      </c>
      <c r="I369" s="22"/>
      <c r="J369" s="22" t="str">
        <f t="array" ref="J369">iF('Ingest Template'!A369="Standard","Pristine Brand",INDEX(DropdownLists!$B$2:$B$246,MATCH('Ingest Template'!D369,DropdownLists!$C$2:$C$246,0)))</f>
        <v>#N/A</v>
      </c>
      <c r="K369" s="22" t="str">
        <f>iF('Ingest Template'!A369="Standard",'Ingest Template'!K369&amp;CHAR(10)&amp;'Ingest Template'!L369,"Competitive View")</f>
        <v>Competitive View</v>
      </c>
      <c r="L369" s="22" t="s">
        <v>95</v>
      </c>
      <c r="M369" s="45" t="str">
        <f>'Ingest Template'!B369</f>
        <v/>
      </c>
      <c r="N369" s="35"/>
      <c r="O369" s="35"/>
      <c r="P369" s="35"/>
      <c r="Q369" s="35"/>
      <c r="R369" s="35" t="str">
        <f>'Ingest Template'!D369</f>
        <v/>
      </c>
      <c r="S369" s="22" t="s">
        <v>101</v>
      </c>
      <c r="T369" s="35" t="str">
        <f>'Ingest Template'!V369</f>
        <v/>
      </c>
      <c r="U369" s="35" t="str">
        <f>'Ingest Template'!W369</f>
        <v/>
      </c>
      <c r="V369" s="35" t="str">
        <f>LOWER(SUBSTITUTE(SUBSTITUTE(SUBSTITUTE(SUBSTITUTE(SUBSTITUTE('Ingest Template'!X369,"https:",""),"www.",""),"/",""),"?hl=en",""),"instagram.com",""))</f>
        <v/>
      </c>
      <c r="W369" s="74" t="str">
        <f t="array" ref="W369">IF(
'Ingest Template'!Y369="",
SUBSTITUTE(
INDEX(DropdownLists!$F$2:$F$277,MATCH('Ingest Template'!D369,DropdownLists!$C$2:$C$277,0)),
CHAR(10),
"|"&amp;'Ingest Template'!C369&amp;CHAR(10)
)&amp;"|"&amp;'Ingest Template'!C369,
SUBSTITUTE(
INDEX(DropdownLists!$F$2:$F$277,MATCH('Ingest Template'!D369,DropdownLists!$C$2:$C$277,0)),
CHAR(10),
"|"&amp;'Ingest Template'!C369&amp;CHAR(10)
)&amp;"|"&amp;'Ingest Template'!C369&amp;CHAR(10)&amp;'Ingest Template'!Y369
)</f>
        <v>#N/A</v>
      </c>
      <c r="X369" s="74" t="str">
        <f>'Ingest Template'!Z369</f>
        <v/>
      </c>
      <c r="Y369" s="35" t="str">
        <f>SUBSTITUTE(SUBSTITUTE(SUBSTITUTE('Ingest Template'!AA369,"http:",""),"https:",""),"/","")</f>
        <v/>
      </c>
      <c r="Z369" s="35" t="str">
        <f t="array" ref="Z369">IF('Ingest Template'!A369="Standard",(IF(ISBLANK('Ingest Template'!AB369),"", 'Ingest Template'!AB369&amp;"|DAR")),(IF(ISBLANK('Ingest Template'!AB369),"", 'Ingest Template'!AB369&amp;"|TV Ops")))</f>
        <v/>
      </c>
      <c r="AA369" s="35"/>
      <c r="AB369" s="35" t="str">
        <f>'Ingest Template'!R369</f>
        <v/>
      </c>
      <c r="AC369" s="35" t="str">
        <f>'Ingest Template'!T369</f>
        <v/>
      </c>
      <c r="AD369" s="35" t="str">
        <f>'Ingest Template'!S369</f>
        <v/>
      </c>
      <c r="AE369" s="35" t="str">
        <f>'Ingest Template'!U369</f>
        <v/>
      </c>
      <c r="AF369" s="22"/>
      <c r="AG369" s="35" t="str">
        <f t="array" ref="AG369">IF('Ingest Template'!A369="Standard",(CONCATENATE(IF(ISBLANK('Ingest Template'!N369),"", 'Ingest Template'!N369&amp;"|DAR"),CHAR(10), IF(ISBLANK('Ingest Template'!O369),"", 'Ingest Template'!O369&amp;"|DAR"),CHAR(10), IF(ISBLANK('Ingest Template'!P369),"", 'Ingest Template'!P369&amp;"|DAR"))),(CONCATENATE(IF(ISBLANK('Ingest Template'!N369),"", 'Ingest Template'!N369&amp;"|TV Ops"),CHAR(10), IF(ISBLANK('Ingest Template'!O369),"", 'Ingest Template'!O369&amp;"|TV Ops"),CHAR(10), IF(ISBLANK('Ingest Template'!P369),"", 'Ingest Template'!P369&amp;"|TV Ops"))))</f>
        <v>
</v>
      </c>
      <c r="AH369" s="35"/>
      <c r="AI369" s="35"/>
      <c r="AJ369" s="117" t="str">
        <f>if('Ingest Template'!A369="Standard",(IF(OR('Ingest Template'!F369 = "Program Type - Special", 'Ingest Template'!F369 = "Program Type - Live Event"),'Ingest Template'!M369&amp; "|DAR|DAR|"&amp;TEXT('Ingest Template'!C369-3, "yyyy-mm-dd")&amp;"|"&amp;TEXT('Ingest Template'!C369+3, "yyyy-mm-dd"),'Ingest Template'!M369&amp; "|DAR|DAR|2021-01-01")),(IF(OR('Ingest Template'!F369 = "Program Type - Special", 'Ingest Template'!F369 = "Program Type - Live Event"),'Ingest Template'!M369&amp; "|Operations - Core Title|Operations - Core Title|"&amp;TEXT('Ingest Template'!C369-3, "yyyy-mm-dd")&amp;"|"&amp;TEXT('Ingest Template'!C369+3, "yyyy-mm-dd"),'Ingest Template'!M369&amp; "|Operations - Core Title|Operations - Core Title")))</f>
        <v>|Operations - Core Title|Operations - Core Title</v>
      </c>
      <c r="AK369" s="35"/>
      <c r="AL369" s="117" t="str">
        <f>if('Ingest Template'!A369="Standard",(IF(OR('Ingest Template'!F369 = "Program Type - Special", 'Ingest Template'!F369 = "Program Type - Live Event"),'Ingest Template'!Q369&amp;"|"&amp;TEXT('Ingest Template'!C369-3, "yyyy-mm-dd")&amp;"|"&amp;TEXT('Ingest Template'!C369+3, "yyyy-mm-dd"),'Ingest Template'!Q369&amp; "|2021-01-01")),(IF(OR('Ingest Template'!F369 = "Program Type - Special", 'Ingest Template'!F369 = "Program Type - Live Event"),'Ingest Template'!Q369&amp; "|"&amp;TEXT('Ingest Template'!C369-3, "yyyy-mm-dd")&amp;"|"&amp;TEXT('Ingest Template'!C369+3, "yyyy-mm-dd"),'Ingest Template'!Q369)))</f>
        <v/>
      </c>
      <c r="AM369" s="35" t="str">
        <f>'Ingest Template'!AC369</f>
        <v/>
      </c>
    </row>
    <row r="370">
      <c r="A370" s="15"/>
      <c r="B370" s="22" t="str">
        <f>'Ingest Template'!C370&amp;IF('Ingest Template'!A370 = "Standard", " - DAR","")</f>
        <v/>
      </c>
      <c r="C370" s="22" t="s">
        <v>83</v>
      </c>
      <c r="D370" s="22" t="str">
        <f t="array" ref="D370">CONCATENATE(INDEX(DropdownLists!$H$2:$H$11,MATCH(1,COUNTIF('Ingest Template'!E370,"*"&amp;DropdownLists!$I$2:$I$11&amp;"*"),0)),CHAR(10),'Ingest Template'!F370,CHAR(10),'Ingest Template'!G370,CHAR(10),VLOOKUP('Ingest Template'!D370,DropdownLists!C:D,2,FALSE))</f>
        <v>#N/A</v>
      </c>
      <c r="E370" s="22" t="str">
        <f>CONCATENATE('Ingest Template'!H370,CHAR(10),'Ingest Template'!I370,CHAR(10),'Ingest Template'!J370,CHAR(10))</f>
        <v>
</v>
      </c>
      <c r="F370" s="35" t="str">
        <f t="array" ref="F370">INDEX(DropdownLists!$O$2:$O$36,MATCH(1,COUNTIF(E370,"*"&amp;DropdownLists!$N$2:$N$36&amp;"*"),0))</f>
        <v/>
      </c>
      <c r="G370" s="35"/>
      <c r="H370" s="22" t="str">
        <f t="array" ref="H370">INDEX(DropdownLists!$E$2:$E$276,MATCH('Ingest Template'!D370,DropdownLists!$C$2:$C$276,0))</f>
        <v>#N/A</v>
      </c>
      <c r="I370" s="22"/>
      <c r="J370" s="22" t="str">
        <f t="array" ref="J370">iF('Ingest Template'!A370="Standard","Pristine Brand",INDEX(DropdownLists!$B$2:$B$246,MATCH('Ingest Template'!D370,DropdownLists!$C$2:$C$246,0)))</f>
        <v>#N/A</v>
      </c>
      <c r="K370" s="22" t="str">
        <f>iF('Ingest Template'!A370="Standard",'Ingest Template'!K370&amp;CHAR(10)&amp;'Ingest Template'!L370,"Competitive View")</f>
        <v>Competitive View</v>
      </c>
      <c r="L370" s="22" t="s">
        <v>95</v>
      </c>
      <c r="M370" s="45" t="str">
        <f>'Ingest Template'!B370</f>
        <v/>
      </c>
      <c r="N370" s="35"/>
      <c r="O370" s="35"/>
      <c r="P370" s="35"/>
      <c r="Q370" s="35"/>
      <c r="R370" s="35" t="str">
        <f>'Ingest Template'!D370</f>
        <v/>
      </c>
      <c r="S370" s="22" t="s">
        <v>101</v>
      </c>
      <c r="T370" s="35" t="str">
        <f>'Ingest Template'!V370</f>
        <v/>
      </c>
      <c r="U370" s="35" t="str">
        <f>'Ingest Template'!W370</f>
        <v/>
      </c>
      <c r="V370" s="35" t="str">
        <f>LOWER(SUBSTITUTE(SUBSTITUTE(SUBSTITUTE(SUBSTITUTE(SUBSTITUTE('Ingest Template'!X370,"https:",""),"www.",""),"/",""),"?hl=en",""),"instagram.com",""))</f>
        <v/>
      </c>
      <c r="W370" s="74" t="str">
        <f t="array" ref="W370">IF(
'Ingest Template'!Y370="",
SUBSTITUTE(
INDEX(DropdownLists!$F$2:$F$277,MATCH('Ingest Template'!D370,DropdownLists!$C$2:$C$277,0)),
CHAR(10),
"|"&amp;'Ingest Template'!C370&amp;CHAR(10)
)&amp;"|"&amp;'Ingest Template'!C370,
SUBSTITUTE(
INDEX(DropdownLists!$F$2:$F$277,MATCH('Ingest Template'!D370,DropdownLists!$C$2:$C$277,0)),
CHAR(10),
"|"&amp;'Ingest Template'!C370&amp;CHAR(10)
)&amp;"|"&amp;'Ingest Template'!C370&amp;CHAR(10)&amp;'Ingest Template'!Y370
)</f>
        <v>#N/A</v>
      </c>
      <c r="X370" s="74" t="str">
        <f>'Ingest Template'!Z370</f>
        <v/>
      </c>
      <c r="Y370" s="35" t="str">
        <f>SUBSTITUTE(SUBSTITUTE(SUBSTITUTE('Ingest Template'!AA370,"http:",""),"https:",""),"/","")</f>
        <v/>
      </c>
      <c r="Z370" s="35" t="str">
        <f t="array" ref="Z370">IF('Ingest Template'!A370="Standard",(IF(ISBLANK('Ingest Template'!AB370),"", 'Ingest Template'!AB370&amp;"|DAR")),(IF(ISBLANK('Ingest Template'!AB370),"", 'Ingest Template'!AB370&amp;"|TV Ops")))</f>
        <v/>
      </c>
      <c r="AA370" s="35"/>
      <c r="AB370" s="35" t="str">
        <f>'Ingest Template'!R370</f>
        <v/>
      </c>
      <c r="AC370" s="35" t="str">
        <f>'Ingest Template'!T370</f>
        <v/>
      </c>
      <c r="AD370" s="35" t="str">
        <f>'Ingest Template'!S370</f>
        <v/>
      </c>
      <c r="AE370" s="35" t="str">
        <f>'Ingest Template'!U370</f>
        <v/>
      </c>
      <c r="AF370" s="22"/>
      <c r="AG370" s="35" t="str">
        <f t="array" ref="AG370">IF('Ingest Template'!A370="Standard",(CONCATENATE(IF(ISBLANK('Ingest Template'!N370),"", 'Ingest Template'!N370&amp;"|DAR"),CHAR(10), IF(ISBLANK('Ingest Template'!O370),"", 'Ingest Template'!O370&amp;"|DAR"),CHAR(10), IF(ISBLANK('Ingest Template'!P370),"", 'Ingest Template'!P370&amp;"|DAR"))),(CONCATENATE(IF(ISBLANK('Ingest Template'!N370),"", 'Ingest Template'!N370&amp;"|TV Ops"),CHAR(10), IF(ISBLANK('Ingest Template'!O370),"", 'Ingest Template'!O370&amp;"|TV Ops"),CHAR(10), IF(ISBLANK('Ingest Template'!P370),"", 'Ingest Template'!P370&amp;"|TV Ops"))))</f>
        <v>
</v>
      </c>
      <c r="AH370" s="35"/>
      <c r="AI370" s="35"/>
      <c r="AJ370" s="117" t="str">
        <f>if('Ingest Template'!A370="Standard",(IF(OR('Ingest Template'!F370 = "Program Type - Special", 'Ingest Template'!F370 = "Program Type - Live Event"),'Ingest Template'!M370&amp; "|DAR|DAR|"&amp;TEXT('Ingest Template'!C370-3, "yyyy-mm-dd")&amp;"|"&amp;TEXT('Ingest Template'!C370+3, "yyyy-mm-dd"),'Ingest Template'!M370&amp; "|DAR|DAR|2021-01-01")),(IF(OR('Ingest Template'!F370 = "Program Type - Special", 'Ingest Template'!F370 = "Program Type - Live Event"),'Ingest Template'!M370&amp; "|Operations - Core Title|Operations - Core Title|"&amp;TEXT('Ingest Template'!C370-3, "yyyy-mm-dd")&amp;"|"&amp;TEXT('Ingest Template'!C370+3, "yyyy-mm-dd"),'Ingest Template'!M370&amp; "|Operations - Core Title|Operations - Core Title")))</f>
        <v>|Operations - Core Title|Operations - Core Title</v>
      </c>
      <c r="AK370" s="35"/>
      <c r="AL370" s="117" t="str">
        <f>if('Ingest Template'!A370="Standard",(IF(OR('Ingest Template'!F370 = "Program Type - Special", 'Ingest Template'!F370 = "Program Type - Live Event"),'Ingest Template'!Q370&amp;"|"&amp;TEXT('Ingest Template'!C370-3, "yyyy-mm-dd")&amp;"|"&amp;TEXT('Ingest Template'!C370+3, "yyyy-mm-dd"),'Ingest Template'!Q370&amp; "|2021-01-01")),(IF(OR('Ingest Template'!F370 = "Program Type - Special", 'Ingest Template'!F370 = "Program Type - Live Event"),'Ingest Template'!Q370&amp; "|"&amp;TEXT('Ingest Template'!C370-3, "yyyy-mm-dd")&amp;"|"&amp;TEXT('Ingest Template'!C370+3, "yyyy-mm-dd"),'Ingest Template'!Q370)))</f>
        <v/>
      </c>
      <c r="AM370" s="35" t="str">
        <f>'Ingest Template'!AC370</f>
        <v/>
      </c>
    </row>
    <row r="371">
      <c r="A371" s="15"/>
      <c r="B371" s="22" t="str">
        <f>'Ingest Template'!C371&amp;IF('Ingest Template'!A371 = "Standard", " - DAR","")</f>
        <v/>
      </c>
      <c r="C371" s="22" t="s">
        <v>83</v>
      </c>
      <c r="D371" s="22" t="str">
        <f t="array" ref="D371">CONCATENATE(INDEX(DropdownLists!$H$2:$H$11,MATCH(1,COUNTIF('Ingest Template'!E371,"*"&amp;DropdownLists!$I$2:$I$11&amp;"*"),0)),CHAR(10),'Ingest Template'!F371,CHAR(10),'Ingest Template'!G371,CHAR(10),VLOOKUP('Ingest Template'!D371,DropdownLists!C:D,2,FALSE))</f>
        <v>#N/A</v>
      </c>
      <c r="E371" s="22" t="str">
        <f>CONCATENATE('Ingest Template'!H371,CHAR(10),'Ingest Template'!I371,CHAR(10),'Ingest Template'!J371,CHAR(10))</f>
        <v>
</v>
      </c>
      <c r="F371" s="35" t="str">
        <f t="array" ref="F371">INDEX(DropdownLists!$O$2:$O$36,MATCH(1,COUNTIF(E371,"*"&amp;DropdownLists!$N$2:$N$36&amp;"*"),0))</f>
        <v/>
      </c>
      <c r="G371" s="35"/>
      <c r="H371" s="22" t="str">
        <f t="array" ref="H371">INDEX(DropdownLists!$E$2:$E$276,MATCH('Ingest Template'!D371,DropdownLists!$C$2:$C$276,0))</f>
        <v>#N/A</v>
      </c>
      <c r="I371" s="22"/>
      <c r="J371" s="22" t="str">
        <f t="array" ref="J371">iF('Ingest Template'!A371="Standard","Pristine Brand",INDEX(DropdownLists!$B$2:$B$246,MATCH('Ingest Template'!D371,DropdownLists!$C$2:$C$246,0)))</f>
        <v>#N/A</v>
      </c>
      <c r="K371" s="22" t="str">
        <f>iF('Ingest Template'!A371="Standard",'Ingest Template'!K371&amp;CHAR(10)&amp;'Ingest Template'!L371,"Competitive View")</f>
        <v>Competitive View</v>
      </c>
      <c r="L371" s="22" t="s">
        <v>95</v>
      </c>
      <c r="M371" s="45" t="str">
        <f>'Ingest Template'!B371</f>
        <v/>
      </c>
      <c r="N371" s="35"/>
      <c r="O371" s="35"/>
      <c r="P371" s="35"/>
      <c r="Q371" s="35"/>
      <c r="R371" s="35" t="str">
        <f>'Ingest Template'!D371</f>
        <v/>
      </c>
      <c r="S371" s="22" t="s">
        <v>101</v>
      </c>
      <c r="T371" s="35" t="str">
        <f>'Ingest Template'!V371</f>
        <v/>
      </c>
      <c r="U371" s="35" t="str">
        <f>'Ingest Template'!W371</f>
        <v/>
      </c>
      <c r="V371" s="35" t="str">
        <f>LOWER(SUBSTITUTE(SUBSTITUTE(SUBSTITUTE(SUBSTITUTE(SUBSTITUTE('Ingest Template'!X371,"https:",""),"www.",""),"/",""),"?hl=en",""),"instagram.com",""))</f>
        <v/>
      </c>
      <c r="W371" s="74" t="str">
        <f t="array" ref="W371">IF(
'Ingest Template'!Y371="",
SUBSTITUTE(
INDEX(DropdownLists!$F$2:$F$277,MATCH('Ingest Template'!D371,DropdownLists!$C$2:$C$277,0)),
CHAR(10),
"|"&amp;'Ingest Template'!C371&amp;CHAR(10)
)&amp;"|"&amp;'Ingest Template'!C371,
SUBSTITUTE(
INDEX(DropdownLists!$F$2:$F$277,MATCH('Ingest Template'!D371,DropdownLists!$C$2:$C$277,0)),
CHAR(10),
"|"&amp;'Ingest Template'!C371&amp;CHAR(10)
)&amp;"|"&amp;'Ingest Template'!C371&amp;CHAR(10)&amp;'Ingest Template'!Y371
)</f>
        <v>#N/A</v>
      </c>
      <c r="X371" s="74" t="str">
        <f>'Ingest Template'!Z371</f>
        <v/>
      </c>
      <c r="Y371" s="35" t="str">
        <f>SUBSTITUTE(SUBSTITUTE(SUBSTITUTE('Ingest Template'!AA371,"http:",""),"https:",""),"/","")</f>
        <v/>
      </c>
      <c r="Z371" s="35" t="str">
        <f t="array" ref="Z371">IF('Ingest Template'!A371="Standard",(IF(ISBLANK('Ingest Template'!AB371),"", 'Ingest Template'!AB371&amp;"|DAR")),(IF(ISBLANK('Ingest Template'!AB371),"", 'Ingest Template'!AB371&amp;"|TV Ops")))</f>
        <v/>
      </c>
      <c r="AA371" s="35"/>
      <c r="AB371" s="35" t="str">
        <f>'Ingest Template'!R371</f>
        <v/>
      </c>
      <c r="AC371" s="35" t="str">
        <f>'Ingest Template'!T371</f>
        <v/>
      </c>
      <c r="AD371" s="35" t="str">
        <f>'Ingest Template'!S371</f>
        <v/>
      </c>
      <c r="AE371" s="35" t="str">
        <f>'Ingest Template'!U371</f>
        <v/>
      </c>
      <c r="AF371" s="22"/>
      <c r="AG371" s="35" t="str">
        <f t="array" ref="AG371">IF('Ingest Template'!A371="Standard",(CONCATENATE(IF(ISBLANK('Ingest Template'!N371),"", 'Ingest Template'!N371&amp;"|DAR"),CHAR(10), IF(ISBLANK('Ingest Template'!O371),"", 'Ingest Template'!O371&amp;"|DAR"),CHAR(10), IF(ISBLANK('Ingest Template'!P371),"", 'Ingest Template'!P371&amp;"|DAR"))),(CONCATENATE(IF(ISBLANK('Ingest Template'!N371),"", 'Ingest Template'!N371&amp;"|TV Ops"),CHAR(10), IF(ISBLANK('Ingest Template'!O371),"", 'Ingest Template'!O371&amp;"|TV Ops"),CHAR(10), IF(ISBLANK('Ingest Template'!P371),"", 'Ingest Template'!P371&amp;"|TV Ops"))))</f>
        <v>
</v>
      </c>
      <c r="AH371" s="35"/>
      <c r="AI371" s="35"/>
      <c r="AJ371" s="117" t="str">
        <f>if('Ingest Template'!A371="Standard",(IF(OR('Ingest Template'!F371 = "Program Type - Special", 'Ingest Template'!F371 = "Program Type - Live Event"),'Ingest Template'!M371&amp; "|DAR|DAR|"&amp;TEXT('Ingest Template'!C371-3, "yyyy-mm-dd")&amp;"|"&amp;TEXT('Ingest Template'!C371+3, "yyyy-mm-dd"),'Ingest Template'!M371&amp; "|DAR|DAR|2021-01-01")),(IF(OR('Ingest Template'!F371 = "Program Type - Special", 'Ingest Template'!F371 = "Program Type - Live Event"),'Ingest Template'!M371&amp; "|Operations - Core Title|Operations - Core Title|"&amp;TEXT('Ingest Template'!C371-3, "yyyy-mm-dd")&amp;"|"&amp;TEXT('Ingest Template'!C371+3, "yyyy-mm-dd"),'Ingest Template'!M371&amp; "|Operations - Core Title|Operations - Core Title")))</f>
        <v>|Operations - Core Title|Operations - Core Title</v>
      </c>
      <c r="AK371" s="35"/>
      <c r="AL371" s="117" t="str">
        <f>if('Ingest Template'!A371="Standard",(IF(OR('Ingest Template'!F371 = "Program Type - Special", 'Ingest Template'!F371 = "Program Type - Live Event"),'Ingest Template'!Q371&amp;"|"&amp;TEXT('Ingest Template'!C371-3, "yyyy-mm-dd")&amp;"|"&amp;TEXT('Ingest Template'!C371+3, "yyyy-mm-dd"),'Ingest Template'!Q371&amp; "|2021-01-01")),(IF(OR('Ingest Template'!F371 = "Program Type - Special", 'Ingest Template'!F371 = "Program Type - Live Event"),'Ingest Template'!Q371&amp; "|"&amp;TEXT('Ingest Template'!C371-3, "yyyy-mm-dd")&amp;"|"&amp;TEXT('Ingest Template'!C371+3, "yyyy-mm-dd"),'Ingest Template'!Q371)))</f>
        <v/>
      </c>
      <c r="AM371" s="35" t="str">
        <f>'Ingest Template'!AC371</f>
        <v/>
      </c>
    </row>
    <row r="372">
      <c r="A372" s="15"/>
      <c r="B372" s="22" t="str">
        <f>'Ingest Template'!C372&amp;IF('Ingest Template'!A372 = "Standard", " - DAR","")</f>
        <v/>
      </c>
      <c r="C372" s="22" t="s">
        <v>83</v>
      </c>
      <c r="D372" s="22" t="str">
        <f t="array" ref="D372">CONCATENATE(INDEX(DropdownLists!$H$2:$H$11,MATCH(1,COUNTIF('Ingest Template'!E372,"*"&amp;DropdownLists!$I$2:$I$11&amp;"*"),0)),CHAR(10),'Ingest Template'!F372,CHAR(10),'Ingest Template'!G372,CHAR(10),VLOOKUP('Ingest Template'!D372,DropdownLists!C:D,2,FALSE))</f>
        <v>#N/A</v>
      </c>
      <c r="E372" s="22" t="str">
        <f>CONCATENATE('Ingest Template'!H372,CHAR(10),'Ingest Template'!I372,CHAR(10),'Ingest Template'!J372,CHAR(10))</f>
        <v>
</v>
      </c>
      <c r="F372" s="35" t="str">
        <f t="array" ref="F372">INDEX(DropdownLists!$O$2:$O$36,MATCH(1,COUNTIF(E372,"*"&amp;DropdownLists!$N$2:$N$36&amp;"*"),0))</f>
        <v/>
      </c>
      <c r="G372" s="35"/>
      <c r="H372" s="22" t="str">
        <f t="array" ref="H372">INDEX(DropdownLists!$E$2:$E$276,MATCH('Ingest Template'!D372,DropdownLists!$C$2:$C$276,0))</f>
        <v>#N/A</v>
      </c>
      <c r="I372" s="22"/>
      <c r="J372" s="22" t="str">
        <f t="array" ref="J372">iF('Ingest Template'!A372="Standard","Pristine Brand",INDEX(DropdownLists!$B$2:$B$246,MATCH('Ingest Template'!D372,DropdownLists!$C$2:$C$246,0)))</f>
        <v>#N/A</v>
      </c>
      <c r="K372" s="22" t="str">
        <f>iF('Ingest Template'!A372="Standard",'Ingest Template'!K372&amp;CHAR(10)&amp;'Ingest Template'!L372,"Competitive View")</f>
        <v>Competitive View</v>
      </c>
      <c r="L372" s="22" t="s">
        <v>95</v>
      </c>
      <c r="M372" s="45" t="str">
        <f>'Ingest Template'!B372</f>
        <v/>
      </c>
      <c r="N372" s="35"/>
      <c r="O372" s="35"/>
      <c r="P372" s="35"/>
      <c r="Q372" s="35"/>
      <c r="R372" s="35" t="str">
        <f>'Ingest Template'!D372</f>
        <v/>
      </c>
      <c r="S372" s="22" t="s">
        <v>101</v>
      </c>
      <c r="T372" s="35" t="str">
        <f>'Ingest Template'!V372</f>
        <v/>
      </c>
      <c r="U372" s="35" t="str">
        <f>'Ingest Template'!W372</f>
        <v/>
      </c>
      <c r="V372" s="35" t="str">
        <f>LOWER(SUBSTITUTE(SUBSTITUTE(SUBSTITUTE(SUBSTITUTE(SUBSTITUTE('Ingest Template'!X372,"https:",""),"www.",""),"/",""),"?hl=en",""),"instagram.com",""))</f>
        <v/>
      </c>
      <c r="W372" s="74" t="str">
        <f t="array" ref="W372">IF(
'Ingest Template'!Y372="",
SUBSTITUTE(
INDEX(DropdownLists!$F$2:$F$277,MATCH('Ingest Template'!D372,DropdownLists!$C$2:$C$277,0)),
CHAR(10),
"|"&amp;'Ingest Template'!C372&amp;CHAR(10)
)&amp;"|"&amp;'Ingest Template'!C372,
SUBSTITUTE(
INDEX(DropdownLists!$F$2:$F$277,MATCH('Ingest Template'!D372,DropdownLists!$C$2:$C$277,0)),
CHAR(10),
"|"&amp;'Ingest Template'!C372&amp;CHAR(10)
)&amp;"|"&amp;'Ingest Template'!C372&amp;CHAR(10)&amp;'Ingest Template'!Y372
)</f>
        <v>#N/A</v>
      </c>
      <c r="X372" s="74" t="str">
        <f>'Ingest Template'!Z372</f>
        <v/>
      </c>
      <c r="Y372" s="35" t="str">
        <f>SUBSTITUTE(SUBSTITUTE(SUBSTITUTE('Ingest Template'!AA372,"http:",""),"https:",""),"/","")</f>
        <v/>
      </c>
      <c r="Z372" s="35" t="str">
        <f t="array" ref="Z372">IF('Ingest Template'!A372="Standard",(IF(ISBLANK('Ingest Template'!AB372),"", 'Ingest Template'!AB372&amp;"|DAR")),(IF(ISBLANK('Ingest Template'!AB372),"", 'Ingest Template'!AB372&amp;"|TV Ops")))</f>
        <v/>
      </c>
      <c r="AA372" s="35"/>
      <c r="AB372" s="35" t="str">
        <f>'Ingest Template'!R372</f>
        <v/>
      </c>
      <c r="AC372" s="35" t="str">
        <f>'Ingest Template'!T372</f>
        <v/>
      </c>
      <c r="AD372" s="35" t="str">
        <f>'Ingest Template'!S372</f>
        <v/>
      </c>
      <c r="AE372" s="35" t="str">
        <f>'Ingest Template'!U372</f>
        <v/>
      </c>
      <c r="AF372" s="22"/>
      <c r="AG372" s="35" t="str">
        <f t="array" ref="AG372">IF('Ingest Template'!A372="Standard",(CONCATENATE(IF(ISBLANK('Ingest Template'!N372),"", 'Ingest Template'!N372&amp;"|DAR"),CHAR(10), IF(ISBLANK('Ingest Template'!O372),"", 'Ingest Template'!O372&amp;"|DAR"),CHAR(10), IF(ISBLANK('Ingest Template'!P372),"", 'Ingest Template'!P372&amp;"|DAR"))),(CONCATENATE(IF(ISBLANK('Ingest Template'!N372),"", 'Ingest Template'!N372&amp;"|TV Ops"),CHAR(10), IF(ISBLANK('Ingest Template'!O372),"", 'Ingest Template'!O372&amp;"|TV Ops"),CHAR(10), IF(ISBLANK('Ingest Template'!P372),"", 'Ingest Template'!P372&amp;"|TV Ops"))))</f>
        <v>
</v>
      </c>
      <c r="AH372" s="35"/>
      <c r="AI372" s="35"/>
      <c r="AJ372" s="117" t="str">
        <f>if('Ingest Template'!A372="Standard",(IF(OR('Ingest Template'!F372 = "Program Type - Special", 'Ingest Template'!F372 = "Program Type - Live Event"),'Ingest Template'!M372&amp; "|DAR|DAR|"&amp;TEXT('Ingest Template'!C372-3, "yyyy-mm-dd")&amp;"|"&amp;TEXT('Ingest Template'!C372+3, "yyyy-mm-dd"),'Ingest Template'!M372&amp; "|DAR|DAR|2021-01-01")),(IF(OR('Ingest Template'!F372 = "Program Type - Special", 'Ingest Template'!F372 = "Program Type - Live Event"),'Ingest Template'!M372&amp; "|Operations - Core Title|Operations - Core Title|"&amp;TEXT('Ingest Template'!C372-3, "yyyy-mm-dd")&amp;"|"&amp;TEXT('Ingest Template'!C372+3, "yyyy-mm-dd"),'Ingest Template'!M372&amp; "|Operations - Core Title|Operations - Core Title")))</f>
        <v>|Operations - Core Title|Operations - Core Title</v>
      </c>
      <c r="AK372" s="35"/>
      <c r="AL372" s="117" t="str">
        <f>if('Ingest Template'!A372="Standard",(IF(OR('Ingest Template'!F372 = "Program Type - Special", 'Ingest Template'!F372 = "Program Type - Live Event"),'Ingest Template'!Q372&amp;"|"&amp;TEXT('Ingest Template'!C372-3, "yyyy-mm-dd")&amp;"|"&amp;TEXT('Ingest Template'!C372+3, "yyyy-mm-dd"),'Ingest Template'!Q372&amp; "|2021-01-01")),(IF(OR('Ingest Template'!F372 = "Program Type - Special", 'Ingest Template'!F372 = "Program Type - Live Event"),'Ingest Template'!Q372&amp; "|"&amp;TEXT('Ingest Template'!C372-3, "yyyy-mm-dd")&amp;"|"&amp;TEXT('Ingest Template'!C372+3, "yyyy-mm-dd"),'Ingest Template'!Q372)))</f>
        <v/>
      </c>
      <c r="AM372" s="35" t="str">
        <f>'Ingest Template'!AC372</f>
        <v/>
      </c>
    </row>
    <row r="373">
      <c r="A373" s="15"/>
      <c r="B373" s="22" t="str">
        <f>'Ingest Template'!C373&amp;IF('Ingest Template'!A373 = "Standard", " - DAR","")</f>
        <v/>
      </c>
      <c r="C373" s="22" t="s">
        <v>83</v>
      </c>
      <c r="D373" s="22" t="str">
        <f t="array" ref="D373">CONCATENATE(INDEX(DropdownLists!$H$2:$H$11,MATCH(1,COUNTIF('Ingest Template'!E373,"*"&amp;DropdownLists!$I$2:$I$11&amp;"*"),0)),CHAR(10),'Ingest Template'!F373,CHAR(10),'Ingest Template'!G373,CHAR(10),VLOOKUP('Ingest Template'!D373,DropdownLists!C:D,2,FALSE))</f>
        <v>#N/A</v>
      </c>
      <c r="E373" s="22" t="str">
        <f>CONCATENATE('Ingest Template'!H373,CHAR(10),'Ingest Template'!I373,CHAR(10),'Ingest Template'!J373,CHAR(10))</f>
        <v>
</v>
      </c>
      <c r="F373" s="35" t="str">
        <f t="array" ref="F373">INDEX(DropdownLists!$O$2:$O$36,MATCH(1,COUNTIF(E373,"*"&amp;DropdownLists!$N$2:$N$36&amp;"*"),0))</f>
        <v/>
      </c>
      <c r="G373" s="35"/>
      <c r="H373" s="22" t="str">
        <f t="array" ref="H373">INDEX(DropdownLists!$E$2:$E$276,MATCH('Ingest Template'!D373,DropdownLists!$C$2:$C$276,0))</f>
        <v>#N/A</v>
      </c>
      <c r="I373" s="22"/>
      <c r="J373" s="22" t="str">
        <f t="array" ref="J373">iF('Ingest Template'!A373="Standard","Pristine Brand",INDEX(DropdownLists!$B$2:$B$246,MATCH('Ingest Template'!D373,DropdownLists!$C$2:$C$246,0)))</f>
        <v>#N/A</v>
      </c>
      <c r="K373" s="22" t="str">
        <f>iF('Ingest Template'!A373="Standard",'Ingest Template'!K373&amp;CHAR(10)&amp;'Ingest Template'!L373,"Competitive View")</f>
        <v>Competitive View</v>
      </c>
      <c r="L373" s="22" t="s">
        <v>95</v>
      </c>
      <c r="M373" s="45" t="str">
        <f>'Ingest Template'!B373</f>
        <v/>
      </c>
      <c r="N373" s="35"/>
      <c r="O373" s="35"/>
      <c r="P373" s="35"/>
      <c r="Q373" s="35"/>
      <c r="R373" s="35" t="str">
        <f>'Ingest Template'!D373</f>
        <v/>
      </c>
      <c r="S373" s="22" t="s">
        <v>101</v>
      </c>
      <c r="T373" s="35" t="str">
        <f>'Ingest Template'!V373</f>
        <v/>
      </c>
      <c r="U373" s="35" t="str">
        <f>'Ingest Template'!W373</f>
        <v/>
      </c>
      <c r="V373" s="35" t="str">
        <f>LOWER(SUBSTITUTE(SUBSTITUTE(SUBSTITUTE(SUBSTITUTE(SUBSTITUTE('Ingest Template'!X373,"https:",""),"www.",""),"/",""),"?hl=en",""),"instagram.com",""))</f>
        <v/>
      </c>
      <c r="W373" s="74" t="str">
        <f t="array" ref="W373">IF(
'Ingest Template'!Y373="",
SUBSTITUTE(
INDEX(DropdownLists!$F$2:$F$277,MATCH('Ingest Template'!D373,DropdownLists!$C$2:$C$277,0)),
CHAR(10),
"|"&amp;'Ingest Template'!C373&amp;CHAR(10)
)&amp;"|"&amp;'Ingest Template'!C373,
SUBSTITUTE(
INDEX(DropdownLists!$F$2:$F$277,MATCH('Ingest Template'!D373,DropdownLists!$C$2:$C$277,0)),
CHAR(10),
"|"&amp;'Ingest Template'!C373&amp;CHAR(10)
)&amp;"|"&amp;'Ingest Template'!C373&amp;CHAR(10)&amp;'Ingest Template'!Y373
)</f>
        <v>#N/A</v>
      </c>
      <c r="X373" s="74" t="str">
        <f>'Ingest Template'!Z373</f>
        <v/>
      </c>
      <c r="Y373" s="35" t="str">
        <f>SUBSTITUTE(SUBSTITUTE(SUBSTITUTE('Ingest Template'!AA373,"http:",""),"https:",""),"/","")</f>
        <v/>
      </c>
      <c r="Z373" s="35" t="str">
        <f t="array" ref="Z373">IF('Ingest Template'!A373="Standard",(IF(ISBLANK('Ingest Template'!AB373),"", 'Ingest Template'!AB373&amp;"|DAR")),(IF(ISBLANK('Ingest Template'!AB373),"", 'Ingest Template'!AB373&amp;"|TV Ops")))</f>
        <v/>
      </c>
      <c r="AA373" s="35"/>
      <c r="AB373" s="35" t="str">
        <f>'Ingest Template'!R373</f>
        <v/>
      </c>
      <c r="AC373" s="35" t="str">
        <f>'Ingest Template'!T373</f>
        <v/>
      </c>
      <c r="AD373" s="35" t="str">
        <f>'Ingest Template'!S373</f>
        <v/>
      </c>
      <c r="AE373" s="35" t="str">
        <f>'Ingest Template'!U373</f>
        <v/>
      </c>
      <c r="AF373" s="22"/>
      <c r="AG373" s="35" t="str">
        <f t="array" ref="AG373">IF('Ingest Template'!A373="Standard",(CONCATENATE(IF(ISBLANK('Ingest Template'!N373),"", 'Ingest Template'!N373&amp;"|DAR"),CHAR(10), IF(ISBLANK('Ingest Template'!O373),"", 'Ingest Template'!O373&amp;"|DAR"),CHAR(10), IF(ISBLANK('Ingest Template'!P373),"", 'Ingest Template'!P373&amp;"|DAR"))),(CONCATENATE(IF(ISBLANK('Ingest Template'!N373),"", 'Ingest Template'!N373&amp;"|TV Ops"),CHAR(10), IF(ISBLANK('Ingest Template'!O373),"", 'Ingest Template'!O373&amp;"|TV Ops"),CHAR(10), IF(ISBLANK('Ingest Template'!P373),"", 'Ingest Template'!P373&amp;"|TV Ops"))))</f>
        <v>
</v>
      </c>
      <c r="AH373" s="35"/>
      <c r="AI373" s="35"/>
      <c r="AJ373" s="117" t="str">
        <f>if('Ingest Template'!A373="Standard",(IF(OR('Ingest Template'!F373 = "Program Type - Special", 'Ingest Template'!F373 = "Program Type - Live Event"),'Ingest Template'!M373&amp; "|DAR|DAR|"&amp;TEXT('Ingest Template'!C373-3, "yyyy-mm-dd")&amp;"|"&amp;TEXT('Ingest Template'!C373+3, "yyyy-mm-dd"),'Ingest Template'!M373&amp; "|DAR|DAR|2021-01-01")),(IF(OR('Ingest Template'!F373 = "Program Type - Special", 'Ingest Template'!F373 = "Program Type - Live Event"),'Ingest Template'!M373&amp; "|Operations - Core Title|Operations - Core Title|"&amp;TEXT('Ingest Template'!C373-3, "yyyy-mm-dd")&amp;"|"&amp;TEXT('Ingest Template'!C373+3, "yyyy-mm-dd"),'Ingest Template'!M373&amp; "|Operations - Core Title|Operations - Core Title")))</f>
        <v>|Operations - Core Title|Operations - Core Title</v>
      </c>
      <c r="AK373" s="35"/>
      <c r="AL373" s="117" t="str">
        <f>if('Ingest Template'!A373="Standard",(IF(OR('Ingest Template'!F373 = "Program Type - Special", 'Ingest Template'!F373 = "Program Type - Live Event"),'Ingest Template'!Q373&amp;"|"&amp;TEXT('Ingest Template'!C373-3, "yyyy-mm-dd")&amp;"|"&amp;TEXT('Ingest Template'!C373+3, "yyyy-mm-dd"),'Ingest Template'!Q373&amp; "|2021-01-01")),(IF(OR('Ingest Template'!F373 = "Program Type - Special", 'Ingest Template'!F373 = "Program Type - Live Event"),'Ingest Template'!Q373&amp; "|"&amp;TEXT('Ingest Template'!C373-3, "yyyy-mm-dd")&amp;"|"&amp;TEXT('Ingest Template'!C373+3, "yyyy-mm-dd"),'Ingest Template'!Q373)))</f>
        <v/>
      </c>
      <c r="AM373" s="35" t="str">
        <f>'Ingest Template'!AC373</f>
        <v/>
      </c>
    </row>
    <row r="374">
      <c r="A374" s="15"/>
      <c r="B374" s="22" t="str">
        <f>'Ingest Template'!C374&amp;IF('Ingest Template'!A374 = "Standard", " - DAR","")</f>
        <v/>
      </c>
      <c r="C374" s="22" t="s">
        <v>83</v>
      </c>
      <c r="D374" s="22" t="str">
        <f t="array" ref="D374">CONCATENATE(INDEX(DropdownLists!$H$2:$H$11,MATCH(1,COUNTIF('Ingest Template'!E374,"*"&amp;DropdownLists!$I$2:$I$11&amp;"*"),0)),CHAR(10),'Ingest Template'!F374,CHAR(10),'Ingest Template'!G374,CHAR(10),VLOOKUP('Ingest Template'!D374,DropdownLists!C:D,2,FALSE))</f>
        <v>#N/A</v>
      </c>
      <c r="E374" s="22" t="str">
        <f>CONCATENATE('Ingest Template'!H374,CHAR(10),'Ingest Template'!I374,CHAR(10),'Ingest Template'!J374,CHAR(10))</f>
        <v>
</v>
      </c>
      <c r="F374" s="35" t="str">
        <f t="array" ref="F374">INDEX(DropdownLists!$O$2:$O$36,MATCH(1,COUNTIF(E374,"*"&amp;DropdownLists!$N$2:$N$36&amp;"*"),0))</f>
        <v/>
      </c>
      <c r="G374" s="35"/>
      <c r="H374" s="22" t="str">
        <f t="array" ref="H374">INDEX(DropdownLists!$E$2:$E$276,MATCH('Ingest Template'!D374,DropdownLists!$C$2:$C$276,0))</f>
        <v>#N/A</v>
      </c>
      <c r="I374" s="22"/>
      <c r="J374" s="22" t="str">
        <f t="array" ref="J374">iF('Ingest Template'!A374="Standard","Pristine Brand",INDEX(DropdownLists!$B$2:$B$246,MATCH('Ingest Template'!D374,DropdownLists!$C$2:$C$246,0)))</f>
        <v>#N/A</v>
      </c>
      <c r="K374" s="22" t="str">
        <f>iF('Ingest Template'!A374="Standard",'Ingest Template'!K374&amp;CHAR(10)&amp;'Ingest Template'!L374,"Competitive View")</f>
        <v>Competitive View</v>
      </c>
      <c r="L374" s="22" t="s">
        <v>95</v>
      </c>
      <c r="M374" s="45" t="str">
        <f>'Ingest Template'!B374</f>
        <v/>
      </c>
      <c r="N374" s="35"/>
      <c r="O374" s="35"/>
      <c r="P374" s="35"/>
      <c r="Q374" s="35"/>
      <c r="R374" s="35" t="str">
        <f>'Ingest Template'!D374</f>
        <v/>
      </c>
      <c r="S374" s="22" t="s">
        <v>101</v>
      </c>
      <c r="T374" s="35" t="str">
        <f>'Ingest Template'!V374</f>
        <v/>
      </c>
      <c r="U374" s="35" t="str">
        <f>'Ingest Template'!W374</f>
        <v/>
      </c>
      <c r="V374" s="35" t="str">
        <f>LOWER(SUBSTITUTE(SUBSTITUTE(SUBSTITUTE(SUBSTITUTE(SUBSTITUTE('Ingest Template'!X374,"https:",""),"www.",""),"/",""),"?hl=en",""),"instagram.com",""))</f>
        <v/>
      </c>
      <c r="W374" s="74" t="str">
        <f t="array" ref="W374">IF(
'Ingest Template'!Y374="",
SUBSTITUTE(
INDEX(DropdownLists!$F$2:$F$277,MATCH('Ingest Template'!D374,DropdownLists!$C$2:$C$277,0)),
CHAR(10),
"|"&amp;'Ingest Template'!C374&amp;CHAR(10)
)&amp;"|"&amp;'Ingest Template'!C374,
SUBSTITUTE(
INDEX(DropdownLists!$F$2:$F$277,MATCH('Ingest Template'!D374,DropdownLists!$C$2:$C$277,0)),
CHAR(10),
"|"&amp;'Ingest Template'!C374&amp;CHAR(10)
)&amp;"|"&amp;'Ingest Template'!C374&amp;CHAR(10)&amp;'Ingest Template'!Y374
)</f>
        <v>#N/A</v>
      </c>
      <c r="X374" s="74" t="str">
        <f>'Ingest Template'!Z374</f>
        <v/>
      </c>
      <c r="Y374" s="35" t="str">
        <f>SUBSTITUTE(SUBSTITUTE(SUBSTITUTE('Ingest Template'!AA374,"http:",""),"https:",""),"/","")</f>
        <v/>
      </c>
      <c r="Z374" s="35" t="str">
        <f t="array" ref="Z374">IF('Ingest Template'!A374="Standard",(IF(ISBLANK('Ingest Template'!AB374),"", 'Ingest Template'!AB374&amp;"|DAR")),(IF(ISBLANK('Ingest Template'!AB374),"", 'Ingest Template'!AB374&amp;"|TV Ops")))</f>
        <v/>
      </c>
      <c r="AA374" s="35"/>
      <c r="AB374" s="35" t="str">
        <f>'Ingest Template'!R374</f>
        <v/>
      </c>
      <c r="AC374" s="35" t="str">
        <f>'Ingest Template'!T374</f>
        <v/>
      </c>
      <c r="AD374" s="35" t="str">
        <f>'Ingest Template'!S374</f>
        <v/>
      </c>
      <c r="AE374" s="35" t="str">
        <f>'Ingest Template'!U374</f>
        <v/>
      </c>
      <c r="AF374" s="22"/>
      <c r="AG374" s="35" t="str">
        <f t="array" ref="AG374">IF('Ingest Template'!A374="Standard",(CONCATENATE(IF(ISBLANK('Ingest Template'!N374),"", 'Ingest Template'!N374&amp;"|DAR"),CHAR(10), IF(ISBLANK('Ingest Template'!O374),"", 'Ingest Template'!O374&amp;"|DAR"),CHAR(10), IF(ISBLANK('Ingest Template'!P374),"", 'Ingest Template'!P374&amp;"|DAR"))),(CONCATENATE(IF(ISBLANK('Ingest Template'!N374),"", 'Ingest Template'!N374&amp;"|TV Ops"),CHAR(10), IF(ISBLANK('Ingest Template'!O374),"", 'Ingest Template'!O374&amp;"|TV Ops"),CHAR(10), IF(ISBLANK('Ingest Template'!P374),"", 'Ingest Template'!P374&amp;"|TV Ops"))))</f>
        <v>
</v>
      </c>
      <c r="AH374" s="35"/>
      <c r="AI374" s="35"/>
      <c r="AJ374" s="117" t="str">
        <f>if('Ingest Template'!A374="Standard",(IF(OR('Ingest Template'!F374 = "Program Type - Special", 'Ingest Template'!F374 = "Program Type - Live Event"),'Ingest Template'!M374&amp; "|DAR|DAR|"&amp;TEXT('Ingest Template'!C374-3, "yyyy-mm-dd")&amp;"|"&amp;TEXT('Ingest Template'!C374+3, "yyyy-mm-dd"),'Ingest Template'!M374&amp; "|DAR|DAR|2021-01-01")),(IF(OR('Ingest Template'!F374 = "Program Type - Special", 'Ingest Template'!F374 = "Program Type - Live Event"),'Ingest Template'!M374&amp; "|Operations - Core Title|Operations - Core Title|"&amp;TEXT('Ingest Template'!C374-3, "yyyy-mm-dd")&amp;"|"&amp;TEXT('Ingest Template'!C374+3, "yyyy-mm-dd"),'Ingest Template'!M374&amp; "|Operations - Core Title|Operations - Core Title")))</f>
        <v>|Operations - Core Title|Operations - Core Title</v>
      </c>
      <c r="AK374" s="35"/>
      <c r="AL374" s="117" t="str">
        <f>if('Ingest Template'!A374="Standard",(IF(OR('Ingest Template'!F374 = "Program Type - Special", 'Ingest Template'!F374 = "Program Type - Live Event"),'Ingest Template'!Q374&amp;"|"&amp;TEXT('Ingest Template'!C374-3, "yyyy-mm-dd")&amp;"|"&amp;TEXT('Ingest Template'!C374+3, "yyyy-mm-dd"),'Ingest Template'!Q374&amp; "|2021-01-01")),(IF(OR('Ingest Template'!F374 = "Program Type - Special", 'Ingest Template'!F374 = "Program Type - Live Event"),'Ingest Template'!Q374&amp; "|"&amp;TEXT('Ingest Template'!C374-3, "yyyy-mm-dd")&amp;"|"&amp;TEXT('Ingest Template'!C374+3, "yyyy-mm-dd"),'Ingest Template'!Q374)))</f>
        <v/>
      </c>
      <c r="AM374" s="35" t="str">
        <f>'Ingest Template'!AC374</f>
        <v/>
      </c>
    </row>
    <row r="375">
      <c r="A375" s="15"/>
      <c r="B375" s="22" t="str">
        <f>'Ingest Template'!C375&amp;IF('Ingest Template'!A375 = "Standard", " - DAR","")</f>
        <v/>
      </c>
      <c r="C375" s="22" t="s">
        <v>83</v>
      </c>
      <c r="D375" s="22" t="str">
        <f t="array" ref="D375">CONCATENATE(INDEX(DropdownLists!$H$2:$H$11,MATCH(1,COUNTIF('Ingest Template'!E375,"*"&amp;DropdownLists!$I$2:$I$11&amp;"*"),0)),CHAR(10),'Ingest Template'!F375,CHAR(10),'Ingest Template'!G375,CHAR(10),VLOOKUP('Ingest Template'!D375,DropdownLists!C:D,2,FALSE))</f>
        <v>#N/A</v>
      </c>
      <c r="E375" s="22" t="str">
        <f>CONCATENATE('Ingest Template'!H375,CHAR(10),'Ingest Template'!I375,CHAR(10),'Ingest Template'!J375,CHAR(10))</f>
        <v>
</v>
      </c>
      <c r="F375" s="35" t="str">
        <f t="array" ref="F375">INDEX(DropdownLists!$O$2:$O$36,MATCH(1,COUNTIF(E375,"*"&amp;DropdownLists!$N$2:$N$36&amp;"*"),0))</f>
        <v/>
      </c>
      <c r="G375" s="35"/>
      <c r="H375" s="22" t="str">
        <f t="array" ref="H375">INDEX(DropdownLists!$E$2:$E$276,MATCH('Ingest Template'!D375,DropdownLists!$C$2:$C$276,0))</f>
        <v>#N/A</v>
      </c>
      <c r="I375" s="22"/>
      <c r="J375" s="22" t="str">
        <f t="array" ref="J375">iF('Ingest Template'!A375="Standard","Pristine Brand",INDEX(DropdownLists!$B$2:$B$246,MATCH('Ingest Template'!D375,DropdownLists!$C$2:$C$246,0)))</f>
        <v>#N/A</v>
      </c>
      <c r="K375" s="22" t="str">
        <f>iF('Ingest Template'!A375="Standard",'Ingest Template'!K375&amp;CHAR(10)&amp;'Ingest Template'!L375,"Competitive View")</f>
        <v>Competitive View</v>
      </c>
      <c r="L375" s="22" t="s">
        <v>95</v>
      </c>
      <c r="M375" s="45" t="str">
        <f>'Ingest Template'!B375</f>
        <v/>
      </c>
      <c r="N375" s="35"/>
      <c r="O375" s="35"/>
      <c r="P375" s="35"/>
      <c r="Q375" s="35"/>
      <c r="R375" s="35" t="str">
        <f>'Ingest Template'!D375</f>
        <v/>
      </c>
      <c r="S375" s="22" t="s">
        <v>101</v>
      </c>
      <c r="T375" s="35" t="str">
        <f>'Ingest Template'!V375</f>
        <v/>
      </c>
      <c r="U375" s="35" t="str">
        <f>'Ingest Template'!W375</f>
        <v/>
      </c>
      <c r="V375" s="35" t="str">
        <f>LOWER(SUBSTITUTE(SUBSTITUTE(SUBSTITUTE(SUBSTITUTE(SUBSTITUTE('Ingest Template'!X375,"https:",""),"www.",""),"/",""),"?hl=en",""),"instagram.com",""))</f>
        <v/>
      </c>
      <c r="W375" s="74" t="str">
        <f t="array" ref="W375">IF(
'Ingest Template'!Y375="",
SUBSTITUTE(
INDEX(DropdownLists!$F$2:$F$277,MATCH('Ingest Template'!D375,DropdownLists!$C$2:$C$277,0)),
CHAR(10),
"|"&amp;'Ingest Template'!C375&amp;CHAR(10)
)&amp;"|"&amp;'Ingest Template'!C375,
SUBSTITUTE(
INDEX(DropdownLists!$F$2:$F$277,MATCH('Ingest Template'!D375,DropdownLists!$C$2:$C$277,0)),
CHAR(10),
"|"&amp;'Ingest Template'!C375&amp;CHAR(10)
)&amp;"|"&amp;'Ingest Template'!C375&amp;CHAR(10)&amp;'Ingest Template'!Y375
)</f>
        <v>#N/A</v>
      </c>
      <c r="X375" s="74" t="str">
        <f>'Ingest Template'!Z375</f>
        <v/>
      </c>
      <c r="Y375" s="35" t="str">
        <f>SUBSTITUTE(SUBSTITUTE(SUBSTITUTE('Ingest Template'!AA375,"http:",""),"https:",""),"/","")</f>
        <v/>
      </c>
      <c r="Z375" s="35" t="str">
        <f t="array" ref="Z375">IF('Ingest Template'!A375="Standard",(IF(ISBLANK('Ingest Template'!AB375),"", 'Ingest Template'!AB375&amp;"|DAR")),(IF(ISBLANK('Ingest Template'!AB375),"", 'Ingest Template'!AB375&amp;"|TV Ops")))</f>
        <v/>
      </c>
      <c r="AA375" s="35"/>
      <c r="AB375" s="35" t="str">
        <f>'Ingest Template'!R375</f>
        <v/>
      </c>
      <c r="AC375" s="35" t="str">
        <f>'Ingest Template'!T375</f>
        <v/>
      </c>
      <c r="AD375" s="35" t="str">
        <f>'Ingest Template'!S375</f>
        <v/>
      </c>
      <c r="AE375" s="35" t="str">
        <f>'Ingest Template'!U375</f>
        <v/>
      </c>
      <c r="AF375" s="22"/>
      <c r="AG375" s="35" t="str">
        <f t="array" ref="AG375">IF('Ingest Template'!A375="Standard",(CONCATENATE(IF(ISBLANK('Ingest Template'!N375),"", 'Ingest Template'!N375&amp;"|DAR"),CHAR(10), IF(ISBLANK('Ingest Template'!O375),"", 'Ingest Template'!O375&amp;"|DAR"),CHAR(10), IF(ISBLANK('Ingest Template'!P375),"", 'Ingest Template'!P375&amp;"|DAR"))),(CONCATENATE(IF(ISBLANK('Ingest Template'!N375),"", 'Ingest Template'!N375&amp;"|TV Ops"),CHAR(10), IF(ISBLANK('Ingest Template'!O375),"", 'Ingest Template'!O375&amp;"|TV Ops"),CHAR(10), IF(ISBLANK('Ingest Template'!P375),"", 'Ingest Template'!P375&amp;"|TV Ops"))))</f>
        <v>
</v>
      </c>
      <c r="AH375" s="35"/>
      <c r="AI375" s="35"/>
      <c r="AJ375" s="117" t="str">
        <f>if('Ingest Template'!A375="Standard",(IF(OR('Ingest Template'!F375 = "Program Type - Special", 'Ingest Template'!F375 = "Program Type - Live Event"),'Ingest Template'!M375&amp; "|DAR|DAR|"&amp;TEXT('Ingest Template'!C375-3, "yyyy-mm-dd")&amp;"|"&amp;TEXT('Ingest Template'!C375+3, "yyyy-mm-dd"),'Ingest Template'!M375&amp; "|DAR|DAR|2021-01-01")),(IF(OR('Ingest Template'!F375 = "Program Type - Special", 'Ingest Template'!F375 = "Program Type - Live Event"),'Ingest Template'!M375&amp; "|Operations - Core Title|Operations - Core Title|"&amp;TEXT('Ingest Template'!C375-3, "yyyy-mm-dd")&amp;"|"&amp;TEXT('Ingest Template'!C375+3, "yyyy-mm-dd"),'Ingest Template'!M375&amp; "|Operations - Core Title|Operations - Core Title")))</f>
        <v>|Operations - Core Title|Operations - Core Title</v>
      </c>
      <c r="AK375" s="35"/>
      <c r="AL375" s="117" t="str">
        <f>if('Ingest Template'!A375="Standard",(IF(OR('Ingest Template'!F375 = "Program Type - Special", 'Ingest Template'!F375 = "Program Type - Live Event"),'Ingest Template'!Q375&amp;"|"&amp;TEXT('Ingest Template'!C375-3, "yyyy-mm-dd")&amp;"|"&amp;TEXT('Ingest Template'!C375+3, "yyyy-mm-dd"),'Ingest Template'!Q375&amp; "|2021-01-01")),(IF(OR('Ingest Template'!F375 = "Program Type - Special", 'Ingest Template'!F375 = "Program Type - Live Event"),'Ingest Template'!Q375&amp; "|"&amp;TEXT('Ingest Template'!C375-3, "yyyy-mm-dd")&amp;"|"&amp;TEXT('Ingest Template'!C375+3, "yyyy-mm-dd"),'Ingest Template'!Q375)))</f>
        <v/>
      </c>
      <c r="AM375" s="35" t="str">
        <f>'Ingest Template'!AC375</f>
        <v/>
      </c>
    </row>
    <row r="376">
      <c r="A376" s="15"/>
      <c r="B376" s="22" t="str">
        <f>'Ingest Template'!C376&amp;IF('Ingest Template'!A376 = "Standard", " - DAR","")</f>
        <v/>
      </c>
      <c r="C376" s="22" t="s">
        <v>83</v>
      </c>
      <c r="D376" s="22" t="str">
        <f t="array" ref="D376">CONCATENATE(INDEX(DropdownLists!$H$2:$H$11,MATCH(1,COUNTIF('Ingest Template'!E376,"*"&amp;DropdownLists!$I$2:$I$11&amp;"*"),0)),CHAR(10),'Ingest Template'!F376,CHAR(10),'Ingest Template'!G376,CHAR(10),VLOOKUP('Ingest Template'!D376,DropdownLists!C:D,2,FALSE))</f>
        <v>#N/A</v>
      </c>
      <c r="E376" s="22" t="str">
        <f>CONCATENATE('Ingest Template'!H376,CHAR(10),'Ingest Template'!I376,CHAR(10),'Ingest Template'!J376,CHAR(10))</f>
        <v>
</v>
      </c>
      <c r="F376" s="35" t="str">
        <f t="array" ref="F376">INDEX(DropdownLists!$O$2:$O$36,MATCH(1,COUNTIF(E376,"*"&amp;DropdownLists!$N$2:$N$36&amp;"*"),0))</f>
        <v/>
      </c>
      <c r="G376" s="35"/>
      <c r="H376" s="22" t="str">
        <f t="array" ref="H376">INDEX(DropdownLists!$E$2:$E$276,MATCH('Ingest Template'!D376,DropdownLists!$C$2:$C$276,0))</f>
        <v>#N/A</v>
      </c>
      <c r="I376" s="22"/>
      <c r="J376" s="22" t="str">
        <f t="array" ref="J376">iF('Ingest Template'!A376="Standard","Pristine Brand",INDEX(DropdownLists!$B$2:$B$246,MATCH('Ingest Template'!D376,DropdownLists!$C$2:$C$246,0)))</f>
        <v>#N/A</v>
      </c>
      <c r="K376" s="22" t="str">
        <f>iF('Ingest Template'!A376="Standard",'Ingest Template'!K376&amp;CHAR(10)&amp;'Ingest Template'!L376,"Competitive View")</f>
        <v>Competitive View</v>
      </c>
      <c r="L376" s="22" t="s">
        <v>95</v>
      </c>
      <c r="M376" s="45" t="str">
        <f>'Ingest Template'!B376</f>
        <v/>
      </c>
      <c r="N376" s="35"/>
      <c r="O376" s="35"/>
      <c r="P376" s="35"/>
      <c r="Q376" s="35"/>
      <c r="R376" s="35" t="str">
        <f>'Ingest Template'!D376</f>
        <v/>
      </c>
      <c r="S376" s="22" t="s">
        <v>101</v>
      </c>
      <c r="T376" s="35" t="str">
        <f>'Ingest Template'!V376</f>
        <v/>
      </c>
      <c r="U376" s="35" t="str">
        <f>'Ingest Template'!W376</f>
        <v/>
      </c>
      <c r="V376" s="35" t="str">
        <f>LOWER(SUBSTITUTE(SUBSTITUTE(SUBSTITUTE(SUBSTITUTE(SUBSTITUTE('Ingest Template'!X376,"https:",""),"www.",""),"/",""),"?hl=en",""),"instagram.com",""))</f>
        <v/>
      </c>
      <c r="W376" s="74" t="str">
        <f t="array" ref="W376">IF(
'Ingest Template'!Y376="",
SUBSTITUTE(
INDEX(DropdownLists!$F$2:$F$277,MATCH('Ingest Template'!D376,DropdownLists!$C$2:$C$277,0)),
CHAR(10),
"|"&amp;'Ingest Template'!C376&amp;CHAR(10)
)&amp;"|"&amp;'Ingest Template'!C376,
SUBSTITUTE(
INDEX(DropdownLists!$F$2:$F$277,MATCH('Ingest Template'!D376,DropdownLists!$C$2:$C$277,0)),
CHAR(10),
"|"&amp;'Ingest Template'!C376&amp;CHAR(10)
)&amp;"|"&amp;'Ingest Template'!C376&amp;CHAR(10)&amp;'Ingest Template'!Y376
)</f>
        <v>#N/A</v>
      </c>
      <c r="X376" s="74" t="str">
        <f>'Ingest Template'!Z376</f>
        <v/>
      </c>
      <c r="Y376" s="35" t="str">
        <f>SUBSTITUTE(SUBSTITUTE(SUBSTITUTE('Ingest Template'!AA376,"http:",""),"https:",""),"/","")</f>
        <v/>
      </c>
      <c r="Z376" s="35" t="str">
        <f t="array" ref="Z376">IF('Ingest Template'!A376="Standard",(IF(ISBLANK('Ingest Template'!AB376),"", 'Ingest Template'!AB376&amp;"|DAR")),(IF(ISBLANK('Ingest Template'!AB376),"", 'Ingest Template'!AB376&amp;"|TV Ops")))</f>
        <v/>
      </c>
      <c r="AA376" s="35"/>
      <c r="AB376" s="35" t="str">
        <f>'Ingest Template'!R376</f>
        <v/>
      </c>
      <c r="AC376" s="35" t="str">
        <f>'Ingest Template'!T376</f>
        <v/>
      </c>
      <c r="AD376" s="35" t="str">
        <f>'Ingest Template'!S376</f>
        <v/>
      </c>
      <c r="AE376" s="35" t="str">
        <f>'Ingest Template'!U376</f>
        <v/>
      </c>
      <c r="AF376" s="22"/>
      <c r="AG376" s="35" t="str">
        <f t="array" ref="AG376">IF('Ingest Template'!A376="Standard",(CONCATENATE(IF(ISBLANK('Ingest Template'!N376),"", 'Ingest Template'!N376&amp;"|DAR"),CHAR(10), IF(ISBLANK('Ingest Template'!O376),"", 'Ingest Template'!O376&amp;"|DAR"),CHAR(10), IF(ISBLANK('Ingest Template'!P376),"", 'Ingest Template'!P376&amp;"|DAR"))),(CONCATENATE(IF(ISBLANK('Ingest Template'!N376),"", 'Ingest Template'!N376&amp;"|TV Ops"),CHAR(10), IF(ISBLANK('Ingest Template'!O376),"", 'Ingest Template'!O376&amp;"|TV Ops"),CHAR(10), IF(ISBLANK('Ingest Template'!P376),"", 'Ingest Template'!P376&amp;"|TV Ops"))))</f>
        <v>
</v>
      </c>
      <c r="AH376" s="35"/>
      <c r="AI376" s="35"/>
      <c r="AJ376" s="117" t="str">
        <f>if('Ingest Template'!A376="Standard",(IF(OR('Ingest Template'!F376 = "Program Type - Special", 'Ingest Template'!F376 = "Program Type - Live Event"),'Ingest Template'!M376&amp; "|DAR|DAR|"&amp;TEXT('Ingest Template'!C376-3, "yyyy-mm-dd")&amp;"|"&amp;TEXT('Ingest Template'!C376+3, "yyyy-mm-dd"),'Ingest Template'!M376&amp; "|DAR|DAR|2021-01-01")),(IF(OR('Ingest Template'!F376 = "Program Type - Special", 'Ingest Template'!F376 = "Program Type - Live Event"),'Ingest Template'!M376&amp; "|Operations - Core Title|Operations - Core Title|"&amp;TEXT('Ingest Template'!C376-3, "yyyy-mm-dd")&amp;"|"&amp;TEXT('Ingest Template'!C376+3, "yyyy-mm-dd"),'Ingest Template'!M376&amp; "|Operations - Core Title|Operations - Core Title")))</f>
        <v>|Operations - Core Title|Operations - Core Title</v>
      </c>
      <c r="AK376" s="35"/>
      <c r="AL376" s="117" t="str">
        <f>if('Ingest Template'!A376="Standard",(IF(OR('Ingest Template'!F376 = "Program Type - Special", 'Ingest Template'!F376 = "Program Type - Live Event"),'Ingest Template'!Q376&amp;"|"&amp;TEXT('Ingest Template'!C376-3, "yyyy-mm-dd")&amp;"|"&amp;TEXT('Ingest Template'!C376+3, "yyyy-mm-dd"),'Ingest Template'!Q376&amp; "|2021-01-01")),(IF(OR('Ingest Template'!F376 = "Program Type - Special", 'Ingest Template'!F376 = "Program Type - Live Event"),'Ingest Template'!Q376&amp; "|"&amp;TEXT('Ingest Template'!C376-3, "yyyy-mm-dd")&amp;"|"&amp;TEXT('Ingest Template'!C376+3, "yyyy-mm-dd"),'Ingest Template'!Q376)))</f>
        <v/>
      </c>
      <c r="AM376" s="35" t="str">
        <f>'Ingest Template'!AC376</f>
        <v/>
      </c>
    </row>
    <row r="377">
      <c r="A377" s="15"/>
      <c r="B377" s="22" t="str">
        <f>'Ingest Template'!C377&amp;IF('Ingest Template'!A377 = "Standard", " - DAR","")</f>
        <v/>
      </c>
      <c r="C377" s="22" t="s">
        <v>83</v>
      </c>
      <c r="D377" s="22" t="str">
        <f t="array" ref="D377">CONCATENATE(INDEX(DropdownLists!$H$2:$H$11,MATCH(1,COUNTIF('Ingest Template'!E377,"*"&amp;DropdownLists!$I$2:$I$11&amp;"*"),0)),CHAR(10),'Ingest Template'!F377,CHAR(10),'Ingest Template'!G377,CHAR(10),VLOOKUP('Ingest Template'!D377,DropdownLists!C:D,2,FALSE))</f>
        <v>#N/A</v>
      </c>
      <c r="E377" s="22" t="str">
        <f>CONCATENATE('Ingest Template'!H377,CHAR(10),'Ingest Template'!I377,CHAR(10),'Ingest Template'!J377,CHAR(10))</f>
        <v>
</v>
      </c>
      <c r="F377" s="35" t="str">
        <f t="array" ref="F377">INDEX(DropdownLists!$O$2:$O$36,MATCH(1,COUNTIF(E377,"*"&amp;DropdownLists!$N$2:$N$36&amp;"*"),0))</f>
        <v/>
      </c>
      <c r="G377" s="35"/>
      <c r="H377" s="22" t="str">
        <f t="array" ref="H377">INDEX(DropdownLists!$E$2:$E$276,MATCH('Ingest Template'!D377,DropdownLists!$C$2:$C$276,0))</f>
        <v>#N/A</v>
      </c>
      <c r="I377" s="22"/>
      <c r="J377" s="22" t="str">
        <f t="array" ref="J377">iF('Ingest Template'!A377="Standard","Pristine Brand",INDEX(DropdownLists!$B$2:$B$246,MATCH('Ingest Template'!D377,DropdownLists!$C$2:$C$246,0)))</f>
        <v>#N/A</v>
      </c>
      <c r="K377" s="22" t="str">
        <f>iF('Ingest Template'!A377="Standard",'Ingest Template'!K377&amp;CHAR(10)&amp;'Ingest Template'!L377,"Competitive View")</f>
        <v>Competitive View</v>
      </c>
      <c r="L377" s="22" t="s">
        <v>95</v>
      </c>
      <c r="M377" s="45" t="str">
        <f>'Ingest Template'!B377</f>
        <v/>
      </c>
      <c r="N377" s="35"/>
      <c r="O377" s="35"/>
      <c r="P377" s="35"/>
      <c r="Q377" s="35"/>
      <c r="R377" s="35" t="str">
        <f>'Ingest Template'!D377</f>
        <v/>
      </c>
      <c r="S377" s="22" t="s">
        <v>101</v>
      </c>
      <c r="T377" s="35" t="str">
        <f>'Ingest Template'!V377</f>
        <v/>
      </c>
      <c r="U377" s="35" t="str">
        <f>'Ingest Template'!W377</f>
        <v/>
      </c>
      <c r="V377" s="35" t="str">
        <f>LOWER(SUBSTITUTE(SUBSTITUTE(SUBSTITUTE(SUBSTITUTE(SUBSTITUTE('Ingest Template'!X377,"https:",""),"www.",""),"/",""),"?hl=en",""),"instagram.com",""))</f>
        <v/>
      </c>
      <c r="W377" s="74" t="str">
        <f t="array" ref="W377">IF(
'Ingest Template'!Y377="",
SUBSTITUTE(
INDEX(DropdownLists!$F$2:$F$277,MATCH('Ingest Template'!D377,DropdownLists!$C$2:$C$277,0)),
CHAR(10),
"|"&amp;'Ingest Template'!C377&amp;CHAR(10)
)&amp;"|"&amp;'Ingest Template'!C377,
SUBSTITUTE(
INDEX(DropdownLists!$F$2:$F$277,MATCH('Ingest Template'!D377,DropdownLists!$C$2:$C$277,0)),
CHAR(10),
"|"&amp;'Ingest Template'!C377&amp;CHAR(10)
)&amp;"|"&amp;'Ingest Template'!C377&amp;CHAR(10)&amp;'Ingest Template'!Y377
)</f>
        <v>#N/A</v>
      </c>
      <c r="X377" s="74" t="str">
        <f>'Ingest Template'!Z377</f>
        <v/>
      </c>
      <c r="Y377" s="35" t="str">
        <f>SUBSTITUTE(SUBSTITUTE(SUBSTITUTE('Ingest Template'!AA377,"http:",""),"https:",""),"/","")</f>
        <v/>
      </c>
      <c r="Z377" s="35" t="str">
        <f t="array" ref="Z377">IF('Ingest Template'!A377="Standard",(IF(ISBLANK('Ingest Template'!AB377),"", 'Ingest Template'!AB377&amp;"|DAR")),(IF(ISBLANK('Ingest Template'!AB377),"", 'Ingest Template'!AB377&amp;"|TV Ops")))</f>
        <v/>
      </c>
      <c r="AA377" s="35"/>
      <c r="AB377" s="35" t="str">
        <f>'Ingest Template'!R377</f>
        <v/>
      </c>
      <c r="AC377" s="35" t="str">
        <f>'Ingest Template'!T377</f>
        <v/>
      </c>
      <c r="AD377" s="35" t="str">
        <f>'Ingest Template'!S377</f>
        <v/>
      </c>
      <c r="AE377" s="35" t="str">
        <f>'Ingest Template'!U377</f>
        <v/>
      </c>
      <c r="AF377" s="22"/>
      <c r="AG377" s="35" t="str">
        <f t="array" ref="AG377">IF('Ingest Template'!A377="Standard",(CONCATENATE(IF(ISBLANK('Ingest Template'!N377),"", 'Ingest Template'!N377&amp;"|DAR"),CHAR(10), IF(ISBLANK('Ingest Template'!O377),"", 'Ingest Template'!O377&amp;"|DAR"),CHAR(10), IF(ISBLANK('Ingest Template'!P377),"", 'Ingest Template'!P377&amp;"|DAR"))),(CONCATENATE(IF(ISBLANK('Ingest Template'!N377),"", 'Ingest Template'!N377&amp;"|TV Ops"),CHAR(10), IF(ISBLANK('Ingest Template'!O377),"", 'Ingest Template'!O377&amp;"|TV Ops"),CHAR(10), IF(ISBLANK('Ingest Template'!P377),"", 'Ingest Template'!P377&amp;"|TV Ops"))))</f>
        <v>
</v>
      </c>
      <c r="AH377" s="35"/>
      <c r="AI377" s="35"/>
      <c r="AJ377" s="117" t="str">
        <f>if('Ingest Template'!A377="Standard",(IF(OR('Ingest Template'!F377 = "Program Type - Special", 'Ingest Template'!F377 = "Program Type - Live Event"),'Ingest Template'!M377&amp; "|DAR|DAR|"&amp;TEXT('Ingest Template'!C377-3, "yyyy-mm-dd")&amp;"|"&amp;TEXT('Ingest Template'!C377+3, "yyyy-mm-dd"),'Ingest Template'!M377&amp; "|DAR|DAR|2021-01-01")),(IF(OR('Ingest Template'!F377 = "Program Type - Special", 'Ingest Template'!F377 = "Program Type - Live Event"),'Ingest Template'!M377&amp; "|Operations - Core Title|Operations - Core Title|"&amp;TEXT('Ingest Template'!C377-3, "yyyy-mm-dd")&amp;"|"&amp;TEXT('Ingest Template'!C377+3, "yyyy-mm-dd"),'Ingest Template'!M377&amp; "|Operations - Core Title|Operations - Core Title")))</f>
        <v>|Operations - Core Title|Operations - Core Title</v>
      </c>
      <c r="AK377" s="35"/>
      <c r="AL377" s="117" t="str">
        <f>if('Ingest Template'!A377="Standard",(IF(OR('Ingest Template'!F377 = "Program Type - Special", 'Ingest Template'!F377 = "Program Type - Live Event"),'Ingest Template'!Q377&amp;"|"&amp;TEXT('Ingest Template'!C377-3, "yyyy-mm-dd")&amp;"|"&amp;TEXT('Ingest Template'!C377+3, "yyyy-mm-dd"),'Ingest Template'!Q377&amp; "|2021-01-01")),(IF(OR('Ingest Template'!F377 = "Program Type - Special", 'Ingest Template'!F377 = "Program Type - Live Event"),'Ingest Template'!Q377&amp; "|"&amp;TEXT('Ingest Template'!C377-3, "yyyy-mm-dd")&amp;"|"&amp;TEXT('Ingest Template'!C377+3, "yyyy-mm-dd"),'Ingest Template'!Q377)))</f>
        <v/>
      </c>
      <c r="AM377" s="35" t="str">
        <f>'Ingest Template'!AC377</f>
        <v/>
      </c>
    </row>
    <row r="378">
      <c r="A378" s="15"/>
      <c r="B378" s="22" t="str">
        <f>'Ingest Template'!C378&amp;IF('Ingest Template'!A378 = "Standard", " - DAR","")</f>
        <v/>
      </c>
      <c r="C378" s="22" t="s">
        <v>83</v>
      </c>
      <c r="D378" s="22" t="str">
        <f t="array" ref="D378">CONCATENATE(INDEX(DropdownLists!$H$2:$H$11,MATCH(1,COUNTIF('Ingest Template'!E378,"*"&amp;DropdownLists!$I$2:$I$11&amp;"*"),0)),CHAR(10),'Ingest Template'!F378,CHAR(10),'Ingest Template'!G378,CHAR(10),VLOOKUP('Ingest Template'!D378,DropdownLists!C:D,2,FALSE))</f>
        <v>#N/A</v>
      </c>
      <c r="E378" s="22" t="str">
        <f>CONCATENATE('Ingest Template'!H378,CHAR(10),'Ingest Template'!I378,CHAR(10),'Ingest Template'!J378,CHAR(10))</f>
        <v>
</v>
      </c>
      <c r="F378" s="35" t="str">
        <f t="array" ref="F378">INDEX(DropdownLists!$O$2:$O$36,MATCH(1,COUNTIF(E378,"*"&amp;DropdownLists!$N$2:$N$36&amp;"*"),0))</f>
        <v/>
      </c>
      <c r="G378" s="35"/>
      <c r="H378" s="22" t="str">
        <f t="array" ref="H378">INDEX(DropdownLists!$E$2:$E$276,MATCH('Ingest Template'!D378,DropdownLists!$C$2:$C$276,0))</f>
        <v>#N/A</v>
      </c>
      <c r="I378" s="22"/>
      <c r="J378" s="22" t="str">
        <f t="array" ref="J378">iF('Ingest Template'!A378="Standard","Pristine Brand",INDEX(DropdownLists!$B$2:$B$246,MATCH('Ingest Template'!D378,DropdownLists!$C$2:$C$246,0)))</f>
        <v>#N/A</v>
      </c>
      <c r="K378" s="22" t="str">
        <f>iF('Ingest Template'!A378="Standard",'Ingest Template'!K378&amp;CHAR(10)&amp;'Ingest Template'!L378,"Competitive View")</f>
        <v>Competitive View</v>
      </c>
      <c r="L378" s="22" t="s">
        <v>95</v>
      </c>
      <c r="M378" s="45" t="str">
        <f>'Ingest Template'!B378</f>
        <v/>
      </c>
      <c r="N378" s="35"/>
      <c r="O378" s="35"/>
      <c r="P378" s="35"/>
      <c r="Q378" s="35"/>
      <c r="R378" s="35" t="str">
        <f>'Ingest Template'!D378</f>
        <v/>
      </c>
      <c r="S378" s="22" t="s">
        <v>101</v>
      </c>
      <c r="T378" s="35" t="str">
        <f>'Ingest Template'!V378</f>
        <v/>
      </c>
      <c r="U378" s="35" t="str">
        <f>'Ingest Template'!W378</f>
        <v/>
      </c>
      <c r="V378" s="35" t="str">
        <f>LOWER(SUBSTITUTE(SUBSTITUTE(SUBSTITUTE(SUBSTITUTE(SUBSTITUTE('Ingest Template'!X378,"https:",""),"www.",""),"/",""),"?hl=en",""),"instagram.com",""))</f>
        <v/>
      </c>
      <c r="W378" s="74" t="str">
        <f t="array" ref="W378">IF(
'Ingest Template'!Y378="",
SUBSTITUTE(
INDEX(DropdownLists!$F$2:$F$277,MATCH('Ingest Template'!D378,DropdownLists!$C$2:$C$277,0)),
CHAR(10),
"|"&amp;'Ingest Template'!C378&amp;CHAR(10)
)&amp;"|"&amp;'Ingest Template'!C378,
SUBSTITUTE(
INDEX(DropdownLists!$F$2:$F$277,MATCH('Ingest Template'!D378,DropdownLists!$C$2:$C$277,0)),
CHAR(10),
"|"&amp;'Ingest Template'!C378&amp;CHAR(10)
)&amp;"|"&amp;'Ingest Template'!C378&amp;CHAR(10)&amp;'Ingest Template'!Y378
)</f>
        <v>#N/A</v>
      </c>
      <c r="X378" s="74" t="str">
        <f>'Ingest Template'!Z378</f>
        <v/>
      </c>
      <c r="Y378" s="35" t="str">
        <f>SUBSTITUTE(SUBSTITUTE(SUBSTITUTE('Ingest Template'!AA378,"http:",""),"https:",""),"/","")</f>
        <v/>
      </c>
      <c r="Z378" s="35" t="str">
        <f t="array" ref="Z378">IF('Ingest Template'!A378="Standard",(IF(ISBLANK('Ingest Template'!AB378),"", 'Ingest Template'!AB378&amp;"|DAR")),(IF(ISBLANK('Ingest Template'!AB378),"", 'Ingest Template'!AB378&amp;"|TV Ops")))</f>
        <v/>
      </c>
      <c r="AA378" s="35"/>
      <c r="AB378" s="35" t="str">
        <f>'Ingest Template'!R378</f>
        <v/>
      </c>
      <c r="AC378" s="35" t="str">
        <f>'Ingest Template'!T378</f>
        <v/>
      </c>
      <c r="AD378" s="35" t="str">
        <f>'Ingest Template'!S378</f>
        <v/>
      </c>
      <c r="AE378" s="35" t="str">
        <f>'Ingest Template'!U378</f>
        <v/>
      </c>
      <c r="AF378" s="22"/>
      <c r="AG378" s="35" t="str">
        <f t="array" ref="AG378">IF('Ingest Template'!A378="Standard",(CONCATENATE(IF(ISBLANK('Ingest Template'!N378),"", 'Ingest Template'!N378&amp;"|DAR"),CHAR(10), IF(ISBLANK('Ingest Template'!O378),"", 'Ingest Template'!O378&amp;"|DAR"),CHAR(10), IF(ISBLANK('Ingest Template'!P378),"", 'Ingest Template'!P378&amp;"|DAR"))),(CONCATENATE(IF(ISBLANK('Ingest Template'!N378),"", 'Ingest Template'!N378&amp;"|TV Ops"),CHAR(10), IF(ISBLANK('Ingest Template'!O378),"", 'Ingest Template'!O378&amp;"|TV Ops"),CHAR(10), IF(ISBLANK('Ingest Template'!P378),"", 'Ingest Template'!P378&amp;"|TV Ops"))))</f>
        <v>
</v>
      </c>
      <c r="AH378" s="35"/>
      <c r="AI378" s="35"/>
      <c r="AJ378" s="117" t="str">
        <f>if('Ingest Template'!A378="Standard",(IF(OR('Ingest Template'!F378 = "Program Type - Special", 'Ingest Template'!F378 = "Program Type - Live Event"),'Ingest Template'!M378&amp; "|DAR|DAR|"&amp;TEXT('Ingest Template'!C378-3, "yyyy-mm-dd")&amp;"|"&amp;TEXT('Ingest Template'!C378+3, "yyyy-mm-dd"),'Ingest Template'!M378&amp; "|DAR|DAR|2021-01-01")),(IF(OR('Ingest Template'!F378 = "Program Type - Special", 'Ingest Template'!F378 = "Program Type - Live Event"),'Ingest Template'!M378&amp; "|Operations - Core Title|Operations - Core Title|"&amp;TEXT('Ingest Template'!C378-3, "yyyy-mm-dd")&amp;"|"&amp;TEXT('Ingest Template'!C378+3, "yyyy-mm-dd"),'Ingest Template'!M378&amp; "|Operations - Core Title|Operations - Core Title")))</f>
        <v>|Operations - Core Title|Operations - Core Title</v>
      </c>
      <c r="AK378" s="35"/>
      <c r="AL378" s="117" t="str">
        <f>if('Ingest Template'!A378="Standard",(IF(OR('Ingest Template'!F378 = "Program Type - Special", 'Ingest Template'!F378 = "Program Type - Live Event"),'Ingest Template'!Q378&amp;"|"&amp;TEXT('Ingest Template'!C378-3, "yyyy-mm-dd")&amp;"|"&amp;TEXT('Ingest Template'!C378+3, "yyyy-mm-dd"),'Ingest Template'!Q378&amp; "|2021-01-01")),(IF(OR('Ingest Template'!F378 = "Program Type - Special", 'Ingest Template'!F378 = "Program Type - Live Event"),'Ingest Template'!Q378&amp; "|"&amp;TEXT('Ingest Template'!C378-3, "yyyy-mm-dd")&amp;"|"&amp;TEXT('Ingest Template'!C378+3, "yyyy-mm-dd"),'Ingest Template'!Q378)))</f>
        <v/>
      </c>
      <c r="AM378" s="35" t="str">
        <f>'Ingest Template'!AC378</f>
        <v/>
      </c>
    </row>
    <row r="379">
      <c r="A379" s="15"/>
      <c r="B379" s="22" t="str">
        <f>'Ingest Template'!C379&amp;IF('Ingest Template'!A379 = "Standard", " - DAR","")</f>
        <v/>
      </c>
      <c r="C379" s="22" t="s">
        <v>83</v>
      </c>
      <c r="D379" s="22" t="str">
        <f t="array" ref="D379">CONCATENATE(INDEX(DropdownLists!$H$2:$H$11,MATCH(1,COUNTIF('Ingest Template'!E379,"*"&amp;DropdownLists!$I$2:$I$11&amp;"*"),0)),CHAR(10),'Ingest Template'!F379,CHAR(10),'Ingest Template'!G379,CHAR(10),VLOOKUP('Ingest Template'!D379,DropdownLists!C:D,2,FALSE))</f>
        <v>#N/A</v>
      </c>
      <c r="E379" s="22" t="str">
        <f>CONCATENATE('Ingest Template'!H379,CHAR(10),'Ingest Template'!I379,CHAR(10),'Ingest Template'!J379,CHAR(10))</f>
        <v>
</v>
      </c>
      <c r="F379" s="35" t="str">
        <f t="array" ref="F379">INDEX(DropdownLists!$O$2:$O$36,MATCH(1,COUNTIF(E379,"*"&amp;DropdownLists!$N$2:$N$36&amp;"*"),0))</f>
        <v/>
      </c>
      <c r="G379" s="35"/>
      <c r="H379" s="22" t="str">
        <f t="array" ref="H379">INDEX(DropdownLists!$E$2:$E$276,MATCH('Ingest Template'!D379,DropdownLists!$C$2:$C$276,0))</f>
        <v>#N/A</v>
      </c>
      <c r="I379" s="22"/>
      <c r="J379" s="22" t="str">
        <f t="array" ref="J379">iF('Ingest Template'!A379="Standard","Pristine Brand",INDEX(DropdownLists!$B$2:$B$246,MATCH('Ingest Template'!D379,DropdownLists!$C$2:$C$246,0)))</f>
        <v>#N/A</v>
      </c>
      <c r="K379" s="22" t="str">
        <f>iF('Ingest Template'!A379="Standard",'Ingest Template'!K379&amp;CHAR(10)&amp;'Ingest Template'!L379,"Competitive View")</f>
        <v>Competitive View</v>
      </c>
      <c r="L379" s="22" t="s">
        <v>95</v>
      </c>
      <c r="M379" s="45" t="str">
        <f>'Ingest Template'!B379</f>
        <v/>
      </c>
      <c r="N379" s="35"/>
      <c r="O379" s="35"/>
      <c r="P379" s="35"/>
      <c r="Q379" s="35"/>
      <c r="R379" s="35" t="str">
        <f>'Ingest Template'!D379</f>
        <v/>
      </c>
      <c r="S379" s="22" t="s">
        <v>101</v>
      </c>
      <c r="T379" s="35" t="str">
        <f>'Ingest Template'!V379</f>
        <v/>
      </c>
      <c r="U379" s="35" t="str">
        <f>'Ingest Template'!W379</f>
        <v/>
      </c>
      <c r="V379" s="35" t="str">
        <f>LOWER(SUBSTITUTE(SUBSTITUTE(SUBSTITUTE(SUBSTITUTE(SUBSTITUTE('Ingest Template'!X379,"https:",""),"www.",""),"/",""),"?hl=en",""),"instagram.com",""))</f>
        <v/>
      </c>
      <c r="W379" s="74" t="str">
        <f t="array" ref="W379">IF(
'Ingest Template'!Y379="",
SUBSTITUTE(
INDEX(DropdownLists!$F$2:$F$277,MATCH('Ingest Template'!D379,DropdownLists!$C$2:$C$277,0)),
CHAR(10),
"|"&amp;'Ingest Template'!C379&amp;CHAR(10)
)&amp;"|"&amp;'Ingest Template'!C379,
SUBSTITUTE(
INDEX(DropdownLists!$F$2:$F$277,MATCH('Ingest Template'!D379,DropdownLists!$C$2:$C$277,0)),
CHAR(10),
"|"&amp;'Ingest Template'!C379&amp;CHAR(10)
)&amp;"|"&amp;'Ingest Template'!C379&amp;CHAR(10)&amp;'Ingest Template'!Y379
)</f>
        <v>#N/A</v>
      </c>
      <c r="X379" s="74" t="str">
        <f>'Ingest Template'!Z379</f>
        <v/>
      </c>
      <c r="Y379" s="35" t="str">
        <f>SUBSTITUTE(SUBSTITUTE(SUBSTITUTE('Ingest Template'!AA379,"http:",""),"https:",""),"/","")</f>
        <v/>
      </c>
      <c r="Z379" s="35" t="str">
        <f t="array" ref="Z379">IF('Ingest Template'!A379="Standard",(IF(ISBLANK('Ingest Template'!AB379),"", 'Ingest Template'!AB379&amp;"|DAR")),(IF(ISBLANK('Ingest Template'!AB379),"", 'Ingest Template'!AB379&amp;"|TV Ops")))</f>
        <v/>
      </c>
      <c r="AA379" s="35"/>
      <c r="AB379" s="35" t="str">
        <f>'Ingest Template'!R379</f>
        <v/>
      </c>
      <c r="AC379" s="35" t="str">
        <f>'Ingest Template'!T379</f>
        <v/>
      </c>
      <c r="AD379" s="35" t="str">
        <f>'Ingest Template'!S379</f>
        <v/>
      </c>
      <c r="AE379" s="35" t="str">
        <f>'Ingest Template'!U379</f>
        <v/>
      </c>
      <c r="AF379" s="22"/>
      <c r="AG379" s="35" t="str">
        <f t="array" ref="AG379">IF('Ingest Template'!A379="Standard",(CONCATENATE(IF(ISBLANK('Ingest Template'!N379),"", 'Ingest Template'!N379&amp;"|DAR"),CHAR(10), IF(ISBLANK('Ingest Template'!O379),"", 'Ingest Template'!O379&amp;"|DAR"),CHAR(10), IF(ISBLANK('Ingest Template'!P379),"", 'Ingest Template'!P379&amp;"|DAR"))),(CONCATENATE(IF(ISBLANK('Ingest Template'!N379),"", 'Ingest Template'!N379&amp;"|TV Ops"),CHAR(10), IF(ISBLANK('Ingest Template'!O379),"", 'Ingest Template'!O379&amp;"|TV Ops"),CHAR(10), IF(ISBLANK('Ingest Template'!P379),"", 'Ingest Template'!P379&amp;"|TV Ops"))))</f>
        <v>
</v>
      </c>
      <c r="AH379" s="35"/>
      <c r="AI379" s="35"/>
      <c r="AJ379" s="117" t="str">
        <f>if('Ingest Template'!A379="Standard",(IF(OR('Ingest Template'!F379 = "Program Type - Special", 'Ingest Template'!F379 = "Program Type - Live Event"),'Ingest Template'!M379&amp; "|DAR|DAR|"&amp;TEXT('Ingest Template'!C379-3, "yyyy-mm-dd")&amp;"|"&amp;TEXT('Ingest Template'!C379+3, "yyyy-mm-dd"),'Ingest Template'!M379&amp; "|DAR|DAR|2021-01-01")),(IF(OR('Ingest Template'!F379 = "Program Type - Special", 'Ingest Template'!F379 = "Program Type - Live Event"),'Ingest Template'!M379&amp; "|Operations - Core Title|Operations - Core Title|"&amp;TEXT('Ingest Template'!C379-3, "yyyy-mm-dd")&amp;"|"&amp;TEXT('Ingest Template'!C379+3, "yyyy-mm-dd"),'Ingest Template'!M379&amp; "|Operations - Core Title|Operations - Core Title")))</f>
        <v>|Operations - Core Title|Operations - Core Title</v>
      </c>
      <c r="AK379" s="35"/>
      <c r="AL379" s="117" t="str">
        <f>if('Ingest Template'!A379="Standard",(IF(OR('Ingest Template'!F379 = "Program Type - Special", 'Ingest Template'!F379 = "Program Type - Live Event"),'Ingest Template'!Q379&amp;"|"&amp;TEXT('Ingest Template'!C379-3, "yyyy-mm-dd")&amp;"|"&amp;TEXT('Ingest Template'!C379+3, "yyyy-mm-dd"),'Ingest Template'!Q379&amp; "|2021-01-01")),(IF(OR('Ingest Template'!F379 = "Program Type - Special", 'Ingest Template'!F379 = "Program Type - Live Event"),'Ingest Template'!Q379&amp; "|"&amp;TEXT('Ingest Template'!C379-3, "yyyy-mm-dd")&amp;"|"&amp;TEXT('Ingest Template'!C379+3, "yyyy-mm-dd"),'Ingest Template'!Q379)))</f>
        <v/>
      </c>
      <c r="AM379" s="35" t="str">
        <f>'Ingest Template'!AC379</f>
        <v/>
      </c>
    </row>
    <row r="380">
      <c r="A380" s="15"/>
      <c r="B380" s="22" t="str">
        <f>'Ingest Template'!C380&amp;IF('Ingest Template'!A380 = "Standard", " - DAR","")</f>
        <v/>
      </c>
      <c r="C380" s="22" t="s">
        <v>83</v>
      </c>
      <c r="D380" s="22" t="str">
        <f t="array" ref="D380">CONCATENATE(INDEX(DropdownLists!$H$2:$H$11,MATCH(1,COUNTIF('Ingest Template'!E380,"*"&amp;DropdownLists!$I$2:$I$11&amp;"*"),0)),CHAR(10),'Ingest Template'!F380,CHAR(10),'Ingest Template'!G380,CHAR(10),VLOOKUP('Ingest Template'!D380,DropdownLists!C:D,2,FALSE))</f>
        <v>#N/A</v>
      </c>
      <c r="E380" s="22" t="str">
        <f>CONCATENATE('Ingest Template'!H380,CHAR(10),'Ingest Template'!I380,CHAR(10),'Ingest Template'!J380,CHAR(10))</f>
        <v>
</v>
      </c>
      <c r="F380" s="35" t="str">
        <f t="array" ref="F380">INDEX(DropdownLists!$O$2:$O$36,MATCH(1,COUNTIF(E380,"*"&amp;DropdownLists!$N$2:$N$36&amp;"*"),0))</f>
        <v/>
      </c>
      <c r="G380" s="35"/>
      <c r="H380" s="22" t="str">
        <f t="array" ref="H380">INDEX(DropdownLists!$E$2:$E$276,MATCH('Ingest Template'!D380,DropdownLists!$C$2:$C$276,0))</f>
        <v>#N/A</v>
      </c>
      <c r="I380" s="22"/>
      <c r="J380" s="22" t="str">
        <f t="array" ref="J380">iF('Ingest Template'!A380="Standard","Pristine Brand",INDEX(DropdownLists!$B$2:$B$246,MATCH('Ingest Template'!D380,DropdownLists!$C$2:$C$246,0)))</f>
        <v>#N/A</v>
      </c>
      <c r="K380" s="22" t="str">
        <f>iF('Ingest Template'!A380="Standard",'Ingest Template'!K380&amp;CHAR(10)&amp;'Ingest Template'!L380,"Competitive View")</f>
        <v>Competitive View</v>
      </c>
      <c r="L380" s="22" t="s">
        <v>95</v>
      </c>
      <c r="M380" s="45" t="str">
        <f>'Ingest Template'!B380</f>
        <v/>
      </c>
      <c r="N380" s="35"/>
      <c r="O380" s="35"/>
      <c r="P380" s="35"/>
      <c r="Q380" s="35"/>
      <c r="R380" s="35" t="str">
        <f>'Ingest Template'!D380</f>
        <v/>
      </c>
      <c r="S380" s="22" t="s">
        <v>101</v>
      </c>
      <c r="T380" s="35" t="str">
        <f>'Ingest Template'!V380</f>
        <v/>
      </c>
      <c r="U380" s="35" t="str">
        <f>'Ingest Template'!W380</f>
        <v/>
      </c>
      <c r="V380" s="35" t="str">
        <f>LOWER(SUBSTITUTE(SUBSTITUTE(SUBSTITUTE(SUBSTITUTE(SUBSTITUTE('Ingest Template'!X380,"https:",""),"www.",""),"/",""),"?hl=en",""),"instagram.com",""))</f>
        <v/>
      </c>
      <c r="W380" s="74" t="str">
        <f t="array" ref="W380">IF(
'Ingest Template'!Y380="",
SUBSTITUTE(
INDEX(DropdownLists!$F$2:$F$277,MATCH('Ingest Template'!D380,DropdownLists!$C$2:$C$277,0)),
CHAR(10),
"|"&amp;'Ingest Template'!C380&amp;CHAR(10)
)&amp;"|"&amp;'Ingest Template'!C380,
SUBSTITUTE(
INDEX(DropdownLists!$F$2:$F$277,MATCH('Ingest Template'!D380,DropdownLists!$C$2:$C$277,0)),
CHAR(10),
"|"&amp;'Ingest Template'!C380&amp;CHAR(10)
)&amp;"|"&amp;'Ingest Template'!C380&amp;CHAR(10)&amp;'Ingest Template'!Y380
)</f>
        <v>#N/A</v>
      </c>
      <c r="X380" s="74" t="str">
        <f>'Ingest Template'!Z380</f>
        <v/>
      </c>
      <c r="Y380" s="35" t="str">
        <f>SUBSTITUTE(SUBSTITUTE(SUBSTITUTE('Ingest Template'!AA380,"http:",""),"https:",""),"/","")</f>
        <v/>
      </c>
      <c r="Z380" s="35" t="str">
        <f t="array" ref="Z380">IF('Ingest Template'!A380="Standard",(IF(ISBLANK('Ingest Template'!AB380),"", 'Ingest Template'!AB380&amp;"|DAR")),(IF(ISBLANK('Ingest Template'!AB380),"", 'Ingest Template'!AB380&amp;"|TV Ops")))</f>
        <v/>
      </c>
      <c r="AA380" s="35"/>
      <c r="AB380" s="35" t="str">
        <f>'Ingest Template'!R380</f>
        <v/>
      </c>
      <c r="AC380" s="35" t="str">
        <f>'Ingest Template'!T380</f>
        <v/>
      </c>
      <c r="AD380" s="35" t="str">
        <f>'Ingest Template'!S380</f>
        <v/>
      </c>
      <c r="AE380" s="35" t="str">
        <f>'Ingest Template'!U380</f>
        <v/>
      </c>
      <c r="AF380" s="22"/>
      <c r="AG380" s="35" t="str">
        <f t="array" ref="AG380">IF('Ingest Template'!A380="Standard",(CONCATENATE(IF(ISBLANK('Ingest Template'!N380),"", 'Ingest Template'!N380&amp;"|DAR"),CHAR(10), IF(ISBLANK('Ingest Template'!O380),"", 'Ingest Template'!O380&amp;"|DAR"),CHAR(10), IF(ISBLANK('Ingest Template'!P380),"", 'Ingest Template'!P380&amp;"|DAR"))),(CONCATENATE(IF(ISBLANK('Ingest Template'!N380),"", 'Ingest Template'!N380&amp;"|TV Ops"),CHAR(10), IF(ISBLANK('Ingest Template'!O380),"", 'Ingest Template'!O380&amp;"|TV Ops"),CHAR(10), IF(ISBLANK('Ingest Template'!P380),"", 'Ingest Template'!P380&amp;"|TV Ops"))))</f>
        <v>
</v>
      </c>
      <c r="AH380" s="35"/>
      <c r="AI380" s="35"/>
      <c r="AJ380" s="117" t="str">
        <f>if('Ingest Template'!A380="Standard",(IF(OR('Ingest Template'!F380 = "Program Type - Special", 'Ingest Template'!F380 = "Program Type - Live Event"),'Ingest Template'!M380&amp; "|DAR|DAR|"&amp;TEXT('Ingest Template'!C380-3, "yyyy-mm-dd")&amp;"|"&amp;TEXT('Ingest Template'!C380+3, "yyyy-mm-dd"),'Ingest Template'!M380&amp; "|DAR|DAR|2021-01-01")),(IF(OR('Ingest Template'!F380 = "Program Type - Special", 'Ingest Template'!F380 = "Program Type - Live Event"),'Ingest Template'!M380&amp; "|Operations - Core Title|Operations - Core Title|"&amp;TEXT('Ingest Template'!C380-3, "yyyy-mm-dd")&amp;"|"&amp;TEXT('Ingest Template'!C380+3, "yyyy-mm-dd"),'Ingest Template'!M380&amp; "|Operations - Core Title|Operations - Core Title")))</f>
        <v>|Operations - Core Title|Operations - Core Title</v>
      </c>
      <c r="AK380" s="35"/>
      <c r="AL380" s="117" t="str">
        <f>if('Ingest Template'!A380="Standard",(IF(OR('Ingest Template'!F380 = "Program Type - Special", 'Ingest Template'!F380 = "Program Type - Live Event"),'Ingest Template'!Q380&amp;"|"&amp;TEXT('Ingest Template'!C380-3, "yyyy-mm-dd")&amp;"|"&amp;TEXT('Ingest Template'!C380+3, "yyyy-mm-dd"),'Ingest Template'!Q380&amp; "|2021-01-01")),(IF(OR('Ingest Template'!F380 = "Program Type - Special", 'Ingest Template'!F380 = "Program Type - Live Event"),'Ingest Template'!Q380&amp; "|"&amp;TEXT('Ingest Template'!C380-3, "yyyy-mm-dd")&amp;"|"&amp;TEXT('Ingest Template'!C380+3, "yyyy-mm-dd"),'Ingest Template'!Q380)))</f>
        <v/>
      </c>
      <c r="AM380" s="35" t="str">
        <f>'Ingest Template'!AC380</f>
        <v/>
      </c>
    </row>
    <row r="381">
      <c r="A381" s="15"/>
      <c r="B381" s="22" t="str">
        <f>'Ingest Template'!C381&amp;IF('Ingest Template'!A381 = "Standard", " - DAR","")</f>
        <v/>
      </c>
      <c r="C381" s="22" t="s">
        <v>83</v>
      </c>
      <c r="D381" s="22" t="str">
        <f t="array" ref="D381">CONCATENATE(INDEX(DropdownLists!$H$2:$H$11,MATCH(1,COUNTIF('Ingest Template'!E381,"*"&amp;DropdownLists!$I$2:$I$11&amp;"*"),0)),CHAR(10),'Ingest Template'!F381,CHAR(10),'Ingest Template'!G381,CHAR(10),VLOOKUP('Ingest Template'!D381,DropdownLists!C:D,2,FALSE))</f>
        <v>#N/A</v>
      </c>
      <c r="E381" s="22" t="str">
        <f>CONCATENATE('Ingest Template'!H381,CHAR(10),'Ingest Template'!I381,CHAR(10),'Ingest Template'!J381,CHAR(10))</f>
        <v>
</v>
      </c>
      <c r="F381" s="35" t="str">
        <f t="array" ref="F381">INDEX(DropdownLists!$O$2:$O$36,MATCH(1,COUNTIF(E381,"*"&amp;DropdownLists!$N$2:$N$36&amp;"*"),0))</f>
        <v/>
      </c>
      <c r="G381" s="35"/>
      <c r="H381" s="22" t="str">
        <f t="array" ref="H381">INDEX(DropdownLists!$E$2:$E$276,MATCH('Ingest Template'!D381,DropdownLists!$C$2:$C$276,0))</f>
        <v>#N/A</v>
      </c>
      <c r="I381" s="22"/>
      <c r="J381" s="22" t="str">
        <f t="array" ref="J381">iF('Ingest Template'!A381="Standard","Pristine Brand",INDEX(DropdownLists!$B$2:$B$246,MATCH('Ingest Template'!D381,DropdownLists!$C$2:$C$246,0)))</f>
        <v>#N/A</v>
      </c>
      <c r="K381" s="22" t="str">
        <f>iF('Ingest Template'!A381="Standard",'Ingest Template'!K381&amp;CHAR(10)&amp;'Ingest Template'!L381,"Competitive View")</f>
        <v>Competitive View</v>
      </c>
      <c r="L381" s="22" t="s">
        <v>95</v>
      </c>
      <c r="M381" s="45" t="str">
        <f>'Ingest Template'!B381</f>
        <v/>
      </c>
      <c r="N381" s="35"/>
      <c r="O381" s="35"/>
      <c r="P381" s="35"/>
      <c r="Q381" s="35"/>
      <c r="R381" s="35" t="str">
        <f>'Ingest Template'!D381</f>
        <v/>
      </c>
      <c r="S381" s="22" t="s">
        <v>101</v>
      </c>
      <c r="T381" s="35" t="str">
        <f>'Ingest Template'!V381</f>
        <v/>
      </c>
      <c r="U381" s="35" t="str">
        <f>'Ingest Template'!W381</f>
        <v/>
      </c>
      <c r="V381" s="35" t="str">
        <f>LOWER(SUBSTITUTE(SUBSTITUTE(SUBSTITUTE(SUBSTITUTE(SUBSTITUTE('Ingest Template'!X381,"https:",""),"www.",""),"/",""),"?hl=en",""),"instagram.com",""))</f>
        <v/>
      </c>
      <c r="W381" s="74" t="str">
        <f t="array" ref="W381">IF(
'Ingest Template'!Y381="",
SUBSTITUTE(
INDEX(DropdownLists!$F$2:$F$277,MATCH('Ingest Template'!D381,DropdownLists!$C$2:$C$277,0)),
CHAR(10),
"|"&amp;'Ingest Template'!C381&amp;CHAR(10)
)&amp;"|"&amp;'Ingest Template'!C381,
SUBSTITUTE(
INDEX(DropdownLists!$F$2:$F$277,MATCH('Ingest Template'!D381,DropdownLists!$C$2:$C$277,0)),
CHAR(10),
"|"&amp;'Ingest Template'!C381&amp;CHAR(10)
)&amp;"|"&amp;'Ingest Template'!C381&amp;CHAR(10)&amp;'Ingest Template'!Y381
)</f>
        <v>#N/A</v>
      </c>
      <c r="X381" s="74" t="str">
        <f>'Ingest Template'!Z381</f>
        <v/>
      </c>
      <c r="Y381" s="35" t="str">
        <f>SUBSTITUTE(SUBSTITUTE(SUBSTITUTE('Ingest Template'!AA381,"http:",""),"https:",""),"/","")</f>
        <v/>
      </c>
      <c r="Z381" s="35" t="str">
        <f t="array" ref="Z381">IF('Ingest Template'!A381="Standard",(IF(ISBLANK('Ingest Template'!AB381),"", 'Ingest Template'!AB381&amp;"|DAR")),(IF(ISBLANK('Ingest Template'!AB381),"", 'Ingest Template'!AB381&amp;"|TV Ops")))</f>
        <v/>
      </c>
      <c r="AA381" s="35"/>
      <c r="AB381" s="35" t="str">
        <f>'Ingest Template'!R381</f>
        <v/>
      </c>
      <c r="AC381" s="35" t="str">
        <f>'Ingest Template'!T381</f>
        <v/>
      </c>
      <c r="AD381" s="35" t="str">
        <f>'Ingest Template'!S381</f>
        <v/>
      </c>
      <c r="AE381" s="35" t="str">
        <f>'Ingest Template'!U381</f>
        <v/>
      </c>
      <c r="AF381" s="22"/>
      <c r="AG381" s="35" t="str">
        <f t="array" ref="AG381">IF('Ingest Template'!A381="Standard",(CONCATENATE(IF(ISBLANK('Ingest Template'!N381),"", 'Ingest Template'!N381&amp;"|DAR"),CHAR(10), IF(ISBLANK('Ingest Template'!O381),"", 'Ingest Template'!O381&amp;"|DAR"),CHAR(10), IF(ISBLANK('Ingest Template'!P381),"", 'Ingest Template'!P381&amp;"|DAR"))),(CONCATENATE(IF(ISBLANK('Ingest Template'!N381),"", 'Ingest Template'!N381&amp;"|TV Ops"),CHAR(10), IF(ISBLANK('Ingest Template'!O381),"", 'Ingest Template'!O381&amp;"|TV Ops"),CHAR(10), IF(ISBLANK('Ingest Template'!P381),"", 'Ingest Template'!P381&amp;"|TV Ops"))))</f>
        <v>
</v>
      </c>
      <c r="AH381" s="35"/>
      <c r="AI381" s="35"/>
      <c r="AJ381" s="117" t="str">
        <f>if('Ingest Template'!A381="Standard",(IF(OR('Ingest Template'!F381 = "Program Type - Special", 'Ingest Template'!F381 = "Program Type - Live Event"),'Ingest Template'!M381&amp; "|DAR|DAR|"&amp;TEXT('Ingest Template'!C381-3, "yyyy-mm-dd")&amp;"|"&amp;TEXT('Ingest Template'!C381+3, "yyyy-mm-dd"),'Ingest Template'!M381&amp; "|DAR|DAR|2021-01-01")),(IF(OR('Ingest Template'!F381 = "Program Type - Special", 'Ingest Template'!F381 = "Program Type - Live Event"),'Ingest Template'!M381&amp; "|Operations - Core Title|Operations - Core Title|"&amp;TEXT('Ingest Template'!C381-3, "yyyy-mm-dd")&amp;"|"&amp;TEXT('Ingest Template'!C381+3, "yyyy-mm-dd"),'Ingest Template'!M381&amp; "|Operations - Core Title|Operations - Core Title")))</f>
        <v>|Operations - Core Title|Operations - Core Title</v>
      </c>
      <c r="AK381" s="35"/>
      <c r="AL381" s="117" t="str">
        <f>if('Ingest Template'!A381="Standard",(IF(OR('Ingest Template'!F381 = "Program Type - Special", 'Ingest Template'!F381 = "Program Type - Live Event"),'Ingest Template'!Q381&amp;"|"&amp;TEXT('Ingest Template'!C381-3, "yyyy-mm-dd")&amp;"|"&amp;TEXT('Ingest Template'!C381+3, "yyyy-mm-dd"),'Ingest Template'!Q381&amp; "|2021-01-01")),(IF(OR('Ingest Template'!F381 = "Program Type - Special", 'Ingest Template'!F381 = "Program Type - Live Event"),'Ingest Template'!Q381&amp; "|"&amp;TEXT('Ingest Template'!C381-3, "yyyy-mm-dd")&amp;"|"&amp;TEXT('Ingest Template'!C381+3, "yyyy-mm-dd"),'Ingest Template'!Q381)))</f>
        <v/>
      </c>
      <c r="AM381" s="35" t="str">
        <f>'Ingest Template'!AC381</f>
        <v/>
      </c>
    </row>
    <row r="382">
      <c r="A382" s="15"/>
      <c r="B382" s="22" t="str">
        <f>'Ingest Template'!C382&amp;IF('Ingest Template'!A382 = "Standard", " - DAR","")</f>
        <v/>
      </c>
      <c r="C382" s="22" t="s">
        <v>83</v>
      </c>
      <c r="D382" s="22" t="str">
        <f t="array" ref="D382">CONCATENATE(INDEX(DropdownLists!$H$2:$H$11,MATCH(1,COUNTIF('Ingest Template'!E382,"*"&amp;DropdownLists!$I$2:$I$11&amp;"*"),0)),CHAR(10),'Ingest Template'!F382,CHAR(10),'Ingest Template'!G382,CHAR(10),VLOOKUP('Ingest Template'!D382,DropdownLists!C:D,2,FALSE))</f>
        <v>#N/A</v>
      </c>
      <c r="E382" s="22" t="str">
        <f>CONCATENATE('Ingest Template'!H382,CHAR(10),'Ingest Template'!I382,CHAR(10),'Ingest Template'!J382,CHAR(10))</f>
        <v>
</v>
      </c>
      <c r="F382" s="35" t="str">
        <f t="array" ref="F382">INDEX(DropdownLists!$O$2:$O$36,MATCH(1,COUNTIF(E382,"*"&amp;DropdownLists!$N$2:$N$36&amp;"*"),0))</f>
        <v/>
      </c>
      <c r="G382" s="35"/>
      <c r="H382" s="22" t="str">
        <f t="array" ref="H382">INDEX(DropdownLists!$E$2:$E$276,MATCH('Ingest Template'!D382,DropdownLists!$C$2:$C$276,0))</f>
        <v>#N/A</v>
      </c>
      <c r="I382" s="22"/>
      <c r="J382" s="22" t="str">
        <f t="array" ref="J382">iF('Ingest Template'!A382="Standard","Pristine Brand",INDEX(DropdownLists!$B$2:$B$246,MATCH('Ingest Template'!D382,DropdownLists!$C$2:$C$246,0)))</f>
        <v>#N/A</v>
      </c>
      <c r="K382" s="22" t="str">
        <f>iF('Ingest Template'!A382="Standard",'Ingest Template'!K382&amp;CHAR(10)&amp;'Ingest Template'!L382,"Competitive View")</f>
        <v>Competitive View</v>
      </c>
      <c r="L382" s="22" t="s">
        <v>95</v>
      </c>
      <c r="M382" s="45" t="str">
        <f>'Ingest Template'!B382</f>
        <v/>
      </c>
      <c r="N382" s="35"/>
      <c r="O382" s="35"/>
      <c r="P382" s="35"/>
      <c r="Q382" s="35"/>
      <c r="R382" s="35" t="str">
        <f>'Ingest Template'!D382</f>
        <v/>
      </c>
      <c r="S382" s="22" t="s">
        <v>101</v>
      </c>
      <c r="T382" s="35" t="str">
        <f>'Ingest Template'!V382</f>
        <v/>
      </c>
      <c r="U382" s="35" t="str">
        <f>'Ingest Template'!W382</f>
        <v/>
      </c>
      <c r="V382" s="35" t="str">
        <f>LOWER(SUBSTITUTE(SUBSTITUTE(SUBSTITUTE(SUBSTITUTE(SUBSTITUTE('Ingest Template'!X382,"https:",""),"www.",""),"/",""),"?hl=en",""),"instagram.com",""))</f>
        <v/>
      </c>
      <c r="W382" s="74" t="str">
        <f t="array" ref="W382">IF(
'Ingest Template'!Y382="",
SUBSTITUTE(
INDEX(DropdownLists!$F$2:$F$277,MATCH('Ingest Template'!D382,DropdownLists!$C$2:$C$277,0)),
CHAR(10),
"|"&amp;'Ingest Template'!C382&amp;CHAR(10)
)&amp;"|"&amp;'Ingest Template'!C382,
SUBSTITUTE(
INDEX(DropdownLists!$F$2:$F$277,MATCH('Ingest Template'!D382,DropdownLists!$C$2:$C$277,0)),
CHAR(10),
"|"&amp;'Ingest Template'!C382&amp;CHAR(10)
)&amp;"|"&amp;'Ingest Template'!C382&amp;CHAR(10)&amp;'Ingest Template'!Y382
)</f>
        <v>#N/A</v>
      </c>
      <c r="X382" s="74" t="str">
        <f>'Ingest Template'!Z382</f>
        <v/>
      </c>
      <c r="Y382" s="35" t="str">
        <f>SUBSTITUTE(SUBSTITUTE(SUBSTITUTE('Ingest Template'!AA382,"http:",""),"https:",""),"/","")</f>
        <v/>
      </c>
      <c r="Z382" s="35" t="str">
        <f t="array" ref="Z382">IF('Ingest Template'!A382="Standard",(IF(ISBLANK('Ingest Template'!AB382),"", 'Ingest Template'!AB382&amp;"|DAR")),(IF(ISBLANK('Ingest Template'!AB382),"", 'Ingest Template'!AB382&amp;"|TV Ops")))</f>
        <v/>
      </c>
      <c r="AA382" s="35"/>
      <c r="AB382" s="35" t="str">
        <f>'Ingest Template'!R382</f>
        <v/>
      </c>
      <c r="AC382" s="35" t="str">
        <f>'Ingest Template'!T382</f>
        <v/>
      </c>
      <c r="AD382" s="35" t="str">
        <f>'Ingest Template'!S382</f>
        <v/>
      </c>
      <c r="AE382" s="35" t="str">
        <f>'Ingest Template'!U382</f>
        <v/>
      </c>
      <c r="AF382" s="22"/>
      <c r="AG382" s="35" t="str">
        <f t="array" ref="AG382">IF('Ingest Template'!A382="Standard",(CONCATENATE(IF(ISBLANK('Ingest Template'!N382),"", 'Ingest Template'!N382&amp;"|DAR"),CHAR(10), IF(ISBLANK('Ingest Template'!O382),"", 'Ingest Template'!O382&amp;"|DAR"),CHAR(10), IF(ISBLANK('Ingest Template'!P382),"", 'Ingest Template'!P382&amp;"|DAR"))),(CONCATENATE(IF(ISBLANK('Ingest Template'!N382),"", 'Ingest Template'!N382&amp;"|TV Ops"),CHAR(10), IF(ISBLANK('Ingest Template'!O382),"", 'Ingest Template'!O382&amp;"|TV Ops"),CHAR(10), IF(ISBLANK('Ingest Template'!P382),"", 'Ingest Template'!P382&amp;"|TV Ops"))))</f>
        <v>
</v>
      </c>
      <c r="AH382" s="35"/>
      <c r="AI382" s="35"/>
      <c r="AJ382" s="117" t="str">
        <f>if('Ingest Template'!A382="Standard",(IF(OR('Ingest Template'!F382 = "Program Type - Special", 'Ingest Template'!F382 = "Program Type - Live Event"),'Ingest Template'!M382&amp; "|DAR|DAR|"&amp;TEXT('Ingest Template'!C382-3, "yyyy-mm-dd")&amp;"|"&amp;TEXT('Ingest Template'!C382+3, "yyyy-mm-dd"),'Ingest Template'!M382&amp; "|DAR|DAR|2021-01-01")),(IF(OR('Ingest Template'!F382 = "Program Type - Special", 'Ingest Template'!F382 = "Program Type - Live Event"),'Ingest Template'!M382&amp; "|Operations - Core Title|Operations - Core Title|"&amp;TEXT('Ingest Template'!C382-3, "yyyy-mm-dd")&amp;"|"&amp;TEXT('Ingest Template'!C382+3, "yyyy-mm-dd"),'Ingest Template'!M382&amp; "|Operations - Core Title|Operations - Core Title")))</f>
        <v>|Operations - Core Title|Operations - Core Title</v>
      </c>
      <c r="AK382" s="35"/>
      <c r="AL382" s="117" t="str">
        <f>if('Ingest Template'!A382="Standard",(IF(OR('Ingest Template'!F382 = "Program Type - Special", 'Ingest Template'!F382 = "Program Type - Live Event"),'Ingest Template'!Q382&amp;"|"&amp;TEXT('Ingest Template'!C382-3, "yyyy-mm-dd")&amp;"|"&amp;TEXT('Ingest Template'!C382+3, "yyyy-mm-dd"),'Ingest Template'!Q382&amp; "|2021-01-01")),(IF(OR('Ingest Template'!F382 = "Program Type - Special", 'Ingest Template'!F382 = "Program Type - Live Event"),'Ingest Template'!Q382&amp; "|"&amp;TEXT('Ingest Template'!C382-3, "yyyy-mm-dd")&amp;"|"&amp;TEXT('Ingest Template'!C382+3, "yyyy-mm-dd"),'Ingest Template'!Q382)))</f>
        <v/>
      </c>
      <c r="AM382" s="35" t="str">
        <f>'Ingest Template'!AC382</f>
        <v/>
      </c>
    </row>
    <row r="383">
      <c r="A383" s="15"/>
      <c r="B383" s="22" t="str">
        <f>'Ingest Template'!C383&amp;IF('Ingest Template'!A383 = "Standard", " - DAR","")</f>
        <v/>
      </c>
      <c r="C383" s="22" t="s">
        <v>83</v>
      </c>
      <c r="D383" s="22" t="str">
        <f t="array" ref="D383">CONCATENATE(INDEX(DropdownLists!$H$2:$H$11,MATCH(1,COUNTIF('Ingest Template'!E383,"*"&amp;DropdownLists!$I$2:$I$11&amp;"*"),0)),CHAR(10),'Ingest Template'!F383,CHAR(10),'Ingest Template'!G383,CHAR(10),VLOOKUP('Ingest Template'!D383,DropdownLists!C:D,2,FALSE))</f>
        <v>#N/A</v>
      </c>
      <c r="E383" s="22" t="str">
        <f>CONCATENATE('Ingest Template'!H383,CHAR(10),'Ingest Template'!I383,CHAR(10),'Ingest Template'!J383,CHAR(10))</f>
        <v>
</v>
      </c>
      <c r="F383" s="35" t="str">
        <f t="array" ref="F383">INDEX(DropdownLists!$O$2:$O$36,MATCH(1,COUNTIF(E383,"*"&amp;DropdownLists!$N$2:$N$36&amp;"*"),0))</f>
        <v/>
      </c>
      <c r="G383" s="35"/>
      <c r="H383" s="22" t="str">
        <f t="array" ref="H383">INDEX(DropdownLists!$E$2:$E$276,MATCH('Ingest Template'!D383,DropdownLists!$C$2:$C$276,0))</f>
        <v>#N/A</v>
      </c>
      <c r="I383" s="22"/>
      <c r="J383" s="22" t="str">
        <f t="array" ref="J383">iF('Ingest Template'!A383="Standard","Pristine Brand",INDEX(DropdownLists!$B$2:$B$246,MATCH('Ingest Template'!D383,DropdownLists!$C$2:$C$246,0)))</f>
        <v>#N/A</v>
      </c>
      <c r="K383" s="22" t="str">
        <f>iF('Ingest Template'!A383="Standard",'Ingest Template'!K383&amp;CHAR(10)&amp;'Ingest Template'!L383,"Competitive View")</f>
        <v>Competitive View</v>
      </c>
      <c r="L383" s="22" t="s">
        <v>95</v>
      </c>
      <c r="M383" s="45" t="str">
        <f>'Ingest Template'!B383</f>
        <v/>
      </c>
      <c r="N383" s="35"/>
      <c r="O383" s="35"/>
      <c r="P383" s="35"/>
      <c r="Q383" s="35"/>
      <c r="R383" s="35" t="str">
        <f>'Ingest Template'!D383</f>
        <v/>
      </c>
      <c r="S383" s="22" t="s">
        <v>101</v>
      </c>
      <c r="T383" s="35" t="str">
        <f>'Ingest Template'!V383</f>
        <v/>
      </c>
      <c r="U383" s="35" t="str">
        <f>'Ingest Template'!W383</f>
        <v/>
      </c>
      <c r="V383" s="35" t="str">
        <f>LOWER(SUBSTITUTE(SUBSTITUTE(SUBSTITUTE(SUBSTITUTE(SUBSTITUTE('Ingest Template'!X383,"https:",""),"www.",""),"/",""),"?hl=en",""),"instagram.com",""))</f>
        <v/>
      </c>
      <c r="W383" s="74" t="str">
        <f t="array" ref="W383">IF(
'Ingest Template'!Y383="",
SUBSTITUTE(
INDEX(DropdownLists!$F$2:$F$277,MATCH('Ingest Template'!D383,DropdownLists!$C$2:$C$277,0)),
CHAR(10),
"|"&amp;'Ingest Template'!C383&amp;CHAR(10)
)&amp;"|"&amp;'Ingest Template'!C383,
SUBSTITUTE(
INDEX(DropdownLists!$F$2:$F$277,MATCH('Ingest Template'!D383,DropdownLists!$C$2:$C$277,0)),
CHAR(10),
"|"&amp;'Ingest Template'!C383&amp;CHAR(10)
)&amp;"|"&amp;'Ingest Template'!C383&amp;CHAR(10)&amp;'Ingest Template'!Y383
)</f>
        <v>#N/A</v>
      </c>
      <c r="X383" s="74" t="str">
        <f>'Ingest Template'!Z383</f>
        <v/>
      </c>
      <c r="Y383" s="35" t="str">
        <f>SUBSTITUTE(SUBSTITUTE(SUBSTITUTE('Ingest Template'!AA383,"http:",""),"https:",""),"/","")</f>
        <v/>
      </c>
      <c r="Z383" s="35" t="str">
        <f t="array" ref="Z383">IF('Ingest Template'!A383="Standard",(IF(ISBLANK('Ingest Template'!AB383),"", 'Ingest Template'!AB383&amp;"|DAR")),(IF(ISBLANK('Ingest Template'!AB383),"", 'Ingest Template'!AB383&amp;"|TV Ops")))</f>
        <v/>
      </c>
      <c r="AA383" s="35"/>
      <c r="AB383" s="35" t="str">
        <f>'Ingest Template'!R383</f>
        <v/>
      </c>
      <c r="AC383" s="35" t="str">
        <f>'Ingest Template'!T383</f>
        <v/>
      </c>
      <c r="AD383" s="35" t="str">
        <f>'Ingest Template'!S383</f>
        <v/>
      </c>
      <c r="AE383" s="35" t="str">
        <f>'Ingest Template'!U383</f>
        <v/>
      </c>
      <c r="AF383" s="22"/>
      <c r="AG383" s="35" t="str">
        <f t="array" ref="AG383">IF('Ingest Template'!A383="Standard",(CONCATENATE(IF(ISBLANK('Ingest Template'!N383),"", 'Ingest Template'!N383&amp;"|DAR"),CHAR(10), IF(ISBLANK('Ingest Template'!O383),"", 'Ingest Template'!O383&amp;"|DAR"),CHAR(10), IF(ISBLANK('Ingest Template'!P383),"", 'Ingest Template'!P383&amp;"|DAR"))),(CONCATENATE(IF(ISBLANK('Ingest Template'!N383),"", 'Ingest Template'!N383&amp;"|TV Ops"),CHAR(10), IF(ISBLANK('Ingest Template'!O383),"", 'Ingest Template'!O383&amp;"|TV Ops"),CHAR(10), IF(ISBLANK('Ingest Template'!P383),"", 'Ingest Template'!P383&amp;"|TV Ops"))))</f>
        <v>
</v>
      </c>
      <c r="AH383" s="35"/>
      <c r="AI383" s="35"/>
      <c r="AJ383" s="117" t="str">
        <f>if('Ingest Template'!A383="Standard",(IF(OR('Ingest Template'!F383 = "Program Type - Special", 'Ingest Template'!F383 = "Program Type - Live Event"),'Ingest Template'!M383&amp; "|DAR|DAR|"&amp;TEXT('Ingest Template'!C383-3, "yyyy-mm-dd")&amp;"|"&amp;TEXT('Ingest Template'!C383+3, "yyyy-mm-dd"),'Ingest Template'!M383&amp; "|DAR|DAR|2021-01-01")),(IF(OR('Ingest Template'!F383 = "Program Type - Special", 'Ingest Template'!F383 = "Program Type - Live Event"),'Ingest Template'!M383&amp; "|Operations - Core Title|Operations - Core Title|"&amp;TEXT('Ingest Template'!C383-3, "yyyy-mm-dd")&amp;"|"&amp;TEXT('Ingest Template'!C383+3, "yyyy-mm-dd"),'Ingest Template'!M383&amp; "|Operations - Core Title|Operations - Core Title")))</f>
        <v>|Operations - Core Title|Operations - Core Title</v>
      </c>
      <c r="AK383" s="35"/>
      <c r="AL383" s="117" t="str">
        <f>if('Ingest Template'!A383="Standard",(IF(OR('Ingest Template'!F383 = "Program Type - Special", 'Ingest Template'!F383 = "Program Type - Live Event"),'Ingest Template'!Q383&amp;"|"&amp;TEXT('Ingest Template'!C383-3, "yyyy-mm-dd")&amp;"|"&amp;TEXT('Ingest Template'!C383+3, "yyyy-mm-dd"),'Ingest Template'!Q383&amp; "|2021-01-01")),(IF(OR('Ingest Template'!F383 = "Program Type - Special", 'Ingest Template'!F383 = "Program Type - Live Event"),'Ingest Template'!Q383&amp; "|"&amp;TEXT('Ingest Template'!C383-3, "yyyy-mm-dd")&amp;"|"&amp;TEXT('Ingest Template'!C383+3, "yyyy-mm-dd"),'Ingest Template'!Q383)))</f>
        <v/>
      </c>
      <c r="AM383" s="35" t="str">
        <f>'Ingest Template'!AC383</f>
        <v/>
      </c>
    </row>
    <row r="384">
      <c r="A384" s="15"/>
      <c r="B384" s="22" t="str">
        <f>'Ingest Template'!C384&amp;IF('Ingest Template'!A384 = "Standard", " - DAR","")</f>
        <v/>
      </c>
      <c r="C384" s="22" t="s">
        <v>83</v>
      </c>
      <c r="D384" s="22" t="str">
        <f t="array" ref="D384">CONCATENATE(INDEX(DropdownLists!$H$2:$H$11,MATCH(1,COUNTIF('Ingest Template'!E384,"*"&amp;DropdownLists!$I$2:$I$11&amp;"*"),0)),CHAR(10),'Ingest Template'!F384,CHAR(10),'Ingest Template'!G384,CHAR(10),VLOOKUP('Ingest Template'!D384,DropdownLists!C:D,2,FALSE))</f>
        <v>#N/A</v>
      </c>
      <c r="E384" s="22" t="str">
        <f>CONCATENATE('Ingest Template'!H384,CHAR(10),'Ingest Template'!I384,CHAR(10),'Ingest Template'!J384,CHAR(10))</f>
        <v>
</v>
      </c>
      <c r="F384" s="35" t="str">
        <f t="array" ref="F384">INDEX(DropdownLists!$O$2:$O$36,MATCH(1,COUNTIF(E384,"*"&amp;DropdownLists!$N$2:$N$36&amp;"*"),0))</f>
        <v/>
      </c>
      <c r="G384" s="35"/>
      <c r="H384" s="22" t="str">
        <f t="array" ref="H384">INDEX(DropdownLists!$E$2:$E$276,MATCH('Ingest Template'!D384,DropdownLists!$C$2:$C$276,0))</f>
        <v>#N/A</v>
      </c>
      <c r="I384" s="22"/>
      <c r="J384" s="22" t="str">
        <f t="array" ref="J384">iF('Ingest Template'!A384="Standard","Pristine Brand",INDEX(DropdownLists!$B$2:$B$246,MATCH('Ingest Template'!D384,DropdownLists!$C$2:$C$246,0)))</f>
        <v>#N/A</v>
      </c>
      <c r="K384" s="22" t="str">
        <f>iF('Ingest Template'!A384="Standard",'Ingest Template'!K384&amp;CHAR(10)&amp;'Ingest Template'!L384,"Competitive View")</f>
        <v>Competitive View</v>
      </c>
      <c r="L384" s="22" t="s">
        <v>95</v>
      </c>
      <c r="M384" s="45" t="str">
        <f>'Ingest Template'!B384</f>
        <v/>
      </c>
      <c r="N384" s="35"/>
      <c r="O384" s="35"/>
      <c r="P384" s="35"/>
      <c r="Q384" s="35"/>
      <c r="R384" s="35" t="str">
        <f>'Ingest Template'!D384</f>
        <v/>
      </c>
      <c r="S384" s="22" t="s">
        <v>101</v>
      </c>
      <c r="T384" s="35" t="str">
        <f>'Ingest Template'!V384</f>
        <v/>
      </c>
      <c r="U384" s="35" t="str">
        <f>'Ingest Template'!W384</f>
        <v/>
      </c>
      <c r="V384" s="35" t="str">
        <f>LOWER(SUBSTITUTE(SUBSTITUTE(SUBSTITUTE(SUBSTITUTE(SUBSTITUTE('Ingest Template'!X384,"https:",""),"www.",""),"/",""),"?hl=en",""),"instagram.com",""))</f>
        <v/>
      </c>
      <c r="W384" s="74" t="str">
        <f t="array" ref="W384">IF(
'Ingest Template'!Y384="",
SUBSTITUTE(
INDEX(DropdownLists!$F$2:$F$277,MATCH('Ingest Template'!D384,DropdownLists!$C$2:$C$277,0)),
CHAR(10),
"|"&amp;'Ingest Template'!C384&amp;CHAR(10)
)&amp;"|"&amp;'Ingest Template'!C384,
SUBSTITUTE(
INDEX(DropdownLists!$F$2:$F$277,MATCH('Ingest Template'!D384,DropdownLists!$C$2:$C$277,0)),
CHAR(10),
"|"&amp;'Ingest Template'!C384&amp;CHAR(10)
)&amp;"|"&amp;'Ingest Template'!C384&amp;CHAR(10)&amp;'Ingest Template'!Y384
)</f>
        <v>#N/A</v>
      </c>
      <c r="X384" s="74" t="str">
        <f>'Ingest Template'!Z384</f>
        <v/>
      </c>
      <c r="Y384" s="35" t="str">
        <f>SUBSTITUTE(SUBSTITUTE(SUBSTITUTE('Ingest Template'!AA384,"http:",""),"https:",""),"/","")</f>
        <v/>
      </c>
      <c r="Z384" s="35" t="str">
        <f t="array" ref="Z384">IF('Ingest Template'!A384="Standard",(IF(ISBLANK('Ingest Template'!AB384),"", 'Ingest Template'!AB384&amp;"|DAR")),(IF(ISBLANK('Ingest Template'!AB384),"", 'Ingest Template'!AB384&amp;"|TV Ops")))</f>
        <v/>
      </c>
      <c r="AA384" s="35"/>
      <c r="AB384" s="35" t="str">
        <f>'Ingest Template'!R384</f>
        <v/>
      </c>
      <c r="AC384" s="35" t="str">
        <f>'Ingest Template'!T384</f>
        <v/>
      </c>
      <c r="AD384" s="35" t="str">
        <f>'Ingest Template'!S384</f>
        <v/>
      </c>
      <c r="AE384" s="35" t="str">
        <f>'Ingest Template'!U384</f>
        <v/>
      </c>
      <c r="AF384" s="22"/>
      <c r="AG384" s="35" t="str">
        <f t="array" ref="AG384">IF('Ingest Template'!A384="Standard",(CONCATENATE(IF(ISBLANK('Ingest Template'!N384),"", 'Ingest Template'!N384&amp;"|DAR"),CHAR(10), IF(ISBLANK('Ingest Template'!O384),"", 'Ingest Template'!O384&amp;"|DAR"),CHAR(10), IF(ISBLANK('Ingest Template'!P384),"", 'Ingest Template'!P384&amp;"|DAR"))),(CONCATENATE(IF(ISBLANK('Ingest Template'!N384),"", 'Ingest Template'!N384&amp;"|TV Ops"),CHAR(10), IF(ISBLANK('Ingest Template'!O384),"", 'Ingest Template'!O384&amp;"|TV Ops"),CHAR(10), IF(ISBLANK('Ingest Template'!P384),"", 'Ingest Template'!P384&amp;"|TV Ops"))))</f>
        <v>
</v>
      </c>
      <c r="AH384" s="35"/>
      <c r="AI384" s="35"/>
      <c r="AJ384" s="117" t="str">
        <f>if('Ingest Template'!A384="Standard",(IF(OR('Ingest Template'!F384 = "Program Type - Special", 'Ingest Template'!F384 = "Program Type - Live Event"),'Ingest Template'!M384&amp; "|DAR|DAR|"&amp;TEXT('Ingest Template'!C384-3, "yyyy-mm-dd")&amp;"|"&amp;TEXT('Ingest Template'!C384+3, "yyyy-mm-dd"),'Ingest Template'!M384&amp; "|DAR|DAR|2021-01-01")),(IF(OR('Ingest Template'!F384 = "Program Type - Special", 'Ingest Template'!F384 = "Program Type - Live Event"),'Ingest Template'!M384&amp; "|Operations - Core Title|Operations - Core Title|"&amp;TEXT('Ingest Template'!C384-3, "yyyy-mm-dd")&amp;"|"&amp;TEXT('Ingest Template'!C384+3, "yyyy-mm-dd"),'Ingest Template'!M384&amp; "|Operations - Core Title|Operations - Core Title")))</f>
        <v>|Operations - Core Title|Operations - Core Title</v>
      </c>
      <c r="AK384" s="35"/>
      <c r="AL384" s="117" t="str">
        <f>if('Ingest Template'!A384="Standard",(IF(OR('Ingest Template'!F384 = "Program Type - Special", 'Ingest Template'!F384 = "Program Type - Live Event"),'Ingest Template'!Q384&amp;"|"&amp;TEXT('Ingest Template'!C384-3, "yyyy-mm-dd")&amp;"|"&amp;TEXT('Ingest Template'!C384+3, "yyyy-mm-dd"),'Ingest Template'!Q384&amp; "|2021-01-01")),(IF(OR('Ingest Template'!F384 = "Program Type - Special", 'Ingest Template'!F384 = "Program Type - Live Event"),'Ingest Template'!Q384&amp; "|"&amp;TEXT('Ingest Template'!C384-3, "yyyy-mm-dd")&amp;"|"&amp;TEXT('Ingest Template'!C384+3, "yyyy-mm-dd"),'Ingest Template'!Q384)))</f>
        <v/>
      </c>
      <c r="AM384" s="35" t="str">
        <f>'Ingest Template'!AC384</f>
        <v/>
      </c>
    </row>
    <row r="385">
      <c r="A385" s="15"/>
      <c r="B385" s="22" t="str">
        <f>'Ingest Template'!C385&amp;IF('Ingest Template'!A385 = "Standard", " - DAR","")</f>
        <v/>
      </c>
      <c r="C385" s="22" t="s">
        <v>83</v>
      </c>
      <c r="D385" s="22" t="str">
        <f t="array" ref="D385">CONCATENATE(INDEX(DropdownLists!$H$2:$H$11,MATCH(1,COUNTIF('Ingest Template'!E385,"*"&amp;DropdownLists!$I$2:$I$11&amp;"*"),0)),CHAR(10),'Ingest Template'!F385,CHAR(10),'Ingest Template'!G385,CHAR(10),VLOOKUP('Ingest Template'!D385,DropdownLists!C:D,2,FALSE))</f>
        <v>#N/A</v>
      </c>
      <c r="E385" s="22" t="str">
        <f>CONCATENATE('Ingest Template'!H385,CHAR(10),'Ingest Template'!I385,CHAR(10),'Ingest Template'!J385,CHAR(10))</f>
        <v>
</v>
      </c>
      <c r="F385" s="35" t="str">
        <f t="array" ref="F385">INDEX(DropdownLists!$O$2:$O$36,MATCH(1,COUNTIF(E385,"*"&amp;DropdownLists!$N$2:$N$36&amp;"*"),0))</f>
        <v/>
      </c>
      <c r="G385" s="35"/>
      <c r="H385" s="22" t="str">
        <f t="array" ref="H385">INDEX(DropdownLists!$E$2:$E$276,MATCH('Ingest Template'!D385,DropdownLists!$C$2:$C$276,0))</f>
        <v>#N/A</v>
      </c>
      <c r="I385" s="22"/>
      <c r="J385" s="22" t="str">
        <f t="array" ref="J385">iF('Ingest Template'!A385="Standard","Pristine Brand",INDEX(DropdownLists!$B$2:$B$246,MATCH('Ingest Template'!D385,DropdownLists!$C$2:$C$246,0)))</f>
        <v>#N/A</v>
      </c>
      <c r="K385" s="22" t="str">
        <f>iF('Ingest Template'!A385="Standard",'Ingest Template'!K385&amp;CHAR(10)&amp;'Ingest Template'!L385,"Competitive View")</f>
        <v>Competitive View</v>
      </c>
      <c r="L385" s="22" t="s">
        <v>95</v>
      </c>
      <c r="M385" s="45" t="str">
        <f>'Ingest Template'!B385</f>
        <v/>
      </c>
      <c r="N385" s="35"/>
      <c r="O385" s="35"/>
      <c r="P385" s="35"/>
      <c r="Q385" s="35"/>
      <c r="R385" s="35" t="str">
        <f>'Ingest Template'!D385</f>
        <v/>
      </c>
      <c r="S385" s="22" t="s">
        <v>101</v>
      </c>
      <c r="T385" s="35" t="str">
        <f>'Ingest Template'!V385</f>
        <v/>
      </c>
      <c r="U385" s="35" t="str">
        <f>'Ingest Template'!W385</f>
        <v/>
      </c>
      <c r="V385" s="35" t="str">
        <f>LOWER(SUBSTITUTE(SUBSTITUTE(SUBSTITUTE(SUBSTITUTE(SUBSTITUTE('Ingest Template'!X385,"https:",""),"www.",""),"/",""),"?hl=en",""),"instagram.com",""))</f>
        <v/>
      </c>
      <c r="W385" s="74" t="str">
        <f t="array" ref="W385">IF(
'Ingest Template'!Y385="",
SUBSTITUTE(
INDEX(DropdownLists!$F$2:$F$277,MATCH('Ingest Template'!D385,DropdownLists!$C$2:$C$277,0)),
CHAR(10),
"|"&amp;'Ingest Template'!C385&amp;CHAR(10)
)&amp;"|"&amp;'Ingest Template'!C385,
SUBSTITUTE(
INDEX(DropdownLists!$F$2:$F$277,MATCH('Ingest Template'!D385,DropdownLists!$C$2:$C$277,0)),
CHAR(10),
"|"&amp;'Ingest Template'!C385&amp;CHAR(10)
)&amp;"|"&amp;'Ingest Template'!C385&amp;CHAR(10)&amp;'Ingest Template'!Y385
)</f>
        <v>#N/A</v>
      </c>
      <c r="X385" s="74" t="str">
        <f>'Ingest Template'!Z385</f>
        <v/>
      </c>
      <c r="Y385" s="35" t="str">
        <f>SUBSTITUTE(SUBSTITUTE(SUBSTITUTE('Ingest Template'!AA385,"http:",""),"https:",""),"/","")</f>
        <v/>
      </c>
      <c r="Z385" s="35" t="str">
        <f t="array" ref="Z385">IF('Ingest Template'!A385="Standard",(IF(ISBLANK('Ingest Template'!AB385),"", 'Ingest Template'!AB385&amp;"|DAR")),(IF(ISBLANK('Ingest Template'!AB385),"", 'Ingest Template'!AB385&amp;"|TV Ops")))</f>
        <v/>
      </c>
      <c r="AA385" s="35"/>
      <c r="AB385" s="35" t="str">
        <f>'Ingest Template'!R385</f>
        <v/>
      </c>
      <c r="AC385" s="35" t="str">
        <f>'Ingest Template'!T385</f>
        <v/>
      </c>
      <c r="AD385" s="35" t="str">
        <f>'Ingest Template'!S385</f>
        <v/>
      </c>
      <c r="AE385" s="35" t="str">
        <f>'Ingest Template'!U385</f>
        <v/>
      </c>
      <c r="AF385" s="22"/>
      <c r="AG385" s="35" t="str">
        <f t="array" ref="AG385">IF('Ingest Template'!A385="Standard",(CONCATENATE(IF(ISBLANK('Ingest Template'!N385),"", 'Ingest Template'!N385&amp;"|DAR"),CHAR(10), IF(ISBLANK('Ingest Template'!O385),"", 'Ingest Template'!O385&amp;"|DAR"),CHAR(10), IF(ISBLANK('Ingest Template'!P385),"", 'Ingest Template'!P385&amp;"|DAR"))),(CONCATENATE(IF(ISBLANK('Ingest Template'!N385),"", 'Ingest Template'!N385&amp;"|TV Ops"),CHAR(10), IF(ISBLANK('Ingest Template'!O385),"", 'Ingest Template'!O385&amp;"|TV Ops"),CHAR(10), IF(ISBLANK('Ingest Template'!P385),"", 'Ingest Template'!P385&amp;"|TV Ops"))))</f>
        <v>
</v>
      </c>
      <c r="AH385" s="35"/>
      <c r="AI385" s="35"/>
      <c r="AJ385" s="117" t="str">
        <f>if('Ingest Template'!A385="Standard",(IF(OR('Ingest Template'!F385 = "Program Type - Special", 'Ingest Template'!F385 = "Program Type - Live Event"),'Ingest Template'!M385&amp; "|DAR|DAR|"&amp;TEXT('Ingest Template'!C385-3, "yyyy-mm-dd")&amp;"|"&amp;TEXT('Ingest Template'!C385+3, "yyyy-mm-dd"),'Ingest Template'!M385&amp; "|DAR|DAR|2021-01-01")),(IF(OR('Ingest Template'!F385 = "Program Type - Special", 'Ingest Template'!F385 = "Program Type - Live Event"),'Ingest Template'!M385&amp; "|Operations - Core Title|Operations - Core Title|"&amp;TEXT('Ingest Template'!C385-3, "yyyy-mm-dd")&amp;"|"&amp;TEXT('Ingest Template'!C385+3, "yyyy-mm-dd"),'Ingest Template'!M385&amp; "|Operations - Core Title|Operations - Core Title")))</f>
        <v>|Operations - Core Title|Operations - Core Title</v>
      </c>
      <c r="AK385" s="35"/>
      <c r="AL385" s="117" t="str">
        <f>if('Ingest Template'!A385="Standard",(IF(OR('Ingest Template'!F385 = "Program Type - Special", 'Ingest Template'!F385 = "Program Type - Live Event"),'Ingest Template'!Q385&amp;"|"&amp;TEXT('Ingest Template'!C385-3, "yyyy-mm-dd")&amp;"|"&amp;TEXT('Ingest Template'!C385+3, "yyyy-mm-dd"),'Ingest Template'!Q385&amp; "|2021-01-01")),(IF(OR('Ingest Template'!F385 = "Program Type - Special", 'Ingest Template'!F385 = "Program Type - Live Event"),'Ingest Template'!Q385&amp; "|"&amp;TEXT('Ingest Template'!C385-3, "yyyy-mm-dd")&amp;"|"&amp;TEXT('Ingest Template'!C385+3, "yyyy-mm-dd"),'Ingest Template'!Q385)))</f>
        <v/>
      </c>
      <c r="AM385" s="35" t="str">
        <f>'Ingest Template'!AC385</f>
        <v/>
      </c>
    </row>
    <row r="386">
      <c r="A386" s="15"/>
      <c r="B386" s="22" t="str">
        <f>'Ingest Template'!C386&amp;IF('Ingest Template'!A386 = "Standard", " - DAR","")</f>
        <v/>
      </c>
      <c r="C386" s="22" t="s">
        <v>83</v>
      </c>
      <c r="D386" s="22" t="str">
        <f t="array" ref="D386">CONCATENATE(INDEX(DropdownLists!$H$2:$H$11,MATCH(1,COUNTIF('Ingest Template'!E386,"*"&amp;DropdownLists!$I$2:$I$11&amp;"*"),0)),CHAR(10),'Ingest Template'!F386,CHAR(10),'Ingest Template'!G386,CHAR(10),VLOOKUP('Ingest Template'!D386,DropdownLists!C:D,2,FALSE))</f>
        <v>#N/A</v>
      </c>
      <c r="E386" s="22" t="str">
        <f>CONCATENATE('Ingest Template'!H386,CHAR(10),'Ingest Template'!I386,CHAR(10),'Ingest Template'!J386,CHAR(10))</f>
        <v>
</v>
      </c>
      <c r="F386" s="35" t="str">
        <f t="array" ref="F386">INDEX(DropdownLists!$O$2:$O$36,MATCH(1,COUNTIF(E386,"*"&amp;DropdownLists!$N$2:$N$36&amp;"*"),0))</f>
        <v/>
      </c>
      <c r="G386" s="35"/>
      <c r="H386" s="22" t="str">
        <f t="array" ref="H386">INDEX(DropdownLists!$E$2:$E$276,MATCH('Ingest Template'!D386,DropdownLists!$C$2:$C$276,0))</f>
        <v>#N/A</v>
      </c>
      <c r="I386" s="22"/>
      <c r="J386" s="22" t="str">
        <f t="array" ref="J386">iF('Ingest Template'!A386="Standard","Pristine Brand",INDEX(DropdownLists!$B$2:$B$246,MATCH('Ingest Template'!D386,DropdownLists!$C$2:$C$246,0)))</f>
        <v>#N/A</v>
      </c>
      <c r="K386" s="22" t="str">
        <f>iF('Ingest Template'!A386="Standard",'Ingest Template'!K386&amp;CHAR(10)&amp;'Ingest Template'!L386,"Competitive View")</f>
        <v>Competitive View</v>
      </c>
      <c r="L386" s="22" t="s">
        <v>95</v>
      </c>
      <c r="M386" s="45" t="str">
        <f>'Ingest Template'!B386</f>
        <v/>
      </c>
      <c r="N386" s="35"/>
      <c r="O386" s="35"/>
      <c r="P386" s="35"/>
      <c r="Q386" s="35"/>
      <c r="R386" s="35" t="str">
        <f>'Ingest Template'!D386</f>
        <v/>
      </c>
      <c r="S386" s="22" t="s">
        <v>101</v>
      </c>
      <c r="T386" s="35" t="str">
        <f>'Ingest Template'!V386</f>
        <v/>
      </c>
      <c r="U386" s="35" t="str">
        <f>'Ingest Template'!W386</f>
        <v/>
      </c>
      <c r="V386" s="35" t="str">
        <f>LOWER(SUBSTITUTE(SUBSTITUTE(SUBSTITUTE(SUBSTITUTE(SUBSTITUTE('Ingest Template'!X386,"https:",""),"www.",""),"/",""),"?hl=en",""),"instagram.com",""))</f>
        <v/>
      </c>
      <c r="W386" s="74" t="str">
        <f t="array" ref="W386">IF(
'Ingest Template'!Y386="",
SUBSTITUTE(
INDEX(DropdownLists!$F$2:$F$277,MATCH('Ingest Template'!D386,DropdownLists!$C$2:$C$277,0)),
CHAR(10),
"|"&amp;'Ingest Template'!C386&amp;CHAR(10)
)&amp;"|"&amp;'Ingest Template'!C386,
SUBSTITUTE(
INDEX(DropdownLists!$F$2:$F$277,MATCH('Ingest Template'!D386,DropdownLists!$C$2:$C$277,0)),
CHAR(10),
"|"&amp;'Ingest Template'!C386&amp;CHAR(10)
)&amp;"|"&amp;'Ingest Template'!C386&amp;CHAR(10)&amp;'Ingest Template'!Y386
)</f>
        <v>#N/A</v>
      </c>
      <c r="X386" s="74" t="str">
        <f>'Ingest Template'!Z386</f>
        <v/>
      </c>
      <c r="Y386" s="35" t="str">
        <f>SUBSTITUTE(SUBSTITUTE(SUBSTITUTE('Ingest Template'!AA386,"http:",""),"https:",""),"/","")</f>
        <v/>
      </c>
      <c r="Z386" s="35" t="str">
        <f t="array" ref="Z386">IF('Ingest Template'!A386="Standard",(IF(ISBLANK('Ingest Template'!AB386),"", 'Ingest Template'!AB386&amp;"|DAR")),(IF(ISBLANK('Ingest Template'!AB386),"", 'Ingest Template'!AB386&amp;"|TV Ops")))</f>
        <v/>
      </c>
      <c r="AA386" s="35"/>
      <c r="AB386" s="35" t="str">
        <f>'Ingest Template'!R386</f>
        <v/>
      </c>
      <c r="AC386" s="35" t="str">
        <f>'Ingest Template'!T386</f>
        <v/>
      </c>
      <c r="AD386" s="35" t="str">
        <f>'Ingest Template'!S386</f>
        <v/>
      </c>
      <c r="AE386" s="35" t="str">
        <f>'Ingest Template'!U386</f>
        <v/>
      </c>
      <c r="AF386" s="22"/>
      <c r="AG386" s="35" t="str">
        <f t="array" ref="AG386">IF('Ingest Template'!A386="Standard",(CONCATENATE(IF(ISBLANK('Ingest Template'!N386),"", 'Ingest Template'!N386&amp;"|DAR"),CHAR(10), IF(ISBLANK('Ingest Template'!O386),"", 'Ingest Template'!O386&amp;"|DAR"),CHAR(10), IF(ISBLANK('Ingest Template'!P386),"", 'Ingest Template'!P386&amp;"|DAR"))),(CONCATENATE(IF(ISBLANK('Ingest Template'!N386),"", 'Ingest Template'!N386&amp;"|TV Ops"),CHAR(10), IF(ISBLANK('Ingest Template'!O386),"", 'Ingest Template'!O386&amp;"|TV Ops"),CHAR(10), IF(ISBLANK('Ingest Template'!P386),"", 'Ingest Template'!P386&amp;"|TV Ops"))))</f>
        <v>
</v>
      </c>
      <c r="AH386" s="35"/>
      <c r="AI386" s="35"/>
      <c r="AJ386" s="117" t="str">
        <f>if('Ingest Template'!A386="Standard",(IF(OR('Ingest Template'!F386 = "Program Type - Special", 'Ingest Template'!F386 = "Program Type - Live Event"),'Ingest Template'!M386&amp; "|DAR|DAR|"&amp;TEXT('Ingest Template'!C386-3, "yyyy-mm-dd")&amp;"|"&amp;TEXT('Ingest Template'!C386+3, "yyyy-mm-dd"),'Ingest Template'!M386&amp; "|DAR|DAR|2021-01-01")),(IF(OR('Ingest Template'!F386 = "Program Type - Special", 'Ingest Template'!F386 = "Program Type - Live Event"),'Ingest Template'!M386&amp; "|Operations - Core Title|Operations - Core Title|"&amp;TEXT('Ingest Template'!C386-3, "yyyy-mm-dd")&amp;"|"&amp;TEXT('Ingest Template'!C386+3, "yyyy-mm-dd"),'Ingest Template'!M386&amp; "|Operations - Core Title|Operations - Core Title")))</f>
        <v>|Operations - Core Title|Operations - Core Title</v>
      </c>
      <c r="AK386" s="35"/>
      <c r="AL386" s="117" t="str">
        <f>if('Ingest Template'!A386="Standard",(IF(OR('Ingest Template'!F386 = "Program Type - Special", 'Ingest Template'!F386 = "Program Type - Live Event"),'Ingest Template'!Q386&amp;"|"&amp;TEXT('Ingest Template'!C386-3, "yyyy-mm-dd")&amp;"|"&amp;TEXT('Ingest Template'!C386+3, "yyyy-mm-dd"),'Ingest Template'!Q386&amp; "|2021-01-01")),(IF(OR('Ingest Template'!F386 = "Program Type - Special", 'Ingest Template'!F386 = "Program Type - Live Event"),'Ingest Template'!Q386&amp; "|"&amp;TEXT('Ingest Template'!C386-3, "yyyy-mm-dd")&amp;"|"&amp;TEXT('Ingest Template'!C386+3, "yyyy-mm-dd"),'Ingest Template'!Q386)))</f>
        <v/>
      </c>
      <c r="AM386" s="35" t="str">
        <f>'Ingest Template'!AC386</f>
        <v/>
      </c>
    </row>
    <row r="387">
      <c r="A387" s="15"/>
      <c r="B387" s="22" t="str">
        <f>'Ingest Template'!C387&amp;IF('Ingest Template'!A387 = "Standard", " - DAR","")</f>
        <v/>
      </c>
      <c r="C387" s="22" t="s">
        <v>83</v>
      </c>
      <c r="D387" s="22" t="str">
        <f t="array" ref="D387">CONCATENATE(INDEX(DropdownLists!$H$2:$H$11,MATCH(1,COUNTIF('Ingest Template'!E387,"*"&amp;DropdownLists!$I$2:$I$11&amp;"*"),0)),CHAR(10),'Ingest Template'!F387,CHAR(10),'Ingest Template'!G387,CHAR(10),VLOOKUP('Ingest Template'!D387,DropdownLists!C:D,2,FALSE))</f>
        <v>#N/A</v>
      </c>
      <c r="E387" s="22" t="str">
        <f>CONCATENATE('Ingest Template'!H387,CHAR(10),'Ingest Template'!I387,CHAR(10),'Ingest Template'!J387,CHAR(10))</f>
        <v>
</v>
      </c>
      <c r="F387" s="35" t="str">
        <f t="array" ref="F387">INDEX(DropdownLists!$O$2:$O$36,MATCH(1,COUNTIF(E387,"*"&amp;DropdownLists!$N$2:$N$36&amp;"*"),0))</f>
        <v/>
      </c>
      <c r="G387" s="35"/>
      <c r="H387" s="22" t="str">
        <f t="array" ref="H387">INDEX(DropdownLists!$E$2:$E$276,MATCH('Ingest Template'!D387,DropdownLists!$C$2:$C$276,0))</f>
        <v>#N/A</v>
      </c>
      <c r="I387" s="22"/>
      <c r="J387" s="22" t="str">
        <f t="array" ref="J387">iF('Ingest Template'!A387="Standard","Pristine Brand",INDEX(DropdownLists!$B$2:$B$246,MATCH('Ingest Template'!D387,DropdownLists!$C$2:$C$246,0)))</f>
        <v>#N/A</v>
      </c>
      <c r="K387" s="22" t="str">
        <f>iF('Ingest Template'!A387="Standard",'Ingest Template'!K387&amp;CHAR(10)&amp;'Ingest Template'!L387,"Competitive View")</f>
        <v>Competitive View</v>
      </c>
      <c r="L387" s="22" t="s">
        <v>95</v>
      </c>
      <c r="M387" s="45" t="str">
        <f>'Ingest Template'!B387</f>
        <v/>
      </c>
      <c r="N387" s="35"/>
      <c r="O387" s="35"/>
      <c r="P387" s="35"/>
      <c r="Q387" s="35"/>
      <c r="R387" s="35" t="str">
        <f>'Ingest Template'!D387</f>
        <v/>
      </c>
      <c r="S387" s="22" t="s">
        <v>101</v>
      </c>
      <c r="T387" s="35" t="str">
        <f>'Ingest Template'!V387</f>
        <v/>
      </c>
      <c r="U387" s="35" t="str">
        <f>'Ingest Template'!W387</f>
        <v/>
      </c>
      <c r="V387" s="35" t="str">
        <f>LOWER(SUBSTITUTE(SUBSTITUTE(SUBSTITUTE(SUBSTITUTE(SUBSTITUTE('Ingest Template'!X387,"https:",""),"www.",""),"/",""),"?hl=en",""),"instagram.com",""))</f>
        <v/>
      </c>
      <c r="W387" s="74" t="str">
        <f t="array" ref="W387">IF(
'Ingest Template'!Y387="",
SUBSTITUTE(
INDEX(DropdownLists!$F$2:$F$277,MATCH('Ingest Template'!D387,DropdownLists!$C$2:$C$277,0)),
CHAR(10),
"|"&amp;'Ingest Template'!C387&amp;CHAR(10)
)&amp;"|"&amp;'Ingest Template'!C387,
SUBSTITUTE(
INDEX(DropdownLists!$F$2:$F$277,MATCH('Ingest Template'!D387,DropdownLists!$C$2:$C$277,0)),
CHAR(10),
"|"&amp;'Ingest Template'!C387&amp;CHAR(10)
)&amp;"|"&amp;'Ingest Template'!C387&amp;CHAR(10)&amp;'Ingest Template'!Y387
)</f>
        <v>#N/A</v>
      </c>
      <c r="X387" s="74" t="str">
        <f>'Ingest Template'!Z387</f>
        <v/>
      </c>
      <c r="Y387" s="35" t="str">
        <f>SUBSTITUTE(SUBSTITUTE(SUBSTITUTE('Ingest Template'!AA387,"http:",""),"https:",""),"/","")</f>
        <v/>
      </c>
      <c r="Z387" s="35" t="str">
        <f t="array" ref="Z387">IF('Ingest Template'!A387="Standard",(IF(ISBLANK('Ingest Template'!AB387),"", 'Ingest Template'!AB387&amp;"|DAR")),(IF(ISBLANK('Ingest Template'!AB387),"", 'Ingest Template'!AB387&amp;"|TV Ops")))</f>
        <v/>
      </c>
      <c r="AA387" s="35"/>
      <c r="AB387" s="35" t="str">
        <f>'Ingest Template'!R387</f>
        <v/>
      </c>
      <c r="AC387" s="35" t="str">
        <f>'Ingest Template'!T387</f>
        <v/>
      </c>
      <c r="AD387" s="35" t="str">
        <f>'Ingest Template'!S387</f>
        <v/>
      </c>
      <c r="AE387" s="35" t="str">
        <f>'Ingest Template'!U387</f>
        <v/>
      </c>
      <c r="AF387" s="22"/>
      <c r="AG387" s="35" t="str">
        <f t="array" ref="AG387">IF('Ingest Template'!A387="Standard",(CONCATENATE(IF(ISBLANK('Ingest Template'!N387),"", 'Ingest Template'!N387&amp;"|DAR"),CHAR(10), IF(ISBLANK('Ingest Template'!O387),"", 'Ingest Template'!O387&amp;"|DAR"),CHAR(10), IF(ISBLANK('Ingest Template'!P387),"", 'Ingest Template'!P387&amp;"|DAR"))),(CONCATENATE(IF(ISBLANK('Ingest Template'!N387),"", 'Ingest Template'!N387&amp;"|TV Ops"),CHAR(10), IF(ISBLANK('Ingest Template'!O387),"", 'Ingest Template'!O387&amp;"|TV Ops"),CHAR(10), IF(ISBLANK('Ingest Template'!P387),"", 'Ingest Template'!P387&amp;"|TV Ops"))))</f>
        <v>
</v>
      </c>
      <c r="AH387" s="35"/>
      <c r="AI387" s="35"/>
      <c r="AJ387" s="117" t="str">
        <f>if('Ingest Template'!A387="Standard",(IF(OR('Ingest Template'!F387 = "Program Type - Special", 'Ingest Template'!F387 = "Program Type - Live Event"),'Ingest Template'!M387&amp; "|DAR|DAR|"&amp;TEXT('Ingest Template'!C387-3, "yyyy-mm-dd")&amp;"|"&amp;TEXT('Ingest Template'!C387+3, "yyyy-mm-dd"),'Ingest Template'!M387&amp; "|DAR|DAR|2021-01-01")),(IF(OR('Ingest Template'!F387 = "Program Type - Special", 'Ingest Template'!F387 = "Program Type - Live Event"),'Ingest Template'!M387&amp; "|Operations - Core Title|Operations - Core Title|"&amp;TEXT('Ingest Template'!C387-3, "yyyy-mm-dd")&amp;"|"&amp;TEXT('Ingest Template'!C387+3, "yyyy-mm-dd"),'Ingest Template'!M387&amp; "|Operations - Core Title|Operations - Core Title")))</f>
        <v>|Operations - Core Title|Operations - Core Title</v>
      </c>
      <c r="AK387" s="35"/>
      <c r="AL387" s="117" t="str">
        <f>if('Ingest Template'!A387="Standard",(IF(OR('Ingest Template'!F387 = "Program Type - Special", 'Ingest Template'!F387 = "Program Type - Live Event"),'Ingest Template'!Q387&amp;"|"&amp;TEXT('Ingest Template'!C387-3, "yyyy-mm-dd")&amp;"|"&amp;TEXT('Ingest Template'!C387+3, "yyyy-mm-dd"),'Ingest Template'!Q387&amp; "|2021-01-01")),(IF(OR('Ingest Template'!F387 = "Program Type - Special", 'Ingest Template'!F387 = "Program Type - Live Event"),'Ingest Template'!Q387&amp; "|"&amp;TEXT('Ingest Template'!C387-3, "yyyy-mm-dd")&amp;"|"&amp;TEXT('Ingest Template'!C387+3, "yyyy-mm-dd"),'Ingest Template'!Q387)))</f>
        <v/>
      </c>
      <c r="AM387" s="35" t="str">
        <f>'Ingest Template'!AC387</f>
        <v/>
      </c>
    </row>
    <row r="388">
      <c r="A388" s="15"/>
      <c r="B388" s="22" t="str">
        <f>'Ingest Template'!C388&amp;IF('Ingest Template'!A388 = "Standard", " - DAR","")</f>
        <v/>
      </c>
      <c r="C388" s="22" t="s">
        <v>83</v>
      </c>
      <c r="D388" s="22" t="str">
        <f t="array" ref="D388">CONCATENATE(INDEX(DropdownLists!$H$2:$H$11,MATCH(1,COUNTIF('Ingest Template'!E388,"*"&amp;DropdownLists!$I$2:$I$11&amp;"*"),0)),CHAR(10),'Ingest Template'!F388,CHAR(10),'Ingest Template'!G388,CHAR(10),VLOOKUP('Ingest Template'!D388,DropdownLists!C:D,2,FALSE))</f>
        <v>#N/A</v>
      </c>
      <c r="E388" s="22" t="str">
        <f>CONCATENATE('Ingest Template'!H388,CHAR(10),'Ingest Template'!I388,CHAR(10),'Ingest Template'!J388,CHAR(10))</f>
        <v>
</v>
      </c>
      <c r="F388" s="35" t="str">
        <f t="array" ref="F388">INDEX(DropdownLists!$O$2:$O$36,MATCH(1,COUNTIF(E388,"*"&amp;DropdownLists!$N$2:$N$36&amp;"*"),0))</f>
        <v/>
      </c>
      <c r="G388" s="35"/>
      <c r="H388" s="22" t="str">
        <f t="array" ref="H388">INDEX(DropdownLists!$E$2:$E$276,MATCH('Ingest Template'!D388,DropdownLists!$C$2:$C$276,0))</f>
        <v>#N/A</v>
      </c>
      <c r="I388" s="22"/>
      <c r="J388" s="22" t="str">
        <f t="array" ref="J388">iF('Ingest Template'!A388="Standard","Pristine Brand",INDEX(DropdownLists!$B$2:$B$246,MATCH('Ingest Template'!D388,DropdownLists!$C$2:$C$246,0)))</f>
        <v>#N/A</v>
      </c>
      <c r="K388" s="22" t="str">
        <f>iF('Ingest Template'!A388="Standard",'Ingest Template'!K388&amp;CHAR(10)&amp;'Ingest Template'!L388,"Competitive View")</f>
        <v>Competitive View</v>
      </c>
      <c r="L388" s="22" t="s">
        <v>95</v>
      </c>
      <c r="M388" s="45" t="str">
        <f>'Ingest Template'!B388</f>
        <v/>
      </c>
      <c r="N388" s="35"/>
      <c r="O388" s="35"/>
      <c r="P388" s="35"/>
      <c r="Q388" s="35"/>
      <c r="R388" s="35" t="str">
        <f>'Ingest Template'!D388</f>
        <v/>
      </c>
      <c r="S388" s="22" t="s">
        <v>101</v>
      </c>
      <c r="T388" s="35" t="str">
        <f>'Ingest Template'!V388</f>
        <v/>
      </c>
      <c r="U388" s="35" t="str">
        <f>'Ingest Template'!W388</f>
        <v/>
      </c>
      <c r="V388" s="35" t="str">
        <f>LOWER(SUBSTITUTE(SUBSTITUTE(SUBSTITUTE(SUBSTITUTE(SUBSTITUTE('Ingest Template'!X388,"https:",""),"www.",""),"/",""),"?hl=en",""),"instagram.com",""))</f>
        <v/>
      </c>
      <c r="W388" s="74" t="str">
        <f t="array" ref="W388">IF(
'Ingest Template'!Y388="",
SUBSTITUTE(
INDEX(DropdownLists!$F$2:$F$277,MATCH('Ingest Template'!D388,DropdownLists!$C$2:$C$277,0)),
CHAR(10),
"|"&amp;'Ingest Template'!C388&amp;CHAR(10)
)&amp;"|"&amp;'Ingest Template'!C388,
SUBSTITUTE(
INDEX(DropdownLists!$F$2:$F$277,MATCH('Ingest Template'!D388,DropdownLists!$C$2:$C$277,0)),
CHAR(10),
"|"&amp;'Ingest Template'!C388&amp;CHAR(10)
)&amp;"|"&amp;'Ingest Template'!C388&amp;CHAR(10)&amp;'Ingest Template'!Y388
)</f>
        <v>#N/A</v>
      </c>
      <c r="X388" s="74" t="str">
        <f>'Ingest Template'!Z388</f>
        <v/>
      </c>
      <c r="Y388" s="35" t="str">
        <f>SUBSTITUTE(SUBSTITUTE(SUBSTITUTE('Ingest Template'!AA388,"http:",""),"https:",""),"/","")</f>
        <v/>
      </c>
      <c r="Z388" s="35" t="str">
        <f t="array" ref="Z388">IF('Ingest Template'!A388="Standard",(IF(ISBLANK('Ingest Template'!AB388),"", 'Ingest Template'!AB388&amp;"|DAR")),(IF(ISBLANK('Ingest Template'!AB388),"", 'Ingest Template'!AB388&amp;"|TV Ops")))</f>
        <v/>
      </c>
      <c r="AA388" s="35"/>
      <c r="AB388" s="35" t="str">
        <f>'Ingest Template'!R388</f>
        <v/>
      </c>
      <c r="AC388" s="35" t="str">
        <f>'Ingest Template'!T388</f>
        <v/>
      </c>
      <c r="AD388" s="35" t="str">
        <f>'Ingest Template'!S388</f>
        <v/>
      </c>
      <c r="AE388" s="35" t="str">
        <f>'Ingest Template'!U388</f>
        <v/>
      </c>
      <c r="AF388" s="22"/>
      <c r="AG388" s="35" t="str">
        <f t="array" ref="AG388">IF('Ingest Template'!A388="Standard",(CONCATENATE(IF(ISBLANK('Ingest Template'!N388),"", 'Ingest Template'!N388&amp;"|DAR"),CHAR(10), IF(ISBLANK('Ingest Template'!O388),"", 'Ingest Template'!O388&amp;"|DAR"),CHAR(10), IF(ISBLANK('Ingest Template'!P388),"", 'Ingest Template'!P388&amp;"|DAR"))),(CONCATENATE(IF(ISBLANK('Ingest Template'!N388),"", 'Ingest Template'!N388&amp;"|TV Ops"),CHAR(10), IF(ISBLANK('Ingest Template'!O388),"", 'Ingest Template'!O388&amp;"|TV Ops"),CHAR(10), IF(ISBLANK('Ingest Template'!P388),"", 'Ingest Template'!P388&amp;"|TV Ops"))))</f>
        <v>
</v>
      </c>
      <c r="AH388" s="35"/>
      <c r="AI388" s="35"/>
      <c r="AJ388" s="117" t="str">
        <f>if('Ingest Template'!A388="Standard",(IF(OR('Ingest Template'!F388 = "Program Type - Special", 'Ingest Template'!F388 = "Program Type - Live Event"),'Ingest Template'!M388&amp; "|DAR|DAR|"&amp;TEXT('Ingest Template'!C388-3, "yyyy-mm-dd")&amp;"|"&amp;TEXT('Ingest Template'!C388+3, "yyyy-mm-dd"),'Ingest Template'!M388&amp; "|DAR|DAR|2021-01-01")),(IF(OR('Ingest Template'!F388 = "Program Type - Special", 'Ingest Template'!F388 = "Program Type - Live Event"),'Ingest Template'!M388&amp; "|Operations - Core Title|Operations - Core Title|"&amp;TEXT('Ingest Template'!C388-3, "yyyy-mm-dd")&amp;"|"&amp;TEXT('Ingest Template'!C388+3, "yyyy-mm-dd"),'Ingest Template'!M388&amp; "|Operations - Core Title|Operations - Core Title")))</f>
        <v>|Operations - Core Title|Operations - Core Title</v>
      </c>
      <c r="AK388" s="35"/>
      <c r="AL388" s="117" t="str">
        <f>if('Ingest Template'!A388="Standard",(IF(OR('Ingest Template'!F388 = "Program Type - Special", 'Ingest Template'!F388 = "Program Type - Live Event"),'Ingest Template'!Q388&amp;"|"&amp;TEXT('Ingest Template'!C388-3, "yyyy-mm-dd")&amp;"|"&amp;TEXT('Ingest Template'!C388+3, "yyyy-mm-dd"),'Ingest Template'!Q388&amp; "|2021-01-01")),(IF(OR('Ingest Template'!F388 = "Program Type - Special", 'Ingest Template'!F388 = "Program Type - Live Event"),'Ingest Template'!Q388&amp; "|"&amp;TEXT('Ingest Template'!C388-3, "yyyy-mm-dd")&amp;"|"&amp;TEXT('Ingest Template'!C388+3, "yyyy-mm-dd"),'Ingest Template'!Q388)))</f>
        <v/>
      </c>
      <c r="AM388" s="35" t="str">
        <f>'Ingest Template'!AC388</f>
        <v/>
      </c>
    </row>
    <row r="389">
      <c r="A389" s="15"/>
      <c r="B389" s="22" t="str">
        <f>'Ingest Template'!C389&amp;IF('Ingest Template'!A389 = "Standard", " - DAR","")</f>
        <v/>
      </c>
      <c r="C389" s="22" t="s">
        <v>83</v>
      </c>
      <c r="D389" s="22" t="str">
        <f t="array" ref="D389">CONCATENATE(INDEX(DropdownLists!$H$2:$H$11,MATCH(1,COUNTIF('Ingest Template'!E389,"*"&amp;DropdownLists!$I$2:$I$11&amp;"*"),0)),CHAR(10),'Ingest Template'!F389,CHAR(10),'Ingest Template'!G389,CHAR(10),VLOOKUP('Ingest Template'!D389,DropdownLists!C:D,2,FALSE))</f>
        <v>#N/A</v>
      </c>
      <c r="E389" s="22" t="str">
        <f>CONCATENATE('Ingest Template'!H389,CHAR(10),'Ingest Template'!I389,CHAR(10),'Ingest Template'!J389,CHAR(10))</f>
        <v>
</v>
      </c>
      <c r="F389" s="35" t="str">
        <f t="array" ref="F389">INDEX(DropdownLists!$O$2:$O$36,MATCH(1,COUNTIF(E389,"*"&amp;DropdownLists!$N$2:$N$36&amp;"*"),0))</f>
        <v/>
      </c>
      <c r="G389" s="35"/>
      <c r="H389" s="22" t="str">
        <f t="array" ref="H389">INDEX(DropdownLists!$E$2:$E$276,MATCH('Ingest Template'!D389,DropdownLists!$C$2:$C$276,0))</f>
        <v>#N/A</v>
      </c>
      <c r="I389" s="22"/>
      <c r="J389" s="22" t="str">
        <f t="array" ref="J389">iF('Ingest Template'!A389="Standard","Pristine Brand",INDEX(DropdownLists!$B$2:$B$246,MATCH('Ingest Template'!D389,DropdownLists!$C$2:$C$246,0)))</f>
        <v>#N/A</v>
      </c>
      <c r="K389" s="22" t="str">
        <f>iF('Ingest Template'!A389="Standard",'Ingest Template'!K389&amp;CHAR(10)&amp;'Ingest Template'!L389,"Competitive View")</f>
        <v>Competitive View</v>
      </c>
      <c r="L389" s="22" t="s">
        <v>95</v>
      </c>
      <c r="M389" s="45" t="str">
        <f>'Ingest Template'!B389</f>
        <v/>
      </c>
      <c r="N389" s="35"/>
      <c r="O389" s="35"/>
      <c r="P389" s="35"/>
      <c r="Q389" s="35"/>
      <c r="R389" s="35" t="str">
        <f>'Ingest Template'!D389</f>
        <v/>
      </c>
      <c r="S389" s="22" t="s">
        <v>101</v>
      </c>
      <c r="T389" s="35" t="str">
        <f>'Ingest Template'!V389</f>
        <v/>
      </c>
      <c r="U389" s="35" t="str">
        <f>'Ingest Template'!W389</f>
        <v/>
      </c>
      <c r="V389" s="35" t="str">
        <f>LOWER(SUBSTITUTE(SUBSTITUTE(SUBSTITUTE(SUBSTITUTE(SUBSTITUTE('Ingest Template'!X389,"https:",""),"www.",""),"/",""),"?hl=en",""),"instagram.com",""))</f>
        <v/>
      </c>
      <c r="W389" s="74" t="str">
        <f t="array" ref="W389">IF(
'Ingest Template'!Y389="",
SUBSTITUTE(
INDEX(DropdownLists!$F$2:$F$277,MATCH('Ingest Template'!D389,DropdownLists!$C$2:$C$277,0)),
CHAR(10),
"|"&amp;'Ingest Template'!C389&amp;CHAR(10)
)&amp;"|"&amp;'Ingest Template'!C389,
SUBSTITUTE(
INDEX(DropdownLists!$F$2:$F$277,MATCH('Ingest Template'!D389,DropdownLists!$C$2:$C$277,0)),
CHAR(10),
"|"&amp;'Ingest Template'!C389&amp;CHAR(10)
)&amp;"|"&amp;'Ingest Template'!C389&amp;CHAR(10)&amp;'Ingest Template'!Y389
)</f>
        <v>#N/A</v>
      </c>
      <c r="X389" s="74" t="str">
        <f>'Ingest Template'!Z389</f>
        <v/>
      </c>
      <c r="Y389" s="35" t="str">
        <f>SUBSTITUTE(SUBSTITUTE(SUBSTITUTE('Ingest Template'!AA389,"http:",""),"https:",""),"/","")</f>
        <v/>
      </c>
      <c r="Z389" s="35" t="str">
        <f t="array" ref="Z389">IF('Ingest Template'!A389="Standard",(IF(ISBLANK('Ingest Template'!AB389),"", 'Ingest Template'!AB389&amp;"|DAR")),(IF(ISBLANK('Ingest Template'!AB389),"", 'Ingest Template'!AB389&amp;"|TV Ops")))</f>
        <v/>
      </c>
      <c r="AA389" s="35"/>
      <c r="AB389" s="35" t="str">
        <f>'Ingest Template'!R389</f>
        <v/>
      </c>
      <c r="AC389" s="35" t="str">
        <f>'Ingest Template'!T389</f>
        <v/>
      </c>
      <c r="AD389" s="35" t="str">
        <f>'Ingest Template'!S389</f>
        <v/>
      </c>
      <c r="AE389" s="35" t="str">
        <f>'Ingest Template'!U389</f>
        <v/>
      </c>
      <c r="AF389" s="22"/>
      <c r="AG389" s="35" t="str">
        <f t="array" ref="AG389">IF('Ingest Template'!A389="Standard",(CONCATENATE(IF(ISBLANK('Ingest Template'!N389),"", 'Ingest Template'!N389&amp;"|DAR"),CHAR(10), IF(ISBLANK('Ingest Template'!O389),"", 'Ingest Template'!O389&amp;"|DAR"),CHAR(10), IF(ISBLANK('Ingest Template'!P389),"", 'Ingest Template'!P389&amp;"|DAR"))),(CONCATENATE(IF(ISBLANK('Ingest Template'!N389),"", 'Ingest Template'!N389&amp;"|TV Ops"),CHAR(10), IF(ISBLANK('Ingest Template'!O389),"", 'Ingest Template'!O389&amp;"|TV Ops"),CHAR(10), IF(ISBLANK('Ingest Template'!P389),"", 'Ingest Template'!P389&amp;"|TV Ops"))))</f>
        <v>
</v>
      </c>
      <c r="AH389" s="35"/>
      <c r="AI389" s="35"/>
      <c r="AJ389" s="117" t="str">
        <f>if('Ingest Template'!A389="Standard",(IF(OR('Ingest Template'!F389 = "Program Type - Special", 'Ingest Template'!F389 = "Program Type - Live Event"),'Ingest Template'!M389&amp; "|DAR|DAR|"&amp;TEXT('Ingest Template'!C389-3, "yyyy-mm-dd")&amp;"|"&amp;TEXT('Ingest Template'!C389+3, "yyyy-mm-dd"),'Ingest Template'!M389&amp; "|DAR|DAR|2021-01-01")),(IF(OR('Ingest Template'!F389 = "Program Type - Special", 'Ingest Template'!F389 = "Program Type - Live Event"),'Ingest Template'!M389&amp; "|Operations - Core Title|Operations - Core Title|"&amp;TEXT('Ingest Template'!C389-3, "yyyy-mm-dd")&amp;"|"&amp;TEXT('Ingest Template'!C389+3, "yyyy-mm-dd"),'Ingest Template'!M389&amp; "|Operations - Core Title|Operations - Core Title")))</f>
        <v>|Operations - Core Title|Operations - Core Title</v>
      </c>
      <c r="AK389" s="35"/>
      <c r="AL389" s="117" t="str">
        <f>if('Ingest Template'!A389="Standard",(IF(OR('Ingest Template'!F389 = "Program Type - Special", 'Ingest Template'!F389 = "Program Type - Live Event"),'Ingest Template'!Q389&amp;"|"&amp;TEXT('Ingest Template'!C389-3, "yyyy-mm-dd")&amp;"|"&amp;TEXT('Ingest Template'!C389+3, "yyyy-mm-dd"),'Ingest Template'!Q389&amp; "|2021-01-01")),(IF(OR('Ingest Template'!F389 = "Program Type - Special", 'Ingest Template'!F389 = "Program Type - Live Event"),'Ingest Template'!Q389&amp; "|"&amp;TEXT('Ingest Template'!C389-3, "yyyy-mm-dd")&amp;"|"&amp;TEXT('Ingest Template'!C389+3, "yyyy-mm-dd"),'Ingest Template'!Q389)))</f>
        <v/>
      </c>
      <c r="AM389" s="35" t="str">
        <f>'Ingest Template'!AC389</f>
        <v/>
      </c>
    </row>
    <row r="390">
      <c r="A390" s="15"/>
      <c r="B390" s="22" t="str">
        <f>'Ingest Template'!C390&amp;IF('Ingest Template'!A390 = "Standard", " - DAR","")</f>
        <v/>
      </c>
      <c r="C390" s="22" t="s">
        <v>83</v>
      </c>
      <c r="D390" s="22" t="str">
        <f t="array" ref="D390">CONCATENATE(INDEX(DropdownLists!$H$2:$H$11,MATCH(1,COUNTIF('Ingest Template'!E390,"*"&amp;DropdownLists!$I$2:$I$11&amp;"*"),0)),CHAR(10),'Ingest Template'!F390,CHAR(10),'Ingest Template'!G390,CHAR(10),VLOOKUP('Ingest Template'!D390,DropdownLists!C:D,2,FALSE))</f>
        <v>#N/A</v>
      </c>
      <c r="E390" s="22" t="str">
        <f>CONCATENATE('Ingest Template'!H390,CHAR(10),'Ingest Template'!I390,CHAR(10),'Ingest Template'!J390,CHAR(10))</f>
        <v>
</v>
      </c>
      <c r="F390" s="35" t="str">
        <f t="array" ref="F390">INDEX(DropdownLists!$O$2:$O$36,MATCH(1,COUNTIF(E390,"*"&amp;DropdownLists!$N$2:$N$36&amp;"*"),0))</f>
        <v/>
      </c>
      <c r="G390" s="35"/>
      <c r="H390" s="22" t="str">
        <f t="array" ref="H390">INDEX(DropdownLists!$E$2:$E$276,MATCH('Ingest Template'!D390,DropdownLists!$C$2:$C$276,0))</f>
        <v>#N/A</v>
      </c>
      <c r="I390" s="22"/>
      <c r="J390" s="22" t="str">
        <f t="array" ref="J390">iF('Ingest Template'!A390="Standard","Pristine Brand",INDEX(DropdownLists!$B$2:$B$246,MATCH('Ingest Template'!D390,DropdownLists!$C$2:$C$246,0)))</f>
        <v>#N/A</v>
      </c>
      <c r="K390" s="22" t="str">
        <f>iF('Ingest Template'!A390="Standard",'Ingest Template'!K390&amp;CHAR(10)&amp;'Ingest Template'!L390,"Competitive View")</f>
        <v>Competitive View</v>
      </c>
      <c r="L390" s="22" t="s">
        <v>95</v>
      </c>
      <c r="M390" s="45" t="str">
        <f>'Ingest Template'!B390</f>
        <v/>
      </c>
      <c r="N390" s="35"/>
      <c r="O390" s="35"/>
      <c r="P390" s="35"/>
      <c r="Q390" s="35"/>
      <c r="R390" s="35" t="str">
        <f>'Ingest Template'!D390</f>
        <v/>
      </c>
      <c r="S390" s="22" t="s">
        <v>101</v>
      </c>
      <c r="T390" s="35" t="str">
        <f>'Ingest Template'!V390</f>
        <v/>
      </c>
      <c r="U390" s="35" t="str">
        <f>'Ingest Template'!W390</f>
        <v/>
      </c>
      <c r="V390" s="35" t="str">
        <f>LOWER(SUBSTITUTE(SUBSTITUTE(SUBSTITUTE(SUBSTITUTE(SUBSTITUTE('Ingest Template'!X390,"https:",""),"www.",""),"/",""),"?hl=en",""),"instagram.com",""))</f>
        <v/>
      </c>
      <c r="W390" s="74" t="str">
        <f t="array" ref="W390">IF(
'Ingest Template'!Y390="",
SUBSTITUTE(
INDEX(DropdownLists!$F$2:$F$277,MATCH('Ingest Template'!D390,DropdownLists!$C$2:$C$277,0)),
CHAR(10),
"|"&amp;'Ingest Template'!C390&amp;CHAR(10)
)&amp;"|"&amp;'Ingest Template'!C390,
SUBSTITUTE(
INDEX(DropdownLists!$F$2:$F$277,MATCH('Ingest Template'!D390,DropdownLists!$C$2:$C$277,0)),
CHAR(10),
"|"&amp;'Ingest Template'!C390&amp;CHAR(10)
)&amp;"|"&amp;'Ingest Template'!C390&amp;CHAR(10)&amp;'Ingest Template'!Y390
)</f>
        <v>#N/A</v>
      </c>
      <c r="X390" s="74" t="str">
        <f>'Ingest Template'!Z390</f>
        <v/>
      </c>
      <c r="Y390" s="35" t="str">
        <f>SUBSTITUTE(SUBSTITUTE(SUBSTITUTE('Ingest Template'!AA390,"http:",""),"https:",""),"/","")</f>
        <v/>
      </c>
      <c r="Z390" s="35" t="str">
        <f t="array" ref="Z390">IF('Ingest Template'!A390="Standard",(IF(ISBLANK('Ingest Template'!AB390),"", 'Ingest Template'!AB390&amp;"|DAR")),(IF(ISBLANK('Ingest Template'!AB390),"", 'Ingest Template'!AB390&amp;"|TV Ops")))</f>
        <v/>
      </c>
      <c r="AA390" s="35"/>
      <c r="AB390" s="35" t="str">
        <f>'Ingest Template'!R390</f>
        <v/>
      </c>
      <c r="AC390" s="35" t="str">
        <f>'Ingest Template'!T390</f>
        <v/>
      </c>
      <c r="AD390" s="35" t="str">
        <f>'Ingest Template'!S390</f>
        <v/>
      </c>
      <c r="AE390" s="35" t="str">
        <f>'Ingest Template'!U390</f>
        <v/>
      </c>
      <c r="AF390" s="22"/>
      <c r="AG390" s="35" t="str">
        <f t="array" ref="AG390">IF('Ingest Template'!A390="Standard",(CONCATENATE(IF(ISBLANK('Ingest Template'!N390),"", 'Ingest Template'!N390&amp;"|DAR"),CHAR(10), IF(ISBLANK('Ingest Template'!O390),"", 'Ingest Template'!O390&amp;"|DAR"),CHAR(10), IF(ISBLANK('Ingest Template'!P390),"", 'Ingest Template'!P390&amp;"|DAR"))),(CONCATENATE(IF(ISBLANK('Ingest Template'!N390),"", 'Ingest Template'!N390&amp;"|TV Ops"),CHAR(10), IF(ISBLANK('Ingest Template'!O390),"", 'Ingest Template'!O390&amp;"|TV Ops"),CHAR(10), IF(ISBLANK('Ingest Template'!P390),"", 'Ingest Template'!P390&amp;"|TV Ops"))))</f>
        <v>
</v>
      </c>
      <c r="AH390" s="35"/>
      <c r="AI390" s="35"/>
      <c r="AJ390" s="117" t="str">
        <f>if('Ingest Template'!A390="Standard",(IF(OR('Ingest Template'!F390 = "Program Type - Special", 'Ingest Template'!F390 = "Program Type - Live Event"),'Ingest Template'!M390&amp; "|DAR|DAR|"&amp;TEXT('Ingest Template'!C390-3, "yyyy-mm-dd")&amp;"|"&amp;TEXT('Ingest Template'!C390+3, "yyyy-mm-dd"),'Ingest Template'!M390&amp; "|DAR|DAR|2021-01-01")),(IF(OR('Ingest Template'!F390 = "Program Type - Special", 'Ingest Template'!F390 = "Program Type - Live Event"),'Ingest Template'!M390&amp; "|Operations - Core Title|Operations - Core Title|"&amp;TEXT('Ingest Template'!C390-3, "yyyy-mm-dd")&amp;"|"&amp;TEXT('Ingest Template'!C390+3, "yyyy-mm-dd"),'Ingest Template'!M390&amp; "|Operations - Core Title|Operations - Core Title")))</f>
        <v>|Operations - Core Title|Operations - Core Title</v>
      </c>
      <c r="AK390" s="35"/>
      <c r="AL390" s="117" t="str">
        <f>if('Ingest Template'!A390="Standard",(IF(OR('Ingest Template'!F390 = "Program Type - Special", 'Ingest Template'!F390 = "Program Type - Live Event"),'Ingest Template'!Q390&amp;"|"&amp;TEXT('Ingest Template'!C390-3, "yyyy-mm-dd")&amp;"|"&amp;TEXT('Ingest Template'!C390+3, "yyyy-mm-dd"),'Ingest Template'!Q390&amp; "|2021-01-01")),(IF(OR('Ingest Template'!F390 = "Program Type - Special", 'Ingest Template'!F390 = "Program Type - Live Event"),'Ingest Template'!Q390&amp; "|"&amp;TEXT('Ingest Template'!C390-3, "yyyy-mm-dd")&amp;"|"&amp;TEXT('Ingest Template'!C390+3, "yyyy-mm-dd"),'Ingest Template'!Q390)))</f>
        <v/>
      </c>
      <c r="AM390" s="35" t="str">
        <f>'Ingest Template'!AC390</f>
        <v/>
      </c>
    </row>
    <row r="391">
      <c r="A391" s="15"/>
      <c r="B391" s="22" t="str">
        <f>'Ingest Template'!C391&amp;IF('Ingest Template'!A391 = "Standard", " - DAR","")</f>
        <v/>
      </c>
      <c r="C391" s="22" t="s">
        <v>83</v>
      </c>
      <c r="D391" s="22" t="str">
        <f t="array" ref="D391">CONCATENATE(INDEX(DropdownLists!$H$2:$H$11,MATCH(1,COUNTIF('Ingest Template'!E391,"*"&amp;DropdownLists!$I$2:$I$11&amp;"*"),0)),CHAR(10),'Ingest Template'!F391,CHAR(10),'Ingest Template'!G391,CHAR(10),VLOOKUP('Ingest Template'!D391,DropdownLists!C:D,2,FALSE))</f>
        <v>#N/A</v>
      </c>
      <c r="E391" s="22" t="str">
        <f>CONCATENATE('Ingest Template'!H391,CHAR(10),'Ingest Template'!I391,CHAR(10),'Ingest Template'!J391,CHAR(10))</f>
        <v>
</v>
      </c>
      <c r="F391" s="35" t="str">
        <f t="array" ref="F391">INDEX(DropdownLists!$O$2:$O$36,MATCH(1,COUNTIF(E391,"*"&amp;DropdownLists!$N$2:$N$36&amp;"*"),0))</f>
        <v/>
      </c>
      <c r="G391" s="35"/>
      <c r="H391" s="22" t="str">
        <f t="array" ref="H391">INDEX(DropdownLists!$E$2:$E$276,MATCH('Ingest Template'!D391,DropdownLists!$C$2:$C$276,0))</f>
        <v>#N/A</v>
      </c>
      <c r="I391" s="22"/>
      <c r="J391" s="22" t="str">
        <f t="array" ref="J391">iF('Ingest Template'!A391="Standard","Pristine Brand",INDEX(DropdownLists!$B$2:$B$246,MATCH('Ingest Template'!D391,DropdownLists!$C$2:$C$246,0)))</f>
        <v>#N/A</v>
      </c>
      <c r="K391" s="22" t="str">
        <f>iF('Ingest Template'!A391="Standard",'Ingest Template'!K391&amp;CHAR(10)&amp;'Ingest Template'!L391,"Competitive View")</f>
        <v>Competitive View</v>
      </c>
      <c r="L391" s="22" t="s">
        <v>95</v>
      </c>
      <c r="M391" s="45" t="str">
        <f>'Ingest Template'!B391</f>
        <v/>
      </c>
      <c r="N391" s="35"/>
      <c r="O391" s="35"/>
      <c r="P391" s="35"/>
      <c r="Q391" s="35"/>
      <c r="R391" s="35" t="str">
        <f>'Ingest Template'!D391</f>
        <v/>
      </c>
      <c r="S391" s="22" t="s">
        <v>101</v>
      </c>
      <c r="T391" s="35" t="str">
        <f>'Ingest Template'!V391</f>
        <v/>
      </c>
      <c r="U391" s="35" t="str">
        <f>'Ingest Template'!W391</f>
        <v/>
      </c>
      <c r="V391" s="35" t="str">
        <f>LOWER(SUBSTITUTE(SUBSTITUTE(SUBSTITUTE(SUBSTITUTE(SUBSTITUTE('Ingest Template'!X391,"https:",""),"www.",""),"/",""),"?hl=en",""),"instagram.com",""))</f>
        <v/>
      </c>
      <c r="W391" s="74" t="str">
        <f t="array" ref="W391">IF(
'Ingest Template'!Y391="",
SUBSTITUTE(
INDEX(DropdownLists!$F$2:$F$277,MATCH('Ingest Template'!D391,DropdownLists!$C$2:$C$277,0)),
CHAR(10),
"|"&amp;'Ingest Template'!C391&amp;CHAR(10)
)&amp;"|"&amp;'Ingest Template'!C391,
SUBSTITUTE(
INDEX(DropdownLists!$F$2:$F$277,MATCH('Ingest Template'!D391,DropdownLists!$C$2:$C$277,0)),
CHAR(10),
"|"&amp;'Ingest Template'!C391&amp;CHAR(10)
)&amp;"|"&amp;'Ingest Template'!C391&amp;CHAR(10)&amp;'Ingest Template'!Y391
)</f>
        <v>#N/A</v>
      </c>
      <c r="X391" s="74" t="str">
        <f>'Ingest Template'!Z391</f>
        <v/>
      </c>
      <c r="Y391" s="35" t="str">
        <f>SUBSTITUTE(SUBSTITUTE(SUBSTITUTE('Ingest Template'!AA391,"http:",""),"https:",""),"/","")</f>
        <v/>
      </c>
      <c r="Z391" s="35" t="str">
        <f t="array" ref="Z391">IF('Ingest Template'!A391="Standard",(IF(ISBLANK('Ingest Template'!AB391),"", 'Ingest Template'!AB391&amp;"|DAR")),(IF(ISBLANK('Ingest Template'!AB391),"", 'Ingest Template'!AB391&amp;"|TV Ops")))</f>
        <v/>
      </c>
      <c r="AA391" s="35"/>
      <c r="AB391" s="35" t="str">
        <f>'Ingest Template'!R391</f>
        <v/>
      </c>
      <c r="AC391" s="35" t="str">
        <f>'Ingest Template'!T391</f>
        <v/>
      </c>
      <c r="AD391" s="35" t="str">
        <f>'Ingest Template'!S391</f>
        <v/>
      </c>
      <c r="AE391" s="35" t="str">
        <f>'Ingest Template'!U391</f>
        <v/>
      </c>
      <c r="AF391" s="22"/>
      <c r="AG391" s="35" t="str">
        <f t="array" ref="AG391">IF('Ingest Template'!A391="Standard",(CONCATENATE(IF(ISBLANK('Ingest Template'!N391),"", 'Ingest Template'!N391&amp;"|DAR"),CHAR(10), IF(ISBLANK('Ingest Template'!O391),"", 'Ingest Template'!O391&amp;"|DAR"),CHAR(10), IF(ISBLANK('Ingest Template'!P391),"", 'Ingest Template'!P391&amp;"|DAR"))),(CONCATENATE(IF(ISBLANK('Ingest Template'!N391),"", 'Ingest Template'!N391&amp;"|TV Ops"),CHAR(10), IF(ISBLANK('Ingest Template'!O391),"", 'Ingest Template'!O391&amp;"|TV Ops"),CHAR(10), IF(ISBLANK('Ingest Template'!P391),"", 'Ingest Template'!P391&amp;"|TV Ops"))))</f>
        <v>
</v>
      </c>
      <c r="AH391" s="35"/>
      <c r="AI391" s="35"/>
      <c r="AJ391" s="117" t="str">
        <f>if('Ingest Template'!A391="Standard",(IF(OR('Ingest Template'!F391 = "Program Type - Special", 'Ingest Template'!F391 = "Program Type - Live Event"),'Ingest Template'!M391&amp; "|DAR|DAR|"&amp;TEXT('Ingest Template'!C391-3, "yyyy-mm-dd")&amp;"|"&amp;TEXT('Ingest Template'!C391+3, "yyyy-mm-dd"),'Ingest Template'!M391&amp; "|DAR|DAR|2021-01-01")),(IF(OR('Ingest Template'!F391 = "Program Type - Special", 'Ingest Template'!F391 = "Program Type - Live Event"),'Ingest Template'!M391&amp; "|Operations - Core Title|Operations - Core Title|"&amp;TEXT('Ingest Template'!C391-3, "yyyy-mm-dd")&amp;"|"&amp;TEXT('Ingest Template'!C391+3, "yyyy-mm-dd"),'Ingest Template'!M391&amp; "|Operations - Core Title|Operations - Core Title")))</f>
        <v>|Operations - Core Title|Operations - Core Title</v>
      </c>
      <c r="AK391" s="35"/>
      <c r="AL391" s="117" t="str">
        <f>if('Ingest Template'!A391="Standard",(IF(OR('Ingest Template'!F391 = "Program Type - Special", 'Ingest Template'!F391 = "Program Type - Live Event"),'Ingest Template'!Q391&amp;"|"&amp;TEXT('Ingest Template'!C391-3, "yyyy-mm-dd")&amp;"|"&amp;TEXT('Ingest Template'!C391+3, "yyyy-mm-dd"),'Ingest Template'!Q391&amp; "|2021-01-01")),(IF(OR('Ingest Template'!F391 = "Program Type - Special", 'Ingest Template'!F391 = "Program Type - Live Event"),'Ingest Template'!Q391&amp; "|"&amp;TEXT('Ingest Template'!C391-3, "yyyy-mm-dd")&amp;"|"&amp;TEXT('Ingest Template'!C391+3, "yyyy-mm-dd"),'Ingest Template'!Q391)))</f>
        <v/>
      </c>
      <c r="AM391" s="35" t="str">
        <f>'Ingest Template'!AC391</f>
        <v/>
      </c>
    </row>
    <row r="392">
      <c r="A392" s="15"/>
      <c r="B392" s="22" t="str">
        <f>'Ingest Template'!C392&amp;IF('Ingest Template'!A392 = "Standard", " - DAR","")</f>
        <v/>
      </c>
      <c r="C392" s="22" t="s">
        <v>83</v>
      </c>
      <c r="D392" s="22" t="str">
        <f t="array" ref="D392">CONCATENATE(INDEX(DropdownLists!$H$2:$H$11,MATCH(1,COUNTIF('Ingest Template'!E392,"*"&amp;DropdownLists!$I$2:$I$11&amp;"*"),0)),CHAR(10),'Ingest Template'!F392,CHAR(10),'Ingest Template'!G392,CHAR(10),VLOOKUP('Ingest Template'!D392,DropdownLists!C:D,2,FALSE))</f>
        <v>#N/A</v>
      </c>
      <c r="E392" s="22" t="str">
        <f>CONCATENATE('Ingest Template'!H392,CHAR(10),'Ingest Template'!I392,CHAR(10),'Ingest Template'!J392,CHAR(10))</f>
        <v>
</v>
      </c>
      <c r="F392" s="35" t="str">
        <f t="array" ref="F392">INDEX(DropdownLists!$O$2:$O$36,MATCH(1,COUNTIF(E392,"*"&amp;DropdownLists!$N$2:$N$36&amp;"*"),0))</f>
        <v/>
      </c>
      <c r="G392" s="35"/>
      <c r="H392" s="22" t="str">
        <f t="array" ref="H392">INDEX(DropdownLists!$E$2:$E$276,MATCH('Ingest Template'!D392,DropdownLists!$C$2:$C$276,0))</f>
        <v>#N/A</v>
      </c>
      <c r="I392" s="22"/>
      <c r="J392" s="22" t="str">
        <f t="array" ref="J392">iF('Ingest Template'!A392="Standard","Pristine Brand",INDEX(DropdownLists!$B$2:$B$246,MATCH('Ingest Template'!D392,DropdownLists!$C$2:$C$246,0)))</f>
        <v>#N/A</v>
      </c>
      <c r="K392" s="22" t="str">
        <f>iF('Ingest Template'!A392="Standard",'Ingest Template'!K392&amp;CHAR(10)&amp;'Ingest Template'!L392,"Competitive View")</f>
        <v>Competitive View</v>
      </c>
      <c r="L392" s="22" t="s">
        <v>95</v>
      </c>
      <c r="M392" s="45" t="str">
        <f>'Ingest Template'!B392</f>
        <v/>
      </c>
      <c r="N392" s="35"/>
      <c r="O392" s="35"/>
      <c r="P392" s="35"/>
      <c r="Q392" s="35"/>
      <c r="R392" s="35" t="str">
        <f>'Ingest Template'!D392</f>
        <v/>
      </c>
      <c r="S392" s="22" t="s">
        <v>101</v>
      </c>
      <c r="T392" s="35" t="str">
        <f>'Ingest Template'!V392</f>
        <v/>
      </c>
      <c r="U392" s="35" t="str">
        <f>'Ingest Template'!W392</f>
        <v/>
      </c>
      <c r="V392" s="35" t="str">
        <f>LOWER(SUBSTITUTE(SUBSTITUTE(SUBSTITUTE(SUBSTITUTE(SUBSTITUTE('Ingest Template'!X392,"https:",""),"www.",""),"/",""),"?hl=en",""),"instagram.com",""))</f>
        <v/>
      </c>
      <c r="W392" s="74" t="str">
        <f t="array" ref="W392">IF(
'Ingest Template'!Y392="",
SUBSTITUTE(
INDEX(DropdownLists!$F$2:$F$277,MATCH('Ingest Template'!D392,DropdownLists!$C$2:$C$277,0)),
CHAR(10),
"|"&amp;'Ingest Template'!C392&amp;CHAR(10)
)&amp;"|"&amp;'Ingest Template'!C392,
SUBSTITUTE(
INDEX(DropdownLists!$F$2:$F$277,MATCH('Ingest Template'!D392,DropdownLists!$C$2:$C$277,0)),
CHAR(10),
"|"&amp;'Ingest Template'!C392&amp;CHAR(10)
)&amp;"|"&amp;'Ingest Template'!C392&amp;CHAR(10)&amp;'Ingest Template'!Y392
)</f>
        <v>#N/A</v>
      </c>
      <c r="X392" s="74" t="str">
        <f>'Ingest Template'!Z392</f>
        <v/>
      </c>
      <c r="Y392" s="35" t="str">
        <f>SUBSTITUTE(SUBSTITUTE(SUBSTITUTE('Ingest Template'!AA392,"http:",""),"https:",""),"/","")</f>
        <v/>
      </c>
      <c r="Z392" s="35" t="str">
        <f t="array" ref="Z392">IF('Ingest Template'!A392="Standard",(IF(ISBLANK('Ingest Template'!AB392),"", 'Ingest Template'!AB392&amp;"|DAR")),(IF(ISBLANK('Ingest Template'!AB392),"", 'Ingest Template'!AB392&amp;"|TV Ops")))</f>
        <v/>
      </c>
      <c r="AA392" s="35"/>
      <c r="AB392" s="35" t="str">
        <f>'Ingest Template'!R392</f>
        <v/>
      </c>
      <c r="AC392" s="35" t="str">
        <f>'Ingest Template'!T392</f>
        <v/>
      </c>
      <c r="AD392" s="35" t="str">
        <f>'Ingest Template'!S392</f>
        <v/>
      </c>
      <c r="AE392" s="35" t="str">
        <f>'Ingest Template'!U392</f>
        <v/>
      </c>
      <c r="AF392" s="22"/>
      <c r="AG392" s="35" t="str">
        <f t="array" ref="AG392">IF('Ingest Template'!A392="Standard",(CONCATENATE(IF(ISBLANK('Ingest Template'!N392),"", 'Ingest Template'!N392&amp;"|DAR"),CHAR(10), IF(ISBLANK('Ingest Template'!O392),"", 'Ingest Template'!O392&amp;"|DAR"),CHAR(10), IF(ISBLANK('Ingest Template'!P392),"", 'Ingest Template'!P392&amp;"|DAR"))),(CONCATENATE(IF(ISBLANK('Ingest Template'!N392),"", 'Ingest Template'!N392&amp;"|TV Ops"),CHAR(10), IF(ISBLANK('Ingest Template'!O392),"", 'Ingest Template'!O392&amp;"|TV Ops"),CHAR(10), IF(ISBLANK('Ingest Template'!P392),"", 'Ingest Template'!P392&amp;"|TV Ops"))))</f>
        <v>
</v>
      </c>
      <c r="AH392" s="35"/>
      <c r="AI392" s="35"/>
      <c r="AJ392" s="117" t="str">
        <f>if('Ingest Template'!A392="Standard",(IF(OR('Ingest Template'!F392 = "Program Type - Special", 'Ingest Template'!F392 = "Program Type - Live Event"),'Ingest Template'!M392&amp; "|DAR|DAR|"&amp;TEXT('Ingest Template'!C392-3, "yyyy-mm-dd")&amp;"|"&amp;TEXT('Ingest Template'!C392+3, "yyyy-mm-dd"),'Ingest Template'!M392&amp; "|DAR|DAR|2021-01-01")),(IF(OR('Ingest Template'!F392 = "Program Type - Special", 'Ingest Template'!F392 = "Program Type - Live Event"),'Ingest Template'!M392&amp; "|Operations - Core Title|Operations - Core Title|"&amp;TEXT('Ingest Template'!C392-3, "yyyy-mm-dd")&amp;"|"&amp;TEXT('Ingest Template'!C392+3, "yyyy-mm-dd"),'Ingest Template'!M392&amp; "|Operations - Core Title|Operations - Core Title")))</f>
        <v>|Operations - Core Title|Operations - Core Title</v>
      </c>
      <c r="AK392" s="35"/>
      <c r="AL392" s="117" t="str">
        <f>if('Ingest Template'!A392="Standard",(IF(OR('Ingest Template'!F392 = "Program Type - Special", 'Ingest Template'!F392 = "Program Type - Live Event"),'Ingest Template'!Q392&amp;"|"&amp;TEXT('Ingest Template'!C392-3, "yyyy-mm-dd")&amp;"|"&amp;TEXT('Ingest Template'!C392+3, "yyyy-mm-dd"),'Ingest Template'!Q392&amp; "|2021-01-01")),(IF(OR('Ingest Template'!F392 = "Program Type - Special", 'Ingest Template'!F392 = "Program Type - Live Event"),'Ingest Template'!Q392&amp; "|"&amp;TEXT('Ingest Template'!C392-3, "yyyy-mm-dd")&amp;"|"&amp;TEXT('Ingest Template'!C392+3, "yyyy-mm-dd"),'Ingest Template'!Q392)))</f>
        <v/>
      </c>
      <c r="AM392" s="35" t="str">
        <f>'Ingest Template'!AC392</f>
        <v/>
      </c>
    </row>
    <row r="393">
      <c r="A393" s="15"/>
      <c r="B393" s="22" t="str">
        <f>'Ingest Template'!C393&amp;IF('Ingest Template'!A393 = "Standard", " - DAR","")</f>
        <v/>
      </c>
      <c r="C393" s="22" t="s">
        <v>83</v>
      </c>
      <c r="D393" s="22" t="str">
        <f t="array" ref="D393">CONCATENATE(INDEX(DropdownLists!$H$2:$H$11,MATCH(1,COUNTIF('Ingest Template'!E393,"*"&amp;DropdownLists!$I$2:$I$11&amp;"*"),0)),CHAR(10),'Ingest Template'!F393,CHAR(10),'Ingest Template'!G393,CHAR(10),VLOOKUP('Ingest Template'!D393,DropdownLists!C:D,2,FALSE))</f>
        <v>#N/A</v>
      </c>
      <c r="E393" s="22" t="str">
        <f>CONCATENATE('Ingest Template'!H393,CHAR(10),'Ingest Template'!I393,CHAR(10),'Ingest Template'!J393,CHAR(10))</f>
        <v>
</v>
      </c>
      <c r="F393" s="35" t="str">
        <f t="array" ref="F393">INDEX(DropdownLists!$O$2:$O$36,MATCH(1,COUNTIF(E393,"*"&amp;DropdownLists!$N$2:$N$36&amp;"*"),0))</f>
        <v/>
      </c>
      <c r="G393" s="35"/>
      <c r="H393" s="22" t="str">
        <f t="array" ref="H393">INDEX(DropdownLists!$E$2:$E$276,MATCH('Ingest Template'!D393,DropdownLists!$C$2:$C$276,0))</f>
        <v>#N/A</v>
      </c>
      <c r="I393" s="22"/>
      <c r="J393" s="22" t="str">
        <f t="array" ref="J393">iF('Ingest Template'!A393="Standard","Pristine Brand",INDEX(DropdownLists!$B$2:$B$246,MATCH('Ingest Template'!D393,DropdownLists!$C$2:$C$246,0)))</f>
        <v>#N/A</v>
      </c>
      <c r="K393" s="22" t="str">
        <f>iF('Ingest Template'!A393="Standard",'Ingest Template'!K393&amp;CHAR(10)&amp;'Ingest Template'!L393,"Competitive View")</f>
        <v>Competitive View</v>
      </c>
      <c r="L393" s="22" t="s">
        <v>95</v>
      </c>
      <c r="M393" s="45" t="str">
        <f>'Ingest Template'!B393</f>
        <v/>
      </c>
      <c r="N393" s="35"/>
      <c r="O393" s="35"/>
      <c r="P393" s="35"/>
      <c r="Q393" s="35"/>
      <c r="R393" s="35" t="str">
        <f>'Ingest Template'!D393</f>
        <v/>
      </c>
      <c r="S393" s="22" t="s">
        <v>101</v>
      </c>
      <c r="T393" s="35" t="str">
        <f>'Ingest Template'!V393</f>
        <v/>
      </c>
      <c r="U393" s="35" t="str">
        <f>'Ingest Template'!W393</f>
        <v/>
      </c>
      <c r="V393" s="35" t="str">
        <f>LOWER(SUBSTITUTE(SUBSTITUTE(SUBSTITUTE(SUBSTITUTE(SUBSTITUTE('Ingest Template'!X393,"https:",""),"www.",""),"/",""),"?hl=en",""),"instagram.com",""))</f>
        <v/>
      </c>
      <c r="W393" s="74" t="str">
        <f t="array" ref="W393">IF(
'Ingest Template'!Y393="",
SUBSTITUTE(
INDEX(DropdownLists!$F$2:$F$277,MATCH('Ingest Template'!D393,DropdownLists!$C$2:$C$277,0)),
CHAR(10),
"|"&amp;'Ingest Template'!C393&amp;CHAR(10)
)&amp;"|"&amp;'Ingest Template'!C393,
SUBSTITUTE(
INDEX(DropdownLists!$F$2:$F$277,MATCH('Ingest Template'!D393,DropdownLists!$C$2:$C$277,0)),
CHAR(10),
"|"&amp;'Ingest Template'!C393&amp;CHAR(10)
)&amp;"|"&amp;'Ingest Template'!C393&amp;CHAR(10)&amp;'Ingest Template'!Y393
)</f>
        <v>#N/A</v>
      </c>
      <c r="X393" s="74" t="str">
        <f>'Ingest Template'!Z393</f>
        <v/>
      </c>
      <c r="Y393" s="35" t="str">
        <f>SUBSTITUTE(SUBSTITUTE(SUBSTITUTE('Ingest Template'!AA393,"http:",""),"https:",""),"/","")</f>
        <v/>
      </c>
      <c r="Z393" s="35" t="str">
        <f t="array" ref="Z393">IF('Ingest Template'!A393="Standard",(IF(ISBLANK('Ingest Template'!AB393),"", 'Ingest Template'!AB393&amp;"|DAR")),(IF(ISBLANK('Ingest Template'!AB393),"", 'Ingest Template'!AB393&amp;"|TV Ops")))</f>
        <v/>
      </c>
      <c r="AA393" s="35"/>
      <c r="AB393" s="35" t="str">
        <f>'Ingest Template'!R393</f>
        <v/>
      </c>
      <c r="AC393" s="35" t="str">
        <f>'Ingest Template'!T393</f>
        <v/>
      </c>
      <c r="AD393" s="35" t="str">
        <f>'Ingest Template'!S393</f>
        <v/>
      </c>
      <c r="AE393" s="35" t="str">
        <f>'Ingest Template'!U393</f>
        <v/>
      </c>
      <c r="AF393" s="22"/>
      <c r="AG393" s="35" t="str">
        <f t="array" ref="AG393">IF('Ingest Template'!A393="Standard",(CONCATENATE(IF(ISBLANK('Ingest Template'!N393),"", 'Ingest Template'!N393&amp;"|DAR"),CHAR(10), IF(ISBLANK('Ingest Template'!O393),"", 'Ingest Template'!O393&amp;"|DAR"),CHAR(10), IF(ISBLANK('Ingest Template'!P393),"", 'Ingest Template'!P393&amp;"|DAR"))),(CONCATENATE(IF(ISBLANK('Ingest Template'!N393),"", 'Ingest Template'!N393&amp;"|TV Ops"),CHAR(10), IF(ISBLANK('Ingest Template'!O393),"", 'Ingest Template'!O393&amp;"|TV Ops"),CHAR(10), IF(ISBLANK('Ingest Template'!P393),"", 'Ingest Template'!P393&amp;"|TV Ops"))))</f>
        <v>
</v>
      </c>
      <c r="AH393" s="35"/>
      <c r="AI393" s="35"/>
      <c r="AJ393" s="117" t="str">
        <f>if('Ingest Template'!A393="Standard",(IF(OR('Ingest Template'!F393 = "Program Type - Special", 'Ingest Template'!F393 = "Program Type - Live Event"),'Ingest Template'!M393&amp; "|DAR|DAR|"&amp;TEXT('Ingest Template'!C393-3, "yyyy-mm-dd")&amp;"|"&amp;TEXT('Ingest Template'!C393+3, "yyyy-mm-dd"),'Ingest Template'!M393&amp; "|DAR|DAR|2021-01-01")),(IF(OR('Ingest Template'!F393 = "Program Type - Special", 'Ingest Template'!F393 = "Program Type - Live Event"),'Ingest Template'!M393&amp; "|Operations - Core Title|Operations - Core Title|"&amp;TEXT('Ingest Template'!C393-3, "yyyy-mm-dd")&amp;"|"&amp;TEXT('Ingest Template'!C393+3, "yyyy-mm-dd"),'Ingest Template'!M393&amp; "|Operations - Core Title|Operations - Core Title")))</f>
        <v>|Operations - Core Title|Operations - Core Title</v>
      </c>
      <c r="AK393" s="35"/>
      <c r="AL393" s="117" t="str">
        <f>if('Ingest Template'!A393="Standard",(IF(OR('Ingest Template'!F393 = "Program Type - Special", 'Ingest Template'!F393 = "Program Type - Live Event"),'Ingest Template'!Q393&amp;"|"&amp;TEXT('Ingest Template'!C393-3, "yyyy-mm-dd")&amp;"|"&amp;TEXT('Ingest Template'!C393+3, "yyyy-mm-dd"),'Ingest Template'!Q393&amp; "|2021-01-01")),(IF(OR('Ingest Template'!F393 = "Program Type - Special", 'Ingest Template'!F393 = "Program Type - Live Event"),'Ingest Template'!Q393&amp; "|"&amp;TEXT('Ingest Template'!C393-3, "yyyy-mm-dd")&amp;"|"&amp;TEXT('Ingest Template'!C393+3, "yyyy-mm-dd"),'Ingest Template'!Q393)))</f>
        <v/>
      </c>
      <c r="AM393" s="35" t="str">
        <f>'Ingest Template'!AC393</f>
        <v/>
      </c>
    </row>
    <row r="394">
      <c r="A394" s="15"/>
      <c r="B394" s="22" t="str">
        <f>'Ingest Template'!C394&amp;IF('Ingest Template'!A394 = "Standard", " - DAR","")</f>
        <v/>
      </c>
      <c r="C394" s="22" t="s">
        <v>83</v>
      </c>
      <c r="D394" s="22" t="str">
        <f t="array" ref="D394">CONCATENATE(INDEX(DropdownLists!$H$2:$H$11,MATCH(1,COUNTIF('Ingest Template'!E394,"*"&amp;DropdownLists!$I$2:$I$11&amp;"*"),0)),CHAR(10),'Ingest Template'!F394,CHAR(10),'Ingest Template'!G394,CHAR(10),VLOOKUP('Ingest Template'!D394,DropdownLists!C:D,2,FALSE))</f>
        <v>#N/A</v>
      </c>
      <c r="E394" s="22" t="str">
        <f>CONCATENATE('Ingest Template'!H394,CHAR(10),'Ingest Template'!I394,CHAR(10),'Ingest Template'!J394,CHAR(10))</f>
        <v>
</v>
      </c>
      <c r="F394" s="35" t="str">
        <f t="array" ref="F394">INDEX(DropdownLists!$O$2:$O$36,MATCH(1,COUNTIF(E394,"*"&amp;DropdownLists!$N$2:$N$36&amp;"*"),0))</f>
        <v/>
      </c>
      <c r="G394" s="35"/>
      <c r="H394" s="22" t="str">
        <f t="array" ref="H394">INDEX(DropdownLists!$E$2:$E$276,MATCH('Ingest Template'!D394,DropdownLists!$C$2:$C$276,0))</f>
        <v>#N/A</v>
      </c>
      <c r="I394" s="22"/>
      <c r="J394" s="22" t="str">
        <f t="array" ref="J394">iF('Ingest Template'!A394="Standard","Pristine Brand",INDEX(DropdownLists!$B$2:$B$246,MATCH('Ingest Template'!D394,DropdownLists!$C$2:$C$246,0)))</f>
        <v>#N/A</v>
      </c>
      <c r="K394" s="22" t="str">
        <f>iF('Ingest Template'!A394="Standard",'Ingest Template'!K394&amp;CHAR(10)&amp;'Ingest Template'!L394,"Competitive View")</f>
        <v>Competitive View</v>
      </c>
      <c r="L394" s="22" t="s">
        <v>95</v>
      </c>
      <c r="M394" s="45" t="str">
        <f>'Ingest Template'!B394</f>
        <v/>
      </c>
      <c r="N394" s="35"/>
      <c r="O394" s="35"/>
      <c r="P394" s="35"/>
      <c r="Q394" s="35"/>
      <c r="R394" s="35" t="str">
        <f>'Ingest Template'!D394</f>
        <v/>
      </c>
      <c r="S394" s="22" t="s">
        <v>101</v>
      </c>
      <c r="T394" s="35" t="str">
        <f>'Ingest Template'!V394</f>
        <v/>
      </c>
      <c r="U394" s="35" t="str">
        <f>'Ingest Template'!W394</f>
        <v/>
      </c>
      <c r="V394" s="35" t="str">
        <f>LOWER(SUBSTITUTE(SUBSTITUTE(SUBSTITUTE(SUBSTITUTE(SUBSTITUTE('Ingest Template'!X394,"https:",""),"www.",""),"/",""),"?hl=en",""),"instagram.com",""))</f>
        <v/>
      </c>
      <c r="W394" s="74" t="str">
        <f t="array" ref="W394">IF(
'Ingest Template'!Y394="",
SUBSTITUTE(
INDEX(DropdownLists!$F$2:$F$277,MATCH('Ingest Template'!D394,DropdownLists!$C$2:$C$277,0)),
CHAR(10),
"|"&amp;'Ingest Template'!C394&amp;CHAR(10)
)&amp;"|"&amp;'Ingest Template'!C394,
SUBSTITUTE(
INDEX(DropdownLists!$F$2:$F$277,MATCH('Ingest Template'!D394,DropdownLists!$C$2:$C$277,0)),
CHAR(10),
"|"&amp;'Ingest Template'!C394&amp;CHAR(10)
)&amp;"|"&amp;'Ingest Template'!C394&amp;CHAR(10)&amp;'Ingest Template'!Y394
)</f>
        <v>#N/A</v>
      </c>
      <c r="X394" s="74" t="str">
        <f>'Ingest Template'!Z394</f>
        <v/>
      </c>
      <c r="Y394" s="35" t="str">
        <f>SUBSTITUTE(SUBSTITUTE(SUBSTITUTE('Ingest Template'!AA394,"http:",""),"https:",""),"/","")</f>
        <v/>
      </c>
      <c r="Z394" s="35" t="str">
        <f t="array" ref="Z394">IF('Ingest Template'!A394="Standard",(IF(ISBLANK('Ingest Template'!AB394),"", 'Ingest Template'!AB394&amp;"|DAR")),(IF(ISBLANK('Ingest Template'!AB394),"", 'Ingest Template'!AB394&amp;"|TV Ops")))</f>
        <v/>
      </c>
      <c r="AA394" s="35"/>
      <c r="AB394" s="35" t="str">
        <f>'Ingest Template'!R394</f>
        <v/>
      </c>
      <c r="AC394" s="35" t="str">
        <f>'Ingest Template'!T394</f>
        <v/>
      </c>
      <c r="AD394" s="35" t="str">
        <f>'Ingest Template'!S394</f>
        <v/>
      </c>
      <c r="AE394" s="35" t="str">
        <f>'Ingest Template'!U394</f>
        <v/>
      </c>
      <c r="AF394" s="22"/>
      <c r="AG394" s="35" t="str">
        <f t="array" ref="AG394">IF('Ingest Template'!A394="Standard",(CONCATENATE(IF(ISBLANK('Ingest Template'!N394),"", 'Ingest Template'!N394&amp;"|DAR"),CHAR(10), IF(ISBLANK('Ingest Template'!O394),"", 'Ingest Template'!O394&amp;"|DAR"),CHAR(10), IF(ISBLANK('Ingest Template'!P394),"", 'Ingest Template'!P394&amp;"|DAR"))),(CONCATENATE(IF(ISBLANK('Ingest Template'!N394),"", 'Ingest Template'!N394&amp;"|TV Ops"),CHAR(10), IF(ISBLANK('Ingest Template'!O394),"", 'Ingest Template'!O394&amp;"|TV Ops"),CHAR(10), IF(ISBLANK('Ingest Template'!P394),"", 'Ingest Template'!P394&amp;"|TV Ops"))))</f>
        <v>
</v>
      </c>
      <c r="AH394" s="35"/>
      <c r="AI394" s="35"/>
      <c r="AJ394" s="117" t="str">
        <f>if('Ingest Template'!A394="Standard",(IF(OR('Ingest Template'!F394 = "Program Type - Special", 'Ingest Template'!F394 = "Program Type - Live Event"),'Ingest Template'!M394&amp; "|DAR|DAR|"&amp;TEXT('Ingest Template'!C394-3, "yyyy-mm-dd")&amp;"|"&amp;TEXT('Ingest Template'!C394+3, "yyyy-mm-dd"),'Ingest Template'!M394&amp; "|DAR|DAR|2021-01-01")),(IF(OR('Ingest Template'!F394 = "Program Type - Special", 'Ingest Template'!F394 = "Program Type - Live Event"),'Ingest Template'!M394&amp; "|Operations - Core Title|Operations - Core Title|"&amp;TEXT('Ingest Template'!C394-3, "yyyy-mm-dd")&amp;"|"&amp;TEXT('Ingest Template'!C394+3, "yyyy-mm-dd"),'Ingest Template'!M394&amp; "|Operations - Core Title|Operations - Core Title")))</f>
        <v>|Operations - Core Title|Operations - Core Title</v>
      </c>
      <c r="AK394" s="35"/>
      <c r="AL394" s="117" t="str">
        <f>if('Ingest Template'!A394="Standard",(IF(OR('Ingest Template'!F394 = "Program Type - Special", 'Ingest Template'!F394 = "Program Type - Live Event"),'Ingest Template'!Q394&amp;"|"&amp;TEXT('Ingest Template'!C394-3, "yyyy-mm-dd")&amp;"|"&amp;TEXT('Ingest Template'!C394+3, "yyyy-mm-dd"),'Ingest Template'!Q394&amp; "|2021-01-01")),(IF(OR('Ingest Template'!F394 = "Program Type - Special", 'Ingest Template'!F394 = "Program Type - Live Event"),'Ingest Template'!Q394&amp; "|"&amp;TEXT('Ingest Template'!C394-3, "yyyy-mm-dd")&amp;"|"&amp;TEXT('Ingest Template'!C394+3, "yyyy-mm-dd"),'Ingest Template'!Q394)))</f>
        <v/>
      </c>
      <c r="AM394" s="35" t="str">
        <f>'Ingest Template'!AC394</f>
        <v/>
      </c>
    </row>
    <row r="395">
      <c r="A395" s="15"/>
      <c r="B395" s="22" t="str">
        <f>'Ingest Template'!C395&amp;IF('Ingest Template'!A395 = "Standard", " - DAR","")</f>
        <v/>
      </c>
      <c r="C395" s="22" t="s">
        <v>83</v>
      </c>
      <c r="D395" s="22" t="str">
        <f t="array" ref="D395">CONCATENATE(INDEX(DropdownLists!$H$2:$H$11,MATCH(1,COUNTIF('Ingest Template'!E395,"*"&amp;DropdownLists!$I$2:$I$11&amp;"*"),0)),CHAR(10),'Ingest Template'!F395,CHAR(10),'Ingest Template'!G395,CHAR(10),VLOOKUP('Ingest Template'!D395,DropdownLists!C:D,2,FALSE))</f>
        <v>#N/A</v>
      </c>
      <c r="E395" s="22" t="str">
        <f>CONCATENATE('Ingest Template'!H395,CHAR(10),'Ingest Template'!I395,CHAR(10),'Ingest Template'!J395,CHAR(10))</f>
        <v>
</v>
      </c>
      <c r="F395" s="35" t="str">
        <f t="array" ref="F395">INDEX(DropdownLists!$O$2:$O$36,MATCH(1,COUNTIF(E395,"*"&amp;DropdownLists!$N$2:$N$36&amp;"*"),0))</f>
        <v/>
      </c>
      <c r="G395" s="35"/>
      <c r="H395" s="22" t="str">
        <f t="array" ref="H395">INDEX(DropdownLists!$E$2:$E$276,MATCH('Ingest Template'!D395,DropdownLists!$C$2:$C$276,0))</f>
        <v>#N/A</v>
      </c>
      <c r="I395" s="22"/>
      <c r="J395" s="22" t="str">
        <f t="array" ref="J395">iF('Ingest Template'!A395="Standard","Pristine Brand",INDEX(DropdownLists!$B$2:$B$246,MATCH('Ingest Template'!D395,DropdownLists!$C$2:$C$246,0)))</f>
        <v>#N/A</v>
      </c>
      <c r="K395" s="22" t="str">
        <f>iF('Ingest Template'!A395="Standard",'Ingest Template'!K395&amp;CHAR(10)&amp;'Ingest Template'!L395,"Competitive View")</f>
        <v>Competitive View</v>
      </c>
      <c r="L395" s="22" t="s">
        <v>95</v>
      </c>
      <c r="M395" s="45" t="str">
        <f>'Ingest Template'!B395</f>
        <v/>
      </c>
      <c r="N395" s="35"/>
      <c r="O395" s="35"/>
      <c r="P395" s="35"/>
      <c r="Q395" s="35"/>
      <c r="R395" s="35" t="str">
        <f>'Ingest Template'!D395</f>
        <v/>
      </c>
      <c r="S395" s="22" t="s">
        <v>101</v>
      </c>
      <c r="T395" s="35" t="str">
        <f>'Ingest Template'!V395</f>
        <v/>
      </c>
      <c r="U395" s="35" t="str">
        <f>'Ingest Template'!W395</f>
        <v/>
      </c>
      <c r="V395" s="35" t="str">
        <f>LOWER(SUBSTITUTE(SUBSTITUTE(SUBSTITUTE(SUBSTITUTE(SUBSTITUTE('Ingest Template'!X395,"https:",""),"www.",""),"/",""),"?hl=en",""),"instagram.com",""))</f>
        <v/>
      </c>
      <c r="W395" s="74" t="str">
        <f t="array" ref="W395">IF(
'Ingest Template'!Y395="",
SUBSTITUTE(
INDEX(DropdownLists!$F$2:$F$277,MATCH('Ingest Template'!D395,DropdownLists!$C$2:$C$277,0)),
CHAR(10),
"|"&amp;'Ingest Template'!C395&amp;CHAR(10)
)&amp;"|"&amp;'Ingest Template'!C395,
SUBSTITUTE(
INDEX(DropdownLists!$F$2:$F$277,MATCH('Ingest Template'!D395,DropdownLists!$C$2:$C$277,0)),
CHAR(10),
"|"&amp;'Ingest Template'!C395&amp;CHAR(10)
)&amp;"|"&amp;'Ingest Template'!C395&amp;CHAR(10)&amp;'Ingest Template'!Y395
)</f>
        <v>#N/A</v>
      </c>
      <c r="X395" s="74" t="str">
        <f>'Ingest Template'!Z395</f>
        <v/>
      </c>
      <c r="Y395" s="35" t="str">
        <f>SUBSTITUTE(SUBSTITUTE(SUBSTITUTE('Ingest Template'!AA395,"http:",""),"https:",""),"/","")</f>
        <v/>
      </c>
      <c r="Z395" s="35" t="str">
        <f t="array" ref="Z395">IF('Ingest Template'!A395="Standard",(IF(ISBLANK('Ingest Template'!AB395),"", 'Ingest Template'!AB395&amp;"|DAR")),(IF(ISBLANK('Ingest Template'!AB395),"", 'Ingest Template'!AB395&amp;"|TV Ops")))</f>
        <v/>
      </c>
      <c r="AA395" s="35"/>
      <c r="AB395" s="35" t="str">
        <f>'Ingest Template'!R395</f>
        <v/>
      </c>
      <c r="AC395" s="35" t="str">
        <f>'Ingest Template'!T395</f>
        <v/>
      </c>
      <c r="AD395" s="35" t="str">
        <f>'Ingest Template'!S395</f>
        <v/>
      </c>
      <c r="AE395" s="35" t="str">
        <f>'Ingest Template'!U395</f>
        <v/>
      </c>
      <c r="AF395" s="22"/>
      <c r="AG395" s="35" t="str">
        <f t="array" ref="AG395">IF('Ingest Template'!A395="Standard",(CONCATENATE(IF(ISBLANK('Ingest Template'!N395),"", 'Ingest Template'!N395&amp;"|DAR"),CHAR(10), IF(ISBLANK('Ingest Template'!O395),"", 'Ingest Template'!O395&amp;"|DAR"),CHAR(10), IF(ISBLANK('Ingest Template'!P395),"", 'Ingest Template'!P395&amp;"|DAR"))),(CONCATENATE(IF(ISBLANK('Ingest Template'!N395),"", 'Ingest Template'!N395&amp;"|TV Ops"),CHAR(10), IF(ISBLANK('Ingest Template'!O395),"", 'Ingest Template'!O395&amp;"|TV Ops"),CHAR(10), IF(ISBLANK('Ingest Template'!P395),"", 'Ingest Template'!P395&amp;"|TV Ops"))))</f>
        <v>
</v>
      </c>
      <c r="AH395" s="35"/>
      <c r="AI395" s="35"/>
      <c r="AJ395" s="117" t="str">
        <f>if('Ingest Template'!A395="Standard",(IF(OR('Ingest Template'!F395 = "Program Type - Special", 'Ingest Template'!F395 = "Program Type - Live Event"),'Ingest Template'!M395&amp; "|DAR|DAR|"&amp;TEXT('Ingest Template'!C395-3, "yyyy-mm-dd")&amp;"|"&amp;TEXT('Ingest Template'!C395+3, "yyyy-mm-dd"),'Ingest Template'!M395&amp; "|DAR|DAR|2021-01-01")),(IF(OR('Ingest Template'!F395 = "Program Type - Special", 'Ingest Template'!F395 = "Program Type - Live Event"),'Ingest Template'!M395&amp; "|Operations - Core Title|Operations - Core Title|"&amp;TEXT('Ingest Template'!C395-3, "yyyy-mm-dd")&amp;"|"&amp;TEXT('Ingest Template'!C395+3, "yyyy-mm-dd"),'Ingest Template'!M395&amp; "|Operations - Core Title|Operations - Core Title")))</f>
        <v>|Operations - Core Title|Operations - Core Title</v>
      </c>
      <c r="AK395" s="35"/>
      <c r="AL395" s="117" t="str">
        <f>if('Ingest Template'!A395="Standard",(IF(OR('Ingest Template'!F395 = "Program Type - Special", 'Ingest Template'!F395 = "Program Type - Live Event"),'Ingest Template'!Q395&amp;"|"&amp;TEXT('Ingest Template'!C395-3, "yyyy-mm-dd")&amp;"|"&amp;TEXT('Ingest Template'!C395+3, "yyyy-mm-dd"),'Ingest Template'!Q395&amp; "|2021-01-01")),(IF(OR('Ingest Template'!F395 = "Program Type - Special", 'Ingest Template'!F395 = "Program Type - Live Event"),'Ingest Template'!Q395&amp; "|"&amp;TEXT('Ingest Template'!C395-3, "yyyy-mm-dd")&amp;"|"&amp;TEXT('Ingest Template'!C395+3, "yyyy-mm-dd"),'Ingest Template'!Q395)))</f>
        <v/>
      </c>
      <c r="AM395" s="35" t="str">
        <f>'Ingest Template'!AC395</f>
        <v/>
      </c>
    </row>
    <row r="396">
      <c r="A396" s="15"/>
      <c r="B396" s="22" t="str">
        <f>'Ingest Template'!C396&amp;IF('Ingest Template'!A396 = "Standard", " - DAR","")</f>
        <v/>
      </c>
      <c r="C396" s="22" t="s">
        <v>83</v>
      </c>
      <c r="D396" s="22" t="str">
        <f t="array" ref="D396">CONCATENATE(INDEX(DropdownLists!$H$2:$H$11,MATCH(1,COUNTIF('Ingest Template'!E396,"*"&amp;DropdownLists!$I$2:$I$11&amp;"*"),0)),CHAR(10),'Ingest Template'!F396,CHAR(10),'Ingest Template'!G396,CHAR(10),VLOOKUP('Ingest Template'!D396,DropdownLists!C:D,2,FALSE))</f>
        <v>#N/A</v>
      </c>
      <c r="E396" s="22" t="str">
        <f>CONCATENATE('Ingest Template'!H396,CHAR(10),'Ingest Template'!I396,CHAR(10),'Ingest Template'!J396,CHAR(10))</f>
        <v>
</v>
      </c>
      <c r="F396" s="35" t="str">
        <f t="array" ref="F396">INDEX(DropdownLists!$O$2:$O$36,MATCH(1,COUNTIF(E396,"*"&amp;DropdownLists!$N$2:$N$36&amp;"*"),0))</f>
        <v/>
      </c>
      <c r="G396" s="35"/>
      <c r="H396" s="22" t="str">
        <f t="array" ref="H396">INDEX(DropdownLists!$E$2:$E$276,MATCH('Ingest Template'!D396,DropdownLists!$C$2:$C$276,0))</f>
        <v>#N/A</v>
      </c>
      <c r="I396" s="22"/>
      <c r="J396" s="22" t="str">
        <f t="array" ref="J396">iF('Ingest Template'!A396="Standard","Pristine Brand",INDEX(DropdownLists!$B$2:$B$246,MATCH('Ingest Template'!D396,DropdownLists!$C$2:$C$246,0)))</f>
        <v>#N/A</v>
      </c>
      <c r="K396" s="22" t="str">
        <f>iF('Ingest Template'!A396="Standard",'Ingest Template'!K396&amp;CHAR(10)&amp;'Ingest Template'!L396,"Competitive View")</f>
        <v>Competitive View</v>
      </c>
      <c r="L396" s="22" t="s">
        <v>95</v>
      </c>
      <c r="M396" s="45" t="str">
        <f>'Ingest Template'!B396</f>
        <v/>
      </c>
      <c r="N396" s="35"/>
      <c r="O396" s="35"/>
      <c r="P396" s="35"/>
      <c r="Q396" s="35"/>
      <c r="R396" s="35" t="str">
        <f>'Ingest Template'!D396</f>
        <v/>
      </c>
      <c r="S396" s="22" t="s">
        <v>101</v>
      </c>
      <c r="T396" s="35" t="str">
        <f>'Ingest Template'!V396</f>
        <v/>
      </c>
      <c r="U396" s="35" t="str">
        <f>'Ingest Template'!W396</f>
        <v/>
      </c>
      <c r="V396" s="35" t="str">
        <f>LOWER(SUBSTITUTE(SUBSTITUTE(SUBSTITUTE(SUBSTITUTE(SUBSTITUTE('Ingest Template'!X396,"https:",""),"www.",""),"/",""),"?hl=en",""),"instagram.com",""))</f>
        <v/>
      </c>
      <c r="W396" s="74" t="str">
        <f t="array" ref="W396">IF(
'Ingest Template'!Y396="",
SUBSTITUTE(
INDEX(DropdownLists!$F$2:$F$277,MATCH('Ingest Template'!D396,DropdownLists!$C$2:$C$277,0)),
CHAR(10),
"|"&amp;'Ingest Template'!C396&amp;CHAR(10)
)&amp;"|"&amp;'Ingest Template'!C396,
SUBSTITUTE(
INDEX(DropdownLists!$F$2:$F$277,MATCH('Ingest Template'!D396,DropdownLists!$C$2:$C$277,0)),
CHAR(10),
"|"&amp;'Ingest Template'!C396&amp;CHAR(10)
)&amp;"|"&amp;'Ingest Template'!C396&amp;CHAR(10)&amp;'Ingest Template'!Y396
)</f>
        <v>#N/A</v>
      </c>
      <c r="X396" s="74" t="str">
        <f>'Ingest Template'!Z396</f>
        <v/>
      </c>
      <c r="Y396" s="35" t="str">
        <f>SUBSTITUTE(SUBSTITUTE(SUBSTITUTE('Ingest Template'!AA396,"http:",""),"https:",""),"/","")</f>
        <v/>
      </c>
      <c r="Z396" s="35" t="str">
        <f t="array" ref="Z396">IF('Ingest Template'!A396="Standard",(IF(ISBLANK('Ingest Template'!AB396),"", 'Ingest Template'!AB396&amp;"|DAR")),(IF(ISBLANK('Ingest Template'!AB396),"", 'Ingest Template'!AB396&amp;"|TV Ops")))</f>
        <v/>
      </c>
      <c r="AA396" s="35"/>
      <c r="AB396" s="35" t="str">
        <f>'Ingest Template'!R396</f>
        <v/>
      </c>
      <c r="AC396" s="35" t="str">
        <f>'Ingest Template'!T396</f>
        <v/>
      </c>
      <c r="AD396" s="35" t="str">
        <f>'Ingest Template'!S396</f>
        <v/>
      </c>
      <c r="AE396" s="35" t="str">
        <f>'Ingest Template'!U396</f>
        <v/>
      </c>
      <c r="AF396" s="22"/>
      <c r="AG396" s="35" t="str">
        <f t="array" ref="AG396">IF('Ingest Template'!A396="Standard",(CONCATENATE(IF(ISBLANK('Ingest Template'!N396),"", 'Ingest Template'!N396&amp;"|DAR"),CHAR(10), IF(ISBLANK('Ingest Template'!O396),"", 'Ingest Template'!O396&amp;"|DAR"),CHAR(10), IF(ISBLANK('Ingest Template'!P396),"", 'Ingest Template'!P396&amp;"|DAR"))),(CONCATENATE(IF(ISBLANK('Ingest Template'!N396),"", 'Ingest Template'!N396&amp;"|TV Ops"),CHAR(10), IF(ISBLANK('Ingest Template'!O396),"", 'Ingest Template'!O396&amp;"|TV Ops"),CHAR(10), IF(ISBLANK('Ingest Template'!P396),"", 'Ingest Template'!P396&amp;"|TV Ops"))))</f>
        <v>
</v>
      </c>
      <c r="AH396" s="35"/>
      <c r="AI396" s="35"/>
      <c r="AJ396" s="117" t="str">
        <f>if('Ingest Template'!A396="Standard",(IF(OR('Ingest Template'!F396 = "Program Type - Special", 'Ingest Template'!F396 = "Program Type - Live Event"),'Ingest Template'!M396&amp; "|DAR|DAR|"&amp;TEXT('Ingest Template'!C396-3, "yyyy-mm-dd")&amp;"|"&amp;TEXT('Ingest Template'!C396+3, "yyyy-mm-dd"),'Ingest Template'!M396&amp; "|DAR|DAR|2021-01-01")),(IF(OR('Ingest Template'!F396 = "Program Type - Special", 'Ingest Template'!F396 = "Program Type - Live Event"),'Ingest Template'!M396&amp; "|Operations - Core Title|Operations - Core Title|"&amp;TEXT('Ingest Template'!C396-3, "yyyy-mm-dd")&amp;"|"&amp;TEXT('Ingest Template'!C396+3, "yyyy-mm-dd"),'Ingest Template'!M396&amp; "|Operations - Core Title|Operations - Core Title")))</f>
        <v>|Operations - Core Title|Operations - Core Title</v>
      </c>
      <c r="AK396" s="35"/>
      <c r="AL396" s="117" t="str">
        <f>if('Ingest Template'!A396="Standard",(IF(OR('Ingest Template'!F396 = "Program Type - Special", 'Ingest Template'!F396 = "Program Type - Live Event"),'Ingest Template'!Q396&amp;"|"&amp;TEXT('Ingest Template'!C396-3, "yyyy-mm-dd")&amp;"|"&amp;TEXT('Ingest Template'!C396+3, "yyyy-mm-dd"),'Ingest Template'!Q396&amp; "|2021-01-01")),(IF(OR('Ingest Template'!F396 = "Program Type - Special", 'Ingest Template'!F396 = "Program Type - Live Event"),'Ingest Template'!Q396&amp; "|"&amp;TEXT('Ingest Template'!C396-3, "yyyy-mm-dd")&amp;"|"&amp;TEXT('Ingest Template'!C396+3, "yyyy-mm-dd"),'Ingest Template'!Q396)))</f>
        <v/>
      </c>
      <c r="AM396" s="35" t="str">
        <f>'Ingest Template'!AC396</f>
        <v/>
      </c>
    </row>
    <row r="397">
      <c r="A397" s="15"/>
      <c r="B397" s="22" t="str">
        <f>'Ingest Template'!C397&amp;IF('Ingest Template'!A397 = "Standard", " - DAR","")</f>
        <v/>
      </c>
      <c r="C397" s="22" t="s">
        <v>83</v>
      </c>
      <c r="D397" s="22" t="str">
        <f t="array" ref="D397">CONCATENATE(INDEX(DropdownLists!$H$2:$H$11,MATCH(1,COUNTIF('Ingest Template'!E397,"*"&amp;DropdownLists!$I$2:$I$11&amp;"*"),0)),CHAR(10),'Ingest Template'!F397,CHAR(10),'Ingest Template'!G397,CHAR(10),VLOOKUP('Ingest Template'!D397,DropdownLists!C:D,2,FALSE))</f>
        <v>#N/A</v>
      </c>
      <c r="E397" s="22" t="str">
        <f>CONCATENATE('Ingest Template'!H397,CHAR(10),'Ingest Template'!I397,CHAR(10),'Ingest Template'!J397,CHAR(10))</f>
        <v>
</v>
      </c>
      <c r="F397" s="35" t="str">
        <f t="array" ref="F397">INDEX(DropdownLists!$O$2:$O$36,MATCH(1,COUNTIF(E397,"*"&amp;DropdownLists!$N$2:$N$36&amp;"*"),0))</f>
        <v/>
      </c>
      <c r="G397" s="35"/>
      <c r="H397" s="22" t="str">
        <f t="array" ref="H397">INDEX(DropdownLists!$E$2:$E$276,MATCH('Ingest Template'!D397,DropdownLists!$C$2:$C$276,0))</f>
        <v>#N/A</v>
      </c>
      <c r="I397" s="22"/>
      <c r="J397" s="22" t="str">
        <f t="array" ref="J397">iF('Ingest Template'!A397="Standard","Pristine Brand",INDEX(DropdownLists!$B$2:$B$246,MATCH('Ingest Template'!D397,DropdownLists!$C$2:$C$246,0)))</f>
        <v>#N/A</v>
      </c>
      <c r="K397" s="22" t="str">
        <f>iF('Ingest Template'!A397="Standard",'Ingest Template'!K397&amp;CHAR(10)&amp;'Ingest Template'!L397,"Competitive View")</f>
        <v>Competitive View</v>
      </c>
      <c r="L397" s="22" t="s">
        <v>95</v>
      </c>
      <c r="M397" s="45" t="str">
        <f>'Ingest Template'!B397</f>
        <v/>
      </c>
      <c r="N397" s="35"/>
      <c r="O397" s="35"/>
      <c r="P397" s="35"/>
      <c r="Q397" s="35"/>
      <c r="R397" s="35" t="str">
        <f>'Ingest Template'!D397</f>
        <v/>
      </c>
      <c r="S397" s="22" t="s">
        <v>101</v>
      </c>
      <c r="T397" s="35" t="str">
        <f>'Ingest Template'!V397</f>
        <v/>
      </c>
      <c r="U397" s="35" t="str">
        <f>'Ingest Template'!W397</f>
        <v/>
      </c>
      <c r="V397" s="35" t="str">
        <f>LOWER(SUBSTITUTE(SUBSTITUTE(SUBSTITUTE(SUBSTITUTE(SUBSTITUTE('Ingest Template'!X397,"https:",""),"www.",""),"/",""),"?hl=en",""),"instagram.com",""))</f>
        <v/>
      </c>
      <c r="W397" s="74" t="str">
        <f t="array" ref="W397">IF(
'Ingest Template'!Y397="",
SUBSTITUTE(
INDEX(DropdownLists!$F$2:$F$277,MATCH('Ingest Template'!D397,DropdownLists!$C$2:$C$277,0)),
CHAR(10),
"|"&amp;'Ingest Template'!C397&amp;CHAR(10)
)&amp;"|"&amp;'Ingest Template'!C397,
SUBSTITUTE(
INDEX(DropdownLists!$F$2:$F$277,MATCH('Ingest Template'!D397,DropdownLists!$C$2:$C$277,0)),
CHAR(10),
"|"&amp;'Ingest Template'!C397&amp;CHAR(10)
)&amp;"|"&amp;'Ingest Template'!C397&amp;CHAR(10)&amp;'Ingest Template'!Y397
)</f>
        <v>#N/A</v>
      </c>
      <c r="X397" s="74" t="str">
        <f>'Ingest Template'!Z397</f>
        <v/>
      </c>
      <c r="Y397" s="35" t="str">
        <f>SUBSTITUTE(SUBSTITUTE(SUBSTITUTE('Ingest Template'!AA397,"http:",""),"https:",""),"/","")</f>
        <v/>
      </c>
      <c r="Z397" s="35" t="str">
        <f t="array" ref="Z397">IF('Ingest Template'!A397="Standard",(IF(ISBLANK('Ingest Template'!AB397),"", 'Ingest Template'!AB397&amp;"|DAR")),(IF(ISBLANK('Ingest Template'!AB397),"", 'Ingest Template'!AB397&amp;"|TV Ops")))</f>
        <v/>
      </c>
      <c r="AA397" s="35"/>
      <c r="AB397" s="35" t="str">
        <f>'Ingest Template'!R397</f>
        <v/>
      </c>
      <c r="AC397" s="35" t="str">
        <f>'Ingest Template'!T397</f>
        <v/>
      </c>
      <c r="AD397" s="35" t="str">
        <f>'Ingest Template'!S397</f>
        <v/>
      </c>
      <c r="AE397" s="35" t="str">
        <f>'Ingest Template'!U397</f>
        <v/>
      </c>
      <c r="AF397" s="22"/>
      <c r="AG397" s="35" t="str">
        <f t="array" ref="AG397">IF('Ingest Template'!A397="Standard",(CONCATENATE(IF(ISBLANK('Ingest Template'!N397),"", 'Ingest Template'!N397&amp;"|DAR"),CHAR(10), IF(ISBLANK('Ingest Template'!O397),"", 'Ingest Template'!O397&amp;"|DAR"),CHAR(10), IF(ISBLANK('Ingest Template'!P397),"", 'Ingest Template'!P397&amp;"|DAR"))),(CONCATENATE(IF(ISBLANK('Ingest Template'!N397),"", 'Ingest Template'!N397&amp;"|TV Ops"),CHAR(10), IF(ISBLANK('Ingest Template'!O397),"", 'Ingest Template'!O397&amp;"|TV Ops"),CHAR(10), IF(ISBLANK('Ingest Template'!P397),"", 'Ingest Template'!P397&amp;"|TV Ops"))))</f>
        <v>
</v>
      </c>
      <c r="AH397" s="35"/>
      <c r="AI397" s="35"/>
      <c r="AJ397" s="117" t="str">
        <f>if('Ingest Template'!A397="Standard",(IF(OR('Ingest Template'!F397 = "Program Type - Special", 'Ingest Template'!F397 = "Program Type - Live Event"),'Ingest Template'!M397&amp; "|DAR|DAR|"&amp;TEXT('Ingest Template'!C397-3, "yyyy-mm-dd")&amp;"|"&amp;TEXT('Ingest Template'!C397+3, "yyyy-mm-dd"),'Ingest Template'!M397&amp; "|DAR|DAR|2021-01-01")),(IF(OR('Ingest Template'!F397 = "Program Type - Special", 'Ingest Template'!F397 = "Program Type - Live Event"),'Ingest Template'!M397&amp; "|Operations - Core Title|Operations - Core Title|"&amp;TEXT('Ingest Template'!C397-3, "yyyy-mm-dd")&amp;"|"&amp;TEXT('Ingest Template'!C397+3, "yyyy-mm-dd"),'Ingest Template'!M397&amp; "|Operations - Core Title|Operations - Core Title")))</f>
        <v>|Operations - Core Title|Operations - Core Title</v>
      </c>
      <c r="AK397" s="35"/>
      <c r="AL397" s="117" t="str">
        <f>if('Ingest Template'!A397="Standard",(IF(OR('Ingest Template'!F397 = "Program Type - Special", 'Ingest Template'!F397 = "Program Type - Live Event"),'Ingest Template'!Q397&amp;"|"&amp;TEXT('Ingest Template'!C397-3, "yyyy-mm-dd")&amp;"|"&amp;TEXT('Ingest Template'!C397+3, "yyyy-mm-dd"),'Ingest Template'!Q397&amp; "|2021-01-01")),(IF(OR('Ingest Template'!F397 = "Program Type - Special", 'Ingest Template'!F397 = "Program Type - Live Event"),'Ingest Template'!Q397&amp; "|"&amp;TEXT('Ingest Template'!C397-3, "yyyy-mm-dd")&amp;"|"&amp;TEXT('Ingest Template'!C397+3, "yyyy-mm-dd"),'Ingest Template'!Q397)))</f>
        <v/>
      </c>
      <c r="AM397" s="35" t="str">
        <f>'Ingest Template'!AC397</f>
        <v/>
      </c>
    </row>
    <row r="398">
      <c r="A398" s="15"/>
      <c r="B398" s="22" t="str">
        <f>'Ingest Template'!C398&amp;IF('Ingest Template'!A398 = "Standard", " - DAR","")</f>
        <v/>
      </c>
      <c r="C398" s="22" t="s">
        <v>83</v>
      </c>
      <c r="D398" s="22" t="str">
        <f t="array" ref="D398">CONCATENATE(INDEX(DropdownLists!$H$2:$H$11,MATCH(1,COUNTIF('Ingest Template'!E398,"*"&amp;DropdownLists!$I$2:$I$11&amp;"*"),0)),CHAR(10),'Ingest Template'!F398,CHAR(10),'Ingest Template'!G398,CHAR(10),VLOOKUP('Ingest Template'!D398,DropdownLists!C:D,2,FALSE))</f>
        <v>#N/A</v>
      </c>
      <c r="E398" s="22" t="str">
        <f>CONCATENATE('Ingest Template'!H398,CHAR(10),'Ingest Template'!I398,CHAR(10),'Ingest Template'!J398,CHAR(10))</f>
        <v>
</v>
      </c>
      <c r="F398" s="35" t="str">
        <f t="array" ref="F398">INDEX(DropdownLists!$O$2:$O$36,MATCH(1,COUNTIF(E398,"*"&amp;DropdownLists!$N$2:$N$36&amp;"*"),0))</f>
        <v/>
      </c>
      <c r="G398" s="35"/>
      <c r="H398" s="22" t="str">
        <f t="array" ref="H398">INDEX(DropdownLists!$E$2:$E$276,MATCH('Ingest Template'!D398,DropdownLists!$C$2:$C$276,0))</f>
        <v>#N/A</v>
      </c>
      <c r="I398" s="22"/>
      <c r="J398" s="22" t="str">
        <f t="array" ref="J398">iF('Ingest Template'!A398="Standard","Pristine Brand",INDEX(DropdownLists!$B$2:$B$246,MATCH('Ingest Template'!D398,DropdownLists!$C$2:$C$246,0)))</f>
        <v>#N/A</v>
      </c>
      <c r="K398" s="22" t="str">
        <f>iF('Ingest Template'!A398="Standard",'Ingest Template'!K398&amp;CHAR(10)&amp;'Ingest Template'!L398,"Competitive View")</f>
        <v>Competitive View</v>
      </c>
      <c r="L398" s="22" t="s">
        <v>95</v>
      </c>
      <c r="M398" s="45" t="str">
        <f>'Ingest Template'!B398</f>
        <v/>
      </c>
      <c r="N398" s="35"/>
      <c r="O398" s="35"/>
      <c r="P398" s="35"/>
      <c r="Q398" s="35"/>
      <c r="R398" s="35" t="str">
        <f>'Ingest Template'!D398</f>
        <v/>
      </c>
      <c r="S398" s="22" t="s">
        <v>101</v>
      </c>
      <c r="T398" s="35" t="str">
        <f>'Ingest Template'!V398</f>
        <v/>
      </c>
      <c r="U398" s="35" t="str">
        <f>'Ingest Template'!W398</f>
        <v/>
      </c>
      <c r="V398" s="35" t="str">
        <f>LOWER(SUBSTITUTE(SUBSTITUTE(SUBSTITUTE(SUBSTITUTE(SUBSTITUTE('Ingest Template'!X398,"https:",""),"www.",""),"/",""),"?hl=en",""),"instagram.com",""))</f>
        <v/>
      </c>
      <c r="W398" s="74" t="str">
        <f t="array" ref="W398">IF(
'Ingest Template'!Y398="",
SUBSTITUTE(
INDEX(DropdownLists!$F$2:$F$277,MATCH('Ingest Template'!D398,DropdownLists!$C$2:$C$277,0)),
CHAR(10),
"|"&amp;'Ingest Template'!C398&amp;CHAR(10)
)&amp;"|"&amp;'Ingest Template'!C398,
SUBSTITUTE(
INDEX(DropdownLists!$F$2:$F$277,MATCH('Ingest Template'!D398,DropdownLists!$C$2:$C$277,0)),
CHAR(10),
"|"&amp;'Ingest Template'!C398&amp;CHAR(10)
)&amp;"|"&amp;'Ingest Template'!C398&amp;CHAR(10)&amp;'Ingest Template'!Y398
)</f>
        <v>#N/A</v>
      </c>
      <c r="X398" s="74" t="str">
        <f>'Ingest Template'!Z398</f>
        <v/>
      </c>
      <c r="Y398" s="35" t="str">
        <f>SUBSTITUTE(SUBSTITUTE(SUBSTITUTE('Ingest Template'!AA398,"http:",""),"https:",""),"/","")</f>
        <v/>
      </c>
      <c r="Z398" s="35" t="str">
        <f t="array" ref="Z398">IF('Ingest Template'!A398="Standard",(IF(ISBLANK('Ingest Template'!AB398),"", 'Ingest Template'!AB398&amp;"|DAR")),(IF(ISBLANK('Ingest Template'!AB398),"", 'Ingest Template'!AB398&amp;"|TV Ops")))</f>
        <v/>
      </c>
      <c r="AA398" s="35"/>
      <c r="AB398" s="35" t="str">
        <f>'Ingest Template'!R398</f>
        <v/>
      </c>
      <c r="AC398" s="35" t="str">
        <f>'Ingest Template'!T398</f>
        <v/>
      </c>
      <c r="AD398" s="35" t="str">
        <f>'Ingest Template'!S398</f>
        <v/>
      </c>
      <c r="AE398" s="35" t="str">
        <f>'Ingest Template'!U398</f>
        <v/>
      </c>
      <c r="AF398" s="22"/>
      <c r="AG398" s="35" t="str">
        <f t="array" ref="AG398">IF('Ingest Template'!A398="Standard",(CONCATENATE(IF(ISBLANK('Ingest Template'!N398),"", 'Ingest Template'!N398&amp;"|DAR"),CHAR(10), IF(ISBLANK('Ingest Template'!O398),"", 'Ingest Template'!O398&amp;"|DAR"),CHAR(10), IF(ISBLANK('Ingest Template'!P398),"", 'Ingest Template'!P398&amp;"|DAR"))),(CONCATENATE(IF(ISBLANK('Ingest Template'!N398),"", 'Ingest Template'!N398&amp;"|TV Ops"),CHAR(10), IF(ISBLANK('Ingest Template'!O398),"", 'Ingest Template'!O398&amp;"|TV Ops"),CHAR(10), IF(ISBLANK('Ingest Template'!P398),"", 'Ingest Template'!P398&amp;"|TV Ops"))))</f>
        <v>
</v>
      </c>
      <c r="AH398" s="35"/>
      <c r="AI398" s="35"/>
      <c r="AJ398" s="117" t="str">
        <f>if('Ingest Template'!A398="Standard",(IF(OR('Ingest Template'!F398 = "Program Type - Special", 'Ingest Template'!F398 = "Program Type - Live Event"),'Ingest Template'!M398&amp; "|DAR|DAR|"&amp;TEXT('Ingest Template'!C398-3, "yyyy-mm-dd")&amp;"|"&amp;TEXT('Ingest Template'!C398+3, "yyyy-mm-dd"),'Ingest Template'!M398&amp; "|DAR|DAR|2021-01-01")),(IF(OR('Ingest Template'!F398 = "Program Type - Special", 'Ingest Template'!F398 = "Program Type - Live Event"),'Ingest Template'!M398&amp; "|Operations - Core Title|Operations - Core Title|"&amp;TEXT('Ingest Template'!C398-3, "yyyy-mm-dd")&amp;"|"&amp;TEXT('Ingest Template'!C398+3, "yyyy-mm-dd"),'Ingest Template'!M398&amp; "|Operations - Core Title|Operations - Core Title")))</f>
        <v>|Operations - Core Title|Operations - Core Title</v>
      </c>
      <c r="AK398" s="35"/>
      <c r="AL398" s="117" t="str">
        <f>if('Ingest Template'!A398="Standard",(IF(OR('Ingest Template'!F398 = "Program Type - Special", 'Ingest Template'!F398 = "Program Type - Live Event"),'Ingest Template'!Q398&amp;"|"&amp;TEXT('Ingest Template'!C398-3, "yyyy-mm-dd")&amp;"|"&amp;TEXT('Ingest Template'!C398+3, "yyyy-mm-dd"),'Ingest Template'!Q398&amp; "|2021-01-01")),(IF(OR('Ingest Template'!F398 = "Program Type - Special", 'Ingest Template'!F398 = "Program Type - Live Event"),'Ingest Template'!Q398&amp; "|"&amp;TEXT('Ingest Template'!C398-3, "yyyy-mm-dd")&amp;"|"&amp;TEXT('Ingest Template'!C398+3, "yyyy-mm-dd"),'Ingest Template'!Q398)))</f>
        <v/>
      </c>
      <c r="AM398" s="35" t="str">
        <f>'Ingest Template'!AC398</f>
        <v/>
      </c>
    </row>
    <row r="399">
      <c r="A399" s="15"/>
      <c r="B399" s="22" t="str">
        <f>'Ingest Template'!C399&amp;IF('Ingest Template'!A399 = "Standard", " - DAR","")</f>
        <v/>
      </c>
      <c r="C399" s="22" t="s">
        <v>83</v>
      </c>
      <c r="D399" s="22" t="str">
        <f t="array" ref="D399">CONCATENATE(INDEX(DropdownLists!$H$2:$H$11,MATCH(1,COUNTIF('Ingest Template'!E399,"*"&amp;DropdownLists!$I$2:$I$11&amp;"*"),0)),CHAR(10),'Ingest Template'!F399,CHAR(10),'Ingest Template'!G399,CHAR(10),VLOOKUP('Ingest Template'!D399,DropdownLists!C:D,2,FALSE))</f>
        <v>#N/A</v>
      </c>
      <c r="E399" s="22" t="str">
        <f>CONCATENATE('Ingest Template'!H399,CHAR(10),'Ingest Template'!I399,CHAR(10),'Ingest Template'!J399,CHAR(10))</f>
        <v>
</v>
      </c>
      <c r="F399" s="35" t="str">
        <f t="array" ref="F399">INDEX(DropdownLists!$O$2:$O$36,MATCH(1,COUNTIF(E399,"*"&amp;DropdownLists!$N$2:$N$36&amp;"*"),0))</f>
        <v/>
      </c>
      <c r="G399" s="35"/>
      <c r="H399" s="22" t="str">
        <f t="array" ref="H399">INDEX(DropdownLists!$E$2:$E$276,MATCH('Ingest Template'!D399,DropdownLists!$C$2:$C$276,0))</f>
        <v>#N/A</v>
      </c>
      <c r="I399" s="22"/>
      <c r="J399" s="22" t="str">
        <f t="array" ref="J399">iF('Ingest Template'!A399="Standard","Pristine Brand",INDEX(DropdownLists!$B$2:$B$246,MATCH('Ingest Template'!D399,DropdownLists!$C$2:$C$246,0)))</f>
        <v>#N/A</v>
      </c>
      <c r="K399" s="22" t="str">
        <f>iF('Ingest Template'!A399="Standard",'Ingest Template'!K399&amp;CHAR(10)&amp;'Ingest Template'!L399,"Competitive View")</f>
        <v>Competitive View</v>
      </c>
      <c r="L399" s="22" t="s">
        <v>95</v>
      </c>
      <c r="M399" s="45" t="str">
        <f>'Ingest Template'!B399</f>
        <v/>
      </c>
      <c r="N399" s="35"/>
      <c r="O399" s="35"/>
      <c r="P399" s="35"/>
      <c r="Q399" s="35"/>
      <c r="R399" s="35" t="str">
        <f>'Ingest Template'!D399</f>
        <v/>
      </c>
      <c r="S399" s="22" t="s">
        <v>101</v>
      </c>
      <c r="T399" s="35" t="str">
        <f>'Ingest Template'!V399</f>
        <v/>
      </c>
      <c r="U399" s="35" t="str">
        <f>'Ingest Template'!W399</f>
        <v/>
      </c>
      <c r="V399" s="35" t="str">
        <f>LOWER(SUBSTITUTE(SUBSTITUTE(SUBSTITUTE(SUBSTITUTE(SUBSTITUTE('Ingest Template'!X399,"https:",""),"www.",""),"/",""),"?hl=en",""),"instagram.com",""))</f>
        <v/>
      </c>
      <c r="W399" s="74" t="str">
        <f t="array" ref="W399">IF(
'Ingest Template'!Y399="",
SUBSTITUTE(
INDEX(DropdownLists!$F$2:$F$277,MATCH('Ingest Template'!D399,DropdownLists!$C$2:$C$277,0)),
CHAR(10),
"|"&amp;'Ingest Template'!C399&amp;CHAR(10)
)&amp;"|"&amp;'Ingest Template'!C399,
SUBSTITUTE(
INDEX(DropdownLists!$F$2:$F$277,MATCH('Ingest Template'!D399,DropdownLists!$C$2:$C$277,0)),
CHAR(10),
"|"&amp;'Ingest Template'!C399&amp;CHAR(10)
)&amp;"|"&amp;'Ingest Template'!C399&amp;CHAR(10)&amp;'Ingest Template'!Y399
)</f>
        <v>#N/A</v>
      </c>
      <c r="X399" s="74" t="str">
        <f>'Ingest Template'!Z399</f>
        <v/>
      </c>
      <c r="Y399" s="35" t="str">
        <f>SUBSTITUTE(SUBSTITUTE(SUBSTITUTE('Ingest Template'!AA399,"http:",""),"https:",""),"/","")</f>
        <v/>
      </c>
      <c r="Z399" s="35" t="str">
        <f t="array" ref="Z399">IF('Ingest Template'!A399="Standard",(IF(ISBLANK('Ingest Template'!AB399),"", 'Ingest Template'!AB399&amp;"|DAR")),(IF(ISBLANK('Ingest Template'!AB399),"", 'Ingest Template'!AB399&amp;"|TV Ops")))</f>
        <v/>
      </c>
      <c r="AA399" s="35"/>
      <c r="AB399" s="35" t="str">
        <f>'Ingest Template'!R399</f>
        <v/>
      </c>
      <c r="AC399" s="35" t="str">
        <f>'Ingest Template'!T399</f>
        <v/>
      </c>
      <c r="AD399" s="35" t="str">
        <f>'Ingest Template'!S399</f>
        <v/>
      </c>
      <c r="AE399" s="35" t="str">
        <f>'Ingest Template'!U399</f>
        <v/>
      </c>
      <c r="AF399" s="22"/>
      <c r="AG399" s="35" t="str">
        <f t="array" ref="AG399">IF('Ingest Template'!A399="Standard",(CONCATENATE(IF(ISBLANK('Ingest Template'!N399),"", 'Ingest Template'!N399&amp;"|DAR"),CHAR(10), IF(ISBLANK('Ingest Template'!O399),"", 'Ingest Template'!O399&amp;"|DAR"),CHAR(10), IF(ISBLANK('Ingest Template'!P399),"", 'Ingest Template'!P399&amp;"|DAR"))),(CONCATENATE(IF(ISBLANK('Ingest Template'!N399),"", 'Ingest Template'!N399&amp;"|TV Ops"),CHAR(10), IF(ISBLANK('Ingest Template'!O399),"", 'Ingest Template'!O399&amp;"|TV Ops"),CHAR(10), IF(ISBLANK('Ingest Template'!P399),"", 'Ingest Template'!P399&amp;"|TV Ops"))))</f>
        <v>
</v>
      </c>
      <c r="AH399" s="35"/>
      <c r="AI399" s="35"/>
      <c r="AJ399" s="117" t="str">
        <f>if('Ingest Template'!A399="Standard",(IF(OR('Ingest Template'!F399 = "Program Type - Special", 'Ingest Template'!F399 = "Program Type - Live Event"),'Ingest Template'!M399&amp; "|DAR|DAR|"&amp;TEXT('Ingest Template'!C399-3, "yyyy-mm-dd")&amp;"|"&amp;TEXT('Ingest Template'!C399+3, "yyyy-mm-dd"),'Ingest Template'!M399&amp; "|DAR|DAR|2021-01-01")),(IF(OR('Ingest Template'!F399 = "Program Type - Special", 'Ingest Template'!F399 = "Program Type - Live Event"),'Ingest Template'!M399&amp; "|Operations - Core Title|Operations - Core Title|"&amp;TEXT('Ingest Template'!C399-3, "yyyy-mm-dd")&amp;"|"&amp;TEXT('Ingest Template'!C399+3, "yyyy-mm-dd"),'Ingest Template'!M399&amp; "|Operations - Core Title|Operations - Core Title")))</f>
        <v>|Operations - Core Title|Operations - Core Title</v>
      </c>
      <c r="AK399" s="35"/>
      <c r="AL399" s="117" t="str">
        <f>if('Ingest Template'!A399="Standard",(IF(OR('Ingest Template'!F399 = "Program Type - Special", 'Ingest Template'!F399 = "Program Type - Live Event"),'Ingest Template'!Q399&amp;"|"&amp;TEXT('Ingest Template'!C399-3, "yyyy-mm-dd")&amp;"|"&amp;TEXT('Ingest Template'!C399+3, "yyyy-mm-dd"),'Ingest Template'!Q399&amp; "|2021-01-01")),(IF(OR('Ingest Template'!F399 = "Program Type - Special", 'Ingest Template'!F399 = "Program Type - Live Event"),'Ingest Template'!Q399&amp; "|"&amp;TEXT('Ingest Template'!C399-3, "yyyy-mm-dd")&amp;"|"&amp;TEXT('Ingest Template'!C399+3, "yyyy-mm-dd"),'Ingest Template'!Q399)))</f>
        <v/>
      </c>
      <c r="AM399" s="35" t="str">
        <f>'Ingest Template'!AC399</f>
        <v/>
      </c>
    </row>
    <row r="400">
      <c r="A400" s="15"/>
      <c r="B400" s="22" t="str">
        <f>'Ingest Template'!C400&amp;IF('Ingest Template'!A400 = "Standard", " - DAR","")</f>
        <v/>
      </c>
      <c r="C400" s="22" t="s">
        <v>83</v>
      </c>
      <c r="D400" s="22" t="str">
        <f t="array" ref="D400">CONCATENATE(INDEX(DropdownLists!$H$2:$H$11,MATCH(1,COUNTIF('Ingest Template'!E400,"*"&amp;DropdownLists!$I$2:$I$11&amp;"*"),0)),CHAR(10),'Ingest Template'!F400,CHAR(10),'Ingest Template'!G400,CHAR(10),VLOOKUP('Ingest Template'!D400,DropdownLists!C:D,2,FALSE))</f>
        <v>#N/A</v>
      </c>
      <c r="E400" s="22" t="str">
        <f>CONCATENATE('Ingest Template'!H400,CHAR(10),'Ingest Template'!I400,CHAR(10),'Ingest Template'!J400,CHAR(10))</f>
        <v>
</v>
      </c>
      <c r="F400" s="35" t="str">
        <f t="array" ref="F400">INDEX(DropdownLists!$O$2:$O$36,MATCH(1,COUNTIF(E400,"*"&amp;DropdownLists!$N$2:$N$36&amp;"*"),0))</f>
        <v/>
      </c>
      <c r="G400" s="35"/>
      <c r="H400" s="22" t="str">
        <f t="array" ref="H400">INDEX(DropdownLists!$E$2:$E$276,MATCH('Ingest Template'!D400,DropdownLists!$C$2:$C$276,0))</f>
        <v>#N/A</v>
      </c>
      <c r="I400" s="22"/>
      <c r="J400" s="22" t="str">
        <f t="array" ref="J400">iF('Ingest Template'!A400="Standard","Pristine Brand",INDEX(DropdownLists!$B$2:$B$246,MATCH('Ingest Template'!D400,DropdownLists!$C$2:$C$246,0)))</f>
        <v>#N/A</v>
      </c>
      <c r="K400" s="22" t="str">
        <f>iF('Ingest Template'!A400="Standard",'Ingest Template'!K400&amp;CHAR(10)&amp;'Ingest Template'!L400,"Competitive View")</f>
        <v>Competitive View</v>
      </c>
      <c r="L400" s="22" t="s">
        <v>95</v>
      </c>
      <c r="M400" s="45" t="str">
        <f>'Ingest Template'!B400</f>
        <v/>
      </c>
      <c r="N400" s="35"/>
      <c r="O400" s="35"/>
      <c r="P400" s="35"/>
      <c r="Q400" s="35"/>
      <c r="R400" s="35" t="str">
        <f>'Ingest Template'!D400</f>
        <v/>
      </c>
      <c r="S400" s="22" t="s">
        <v>101</v>
      </c>
      <c r="T400" s="35" t="str">
        <f>'Ingest Template'!V400</f>
        <v/>
      </c>
      <c r="U400" s="35" t="str">
        <f>'Ingest Template'!W400</f>
        <v/>
      </c>
      <c r="V400" s="35" t="str">
        <f>LOWER(SUBSTITUTE(SUBSTITUTE(SUBSTITUTE(SUBSTITUTE(SUBSTITUTE('Ingest Template'!X400,"https:",""),"www.",""),"/",""),"?hl=en",""),"instagram.com",""))</f>
        <v/>
      </c>
      <c r="W400" s="74" t="str">
        <f t="array" ref="W400">IF(
'Ingest Template'!Y400="",
SUBSTITUTE(
INDEX(DropdownLists!$F$2:$F$277,MATCH('Ingest Template'!D400,DropdownLists!$C$2:$C$277,0)),
CHAR(10),
"|"&amp;'Ingest Template'!C400&amp;CHAR(10)
)&amp;"|"&amp;'Ingest Template'!C400,
SUBSTITUTE(
INDEX(DropdownLists!$F$2:$F$277,MATCH('Ingest Template'!D400,DropdownLists!$C$2:$C$277,0)),
CHAR(10),
"|"&amp;'Ingest Template'!C400&amp;CHAR(10)
)&amp;"|"&amp;'Ingest Template'!C400&amp;CHAR(10)&amp;'Ingest Template'!Y400
)</f>
        <v>#N/A</v>
      </c>
      <c r="X400" s="74" t="str">
        <f>'Ingest Template'!Z400</f>
        <v/>
      </c>
      <c r="Y400" s="35" t="str">
        <f>SUBSTITUTE(SUBSTITUTE(SUBSTITUTE('Ingest Template'!AA400,"http:",""),"https:",""),"/","")</f>
        <v/>
      </c>
      <c r="Z400" s="35" t="str">
        <f t="array" ref="Z400">IF('Ingest Template'!A400="Standard",(IF(ISBLANK('Ingest Template'!AB400),"", 'Ingest Template'!AB400&amp;"|DAR")),(IF(ISBLANK('Ingest Template'!AB400),"", 'Ingest Template'!AB400&amp;"|TV Ops")))</f>
        <v/>
      </c>
      <c r="AA400" s="35"/>
      <c r="AB400" s="35" t="str">
        <f>'Ingest Template'!R400</f>
        <v/>
      </c>
      <c r="AC400" s="35" t="str">
        <f>'Ingest Template'!T400</f>
        <v/>
      </c>
      <c r="AD400" s="35" t="str">
        <f>'Ingest Template'!S400</f>
        <v/>
      </c>
      <c r="AE400" s="35" t="str">
        <f>'Ingest Template'!U400</f>
        <v/>
      </c>
      <c r="AF400" s="22"/>
      <c r="AG400" s="35" t="str">
        <f t="array" ref="AG400">IF('Ingest Template'!A400="Standard",(CONCATENATE(IF(ISBLANK('Ingest Template'!N400),"", 'Ingest Template'!N400&amp;"|DAR"),CHAR(10), IF(ISBLANK('Ingest Template'!O400),"", 'Ingest Template'!O400&amp;"|DAR"),CHAR(10), IF(ISBLANK('Ingest Template'!P400),"", 'Ingest Template'!P400&amp;"|DAR"))),(CONCATENATE(IF(ISBLANK('Ingest Template'!N400),"", 'Ingest Template'!N400&amp;"|TV Ops"),CHAR(10), IF(ISBLANK('Ingest Template'!O400),"", 'Ingest Template'!O400&amp;"|TV Ops"),CHAR(10), IF(ISBLANK('Ingest Template'!P400),"", 'Ingest Template'!P400&amp;"|TV Ops"))))</f>
        <v>
</v>
      </c>
      <c r="AH400" s="35"/>
      <c r="AI400" s="35"/>
      <c r="AJ400" s="117" t="str">
        <f>if('Ingest Template'!A400="Standard",(IF(OR('Ingest Template'!F400 = "Program Type - Special", 'Ingest Template'!F400 = "Program Type - Live Event"),'Ingest Template'!M400&amp; "|DAR|DAR|"&amp;TEXT('Ingest Template'!C400-3, "yyyy-mm-dd")&amp;"|"&amp;TEXT('Ingest Template'!C400+3, "yyyy-mm-dd"),'Ingest Template'!M400&amp; "|DAR|DAR|2021-01-01")),(IF(OR('Ingest Template'!F400 = "Program Type - Special", 'Ingest Template'!F400 = "Program Type - Live Event"),'Ingest Template'!M400&amp; "|Operations - Core Title|Operations - Core Title|"&amp;TEXT('Ingest Template'!C400-3, "yyyy-mm-dd")&amp;"|"&amp;TEXT('Ingest Template'!C400+3, "yyyy-mm-dd"),'Ingest Template'!M400&amp; "|Operations - Core Title|Operations - Core Title")))</f>
        <v>|Operations - Core Title|Operations - Core Title</v>
      </c>
      <c r="AK400" s="35"/>
      <c r="AL400" s="117" t="str">
        <f>if('Ingest Template'!A400="Standard",(IF(OR('Ingest Template'!F400 = "Program Type - Special", 'Ingest Template'!F400 = "Program Type - Live Event"),'Ingest Template'!Q400&amp;"|"&amp;TEXT('Ingest Template'!C400-3, "yyyy-mm-dd")&amp;"|"&amp;TEXT('Ingest Template'!C400+3, "yyyy-mm-dd"),'Ingest Template'!Q400&amp; "|2021-01-01")),(IF(OR('Ingest Template'!F400 = "Program Type - Special", 'Ingest Template'!F400 = "Program Type - Live Event"),'Ingest Template'!Q400&amp; "|"&amp;TEXT('Ingest Template'!C400-3, "yyyy-mm-dd")&amp;"|"&amp;TEXT('Ingest Template'!C400+3, "yyyy-mm-dd"),'Ingest Template'!Q400)))</f>
        <v/>
      </c>
      <c r="AM400" s="35" t="str">
        <f>'Ingest Template'!AC400</f>
        <v/>
      </c>
    </row>
    <row r="401">
      <c r="A401" s="15"/>
      <c r="B401" s="22" t="str">
        <f>'Ingest Template'!C401&amp;IF('Ingest Template'!A401 = "Standard", " - DAR","")</f>
        <v/>
      </c>
      <c r="C401" s="22" t="s">
        <v>83</v>
      </c>
      <c r="D401" s="22" t="str">
        <f t="array" ref="D401">CONCATENATE(INDEX(DropdownLists!$H$2:$H$11,MATCH(1,COUNTIF('Ingest Template'!E401,"*"&amp;DropdownLists!$I$2:$I$11&amp;"*"),0)),CHAR(10),'Ingest Template'!F401,CHAR(10),'Ingest Template'!G401,CHAR(10),VLOOKUP('Ingest Template'!D401,DropdownLists!C:D,2,FALSE))</f>
        <v>#N/A</v>
      </c>
      <c r="E401" s="22" t="str">
        <f>CONCATENATE('Ingest Template'!H401,CHAR(10),'Ingest Template'!I401,CHAR(10),'Ingest Template'!J401,CHAR(10))</f>
        <v>
</v>
      </c>
      <c r="F401" s="35" t="str">
        <f t="array" ref="F401">INDEX(DropdownLists!$O$2:$O$36,MATCH(1,COUNTIF(E401,"*"&amp;DropdownLists!$N$2:$N$36&amp;"*"),0))</f>
        <v/>
      </c>
      <c r="G401" s="35"/>
      <c r="H401" s="22" t="str">
        <f t="array" ref="H401">INDEX(DropdownLists!$E$2:$E$276,MATCH('Ingest Template'!D401,DropdownLists!$C$2:$C$276,0))</f>
        <v>#N/A</v>
      </c>
      <c r="I401" s="22"/>
      <c r="J401" s="22" t="str">
        <f t="array" ref="J401">iF('Ingest Template'!A401="Standard","Pristine Brand",INDEX(DropdownLists!$B$2:$B$246,MATCH('Ingest Template'!D401,DropdownLists!$C$2:$C$246,0)))</f>
        <v>#N/A</v>
      </c>
      <c r="K401" s="22" t="str">
        <f>iF('Ingest Template'!A401="Standard",'Ingest Template'!K401&amp;CHAR(10)&amp;'Ingest Template'!L401,"Competitive View")</f>
        <v>Competitive View</v>
      </c>
      <c r="L401" s="22" t="s">
        <v>95</v>
      </c>
      <c r="M401" s="45" t="str">
        <f>'Ingest Template'!B401</f>
        <v/>
      </c>
      <c r="N401" s="35"/>
      <c r="O401" s="35"/>
      <c r="P401" s="35"/>
      <c r="Q401" s="35"/>
      <c r="R401" s="35" t="str">
        <f>'Ingest Template'!D401</f>
        <v/>
      </c>
      <c r="S401" s="22" t="s">
        <v>101</v>
      </c>
      <c r="T401" s="35" t="str">
        <f>'Ingest Template'!V401</f>
        <v/>
      </c>
      <c r="U401" s="35" t="str">
        <f>'Ingest Template'!W401</f>
        <v/>
      </c>
      <c r="V401" s="35" t="str">
        <f>LOWER(SUBSTITUTE(SUBSTITUTE(SUBSTITUTE(SUBSTITUTE(SUBSTITUTE('Ingest Template'!X401,"https:",""),"www.",""),"/",""),"?hl=en",""),"instagram.com",""))</f>
        <v/>
      </c>
      <c r="W401" s="74" t="str">
        <f t="array" ref="W401">IF(
'Ingest Template'!Y401="",
SUBSTITUTE(
INDEX(DropdownLists!$F$2:$F$277,MATCH('Ingest Template'!D401,DropdownLists!$C$2:$C$277,0)),
CHAR(10),
"|"&amp;'Ingest Template'!C401&amp;CHAR(10)
)&amp;"|"&amp;'Ingest Template'!C401,
SUBSTITUTE(
INDEX(DropdownLists!$F$2:$F$277,MATCH('Ingest Template'!D401,DropdownLists!$C$2:$C$277,0)),
CHAR(10),
"|"&amp;'Ingest Template'!C401&amp;CHAR(10)
)&amp;"|"&amp;'Ingest Template'!C401&amp;CHAR(10)&amp;'Ingest Template'!Y401
)</f>
        <v>#N/A</v>
      </c>
      <c r="X401" s="74" t="str">
        <f>'Ingest Template'!Z401</f>
        <v/>
      </c>
      <c r="Y401" s="35" t="str">
        <f>SUBSTITUTE(SUBSTITUTE(SUBSTITUTE('Ingest Template'!AA401,"http:",""),"https:",""),"/","")</f>
        <v/>
      </c>
      <c r="Z401" s="35" t="str">
        <f t="array" ref="Z401">IF('Ingest Template'!A401="Standard",(IF(ISBLANK('Ingest Template'!AB401),"", 'Ingest Template'!AB401&amp;"|DAR")),(IF(ISBLANK('Ingest Template'!AB401),"", 'Ingest Template'!AB401&amp;"|TV Ops")))</f>
        <v/>
      </c>
      <c r="AA401" s="35"/>
      <c r="AB401" s="35" t="str">
        <f>'Ingest Template'!R401</f>
        <v/>
      </c>
      <c r="AC401" s="35" t="str">
        <f>'Ingest Template'!T401</f>
        <v/>
      </c>
      <c r="AD401" s="35" t="str">
        <f>'Ingest Template'!S401</f>
        <v/>
      </c>
      <c r="AE401" s="35" t="str">
        <f>'Ingest Template'!U401</f>
        <v/>
      </c>
      <c r="AF401" s="22"/>
      <c r="AG401" s="35" t="str">
        <f t="array" ref="AG401">IF('Ingest Template'!A401="Standard",(CONCATENATE(IF(ISBLANK('Ingest Template'!N401),"", 'Ingest Template'!N401&amp;"|DAR"),CHAR(10), IF(ISBLANK('Ingest Template'!O401),"", 'Ingest Template'!O401&amp;"|DAR"),CHAR(10), IF(ISBLANK('Ingest Template'!P401),"", 'Ingest Template'!P401&amp;"|DAR"))),(CONCATENATE(IF(ISBLANK('Ingest Template'!N401),"", 'Ingest Template'!N401&amp;"|TV Ops"),CHAR(10), IF(ISBLANK('Ingest Template'!O401),"", 'Ingest Template'!O401&amp;"|TV Ops"),CHAR(10), IF(ISBLANK('Ingest Template'!P401),"", 'Ingest Template'!P401&amp;"|TV Ops"))))</f>
        <v>
</v>
      </c>
      <c r="AH401" s="35"/>
      <c r="AI401" s="35"/>
      <c r="AJ401" s="117" t="str">
        <f>if('Ingest Template'!A401="Standard",(IF(OR('Ingest Template'!F401 = "Program Type - Special", 'Ingest Template'!F401 = "Program Type - Live Event"),'Ingest Template'!M401&amp; "|DAR|DAR|"&amp;TEXT('Ingest Template'!C401-3, "yyyy-mm-dd")&amp;"|"&amp;TEXT('Ingest Template'!C401+3, "yyyy-mm-dd"),'Ingest Template'!M401&amp; "|DAR|DAR|2021-01-01")),(IF(OR('Ingest Template'!F401 = "Program Type - Special", 'Ingest Template'!F401 = "Program Type - Live Event"),'Ingest Template'!M401&amp; "|Operations - Core Title|Operations - Core Title|"&amp;TEXT('Ingest Template'!C401-3, "yyyy-mm-dd")&amp;"|"&amp;TEXT('Ingest Template'!C401+3, "yyyy-mm-dd"),'Ingest Template'!M401&amp; "|Operations - Core Title|Operations - Core Title")))</f>
        <v>|Operations - Core Title|Operations - Core Title</v>
      </c>
      <c r="AK401" s="35"/>
      <c r="AL401" s="117" t="str">
        <f>if('Ingest Template'!A401="Standard",(IF(OR('Ingest Template'!F401 = "Program Type - Special", 'Ingest Template'!F401 = "Program Type - Live Event"),'Ingest Template'!Q401&amp;"|"&amp;TEXT('Ingest Template'!C401-3, "yyyy-mm-dd")&amp;"|"&amp;TEXT('Ingest Template'!C401+3, "yyyy-mm-dd"),'Ingest Template'!Q401&amp; "|2021-01-01")),(IF(OR('Ingest Template'!F401 = "Program Type - Special", 'Ingest Template'!F401 = "Program Type - Live Event"),'Ingest Template'!Q401&amp; "|"&amp;TEXT('Ingest Template'!C401-3, "yyyy-mm-dd")&amp;"|"&amp;TEXT('Ingest Template'!C401+3, "yyyy-mm-dd"),'Ingest Template'!Q401)))</f>
        <v/>
      </c>
      <c r="AM401" s="35" t="str">
        <f>'Ingest Template'!AC401</f>
        <v/>
      </c>
    </row>
    <row r="402">
      <c r="A402" s="15"/>
      <c r="B402" s="22" t="str">
        <f>'Ingest Template'!C402&amp;IF('Ingest Template'!A402 = "Standard", " - DAR","")</f>
        <v/>
      </c>
      <c r="C402" s="22" t="s">
        <v>83</v>
      </c>
      <c r="D402" s="22" t="str">
        <f t="array" ref="D402">CONCATENATE(INDEX(DropdownLists!$H$2:$H$11,MATCH(1,COUNTIF('Ingest Template'!E402,"*"&amp;DropdownLists!$I$2:$I$11&amp;"*"),0)),CHAR(10),'Ingest Template'!F402,CHAR(10),'Ingest Template'!G402,CHAR(10),VLOOKUP('Ingest Template'!D402,DropdownLists!C:D,2,FALSE))</f>
        <v>#N/A</v>
      </c>
      <c r="E402" s="22" t="str">
        <f>CONCATENATE('Ingest Template'!H402,CHAR(10),'Ingest Template'!I402,CHAR(10),'Ingest Template'!J402,CHAR(10))</f>
        <v>
</v>
      </c>
      <c r="F402" s="35" t="str">
        <f t="array" ref="F402">INDEX(DropdownLists!$O$2:$O$36,MATCH(1,COUNTIF(E402,"*"&amp;DropdownLists!$N$2:$N$36&amp;"*"),0))</f>
        <v/>
      </c>
      <c r="G402" s="35"/>
      <c r="H402" s="22" t="str">
        <f t="array" ref="H402">INDEX(DropdownLists!$E$2:$E$276,MATCH('Ingest Template'!D402,DropdownLists!$C$2:$C$276,0))</f>
        <v>#N/A</v>
      </c>
      <c r="I402" s="22"/>
      <c r="J402" s="22" t="str">
        <f t="array" ref="J402">iF('Ingest Template'!A402="Standard","Pristine Brand",INDEX(DropdownLists!$B$2:$B$246,MATCH('Ingest Template'!D402,DropdownLists!$C$2:$C$246,0)))</f>
        <v>#N/A</v>
      </c>
      <c r="K402" s="22" t="str">
        <f>iF('Ingest Template'!A402="Standard",'Ingest Template'!K402&amp;CHAR(10)&amp;'Ingest Template'!L402,"Competitive View")</f>
        <v>Competitive View</v>
      </c>
      <c r="L402" s="22" t="s">
        <v>95</v>
      </c>
      <c r="M402" s="45" t="str">
        <f>'Ingest Template'!B402</f>
        <v/>
      </c>
      <c r="N402" s="35"/>
      <c r="O402" s="35"/>
      <c r="P402" s="35"/>
      <c r="Q402" s="35"/>
      <c r="R402" s="35" t="str">
        <f>'Ingest Template'!D402</f>
        <v/>
      </c>
      <c r="S402" s="22" t="s">
        <v>101</v>
      </c>
      <c r="T402" s="35" t="str">
        <f>'Ingest Template'!V402</f>
        <v/>
      </c>
      <c r="U402" s="35" t="str">
        <f>'Ingest Template'!W402</f>
        <v/>
      </c>
      <c r="V402" s="35" t="str">
        <f>LOWER(SUBSTITUTE(SUBSTITUTE(SUBSTITUTE(SUBSTITUTE(SUBSTITUTE('Ingest Template'!X402,"https:",""),"www.",""),"/",""),"?hl=en",""),"instagram.com",""))</f>
        <v/>
      </c>
      <c r="W402" s="74" t="str">
        <f t="array" ref="W402">IF(
'Ingest Template'!Y402="",
SUBSTITUTE(
INDEX(DropdownLists!$F$2:$F$277,MATCH('Ingest Template'!D402,DropdownLists!$C$2:$C$277,0)),
CHAR(10),
"|"&amp;'Ingest Template'!C402&amp;CHAR(10)
)&amp;"|"&amp;'Ingest Template'!C402,
SUBSTITUTE(
INDEX(DropdownLists!$F$2:$F$277,MATCH('Ingest Template'!D402,DropdownLists!$C$2:$C$277,0)),
CHAR(10),
"|"&amp;'Ingest Template'!C402&amp;CHAR(10)
)&amp;"|"&amp;'Ingest Template'!C402&amp;CHAR(10)&amp;'Ingest Template'!Y402
)</f>
        <v>#N/A</v>
      </c>
      <c r="X402" s="74" t="str">
        <f>'Ingest Template'!Z402</f>
        <v/>
      </c>
      <c r="Y402" s="35" t="str">
        <f>SUBSTITUTE(SUBSTITUTE(SUBSTITUTE('Ingest Template'!AA402,"http:",""),"https:",""),"/","")</f>
        <v/>
      </c>
      <c r="Z402" s="35" t="str">
        <f t="array" ref="Z402">IF('Ingest Template'!A402="Standard",(IF(ISBLANK('Ingest Template'!AB402),"", 'Ingest Template'!AB402&amp;"|DAR")),(IF(ISBLANK('Ingest Template'!AB402),"", 'Ingest Template'!AB402&amp;"|TV Ops")))</f>
        <v/>
      </c>
      <c r="AA402" s="35"/>
      <c r="AB402" s="35" t="str">
        <f>'Ingest Template'!R402</f>
        <v/>
      </c>
      <c r="AC402" s="35" t="str">
        <f>'Ingest Template'!T402</f>
        <v/>
      </c>
      <c r="AD402" s="35" t="str">
        <f>'Ingest Template'!S402</f>
        <v/>
      </c>
      <c r="AE402" s="35" t="str">
        <f>'Ingest Template'!U402</f>
        <v/>
      </c>
      <c r="AF402" s="22"/>
      <c r="AG402" s="35" t="str">
        <f t="array" ref="AG402">IF('Ingest Template'!A402="Standard",(CONCATENATE(IF(ISBLANK('Ingest Template'!N402),"", 'Ingest Template'!N402&amp;"|DAR"),CHAR(10), IF(ISBLANK('Ingest Template'!O402),"", 'Ingest Template'!O402&amp;"|DAR"),CHAR(10), IF(ISBLANK('Ingest Template'!P402),"", 'Ingest Template'!P402&amp;"|DAR"))),(CONCATENATE(IF(ISBLANK('Ingest Template'!N402),"", 'Ingest Template'!N402&amp;"|TV Ops"),CHAR(10), IF(ISBLANK('Ingest Template'!O402),"", 'Ingest Template'!O402&amp;"|TV Ops"),CHAR(10), IF(ISBLANK('Ingest Template'!P402),"", 'Ingest Template'!P402&amp;"|TV Ops"))))</f>
        <v>
</v>
      </c>
      <c r="AH402" s="35"/>
      <c r="AI402" s="35"/>
      <c r="AJ402" s="117" t="str">
        <f>if('Ingest Template'!A402="Standard",(IF(OR('Ingest Template'!F402 = "Program Type - Special", 'Ingest Template'!F402 = "Program Type - Live Event"),'Ingest Template'!M402&amp; "|DAR|DAR|"&amp;TEXT('Ingest Template'!C402-3, "yyyy-mm-dd")&amp;"|"&amp;TEXT('Ingest Template'!C402+3, "yyyy-mm-dd"),'Ingest Template'!M402&amp; "|DAR|DAR|2021-01-01")),(IF(OR('Ingest Template'!F402 = "Program Type - Special", 'Ingest Template'!F402 = "Program Type - Live Event"),'Ingest Template'!M402&amp; "|Operations - Core Title|Operations - Core Title|"&amp;TEXT('Ingest Template'!C402-3, "yyyy-mm-dd")&amp;"|"&amp;TEXT('Ingest Template'!C402+3, "yyyy-mm-dd"),'Ingest Template'!M402&amp; "|Operations - Core Title|Operations - Core Title")))</f>
        <v>|Operations - Core Title|Operations - Core Title</v>
      </c>
      <c r="AK402" s="35"/>
      <c r="AL402" s="117" t="str">
        <f>if('Ingest Template'!A402="Standard",(IF(OR('Ingest Template'!F402 = "Program Type - Special", 'Ingest Template'!F402 = "Program Type - Live Event"),'Ingest Template'!Q402&amp;"|"&amp;TEXT('Ingest Template'!C402-3, "yyyy-mm-dd")&amp;"|"&amp;TEXT('Ingest Template'!C402+3, "yyyy-mm-dd"),'Ingest Template'!Q402&amp; "|2021-01-01")),(IF(OR('Ingest Template'!F402 = "Program Type - Special", 'Ingest Template'!F402 = "Program Type - Live Event"),'Ingest Template'!Q402&amp; "|"&amp;TEXT('Ingest Template'!C402-3, "yyyy-mm-dd")&amp;"|"&amp;TEXT('Ingest Template'!C402+3, "yyyy-mm-dd"),'Ingest Template'!Q402)))</f>
        <v/>
      </c>
      <c r="AM402" s="35" t="str">
        <f>'Ingest Template'!AC402</f>
        <v/>
      </c>
    </row>
    <row r="403">
      <c r="A403" s="15"/>
      <c r="B403" s="22" t="str">
        <f>'Ingest Template'!C403&amp;IF('Ingest Template'!A403 = "Standard", " - DAR","")</f>
        <v/>
      </c>
      <c r="C403" s="22" t="s">
        <v>83</v>
      </c>
      <c r="D403" s="22" t="str">
        <f t="array" ref="D403">CONCATENATE(INDEX(DropdownLists!$H$2:$H$11,MATCH(1,COUNTIF('Ingest Template'!E403,"*"&amp;DropdownLists!$I$2:$I$11&amp;"*"),0)),CHAR(10),'Ingest Template'!F403,CHAR(10),'Ingest Template'!G403,CHAR(10),VLOOKUP('Ingest Template'!D403,DropdownLists!C:D,2,FALSE))</f>
        <v>#N/A</v>
      </c>
      <c r="E403" s="22" t="str">
        <f>CONCATENATE('Ingest Template'!H403,CHAR(10),'Ingest Template'!I403,CHAR(10),'Ingest Template'!J403,CHAR(10))</f>
        <v>
</v>
      </c>
      <c r="F403" s="35" t="str">
        <f t="array" ref="F403">INDEX(DropdownLists!$O$2:$O$36,MATCH(1,COUNTIF(E403,"*"&amp;DropdownLists!$N$2:$N$36&amp;"*"),0))</f>
        <v/>
      </c>
      <c r="G403" s="35"/>
      <c r="H403" s="22" t="str">
        <f t="array" ref="H403">INDEX(DropdownLists!$E$2:$E$276,MATCH('Ingest Template'!D403,DropdownLists!$C$2:$C$276,0))</f>
        <v>#N/A</v>
      </c>
      <c r="I403" s="22"/>
      <c r="J403" s="22" t="str">
        <f t="array" ref="J403">iF('Ingest Template'!A403="Standard","Pristine Brand",INDEX(DropdownLists!$B$2:$B$246,MATCH('Ingest Template'!D403,DropdownLists!$C$2:$C$246,0)))</f>
        <v>#N/A</v>
      </c>
      <c r="K403" s="22" t="str">
        <f>iF('Ingest Template'!A403="Standard",'Ingest Template'!K403&amp;CHAR(10)&amp;'Ingest Template'!L403,"Competitive View")</f>
        <v>Competitive View</v>
      </c>
      <c r="L403" s="22" t="s">
        <v>95</v>
      </c>
      <c r="M403" s="45" t="str">
        <f>'Ingest Template'!B403</f>
        <v/>
      </c>
      <c r="N403" s="35"/>
      <c r="O403" s="35"/>
      <c r="P403" s="35"/>
      <c r="Q403" s="35"/>
      <c r="R403" s="35" t="str">
        <f>'Ingest Template'!D403</f>
        <v/>
      </c>
      <c r="S403" s="22" t="s">
        <v>101</v>
      </c>
      <c r="T403" s="35" t="str">
        <f>'Ingest Template'!V403</f>
        <v/>
      </c>
      <c r="U403" s="35" t="str">
        <f>'Ingest Template'!W403</f>
        <v/>
      </c>
      <c r="V403" s="35" t="str">
        <f>LOWER(SUBSTITUTE(SUBSTITUTE(SUBSTITUTE(SUBSTITUTE(SUBSTITUTE('Ingest Template'!X403,"https:",""),"www.",""),"/",""),"?hl=en",""),"instagram.com",""))</f>
        <v/>
      </c>
      <c r="W403" s="74" t="str">
        <f t="array" ref="W403">IF(
'Ingest Template'!Y403="",
SUBSTITUTE(
INDEX(DropdownLists!$F$2:$F$277,MATCH('Ingest Template'!D403,DropdownLists!$C$2:$C$277,0)),
CHAR(10),
"|"&amp;'Ingest Template'!C403&amp;CHAR(10)
)&amp;"|"&amp;'Ingest Template'!C403,
SUBSTITUTE(
INDEX(DropdownLists!$F$2:$F$277,MATCH('Ingest Template'!D403,DropdownLists!$C$2:$C$277,0)),
CHAR(10),
"|"&amp;'Ingest Template'!C403&amp;CHAR(10)
)&amp;"|"&amp;'Ingest Template'!C403&amp;CHAR(10)&amp;'Ingest Template'!Y403
)</f>
        <v>#N/A</v>
      </c>
      <c r="X403" s="74" t="str">
        <f>'Ingest Template'!Z403</f>
        <v/>
      </c>
      <c r="Y403" s="35" t="str">
        <f>SUBSTITUTE(SUBSTITUTE(SUBSTITUTE('Ingest Template'!AA403,"http:",""),"https:",""),"/","")</f>
        <v/>
      </c>
      <c r="Z403" s="35" t="str">
        <f t="array" ref="Z403">IF('Ingest Template'!A403="Standard",(IF(ISBLANK('Ingest Template'!AB403),"", 'Ingest Template'!AB403&amp;"|DAR")),(IF(ISBLANK('Ingest Template'!AB403),"", 'Ingest Template'!AB403&amp;"|TV Ops")))</f>
        <v/>
      </c>
      <c r="AA403" s="35"/>
      <c r="AB403" s="35" t="str">
        <f>'Ingest Template'!R403</f>
        <v/>
      </c>
      <c r="AC403" s="35" t="str">
        <f>'Ingest Template'!T403</f>
        <v/>
      </c>
      <c r="AD403" s="35" t="str">
        <f>'Ingest Template'!S403</f>
        <v/>
      </c>
      <c r="AE403" s="35" t="str">
        <f>'Ingest Template'!U403</f>
        <v/>
      </c>
      <c r="AF403" s="22"/>
      <c r="AG403" s="35" t="str">
        <f t="array" ref="AG403">IF('Ingest Template'!A403="Standard",(CONCATENATE(IF(ISBLANK('Ingest Template'!N403),"", 'Ingest Template'!N403&amp;"|DAR"),CHAR(10), IF(ISBLANK('Ingest Template'!O403),"", 'Ingest Template'!O403&amp;"|DAR"),CHAR(10), IF(ISBLANK('Ingest Template'!P403),"", 'Ingest Template'!P403&amp;"|DAR"))),(CONCATENATE(IF(ISBLANK('Ingest Template'!N403),"", 'Ingest Template'!N403&amp;"|TV Ops"),CHAR(10), IF(ISBLANK('Ingest Template'!O403),"", 'Ingest Template'!O403&amp;"|TV Ops"),CHAR(10), IF(ISBLANK('Ingest Template'!P403),"", 'Ingest Template'!P403&amp;"|TV Ops"))))</f>
        <v>
</v>
      </c>
      <c r="AH403" s="35"/>
      <c r="AI403" s="35"/>
      <c r="AJ403" s="117" t="str">
        <f>if('Ingest Template'!A403="Standard",(IF(OR('Ingest Template'!F403 = "Program Type - Special", 'Ingest Template'!F403 = "Program Type - Live Event"),'Ingest Template'!M403&amp; "|DAR|DAR|"&amp;TEXT('Ingest Template'!C403-3, "yyyy-mm-dd")&amp;"|"&amp;TEXT('Ingest Template'!C403+3, "yyyy-mm-dd"),'Ingest Template'!M403&amp; "|DAR|DAR|2021-01-01")),(IF(OR('Ingest Template'!F403 = "Program Type - Special", 'Ingest Template'!F403 = "Program Type - Live Event"),'Ingest Template'!M403&amp; "|Operations - Core Title|Operations - Core Title|"&amp;TEXT('Ingest Template'!C403-3, "yyyy-mm-dd")&amp;"|"&amp;TEXT('Ingest Template'!C403+3, "yyyy-mm-dd"),'Ingest Template'!M403&amp; "|Operations - Core Title|Operations - Core Title")))</f>
        <v>|Operations - Core Title|Operations - Core Title</v>
      </c>
      <c r="AK403" s="35"/>
      <c r="AL403" s="117" t="str">
        <f>if('Ingest Template'!A403="Standard",(IF(OR('Ingest Template'!F403 = "Program Type - Special", 'Ingest Template'!F403 = "Program Type - Live Event"),'Ingest Template'!Q403&amp;"|"&amp;TEXT('Ingest Template'!C403-3, "yyyy-mm-dd")&amp;"|"&amp;TEXT('Ingest Template'!C403+3, "yyyy-mm-dd"),'Ingest Template'!Q403&amp; "|2021-01-01")),(IF(OR('Ingest Template'!F403 = "Program Type - Special", 'Ingest Template'!F403 = "Program Type - Live Event"),'Ingest Template'!Q403&amp; "|"&amp;TEXT('Ingest Template'!C403-3, "yyyy-mm-dd")&amp;"|"&amp;TEXT('Ingest Template'!C403+3, "yyyy-mm-dd"),'Ingest Template'!Q403)))</f>
        <v/>
      </c>
      <c r="AM403" s="35" t="str">
        <f>'Ingest Template'!AC403</f>
        <v/>
      </c>
    </row>
    <row r="404">
      <c r="A404" s="15"/>
      <c r="B404" s="22" t="str">
        <f>'Ingest Template'!C404&amp;IF('Ingest Template'!A404 = "Standard", " - DAR","")</f>
        <v/>
      </c>
      <c r="C404" s="22" t="s">
        <v>83</v>
      </c>
      <c r="D404" s="22" t="str">
        <f t="array" ref="D404">CONCATENATE(INDEX(DropdownLists!$H$2:$H$11,MATCH(1,COUNTIF('Ingest Template'!E404,"*"&amp;DropdownLists!$I$2:$I$11&amp;"*"),0)),CHAR(10),'Ingest Template'!F404,CHAR(10),'Ingest Template'!G404,CHAR(10),VLOOKUP('Ingest Template'!D404,DropdownLists!C:D,2,FALSE))</f>
        <v>#N/A</v>
      </c>
      <c r="E404" s="22" t="str">
        <f>CONCATENATE('Ingest Template'!H404,CHAR(10),'Ingest Template'!I404,CHAR(10),'Ingest Template'!J404,CHAR(10))</f>
        <v>
</v>
      </c>
      <c r="F404" s="35" t="str">
        <f t="array" ref="F404">INDEX(DropdownLists!$O$2:$O$36,MATCH(1,COUNTIF(E404,"*"&amp;DropdownLists!$N$2:$N$36&amp;"*"),0))</f>
        <v/>
      </c>
      <c r="G404" s="35"/>
      <c r="H404" s="22" t="str">
        <f t="array" ref="H404">INDEX(DropdownLists!$E$2:$E$276,MATCH('Ingest Template'!D404,DropdownLists!$C$2:$C$276,0))</f>
        <v>#N/A</v>
      </c>
      <c r="I404" s="22"/>
      <c r="J404" s="22" t="str">
        <f t="array" ref="J404">iF('Ingest Template'!A404="Standard","Pristine Brand",INDEX(DropdownLists!$B$2:$B$246,MATCH('Ingest Template'!D404,DropdownLists!$C$2:$C$246,0)))</f>
        <v>#N/A</v>
      </c>
      <c r="K404" s="22" t="str">
        <f>iF('Ingest Template'!A404="Standard",'Ingest Template'!K404&amp;CHAR(10)&amp;'Ingest Template'!L404,"Competitive View")</f>
        <v>Competitive View</v>
      </c>
      <c r="L404" s="22" t="s">
        <v>95</v>
      </c>
      <c r="M404" s="45" t="str">
        <f>'Ingest Template'!B404</f>
        <v/>
      </c>
      <c r="N404" s="35"/>
      <c r="O404" s="35"/>
      <c r="P404" s="35"/>
      <c r="Q404" s="35"/>
      <c r="R404" s="35" t="str">
        <f>'Ingest Template'!D404</f>
        <v/>
      </c>
      <c r="S404" s="22" t="s">
        <v>101</v>
      </c>
      <c r="T404" s="35" t="str">
        <f>'Ingest Template'!V404</f>
        <v/>
      </c>
      <c r="U404" s="35" t="str">
        <f>'Ingest Template'!W404</f>
        <v/>
      </c>
      <c r="V404" s="35" t="str">
        <f>LOWER(SUBSTITUTE(SUBSTITUTE(SUBSTITUTE(SUBSTITUTE(SUBSTITUTE('Ingest Template'!X404,"https:",""),"www.",""),"/",""),"?hl=en",""),"instagram.com",""))</f>
        <v/>
      </c>
      <c r="W404" s="74" t="str">
        <f t="array" ref="W404">IF(
'Ingest Template'!Y404="",
SUBSTITUTE(
INDEX(DropdownLists!$F$2:$F$277,MATCH('Ingest Template'!D404,DropdownLists!$C$2:$C$277,0)),
CHAR(10),
"|"&amp;'Ingest Template'!C404&amp;CHAR(10)
)&amp;"|"&amp;'Ingest Template'!C404,
SUBSTITUTE(
INDEX(DropdownLists!$F$2:$F$277,MATCH('Ingest Template'!D404,DropdownLists!$C$2:$C$277,0)),
CHAR(10),
"|"&amp;'Ingest Template'!C404&amp;CHAR(10)
)&amp;"|"&amp;'Ingest Template'!C404&amp;CHAR(10)&amp;'Ingest Template'!Y404
)</f>
        <v>#N/A</v>
      </c>
      <c r="X404" s="74" t="str">
        <f>'Ingest Template'!Z404</f>
        <v/>
      </c>
      <c r="Y404" s="35" t="str">
        <f>SUBSTITUTE(SUBSTITUTE(SUBSTITUTE('Ingest Template'!AA404,"http:",""),"https:",""),"/","")</f>
        <v/>
      </c>
      <c r="Z404" s="35" t="str">
        <f t="array" ref="Z404">IF('Ingest Template'!A404="Standard",(IF(ISBLANK('Ingest Template'!AB404),"", 'Ingest Template'!AB404&amp;"|DAR")),(IF(ISBLANK('Ingest Template'!AB404),"", 'Ingest Template'!AB404&amp;"|TV Ops")))</f>
        <v/>
      </c>
      <c r="AA404" s="35"/>
      <c r="AB404" s="35" t="str">
        <f>'Ingest Template'!R404</f>
        <v/>
      </c>
      <c r="AC404" s="35" t="str">
        <f>'Ingest Template'!T404</f>
        <v/>
      </c>
      <c r="AD404" s="35" t="str">
        <f>'Ingest Template'!S404</f>
        <v/>
      </c>
      <c r="AE404" s="35" t="str">
        <f>'Ingest Template'!U404</f>
        <v/>
      </c>
      <c r="AF404" s="22"/>
      <c r="AG404" s="35" t="str">
        <f t="array" ref="AG404">IF('Ingest Template'!A404="Standard",(CONCATENATE(IF(ISBLANK('Ingest Template'!N404),"", 'Ingest Template'!N404&amp;"|DAR"),CHAR(10), IF(ISBLANK('Ingest Template'!O404),"", 'Ingest Template'!O404&amp;"|DAR"),CHAR(10), IF(ISBLANK('Ingest Template'!P404),"", 'Ingest Template'!P404&amp;"|DAR"))),(CONCATENATE(IF(ISBLANK('Ingest Template'!N404),"", 'Ingest Template'!N404&amp;"|TV Ops"),CHAR(10), IF(ISBLANK('Ingest Template'!O404),"", 'Ingest Template'!O404&amp;"|TV Ops"),CHAR(10), IF(ISBLANK('Ingest Template'!P404),"", 'Ingest Template'!P404&amp;"|TV Ops"))))</f>
        <v>
</v>
      </c>
      <c r="AH404" s="35"/>
      <c r="AI404" s="35"/>
      <c r="AJ404" s="117" t="str">
        <f>if('Ingest Template'!A404="Standard",(IF(OR('Ingest Template'!F404 = "Program Type - Special", 'Ingest Template'!F404 = "Program Type - Live Event"),'Ingest Template'!M404&amp; "|DAR|DAR|"&amp;TEXT('Ingest Template'!C404-3, "yyyy-mm-dd")&amp;"|"&amp;TEXT('Ingest Template'!C404+3, "yyyy-mm-dd"),'Ingest Template'!M404&amp; "|DAR|DAR|2021-01-01")),(IF(OR('Ingest Template'!F404 = "Program Type - Special", 'Ingest Template'!F404 = "Program Type - Live Event"),'Ingest Template'!M404&amp; "|Operations - Core Title|Operations - Core Title|"&amp;TEXT('Ingest Template'!C404-3, "yyyy-mm-dd")&amp;"|"&amp;TEXT('Ingest Template'!C404+3, "yyyy-mm-dd"),'Ingest Template'!M404&amp; "|Operations - Core Title|Operations - Core Title")))</f>
        <v>|Operations - Core Title|Operations - Core Title</v>
      </c>
      <c r="AK404" s="35"/>
      <c r="AL404" s="117" t="str">
        <f>if('Ingest Template'!A404="Standard",(IF(OR('Ingest Template'!F404 = "Program Type - Special", 'Ingest Template'!F404 = "Program Type - Live Event"),'Ingest Template'!Q404&amp;"|"&amp;TEXT('Ingest Template'!C404-3, "yyyy-mm-dd")&amp;"|"&amp;TEXT('Ingest Template'!C404+3, "yyyy-mm-dd"),'Ingest Template'!Q404&amp; "|2021-01-01")),(IF(OR('Ingest Template'!F404 = "Program Type - Special", 'Ingest Template'!F404 = "Program Type - Live Event"),'Ingest Template'!Q404&amp; "|"&amp;TEXT('Ingest Template'!C404-3, "yyyy-mm-dd")&amp;"|"&amp;TEXT('Ingest Template'!C404+3, "yyyy-mm-dd"),'Ingest Template'!Q404)))</f>
        <v/>
      </c>
      <c r="AM404" s="35" t="str">
        <f>'Ingest Template'!AC404</f>
        <v/>
      </c>
    </row>
    <row r="405">
      <c r="A405" s="15"/>
      <c r="B405" s="22" t="str">
        <f>'Ingest Template'!C405&amp;IF('Ingest Template'!A405 = "Standard", " - DAR","")</f>
        <v/>
      </c>
      <c r="C405" s="22" t="s">
        <v>83</v>
      </c>
      <c r="D405" s="22" t="str">
        <f t="array" ref="D405">CONCATENATE(INDEX(DropdownLists!$H$2:$H$11,MATCH(1,COUNTIF('Ingest Template'!E405,"*"&amp;DropdownLists!$I$2:$I$11&amp;"*"),0)),CHAR(10),'Ingest Template'!F405,CHAR(10),'Ingest Template'!G405,CHAR(10),VLOOKUP('Ingest Template'!D405,DropdownLists!C:D,2,FALSE))</f>
        <v>#N/A</v>
      </c>
      <c r="E405" s="22" t="str">
        <f>CONCATENATE('Ingest Template'!H405,CHAR(10),'Ingest Template'!I405,CHAR(10),'Ingest Template'!J405,CHAR(10))</f>
        <v>
</v>
      </c>
      <c r="F405" s="35" t="str">
        <f t="array" ref="F405">INDEX(DropdownLists!$O$2:$O$36,MATCH(1,COUNTIF(E405,"*"&amp;DropdownLists!$N$2:$N$36&amp;"*"),0))</f>
        <v/>
      </c>
      <c r="G405" s="35"/>
      <c r="H405" s="22" t="str">
        <f t="array" ref="H405">INDEX(DropdownLists!$E$2:$E$276,MATCH('Ingest Template'!D405,DropdownLists!$C$2:$C$276,0))</f>
        <v>#N/A</v>
      </c>
      <c r="I405" s="22"/>
      <c r="J405" s="22" t="str">
        <f t="array" ref="J405">iF('Ingest Template'!A405="Standard","Pristine Brand",INDEX(DropdownLists!$B$2:$B$246,MATCH('Ingest Template'!D405,DropdownLists!$C$2:$C$246,0)))</f>
        <v>#N/A</v>
      </c>
      <c r="K405" s="22" t="str">
        <f>iF('Ingest Template'!A405="Standard",'Ingest Template'!K405&amp;CHAR(10)&amp;'Ingest Template'!L405,"Competitive View")</f>
        <v>Competitive View</v>
      </c>
      <c r="L405" s="22" t="s">
        <v>95</v>
      </c>
      <c r="M405" s="45" t="str">
        <f>'Ingest Template'!B405</f>
        <v/>
      </c>
      <c r="N405" s="35"/>
      <c r="O405" s="35"/>
      <c r="P405" s="35"/>
      <c r="Q405" s="35"/>
      <c r="R405" s="35" t="str">
        <f>'Ingest Template'!D405</f>
        <v/>
      </c>
      <c r="S405" s="22" t="s">
        <v>101</v>
      </c>
      <c r="T405" s="35" t="str">
        <f>'Ingest Template'!V405</f>
        <v/>
      </c>
      <c r="U405" s="35" t="str">
        <f>'Ingest Template'!W405</f>
        <v/>
      </c>
      <c r="V405" s="35" t="str">
        <f>LOWER(SUBSTITUTE(SUBSTITUTE(SUBSTITUTE(SUBSTITUTE(SUBSTITUTE('Ingest Template'!X405,"https:",""),"www.",""),"/",""),"?hl=en",""),"instagram.com",""))</f>
        <v/>
      </c>
      <c r="W405" s="74" t="str">
        <f t="array" ref="W405">IF(
'Ingest Template'!Y405="",
SUBSTITUTE(
INDEX(DropdownLists!$F$2:$F$277,MATCH('Ingest Template'!D405,DropdownLists!$C$2:$C$277,0)),
CHAR(10),
"|"&amp;'Ingest Template'!C405&amp;CHAR(10)
)&amp;"|"&amp;'Ingest Template'!C405,
SUBSTITUTE(
INDEX(DropdownLists!$F$2:$F$277,MATCH('Ingest Template'!D405,DropdownLists!$C$2:$C$277,0)),
CHAR(10),
"|"&amp;'Ingest Template'!C405&amp;CHAR(10)
)&amp;"|"&amp;'Ingest Template'!C405&amp;CHAR(10)&amp;'Ingest Template'!Y405
)</f>
        <v>#N/A</v>
      </c>
      <c r="X405" s="74" t="str">
        <f>'Ingest Template'!Z405</f>
        <v/>
      </c>
      <c r="Y405" s="35" t="str">
        <f>SUBSTITUTE(SUBSTITUTE(SUBSTITUTE('Ingest Template'!AA405,"http:",""),"https:",""),"/","")</f>
        <v/>
      </c>
      <c r="Z405" s="35" t="str">
        <f t="array" ref="Z405">IF('Ingest Template'!A405="Standard",(IF(ISBLANK('Ingest Template'!AB405),"", 'Ingest Template'!AB405&amp;"|DAR")),(IF(ISBLANK('Ingest Template'!AB405),"", 'Ingest Template'!AB405&amp;"|TV Ops")))</f>
        <v/>
      </c>
      <c r="AA405" s="35"/>
      <c r="AB405" s="35" t="str">
        <f>'Ingest Template'!R405</f>
        <v/>
      </c>
      <c r="AC405" s="35" t="str">
        <f>'Ingest Template'!T405</f>
        <v/>
      </c>
      <c r="AD405" s="35" t="str">
        <f>'Ingest Template'!S405</f>
        <v/>
      </c>
      <c r="AE405" s="35" t="str">
        <f>'Ingest Template'!U405</f>
        <v/>
      </c>
      <c r="AF405" s="22"/>
      <c r="AG405" s="35" t="str">
        <f t="array" ref="AG405">IF('Ingest Template'!A405="Standard",(CONCATENATE(IF(ISBLANK('Ingest Template'!N405),"", 'Ingest Template'!N405&amp;"|DAR"),CHAR(10), IF(ISBLANK('Ingest Template'!O405),"", 'Ingest Template'!O405&amp;"|DAR"),CHAR(10), IF(ISBLANK('Ingest Template'!P405),"", 'Ingest Template'!P405&amp;"|DAR"))),(CONCATENATE(IF(ISBLANK('Ingest Template'!N405),"", 'Ingest Template'!N405&amp;"|TV Ops"),CHAR(10), IF(ISBLANK('Ingest Template'!O405),"", 'Ingest Template'!O405&amp;"|TV Ops"),CHAR(10), IF(ISBLANK('Ingest Template'!P405),"", 'Ingest Template'!P405&amp;"|TV Ops"))))</f>
        <v>
</v>
      </c>
      <c r="AH405" s="35"/>
      <c r="AI405" s="35"/>
      <c r="AJ405" s="117" t="str">
        <f>if('Ingest Template'!A405="Standard",(IF(OR('Ingest Template'!F405 = "Program Type - Special", 'Ingest Template'!F405 = "Program Type - Live Event"),'Ingest Template'!M405&amp; "|DAR|DAR|"&amp;TEXT('Ingest Template'!C405-3, "yyyy-mm-dd")&amp;"|"&amp;TEXT('Ingest Template'!C405+3, "yyyy-mm-dd"),'Ingest Template'!M405&amp; "|DAR|DAR|2021-01-01")),(IF(OR('Ingest Template'!F405 = "Program Type - Special", 'Ingest Template'!F405 = "Program Type - Live Event"),'Ingest Template'!M405&amp; "|Operations - Core Title|Operations - Core Title|"&amp;TEXT('Ingest Template'!C405-3, "yyyy-mm-dd")&amp;"|"&amp;TEXT('Ingest Template'!C405+3, "yyyy-mm-dd"),'Ingest Template'!M405&amp; "|Operations - Core Title|Operations - Core Title")))</f>
        <v>|Operations - Core Title|Operations - Core Title</v>
      </c>
      <c r="AK405" s="35"/>
      <c r="AL405" s="117" t="str">
        <f>if('Ingest Template'!A405="Standard",(IF(OR('Ingest Template'!F405 = "Program Type - Special", 'Ingest Template'!F405 = "Program Type - Live Event"),'Ingest Template'!Q405&amp;"|"&amp;TEXT('Ingest Template'!C405-3, "yyyy-mm-dd")&amp;"|"&amp;TEXT('Ingest Template'!C405+3, "yyyy-mm-dd"),'Ingest Template'!Q405&amp; "|2021-01-01")),(IF(OR('Ingest Template'!F405 = "Program Type - Special", 'Ingest Template'!F405 = "Program Type - Live Event"),'Ingest Template'!Q405&amp; "|"&amp;TEXT('Ingest Template'!C405-3, "yyyy-mm-dd")&amp;"|"&amp;TEXT('Ingest Template'!C405+3, "yyyy-mm-dd"),'Ingest Template'!Q405)))</f>
        <v/>
      </c>
      <c r="AM405" s="35" t="str">
        <f>'Ingest Template'!AC405</f>
        <v/>
      </c>
    </row>
    <row r="406">
      <c r="A406" s="15"/>
      <c r="B406" s="22" t="str">
        <f>'Ingest Template'!C406&amp;IF('Ingest Template'!A406 = "Standard", " - DAR","")</f>
        <v/>
      </c>
      <c r="C406" s="22" t="s">
        <v>83</v>
      </c>
      <c r="D406" s="22" t="str">
        <f t="array" ref="D406">CONCATENATE(INDEX(DropdownLists!$H$2:$H$11,MATCH(1,COUNTIF('Ingest Template'!E406,"*"&amp;DropdownLists!$I$2:$I$11&amp;"*"),0)),CHAR(10),'Ingest Template'!F406,CHAR(10),'Ingest Template'!G406,CHAR(10),VLOOKUP('Ingest Template'!D406,DropdownLists!C:D,2,FALSE))</f>
        <v>#N/A</v>
      </c>
      <c r="E406" s="22" t="str">
        <f>CONCATENATE('Ingest Template'!H406,CHAR(10),'Ingest Template'!I406,CHAR(10),'Ingest Template'!J406,CHAR(10))</f>
        <v>
</v>
      </c>
      <c r="F406" s="35" t="str">
        <f t="array" ref="F406">INDEX(DropdownLists!$O$2:$O$36,MATCH(1,COUNTIF(E406,"*"&amp;DropdownLists!$N$2:$N$36&amp;"*"),0))</f>
        <v/>
      </c>
      <c r="G406" s="35"/>
      <c r="H406" s="22" t="str">
        <f t="array" ref="H406">INDEX(DropdownLists!$E$2:$E$276,MATCH('Ingest Template'!D406,DropdownLists!$C$2:$C$276,0))</f>
        <v>#N/A</v>
      </c>
      <c r="I406" s="22"/>
      <c r="J406" s="22" t="str">
        <f t="array" ref="J406">iF('Ingest Template'!A406="Standard","Pristine Brand",INDEX(DropdownLists!$B$2:$B$246,MATCH('Ingest Template'!D406,DropdownLists!$C$2:$C$246,0)))</f>
        <v>#N/A</v>
      </c>
      <c r="K406" s="22" t="str">
        <f>iF('Ingest Template'!A406="Standard",'Ingest Template'!K406&amp;CHAR(10)&amp;'Ingest Template'!L406,"Competitive View")</f>
        <v>Competitive View</v>
      </c>
      <c r="L406" s="22" t="s">
        <v>95</v>
      </c>
      <c r="M406" s="45" t="str">
        <f>'Ingest Template'!B406</f>
        <v/>
      </c>
      <c r="N406" s="35"/>
      <c r="O406" s="35"/>
      <c r="P406" s="35"/>
      <c r="Q406" s="35"/>
      <c r="R406" s="35" t="str">
        <f>'Ingest Template'!D406</f>
        <v/>
      </c>
      <c r="S406" s="22" t="s">
        <v>101</v>
      </c>
      <c r="T406" s="35" t="str">
        <f>'Ingest Template'!V406</f>
        <v/>
      </c>
      <c r="U406" s="35" t="str">
        <f>'Ingest Template'!W406</f>
        <v/>
      </c>
      <c r="V406" s="35" t="str">
        <f>LOWER(SUBSTITUTE(SUBSTITUTE(SUBSTITUTE(SUBSTITUTE(SUBSTITUTE('Ingest Template'!X406,"https:",""),"www.",""),"/",""),"?hl=en",""),"instagram.com",""))</f>
        <v/>
      </c>
      <c r="W406" s="74" t="str">
        <f t="array" ref="W406">IF(
'Ingest Template'!Y406="",
SUBSTITUTE(
INDEX(DropdownLists!$F$2:$F$277,MATCH('Ingest Template'!D406,DropdownLists!$C$2:$C$277,0)),
CHAR(10),
"|"&amp;'Ingest Template'!C406&amp;CHAR(10)
)&amp;"|"&amp;'Ingest Template'!C406,
SUBSTITUTE(
INDEX(DropdownLists!$F$2:$F$277,MATCH('Ingest Template'!D406,DropdownLists!$C$2:$C$277,0)),
CHAR(10),
"|"&amp;'Ingest Template'!C406&amp;CHAR(10)
)&amp;"|"&amp;'Ingest Template'!C406&amp;CHAR(10)&amp;'Ingest Template'!Y406
)</f>
        <v>#N/A</v>
      </c>
      <c r="X406" s="74" t="str">
        <f>'Ingest Template'!Z406</f>
        <v/>
      </c>
      <c r="Y406" s="35" t="str">
        <f>SUBSTITUTE(SUBSTITUTE(SUBSTITUTE('Ingest Template'!AA406,"http:",""),"https:",""),"/","")</f>
        <v/>
      </c>
      <c r="Z406" s="35" t="str">
        <f t="array" ref="Z406">IF('Ingest Template'!A406="Standard",(IF(ISBLANK('Ingest Template'!AB406),"", 'Ingest Template'!AB406&amp;"|DAR")),(IF(ISBLANK('Ingest Template'!AB406),"", 'Ingest Template'!AB406&amp;"|TV Ops")))</f>
        <v/>
      </c>
      <c r="AA406" s="35"/>
      <c r="AB406" s="35" t="str">
        <f>'Ingest Template'!R406</f>
        <v/>
      </c>
      <c r="AC406" s="35" t="str">
        <f>'Ingest Template'!T406</f>
        <v/>
      </c>
      <c r="AD406" s="35" t="str">
        <f>'Ingest Template'!S406</f>
        <v/>
      </c>
      <c r="AE406" s="35" t="str">
        <f>'Ingest Template'!U406</f>
        <v/>
      </c>
      <c r="AF406" s="22"/>
      <c r="AG406" s="35" t="str">
        <f t="array" ref="AG406">IF('Ingest Template'!A406="Standard",(CONCATENATE(IF(ISBLANK('Ingest Template'!N406),"", 'Ingest Template'!N406&amp;"|DAR"),CHAR(10), IF(ISBLANK('Ingest Template'!O406),"", 'Ingest Template'!O406&amp;"|DAR"),CHAR(10), IF(ISBLANK('Ingest Template'!P406),"", 'Ingest Template'!P406&amp;"|DAR"))),(CONCATENATE(IF(ISBLANK('Ingest Template'!N406),"", 'Ingest Template'!N406&amp;"|TV Ops"),CHAR(10), IF(ISBLANK('Ingest Template'!O406),"", 'Ingest Template'!O406&amp;"|TV Ops"),CHAR(10), IF(ISBLANK('Ingest Template'!P406),"", 'Ingest Template'!P406&amp;"|TV Ops"))))</f>
        <v>
</v>
      </c>
      <c r="AH406" s="35"/>
      <c r="AI406" s="35"/>
      <c r="AJ406" s="117" t="str">
        <f>if('Ingest Template'!A406="Standard",(IF(OR('Ingest Template'!F406 = "Program Type - Special", 'Ingest Template'!F406 = "Program Type - Live Event"),'Ingest Template'!M406&amp; "|DAR|DAR|"&amp;TEXT('Ingest Template'!C406-3, "yyyy-mm-dd")&amp;"|"&amp;TEXT('Ingest Template'!C406+3, "yyyy-mm-dd"),'Ingest Template'!M406&amp; "|DAR|DAR|2021-01-01")),(IF(OR('Ingest Template'!F406 = "Program Type - Special", 'Ingest Template'!F406 = "Program Type - Live Event"),'Ingest Template'!M406&amp; "|Operations - Core Title|Operations - Core Title|"&amp;TEXT('Ingest Template'!C406-3, "yyyy-mm-dd")&amp;"|"&amp;TEXT('Ingest Template'!C406+3, "yyyy-mm-dd"),'Ingest Template'!M406&amp; "|Operations - Core Title|Operations - Core Title")))</f>
        <v>|Operations - Core Title|Operations - Core Title</v>
      </c>
      <c r="AK406" s="35"/>
      <c r="AL406" s="117" t="str">
        <f>if('Ingest Template'!A406="Standard",(IF(OR('Ingest Template'!F406 = "Program Type - Special", 'Ingest Template'!F406 = "Program Type - Live Event"),'Ingest Template'!Q406&amp;"|"&amp;TEXT('Ingest Template'!C406-3, "yyyy-mm-dd")&amp;"|"&amp;TEXT('Ingest Template'!C406+3, "yyyy-mm-dd"),'Ingest Template'!Q406&amp; "|2021-01-01")),(IF(OR('Ingest Template'!F406 = "Program Type - Special", 'Ingest Template'!F406 = "Program Type - Live Event"),'Ingest Template'!Q406&amp; "|"&amp;TEXT('Ingest Template'!C406-3, "yyyy-mm-dd")&amp;"|"&amp;TEXT('Ingest Template'!C406+3, "yyyy-mm-dd"),'Ingest Template'!Q406)))</f>
        <v/>
      </c>
      <c r="AM406" s="35" t="str">
        <f>'Ingest Template'!AC406</f>
        <v/>
      </c>
    </row>
    <row r="407">
      <c r="A407" s="15"/>
      <c r="B407" s="22" t="str">
        <f>'Ingest Template'!C407&amp;IF('Ingest Template'!A407 = "Standard", " - DAR","")</f>
        <v/>
      </c>
      <c r="C407" s="22" t="s">
        <v>83</v>
      </c>
      <c r="D407" s="22" t="str">
        <f t="array" ref="D407">CONCATENATE(INDEX(DropdownLists!$H$2:$H$11,MATCH(1,COUNTIF('Ingest Template'!E407,"*"&amp;DropdownLists!$I$2:$I$11&amp;"*"),0)),CHAR(10),'Ingest Template'!F407,CHAR(10),'Ingest Template'!G407,CHAR(10),VLOOKUP('Ingest Template'!D407,DropdownLists!C:D,2,FALSE))</f>
        <v>#N/A</v>
      </c>
      <c r="E407" s="22" t="str">
        <f>CONCATENATE('Ingest Template'!H407,CHAR(10),'Ingest Template'!I407,CHAR(10),'Ingest Template'!J407,CHAR(10))</f>
        <v>
</v>
      </c>
      <c r="F407" s="35" t="str">
        <f t="array" ref="F407">INDEX(DropdownLists!$O$2:$O$36,MATCH(1,COUNTIF(E407,"*"&amp;DropdownLists!$N$2:$N$36&amp;"*"),0))</f>
        <v/>
      </c>
      <c r="G407" s="35"/>
      <c r="H407" s="22" t="str">
        <f t="array" ref="H407">INDEX(DropdownLists!$E$2:$E$276,MATCH('Ingest Template'!D407,DropdownLists!$C$2:$C$276,0))</f>
        <v>#N/A</v>
      </c>
      <c r="I407" s="22"/>
      <c r="J407" s="22" t="str">
        <f t="array" ref="J407">iF('Ingest Template'!A407="Standard","Pristine Brand",INDEX(DropdownLists!$B$2:$B$246,MATCH('Ingest Template'!D407,DropdownLists!$C$2:$C$246,0)))</f>
        <v>#N/A</v>
      </c>
      <c r="K407" s="22" t="str">
        <f>iF('Ingest Template'!A407="Standard",'Ingest Template'!K407&amp;CHAR(10)&amp;'Ingest Template'!L407,"Competitive View")</f>
        <v>Competitive View</v>
      </c>
      <c r="L407" s="22" t="s">
        <v>95</v>
      </c>
      <c r="M407" s="45" t="str">
        <f>'Ingest Template'!B407</f>
        <v/>
      </c>
      <c r="N407" s="35"/>
      <c r="O407" s="35"/>
      <c r="P407" s="35"/>
      <c r="Q407" s="35"/>
      <c r="R407" s="35" t="str">
        <f>'Ingest Template'!D407</f>
        <v/>
      </c>
      <c r="S407" s="22" t="s">
        <v>101</v>
      </c>
      <c r="T407" s="35" t="str">
        <f>'Ingest Template'!V407</f>
        <v/>
      </c>
      <c r="U407" s="35" t="str">
        <f>'Ingest Template'!W407</f>
        <v/>
      </c>
      <c r="V407" s="35" t="str">
        <f>LOWER(SUBSTITUTE(SUBSTITUTE(SUBSTITUTE(SUBSTITUTE(SUBSTITUTE('Ingest Template'!X407,"https:",""),"www.",""),"/",""),"?hl=en",""),"instagram.com",""))</f>
        <v/>
      </c>
      <c r="W407" s="74" t="str">
        <f t="array" ref="W407">IF(
'Ingest Template'!Y407="",
SUBSTITUTE(
INDEX(DropdownLists!$F$2:$F$277,MATCH('Ingest Template'!D407,DropdownLists!$C$2:$C$277,0)),
CHAR(10),
"|"&amp;'Ingest Template'!C407&amp;CHAR(10)
)&amp;"|"&amp;'Ingest Template'!C407,
SUBSTITUTE(
INDEX(DropdownLists!$F$2:$F$277,MATCH('Ingest Template'!D407,DropdownLists!$C$2:$C$277,0)),
CHAR(10),
"|"&amp;'Ingest Template'!C407&amp;CHAR(10)
)&amp;"|"&amp;'Ingest Template'!C407&amp;CHAR(10)&amp;'Ingest Template'!Y407
)</f>
        <v>#N/A</v>
      </c>
      <c r="X407" s="74" t="str">
        <f>'Ingest Template'!Z407</f>
        <v/>
      </c>
      <c r="Y407" s="35" t="str">
        <f>SUBSTITUTE(SUBSTITUTE(SUBSTITUTE('Ingest Template'!AA407,"http:",""),"https:",""),"/","")</f>
        <v/>
      </c>
      <c r="Z407" s="35" t="str">
        <f t="array" ref="Z407">IF('Ingest Template'!A407="Standard",(IF(ISBLANK('Ingest Template'!AB407),"", 'Ingest Template'!AB407&amp;"|DAR")),(IF(ISBLANK('Ingest Template'!AB407),"", 'Ingest Template'!AB407&amp;"|TV Ops")))</f>
        <v/>
      </c>
      <c r="AA407" s="35"/>
      <c r="AB407" s="35" t="str">
        <f>'Ingest Template'!R407</f>
        <v/>
      </c>
      <c r="AC407" s="35" t="str">
        <f>'Ingest Template'!T407</f>
        <v/>
      </c>
      <c r="AD407" s="35" t="str">
        <f>'Ingest Template'!S407</f>
        <v/>
      </c>
      <c r="AE407" s="35" t="str">
        <f>'Ingest Template'!U407</f>
        <v/>
      </c>
      <c r="AF407" s="22"/>
      <c r="AG407" s="35" t="str">
        <f t="array" ref="AG407">IF('Ingest Template'!A407="Standard",(CONCATENATE(IF(ISBLANK('Ingest Template'!N407),"", 'Ingest Template'!N407&amp;"|DAR"),CHAR(10), IF(ISBLANK('Ingest Template'!O407),"", 'Ingest Template'!O407&amp;"|DAR"),CHAR(10), IF(ISBLANK('Ingest Template'!P407),"", 'Ingest Template'!P407&amp;"|DAR"))),(CONCATENATE(IF(ISBLANK('Ingest Template'!N407),"", 'Ingest Template'!N407&amp;"|TV Ops"),CHAR(10), IF(ISBLANK('Ingest Template'!O407),"", 'Ingest Template'!O407&amp;"|TV Ops"),CHAR(10), IF(ISBLANK('Ingest Template'!P407),"", 'Ingest Template'!P407&amp;"|TV Ops"))))</f>
        <v>
</v>
      </c>
      <c r="AH407" s="35"/>
      <c r="AI407" s="35"/>
      <c r="AJ407" s="117" t="str">
        <f>if('Ingest Template'!A407="Standard",(IF(OR('Ingest Template'!F407 = "Program Type - Special", 'Ingest Template'!F407 = "Program Type - Live Event"),'Ingest Template'!M407&amp; "|DAR|DAR|"&amp;TEXT('Ingest Template'!C407-3, "yyyy-mm-dd")&amp;"|"&amp;TEXT('Ingest Template'!C407+3, "yyyy-mm-dd"),'Ingest Template'!M407&amp; "|DAR|DAR|2021-01-01")),(IF(OR('Ingest Template'!F407 = "Program Type - Special", 'Ingest Template'!F407 = "Program Type - Live Event"),'Ingest Template'!M407&amp; "|Operations - Core Title|Operations - Core Title|"&amp;TEXT('Ingest Template'!C407-3, "yyyy-mm-dd")&amp;"|"&amp;TEXT('Ingest Template'!C407+3, "yyyy-mm-dd"),'Ingest Template'!M407&amp; "|Operations - Core Title|Operations - Core Title")))</f>
        <v>|Operations - Core Title|Operations - Core Title</v>
      </c>
      <c r="AK407" s="35"/>
      <c r="AL407" s="117" t="str">
        <f>if('Ingest Template'!A407="Standard",(IF(OR('Ingest Template'!F407 = "Program Type - Special", 'Ingest Template'!F407 = "Program Type - Live Event"),'Ingest Template'!Q407&amp;"|"&amp;TEXT('Ingest Template'!C407-3, "yyyy-mm-dd")&amp;"|"&amp;TEXT('Ingest Template'!C407+3, "yyyy-mm-dd"),'Ingest Template'!Q407&amp; "|2021-01-01")),(IF(OR('Ingest Template'!F407 = "Program Type - Special", 'Ingest Template'!F407 = "Program Type - Live Event"),'Ingest Template'!Q407&amp; "|"&amp;TEXT('Ingest Template'!C407-3, "yyyy-mm-dd")&amp;"|"&amp;TEXT('Ingest Template'!C407+3, "yyyy-mm-dd"),'Ingest Template'!Q407)))</f>
        <v/>
      </c>
      <c r="AM407" s="35" t="str">
        <f>'Ingest Template'!AC407</f>
        <v/>
      </c>
    </row>
    <row r="408">
      <c r="A408" s="15"/>
      <c r="B408" s="22" t="str">
        <f>'Ingest Template'!C408&amp;IF('Ingest Template'!A408 = "Standard", " - DAR","")</f>
        <v/>
      </c>
      <c r="C408" s="22" t="s">
        <v>83</v>
      </c>
      <c r="D408" s="22" t="str">
        <f t="array" ref="D408">CONCATENATE(INDEX(DropdownLists!$H$2:$H$11,MATCH(1,COUNTIF('Ingest Template'!E408,"*"&amp;DropdownLists!$I$2:$I$11&amp;"*"),0)),CHAR(10),'Ingest Template'!F408,CHAR(10),'Ingest Template'!G408,CHAR(10),VLOOKUP('Ingest Template'!D408,DropdownLists!C:D,2,FALSE))</f>
        <v>#N/A</v>
      </c>
      <c r="E408" s="22" t="str">
        <f>CONCATENATE('Ingest Template'!H408,CHAR(10),'Ingest Template'!I408,CHAR(10),'Ingest Template'!J408,CHAR(10))</f>
        <v>
</v>
      </c>
      <c r="F408" s="35" t="str">
        <f t="array" ref="F408">INDEX(DropdownLists!$O$2:$O$36,MATCH(1,COUNTIF(E408,"*"&amp;DropdownLists!$N$2:$N$36&amp;"*"),0))</f>
        <v/>
      </c>
      <c r="G408" s="35"/>
      <c r="H408" s="22" t="str">
        <f t="array" ref="H408">INDEX(DropdownLists!$E$2:$E$276,MATCH('Ingest Template'!D408,DropdownLists!$C$2:$C$276,0))</f>
        <v>#N/A</v>
      </c>
      <c r="I408" s="22"/>
      <c r="J408" s="22" t="str">
        <f t="array" ref="J408">iF('Ingest Template'!A408="Standard","Pristine Brand",INDEX(DropdownLists!$B$2:$B$246,MATCH('Ingest Template'!D408,DropdownLists!$C$2:$C$246,0)))</f>
        <v>#N/A</v>
      </c>
      <c r="K408" s="22" t="str">
        <f>iF('Ingest Template'!A408="Standard",'Ingest Template'!K408&amp;CHAR(10)&amp;'Ingest Template'!L408,"Competitive View")</f>
        <v>Competitive View</v>
      </c>
      <c r="L408" s="22" t="s">
        <v>95</v>
      </c>
      <c r="M408" s="45" t="str">
        <f>'Ingest Template'!B408</f>
        <v/>
      </c>
      <c r="N408" s="35"/>
      <c r="O408" s="35"/>
      <c r="P408" s="35"/>
      <c r="Q408" s="35"/>
      <c r="R408" s="35" t="str">
        <f>'Ingest Template'!D408</f>
        <v/>
      </c>
      <c r="S408" s="22" t="s">
        <v>101</v>
      </c>
      <c r="T408" s="35" t="str">
        <f>'Ingest Template'!V408</f>
        <v/>
      </c>
      <c r="U408" s="35" t="str">
        <f>'Ingest Template'!W408</f>
        <v/>
      </c>
      <c r="V408" s="35" t="str">
        <f>LOWER(SUBSTITUTE(SUBSTITUTE(SUBSTITUTE(SUBSTITUTE(SUBSTITUTE('Ingest Template'!X408,"https:",""),"www.",""),"/",""),"?hl=en",""),"instagram.com",""))</f>
        <v/>
      </c>
      <c r="W408" s="74" t="str">
        <f t="array" ref="W408">IF(
'Ingest Template'!Y408="",
SUBSTITUTE(
INDEX(DropdownLists!$F$2:$F$277,MATCH('Ingest Template'!D408,DropdownLists!$C$2:$C$277,0)),
CHAR(10),
"|"&amp;'Ingest Template'!C408&amp;CHAR(10)
)&amp;"|"&amp;'Ingest Template'!C408,
SUBSTITUTE(
INDEX(DropdownLists!$F$2:$F$277,MATCH('Ingest Template'!D408,DropdownLists!$C$2:$C$277,0)),
CHAR(10),
"|"&amp;'Ingest Template'!C408&amp;CHAR(10)
)&amp;"|"&amp;'Ingest Template'!C408&amp;CHAR(10)&amp;'Ingest Template'!Y408
)</f>
        <v>#N/A</v>
      </c>
      <c r="X408" s="74" t="str">
        <f>'Ingest Template'!Z408</f>
        <v/>
      </c>
      <c r="Y408" s="35" t="str">
        <f>SUBSTITUTE(SUBSTITUTE(SUBSTITUTE('Ingest Template'!AA408,"http:",""),"https:",""),"/","")</f>
        <v/>
      </c>
      <c r="Z408" s="35" t="str">
        <f t="array" ref="Z408">IF('Ingest Template'!A408="Standard",(IF(ISBLANK('Ingest Template'!AB408),"", 'Ingest Template'!AB408&amp;"|DAR")),(IF(ISBLANK('Ingest Template'!AB408),"", 'Ingest Template'!AB408&amp;"|TV Ops")))</f>
        <v/>
      </c>
      <c r="AA408" s="35"/>
      <c r="AB408" s="35" t="str">
        <f>'Ingest Template'!R408</f>
        <v/>
      </c>
      <c r="AC408" s="35" t="str">
        <f>'Ingest Template'!T408</f>
        <v/>
      </c>
      <c r="AD408" s="35" t="str">
        <f>'Ingest Template'!S408</f>
        <v/>
      </c>
      <c r="AE408" s="35" t="str">
        <f>'Ingest Template'!U408</f>
        <v/>
      </c>
      <c r="AF408" s="22"/>
      <c r="AG408" s="35" t="str">
        <f t="array" ref="AG408">IF('Ingest Template'!A408="Standard",(CONCATENATE(IF(ISBLANK('Ingest Template'!N408),"", 'Ingest Template'!N408&amp;"|DAR"),CHAR(10), IF(ISBLANK('Ingest Template'!O408),"", 'Ingest Template'!O408&amp;"|DAR"),CHAR(10), IF(ISBLANK('Ingest Template'!P408),"", 'Ingest Template'!P408&amp;"|DAR"))),(CONCATENATE(IF(ISBLANK('Ingest Template'!N408),"", 'Ingest Template'!N408&amp;"|TV Ops"),CHAR(10), IF(ISBLANK('Ingest Template'!O408),"", 'Ingest Template'!O408&amp;"|TV Ops"),CHAR(10), IF(ISBLANK('Ingest Template'!P408),"", 'Ingest Template'!P408&amp;"|TV Ops"))))</f>
        <v>
</v>
      </c>
      <c r="AH408" s="35"/>
      <c r="AI408" s="35"/>
      <c r="AJ408" s="117" t="str">
        <f>if('Ingest Template'!A408="Standard",(IF(OR('Ingest Template'!F408 = "Program Type - Special", 'Ingest Template'!F408 = "Program Type - Live Event"),'Ingest Template'!M408&amp; "|DAR|DAR|"&amp;TEXT('Ingest Template'!C408-3, "yyyy-mm-dd")&amp;"|"&amp;TEXT('Ingest Template'!C408+3, "yyyy-mm-dd"),'Ingest Template'!M408&amp; "|DAR|DAR|2021-01-01")),(IF(OR('Ingest Template'!F408 = "Program Type - Special", 'Ingest Template'!F408 = "Program Type - Live Event"),'Ingest Template'!M408&amp; "|Operations - Core Title|Operations - Core Title|"&amp;TEXT('Ingest Template'!C408-3, "yyyy-mm-dd")&amp;"|"&amp;TEXT('Ingest Template'!C408+3, "yyyy-mm-dd"),'Ingest Template'!M408&amp; "|Operations - Core Title|Operations - Core Title")))</f>
        <v>|Operations - Core Title|Operations - Core Title</v>
      </c>
      <c r="AK408" s="35"/>
      <c r="AL408" s="117" t="str">
        <f>if('Ingest Template'!A408="Standard",(IF(OR('Ingest Template'!F408 = "Program Type - Special", 'Ingest Template'!F408 = "Program Type - Live Event"),'Ingest Template'!Q408&amp;"|"&amp;TEXT('Ingest Template'!C408-3, "yyyy-mm-dd")&amp;"|"&amp;TEXT('Ingest Template'!C408+3, "yyyy-mm-dd"),'Ingest Template'!Q408&amp; "|2021-01-01")),(IF(OR('Ingest Template'!F408 = "Program Type - Special", 'Ingest Template'!F408 = "Program Type - Live Event"),'Ingest Template'!Q408&amp; "|"&amp;TEXT('Ingest Template'!C408-3, "yyyy-mm-dd")&amp;"|"&amp;TEXT('Ingest Template'!C408+3, "yyyy-mm-dd"),'Ingest Template'!Q408)))</f>
        <v/>
      </c>
      <c r="AM408" s="35" t="str">
        <f>'Ingest Template'!AC408</f>
        <v/>
      </c>
    </row>
    <row r="409">
      <c r="A409" s="15"/>
      <c r="B409" s="22" t="str">
        <f>'Ingest Template'!C409&amp;IF('Ingest Template'!A409 = "Standard", " - DAR","")</f>
        <v/>
      </c>
      <c r="C409" s="22" t="s">
        <v>83</v>
      </c>
      <c r="D409" s="22" t="str">
        <f t="array" ref="D409">CONCATENATE(INDEX(DropdownLists!$H$2:$H$11,MATCH(1,COUNTIF('Ingest Template'!E409,"*"&amp;DropdownLists!$I$2:$I$11&amp;"*"),0)),CHAR(10),'Ingest Template'!F409,CHAR(10),'Ingest Template'!G409,CHAR(10),VLOOKUP('Ingest Template'!D409,DropdownLists!C:D,2,FALSE))</f>
        <v>#N/A</v>
      </c>
      <c r="E409" s="22" t="str">
        <f>CONCATENATE('Ingest Template'!H409,CHAR(10),'Ingest Template'!I409,CHAR(10),'Ingest Template'!J409,CHAR(10))</f>
        <v>
</v>
      </c>
      <c r="F409" s="35" t="str">
        <f t="array" ref="F409">INDEX(DropdownLists!$O$2:$O$36,MATCH(1,COUNTIF(E409,"*"&amp;DropdownLists!$N$2:$N$36&amp;"*"),0))</f>
        <v/>
      </c>
      <c r="G409" s="35"/>
      <c r="H409" s="22" t="str">
        <f t="array" ref="H409">INDEX(DropdownLists!$E$2:$E$276,MATCH('Ingest Template'!D409,DropdownLists!$C$2:$C$276,0))</f>
        <v>#N/A</v>
      </c>
      <c r="I409" s="22"/>
      <c r="J409" s="22" t="str">
        <f t="array" ref="J409">iF('Ingest Template'!A409="Standard","Pristine Brand",INDEX(DropdownLists!$B$2:$B$246,MATCH('Ingest Template'!D409,DropdownLists!$C$2:$C$246,0)))</f>
        <v>#N/A</v>
      </c>
      <c r="K409" s="22" t="str">
        <f>iF('Ingest Template'!A409="Standard",'Ingest Template'!K409&amp;CHAR(10)&amp;'Ingest Template'!L409,"Competitive View")</f>
        <v>Competitive View</v>
      </c>
      <c r="L409" s="22" t="s">
        <v>95</v>
      </c>
      <c r="M409" s="45" t="str">
        <f>'Ingest Template'!B409</f>
        <v/>
      </c>
      <c r="N409" s="35"/>
      <c r="O409" s="35"/>
      <c r="P409" s="35"/>
      <c r="Q409" s="35"/>
      <c r="R409" s="35" t="str">
        <f>'Ingest Template'!D409</f>
        <v/>
      </c>
      <c r="S409" s="22" t="s">
        <v>101</v>
      </c>
      <c r="T409" s="35" t="str">
        <f>'Ingest Template'!V409</f>
        <v/>
      </c>
      <c r="U409" s="35" t="str">
        <f>'Ingest Template'!W409</f>
        <v/>
      </c>
      <c r="V409" s="35" t="str">
        <f>LOWER(SUBSTITUTE(SUBSTITUTE(SUBSTITUTE(SUBSTITUTE(SUBSTITUTE('Ingest Template'!X409,"https:",""),"www.",""),"/",""),"?hl=en",""),"instagram.com",""))</f>
        <v/>
      </c>
      <c r="W409" s="74" t="str">
        <f t="array" ref="W409">IF(
'Ingest Template'!Y409="",
SUBSTITUTE(
INDEX(DropdownLists!$F$2:$F$277,MATCH('Ingest Template'!D409,DropdownLists!$C$2:$C$277,0)),
CHAR(10),
"|"&amp;'Ingest Template'!C409&amp;CHAR(10)
)&amp;"|"&amp;'Ingest Template'!C409,
SUBSTITUTE(
INDEX(DropdownLists!$F$2:$F$277,MATCH('Ingest Template'!D409,DropdownLists!$C$2:$C$277,0)),
CHAR(10),
"|"&amp;'Ingest Template'!C409&amp;CHAR(10)
)&amp;"|"&amp;'Ingest Template'!C409&amp;CHAR(10)&amp;'Ingest Template'!Y409
)</f>
        <v>#N/A</v>
      </c>
      <c r="X409" s="74" t="str">
        <f>'Ingest Template'!Z409</f>
        <v/>
      </c>
      <c r="Y409" s="35" t="str">
        <f>SUBSTITUTE(SUBSTITUTE(SUBSTITUTE('Ingest Template'!AA409,"http:",""),"https:",""),"/","")</f>
        <v/>
      </c>
      <c r="Z409" s="35" t="str">
        <f t="array" ref="Z409">IF('Ingest Template'!A409="Standard",(IF(ISBLANK('Ingest Template'!AB409),"", 'Ingest Template'!AB409&amp;"|DAR")),(IF(ISBLANK('Ingest Template'!AB409),"", 'Ingest Template'!AB409&amp;"|TV Ops")))</f>
        <v/>
      </c>
      <c r="AA409" s="35"/>
      <c r="AB409" s="35" t="str">
        <f>'Ingest Template'!R409</f>
        <v/>
      </c>
      <c r="AC409" s="35" t="str">
        <f>'Ingest Template'!T409</f>
        <v/>
      </c>
      <c r="AD409" s="35" t="str">
        <f>'Ingest Template'!S409</f>
        <v/>
      </c>
      <c r="AE409" s="35" t="str">
        <f>'Ingest Template'!U409</f>
        <v/>
      </c>
      <c r="AF409" s="22"/>
      <c r="AG409" s="35" t="str">
        <f t="array" ref="AG409">IF('Ingest Template'!A409="Standard",(CONCATENATE(IF(ISBLANK('Ingest Template'!N409),"", 'Ingest Template'!N409&amp;"|DAR"),CHAR(10), IF(ISBLANK('Ingest Template'!O409),"", 'Ingest Template'!O409&amp;"|DAR"),CHAR(10), IF(ISBLANK('Ingest Template'!P409),"", 'Ingest Template'!P409&amp;"|DAR"))),(CONCATENATE(IF(ISBLANK('Ingest Template'!N409),"", 'Ingest Template'!N409&amp;"|TV Ops"),CHAR(10), IF(ISBLANK('Ingest Template'!O409),"", 'Ingest Template'!O409&amp;"|TV Ops"),CHAR(10), IF(ISBLANK('Ingest Template'!P409),"", 'Ingest Template'!P409&amp;"|TV Ops"))))</f>
        <v>
</v>
      </c>
      <c r="AH409" s="35"/>
      <c r="AI409" s="35"/>
      <c r="AJ409" s="117" t="str">
        <f>if('Ingest Template'!A409="Standard",(IF(OR('Ingest Template'!F409 = "Program Type - Special", 'Ingest Template'!F409 = "Program Type - Live Event"),'Ingest Template'!M409&amp; "|DAR|DAR|"&amp;TEXT('Ingest Template'!C409-3, "yyyy-mm-dd")&amp;"|"&amp;TEXT('Ingest Template'!C409+3, "yyyy-mm-dd"),'Ingest Template'!M409&amp; "|DAR|DAR|2021-01-01")),(IF(OR('Ingest Template'!F409 = "Program Type - Special", 'Ingest Template'!F409 = "Program Type - Live Event"),'Ingest Template'!M409&amp; "|Operations - Core Title|Operations - Core Title|"&amp;TEXT('Ingest Template'!C409-3, "yyyy-mm-dd")&amp;"|"&amp;TEXT('Ingest Template'!C409+3, "yyyy-mm-dd"),'Ingest Template'!M409&amp; "|Operations - Core Title|Operations - Core Title")))</f>
        <v>|Operations - Core Title|Operations - Core Title</v>
      </c>
      <c r="AK409" s="35"/>
      <c r="AL409" s="117" t="str">
        <f>if('Ingest Template'!A409="Standard",(IF(OR('Ingest Template'!F409 = "Program Type - Special", 'Ingest Template'!F409 = "Program Type - Live Event"),'Ingest Template'!Q409&amp;"|"&amp;TEXT('Ingest Template'!C409-3, "yyyy-mm-dd")&amp;"|"&amp;TEXT('Ingest Template'!C409+3, "yyyy-mm-dd"),'Ingest Template'!Q409&amp; "|2021-01-01")),(IF(OR('Ingest Template'!F409 = "Program Type - Special", 'Ingest Template'!F409 = "Program Type - Live Event"),'Ingest Template'!Q409&amp; "|"&amp;TEXT('Ingest Template'!C409-3, "yyyy-mm-dd")&amp;"|"&amp;TEXT('Ingest Template'!C409+3, "yyyy-mm-dd"),'Ingest Template'!Q409)))</f>
        <v/>
      </c>
      <c r="AM409" s="35" t="str">
        <f>'Ingest Template'!AC409</f>
        <v/>
      </c>
    </row>
    <row r="410">
      <c r="A410" s="15"/>
      <c r="B410" s="22" t="str">
        <f>'Ingest Template'!C410&amp;IF('Ingest Template'!A410 = "Standard", " - DAR","")</f>
        <v/>
      </c>
      <c r="C410" s="22" t="s">
        <v>83</v>
      </c>
      <c r="D410" s="22" t="str">
        <f t="array" ref="D410">CONCATENATE(INDEX(DropdownLists!$H$2:$H$11,MATCH(1,COUNTIF('Ingest Template'!E410,"*"&amp;DropdownLists!$I$2:$I$11&amp;"*"),0)),CHAR(10),'Ingest Template'!F410,CHAR(10),'Ingest Template'!G410,CHAR(10),VLOOKUP('Ingest Template'!D410,DropdownLists!C:D,2,FALSE))</f>
        <v>#N/A</v>
      </c>
      <c r="E410" s="22" t="str">
        <f>CONCATENATE('Ingest Template'!H410,CHAR(10),'Ingest Template'!I410,CHAR(10),'Ingest Template'!J410,CHAR(10))</f>
        <v>
</v>
      </c>
      <c r="F410" s="35" t="str">
        <f t="array" ref="F410">INDEX(DropdownLists!$O$2:$O$36,MATCH(1,COUNTIF(E410,"*"&amp;DropdownLists!$N$2:$N$36&amp;"*"),0))</f>
        <v/>
      </c>
      <c r="G410" s="35"/>
      <c r="H410" s="22" t="str">
        <f t="array" ref="H410">INDEX(DropdownLists!$E$2:$E$276,MATCH('Ingest Template'!D410,DropdownLists!$C$2:$C$276,0))</f>
        <v>#N/A</v>
      </c>
      <c r="I410" s="22"/>
      <c r="J410" s="22" t="str">
        <f t="array" ref="J410">iF('Ingest Template'!A410="Standard","Pristine Brand",INDEX(DropdownLists!$B$2:$B$246,MATCH('Ingest Template'!D410,DropdownLists!$C$2:$C$246,0)))</f>
        <v>#N/A</v>
      </c>
      <c r="K410" s="22" t="str">
        <f>iF('Ingest Template'!A410="Standard",'Ingest Template'!K410&amp;CHAR(10)&amp;'Ingest Template'!L410,"Competitive View")</f>
        <v>Competitive View</v>
      </c>
      <c r="L410" s="22" t="s">
        <v>95</v>
      </c>
      <c r="M410" s="45" t="str">
        <f>'Ingest Template'!B410</f>
        <v/>
      </c>
      <c r="N410" s="35"/>
      <c r="O410" s="35"/>
      <c r="P410" s="35"/>
      <c r="Q410" s="35"/>
      <c r="R410" s="35" t="str">
        <f>'Ingest Template'!D410</f>
        <v/>
      </c>
      <c r="S410" s="22" t="s">
        <v>101</v>
      </c>
      <c r="T410" s="35" t="str">
        <f>'Ingest Template'!V410</f>
        <v/>
      </c>
      <c r="U410" s="35" t="str">
        <f>'Ingest Template'!W410</f>
        <v/>
      </c>
      <c r="V410" s="35" t="str">
        <f>LOWER(SUBSTITUTE(SUBSTITUTE(SUBSTITUTE(SUBSTITUTE(SUBSTITUTE('Ingest Template'!X410,"https:",""),"www.",""),"/",""),"?hl=en",""),"instagram.com",""))</f>
        <v/>
      </c>
      <c r="W410" s="74" t="str">
        <f t="array" ref="W410">IF(
'Ingest Template'!Y410="",
SUBSTITUTE(
INDEX(DropdownLists!$F$2:$F$277,MATCH('Ingest Template'!D410,DropdownLists!$C$2:$C$277,0)),
CHAR(10),
"|"&amp;'Ingest Template'!C410&amp;CHAR(10)
)&amp;"|"&amp;'Ingest Template'!C410,
SUBSTITUTE(
INDEX(DropdownLists!$F$2:$F$277,MATCH('Ingest Template'!D410,DropdownLists!$C$2:$C$277,0)),
CHAR(10),
"|"&amp;'Ingest Template'!C410&amp;CHAR(10)
)&amp;"|"&amp;'Ingest Template'!C410&amp;CHAR(10)&amp;'Ingest Template'!Y410
)</f>
        <v>#N/A</v>
      </c>
      <c r="X410" s="74" t="str">
        <f>'Ingest Template'!Z410</f>
        <v/>
      </c>
      <c r="Y410" s="35" t="str">
        <f>SUBSTITUTE(SUBSTITUTE(SUBSTITUTE('Ingest Template'!AA410,"http:",""),"https:",""),"/","")</f>
        <v/>
      </c>
      <c r="Z410" s="35" t="str">
        <f t="array" ref="Z410">IF('Ingest Template'!A410="Standard",(IF(ISBLANK('Ingest Template'!AB410),"", 'Ingest Template'!AB410&amp;"|DAR")),(IF(ISBLANK('Ingest Template'!AB410),"", 'Ingest Template'!AB410&amp;"|TV Ops")))</f>
        <v/>
      </c>
      <c r="AA410" s="35"/>
      <c r="AB410" s="35" t="str">
        <f>'Ingest Template'!R410</f>
        <v/>
      </c>
      <c r="AC410" s="35" t="str">
        <f>'Ingest Template'!T410</f>
        <v/>
      </c>
      <c r="AD410" s="35" t="str">
        <f>'Ingest Template'!S410</f>
        <v/>
      </c>
      <c r="AE410" s="35" t="str">
        <f>'Ingest Template'!U410</f>
        <v/>
      </c>
      <c r="AF410" s="22"/>
      <c r="AG410" s="35" t="str">
        <f t="array" ref="AG410">IF('Ingest Template'!A410="Standard",(CONCATENATE(IF(ISBLANK('Ingest Template'!N410),"", 'Ingest Template'!N410&amp;"|DAR"),CHAR(10), IF(ISBLANK('Ingest Template'!O410),"", 'Ingest Template'!O410&amp;"|DAR"),CHAR(10), IF(ISBLANK('Ingest Template'!P410),"", 'Ingest Template'!P410&amp;"|DAR"))),(CONCATENATE(IF(ISBLANK('Ingest Template'!N410),"", 'Ingest Template'!N410&amp;"|TV Ops"),CHAR(10), IF(ISBLANK('Ingest Template'!O410),"", 'Ingest Template'!O410&amp;"|TV Ops"),CHAR(10), IF(ISBLANK('Ingest Template'!P410),"", 'Ingest Template'!P410&amp;"|TV Ops"))))</f>
        <v>
</v>
      </c>
      <c r="AH410" s="35"/>
      <c r="AI410" s="35"/>
      <c r="AJ410" s="117" t="str">
        <f>if('Ingest Template'!A410="Standard",(IF(OR('Ingest Template'!F410 = "Program Type - Special", 'Ingest Template'!F410 = "Program Type - Live Event"),'Ingest Template'!M410&amp; "|DAR|DAR|"&amp;TEXT('Ingest Template'!C410-3, "yyyy-mm-dd")&amp;"|"&amp;TEXT('Ingest Template'!C410+3, "yyyy-mm-dd"),'Ingest Template'!M410&amp; "|DAR|DAR|2021-01-01")),(IF(OR('Ingest Template'!F410 = "Program Type - Special", 'Ingest Template'!F410 = "Program Type - Live Event"),'Ingest Template'!M410&amp; "|Operations - Core Title|Operations - Core Title|"&amp;TEXT('Ingest Template'!C410-3, "yyyy-mm-dd")&amp;"|"&amp;TEXT('Ingest Template'!C410+3, "yyyy-mm-dd"),'Ingest Template'!M410&amp; "|Operations - Core Title|Operations - Core Title")))</f>
        <v>|Operations - Core Title|Operations - Core Title</v>
      </c>
      <c r="AK410" s="35"/>
      <c r="AL410" s="117" t="str">
        <f>if('Ingest Template'!A410="Standard",(IF(OR('Ingest Template'!F410 = "Program Type - Special", 'Ingest Template'!F410 = "Program Type - Live Event"),'Ingest Template'!Q410&amp;"|"&amp;TEXT('Ingest Template'!C410-3, "yyyy-mm-dd")&amp;"|"&amp;TEXT('Ingest Template'!C410+3, "yyyy-mm-dd"),'Ingest Template'!Q410&amp; "|2021-01-01")),(IF(OR('Ingest Template'!F410 = "Program Type - Special", 'Ingest Template'!F410 = "Program Type - Live Event"),'Ingest Template'!Q410&amp; "|"&amp;TEXT('Ingest Template'!C410-3, "yyyy-mm-dd")&amp;"|"&amp;TEXT('Ingest Template'!C410+3, "yyyy-mm-dd"),'Ingest Template'!Q410)))</f>
        <v/>
      </c>
      <c r="AM410" s="35" t="str">
        <f>'Ingest Template'!AC410</f>
        <v/>
      </c>
    </row>
    <row r="411">
      <c r="A411" s="15"/>
      <c r="B411" s="22" t="str">
        <f>'Ingest Template'!C411&amp;IF('Ingest Template'!A411 = "Standard", " - DAR","")</f>
        <v/>
      </c>
      <c r="C411" s="22" t="s">
        <v>83</v>
      </c>
      <c r="D411" s="22" t="str">
        <f t="array" ref="D411">CONCATENATE(INDEX(DropdownLists!$H$2:$H$11,MATCH(1,COUNTIF('Ingest Template'!E411,"*"&amp;DropdownLists!$I$2:$I$11&amp;"*"),0)),CHAR(10),'Ingest Template'!F411,CHAR(10),'Ingest Template'!G411,CHAR(10),VLOOKUP('Ingest Template'!D411,DropdownLists!C:D,2,FALSE))</f>
        <v>#N/A</v>
      </c>
      <c r="E411" s="22" t="str">
        <f>CONCATENATE('Ingest Template'!H411,CHAR(10),'Ingest Template'!I411,CHAR(10),'Ingest Template'!J411,CHAR(10))</f>
        <v>
</v>
      </c>
      <c r="F411" s="35" t="str">
        <f t="array" ref="F411">INDEX(DropdownLists!$O$2:$O$36,MATCH(1,COUNTIF(E411,"*"&amp;DropdownLists!$N$2:$N$36&amp;"*"),0))</f>
        <v/>
      </c>
      <c r="G411" s="35"/>
      <c r="H411" s="22" t="str">
        <f t="array" ref="H411">INDEX(DropdownLists!$E$2:$E$276,MATCH('Ingest Template'!D411,DropdownLists!$C$2:$C$276,0))</f>
        <v>#N/A</v>
      </c>
      <c r="I411" s="22"/>
      <c r="J411" s="22" t="str">
        <f t="array" ref="J411">iF('Ingest Template'!A411="Standard","Pristine Brand",INDEX(DropdownLists!$B$2:$B$246,MATCH('Ingest Template'!D411,DropdownLists!$C$2:$C$246,0)))</f>
        <v>#N/A</v>
      </c>
      <c r="K411" s="22" t="str">
        <f>iF('Ingest Template'!A411="Standard",'Ingest Template'!K411&amp;CHAR(10)&amp;'Ingest Template'!L411,"Competitive View")</f>
        <v>Competitive View</v>
      </c>
      <c r="L411" s="22" t="s">
        <v>95</v>
      </c>
      <c r="M411" s="45" t="str">
        <f>'Ingest Template'!B411</f>
        <v/>
      </c>
      <c r="N411" s="35"/>
      <c r="O411" s="35"/>
      <c r="P411" s="35"/>
      <c r="Q411" s="35"/>
      <c r="R411" s="35" t="str">
        <f>'Ingest Template'!D411</f>
        <v/>
      </c>
      <c r="S411" s="22" t="s">
        <v>101</v>
      </c>
      <c r="T411" s="35" t="str">
        <f>'Ingest Template'!V411</f>
        <v/>
      </c>
      <c r="U411" s="35" t="str">
        <f>'Ingest Template'!W411</f>
        <v/>
      </c>
      <c r="V411" s="35" t="str">
        <f>LOWER(SUBSTITUTE(SUBSTITUTE(SUBSTITUTE(SUBSTITUTE(SUBSTITUTE('Ingest Template'!X411,"https:",""),"www.",""),"/",""),"?hl=en",""),"instagram.com",""))</f>
        <v/>
      </c>
      <c r="W411" s="74" t="str">
        <f t="array" ref="W411">IF(
'Ingest Template'!Y411="",
SUBSTITUTE(
INDEX(DropdownLists!$F$2:$F$277,MATCH('Ingest Template'!D411,DropdownLists!$C$2:$C$277,0)),
CHAR(10),
"|"&amp;'Ingest Template'!C411&amp;CHAR(10)
)&amp;"|"&amp;'Ingest Template'!C411,
SUBSTITUTE(
INDEX(DropdownLists!$F$2:$F$277,MATCH('Ingest Template'!D411,DropdownLists!$C$2:$C$277,0)),
CHAR(10),
"|"&amp;'Ingest Template'!C411&amp;CHAR(10)
)&amp;"|"&amp;'Ingest Template'!C411&amp;CHAR(10)&amp;'Ingest Template'!Y411
)</f>
        <v>#N/A</v>
      </c>
      <c r="X411" s="74" t="str">
        <f>'Ingest Template'!Z411</f>
        <v/>
      </c>
      <c r="Y411" s="35" t="str">
        <f>SUBSTITUTE(SUBSTITUTE(SUBSTITUTE('Ingest Template'!AA411,"http:",""),"https:",""),"/","")</f>
        <v/>
      </c>
      <c r="Z411" s="35" t="str">
        <f t="array" ref="Z411">IF('Ingest Template'!A411="Standard",(IF(ISBLANK('Ingest Template'!AB411),"", 'Ingest Template'!AB411&amp;"|DAR")),(IF(ISBLANK('Ingest Template'!AB411),"", 'Ingest Template'!AB411&amp;"|TV Ops")))</f>
        <v/>
      </c>
      <c r="AA411" s="35"/>
      <c r="AB411" s="35" t="str">
        <f>'Ingest Template'!R411</f>
        <v/>
      </c>
      <c r="AC411" s="35" t="str">
        <f>'Ingest Template'!T411</f>
        <v/>
      </c>
      <c r="AD411" s="35" t="str">
        <f>'Ingest Template'!S411</f>
        <v/>
      </c>
      <c r="AE411" s="35" t="str">
        <f>'Ingest Template'!U411</f>
        <v/>
      </c>
      <c r="AF411" s="22"/>
      <c r="AG411" s="35" t="str">
        <f t="array" ref="AG411">IF('Ingest Template'!A411="Standard",(CONCATENATE(IF(ISBLANK('Ingest Template'!N411),"", 'Ingest Template'!N411&amp;"|DAR"),CHAR(10), IF(ISBLANK('Ingest Template'!O411),"", 'Ingest Template'!O411&amp;"|DAR"),CHAR(10), IF(ISBLANK('Ingest Template'!P411),"", 'Ingest Template'!P411&amp;"|DAR"))),(CONCATENATE(IF(ISBLANK('Ingest Template'!N411),"", 'Ingest Template'!N411&amp;"|TV Ops"),CHAR(10), IF(ISBLANK('Ingest Template'!O411),"", 'Ingest Template'!O411&amp;"|TV Ops"),CHAR(10), IF(ISBLANK('Ingest Template'!P411),"", 'Ingest Template'!P411&amp;"|TV Ops"))))</f>
        <v>
</v>
      </c>
      <c r="AH411" s="35"/>
      <c r="AI411" s="35"/>
      <c r="AJ411" s="117" t="str">
        <f>if('Ingest Template'!A411="Standard",(IF(OR('Ingest Template'!F411 = "Program Type - Special", 'Ingest Template'!F411 = "Program Type - Live Event"),'Ingest Template'!M411&amp; "|DAR|DAR|"&amp;TEXT('Ingest Template'!C411-3, "yyyy-mm-dd")&amp;"|"&amp;TEXT('Ingest Template'!C411+3, "yyyy-mm-dd"),'Ingest Template'!M411&amp; "|DAR|DAR|2021-01-01")),(IF(OR('Ingest Template'!F411 = "Program Type - Special", 'Ingest Template'!F411 = "Program Type - Live Event"),'Ingest Template'!M411&amp; "|Operations - Core Title|Operations - Core Title|"&amp;TEXT('Ingest Template'!C411-3, "yyyy-mm-dd")&amp;"|"&amp;TEXT('Ingest Template'!C411+3, "yyyy-mm-dd"),'Ingest Template'!M411&amp; "|Operations - Core Title|Operations - Core Title")))</f>
        <v>|Operations - Core Title|Operations - Core Title</v>
      </c>
      <c r="AK411" s="35"/>
      <c r="AL411" s="117" t="str">
        <f>if('Ingest Template'!A411="Standard",(IF(OR('Ingest Template'!F411 = "Program Type - Special", 'Ingest Template'!F411 = "Program Type - Live Event"),'Ingest Template'!Q411&amp;"|"&amp;TEXT('Ingest Template'!C411-3, "yyyy-mm-dd")&amp;"|"&amp;TEXT('Ingest Template'!C411+3, "yyyy-mm-dd"),'Ingest Template'!Q411&amp; "|2021-01-01")),(IF(OR('Ingest Template'!F411 = "Program Type - Special", 'Ingest Template'!F411 = "Program Type - Live Event"),'Ingest Template'!Q411&amp; "|"&amp;TEXT('Ingest Template'!C411-3, "yyyy-mm-dd")&amp;"|"&amp;TEXT('Ingest Template'!C411+3, "yyyy-mm-dd"),'Ingest Template'!Q411)))</f>
        <v/>
      </c>
      <c r="AM411" s="35" t="str">
        <f>'Ingest Template'!AC411</f>
        <v/>
      </c>
    </row>
    <row r="412">
      <c r="A412" s="15"/>
      <c r="B412" s="22" t="str">
        <f>'Ingest Template'!C412&amp;IF('Ingest Template'!A412 = "Standard", " - DAR","")</f>
        <v/>
      </c>
      <c r="C412" s="22" t="s">
        <v>83</v>
      </c>
      <c r="D412" s="22" t="str">
        <f t="array" ref="D412">CONCATENATE(INDEX(DropdownLists!$H$2:$H$11,MATCH(1,COUNTIF('Ingest Template'!E412,"*"&amp;DropdownLists!$I$2:$I$11&amp;"*"),0)),CHAR(10),'Ingest Template'!F412,CHAR(10),'Ingest Template'!G412,CHAR(10),VLOOKUP('Ingest Template'!D412,DropdownLists!C:D,2,FALSE))</f>
        <v>#N/A</v>
      </c>
      <c r="E412" s="22" t="str">
        <f>CONCATENATE('Ingest Template'!H412,CHAR(10),'Ingest Template'!I412,CHAR(10),'Ingest Template'!J412,CHAR(10))</f>
        <v>
</v>
      </c>
      <c r="F412" s="35" t="str">
        <f t="array" ref="F412">INDEX(DropdownLists!$O$2:$O$36,MATCH(1,COUNTIF(E412,"*"&amp;DropdownLists!$N$2:$N$36&amp;"*"),0))</f>
        <v/>
      </c>
      <c r="G412" s="35"/>
      <c r="H412" s="22" t="str">
        <f t="array" ref="H412">INDEX(DropdownLists!$E$2:$E$276,MATCH('Ingest Template'!D412,DropdownLists!$C$2:$C$276,0))</f>
        <v>#N/A</v>
      </c>
      <c r="I412" s="22"/>
      <c r="J412" s="22" t="str">
        <f t="array" ref="J412">iF('Ingest Template'!A412="Standard","Pristine Brand",INDEX(DropdownLists!$B$2:$B$246,MATCH('Ingest Template'!D412,DropdownLists!$C$2:$C$246,0)))</f>
        <v>#N/A</v>
      </c>
      <c r="K412" s="22" t="str">
        <f>iF('Ingest Template'!A412="Standard",'Ingest Template'!K412&amp;CHAR(10)&amp;'Ingest Template'!L412,"Competitive View")</f>
        <v>Competitive View</v>
      </c>
      <c r="L412" s="22" t="s">
        <v>95</v>
      </c>
      <c r="M412" s="45" t="str">
        <f>'Ingest Template'!B412</f>
        <v/>
      </c>
      <c r="N412" s="35"/>
      <c r="O412" s="35"/>
      <c r="P412" s="35"/>
      <c r="Q412" s="35"/>
      <c r="R412" s="35" t="str">
        <f>'Ingest Template'!D412</f>
        <v/>
      </c>
      <c r="S412" s="22" t="s">
        <v>101</v>
      </c>
      <c r="T412" s="35" t="str">
        <f>'Ingest Template'!V412</f>
        <v/>
      </c>
      <c r="U412" s="35" t="str">
        <f>'Ingest Template'!W412</f>
        <v/>
      </c>
      <c r="V412" s="35" t="str">
        <f>LOWER(SUBSTITUTE(SUBSTITUTE(SUBSTITUTE(SUBSTITUTE(SUBSTITUTE('Ingest Template'!X412,"https:",""),"www.",""),"/",""),"?hl=en",""),"instagram.com",""))</f>
        <v/>
      </c>
      <c r="W412" s="74" t="str">
        <f t="array" ref="W412">IF(
'Ingest Template'!Y412="",
SUBSTITUTE(
INDEX(DropdownLists!$F$2:$F$277,MATCH('Ingest Template'!D412,DropdownLists!$C$2:$C$277,0)),
CHAR(10),
"|"&amp;'Ingest Template'!C412&amp;CHAR(10)
)&amp;"|"&amp;'Ingest Template'!C412,
SUBSTITUTE(
INDEX(DropdownLists!$F$2:$F$277,MATCH('Ingest Template'!D412,DropdownLists!$C$2:$C$277,0)),
CHAR(10),
"|"&amp;'Ingest Template'!C412&amp;CHAR(10)
)&amp;"|"&amp;'Ingest Template'!C412&amp;CHAR(10)&amp;'Ingest Template'!Y412
)</f>
        <v>#N/A</v>
      </c>
      <c r="X412" s="74" t="str">
        <f>'Ingest Template'!Z412</f>
        <v/>
      </c>
      <c r="Y412" s="35" t="str">
        <f>SUBSTITUTE(SUBSTITUTE(SUBSTITUTE('Ingest Template'!AA412,"http:",""),"https:",""),"/","")</f>
        <v/>
      </c>
      <c r="Z412" s="35" t="str">
        <f t="array" ref="Z412">IF('Ingest Template'!A412="Standard",(IF(ISBLANK('Ingest Template'!AB412),"", 'Ingest Template'!AB412&amp;"|DAR")),(IF(ISBLANK('Ingest Template'!AB412),"", 'Ingest Template'!AB412&amp;"|TV Ops")))</f>
        <v/>
      </c>
      <c r="AA412" s="35"/>
      <c r="AB412" s="35" t="str">
        <f>'Ingest Template'!R412</f>
        <v/>
      </c>
      <c r="AC412" s="35" t="str">
        <f>'Ingest Template'!T412</f>
        <v/>
      </c>
      <c r="AD412" s="35" t="str">
        <f>'Ingest Template'!S412</f>
        <v/>
      </c>
      <c r="AE412" s="35" t="str">
        <f>'Ingest Template'!U412</f>
        <v/>
      </c>
      <c r="AF412" s="22"/>
      <c r="AG412" s="35" t="str">
        <f t="array" ref="AG412">IF('Ingest Template'!A412="Standard",(CONCATENATE(IF(ISBLANK('Ingest Template'!N412),"", 'Ingest Template'!N412&amp;"|DAR"),CHAR(10), IF(ISBLANK('Ingest Template'!O412),"", 'Ingest Template'!O412&amp;"|DAR"),CHAR(10), IF(ISBLANK('Ingest Template'!P412),"", 'Ingest Template'!P412&amp;"|DAR"))),(CONCATENATE(IF(ISBLANK('Ingest Template'!N412),"", 'Ingest Template'!N412&amp;"|TV Ops"),CHAR(10), IF(ISBLANK('Ingest Template'!O412),"", 'Ingest Template'!O412&amp;"|TV Ops"),CHAR(10), IF(ISBLANK('Ingest Template'!P412),"", 'Ingest Template'!P412&amp;"|TV Ops"))))</f>
        <v>
</v>
      </c>
      <c r="AH412" s="35"/>
      <c r="AI412" s="35"/>
      <c r="AJ412" s="117" t="str">
        <f>if('Ingest Template'!A412="Standard",(IF(OR('Ingest Template'!F412 = "Program Type - Special", 'Ingest Template'!F412 = "Program Type - Live Event"),'Ingest Template'!M412&amp; "|DAR|DAR|"&amp;TEXT('Ingest Template'!C412-3, "yyyy-mm-dd")&amp;"|"&amp;TEXT('Ingest Template'!C412+3, "yyyy-mm-dd"),'Ingest Template'!M412&amp; "|DAR|DAR|2021-01-01")),(IF(OR('Ingest Template'!F412 = "Program Type - Special", 'Ingest Template'!F412 = "Program Type - Live Event"),'Ingest Template'!M412&amp; "|Operations - Core Title|Operations - Core Title|"&amp;TEXT('Ingest Template'!C412-3, "yyyy-mm-dd")&amp;"|"&amp;TEXT('Ingest Template'!C412+3, "yyyy-mm-dd"),'Ingest Template'!M412&amp; "|Operations - Core Title|Operations - Core Title")))</f>
        <v>|Operations - Core Title|Operations - Core Title</v>
      </c>
      <c r="AK412" s="35"/>
      <c r="AL412" s="117" t="str">
        <f>if('Ingest Template'!A412="Standard",(IF(OR('Ingest Template'!F412 = "Program Type - Special", 'Ingest Template'!F412 = "Program Type - Live Event"),'Ingest Template'!Q412&amp;"|"&amp;TEXT('Ingest Template'!C412-3, "yyyy-mm-dd")&amp;"|"&amp;TEXT('Ingest Template'!C412+3, "yyyy-mm-dd"),'Ingest Template'!Q412&amp; "|2021-01-01")),(IF(OR('Ingest Template'!F412 = "Program Type - Special", 'Ingest Template'!F412 = "Program Type - Live Event"),'Ingest Template'!Q412&amp; "|"&amp;TEXT('Ingest Template'!C412-3, "yyyy-mm-dd")&amp;"|"&amp;TEXT('Ingest Template'!C412+3, "yyyy-mm-dd"),'Ingest Template'!Q412)))</f>
        <v/>
      </c>
      <c r="AM412" s="35" t="str">
        <f>'Ingest Template'!AC412</f>
        <v/>
      </c>
    </row>
    <row r="413">
      <c r="A413" s="15"/>
      <c r="B413" s="22" t="str">
        <f>'Ingest Template'!C413&amp;IF('Ingest Template'!A413 = "Standard", " - DAR","")</f>
        <v/>
      </c>
      <c r="C413" s="22" t="s">
        <v>83</v>
      </c>
      <c r="D413" s="22" t="str">
        <f t="array" ref="D413">CONCATENATE(INDEX(DropdownLists!$H$2:$H$11,MATCH(1,COUNTIF('Ingest Template'!E413,"*"&amp;DropdownLists!$I$2:$I$11&amp;"*"),0)),CHAR(10),'Ingest Template'!F413,CHAR(10),'Ingest Template'!G413,CHAR(10),VLOOKUP('Ingest Template'!D413,DropdownLists!C:D,2,FALSE))</f>
        <v>#N/A</v>
      </c>
      <c r="E413" s="22" t="str">
        <f>CONCATENATE('Ingest Template'!H413,CHAR(10),'Ingest Template'!I413,CHAR(10),'Ingest Template'!J413,CHAR(10))</f>
        <v>
</v>
      </c>
      <c r="F413" s="35" t="str">
        <f t="array" ref="F413">INDEX(DropdownLists!$O$2:$O$36,MATCH(1,COUNTIF(E413,"*"&amp;DropdownLists!$N$2:$N$36&amp;"*"),0))</f>
        <v/>
      </c>
      <c r="G413" s="35"/>
      <c r="H413" s="22" t="str">
        <f t="array" ref="H413">INDEX(DropdownLists!$E$2:$E$276,MATCH('Ingest Template'!D413,DropdownLists!$C$2:$C$276,0))</f>
        <v>#N/A</v>
      </c>
      <c r="I413" s="22"/>
      <c r="J413" s="22" t="str">
        <f t="array" ref="J413">iF('Ingest Template'!A413="Standard","Pristine Brand",INDEX(DropdownLists!$B$2:$B$246,MATCH('Ingest Template'!D413,DropdownLists!$C$2:$C$246,0)))</f>
        <v>#N/A</v>
      </c>
      <c r="K413" s="22" t="str">
        <f>iF('Ingest Template'!A413="Standard",'Ingest Template'!K413&amp;CHAR(10)&amp;'Ingest Template'!L413,"Competitive View")</f>
        <v>Competitive View</v>
      </c>
      <c r="L413" s="22" t="s">
        <v>95</v>
      </c>
      <c r="M413" s="45" t="str">
        <f>'Ingest Template'!B413</f>
        <v/>
      </c>
      <c r="N413" s="35"/>
      <c r="O413" s="35"/>
      <c r="P413" s="35"/>
      <c r="Q413" s="35"/>
      <c r="R413" s="35" t="str">
        <f>'Ingest Template'!D413</f>
        <v/>
      </c>
      <c r="S413" s="22" t="s">
        <v>101</v>
      </c>
      <c r="T413" s="35" t="str">
        <f>'Ingest Template'!V413</f>
        <v/>
      </c>
      <c r="U413" s="35" t="str">
        <f>'Ingest Template'!W413</f>
        <v/>
      </c>
      <c r="V413" s="35" t="str">
        <f>LOWER(SUBSTITUTE(SUBSTITUTE(SUBSTITUTE(SUBSTITUTE(SUBSTITUTE('Ingest Template'!X413,"https:",""),"www.",""),"/",""),"?hl=en",""),"instagram.com",""))</f>
        <v/>
      </c>
      <c r="W413" s="74" t="str">
        <f t="array" ref="W413">IF(
'Ingest Template'!Y413="",
SUBSTITUTE(
INDEX(DropdownLists!$F$2:$F$277,MATCH('Ingest Template'!D413,DropdownLists!$C$2:$C$277,0)),
CHAR(10),
"|"&amp;'Ingest Template'!C413&amp;CHAR(10)
)&amp;"|"&amp;'Ingest Template'!C413,
SUBSTITUTE(
INDEX(DropdownLists!$F$2:$F$277,MATCH('Ingest Template'!D413,DropdownLists!$C$2:$C$277,0)),
CHAR(10),
"|"&amp;'Ingest Template'!C413&amp;CHAR(10)
)&amp;"|"&amp;'Ingest Template'!C413&amp;CHAR(10)&amp;'Ingest Template'!Y413
)</f>
        <v>#N/A</v>
      </c>
      <c r="X413" s="74" t="str">
        <f>'Ingest Template'!Z413</f>
        <v/>
      </c>
      <c r="Y413" s="35" t="str">
        <f>SUBSTITUTE(SUBSTITUTE(SUBSTITUTE('Ingest Template'!AA413,"http:",""),"https:",""),"/","")</f>
        <v/>
      </c>
      <c r="Z413" s="35" t="str">
        <f t="array" ref="Z413">IF('Ingest Template'!A413="Standard",(IF(ISBLANK('Ingest Template'!AB413),"", 'Ingest Template'!AB413&amp;"|DAR")),(IF(ISBLANK('Ingest Template'!AB413),"", 'Ingest Template'!AB413&amp;"|TV Ops")))</f>
        <v/>
      </c>
      <c r="AA413" s="35"/>
      <c r="AB413" s="35" t="str">
        <f>'Ingest Template'!R413</f>
        <v/>
      </c>
      <c r="AC413" s="35" t="str">
        <f>'Ingest Template'!T413</f>
        <v/>
      </c>
      <c r="AD413" s="35" t="str">
        <f>'Ingest Template'!S413</f>
        <v/>
      </c>
      <c r="AE413" s="35" t="str">
        <f>'Ingest Template'!U413</f>
        <v/>
      </c>
      <c r="AF413" s="22"/>
      <c r="AG413" s="35" t="str">
        <f t="array" ref="AG413">IF('Ingest Template'!A413="Standard",(CONCATENATE(IF(ISBLANK('Ingest Template'!N413),"", 'Ingest Template'!N413&amp;"|DAR"),CHAR(10), IF(ISBLANK('Ingest Template'!O413),"", 'Ingest Template'!O413&amp;"|DAR"),CHAR(10), IF(ISBLANK('Ingest Template'!P413),"", 'Ingest Template'!P413&amp;"|DAR"))),(CONCATENATE(IF(ISBLANK('Ingest Template'!N413),"", 'Ingest Template'!N413&amp;"|TV Ops"),CHAR(10), IF(ISBLANK('Ingest Template'!O413),"", 'Ingest Template'!O413&amp;"|TV Ops"),CHAR(10), IF(ISBLANK('Ingest Template'!P413),"", 'Ingest Template'!P413&amp;"|TV Ops"))))</f>
        <v>
</v>
      </c>
      <c r="AH413" s="35"/>
      <c r="AI413" s="35"/>
      <c r="AJ413" s="117" t="str">
        <f>if('Ingest Template'!A413="Standard",(IF(OR('Ingest Template'!F413 = "Program Type - Special", 'Ingest Template'!F413 = "Program Type - Live Event"),'Ingest Template'!M413&amp; "|DAR|DAR|"&amp;TEXT('Ingest Template'!C413-3, "yyyy-mm-dd")&amp;"|"&amp;TEXT('Ingest Template'!C413+3, "yyyy-mm-dd"),'Ingest Template'!M413&amp; "|DAR|DAR|2021-01-01")),(IF(OR('Ingest Template'!F413 = "Program Type - Special", 'Ingest Template'!F413 = "Program Type - Live Event"),'Ingest Template'!M413&amp; "|Operations - Core Title|Operations - Core Title|"&amp;TEXT('Ingest Template'!C413-3, "yyyy-mm-dd")&amp;"|"&amp;TEXT('Ingest Template'!C413+3, "yyyy-mm-dd"),'Ingest Template'!M413&amp; "|Operations - Core Title|Operations - Core Title")))</f>
        <v>|Operations - Core Title|Operations - Core Title</v>
      </c>
      <c r="AK413" s="35"/>
      <c r="AL413" s="117" t="str">
        <f>if('Ingest Template'!A413="Standard",(IF(OR('Ingest Template'!F413 = "Program Type - Special", 'Ingest Template'!F413 = "Program Type - Live Event"),'Ingest Template'!Q413&amp;"|"&amp;TEXT('Ingest Template'!C413-3, "yyyy-mm-dd")&amp;"|"&amp;TEXT('Ingest Template'!C413+3, "yyyy-mm-dd"),'Ingest Template'!Q413&amp; "|2021-01-01")),(IF(OR('Ingest Template'!F413 = "Program Type - Special", 'Ingest Template'!F413 = "Program Type - Live Event"),'Ingest Template'!Q413&amp; "|"&amp;TEXT('Ingest Template'!C413-3, "yyyy-mm-dd")&amp;"|"&amp;TEXT('Ingest Template'!C413+3, "yyyy-mm-dd"),'Ingest Template'!Q413)))</f>
        <v/>
      </c>
      <c r="AM413" s="35" t="str">
        <f>'Ingest Template'!AC413</f>
        <v/>
      </c>
    </row>
    <row r="414">
      <c r="A414" s="15"/>
      <c r="B414" s="22" t="str">
        <f>'Ingest Template'!C414&amp;IF('Ingest Template'!A414 = "Standard", " - DAR","")</f>
        <v/>
      </c>
      <c r="C414" s="22" t="s">
        <v>83</v>
      </c>
      <c r="D414" s="22" t="str">
        <f t="array" ref="D414">CONCATENATE(INDEX(DropdownLists!$H$2:$H$11,MATCH(1,COUNTIF('Ingest Template'!E414,"*"&amp;DropdownLists!$I$2:$I$11&amp;"*"),0)),CHAR(10),'Ingest Template'!F414,CHAR(10),'Ingest Template'!G414,CHAR(10),VLOOKUP('Ingest Template'!D414,DropdownLists!C:D,2,FALSE))</f>
        <v>#N/A</v>
      </c>
      <c r="E414" s="22" t="str">
        <f>CONCATENATE('Ingest Template'!H414,CHAR(10),'Ingest Template'!I414,CHAR(10),'Ingest Template'!J414,CHAR(10))</f>
        <v>
</v>
      </c>
      <c r="F414" s="35" t="str">
        <f t="array" ref="F414">INDEX(DropdownLists!$O$2:$O$36,MATCH(1,COUNTIF(E414,"*"&amp;DropdownLists!$N$2:$N$36&amp;"*"),0))</f>
        <v/>
      </c>
      <c r="G414" s="35"/>
      <c r="H414" s="22" t="str">
        <f t="array" ref="H414">INDEX(DropdownLists!$E$2:$E$276,MATCH('Ingest Template'!D414,DropdownLists!$C$2:$C$276,0))</f>
        <v>#N/A</v>
      </c>
      <c r="I414" s="22"/>
      <c r="J414" s="22" t="str">
        <f t="array" ref="J414">iF('Ingest Template'!A414="Standard","Pristine Brand",INDEX(DropdownLists!$B$2:$B$246,MATCH('Ingest Template'!D414,DropdownLists!$C$2:$C$246,0)))</f>
        <v>#N/A</v>
      </c>
      <c r="K414" s="22" t="str">
        <f>iF('Ingest Template'!A414="Standard",'Ingest Template'!K414&amp;CHAR(10)&amp;'Ingest Template'!L414,"Competitive View")</f>
        <v>Competitive View</v>
      </c>
      <c r="L414" s="22" t="s">
        <v>95</v>
      </c>
      <c r="M414" s="45" t="str">
        <f>'Ingest Template'!B414</f>
        <v/>
      </c>
      <c r="N414" s="35"/>
      <c r="O414" s="35"/>
      <c r="P414" s="35"/>
      <c r="Q414" s="35"/>
      <c r="R414" s="35" t="str">
        <f>'Ingest Template'!D414</f>
        <v/>
      </c>
      <c r="S414" s="22" t="s">
        <v>101</v>
      </c>
      <c r="T414" s="35" t="str">
        <f>'Ingest Template'!V414</f>
        <v/>
      </c>
      <c r="U414" s="35" t="str">
        <f>'Ingest Template'!W414</f>
        <v/>
      </c>
      <c r="V414" s="35" t="str">
        <f>LOWER(SUBSTITUTE(SUBSTITUTE(SUBSTITUTE(SUBSTITUTE(SUBSTITUTE('Ingest Template'!X414,"https:",""),"www.",""),"/",""),"?hl=en",""),"instagram.com",""))</f>
        <v/>
      </c>
      <c r="W414" s="74" t="str">
        <f t="array" ref="W414">IF(
'Ingest Template'!Y414="",
SUBSTITUTE(
INDEX(DropdownLists!$F$2:$F$277,MATCH('Ingest Template'!D414,DropdownLists!$C$2:$C$277,0)),
CHAR(10),
"|"&amp;'Ingest Template'!C414&amp;CHAR(10)
)&amp;"|"&amp;'Ingest Template'!C414,
SUBSTITUTE(
INDEX(DropdownLists!$F$2:$F$277,MATCH('Ingest Template'!D414,DropdownLists!$C$2:$C$277,0)),
CHAR(10),
"|"&amp;'Ingest Template'!C414&amp;CHAR(10)
)&amp;"|"&amp;'Ingest Template'!C414&amp;CHAR(10)&amp;'Ingest Template'!Y414
)</f>
        <v>#N/A</v>
      </c>
      <c r="X414" s="74" t="str">
        <f>'Ingest Template'!Z414</f>
        <v/>
      </c>
      <c r="Y414" s="35" t="str">
        <f>SUBSTITUTE(SUBSTITUTE(SUBSTITUTE('Ingest Template'!AA414,"http:",""),"https:",""),"/","")</f>
        <v/>
      </c>
      <c r="Z414" s="35" t="str">
        <f t="array" ref="Z414">IF('Ingest Template'!A414="Standard",(IF(ISBLANK('Ingest Template'!AB414),"", 'Ingest Template'!AB414&amp;"|DAR")),(IF(ISBLANK('Ingest Template'!AB414),"", 'Ingest Template'!AB414&amp;"|TV Ops")))</f>
        <v/>
      </c>
      <c r="AA414" s="35"/>
      <c r="AB414" s="35" t="str">
        <f>'Ingest Template'!R414</f>
        <v/>
      </c>
      <c r="AC414" s="35" t="str">
        <f>'Ingest Template'!T414</f>
        <v/>
      </c>
      <c r="AD414" s="35" t="str">
        <f>'Ingest Template'!S414</f>
        <v/>
      </c>
      <c r="AE414" s="35" t="str">
        <f>'Ingest Template'!U414</f>
        <v/>
      </c>
      <c r="AF414" s="22"/>
      <c r="AG414" s="35" t="str">
        <f t="array" ref="AG414">IF('Ingest Template'!A414="Standard",(CONCATENATE(IF(ISBLANK('Ingest Template'!N414),"", 'Ingest Template'!N414&amp;"|DAR"),CHAR(10), IF(ISBLANK('Ingest Template'!O414),"", 'Ingest Template'!O414&amp;"|DAR"),CHAR(10), IF(ISBLANK('Ingest Template'!P414),"", 'Ingest Template'!P414&amp;"|DAR"))),(CONCATENATE(IF(ISBLANK('Ingest Template'!N414),"", 'Ingest Template'!N414&amp;"|TV Ops"),CHAR(10), IF(ISBLANK('Ingest Template'!O414),"", 'Ingest Template'!O414&amp;"|TV Ops"),CHAR(10), IF(ISBLANK('Ingest Template'!P414),"", 'Ingest Template'!P414&amp;"|TV Ops"))))</f>
        <v>
</v>
      </c>
      <c r="AH414" s="35"/>
      <c r="AI414" s="35"/>
      <c r="AJ414" s="117" t="str">
        <f>if('Ingest Template'!A414="Standard",(IF(OR('Ingest Template'!F414 = "Program Type - Special", 'Ingest Template'!F414 = "Program Type - Live Event"),'Ingest Template'!M414&amp; "|DAR|DAR|"&amp;TEXT('Ingest Template'!C414-3, "yyyy-mm-dd")&amp;"|"&amp;TEXT('Ingest Template'!C414+3, "yyyy-mm-dd"),'Ingest Template'!M414&amp; "|DAR|DAR|2021-01-01")),(IF(OR('Ingest Template'!F414 = "Program Type - Special", 'Ingest Template'!F414 = "Program Type - Live Event"),'Ingest Template'!M414&amp; "|Operations - Core Title|Operations - Core Title|"&amp;TEXT('Ingest Template'!C414-3, "yyyy-mm-dd")&amp;"|"&amp;TEXT('Ingest Template'!C414+3, "yyyy-mm-dd"),'Ingest Template'!M414&amp; "|Operations - Core Title|Operations - Core Title")))</f>
        <v>|Operations - Core Title|Operations - Core Title</v>
      </c>
      <c r="AK414" s="35"/>
      <c r="AL414" s="117" t="str">
        <f>if('Ingest Template'!A414="Standard",(IF(OR('Ingest Template'!F414 = "Program Type - Special", 'Ingest Template'!F414 = "Program Type - Live Event"),'Ingest Template'!Q414&amp;"|"&amp;TEXT('Ingest Template'!C414-3, "yyyy-mm-dd")&amp;"|"&amp;TEXT('Ingest Template'!C414+3, "yyyy-mm-dd"),'Ingest Template'!Q414&amp; "|2021-01-01")),(IF(OR('Ingest Template'!F414 = "Program Type - Special", 'Ingest Template'!F414 = "Program Type - Live Event"),'Ingest Template'!Q414&amp; "|"&amp;TEXT('Ingest Template'!C414-3, "yyyy-mm-dd")&amp;"|"&amp;TEXT('Ingest Template'!C414+3, "yyyy-mm-dd"),'Ingest Template'!Q414)))</f>
        <v/>
      </c>
      <c r="AM414" s="35" t="str">
        <f>'Ingest Template'!AC414</f>
        <v/>
      </c>
    </row>
    <row r="415">
      <c r="A415" s="15"/>
      <c r="B415" s="22" t="str">
        <f>'Ingest Template'!C415&amp;IF('Ingest Template'!A415 = "Standard", " - DAR","")</f>
        <v/>
      </c>
      <c r="C415" s="22" t="s">
        <v>83</v>
      </c>
      <c r="D415" s="22" t="str">
        <f t="array" ref="D415">CONCATENATE(INDEX(DropdownLists!$H$2:$H$11,MATCH(1,COUNTIF('Ingest Template'!E415,"*"&amp;DropdownLists!$I$2:$I$11&amp;"*"),0)),CHAR(10),'Ingest Template'!F415,CHAR(10),'Ingest Template'!G415,CHAR(10),VLOOKUP('Ingest Template'!D415,DropdownLists!C:D,2,FALSE))</f>
        <v>#N/A</v>
      </c>
      <c r="E415" s="22" t="str">
        <f>CONCATENATE('Ingest Template'!H415,CHAR(10),'Ingest Template'!I415,CHAR(10),'Ingest Template'!J415,CHAR(10))</f>
        <v>
</v>
      </c>
      <c r="F415" s="35" t="str">
        <f t="array" ref="F415">INDEX(DropdownLists!$O$2:$O$36,MATCH(1,COUNTIF(E415,"*"&amp;DropdownLists!$N$2:$N$36&amp;"*"),0))</f>
        <v/>
      </c>
      <c r="G415" s="35"/>
      <c r="H415" s="22" t="str">
        <f t="array" ref="H415">INDEX(DropdownLists!$E$2:$E$276,MATCH('Ingest Template'!D415,DropdownLists!$C$2:$C$276,0))</f>
        <v>#N/A</v>
      </c>
      <c r="I415" s="22"/>
      <c r="J415" s="22" t="str">
        <f t="array" ref="J415">iF('Ingest Template'!A415="Standard","Pristine Brand",INDEX(DropdownLists!$B$2:$B$246,MATCH('Ingest Template'!D415,DropdownLists!$C$2:$C$246,0)))</f>
        <v>#N/A</v>
      </c>
      <c r="K415" s="22" t="str">
        <f>iF('Ingest Template'!A415="Standard",'Ingest Template'!K415&amp;CHAR(10)&amp;'Ingest Template'!L415,"Competitive View")</f>
        <v>Competitive View</v>
      </c>
      <c r="L415" s="22" t="s">
        <v>95</v>
      </c>
      <c r="M415" s="45" t="str">
        <f>'Ingest Template'!B415</f>
        <v/>
      </c>
      <c r="N415" s="35"/>
      <c r="O415" s="35"/>
      <c r="P415" s="35"/>
      <c r="Q415" s="35"/>
      <c r="R415" s="35" t="str">
        <f>'Ingest Template'!D415</f>
        <v/>
      </c>
      <c r="S415" s="22" t="s">
        <v>101</v>
      </c>
      <c r="T415" s="35" t="str">
        <f>'Ingest Template'!V415</f>
        <v/>
      </c>
      <c r="U415" s="35" t="str">
        <f>'Ingest Template'!W415</f>
        <v/>
      </c>
      <c r="V415" s="35" t="str">
        <f>LOWER(SUBSTITUTE(SUBSTITUTE(SUBSTITUTE(SUBSTITUTE(SUBSTITUTE('Ingest Template'!X415,"https:",""),"www.",""),"/",""),"?hl=en",""),"instagram.com",""))</f>
        <v/>
      </c>
      <c r="W415" s="74" t="str">
        <f t="array" ref="W415">IF(
'Ingest Template'!Y415="",
SUBSTITUTE(
INDEX(DropdownLists!$F$2:$F$277,MATCH('Ingest Template'!D415,DropdownLists!$C$2:$C$277,0)),
CHAR(10),
"|"&amp;'Ingest Template'!C415&amp;CHAR(10)
)&amp;"|"&amp;'Ingest Template'!C415,
SUBSTITUTE(
INDEX(DropdownLists!$F$2:$F$277,MATCH('Ingest Template'!D415,DropdownLists!$C$2:$C$277,0)),
CHAR(10),
"|"&amp;'Ingest Template'!C415&amp;CHAR(10)
)&amp;"|"&amp;'Ingest Template'!C415&amp;CHAR(10)&amp;'Ingest Template'!Y415
)</f>
        <v>#N/A</v>
      </c>
      <c r="X415" s="74" t="str">
        <f>'Ingest Template'!Z415</f>
        <v/>
      </c>
      <c r="Y415" s="35" t="str">
        <f>SUBSTITUTE(SUBSTITUTE(SUBSTITUTE('Ingest Template'!AA415,"http:",""),"https:",""),"/","")</f>
        <v/>
      </c>
      <c r="Z415" s="35" t="str">
        <f t="array" ref="Z415">IF('Ingest Template'!A415="Standard",(IF(ISBLANK('Ingest Template'!AB415),"", 'Ingest Template'!AB415&amp;"|DAR")),(IF(ISBLANK('Ingest Template'!AB415),"", 'Ingest Template'!AB415&amp;"|TV Ops")))</f>
        <v/>
      </c>
      <c r="AA415" s="35"/>
      <c r="AB415" s="35" t="str">
        <f>'Ingest Template'!R415</f>
        <v/>
      </c>
      <c r="AC415" s="35" t="str">
        <f>'Ingest Template'!T415</f>
        <v/>
      </c>
      <c r="AD415" s="35" t="str">
        <f>'Ingest Template'!S415</f>
        <v/>
      </c>
      <c r="AE415" s="35" t="str">
        <f>'Ingest Template'!U415</f>
        <v/>
      </c>
      <c r="AF415" s="22"/>
      <c r="AG415" s="35" t="str">
        <f t="array" ref="AG415">IF('Ingest Template'!A415="Standard",(CONCATENATE(IF(ISBLANK('Ingest Template'!N415),"", 'Ingest Template'!N415&amp;"|DAR"),CHAR(10), IF(ISBLANK('Ingest Template'!O415),"", 'Ingest Template'!O415&amp;"|DAR"),CHAR(10), IF(ISBLANK('Ingest Template'!P415),"", 'Ingest Template'!P415&amp;"|DAR"))),(CONCATENATE(IF(ISBLANK('Ingest Template'!N415),"", 'Ingest Template'!N415&amp;"|TV Ops"),CHAR(10), IF(ISBLANK('Ingest Template'!O415),"", 'Ingest Template'!O415&amp;"|TV Ops"),CHAR(10), IF(ISBLANK('Ingest Template'!P415),"", 'Ingest Template'!P415&amp;"|TV Ops"))))</f>
        <v>
</v>
      </c>
      <c r="AH415" s="35"/>
      <c r="AI415" s="35"/>
      <c r="AJ415" s="117" t="str">
        <f>if('Ingest Template'!A415="Standard",(IF(OR('Ingest Template'!F415 = "Program Type - Special", 'Ingest Template'!F415 = "Program Type - Live Event"),'Ingest Template'!M415&amp; "|DAR|DAR|"&amp;TEXT('Ingest Template'!C415-3, "yyyy-mm-dd")&amp;"|"&amp;TEXT('Ingest Template'!C415+3, "yyyy-mm-dd"),'Ingest Template'!M415&amp; "|DAR|DAR|2021-01-01")),(IF(OR('Ingest Template'!F415 = "Program Type - Special", 'Ingest Template'!F415 = "Program Type - Live Event"),'Ingest Template'!M415&amp; "|Operations - Core Title|Operations - Core Title|"&amp;TEXT('Ingest Template'!C415-3, "yyyy-mm-dd")&amp;"|"&amp;TEXT('Ingest Template'!C415+3, "yyyy-mm-dd"),'Ingest Template'!M415&amp; "|Operations - Core Title|Operations - Core Title")))</f>
        <v>|Operations - Core Title|Operations - Core Title</v>
      </c>
      <c r="AK415" s="35"/>
      <c r="AL415" s="117" t="str">
        <f>if('Ingest Template'!A415="Standard",(IF(OR('Ingest Template'!F415 = "Program Type - Special", 'Ingest Template'!F415 = "Program Type - Live Event"),'Ingest Template'!Q415&amp;"|"&amp;TEXT('Ingest Template'!C415-3, "yyyy-mm-dd")&amp;"|"&amp;TEXT('Ingest Template'!C415+3, "yyyy-mm-dd"),'Ingest Template'!Q415&amp; "|2021-01-01")),(IF(OR('Ingest Template'!F415 = "Program Type - Special", 'Ingest Template'!F415 = "Program Type - Live Event"),'Ingest Template'!Q415&amp; "|"&amp;TEXT('Ingest Template'!C415-3, "yyyy-mm-dd")&amp;"|"&amp;TEXT('Ingest Template'!C415+3, "yyyy-mm-dd"),'Ingest Template'!Q415)))</f>
        <v/>
      </c>
      <c r="AM415" s="35" t="str">
        <f>'Ingest Template'!AC415</f>
        <v/>
      </c>
    </row>
    <row r="416">
      <c r="A416" s="15"/>
      <c r="B416" s="22" t="str">
        <f>'Ingest Template'!C416&amp;IF('Ingest Template'!A416 = "Standard", " - DAR","")</f>
        <v/>
      </c>
      <c r="C416" s="22" t="s">
        <v>83</v>
      </c>
      <c r="D416" s="22" t="str">
        <f t="array" ref="D416">CONCATENATE(INDEX(DropdownLists!$H$2:$H$11,MATCH(1,COUNTIF('Ingest Template'!E416,"*"&amp;DropdownLists!$I$2:$I$11&amp;"*"),0)),CHAR(10),'Ingest Template'!F416,CHAR(10),'Ingest Template'!G416,CHAR(10),VLOOKUP('Ingest Template'!D416,DropdownLists!C:D,2,FALSE))</f>
        <v>#N/A</v>
      </c>
      <c r="E416" s="22" t="str">
        <f>CONCATENATE('Ingest Template'!H416,CHAR(10),'Ingest Template'!I416,CHAR(10),'Ingest Template'!J416,CHAR(10))</f>
        <v>
</v>
      </c>
      <c r="F416" s="35" t="str">
        <f t="array" ref="F416">INDEX(DropdownLists!$O$2:$O$36,MATCH(1,COUNTIF(E416,"*"&amp;DropdownLists!$N$2:$N$36&amp;"*"),0))</f>
        <v/>
      </c>
      <c r="G416" s="35"/>
      <c r="H416" s="22" t="str">
        <f t="array" ref="H416">INDEX(DropdownLists!$E$2:$E$276,MATCH('Ingest Template'!D416,DropdownLists!$C$2:$C$276,0))</f>
        <v>#N/A</v>
      </c>
      <c r="I416" s="22"/>
      <c r="J416" s="22" t="str">
        <f t="array" ref="J416">iF('Ingest Template'!A416="Standard","Pristine Brand",INDEX(DropdownLists!$B$2:$B$246,MATCH('Ingest Template'!D416,DropdownLists!$C$2:$C$246,0)))</f>
        <v>#N/A</v>
      </c>
      <c r="K416" s="22" t="str">
        <f>iF('Ingest Template'!A416="Standard",'Ingest Template'!K416&amp;CHAR(10)&amp;'Ingest Template'!L416,"Competitive View")</f>
        <v>Competitive View</v>
      </c>
      <c r="L416" s="22" t="s">
        <v>95</v>
      </c>
      <c r="M416" s="45" t="str">
        <f>'Ingest Template'!B416</f>
        <v/>
      </c>
      <c r="N416" s="35"/>
      <c r="O416" s="35"/>
      <c r="P416" s="35"/>
      <c r="Q416" s="35"/>
      <c r="R416" s="35" t="str">
        <f>'Ingest Template'!D416</f>
        <v/>
      </c>
      <c r="S416" s="22" t="s">
        <v>101</v>
      </c>
      <c r="T416" s="35" t="str">
        <f>'Ingest Template'!V416</f>
        <v/>
      </c>
      <c r="U416" s="35" t="str">
        <f>'Ingest Template'!W416</f>
        <v/>
      </c>
      <c r="V416" s="35" t="str">
        <f>LOWER(SUBSTITUTE(SUBSTITUTE(SUBSTITUTE(SUBSTITUTE(SUBSTITUTE('Ingest Template'!X416,"https:",""),"www.",""),"/",""),"?hl=en",""),"instagram.com",""))</f>
        <v/>
      </c>
      <c r="W416" s="74" t="str">
        <f t="array" ref="W416">IF(
'Ingest Template'!Y416="",
SUBSTITUTE(
INDEX(DropdownLists!$F$2:$F$277,MATCH('Ingest Template'!D416,DropdownLists!$C$2:$C$277,0)),
CHAR(10),
"|"&amp;'Ingest Template'!C416&amp;CHAR(10)
)&amp;"|"&amp;'Ingest Template'!C416,
SUBSTITUTE(
INDEX(DropdownLists!$F$2:$F$277,MATCH('Ingest Template'!D416,DropdownLists!$C$2:$C$277,0)),
CHAR(10),
"|"&amp;'Ingest Template'!C416&amp;CHAR(10)
)&amp;"|"&amp;'Ingest Template'!C416&amp;CHAR(10)&amp;'Ingest Template'!Y416
)</f>
        <v>#N/A</v>
      </c>
      <c r="X416" s="74" t="str">
        <f>'Ingest Template'!Z416</f>
        <v/>
      </c>
      <c r="Y416" s="35" t="str">
        <f>SUBSTITUTE(SUBSTITUTE(SUBSTITUTE('Ingest Template'!AA416,"http:",""),"https:",""),"/","")</f>
        <v/>
      </c>
      <c r="Z416" s="35" t="str">
        <f t="array" ref="Z416">IF('Ingest Template'!A416="Standard",(IF(ISBLANK('Ingest Template'!AB416),"", 'Ingest Template'!AB416&amp;"|DAR")),(IF(ISBLANK('Ingest Template'!AB416),"", 'Ingest Template'!AB416&amp;"|TV Ops")))</f>
        <v/>
      </c>
      <c r="AA416" s="35"/>
      <c r="AB416" s="35" t="str">
        <f>'Ingest Template'!R416</f>
        <v/>
      </c>
      <c r="AC416" s="35" t="str">
        <f>'Ingest Template'!T416</f>
        <v/>
      </c>
      <c r="AD416" s="35" t="str">
        <f>'Ingest Template'!S416</f>
        <v/>
      </c>
      <c r="AE416" s="35" t="str">
        <f>'Ingest Template'!U416</f>
        <v/>
      </c>
      <c r="AF416" s="22"/>
      <c r="AG416" s="35" t="str">
        <f t="array" ref="AG416">IF('Ingest Template'!A416="Standard",(CONCATENATE(IF(ISBLANK('Ingest Template'!N416),"", 'Ingest Template'!N416&amp;"|DAR"),CHAR(10), IF(ISBLANK('Ingest Template'!O416),"", 'Ingest Template'!O416&amp;"|DAR"),CHAR(10), IF(ISBLANK('Ingest Template'!P416),"", 'Ingest Template'!P416&amp;"|DAR"))),(CONCATENATE(IF(ISBLANK('Ingest Template'!N416),"", 'Ingest Template'!N416&amp;"|TV Ops"),CHAR(10), IF(ISBLANK('Ingest Template'!O416),"", 'Ingest Template'!O416&amp;"|TV Ops"),CHAR(10), IF(ISBLANK('Ingest Template'!P416),"", 'Ingest Template'!P416&amp;"|TV Ops"))))</f>
        <v>
</v>
      </c>
      <c r="AH416" s="35"/>
      <c r="AI416" s="35"/>
      <c r="AJ416" s="117" t="str">
        <f>if('Ingest Template'!A416="Standard",(IF(OR('Ingest Template'!F416 = "Program Type - Special", 'Ingest Template'!F416 = "Program Type - Live Event"),'Ingest Template'!M416&amp; "|DAR|DAR|"&amp;TEXT('Ingest Template'!C416-3, "yyyy-mm-dd")&amp;"|"&amp;TEXT('Ingest Template'!C416+3, "yyyy-mm-dd"),'Ingest Template'!M416&amp; "|DAR|DAR|2021-01-01")),(IF(OR('Ingest Template'!F416 = "Program Type - Special", 'Ingest Template'!F416 = "Program Type - Live Event"),'Ingest Template'!M416&amp; "|Operations - Core Title|Operations - Core Title|"&amp;TEXT('Ingest Template'!C416-3, "yyyy-mm-dd")&amp;"|"&amp;TEXT('Ingest Template'!C416+3, "yyyy-mm-dd"),'Ingest Template'!M416&amp; "|Operations - Core Title|Operations - Core Title")))</f>
        <v>|Operations - Core Title|Operations - Core Title</v>
      </c>
      <c r="AK416" s="35"/>
      <c r="AL416" s="117" t="str">
        <f>if('Ingest Template'!A416="Standard",(IF(OR('Ingest Template'!F416 = "Program Type - Special", 'Ingest Template'!F416 = "Program Type - Live Event"),'Ingest Template'!Q416&amp;"|"&amp;TEXT('Ingest Template'!C416-3, "yyyy-mm-dd")&amp;"|"&amp;TEXT('Ingest Template'!C416+3, "yyyy-mm-dd"),'Ingest Template'!Q416&amp; "|2021-01-01")),(IF(OR('Ingest Template'!F416 = "Program Type - Special", 'Ingest Template'!F416 = "Program Type - Live Event"),'Ingest Template'!Q416&amp; "|"&amp;TEXT('Ingest Template'!C416-3, "yyyy-mm-dd")&amp;"|"&amp;TEXT('Ingest Template'!C416+3, "yyyy-mm-dd"),'Ingest Template'!Q416)))</f>
        <v/>
      </c>
      <c r="AM416" s="35" t="str">
        <f>'Ingest Template'!AC416</f>
        <v/>
      </c>
    </row>
    <row r="417">
      <c r="A417" s="15"/>
      <c r="B417" s="22" t="str">
        <f>'Ingest Template'!C417&amp;IF('Ingest Template'!A417 = "Standard", " - DAR","")</f>
        <v/>
      </c>
      <c r="C417" s="22" t="s">
        <v>83</v>
      </c>
      <c r="D417" s="22" t="str">
        <f t="array" ref="D417">CONCATENATE(INDEX(DropdownLists!$H$2:$H$11,MATCH(1,COUNTIF('Ingest Template'!E417,"*"&amp;DropdownLists!$I$2:$I$11&amp;"*"),0)),CHAR(10),'Ingest Template'!F417,CHAR(10),'Ingest Template'!G417,CHAR(10),VLOOKUP('Ingest Template'!D417,DropdownLists!C:D,2,FALSE))</f>
        <v>#N/A</v>
      </c>
      <c r="E417" s="22" t="str">
        <f>CONCATENATE('Ingest Template'!H417,CHAR(10),'Ingest Template'!I417,CHAR(10),'Ingest Template'!J417,CHAR(10))</f>
        <v>
</v>
      </c>
      <c r="F417" s="35" t="str">
        <f t="array" ref="F417">INDEX(DropdownLists!$O$2:$O$36,MATCH(1,COUNTIF(E417,"*"&amp;DropdownLists!$N$2:$N$36&amp;"*"),0))</f>
        <v/>
      </c>
      <c r="G417" s="35"/>
      <c r="H417" s="22" t="str">
        <f t="array" ref="H417">INDEX(DropdownLists!$E$2:$E$276,MATCH('Ingest Template'!D417,DropdownLists!$C$2:$C$276,0))</f>
        <v>#N/A</v>
      </c>
      <c r="I417" s="22"/>
      <c r="J417" s="22" t="str">
        <f t="array" ref="J417">iF('Ingest Template'!A417="Standard","Pristine Brand",INDEX(DropdownLists!$B$2:$B$246,MATCH('Ingest Template'!D417,DropdownLists!$C$2:$C$246,0)))</f>
        <v>#N/A</v>
      </c>
      <c r="K417" s="22" t="str">
        <f>iF('Ingest Template'!A417="Standard",'Ingest Template'!K417&amp;CHAR(10)&amp;'Ingest Template'!L417,"Competitive View")</f>
        <v>Competitive View</v>
      </c>
      <c r="L417" s="22" t="s">
        <v>95</v>
      </c>
      <c r="M417" s="45" t="str">
        <f>'Ingest Template'!B417</f>
        <v/>
      </c>
      <c r="N417" s="35"/>
      <c r="O417" s="35"/>
      <c r="P417" s="35"/>
      <c r="Q417" s="35"/>
      <c r="R417" s="35" t="str">
        <f>'Ingest Template'!D417</f>
        <v/>
      </c>
      <c r="S417" s="22" t="s">
        <v>101</v>
      </c>
      <c r="T417" s="35" t="str">
        <f>'Ingest Template'!V417</f>
        <v/>
      </c>
      <c r="U417" s="35" t="str">
        <f>'Ingest Template'!W417</f>
        <v/>
      </c>
      <c r="V417" s="35" t="str">
        <f>LOWER(SUBSTITUTE(SUBSTITUTE(SUBSTITUTE(SUBSTITUTE(SUBSTITUTE('Ingest Template'!X417,"https:",""),"www.",""),"/",""),"?hl=en",""),"instagram.com",""))</f>
        <v/>
      </c>
      <c r="W417" s="74" t="str">
        <f t="array" ref="W417">IF(
'Ingest Template'!Y417="",
SUBSTITUTE(
INDEX(DropdownLists!$F$2:$F$277,MATCH('Ingest Template'!D417,DropdownLists!$C$2:$C$277,0)),
CHAR(10),
"|"&amp;'Ingest Template'!C417&amp;CHAR(10)
)&amp;"|"&amp;'Ingest Template'!C417,
SUBSTITUTE(
INDEX(DropdownLists!$F$2:$F$277,MATCH('Ingest Template'!D417,DropdownLists!$C$2:$C$277,0)),
CHAR(10),
"|"&amp;'Ingest Template'!C417&amp;CHAR(10)
)&amp;"|"&amp;'Ingest Template'!C417&amp;CHAR(10)&amp;'Ingest Template'!Y417
)</f>
        <v>#N/A</v>
      </c>
      <c r="X417" s="74" t="str">
        <f>'Ingest Template'!Z417</f>
        <v/>
      </c>
      <c r="Y417" s="35" t="str">
        <f>SUBSTITUTE(SUBSTITUTE(SUBSTITUTE('Ingest Template'!AA417,"http:",""),"https:",""),"/","")</f>
        <v/>
      </c>
      <c r="Z417" s="35" t="str">
        <f t="array" ref="Z417">IF('Ingest Template'!A417="Standard",(IF(ISBLANK('Ingest Template'!AB417),"", 'Ingest Template'!AB417&amp;"|DAR")),(IF(ISBLANK('Ingest Template'!AB417),"", 'Ingest Template'!AB417&amp;"|TV Ops")))</f>
        <v/>
      </c>
      <c r="AA417" s="35"/>
      <c r="AB417" s="35" t="str">
        <f>'Ingest Template'!R417</f>
        <v/>
      </c>
      <c r="AC417" s="35" t="str">
        <f>'Ingest Template'!T417</f>
        <v/>
      </c>
      <c r="AD417" s="35" t="str">
        <f>'Ingest Template'!S417</f>
        <v/>
      </c>
      <c r="AE417" s="35" t="str">
        <f>'Ingest Template'!U417</f>
        <v/>
      </c>
      <c r="AF417" s="22"/>
      <c r="AG417" s="35" t="str">
        <f t="array" ref="AG417">IF('Ingest Template'!A417="Standard",(CONCATENATE(IF(ISBLANK('Ingest Template'!N417),"", 'Ingest Template'!N417&amp;"|DAR"),CHAR(10), IF(ISBLANK('Ingest Template'!O417),"", 'Ingest Template'!O417&amp;"|DAR"),CHAR(10), IF(ISBLANK('Ingest Template'!P417),"", 'Ingest Template'!P417&amp;"|DAR"))),(CONCATENATE(IF(ISBLANK('Ingest Template'!N417),"", 'Ingest Template'!N417&amp;"|TV Ops"),CHAR(10), IF(ISBLANK('Ingest Template'!O417),"", 'Ingest Template'!O417&amp;"|TV Ops"),CHAR(10), IF(ISBLANK('Ingest Template'!P417),"", 'Ingest Template'!P417&amp;"|TV Ops"))))</f>
        <v>
</v>
      </c>
      <c r="AH417" s="35"/>
      <c r="AI417" s="35"/>
      <c r="AJ417" s="117" t="str">
        <f>if('Ingest Template'!A417="Standard",(IF(OR('Ingest Template'!F417 = "Program Type - Special", 'Ingest Template'!F417 = "Program Type - Live Event"),'Ingest Template'!M417&amp; "|DAR|DAR|"&amp;TEXT('Ingest Template'!C417-3, "yyyy-mm-dd")&amp;"|"&amp;TEXT('Ingest Template'!C417+3, "yyyy-mm-dd"),'Ingest Template'!M417&amp; "|DAR|DAR|2021-01-01")),(IF(OR('Ingest Template'!F417 = "Program Type - Special", 'Ingest Template'!F417 = "Program Type - Live Event"),'Ingest Template'!M417&amp; "|Operations - Core Title|Operations - Core Title|"&amp;TEXT('Ingest Template'!C417-3, "yyyy-mm-dd")&amp;"|"&amp;TEXT('Ingest Template'!C417+3, "yyyy-mm-dd"),'Ingest Template'!M417&amp; "|Operations - Core Title|Operations - Core Title")))</f>
        <v>|Operations - Core Title|Operations - Core Title</v>
      </c>
      <c r="AK417" s="35"/>
      <c r="AL417" s="117" t="str">
        <f>if('Ingest Template'!A417="Standard",(IF(OR('Ingest Template'!F417 = "Program Type - Special", 'Ingest Template'!F417 = "Program Type - Live Event"),'Ingest Template'!Q417&amp;"|"&amp;TEXT('Ingest Template'!C417-3, "yyyy-mm-dd")&amp;"|"&amp;TEXT('Ingest Template'!C417+3, "yyyy-mm-dd"),'Ingest Template'!Q417&amp; "|2021-01-01")),(IF(OR('Ingest Template'!F417 = "Program Type - Special", 'Ingest Template'!F417 = "Program Type - Live Event"),'Ingest Template'!Q417&amp; "|"&amp;TEXT('Ingest Template'!C417-3, "yyyy-mm-dd")&amp;"|"&amp;TEXT('Ingest Template'!C417+3, "yyyy-mm-dd"),'Ingest Template'!Q417)))</f>
        <v/>
      </c>
      <c r="AM417" s="35" t="str">
        <f>'Ingest Template'!AC417</f>
        <v/>
      </c>
    </row>
    <row r="418">
      <c r="A418" s="15"/>
      <c r="B418" s="22" t="str">
        <f>'Ingest Template'!C418&amp;IF('Ingest Template'!A418 = "Standard", " - DAR","")</f>
        <v/>
      </c>
      <c r="C418" s="22" t="s">
        <v>83</v>
      </c>
      <c r="D418" s="22" t="str">
        <f t="array" ref="D418">CONCATENATE(INDEX(DropdownLists!$H$2:$H$11,MATCH(1,COUNTIF('Ingest Template'!E418,"*"&amp;DropdownLists!$I$2:$I$11&amp;"*"),0)),CHAR(10),'Ingest Template'!F418,CHAR(10),'Ingest Template'!G418,CHAR(10),VLOOKUP('Ingest Template'!D418,DropdownLists!C:D,2,FALSE))</f>
        <v>#N/A</v>
      </c>
      <c r="E418" s="22" t="str">
        <f>CONCATENATE('Ingest Template'!H418,CHAR(10),'Ingest Template'!I418,CHAR(10),'Ingest Template'!J418,CHAR(10))</f>
        <v>
</v>
      </c>
      <c r="F418" s="35" t="str">
        <f t="array" ref="F418">INDEX(DropdownLists!$O$2:$O$36,MATCH(1,COUNTIF(E418,"*"&amp;DropdownLists!$N$2:$N$36&amp;"*"),0))</f>
        <v/>
      </c>
      <c r="G418" s="35"/>
      <c r="H418" s="22" t="str">
        <f t="array" ref="H418">INDEX(DropdownLists!$E$2:$E$276,MATCH('Ingest Template'!D418,DropdownLists!$C$2:$C$276,0))</f>
        <v>#N/A</v>
      </c>
      <c r="I418" s="22"/>
      <c r="J418" s="22" t="str">
        <f t="array" ref="J418">iF('Ingest Template'!A418="Standard","Pristine Brand",INDEX(DropdownLists!$B$2:$B$246,MATCH('Ingest Template'!D418,DropdownLists!$C$2:$C$246,0)))</f>
        <v>#N/A</v>
      </c>
      <c r="K418" s="22" t="str">
        <f>iF('Ingest Template'!A418="Standard",'Ingest Template'!K418&amp;CHAR(10)&amp;'Ingest Template'!L418,"Competitive View")</f>
        <v>Competitive View</v>
      </c>
      <c r="L418" s="22" t="s">
        <v>95</v>
      </c>
      <c r="M418" s="45" t="str">
        <f>'Ingest Template'!B418</f>
        <v/>
      </c>
      <c r="N418" s="35"/>
      <c r="O418" s="35"/>
      <c r="P418" s="35"/>
      <c r="Q418" s="35"/>
      <c r="R418" s="35" t="str">
        <f>'Ingest Template'!D418</f>
        <v/>
      </c>
      <c r="S418" s="22" t="s">
        <v>101</v>
      </c>
      <c r="T418" s="35" t="str">
        <f>'Ingest Template'!V418</f>
        <v/>
      </c>
      <c r="U418" s="35" t="str">
        <f>'Ingest Template'!W418</f>
        <v/>
      </c>
      <c r="V418" s="35" t="str">
        <f>LOWER(SUBSTITUTE(SUBSTITUTE(SUBSTITUTE(SUBSTITUTE(SUBSTITUTE('Ingest Template'!X418,"https:",""),"www.",""),"/",""),"?hl=en",""),"instagram.com",""))</f>
        <v/>
      </c>
      <c r="W418" s="74" t="str">
        <f t="array" ref="W418">IF(
'Ingest Template'!Y418="",
SUBSTITUTE(
INDEX(DropdownLists!$F$2:$F$277,MATCH('Ingest Template'!D418,DropdownLists!$C$2:$C$277,0)),
CHAR(10),
"|"&amp;'Ingest Template'!C418&amp;CHAR(10)
)&amp;"|"&amp;'Ingest Template'!C418,
SUBSTITUTE(
INDEX(DropdownLists!$F$2:$F$277,MATCH('Ingest Template'!D418,DropdownLists!$C$2:$C$277,0)),
CHAR(10),
"|"&amp;'Ingest Template'!C418&amp;CHAR(10)
)&amp;"|"&amp;'Ingest Template'!C418&amp;CHAR(10)&amp;'Ingest Template'!Y418
)</f>
        <v>#N/A</v>
      </c>
      <c r="X418" s="74" t="str">
        <f>'Ingest Template'!Z418</f>
        <v/>
      </c>
      <c r="Y418" s="35" t="str">
        <f>SUBSTITUTE(SUBSTITUTE(SUBSTITUTE('Ingest Template'!AA418,"http:",""),"https:",""),"/","")</f>
        <v/>
      </c>
      <c r="Z418" s="35" t="str">
        <f t="array" ref="Z418">IF('Ingest Template'!A418="Standard",(IF(ISBLANK('Ingest Template'!AB418),"", 'Ingest Template'!AB418&amp;"|DAR")),(IF(ISBLANK('Ingest Template'!AB418),"", 'Ingest Template'!AB418&amp;"|TV Ops")))</f>
        <v/>
      </c>
      <c r="AA418" s="35"/>
      <c r="AB418" s="35" t="str">
        <f>'Ingest Template'!R418</f>
        <v/>
      </c>
      <c r="AC418" s="35" t="str">
        <f>'Ingest Template'!T418</f>
        <v/>
      </c>
      <c r="AD418" s="35" t="str">
        <f>'Ingest Template'!S418</f>
        <v/>
      </c>
      <c r="AE418" s="35" t="str">
        <f>'Ingest Template'!U418</f>
        <v/>
      </c>
      <c r="AF418" s="22"/>
      <c r="AG418" s="35" t="str">
        <f t="array" ref="AG418">IF('Ingest Template'!A418="Standard",(CONCATENATE(IF(ISBLANK('Ingest Template'!N418),"", 'Ingest Template'!N418&amp;"|DAR"),CHAR(10), IF(ISBLANK('Ingest Template'!O418),"", 'Ingest Template'!O418&amp;"|DAR"),CHAR(10), IF(ISBLANK('Ingest Template'!P418),"", 'Ingest Template'!P418&amp;"|DAR"))),(CONCATENATE(IF(ISBLANK('Ingest Template'!N418),"", 'Ingest Template'!N418&amp;"|TV Ops"),CHAR(10), IF(ISBLANK('Ingest Template'!O418),"", 'Ingest Template'!O418&amp;"|TV Ops"),CHAR(10), IF(ISBLANK('Ingest Template'!P418),"", 'Ingest Template'!P418&amp;"|TV Ops"))))</f>
        <v>
</v>
      </c>
      <c r="AH418" s="35"/>
      <c r="AI418" s="35"/>
      <c r="AJ418" s="117" t="str">
        <f>if('Ingest Template'!A418="Standard",(IF(OR('Ingest Template'!F418 = "Program Type - Special", 'Ingest Template'!F418 = "Program Type - Live Event"),'Ingest Template'!M418&amp; "|DAR|DAR|"&amp;TEXT('Ingest Template'!C418-3, "yyyy-mm-dd")&amp;"|"&amp;TEXT('Ingest Template'!C418+3, "yyyy-mm-dd"),'Ingest Template'!M418&amp; "|DAR|DAR|2021-01-01")),(IF(OR('Ingest Template'!F418 = "Program Type - Special", 'Ingest Template'!F418 = "Program Type - Live Event"),'Ingest Template'!M418&amp; "|Operations - Core Title|Operations - Core Title|"&amp;TEXT('Ingest Template'!C418-3, "yyyy-mm-dd")&amp;"|"&amp;TEXT('Ingest Template'!C418+3, "yyyy-mm-dd"),'Ingest Template'!M418&amp; "|Operations - Core Title|Operations - Core Title")))</f>
        <v>|Operations - Core Title|Operations - Core Title</v>
      </c>
      <c r="AK418" s="35"/>
      <c r="AL418" s="117" t="str">
        <f>if('Ingest Template'!A418="Standard",(IF(OR('Ingest Template'!F418 = "Program Type - Special", 'Ingest Template'!F418 = "Program Type - Live Event"),'Ingest Template'!Q418&amp;"|"&amp;TEXT('Ingest Template'!C418-3, "yyyy-mm-dd")&amp;"|"&amp;TEXT('Ingest Template'!C418+3, "yyyy-mm-dd"),'Ingest Template'!Q418&amp; "|2021-01-01")),(IF(OR('Ingest Template'!F418 = "Program Type - Special", 'Ingest Template'!F418 = "Program Type - Live Event"),'Ingest Template'!Q418&amp; "|"&amp;TEXT('Ingest Template'!C418-3, "yyyy-mm-dd")&amp;"|"&amp;TEXT('Ingest Template'!C418+3, "yyyy-mm-dd"),'Ingest Template'!Q418)))</f>
        <v/>
      </c>
      <c r="AM418" s="35" t="str">
        <f>'Ingest Template'!AC418</f>
        <v/>
      </c>
    </row>
    <row r="419">
      <c r="A419" s="15"/>
      <c r="B419" s="22" t="str">
        <f>'Ingest Template'!C419&amp;IF('Ingest Template'!A419 = "Standard", " - DAR","")</f>
        <v/>
      </c>
      <c r="C419" s="22" t="s">
        <v>83</v>
      </c>
      <c r="D419" s="22" t="str">
        <f t="array" ref="D419">CONCATENATE(INDEX(DropdownLists!$H$2:$H$11,MATCH(1,COUNTIF('Ingest Template'!E419,"*"&amp;DropdownLists!$I$2:$I$11&amp;"*"),0)),CHAR(10),'Ingest Template'!F419,CHAR(10),'Ingest Template'!G419,CHAR(10),VLOOKUP('Ingest Template'!D419,DropdownLists!C:D,2,FALSE))</f>
        <v>#N/A</v>
      </c>
      <c r="E419" s="22" t="str">
        <f>CONCATENATE('Ingest Template'!H419,CHAR(10),'Ingest Template'!I419,CHAR(10),'Ingest Template'!J419,CHAR(10))</f>
        <v>
</v>
      </c>
      <c r="F419" s="35" t="str">
        <f t="array" ref="F419">INDEX(DropdownLists!$O$2:$O$36,MATCH(1,COUNTIF(E419,"*"&amp;DropdownLists!$N$2:$N$36&amp;"*"),0))</f>
        <v/>
      </c>
      <c r="G419" s="35"/>
      <c r="H419" s="22" t="str">
        <f t="array" ref="H419">INDEX(DropdownLists!$E$2:$E$276,MATCH('Ingest Template'!D419,DropdownLists!$C$2:$C$276,0))</f>
        <v>#N/A</v>
      </c>
      <c r="I419" s="22"/>
      <c r="J419" s="22" t="str">
        <f t="array" ref="J419">iF('Ingest Template'!A419="Standard","Pristine Brand",INDEX(DropdownLists!$B$2:$B$246,MATCH('Ingest Template'!D419,DropdownLists!$C$2:$C$246,0)))</f>
        <v>#N/A</v>
      </c>
      <c r="K419" s="22" t="str">
        <f>iF('Ingest Template'!A419="Standard",'Ingest Template'!K419&amp;CHAR(10)&amp;'Ingest Template'!L419,"Competitive View")</f>
        <v>Competitive View</v>
      </c>
      <c r="L419" s="22" t="s">
        <v>95</v>
      </c>
      <c r="M419" s="45" t="str">
        <f>'Ingest Template'!B419</f>
        <v/>
      </c>
      <c r="N419" s="35"/>
      <c r="O419" s="35"/>
      <c r="P419" s="35"/>
      <c r="Q419" s="35"/>
      <c r="R419" s="35" t="str">
        <f>'Ingest Template'!D419</f>
        <v/>
      </c>
      <c r="S419" s="22" t="s">
        <v>101</v>
      </c>
      <c r="T419" s="35" t="str">
        <f>'Ingest Template'!V419</f>
        <v/>
      </c>
      <c r="U419" s="35" t="str">
        <f>'Ingest Template'!W419</f>
        <v/>
      </c>
      <c r="V419" s="35" t="str">
        <f>LOWER(SUBSTITUTE(SUBSTITUTE(SUBSTITUTE(SUBSTITUTE(SUBSTITUTE('Ingest Template'!X419,"https:",""),"www.",""),"/",""),"?hl=en",""),"instagram.com",""))</f>
        <v/>
      </c>
      <c r="W419" s="74" t="str">
        <f t="array" ref="W419">IF(
'Ingest Template'!Y419="",
SUBSTITUTE(
INDEX(DropdownLists!$F$2:$F$277,MATCH('Ingest Template'!D419,DropdownLists!$C$2:$C$277,0)),
CHAR(10),
"|"&amp;'Ingest Template'!C419&amp;CHAR(10)
)&amp;"|"&amp;'Ingest Template'!C419,
SUBSTITUTE(
INDEX(DropdownLists!$F$2:$F$277,MATCH('Ingest Template'!D419,DropdownLists!$C$2:$C$277,0)),
CHAR(10),
"|"&amp;'Ingest Template'!C419&amp;CHAR(10)
)&amp;"|"&amp;'Ingest Template'!C419&amp;CHAR(10)&amp;'Ingest Template'!Y419
)</f>
        <v>#N/A</v>
      </c>
      <c r="X419" s="74" t="str">
        <f>'Ingest Template'!Z419</f>
        <v/>
      </c>
      <c r="Y419" s="35" t="str">
        <f>SUBSTITUTE(SUBSTITUTE(SUBSTITUTE('Ingest Template'!AA419,"http:",""),"https:",""),"/","")</f>
        <v/>
      </c>
      <c r="Z419" s="35" t="str">
        <f t="array" ref="Z419">IF('Ingest Template'!A419="Standard",(IF(ISBLANK('Ingest Template'!AB419),"", 'Ingest Template'!AB419&amp;"|DAR")),(IF(ISBLANK('Ingest Template'!AB419),"", 'Ingest Template'!AB419&amp;"|TV Ops")))</f>
        <v/>
      </c>
      <c r="AA419" s="35"/>
      <c r="AB419" s="35" t="str">
        <f>'Ingest Template'!R419</f>
        <v/>
      </c>
      <c r="AC419" s="35" t="str">
        <f>'Ingest Template'!T419</f>
        <v/>
      </c>
      <c r="AD419" s="35" t="str">
        <f>'Ingest Template'!S419</f>
        <v/>
      </c>
      <c r="AE419" s="35" t="str">
        <f>'Ingest Template'!U419</f>
        <v/>
      </c>
      <c r="AF419" s="22"/>
      <c r="AG419" s="35" t="str">
        <f t="array" ref="AG419">IF('Ingest Template'!A419="Standard",(CONCATENATE(IF(ISBLANK('Ingest Template'!N419),"", 'Ingest Template'!N419&amp;"|DAR"),CHAR(10), IF(ISBLANK('Ingest Template'!O419),"", 'Ingest Template'!O419&amp;"|DAR"),CHAR(10), IF(ISBLANK('Ingest Template'!P419),"", 'Ingest Template'!P419&amp;"|DAR"))),(CONCATENATE(IF(ISBLANK('Ingest Template'!N419),"", 'Ingest Template'!N419&amp;"|TV Ops"),CHAR(10), IF(ISBLANK('Ingest Template'!O419),"", 'Ingest Template'!O419&amp;"|TV Ops"),CHAR(10), IF(ISBLANK('Ingest Template'!P419),"", 'Ingest Template'!P419&amp;"|TV Ops"))))</f>
        <v>
</v>
      </c>
      <c r="AH419" s="35"/>
      <c r="AI419" s="35"/>
      <c r="AJ419" s="117" t="str">
        <f>if('Ingest Template'!A419="Standard",(IF(OR('Ingest Template'!F419 = "Program Type - Special", 'Ingest Template'!F419 = "Program Type - Live Event"),'Ingest Template'!M419&amp; "|DAR|DAR|"&amp;TEXT('Ingest Template'!C419-3, "yyyy-mm-dd")&amp;"|"&amp;TEXT('Ingest Template'!C419+3, "yyyy-mm-dd"),'Ingest Template'!M419&amp; "|DAR|DAR|2021-01-01")),(IF(OR('Ingest Template'!F419 = "Program Type - Special", 'Ingest Template'!F419 = "Program Type - Live Event"),'Ingest Template'!M419&amp; "|Operations - Core Title|Operations - Core Title|"&amp;TEXT('Ingest Template'!C419-3, "yyyy-mm-dd")&amp;"|"&amp;TEXT('Ingest Template'!C419+3, "yyyy-mm-dd"),'Ingest Template'!M419&amp; "|Operations - Core Title|Operations - Core Title")))</f>
        <v>|Operations - Core Title|Operations - Core Title</v>
      </c>
      <c r="AK419" s="35"/>
      <c r="AL419" s="117" t="str">
        <f>if('Ingest Template'!A419="Standard",(IF(OR('Ingest Template'!F419 = "Program Type - Special", 'Ingest Template'!F419 = "Program Type - Live Event"),'Ingest Template'!Q419&amp;"|"&amp;TEXT('Ingest Template'!C419-3, "yyyy-mm-dd")&amp;"|"&amp;TEXT('Ingest Template'!C419+3, "yyyy-mm-dd"),'Ingest Template'!Q419&amp; "|2021-01-01")),(IF(OR('Ingest Template'!F419 = "Program Type - Special", 'Ingest Template'!F419 = "Program Type - Live Event"),'Ingest Template'!Q419&amp; "|"&amp;TEXT('Ingest Template'!C419-3, "yyyy-mm-dd")&amp;"|"&amp;TEXT('Ingest Template'!C419+3, "yyyy-mm-dd"),'Ingest Template'!Q419)))</f>
        <v/>
      </c>
      <c r="AM419" s="35" t="str">
        <f>'Ingest Template'!AC419</f>
        <v/>
      </c>
    </row>
    <row r="420">
      <c r="A420" s="15"/>
      <c r="B420" s="22" t="str">
        <f>'Ingest Template'!C420&amp;IF('Ingest Template'!A420 = "Standard", " - DAR","")</f>
        <v/>
      </c>
      <c r="C420" s="22" t="s">
        <v>83</v>
      </c>
      <c r="D420" s="22" t="str">
        <f t="array" ref="D420">CONCATENATE(INDEX(DropdownLists!$H$2:$H$11,MATCH(1,COUNTIF('Ingest Template'!E420,"*"&amp;DropdownLists!$I$2:$I$11&amp;"*"),0)),CHAR(10),'Ingest Template'!F420,CHAR(10),'Ingest Template'!G420,CHAR(10),VLOOKUP('Ingest Template'!D420,DropdownLists!C:D,2,FALSE))</f>
        <v>#N/A</v>
      </c>
      <c r="E420" s="22" t="str">
        <f>CONCATENATE('Ingest Template'!H420,CHAR(10),'Ingest Template'!I420,CHAR(10),'Ingest Template'!J420,CHAR(10))</f>
        <v>
</v>
      </c>
      <c r="F420" s="35" t="str">
        <f t="array" ref="F420">INDEX(DropdownLists!$O$2:$O$36,MATCH(1,COUNTIF(E420,"*"&amp;DropdownLists!$N$2:$N$36&amp;"*"),0))</f>
        <v/>
      </c>
      <c r="G420" s="35"/>
      <c r="H420" s="22" t="str">
        <f t="array" ref="H420">INDEX(DropdownLists!$E$2:$E$276,MATCH('Ingest Template'!D420,DropdownLists!$C$2:$C$276,0))</f>
        <v>#N/A</v>
      </c>
      <c r="I420" s="22"/>
      <c r="J420" s="22" t="str">
        <f t="array" ref="J420">iF('Ingest Template'!A420="Standard","Pristine Brand",INDEX(DropdownLists!$B$2:$B$246,MATCH('Ingest Template'!D420,DropdownLists!$C$2:$C$246,0)))</f>
        <v>#N/A</v>
      </c>
      <c r="K420" s="22" t="str">
        <f>iF('Ingest Template'!A420="Standard",'Ingest Template'!K420&amp;CHAR(10)&amp;'Ingest Template'!L420,"Competitive View")</f>
        <v>Competitive View</v>
      </c>
      <c r="L420" s="22" t="s">
        <v>95</v>
      </c>
      <c r="M420" s="45" t="str">
        <f>'Ingest Template'!B420</f>
        <v/>
      </c>
      <c r="N420" s="35"/>
      <c r="O420" s="35"/>
      <c r="P420" s="35"/>
      <c r="Q420" s="35"/>
      <c r="R420" s="35" t="str">
        <f>'Ingest Template'!D420</f>
        <v/>
      </c>
      <c r="S420" s="22" t="s">
        <v>101</v>
      </c>
      <c r="T420" s="35" t="str">
        <f>'Ingest Template'!V420</f>
        <v/>
      </c>
      <c r="U420" s="35" t="str">
        <f>'Ingest Template'!W420</f>
        <v/>
      </c>
      <c r="V420" s="35" t="str">
        <f>LOWER(SUBSTITUTE(SUBSTITUTE(SUBSTITUTE(SUBSTITUTE(SUBSTITUTE('Ingest Template'!X420,"https:",""),"www.",""),"/",""),"?hl=en",""),"instagram.com",""))</f>
        <v/>
      </c>
      <c r="W420" s="74" t="str">
        <f t="array" ref="W420">IF(
'Ingest Template'!Y420="",
SUBSTITUTE(
INDEX(DropdownLists!$F$2:$F$277,MATCH('Ingest Template'!D420,DropdownLists!$C$2:$C$277,0)),
CHAR(10),
"|"&amp;'Ingest Template'!C420&amp;CHAR(10)
)&amp;"|"&amp;'Ingest Template'!C420,
SUBSTITUTE(
INDEX(DropdownLists!$F$2:$F$277,MATCH('Ingest Template'!D420,DropdownLists!$C$2:$C$277,0)),
CHAR(10),
"|"&amp;'Ingest Template'!C420&amp;CHAR(10)
)&amp;"|"&amp;'Ingest Template'!C420&amp;CHAR(10)&amp;'Ingest Template'!Y420
)</f>
        <v>#N/A</v>
      </c>
      <c r="X420" s="74" t="str">
        <f>'Ingest Template'!Z420</f>
        <v/>
      </c>
      <c r="Y420" s="35" t="str">
        <f>SUBSTITUTE(SUBSTITUTE(SUBSTITUTE('Ingest Template'!AA420,"http:",""),"https:",""),"/","")</f>
        <v/>
      </c>
      <c r="Z420" s="35" t="str">
        <f t="array" ref="Z420">IF('Ingest Template'!A420="Standard",(IF(ISBLANK('Ingest Template'!AB420),"", 'Ingest Template'!AB420&amp;"|DAR")),(IF(ISBLANK('Ingest Template'!AB420),"", 'Ingest Template'!AB420&amp;"|TV Ops")))</f>
        <v/>
      </c>
      <c r="AA420" s="35"/>
      <c r="AB420" s="35" t="str">
        <f>'Ingest Template'!R420</f>
        <v/>
      </c>
      <c r="AC420" s="35" t="str">
        <f>'Ingest Template'!T420</f>
        <v/>
      </c>
      <c r="AD420" s="35" t="str">
        <f>'Ingest Template'!S420</f>
        <v/>
      </c>
      <c r="AE420" s="35" t="str">
        <f>'Ingest Template'!U420</f>
        <v/>
      </c>
      <c r="AF420" s="22"/>
      <c r="AG420" s="35" t="str">
        <f t="array" ref="AG420">IF('Ingest Template'!A420="Standard",(CONCATENATE(IF(ISBLANK('Ingest Template'!N420),"", 'Ingest Template'!N420&amp;"|DAR"),CHAR(10), IF(ISBLANK('Ingest Template'!O420),"", 'Ingest Template'!O420&amp;"|DAR"),CHAR(10), IF(ISBLANK('Ingest Template'!P420),"", 'Ingest Template'!P420&amp;"|DAR"))),(CONCATENATE(IF(ISBLANK('Ingest Template'!N420),"", 'Ingest Template'!N420&amp;"|TV Ops"),CHAR(10), IF(ISBLANK('Ingest Template'!O420),"", 'Ingest Template'!O420&amp;"|TV Ops"),CHAR(10), IF(ISBLANK('Ingest Template'!P420),"", 'Ingest Template'!P420&amp;"|TV Ops"))))</f>
        <v>
</v>
      </c>
      <c r="AH420" s="35"/>
      <c r="AI420" s="35"/>
      <c r="AJ420" s="117" t="str">
        <f>if('Ingest Template'!A420="Standard",(IF(OR('Ingest Template'!F420 = "Program Type - Special", 'Ingest Template'!F420 = "Program Type - Live Event"),'Ingest Template'!M420&amp; "|DAR|DAR|"&amp;TEXT('Ingest Template'!C420-3, "yyyy-mm-dd")&amp;"|"&amp;TEXT('Ingest Template'!C420+3, "yyyy-mm-dd"),'Ingest Template'!M420&amp; "|DAR|DAR|2021-01-01")),(IF(OR('Ingest Template'!F420 = "Program Type - Special", 'Ingest Template'!F420 = "Program Type - Live Event"),'Ingest Template'!M420&amp; "|Operations - Core Title|Operations - Core Title|"&amp;TEXT('Ingest Template'!C420-3, "yyyy-mm-dd")&amp;"|"&amp;TEXT('Ingest Template'!C420+3, "yyyy-mm-dd"),'Ingest Template'!M420&amp; "|Operations - Core Title|Operations - Core Title")))</f>
        <v>|Operations - Core Title|Operations - Core Title</v>
      </c>
      <c r="AK420" s="35"/>
      <c r="AL420" s="117" t="str">
        <f>if('Ingest Template'!A420="Standard",(IF(OR('Ingest Template'!F420 = "Program Type - Special", 'Ingest Template'!F420 = "Program Type - Live Event"),'Ingest Template'!Q420&amp;"|"&amp;TEXT('Ingest Template'!C420-3, "yyyy-mm-dd")&amp;"|"&amp;TEXT('Ingest Template'!C420+3, "yyyy-mm-dd"),'Ingest Template'!Q420&amp; "|2021-01-01")),(IF(OR('Ingest Template'!F420 = "Program Type - Special", 'Ingest Template'!F420 = "Program Type - Live Event"),'Ingest Template'!Q420&amp; "|"&amp;TEXT('Ingest Template'!C420-3, "yyyy-mm-dd")&amp;"|"&amp;TEXT('Ingest Template'!C420+3, "yyyy-mm-dd"),'Ingest Template'!Q420)))</f>
        <v/>
      </c>
      <c r="AM420" s="35" t="str">
        <f>'Ingest Template'!AC420</f>
        <v/>
      </c>
    </row>
    <row r="421">
      <c r="A421" s="15"/>
      <c r="B421" s="22" t="str">
        <f>'Ingest Template'!C421&amp;IF('Ingest Template'!A421 = "Standard", " - DAR","")</f>
        <v/>
      </c>
      <c r="C421" s="22" t="s">
        <v>83</v>
      </c>
      <c r="D421" s="22" t="str">
        <f t="array" ref="D421">CONCATENATE(INDEX(DropdownLists!$H$2:$H$11,MATCH(1,COUNTIF('Ingest Template'!E421,"*"&amp;DropdownLists!$I$2:$I$11&amp;"*"),0)),CHAR(10),'Ingest Template'!F421,CHAR(10),'Ingest Template'!G421,CHAR(10),VLOOKUP('Ingest Template'!D421,DropdownLists!C:D,2,FALSE))</f>
        <v>#N/A</v>
      </c>
      <c r="E421" s="22" t="str">
        <f>CONCATENATE('Ingest Template'!H421,CHAR(10),'Ingest Template'!I421,CHAR(10),'Ingest Template'!J421,CHAR(10))</f>
        <v>
</v>
      </c>
      <c r="F421" s="35" t="str">
        <f t="array" ref="F421">INDEX(DropdownLists!$O$2:$O$36,MATCH(1,COUNTIF(E421,"*"&amp;DropdownLists!$N$2:$N$36&amp;"*"),0))</f>
        <v/>
      </c>
      <c r="G421" s="35"/>
      <c r="H421" s="22" t="str">
        <f t="array" ref="H421">INDEX(DropdownLists!$E$2:$E$276,MATCH('Ingest Template'!D421,DropdownLists!$C$2:$C$276,0))</f>
        <v>#N/A</v>
      </c>
      <c r="I421" s="22"/>
      <c r="J421" s="22" t="str">
        <f t="array" ref="J421">iF('Ingest Template'!A421="Standard","Pristine Brand",INDEX(DropdownLists!$B$2:$B$246,MATCH('Ingest Template'!D421,DropdownLists!$C$2:$C$246,0)))</f>
        <v>#N/A</v>
      </c>
      <c r="K421" s="22" t="str">
        <f>iF('Ingest Template'!A421="Standard",'Ingest Template'!K421&amp;CHAR(10)&amp;'Ingest Template'!L421,"Competitive View")</f>
        <v>Competitive View</v>
      </c>
      <c r="L421" s="22" t="s">
        <v>95</v>
      </c>
      <c r="M421" s="45" t="str">
        <f>'Ingest Template'!B421</f>
        <v/>
      </c>
      <c r="N421" s="35"/>
      <c r="O421" s="35"/>
      <c r="P421" s="35"/>
      <c r="Q421" s="35"/>
      <c r="R421" s="35" t="str">
        <f>'Ingest Template'!D421</f>
        <v/>
      </c>
      <c r="S421" s="22" t="s">
        <v>101</v>
      </c>
      <c r="T421" s="35" t="str">
        <f>'Ingest Template'!V421</f>
        <v/>
      </c>
      <c r="U421" s="35" t="str">
        <f>'Ingest Template'!W421</f>
        <v/>
      </c>
      <c r="V421" s="35" t="str">
        <f>LOWER(SUBSTITUTE(SUBSTITUTE(SUBSTITUTE(SUBSTITUTE(SUBSTITUTE('Ingest Template'!X421,"https:",""),"www.",""),"/",""),"?hl=en",""),"instagram.com",""))</f>
        <v/>
      </c>
      <c r="W421" s="74" t="str">
        <f t="array" ref="W421">IF(
'Ingest Template'!Y421="",
SUBSTITUTE(
INDEX(DropdownLists!$F$2:$F$277,MATCH('Ingest Template'!D421,DropdownLists!$C$2:$C$277,0)),
CHAR(10),
"|"&amp;'Ingest Template'!C421&amp;CHAR(10)
)&amp;"|"&amp;'Ingest Template'!C421,
SUBSTITUTE(
INDEX(DropdownLists!$F$2:$F$277,MATCH('Ingest Template'!D421,DropdownLists!$C$2:$C$277,0)),
CHAR(10),
"|"&amp;'Ingest Template'!C421&amp;CHAR(10)
)&amp;"|"&amp;'Ingest Template'!C421&amp;CHAR(10)&amp;'Ingest Template'!Y421
)</f>
        <v>#N/A</v>
      </c>
      <c r="X421" s="74" t="str">
        <f>'Ingest Template'!Z421</f>
        <v/>
      </c>
      <c r="Y421" s="35" t="str">
        <f>SUBSTITUTE(SUBSTITUTE(SUBSTITUTE('Ingest Template'!AA421,"http:",""),"https:",""),"/","")</f>
        <v/>
      </c>
      <c r="Z421" s="35" t="str">
        <f t="array" ref="Z421">IF('Ingest Template'!A421="Standard",(IF(ISBLANK('Ingest Template'!AB421),"", 'Ingest Template'!AB421&amp;"|DAR")),(IF(ISBLANK('Ingest Template'!AB421),"", 'Ingest Template'!AB421&amp;"|TV Ops")))</f>
        <v/>
      </c>
      <c r="AA421" s="35"/>
      <c r="AB421" s="35" t="str">
        <f>'Ingest Template'!R421</f>
        <v/>
      </c>
      <c r="AC421" s="35" t="str">
        <f>'Ingest Template'!T421</f>
        <v/>
      </c>
      <c r="AD421" s="35" t="str">
        <f>'Ingest Template'!S421</f>
        <v/>
      </c>
      <c r="AE421" s="35" t="str">
        <f>'Ingest Template'!U421</f>
        <v/>
      </c>
      <c r="AF421" s="22"/>
      <c r="AG421" s="35" t="str">
        <f t="array" ref="AG421">IF('Ingest Template'!A421="Standard",(CONCATENATE(IF(ISBLANK('Ingest Template'!N421),"", 'Ingest Template'!N421&amp;"|DAR"),CHAR(10), IF(ISBLANK('Ingest Template'!O421),"", 'Ingest Template'!O421&amp;"|DAR"),CHAR(10), IF(ISBLANK('Ingest Template'!P421),"", 'Ingest Template'!P421&amp;"|DAR"))),(CONCATENATE(IF(ISBLANK('Ingest Template'!N421),"", 'Ingest Template'!N421&amp;"|TV Ops"),CHAR(10), IF(ISBLANK('Ingest Template'!O421),"", 'Ingest Template'!O421&amp;"|TV Ops"),CHAR(10), IF(ISBLANK('Ingest Template'!P421),"", 'Ingest Template'!P421&amp;"|TV Ops"))))</f>
        <v>
</v>
      </c>
      <c r="AH421" s="35"/>
      <c r="AI421" s="35"/>
      <c r="AJ421" s="117" t="str">
        <f>if('Ingest Template'!A421="Standard",(IF(OR('Ingest Template'!F421 = "Program Type - Special", 'Ingest Template'!F421 = "Program Type - Live Event"),'Ingest Template'!M421&amp; "|DAR|DAR|"&amp;TEXT('Ingest Template'!C421-3, "yyyy-mm-dd")&amp;"|"&amp;TEXT('Ingest Template'!C421+3, "yyyy-mm-dd"),'Ingest Template'!M421&amp; "|DAR|DAR|2021-01-01")),(IF(OR('Ingest Template'!F421 = "Program Type - Special", 'Ingest Template'!F421 = "Program Type - Live Event"),'Ingest Template'!M421&amp; "|Operations - Core Title|Operations - Core Title|"&amp;TEXT('Ingest Template'!C421-3, "yyyy-mm-dd")&amp;"|"&amp;TEXT('Ingest Template'!C421+3, "yyyy-mm-dd"),'Ingest Template'!M421&amp; "|Operations - Core Title|Operations - Core Title")))</f>
        <v>|Operations - Core Title|Operations - Core Title</v>
      </c>
      <c r="AK421" s="35"/>
      <c r="AL421" s="117" t="str">
        <f>if('Ingest Template'!A421="Standard",(IF(OR('Ingest Template'!F421 = "Program Type - Special", 'Ingest Template'!F421 = "Program Type - Live Event"),'Ingest Template'!Q421&amp;"|"&amp;TEXT('Ingest Template'!C421-3, "yyyy-mm-dd")&amp;"|"&amp;TEXT('Ingest Template'!C421+3, "yyyy-mm-dd"),'Ingest Template'!Q421&amp; "|2021-01-01")),(IF(OR('Ingest Template'!F421 = "Program Type - Special", 'Ingest Template'!F421 = "Program Type - Live Event"),'Ingest Template'!Q421&amp; "|"&amp;TEXT('Ingest Template'!C421-3, "yyyy-mm-dd")&amp;"|"&amp;TEXT('Ingest Template'!C421+3, "yyyy-mm-dd"),'Ingest Template'!Q421)))</f>
        <v/>
      </c>
      <c r="AM421" s="35" t="str">
        <f>'Ingest Template'!AC421</f>
        <v/>
      </c>
    </row>
    <row r="422">
      <c r="A422" s="15"/>
      <c r="B422" s="22" t="str">
        <f>'Ingest Template'!C422&amp;IF('Ingest Template'!A422 = "Standard", " - DAR","")</f>
        <v/>
      </c>
      <c r="C422" s="22" t="s">
        <v>83</v>
      </c>
      <c r="D422" s="22" t="str">
        <f t="array" ref="D422">CONCATENATE(INDEX(DropdownLists!$H$2:$H$11,MATCH(1,COUNTIF('Ingest Template'!E422,"*"&amp;DropdownLists!$I$2:$I$11&amp;"*"),0)),CHAR(10),'Ingest Template'!F422,CHAR(10),'Ingest Template'!G422,CHAR(10),VLOOKUP('Ingest Template'!D422,DropdownLists!C:D,2,FALSE))</f>
        <v>#N/A</v>
      </c>
      <c r="E422" s="22" t="str">
        <f>CONCATENATE('Ingest Template'!H422,CHAR(10),'Ingest Template'!I422,CHAR(10),'Ingest Template'!J422,CHAR(10))</f>
        <v>
</v>
      </c>
      <c r="F422" s="35" t="str">
        <f t="array" ref="F422">INDEX(DropdownLists!$O$2:$O$36,MATCH(1,COUNTIF(E422,"*"&amp;DropdownLists!$N$2:$N$36&amp;"*"),0))</f>
        <v/>
      </c>
      <c r="G422" s="35"/>
      <c r="H422" s="22" t="str">
        <f t="array" ref="H422">INDEX(DropdownLists!$E$2:$E$276,MATCH('Ingest Template'!D422,DropdownLists!$C$2:$C$276,0))</f>
        <v>#N/A</v>
      </c>
      <c r="I422" s="22"/>
      <c r="J422" s="22" t="str">
        <f t="array" ref="J422">iF('Ingest Template'!A422="Standard","Pristine Brand",INDEX(DropdownLists!$B$2:$B$246,MATCH('Ingest Template'!D422,DropdownLists!$C$2:$C$246,0)))</f>
        <v>#N/A</v>
      </c>
      <c r="K422" s="22" t="str">
        <f>iF('Ingest Template'!A422="Standard",'Ingest Template'!K422&amp;CHAR(10)&amp;'Ingest Template'!L422,"Competitive View")</f>
        <v>Competitive View</v>
      </c>
      <c r="L422" s="22" t="s">
        <v>95</v>
      </c>
      <c r="M422" s="45" t="str">
        <f>'Ingest Template'!B422</f>
        <v/>
      </c>
      <c r="N422" s="35"/>
      <c r="O422" s="35"/>
      <c r="P422" s="35"/>
      <c r="Q422" s="35"/>
      <c r="R422" s="35" t="str">
        <f>'Ingest Template'!D422</f>
        <v/>
      </c>
      <c r="S422" s="22" t="s">
        <v>101</v>
      </c>
      <c r="T422" s="35" t="str">
        <f>'Ingest Template'!V422</f>
        <v/>
      </c>
      <c r="U422" s="35" t="str">
        <f>'Ingest Template'!W422</f>
        <v/>
      </c>
      <c r="V422" s="35" t="str">
        <f>LOWER(SUBSTITUTE(SUBSTITUTE(SUBSTITUTE(SUBSTITUTE(SUBSTITUTE('Ingest Template'!X422,"https:",""),"www.",""),"/",""),"?hl=en",""),"instagram.com",""))</f>
        <v/>
      </c>
      <c r="W422" s="74" t="str">
        <f t="array" ref="W422">IF(
'Ingest Template'!Y422="",
SUBSTITUTE(
INDEX(DropdownLists!$F$2:$F$277,MATCH('Ingest Template'!D422,DropdownLists!$C$2:$C$277,0)),
CHAR(10),
"|"&amp;'Ingest Template'!C422&amp;CHAR(10)
)&amp;"|"&amp;'Ingest Template'!C422,
SUBSTITUTE(
INDEX(DropdownLists!$F$2:$F$277,MATCH('Ingest Template'!D422,DropdownLists!$C$2:$C$277,0)),
CHAR(10),
"|"&amp;'Ingest Template'!C422&amp;CHAR(10)
)&amp;"|"&amp;'Ingest Template'!C422&amp;CHAR(10)&amp;'Ingest Template'!Y422
)</f>
        <v>#N/A</v>
      </c>
      <c r="X422" s="74" t="str">
        <f>'Ingest Template'!Z422</f>
        <v/>
      </c>
      <c r="Y422" s="35" t="str">
        <f>SUBSTITUTE(SUBSTITUTE(SUBSTITUTE('Ingest Template'!AA422,"http:",""),"https:",""),"/","")</f>
        <v/>
      </c>
      <c r="Z422" s="35" t="str">
        <f t="array" ref="Z422">IF('Ingest Template'!A422="Standard",(IF(ISBLANK('Ingest Template'!AB422),"", 'Ingest Template'!AB422&amp;"|DAR")),(IF(ISBLANK('Ingest Template'!AB422),"", 'Ingest Template'!AB422&amp;"|TV Ops")))</f>
        <v/>
      </c>
      <c r="AA422" s="35"/>
      <c r="AB422" s="35" t="str">
        <f>'Ingest Template'!R422</f>
        <v/>
      </c>
      <c r="AC422" s="35" t="str">
        <f>'Ingest Template'!T422</f>
        <v/>
      </c>
      <c r="AD422" s="35" t="str">
        <f>'Ingest Template'!S422</f>
        <v/>
      </c>
      <c r="AE422" s="35" t="str">
        <f>'Ingest Template'!U422</f>
        <v/>
      </c>
      <c r="AF422" s="22"/>
      <c r="AG422" s="35" t="str">
        <f t="array" ref="AG422">IF('Ingest Template'!A422="Standard",(CONCATENATE(IF(ISBLANK('Ingest Template'!N422),"", 'Ingest Template'!N422&amp;"|DAR"),CHAR(10), IF(ISBLANK('Ingest Template'!O422),"", 'Ingest Template'!O422&amp;"|DAR"),CHAR(10), IF(ISBLANK('Ingest Template'!P422),"", 'Ingest Template'!P422&amp;"|DAR"))),(CONCATENATE(IF(ISBLANK('Ingest Template'!N422),"", 'Ingest Template'!N422&amp;"|TV Ops"),CHAR(10), IF(ISBLANK('Ingest Template'!O422),"", 'Ingest Template'!O422&amp;"|TV Ops"),CHAR(10), IF(ISBLANK('Ingest Template'!P422),"", 'Ingest Template'!P422&amp;"|TV Ops"))))</f>
        <v>
</v>
      </c>
      <c r="AH422" s="35"/>
      <c r="AI422" s="35"/>
      <c r="AJ422" s="117" t="str">
        <f>if('Ingest Template'!A422="Standard",(IF(OR('Ingest Template'!F422 = "Program Type - Special", 'Ingest Template'!F422 = "Program Type - Live Event"),'Ingest Template'!M422&amp; "|DAR|DAR|"&amp;TEXT('Ingest Template'!C422-3, "yyyy-mm-dd")&amp;"|"&amp;TEXT('Ingest Template'!C422+3, "yyyy-mm-dd"),'Ingest Template'!M422&amp; "|DAR|DAR|2021-01-01")),(IF(OR('Ingest Template'!F422 = "Program Type - Special", 'Ingest Template'!F422 = "Program Type - Live Event"),'Ingest Template'!M422&amp; "|Operations - Core Title|Operations - Core Title|"&amp;TEXT('Ingest Template'!C422-3, "yyyy-mm-dd")&amp;"|"&amp;TEXT('Ingest Template'!C422+3, "yyyy-mm-dd"),'Ingest Template'!M422&amp; "|Operations - Core Title|Operations - Core Title")))</f>
        <v>|Operations - Core Title|Operations - Core Title</v>
      </c>
      <c r="AK422" s="35"/>
      <c r="AL422" s="117" t="str">
        <f>if('Ingest Template'!A422="Standard",(IF(OR('Ingest Template'!F422 = "Program Type - Special", 'Ingest Template'!F422 = "Program Type - Live Event"),'Ingest Template'!Q422&amp;"|"&amp;TEXT('Ingest Template'!C422-3, "yyyy-mm-dd")&amp;"|"&amp;TEXT('Ingest Template'!C422+3, "yyyy-mm-dd"),'Ingest Template'!Q422&amp; "|2021-01-01")),(IF(OR('Ingest Template'!F422 = "Program Type - Special", 'Ingest Template'!F422 = "Program Type - Live Event"),'Ingest Template'!Q422&amp; "|"&amp;TEXT('Ingest Template'!C422-3, "yyyy-mm-dd")&amp;"|"&amp;TEXT('Ingest Template'!C422+3, "yyyy-mm-dd"),'Ingest Template'!Q422)))</f>
        <v/>
      </c>
      <c r="AM422" s="35" t="str">
        <f>'Ingest Template'!AC422</f>
        <v/>
      </c>
    </row>
    <row r="423">
      <c r="A423" s="15"/>
      <c r="B423" s="22" t="str">
        <f>'Ingest Template'!C423&amp;IF('Ingest Template'!A423 = "Standard", " - DAR","")</f>
        <v/>
      </c>
      <c r="C423" s="22" t="s">
        <v>83</v>
      </c>
      <c r="D423" s="22" t="str">
        <f t="array" ref="D423">CONCATENATE(INDEX(DropdownLists!$H$2:$H$11,MATCH(1,COUNTIF('Ingest Template'!E423,"*"&amp;DropdownLists!$I$2:$I$11&amp;"*"),0)),CHAR(10),'Ingest Template'!F423,CHAR(10),'Ingest Template'!G423,CHAR(10),VLOOKUP('Ingest Template'!D423,DropdownLists!C:D,2,FALSE))</f>
        <v>#N/A</v>
      </c>
      <c r="E423" s="22" t="str">
        <f>CONCATENATE('Ingest Template'!H423,CHAR(10),'Ingest Template'!I423,CHAR(10),'Ingest Template'!J423,CHAR(10))</f>
        <v>
</v>
      </c>
      <c r="F423" s="35" t="str">
        <f t="array" ref="F423">INDEX(DropdownLists!$O$2:$O$36,MATCH(1,COUNTIF(E423,"*"&amp;DropdownLists!$N$2:$N$36&amp;"*"),0))</f>
        <v/>
      </c>
      <c r="G423" s="35"/>
      <c r="H423" s="22" t="str">
        <f t="array" ref="H423">INDEX(DropdownLists!$E$2:$E$276,MATCH('Ingest Template'!D423,DropdownLists!$C$2:$C$276,0))</f>
        <v>#N/A</v>
      </c>
      <c r="I423" s="22"/>
      <c r="J423" s="22" t="str">
        <f t="array" ref="J423">iF('Ingest Template'!A423="Standard","Pristine Brand",INDEX(DropdownLists!$B$2:$B$246,MATCH('Ingest Template'!D423,DropdownLists!$C$2:$C$246,0)))</f>
        <v>#N/A</v>
      </c>
      <c r="K423" s="22" t="str">
        <f>iF('Ingest Template'!A423="Standard",'Ingest Template'!K423&amp;CHAR(10)&amp;'Ingest Template'!L423,"Competitive View")</f>
        <v>Competitive View</v>
      </c>
      <c r="L423" s="22" t="s">
        <v>95</v>
      </c>
      <c r="M423" s="45" t="str">
        <f>'Ingest Template'!B423</f>
        <v/>
      </c>
      <c r="N423" s="35"/>
      <c r="O423" s="35"/>
      <c r="P423" s="35"/>
      <c r="Q423" s="35"/>
      <c r="R423" s="35" t="str">
        <f>'Ingest Template'!D423</f>
        <v/>
      </c>
      <c r="S423" s="22" t="s">
        <v>101</v>
      </c>
      <c r="T423" s="35" t="str">
        <f>'Ingest Template'!V423</f>
        <v/>
      </c>
      <c r="U423" s="35" t="str">
        <f>'Ingest Template'!W423</f>
        <v/>
      </c>
      <c r="V423" s="35" t="str">
        <f>LOWER(SUBSTITUTE(SUBSTITUTE(SUBSTITUTE(SUBSTITUTE(SUBSTITUTE('Ingest Template'!X423,"https:",""),"www.",""),"/",""),"?hl=en",""),"instagram.com",""))</f>
        <v/>
      </c>
      <c r="W423" s="74" t="str">
        <f t="array" ref="W423">IF(
'Ingest Template'!Y423="",
SUBSTITUTE(
INDEX(DropdownLists!$F$2:$F$277,MATCH('Ingest Template'!D423,DropdownLists!$C$2:$C$277,0)),
CHAR(10),
"|"&amp;'Ingest Template'!C423&amp;CHAR(10)
)&amp;"|"&amp;'Ingest Template'!C423,
SUBSTITUTE(
INDEX(DropdownLists!$F$2:$F$277,MATCH('Ingest Template'!D423,DropdownLists!$C$2:$C$277,0)),
CHAR(10),
"|"&amp;'Ingest Template'!C423&amp;CHAR(10)
)&amp;"|"&amp;'Ingest Template'!C423&amp;CHAR(10)&amp;'Ingest Template'!Y423
)</f>
        <v>#N/A</v>
      </c>
      <c r="X423" s="74" t="str">
        <f>'Ingest Template'!Z423</f>
        <v/>
      </c>
      <c r="Y423" s="35" t="str">
        <f>SUBSTITUTE(SUBSTITUTE(SUBSTITUTE('Ingest Template'!AA423,"http:",""),"https:",""),"/","")</f>
        <v/>
      </c>
      <c r="Z423" s="35" t="str">
        <f t="array" ref="Z423">IF('Ingest Template'!A423="Standard",(IF(ISBLANK('Ingest Template'!AB423),"", 'Ingest Template'!AB423&amp;"|DAR")),(IF(ISBLANK('Ingest Template'!AB423),"", 'Ingest Template'!AB423&amp;"|TV Ops")))</f>
        <v/>
      </c>
      <c r="AA423" s="35"/>
      <c r="AB423" s="35" t="str">
        <f>'Ingest Template'!R423</f>
        <v/>
      </c>
      <c r="AC423" s="35" t="str">
        <f>'Ingest Template'!T423</f>
        <v/>
      </c>
      <c r="AD423" s="35" t="str">
        <f>'Ingest Template'!S423</f>
        <v/>
      </c>
      <c r="AE423" s="35" t="str">
        <f>'Ingest Template'!U423</f>
        <v/>
      </c>
      <c r="AF423" s="22"/>
      <c r="AG423" s="35" t="str">
        <f t="array" ref="AG423">IF('Ingest Template'!A423="Standard",(CONCATENATE(IF(ISBLANK('Ingest Template'!N423),"", 'Ingest Template'!N423&amp;"|DAR"),CHAR(10), IF(ISBLANK('Ingest Template'!O423),"", 'Ingest Template'!O423&amp;"|DAR"),CHAR(10), IF(ISBLANK('Ingest Template'!P423),"", 'Ingest Template'!P423&amp;"|DAR"))),(CONCATENATE(IF(ISBLANK('Ingest Template'!N423),"", 'Ingest Template'!N423&amp;"|TV Ops"),CHAR(10), IF(ISBLANK('Ingest Template'!O423),"", 'Ingest Template'!O423&amp;"|TV Ops"),CHAR(10), IF(ISBLANK('Ingest Template'!P423),"", 'Ingest Template'!P423&amp;"|TV Ops"))))</f>
        <v>
</v>
      </c>
      <c r="AH423" s="35"/>
      <c r="AI423" s="35"/>
      <c r="AJ423" s="117" t="str">
        <f>if('Ingest Template'!A423="Standard",(IF(OR('Ingest Template'!F423 = "Program Type - Special", 'Ingest Template'!F423 = "Program Type - Live Event"),'Ingest Template'!M423&amp; "|DAR|DAR|"&amp;TEXT('Ingest Template'!C423-3, "yyyy-mm-dd")&amp;"|"&amp;TEXT('Ingest Template'!C423+3, "yyyy-mm-dd"),'Ingest Template'!M423&amp; "|DAR|DAR|2021-01-01")),(IF(OR('Ingest Template'!F423 = "Program Type - Special", 'Ingest Template'!F423 = "Program Type - Live Event"),'Ingest Template'!M423&amp; "|Operations - Core Title|Operations - Core Title|"&amp;TEXT('Ingest Template'!C423-3, "yyyy-mm-dd")&amp;"|"&amp;TEXT('Ingest Template'!C423+3, "yyyy-mm-dd"),'Ingest Template'!M423&amp; "|Operations - Core Title|Operations - Core Title")))</f>
        <v>|Operations - Core Title|Operations - Core Title</v>
      </c>
      <c r="AK423" s="35"/>
      <c r="AL423" s="117" t="str">
        <f>if('Ingest Template'!A423="Standard",(IF(OR('Ingest Template'!F423 = "Program Type - Special", 'Ingest Template'!F423 = "Program Type - Live Event"),'Ingest Template'!Q423&amp;"|"&amp;TEXT('Ingest Template'!C423-3, "yyyy-mm-dd")&amp;"|"&amp;TEXT('Ingest Template'!C423+3, "yyyy-mm-dd"),'Ingest Template'!Q423&amp; "|2021-01-01")),(IF(OR('Ingest Template'!F423 = "Program Type - Special", 'Ingest Template'!F423 = "Program Type - Live Event"),'Ingest Template'!Q423&amp; "|"&amp;TEXT('Ingest Template'!C423-3, "yyyy-mm-dd")&amp;"|"&amp;TEXT('Ingest Template'!C423+3, "yyyy-mm-dd"),'Ingest Template'!Q423)))</f>
        <v/>
      </c>
      <c r="AM423" s="35" t="str">
        <f>'Ingest Template'!AC423</f>
        <v/>
      </c>
    </row>
    <row r="424">
      <c r="A424" s="15"/>
      <c r="B424" s="22" t="str">
        <f>'Ingest Template'!C424&amp;IF('Ingest Template'!A424 = "Standard", " - DAR","")</f>
        <v/>
      </c>
      <c r="C424" s="22" t="s">
        <v>83</v>
      </c>
      <c r="D424" s="22" t="str">
        <f t="array" ref="D424">CONCATENATE(INDEX(DropdownLists!$H$2:$H$11,MATCH(1,COUNTIF('Ingest Template'!E424,"*"&amp;DropdownLists!$I$2:$I$11&amp;"*"),0)),CHAR(10),'Ingest Template'!F424,CHAR(10),'Ingest Template'!G424,CHAR(10),VLOOKUP('Ingest Template'!D424,DropdownLists!C:D,2,FALSE))</f>
        <v>#N/A</v>
      </c>
      <c r="E424" s="22" t="str">
        <f>CONCATENATE('Ingest Template'!H424,CHAR(10),'Ingest Template'!I424,CHAR(10),'Ingest Template'!J424,CHAR(10))</f>
        <v>
</v>
      </c>
      <c r="F424" s="35" t="str">
        <f t="array" ref="F424">INDEX(DropdownLists!$O$2:$O$36,MATCH(1,COUNTIF(E424,"*"&amp;DropdownLists!$N$2:$N$36&amp;"*"),0))</f>
        <v/>
      </c>
      <c r="G424" s="35"/>
      <c r="H424" s="22" t="str">
        <f t="array" ref="H424">INDEX(DropdownLists!$E$2:$E$276,MATCH('Ingest Template'!D424,DropdownLists!$C$2:$C$276,0))</f>
        <v>#N/A</v>
      </c>
      <c r="I424" s="22"/>
      <c r="J424" s="22" t="str">
        <f t="array" ref="J424">iF('Ingest Template'!A424="Standard","Pristine Brand",INDEX(DropdownLists!$B$2:$B$246,MATCH('Ingest Template'!D424,DropdownLists!$C$2:$C$246,0)))</f>
        <v>#N/A</v>
      </c>
      <c r="K424" s="22" t="str">
        <f>iF('Ingest Template'!A424="Standard",'Ingest Template'!K424&amp;CHAR(10)&amp;'Ingest Template'!L424,"Competitive View")</f>
        <v>Competitive View</v>
      </c>
      <c r="L424" s="22" t="s">
        <v>95</v>
      </c>
      <c r="M424" s="45" t="str">
        <f>'Ingest Template'!B424</f>
        <v/>
      </c>
      <c r="N424" s="35"/>
      <c r="O424" s="35"/>
      <c r="P424" s="35"/>
      <c r="Q424" s="35"/>
      <c r="R424" s="35" t="str">
        <f>'Ingest Template'!D424</f>
        <v/>
      </c>
      <c r="S424" s="22" t="s">
        <v>101</v>
      </c>
      <c r="T424" s="35" t="str">
        <f>'Ingest Template'!V424</f>
        <v/>
      </c>
      <c r="U424" s="35" t="str">
        <f>'Ingest Template'!W424</f>
        <v/>
      </c>
      <c r="V424" s="35" t="str">
        <f>LOWER(SUBSTITUTE(SUBSTITUTE(SUBSTITUTE(SUBSTITUTE(SUBSTITUTE('Ingest Template'!X424,"https:",""),"www.",""),"/",""),"?hl=en",""),"instagram.com",""))</f>
        <v/>
      </c>
      <c r="W424" s="74" t="str">
        <f t="array" ref="W424">IF(
'Ingest Template'!Y424="",
SUBSTITUTE(
INDEX(DropdownLists!$F$2:$F$277,MATCH('Ingest Template'!D424,DropdownLists!$C$2:$C$277,0)),
CHAR(10),
"|"&amp;'Ingest Template'!C424&amp;CHAR(10)
)&amp;"|"&amp;'Ingest Template'!C424,
SUBSTITUTE(
INDEX(DropdownLists!$F$2:$F$277,MATCH('Ingest Template'!D424,DropdownLists!$C$2:$C$277,0)),
CHAR(10),
"|"&amp;'Ingest Template'!C424&amp;CHAR(10)
)&amp;"|"&amp;'Ingest Template'!C424&amp;CHAR(10)&amp;'Ingest Template'!Y424
)</f>
        <v>#N/A</v>
      </c>
      <c r="X424" s="74" t="str">
        <f>'Ingest Template'!Z424</f>
        <v/>
      </c>
      <c r="Y424" s="35" t="str">
        <f>SUBSTITUTE(SUBSTITUTE(SUBSTITUTE('Ingest Template'!AA424,"http:",""),"https:",""),"/","")</f>
        <v/>
      </c>
      <c r="Z424" s="35" t="str">
        <f t="array" ref="Z424">IF('Ingest Template'!A424="Standard",(IF(ISBLANK('Ingest Template'!AB424),"", 'Ingest Template'!AB424&amp;"|DAR")),(IF(ISBLANK('Ingest Template'!AB424),"", 'Ingest Template'!AB424&amp;"|TV Ops")))</f>
        <v/>
      </c>
      <c r="AA424" s="35"/>
      <c r="AB424" s="35" t="str">
        <f>'Ingest Template'!R424</f>
        <v/>
      </c>
      <c r="AC424" s="35" t="str">
        <f>'Ingest Template'!T424</f>
        <v/>
      </c>
      <c r="AD424" s="35" t="str">
        <f>'Ingest Template'!S424</f>
        <v/>
      </c>
      <c r="AE424" s="35" t="str">
        <f>'Ingest Template'!U424</f>
        <v/>
      </c>
      <c r="AF424" s="22"/>
      <c r="AG424" s="35" t="str">
        <f t="array" ref="AG424">IF('Ingest Template'!A424="Standard",(CONCATENATE(IF(ISBLANK('Ingest Template'!N424),"", 'Ingest Template'!N424&amp;"|DAR"),CHAR(10), IF(ISBLANK('Ingest Template'!O424),"", 'Ingest Template'!O424&amp;"|DAR"),CHAR(10), IF(ISBLANK('Ingest Template'!P424),"", 'Ingest Template'!P424&amp;"|DAR"))),(CONCATENATE(IF(ISBLANK('Ingest Template'!N424),"", 'Ingest Template'!N424&amp;"|TV Ops"),CHAR(10), IF(ISBLANK('Ingest Template'!O424),"", 'Ingest Template'!O424&amp;"|TV Ops"),CHAR(10), IF(ISBLANK('Ingest Template'!P424),"", 'Ingest Template'!P424&amp;"|TV Ops"))))</f>
        <v>
</v>
      </c>
      <c r="AH424" s="35"/>
      <c r="AI424" s="35"/>
      <c r="AJ424" s="117" t="str">
        <f>if('Ingest Template'!A424="Standard",(IF(OR('Ingest Template'!F424 = "Program Type - Special", 'Ingest Template'!F424 = "Program Type - Live Event"),'Ingest Template'!M424&amp; "|DAR|DAR|"&amp;TEXT('Ingest Template'!C424-3, "yyyy-mm-dd")&amp;"|"&amp;TEXT('Ingest Template'!C424+3, "yyyy-mm-dd"),'Ingest Template'!M424&amp; "|DAR|DAR|2021-01-01")),(IF(OR('Ingest Template'!F424 = "Program Type - Special", 'Ingest Template'!F424 = "Program Type - Live Event"),'Ingest Template'!M424&amp; "|Operations - Core Title|Operations - Core Title|"&amp;TEXT('Ingest Template'!C424-3, "yyyy-mm-dd")&amp;"|"&amp;TEXT('Ingest Template'!C424+3, "yyyy-mm-dd"),'Ingest Template'!M424&amp; "|Operations - Core Title|Operations - Core Title")))</f>
        <v>|Operations - Core Title|Operations - Core Title</v>
      </c>
      <c r="AK424" s="35"/>
      <c r="AL424" s="117" t="str">
        <f>if('Ingest Template'!A424="Standard",(IF(OR('Ingest Template'!F424 = "Program Type - Special", 'Ingest Template'!F424 = "Program Type - Live Event"),'Ingest Template'!Q424&amp;"|"&amp;TEXT('Ingest Template'!C424-3, "yyyy-mm-dd")&amp;"|"&amp;TEXT('Ingest Template'!C424+3, "yyyy-mm-dd"),'Ingest Template'!Q424&amp; "|2021-01-01")),(IF(OR('Ingest Template'!F424 = "Program Type - Special", 'Ingest Template'!F424 = "Program Type - Live Event"),'Ingest Template'!Q424&amp; "|"&amp;TEXT('Ingest Template'!C424-3, "yyyy-mm-dd")&amp;"|"&amp;TEXT('Ingest Template'!C424+3, "yyyy-mm-dd"),'Ingest Template'!Q424)))</f>
        <v/>
      </c>
      <c r="AM424" s="35" t="str">
        <f>'Ingest Template'!AC424</f>
        <v/>
      </c>
    </row>
    <row r="425">
      <c r="A425" s="15"/>
      <c r="B425" s="22" t="str">
        <f>'Ingest Template'!C425&amp;IF('Ingest Template'!A425 = "Standard", " - DAR","")</f>
        <v/>
      </c>
      <c r="C425" s="22" t="s">
        <v>83</v>
      </c>
      <c r="D425" s="22" t="str">
        <f t="array" ref="D425">CONCATENATE(INDEX(DropdownLists!$H$2:$H$11,MATCH(1,COUNTIF('Ingest Template'!E425,"*"&amp;DropdownLists!$I$2:$I$11&amp;"*"),0)),CHAR(10),'Ingest Template'!F425,CHAR(10),'Ingest Template'!G425,CHAR(10),VLOOKUP('Ingest Template'!D425,DropdownLists!C:D,2,FALSE))</f>
        <v>#N/A</v>
      </c>
      <c r="E425" s="22" t="str">
        <f>CONCATENATE('Ingest Template'!H425,CHAR(10),'Ingest Template'!I425,CHAR(10),'Ingest Template'!J425,CHAR(10))</f>
        <v>
</v>
      </c>
      <c r="F425" s="35" t="str">
        <f t="array" ref="F425">INDEX(DropdownLists!$O$2:$O$36,MATCH(1,COUNTIF(E425,"*"&amp;DropdownLists!$N$2:$N$36&amp;"*"),0))</f>
        <v/>
      </c>
      <c r="G425" s="35"/>
      <c r="H425" s="22" t="str">
        <f t="array" ref="H425">INDEX(DropdownLists!$E$2:$E$276,MATCH('Ingest Template'!D425,DropdownLists!$C$2:$C$276,0))</f>
        <v>#N/A</v>
      </c>
      <c r="I425" s="22"/>
      <c r="J425" s="22" t="str">
        <f t="array" ref="J425">iF('Ingest Template'!A425="Standard","Pristine Brand",INDEX(DropdownLists!$B$2:$B$246,MATCH('Ingest Template'!D425,DropdownLists!$C$2:$C$246,0)))</f>
        <v>#N/A</v>
      </c>
      <c r="K425" s="22" t="str">
        <f>iF('Ingest Template'!A425="Standard",'Ingest Template'!K425&amp;CHAR(10)&amp;'Ingest Template'!L425,"Competitive View")</f>
        <v>Competitive View</v>
      </c>
      <c r="L425" s="22" t="s">
        <v>95</v>
      </c>
      <c r="M425" s="45" t="str">
        <f>'Ingest Template'!B425</f>
        <v/>
      </c>
      <c r="N425" s="35"/>
      <c r="O425" s="35"/>
      <c r="P425" s="35"/>
      <c r="Q425" s="35"/>
      <c r="R425" s="35" t="str">
        <f>'Ingest Template'!D425</f>
        <v/>
      </c>
      <c r="S425" s="22" t="s">
        <v>101</v>
      </c>
      <c r="T425" s="35" t="str">
        <f>'Ingest Template'!V425</f>
        <v/>
      </c>
      <c r="U425" s="35" t="str">
        <f>'Ingest Template'!W425</f>
        <v/>
      </c>
      <c r="V425" s="35" t="str">
        <f>LOWER(SUBSTITUTE(SUBSTITUTE(SUBSTITUTE(SUBSTITUTE(SUBSTITUTE('Ingest Template'!X425,"https:",""),"www.",""),"/",""),"?hl=en",""),"instagram.com",""))</f>
        <v/>
      </c>
      <c r="W425" s="74" t="str">
        <f t="array" ref="W425">IF(
'Ingest Template'!Y425="",
SUBSTITUTE(
INDEX(DropdownLists!$F$2:$F$277,MATCH('Ingest Template'!D425,DropdownLists!$C$2:$C$277,0)),
CHAR(10),
"|"&amp;'Ingest Template'!C425&amp;CHAR(10)
)&amp;"|"&amp;'Ingest Template'!C425,
SUBSTITUTE(
INDEX(DropdownLists!$F$2:$F$277,MATCH('Ingest Template'!D425,DropdownLists!$C$2:$C$277,0)),
CHAR(10),
"|"&amp;'Ingest Template'!C425&amp;CHAR(10)
)&amp;"|"&amp;'Ingest Template'!C425&amp;CHAR(10)&amp;'Ingest Template'!Y425
)</f>
        <v>#N/A</v>
      </c>
      <c r="X425" s="74" t="str">
        <f>'Ingest Template'!Z425</f>
        <v/>
      </c>
      <c r="Y425" s="35" t="str">
        <f>SUBSTITUTE(SUBSTITUTE(SUBSTITUTE('Ingest Template'!AA425,"http:",""),"https:",""),"/","")</f>
        <v/>
      </c>
      <c r="Z425" s="35" t="str">
        <f t="array" ref="Z425">IF('Ingest Template'!A425="Standard",(IF(ISBLANK('Ingest Template'!AB425),"", 'Ingest Template'!AB425&amp;"|DAR")),(IF(ISBLANK('Ingest Template'!AB425),"", 'Ingest Template'!AB425&amp;"|TV Ops")))</f>
        <v/>
      </c>
      <c r="AA425" s="35"/>
      <c r="AB425" s="35" t="str">
        <f>'Ingest Template'!R425</f>
        <v/>
      </c>
      <c r="AC425" s="35" t="str">
        <f>'Ingest Template'!T425</f>
        <v/>
      </c>
      <c r="AD425" s="35" t="str">
        <f>'Ingest Template'!S425</f>
        <v/>
      </c>
      <c r="AE425" s="35" t="str">
        <f>'Ingest Template'!U425</f>
        <v/>
      </c>
      <c r="AF425" s="22"/>
      <c r="AG425" s="35" t="str">
        <f t="array" ref="AG425">IF('Ingest Template'!A425="Standard",(CONCATENATE(IF(ISBLANK('Ingest Template'!N425),"", 'Ingest Template'!N425&amp;"|DAR"),CHAR(10), IF(ISBLANK('Ingest Template'!O425),"", 'Ingest Template'!O425&amp;"|DAR"),CHAR(10), IF(ISBLANK('Ingest Template'!P425),"", 'Ingest Template'!P425&amp;"|DAR"))),(CONCATENATE(IF(ISBLANK('Ingest Template'!N425),"", 'Ingest Template'!N425&amp;"|TV Ops"),CHAR(10), IF(ISBLANK('Ingest Template'!O425),"", 'Ingest Template'!O425&amp;"|TV Ops"),CHAR(10), IF(ISBLANK('Ingest Template'!P425),"", 'Ingest Template'!P425&amp;"|TV Ops"))))</f>
        <v>
</v>
      </c>
      <c r="AH425" s="35"/>
      <c r="AI425" s="35"/>
      <c r="AJ425" s="117" t="str">
        <f>if('Ingest Template'!A425="Standard",(IF(OR('Ingest Template'!F425 = "Program Type - Special", 'Ingest Template'!F425 = "Program Type - Live Event"),'Ingest Template'!M425&amp; "|DAR|DAR|"&amp;TEXT('Ingest Template'!C425-3, "yyyy-mm-dd")&amp;"|"&amp;TEXT('Ingest Template'!C425+3, "yyyy-mm-dd"),'Ingest Template'!M425&amp; "|DAR|DAR|2021-01-01")),(IF(OR('Ingest Template'!F425 = "Program Type - Special", 'Ingest Template'!F425 = "Program Type - Live Event"),'Ingest Template'!M425&amp; "|Operations - Core Title|Operations - Core Title|"&amp;TEXT('Ingest Template'!C425-3, "yyyy-mm-dd")&amp;"|"&amp;TEXT('Ingest Template'!C425+3, "yyyy-mm-dd"),'Ingest Template'!M425&amp; "|Operations - Core Title|Operations - Core Title")))</f>
        <v>|Operations - Core Title|Operations - Core Title</v>
      </c>
      <c r="AK425" s="35"/>
      <c r="AL425" s="117" t="str">
        <f>if('Ingest Template'!A425="Standard",(IF(OR('Ingest Template'!F425 = "Program Type - Special", 'Ingest Template'!F425 = "Program Type - Live Event"),'Ingest Template'!Q425&amp;"|"&amp;TEXT('Ingest Template'!C425-3, "yyyy-mm-dd")&amp;"|"&amp;TEXT('Ingest Template'!C425+3, "yyyy-mm-dd"),'Ingest Template'!Q425&amp; "|2021-01-01")),(IF(OR('Ingest Template'!F425 = "Program Type - Special", 'Ingest Template'!F425 = "Program Type - Live Event"),'Ingest Template'!Q425&amp; "|"&amp;TEXT('Ingest Template'!C425-3, "yyyy-mm-dd")&amp;"|"&amp;TEXT('Ingest Template'!C425+3, "yyyy-mm-dd"),'Ingest Template'!Q425)))</f>
        <v/>
      </c>
      <c r="AM425" s="35" t="str">
        <f>'Ingest Template'!AC425</f>
        <v/>
      </c>
    </row>
    <row r="426">
      <c r="A426" s="15"/>
      <c r="B426" s="22" t="str">
        <f>'Ingest Template'!C426&amp;IF('Ingest Template'!A426 = "Standard", " - DAR","")</f>
        <v/>
      </c>
      <c r="C426" s="22" t="s">
        <v>83</v>
      </c>
      <c r="D426" s="22" t="str">
        <f t="array" ref="D426">CONCATENATE(INDEX(DropdownLists!$H$2:$H$11,MATCH(1,COUNTIF('Ingest Template'!E426,"*"&amp;DropdownLists!$I$2:$I$11&amp;"*"),0)),CHAR(10),'Ingest Template'!F426,CHAR(10),'Ingest Template'!G426,CHAR(10),VLOOKUP('Ingest Template'!D426,DropdownLists!C:D,2,FALSE))</f>
        <v>#N/A</v>
      </c>
      <c r="E426" s="22" t="str">
        <f>CONCATENATE('Ingest Template'!H426,CHAR(10),'Ingest Template'!I426,CHAR(10),'Ingest Template'!J426,CHAR(10))</f>
        <v>
</v>
      </c>
      <c r="F426" s="35" t="str">
        <f t="array" ref="F426">INDEX(DropdownLists!$O$2:$O$36,MATCH(1,COUNTIF(E426,"*"&amp;DropdownLists!$N$2:$N$36&amp;"*"),0))</f>
        <v/>
      </c>
      <c r="G426" s="35"/>
      <c r="H426" s="22" t="str">
        <f t="array" ref="H426">INDEX(DropdownLists!$E$2:$E$276,MATCH('Ingest Template'!D426,DropdownLists!$C$2:$C$276,0))</f>
        <v>#N/A</v>
      </c>
      <c r="I426" s="22"/>
      <c r="J426" s="22" t="str">
        <f t="array" ref="J426">iF('Ingest Template'!A426="Standard","Pristine Brand",INDEX(DropdownLists!$B$2:$B$246,MATCH('Ingest Template'!D426,DropdownLists!$C$2:$C$246,0)))</f>
        <v>#N/A</v>
      </c>
      <c r="K426" s="22" t="str">
        <f>iF('Ingest Template'!A426="Standard",'Ingest Template'!K426&amp;CHAR(10)&amp;'Ingest Template'!L426,"Competitive View")</f>
        <v>Competitive View</v>
      </c>
      <c r="L426" s="22" t="s">
        <v>95</v>
      </c>
      <c r="M426" s="45" t="str">
        <f>'Ingest Template'!B426</f>
        <v/>
      </c>
      <c r="N426" s="35"/>
      <c r="O426" s="35"/>
      <c r="P426" s="35"/>
      <c r="Q426" s="35"/>
      <c r="R426" s="35" t="str">
        <f>'Ingest Template'!D426</f>
        <v/>
      </c>
      <c r="S426" s="22" t="s">
        <v>101</v>
      </c>
      <c r="T426" s="35" t="str">
        <f>'Ingest Template'!V426</f>
        <v/>
      </c>
      <c r="U426" s="35" t="str">
        <f>'Ingest Template'!W426</f>
        <v/>
      </c>
      <c r="V426" s="35" t="str">
        <f>LOWER(SUBSTITUTE(SUBSTITUTE(SUBSTITUTE(SUBSTITUTE(SUBSTITUTE('Ingest Template'!X426,"https:",""),"www.",""),"/",""),"?hl=en",""),"instagram.com",""))</f>
        <v/>
      </c>
      <c r="W426" s="74" t="str">
        <f t="array" ref="W426">IF(
'Ingest Template'!Y426="",
SUBSTITUTE(
INDEX(DropdownLists!$F$2:$F$277,MATCH('Ingest Template'!D426,DropdownLists!$C$2:$C$277,0)),
CHAR(10),
"|"&amp;'Ingest Template'!C426&amp;CHAR(10)
)&amp;"|"&amp;'Ingest Template'!C426,
SUBSTITUTE(
INDEX(DropdownLists!$F$2:$F$277,MATCH('Ingest Template'!D426,DropdownLists!$C$2:$C$277,0)),
CHAR(10),
"|"&amp;'Ingest Template'!C426&amp;CHAR(10)
)&amp;"|"&amp;'Ingest Template'!C426&amp;CHAR(10)&amp;'Ingest Template'!Y426
)</f>
        <v>#N/A</v>
      </c>
      <c r="X426" s="74" t="str">
        <f>'Ingest Template'!Z426</f>
        <v/>
      </c>
      <c r="Y426" s="35" t="str">
        <f>SUBSTITUTE(SUBSTITUTE(SUBSTITUTE('Ingest Template'!AA426,"http:",""),"https:",""),"/","")</f>
        <v/>
      </c>
      <c r="Z426" s="35" t="str">
        <f t="array" ref="Z426">IF('Ingest Template'!A426="Standard",(IF(ISBLANK('Ingest Template'!AB426),"", 'Ingest Template'!AB426&amp;"|DAR")),(IF(ISBLANK('Ingest Template'!AB426),"", 'Ingest Template'!AB426&amp;"|TV Ops")))</f>
        <v/>
      </c>
      <c r="AA426" s="35"/>
      <c r="AB426" s="35" t="str">
        <f>'Ingest Template'!R426</f>
        <v/>
      </c>
      <c r="AC426" s="35" t="str">
        <f>'Ingest Template'!T426</f>
        <v/>
      </c>
      <c r="AD426" s="35" t="str">
        <f>'Ingest Template'!S426</f>
        <v/>
      </c>
      <c r="AE426" s="35" t="str">
        <f>'Ingest Template'!U426</f>
        <v/>
      </c>
      <c r="AF426" s="22"/>
      <c r="AG426" s="35" t="str">
        <f t="array" ref="AG426">IF('Ingest Template'!A426="Standard",(CONCATENATE(IF(ISBLANK('Ingest Template'!N426),"", 'Ingest Template'!N426&amp;"|DAR"),CHAR(10), IF(ISBLANK('Ingest Template'!O426),"", 'Ingest Template'!O426&amp;"|DAR"),CHAR(10), IF(ISBLANK('Ingest Template'!P426),"", 'Ingest Template'!P426&amp;"|DAR"))),(CONCATENATE(IF(ISBLANK('Ingest Template'!N426),"", 'Ingest Template'!N426&amp;"|TV Ops"),CHAR(10), IF(ISBLANK('Ingest Template'!O426),"", 'Ingest Template'!O426&amp;"|TV Ops"),CHAR(10), IF(ISBLANK('Ingest Template'!P426),"", 'Ingest Template'!P426&amp;"|TV Ops"))))</f>
        <v>
</v>
      </c>
      <c r="AH426" s="35"/>
      <c r="AI426" s="35"/>
      <c r="AJ426" s="117" t="str">
        <f>if('Ingest Template'!A426="Standard",(IF(OR('Ingest Template'!F426 = "Program Type - Special", 'Ingest Template'!F426 = "Program Type - Live Event"),'Ingest Template'!M426&amp; "|DAR|DAR|"&amp;TEXT('Ingest Template'!C426-3, "yyyy-mm-dd")&amp;"|"&amp;TEXT('Ingest Template'!C426+3, "yyyy-mm-dd"),'Ingest Template'!M426&amp; "|DAR|DAR|2021-01-01")),(IF(OR('Ingest Template'!F426 = "Program Type - Special", 'Ingest Template'!F426 = "Program Type - Live Event"),'Ingest Template'!M426&amp; "|Operations - Core Title|Operations - Core Title|"&amp;TEXT('Ingest Template'!C426-3, "yyyy-mm-dd")&amp;"|"&amp;TEXT('Ingest Template'!C426+3, "yyyy-mm-dd"),'Ingest Template'!M426&amp; "|Operations - Core Title|Operations - Core Title")))</f>
        <v>|Operations - Core Title|Operations - Core Title</v>
      </c>
      <c r="AK426" s="35"/>
      <c r="AL426" s="117" t="str">
        <f>if('Ingest Template'!A426="Standard",(IF(OR('Ingest Template'!F426 = "Program Type - Special", 'Ingest Template'!F426 = "Program Type - Live Event"),'Ingest Template'!Q426&amp;"|"&amp;TEXT('Ingest Template'!C426-3, "yyyy-mm-dd")&amp;"|"&amp;TEXT('Ingest Template'!C426+3, "yyyy-mm-dd"),'Ingest Template'!Q426&amp; "|2021-01-01")),(IF(OR('Ingest Template'!F426 = "Program Type - Special", 'Ingest Template'!F426 = "Program Type - Live Event"),'Ingest Template'!Q426&amp; "|"&amp;TEXT('Ingest Template'!C426-3, "yyyy-mm-dd")&amp;"|"&amp;TEXT('Ingest Template'!C426+3, "yyyy-mm-dd"),'Ingest Template'!Q426)))</f>
        <v/>
      </c>
      <c r="AM426" s="35" t="str">
        <f>'Ingest Template'!AC426</f>
        <v/>
      </c>
    </row>
    <row r="427">
      <c r="A427" s="15"/>
      <c r="B427" s="22" t="str">
        <f>'Ingest Template'!C427&amp;IF('Ingest Template'!A427 = "Standard", " - DAR","")</f>
        <v/>
      </c>
      <c r="C427" s="22" t="s">
        <v>83</v>
      </c>
      <c r="D427" s="22" t="str">
        <f t="array" ref="D427">CONCATENATE(INDEX(DropdownLists!$H$2:$H$11,MATCH(1,COUNTIF('Ingest Template'!E427,"*"&amp;DropdownLists!$I$2:$I$11&amp;"*"),0)),CHAR(10),'Ingest Template'!F427,CHAR(10),'Ingest Template'!G427,CHAR(10),VLOOKUP('Ingest Template'!D427,DropdownLists!C:D,2,FALSE))</f>
        <v>#N/A</v>
      </c>
      <c r="E427" s="22" t="str">
        <f>CONCATENATE('Ingest Template'!H427,CHAR(10),'Ingest Template'!I427,CHAR(10),'Ingest Template'!J427,CHAR(10))</f>
        <v>
</v>
      </c>
      <c r="F427" s="35" t="str">
        <f t="array" ref="F427">INDEX(DropdownLists!$O$2:$O$36,MATCH(1,COUNTIF(E427,"*"&amp;DropdownLists!$N$2:$N$36&amp;"*"),0))</f>
        <v/>
      </c>
      <c r="G427" s="35"/>
      <c r="H427" s="22" t="str">
        <f t="array" ref="H427">INDEX(DropdownLists!$E$2:$E$276,MATCH('Ingest Template'!D427,DropdownLists!$C$2:$C$276,0))</f>
        <v>#N/A</v>
      </c>
      <c r="I427" s="22"/>
      <c r="J427" s="22" t="str">
        <f t="array" ref="J427">iF('Ingest Template'!A427="Standard","Pristine Brand",INDEX(DropdownLists!$B$2:$B$246,MATCH('Ingest Template'!D427,DropdownLists!$C$2:$C$246,0)))</f>
        <v>#N/A</v>
      </c>
      <c r="K427" s="22" t="str">
        <f>iF('Ingest Template'!A427="Standard",'Ingest Template'!K427&amp;CHAR(10)&amp;'Ingest Template'!L427,"Competitive View")</f>
        <v>Competitive View</v>
      </c>
      <c r="L427" s="22" t="s">
        <v>95</v>
      </c>
      <c r="M427" s="45" t="str">
        <f>'Ingest Template'!B427</f>
        <v/>
      </c>
      <c r="N427" s="35"/>
      <c r="O427" s="35"/>
      <c r="P427" s="35"/>
      <c r="Q427" s="35"/>
      <c r="R427" s="35" t="str">
        <f>'Ingest Template'!D427</f>
        <v/>
      </c>
      <c r="S427" s="22" t="s">
        <v>101</v>
      </c>
      <c r="T427" s="35" t="str">
        <f>'Ingest Template'!V427</f>
        <v/>
      </c>
      <c r="U427" s="35" t="str">
        <f>'Ingest Template'!W427</f>
        <v/>
      </c>
      <c r="V427" s="35" t="str">
        <f>LOWER(SUBSTITUTE(SUBSTITUTE(SUBSTITUTE(SUBSTITUTE(SUBSTITUTE('Ingest Template'!X427,"https:",""),"www.",""),"/",""),"?hl=en",""),"instagram.com",""))</f>
        <v/>
      </c>
      <c r="W427" s="74" t="str">
        <f t="array" ref="W427">IF(
'Ingest Template'!Y427="",
SUBSTITUTE(
INDEX(DropdownLists!$F$2:$F$277,MATCH('Ingest Template'!D427,DropdownLists!$C$2:$C$277,0)),
CHAR(10),
"|"&amp;'Ingest Template'!C427&amp;CHAR(10)
)&amp;"|"&amp;'Ingest Template'!C427,
SUBSTITUTE(
INDEX(DropdownLists!$F$2:$F$277,MATCH('Ingest Template'!D427,DropdownLists!$C$2:$C$277,0)),
CHAR(10),
"|"&amp;'Ingest Template'!C427&amp;CHAR(10)
)&amp;"|"&amp;'Ingest Template'!C427&amp;CHAR(10)&amp;'Ingest Template'!Y427
)</f>
        <v>#N/A</v>
      </c>
      <c r="X427" s="74" t="str">
        <f>'Ingest Template'!Z427</f>
        <v/>
      </c>
      <c r="Y427" s="35" t="str">
        <f>SUBSTITUTE(SUBSTITUTE(SUBSTITUTE('Ingest Template'!AA427,"http:",""),"https:",""),"/","")</f>
        <v/>
      </c>
      <c r="Z427" s="35" t="str">
        <f t="array" ref="Z427">IF('Ingest Template'!A427="Standard",(IF(ISBLANK('Ingest Template'!AB427),"", 'Ingest Template'!AB427&amp;"|DAR")),(IF(ISBLANK('Ingest Template'!AB427),"", 'Ingest Template'!AB427&amp;"|TV Ops")))</f>
        <v/>
      </c>
      <c r="AA427" s="35"/>
      <c r="AB427" s="35" t="str">
        <f>'Ingest Template'!R427</f>
        <v/>
      </c>
      <c r="AC427" s="35" t="str">
        <f>'Ingest Template'!T427</f>
        <v/>
      </c>
      <c r="AD427" s="35" t="str">
        <f>'Ingest Template'!S427</f>
        <v/>
      </c>
      <c r="AE427" s="35" t="str">
        <f>'Ingest Template'!U427</f>
        <v/>
      </c>
      <c r="AF427" s="22"/>
      <c r="AG427" s="35" t="str">
        <f t="array" ref="AG427">IF('Ingest Template'!A427="Standard",(CONCATENATE(IF(ISBLANK('Ingest Template'!N427),"", 'Ingest Template'!N427&amp;"|DAR"),CHAR(10), IF(ISBLANK('Ingest Template'!O427),"", 'Ingest Template'!O427&amp;"|DAR"),CHAR(10), IF(ISBLANK('Ingest Template'!P427),"", 'Ingest Template'!P427&amp;"|DAR"))),(CONCATENATE(IF(ISBLANK('Ingest Template'!N427),"", 'Ingest Template'!N427&amp;"|TV Ops"),CHAR(10), IF(ISBLANK('Ingest Template'!O427),"", 'Ingest Template'!O427&amp;"|TV Ops"),CHAR(10), IF(ISBLANK('Ingest Template'!P427),"", 'Ingest Template'!P427&amp;"|TV Ops"))))</f>
        <v>
</v>
      </c>
      <c r="AH427" s="35"/>
      <c r="AI427" s="35"/>
      <c r="AJ427" s="117" t="str">
        <f>if('Ingest Template'!A427="Standard",(IF(OR('Ingest Template'!F427 = "Program Type - Special", 'Ingest Template'!F427 = "Program Type - Live Event"),'Ingest Template'!M427&amp; "|DAR|DAR|"&amp;TEXT('Ingest Template'!C427-3, "yyyy-mm-dd")&amp;"|"&amp;TEXT('Ingest Template'!C427+3, "yyyy-mm-dd"),'Ingest Template'!M427&amp; "|DAR|DAR|2021-01-01")),(IF(OR('Ingest Template'!F427 = "Program Type - Special", 'Ingest Template'!F427 = "Program Type - Live Event"),'Ingest Template'!M427&amp; "|Operations - Core Title|Operations - Core Title|"&amp;TEXT('Ingest Template'!C427-3, "yyyy-mm-dd")&amp;"|"&amp;TEXT('Ingest Template'!C427+3, "yyyy-mm-dd"),'Ingest Template'!M427&amp; "|Operations - Core Title|Operations - Core Title")))</f>
        <v>|Operations - Core Title|Operations - Core Title</v>
      </c>
      <c r="AK427" s="35"/>
      <c r="AL427" s="117" t="str">
        <f>if('Ingest Template'!A427="Standard",(IF(OR('Ingest Template'!F427 = "Program Type - Special", 'Ingest Template'!F427 = "Program Type - Live Event"),'Ingest Template'!Q427&amp;"|"&amp;TEXT('Ingest Template'!C427-3, "yyyy-mm-dd")&amp;"|"&amp;TEXT('Ingest Template'!C427+3, "yyyy-mm-dd"),'Ingest Template'!Q427&amp; "|2021-01-01")),(IF(OR('Ingest Template'!F427 = "Program Type - Special", 'Ingest Template'!F427 = "Program Type - Live Event"),'Ingest Template'!Q427&amp; "|"&amp;TEXT('Ingest Template'!C427-3, "yyyy-mm-dd")&amp;"|"&amp;TEXT('Ingest Template'!C427+3, "yyyy-mm-dd"),'Ingest Template'!Q427)))</f>
        <v/>
      </c>
      <c r="AM427" s="35" t="str">
        <f>'Ingest Template'!AC427</f>
        <v/>
      </c>
    </row>
    <row r="428">
      <c r="A428" s="15"/>
      <c r="B428" s="22" t="str">
        <f>'Ingest Template'!C428&amp;IF('Ingest Template'!A428 = "Standard", " - DAR","")</f>
        <v/>
      </c>
      <c r="C428" s="22" t="s">
        <v>83</v>
      </c>
      <c r="D428" s="22" t="str">
        <f t="array" ref="D428">CONCATENATE(INDEX(DropdownLists!$H$2:$H$11,MATCH(1,COUNTIF('Ingest Template'!E428,"*"&amp;DropdownLists!$I$2:$I$11&amp;"*"),0)),CHAR(10),'Ingest Template'!F428,CHAR(10),'Ingest Template'!G428,CHAR(10),VLOOKUP('Ingest Template'!D428,DropdownLists!C:D,2,FALSE))</f>
        <v>#N/A</v>
      </c>
      <c r="E428" s="22" t="str">
        <f>CONCATENATE('Ingest Template'!H428,CHAR(10),'Ingest Template'!I428,CHAR(10),'Ingest Template'!J428,CHAR(10))</f>
        <v>
</v>
      </c>
      <c r="F428" s="35" t="str">
        <f t="array" ref="F428">INDEX(DropdownLists!$O$2:$O$36,MATCH(1,COUNTIF(E428,"*"&amp;DropdownLists!$N$2:$N$36&amp;"*"),0))</f>
        <v/>
      </c>
      <c r="G428" s="35"/>
      <c r="H428" s="22" t="str">
        <f t="array" ref="H428">INDEX(DropdownLists!$E$2:$E$276,MATCH('Ingest Template'!D428,DropdownLists!$C$2:$C$276,0))</f>
        <v>#N/A</v>
      </c>
      <c r="I428" s="22"/>
      <c r="J428" s="22" t="str">
        <f t="array" ref="J428">iF('Ingest Template'!A428="Standard","Pristine Brand",INDEX(DropdownLists!$B$2:$B$246,MATCH('Ingest Template'!D428,DropdownLists!$C$2:$C$246,0)))</f>
        <v>#N/A</v>
      </c>
      <c r="K428" s="22" t="str">
        <f>iF('Ingest Template'!A428="Standard",'Ingest Template'!K428&amp;CHAR(10)&amp;'Ingest Template'!L428,"Competitive View")</f>
        <v>Competitive View</v>
      </c>
      <c r="L428" s="22" t="s">
        <v>95</v>
      </c>
      <c r="M428" s="45" t="str">
        <f>'Ingest Template'!B428</f>
        <v/>
      </c>
      <c r="N428" s="35"/>
      <c r="O428" s="35"/>
      <c r="P428" s="35"/>
      <c r="Q428" s="35"/>
      <c r="R428" s="35" t="str">
        <f>'Ingest Template'!D428</f>
        <v/>
      </c>
      <c r="S428" s="22" t="s">
        <v>101</v>
      </c>
      <c r="T428" s="35" t="str">
        <f>'Ingest Template'!V428</f>
        <v/>
      </c>
      <c r="U428" s="35" t="str">
        <f>'Ingest Template'!W428</f>
        <v/>
      </c>
      <c r="V428" s="35" t="str">
        <f>LOWER(SUBSTITUTE(SUBSTITUTE(SUBSTITUTE(SUBSTITUTE(SUBSTITUTE('Ingest Template'!X428,"https:",""),"www.",""),"/",""),"?hl=en",""),"instagram.com",""))</f>
        <v/>
      </c>
      <c r="W428" s="74" t="str">
        <f t="array" ref="W428">IF(
'Ingest Template'!Y428="",
SUBSTITUTE(
INDEX(DropdownLists!$F$2:$F$277,MATCH('Ingest Template'!D428,DropdownLists!$C$2:$C$277,0)),
CHAR(10),
"|"&amp;'Ingest Template'!C428&amp;CHAR(10)
)&amp;"|"&amp;'Ingest Template'!C428,
SUBSTITUTE(
INDEX(DropdownLists!$F$2:$F$277,MATCH('Ingest Template'!D428,DropdownLists!$C$2:$C$277,0)),
CHAR(10),
"|"&amp;'Ingest Template'!C428&amp;CHAR(10)
)&amp;"|"&amp;'Ingest Template'!C428&amp;CHAR(10)&amp;'Ingest Template'!Y428
)</f>
        <v>#N/A</v>
      </c>
      <c r="X428" s="74" t="str">
        <f>'Ingest Template'!Z428</f>
        <v/>
      </c>
      <c r="Y428" s="35" t="str">
        <f>SUBSTITUTE(SUBSTITUTE(SUBSTITUTE('Ingest Template'!AA428,"http:",""),"https:",""),"/","")</f>
        <v/>
      </c>
      <c r="Z428" s="35" t="str">
        <f t="array" ref="Z428">IF('Ingest Template'!A428="Standard",(IF(ISBLANK('Ingest Template'!AB428),"", 'Ingest Template'!AB428&amp;"|DAR")),(IF(ISBLANK('Ingest Template'!AB428),"", 'Ingest Template'!AB428&amp;"|TV Ops")))</f>
        <v/>
      </c>
      <c r="AA428" s="35"/>
      <c r="AB428" s="35" t="str">
        <f>'Ingest Template'!R428</f>
        <v/>
      </c>
      <c r="AC428" s="35" t="str">
        <f>'Ingest Template'!T428</f>
        <v/>
      </c>
      <c r="AD428" s="35" t="str">
        <f>'Ingest Template'!S428</f>
        <v/>
      </c>
      <c r="AE428" s="35" t="str">
        <f>'Ingest Template'!U428</f>
        <v/>
      </c>
      <c r="AF428" s="22"/>
      <c r="AG428" s="35" t="str">
        <f t="array" ref="AG428">IF('Ingest Template'!A428="Standard",(CONCATENATE(IF(ISBLANK('Ingest Template'!N428),"", 'Ingest Template'!N428&amp;"|DAR"),CHAR(10), IF(ISBLANK('Ingest Template'!O428),"", 'Ingest Template'!O428&amp;"|DAR"),CHAR(10), IF(ISBLANK('Ingest Template'!P428),"", 'Ingest Template'!P428&amp;"|DAR"))),(CONCATENATE(IF(ISBLANK('Ingest Template'!N428),"", 'Ingest Template'!N428&amp;"|TV Ops"),CHAR(10), IF(ISBLANK('Ingest Template'!O428),"", 'Ingest Template'!O428&amp;"|TV Ops"),CHAR(10), IF(ISBLANK('Ingest Template'!P428),"", 'Ingest Template'!P428&amp;"|TV Ops"))))</f>
        <v>
</v>
      </c>
      <c r="AH428" s="35"/>
      <c r="AI428" s="35"/>
      <c r="AJ428" s="117" t="str">
        <f>if('Ingest Template'!A428="Standard",(IF(OR('Ingest Template'!F428 = "Program Type - Special", 'Ingest Template'!F428 = "Program Type - Live Event"),'Ingest Template'!M428&amp; "|DAR|DAR|"&amp;TEXT('Ingest Template'!C428-3, "yyyy-mm-dd")&amp;"|"&amp;TEXT('Ingest Template'!C428+3, "yyyy-mm-dd"),'Ingest Template'!M428&amp; "|DAR|DAR|2021-01-01")),(IF(OR('Ingest Template'!F428 = "Program Type - Special", 'Ingest Template'!F428 = "Program Type - Live Event"),'Ingest Template'!M428&amp; "|Operations - Core Title|Operations - Core Title|"&amp;TEXT('Ingest Template'!C428-3, "yyyy-mm-dd")&amp;"|"&amp;TEXT('Ingest Template'!C428+3, "yyyy-mm-dd"),'Ingest Template'!M428&amp; "|Operations - Core Title|Operations - Core Title")))</f>
        <v>|Operations - Core Title|Operations - Core Title</v>
      </c>
      <c r="AK428" s="35"/>
      <c r="AL428" s="117" t="str">
        <f>if('Ingest Template'!A428="Standard",(IF(OR('Ingest Template'!F428 = "Program Type - Special", 'Ingest Template'!F428 = "Program Type - Live Event"),'Ingest Template'!Q428&amp;"|"&amp;TEXT('Ingest Template'!C428-3, "yyyy-mm-dd")&amp;"|"&amp;TEXT('Ingest Template'!C428+3, "yyyy-mm-dd"),'Ingest Template'!Q428&amp; "|2021-01-01")),(IF(OR('Ingest Template'!F428 = "Program Type - Special", 'Ingest Template'!F428 = "Program Type - Live Event"),'Ingest Template'!Q428&amp; "|"&amp;TEXT('Ingest Template'!C428-3, "yyyy-mm-dd")&amp;"|"&amp;TEXT('Ingest Template'!C428+3, "yyyy-mm-dd"),'Ingest Template'!Q428)))</f>
        <v/>
      </c>
      <c r="AM428" s="35" t="str">
        <f>'Ingest Template'!AC428</f>
        <v/>
      </c>
    </row>
    <row r="429">
      <c r="A429" s="15"/>
      <c r="B429" s="22" t="str">
        <f>'Ingest Template'!C429&amp;IF('Ingest Template'!A429 = "Standard", " - DAR","")</f>
        <v/>
      </c>
      <c r="C429" s="22" t="s">
        <v>83</v>
      </c>
      <c r="D429" s="22" t="str">
        <f t="array" ref="D429">CONCATENATE(INDEX(DropdownLists!$H$2:$H$11,MATCH(1,COUNTIF('Ingest Template'!E429,"*"&amp;DropdownLists!$I$2:$I$11&amp;"*"),0)),CHAR(10),'Ingest Template'!F429,CHAR(10),'Ingest Template'!G429,CHAR(10),VLOOKUP('Ingest Template'!D429,DropdownLists!C:D,2,FALSE))</f>
        <v>#N/A</v>
      </c>
      <c r="E429" s="22" t="str">
        <f>CONCATENATE('Ingest Template'!H429,CHAR(10),'Ingest Template'!I429,CHAR(10),'Ingest Template'!J429,CHAR(10))</f>
        <v>
</v>
      </c>
      <c r="F429" s="35" t="str">
        <f t="array" ref="F429">INDEX(DropdownLists!$O$2:$O$36,MATCH(1,COUNTIF(E429,"*"&amp;DropdownLists!$N$2:$N$36&amp;"*"),0))</f>
        <v/>
      </c>
      <c r="G429" s="35"/>
      <c r="H429" s="22" t="str">
        <f t="array" ref="H429">INDEX(DropdownLists!$E$2:$E$276,MATCH('Ingest Template'!D429,DropdownLists!$C$2:$C$276,0))</f>
        <v>#N/A</v>
      </c>
      <c r="I429" s="22"/>
      <c r="J429" s="22" t="str">
        <f t="array" ref="J429">iF('Ingest Template'!A429="Standard","Pristine Brand",INDEX(DropdownLists!$B$2:$B$246,MATCH('Ingest Template'!D429,DropdownLists!$C$2:$C$246,0)))</f>
        <v>#N/A</v>
      </c>
      <c r="K429" s="22" t="str">
        <f>iF('Ingest Template'!A429="Standard",'Ingest Template'!K429&amp;CHAR(10)&amp;'Ingest Template'!L429,"Competitive View")</f>
        <v>Competitive View</v>
      </c>
      <c r="L429" s="22" t="s">
        <v>95</v>
      </c>
      <c r="M429" s="45" t="str">
        <f>'Ingest Template'!B429</f>
        <v/>
      </c>
      <c r="N429" s="35"/>
      <c r="O429" s="35"/>
      <c r="P429" s="35"/>
      <c r="Q429" s="35"/>
      <c r="R429" s="35" t="str">
        <f>'Ingest Template'!D429</f>
        <v/>
      </c>
      <c r="S429" s="22" t="s">
        <v>101</v>
      </c>
      <c r="T429" s="35" t="str">
        <f>'Ingest Template'!V429</f>
        <v/>
      </c>
      <c r="U429" s="35" t="str">
        <f>'Ingest Template'!W429</f>
        <v/>
      </c>
      <c r="V429" s="35" t="str">
        <f>LOWER(SUBSTITUTE(SUBSTITUTE(SUBSTITUTE(SUBSTITUTE(SUBSTITUTE('Ingest Template'!X429,"https:",""),"www.",""),"/",""),"?hl=en",""),"instagram.com",""))</f>
        <v/>
      </c>
      <c r="W429" s="74" t="str">
        <f t="array" ref="W429">IF(
'Ingest Template'!Y429="",
SUBSTITUTE(
INDEX(DropdownLists!$F$2:$F$277,MATCH('Ingest Template'!D429,DropdownLists!$C$2:$C$277,0)),
CHAR(10),
"|"&amp;'Ingest Template'!C429&amp;CHAR(10)
)&amp;"|"&amp;'Ingest Template'!C429,
SUBSTITUTE(
INDEX(DropdownLists!$F$2:$F$277,MATCH('Ingest Template'!D429,DropdownLists!$C$2:$C$277,0)),
CHAR(10),
"|"&amp;'Ingest Template'!C429&amp;CHAR(10)
)&amp;"|"&amp;'Ingest Template'!C429&amp;CHAR(10)&amp;'Ingest Template'!Y429
)</f>
        <v>#N/A</v>
      </c>
      <c r="X429" s="74" t="str">
        <f>'Ingest Template'!Z429</f>
        <v/>
      </c>
      <c r="Y429" s="35" t="str">
        <f>SUBSTITUTE(SUBSTITUTE(SUBSTITUTE('Ingest Template'!AA429,"http:",""),"https:",""),"/","")</f>
        <v/>
      </c>
      <c r="Z429" s="35" t="str">
        <f t="array" ref="Z429">IF('Ingest Template'!A429="Standard",(IF(ISBLANK('Ingest Template'!AB429),"", 'Ingest Template'!AB429&amp;"|DAR")),(IF(ISBLANK('Ingest Template'!AB429),"", 'Ingest Template'!AB429&amp;"|TV Ops")))</f>
        <v/>
      </c>
      <c r="AA429" s="35"/>
      <c r="AB429" s="35" t="str">
        <f>'Ingest Template'!R429</f>
        <v/>
      </c>
      <c r="AC429" s="35" t="str">
        <f>'Ingest Template'!T429</f>
        <v/>
      </c>
      <c r="AD429" s="35" t="str">
        <f>'Ingest Template'!S429</f>
        <v/>
      </c>
      <c r="AE429" s="35" t="str">
        <f>'Ingest Template'!U429</f>
        <v/>
      </c>
      <c r="AF429" s="22"/>
      <c r="AG429" s="35" t="str">
        <f t="array" ref="AG429">IF('Ingest Template'!A429="Standard",(CONCATENATE(IF(ISBLANK('Ingest Template'!N429),"", 'Ingest Template'!N429&amp;"|DAR"),CHAR(10), IF(ISBLANK('Ingest Template'!O429),"", 'Ingest Template'!O429&amp;"|DAR"),CHAR(10), IF(ISBLANK('Ingest Template'!P429),"", 'Ingest Template'!P429&amp;"|DAR"))),(CONCATENATE(IF(ISBLANK('Ingest Template'!N429),"", 'Ingest Template'!N429&amp;"|TV Ops"),CHAR(10), IF(ISBLANK('Ingest Template'!O429),"", 'Ingest Template'!O429&amp;"|TV Ops"),CHAR(10), IF(ISBLANK('Ingest Template'!P429),"", 'Ingest Template'!P429&amp;"|TV Ops"))))</f>
        <v>
</v>
      </c>
      <c r="AH429" s="35"/>
      <c r="AI429" s="35"/>
      <c r="AJ429" s="117" t="str">
        <f>if('Ingest Template'!A429="Standard",(IF(OR('Ingest Template'!F429 = "Program Type - Special", 'Ingest Template'!F429 = "Program Type - Live Event"),'Ingest Template'!M429&amp; "|DAR|DAR|"&amp;TEXT('Ingest Template'!C429-3, "yyyy-mm-dd")&amp;"|"&amp;TEXT('Ingest Template'!C429+3, "yyyy-mm-dd"),'Ingest Template'!M429&amp; "|DAR|DAR|2021-01-01")),(IF(OR('Ingest Template'!F429 = "Program Type - Special", 'Ingest Template'!F429 = "Program Type - Live Event"),'Ingest Template'!M429&amp; "|Operations - Core Title|Operations - Core Title|"&amp;TEXT('Ingest Template'!C429-3, "yyyy-mm-dd")&amp;"|"&amp;TEXT('Ingest Template'!C429+3, "yyyy-mm-dd"),'Ingest Template'!M429&amp; "|Operations - Core Title|Operations - Core Title")))</f>
        <v>|Operations - Core Title|Operations - Core Title</v>
      </c>
      <c r="AK429" s="35"/>
      <c r="AL429" s="117" t="str">
        <f>if('Ingest Template'!A429="Standard",(IF(OR('Ingest Template'!F429 = "Program Type - Special", 'Ingest Template'!F429 = "Program Type - Live Event"),'Ingest Template'!Q429&amp;"|"&amp;TEXT('Ingest Template'!C429-3, "yyyy-mm-dd")&amp;"|"&amp;TEXT('Ingest Template'!C429+3, "yyyy-mm-dd"),'Ingest Template'!Q429&amp; "|2021-01-01")),(IF(OR('Ingest Template'!F429 = "Program Type - Special", 'Ingest Template'!F429 = "Program Type - Live Event"),'Ingest Template'!Q429&amp; "|"&amp;TEXT('Ingest Template'!C429-3, "yyyy-mm-dd")&amp;"|"&amp;TEXT('Ingest Template'!C429+3, "yyyy-mm-dd"),'Ingest Template'!Q429)))</f>
        <v/>
      </c>
      <c r="AM429" s="35" t="str">
        <f>'Ingest Template'!AC429</f>
        <v/>
      </c>
    </row>
    <row r="430">
      <c r="A430" s="15"/>
      <c r="B430" s="22" t="str">
        <f>'Ingest Template'!C430&amp;IF('Ingest Template'!A430 = "Standard", " - DAR","")</f>
        <v/>
      </c>
      <c r="C430" s="22" t="s">
        <v>83</v>
      </c>
      <c r="D430" s="22" t="str">
        <f t="array" ref="D430">CONCATENATE(INDEX(DropdownLists!$H$2:$H$11,MATCH(1,COUNTIF('Ingest Template'!E430,"*"&amp;DropdownLists!$I$2:$I$11&amp;"*"),0)),CHAR(10),'Ingest Template'!F430,CHAR(10),'Ingest Template'!G430,CHAR(10),VLOOKUP('Ingest Template'!D430,DropdownLists!C:D,2,FALSE))</f>
        <v>#N/A</v>
      </c>
      <c r="E430" s="22" t="str">
        <f>CONCATENATE('Ingest Template'!H430,CHAR(10),'Ingest Template'!I430,CHAR(10),'Ingest Template'!J430,CHAR(10))</f>
        <v>
</v>
      </c>
      <c r="F430" s="35" t="str">
        <f t="array" ref="F430">INDEX(DropdownLists!$O$2:$O$36,MATCH(1,COUNTIF(E430,"*"&amp;DropdownLists!$N$2:$N$36&amp;"*"),0))</f>
        <v/>
      </c>
      <c r="G430" s="35"/>
      <c r="H430" s="22" t="str">
        <f t="array" ref="H430">INDEX(DropdownLists!$E$2:$E$276,MATCH('Ingest Template'!D430,DropdownLists!$C$2:$C$276,0))</f>
        <v>#N/A</v>
      </c>
      <c r="I430" s="22"/>
      <c r="J430" s="22" t="str">
        <f t="array" ref="J430">iF('Ingest Template'!A430="Standard","Pristine Brand",INDEX(DropdownLists!$B$2:$B$246,MATCH('Ingest Template'!D430,DropdownLists!$C$2:$C$246,0)))</f>
        <v>#N/A</v>
      </c>
      <c r="K430" s="22" t="str">
        <f>iF('Ingest Template'!A430="Standard",'Ingest Template'!K430&amp;CHAR(10)&amp;'Ingest Template'!L430,"Competitive View")</f>
        <v>Competitive View</v>
      </c>
      <c r="L430" s="22" t="s">
        <v>95</v>
      </c>
      <c r="M430" s="45" t="str">
        <f>'Ingest Template'!B430</f>
        <v/>
      </c>
      <c r="N430" s="35"/>
      <c r="O430" s="35"/>
      <c r="P430" s="35"/>
      <c r="Q430" s="35"/>
      <c r="R430" s="35" t="str">
        <f>'Ingest Template'!D430</f>
        <v/>
      </c>
      <c r="S430" s="22" t="s">
        <v>101</v>
      </c>
      <c r="T430" s="35" t="str">
        <f>'Ingest Template'!V430</f>
        <v/>
      </c>
      <c r="U430" s="35" t="str">
        <f>'Ingest Template'!W430</f>
        <v/>
      </c>
      <c r="V430" s="35" t="str">
        <f>LOWER(SUBSTITUTE(SUBSTITUTE(SUBSTITUTE(SUBSTITUTE(SUBSTITUTE('Ingest Template'!X430,"https:",""),"www.",""),"/",""),"?hl=en",""),"instagram.com",""))</f>
        <v/>
      </c>
      <c r="W430" s="74" t="str">
        <f t="array" ref="W430">IF(
'Ingest Template'!Y430="",
SUBSTITUTE(
INDEX(DropdownLists!$F$2:$F$277,MATCH('Ingest Template'!D430,DropdownLists!$C$2:$C$277,0)),
CHAR(10),
"|"&amp;'Ingest Template'!C430&amp;CHAR(10)
)&amp;"|"&amp;'Ingest Template'!C430,
SUBSTITUTE(
INDEX(DropdownLists!$F$2:$F$277,MATCH('Ingest Template'!D430,DropdownLists!$C$2:$C$277,0)),
CHAR(10),
"|"&amp;'Ingest Template'!C430&amp;CHAR(10)
)&amp;"|"&amp;'Ingest Template'!C430&amp;CHAR(10)&amp;'Ingest Template'!Y430
)</f>
        <v>#N/A</v>
      </c>
      <c r="X430" s="74" t="str">
        <f>'Ingest Template'!Z430</f>
        <v/>
      </c>
      <c r="Y430" s="35" t="str">
        <f>SUBSTITUTE(SUBSTITUTE(SUBSTITUTE('Ingest Template'!AA430,"http:",""),"https:",""),"/","")</f>
        <v/>
      </c>
      <c r="Z430" s="35" t="str">
        <f t="array" ref="Z430">IF('Ingest Template'!A430="Standard",(IF(ISBLANK('Ingest Template'!AB430),"", 'Ingest Template'!AB430&amp;"|DAR")),(IF(ISBLANK('Ingest Template'!AB430),"", 'Ingest Template'!AB430&amp;"|TV Ops")))</f>
        <v/>
      </c>
      <c r="AA430" s="35"/>
      <c r="AB430" s="35" t="str">
        <f>'Ingest Template'!R430</f>
        <v/>
      </c>
      <c r="AC430" s="35" t="str">
        <f>'Ingest Template'!T430</f>
        <v/>
      </c>
      <c r="AD430" s="35" t="str">
        <f>'Ingest Template'!S430</f>
        <v/>
      </c>
      <c r="AE430" s="35" t="str">
        <f>'Ingest Template'!U430</f>
        <v/>
      </c>
      <c r="AF430" s="22"/>
      <c r="AG430" s="35" t="str">
        <f t="array" ref="AG430">IF('Ingest Template'!A430="Standard",(CONCATENATE(IF(ISBLANK('Ingest Template'!N430),"", 'Ingest Template'!N430&amp;"|DAR"),CHAR(10), IF(ISBLANK('Ingest Template'!O430),"", 'Ingest Template'!O430&amp;"|DAR"),CHAR(10), IF(ISBLANK('Ingest Template'!P430),"", 'Ingest Template'!P430&amp;"|DAR"))),(CONCATENATE(IF(ISBLANK('Ingest Template'!N430),"", 'Ingest Template'!N430&amp;"|TV Ops"),CHAR(10), IF(ISBLANK('Ingest Template'!O430),"", 'Ingest Template'!O430&amp;"|TV Ops"),CHAR(10), IF(ISBLANK('Ingest Template'!P430),"", 'Ingest Template'!P430&amp;"|TV Ops"))))</f>
        <v>
</v>
      </c>
      <c r="AH430" s="35"/>
      <c r="AI430" s="35"/>
      <c r="AJ430" s="117" t="str">
        <f>if('Ingest Template'!A430="Standard",(IF(OR('Ingest Template'!F430 = "Program Type - Special", 'Ingest Template'!F430 = "Program Type - Live Event"),'Ingest Template'!M430&amp; "|DAR|DAR|"&amp;TEXT('Ingest Template'!C430-3, "yyyy-mm-dd")&amp;"|"&amp;TEXT('Ingest Template'!C430+3, "yyyy-mm-dd"),'Ingest Template'!M430&amp; "|DAR|DAR|2021-01-01")),(IF(OR('Ingest Template'!F430 = "Program Type - Special", 'Ingest Template'!F430 = "Program Type - Live Event"),'Ingest Template'!M430&amp; "|Operations - Core Title|Operations - Core Title|"&amp;TEXT('Ingest Template'!C430-3, "yyyy-mm-dd")&amp;"|"&amp;TEXT('Ingest Template'!C430+3, "yyyy-mm-dd"),'Ingest Template'!M430&amp; "|Operations - Core Title|Operations - Core Title")))</f>
        <v>|Operations - Core Title|Operations - Core Title</v>
      </c>
      <c r="AK430" s="35"/>
      <c r="AL430" s="117" t="str">
        <f>if('Ingest Template'!A430="Standard",(IF(OR('Ingest Template'!F430 = "Program Type - Special", 'Ingest Template'!F430 = "Program Type - Live Event"),'Ingest Template'!Q430&amp;"|"&amp;TEXT('Ingest Template'!C430-3, "yyyy-mm-dd")&amp;"|"&amp;TEXT('Ingest Template'!C430+3, "yyyy-mm-dd"),'Ingest Template'!Q430&amp; "|2021-01-01")),(IF(OR('Ingest Template'!F430 = "Program Type - Special", 'Ingest Template'!F430 = "Program Type - Live Event"),'Ingest Template'!Q430&amp; "|"&amp;TEXT('Ingest Template'!C430-3, "yyyy-mm-dd")&amp;"|"&amp;TEXT('Ingest Template'!C430+3, "yyyy-mm-dd"),'Ingest Template'!Q430)))</f>
        <v/>
      </c>
      <c r="AM430" s="35" t="str">
        <f>'Ingest Template'!AC430</f>
        <v/>
      </c>
    </row>
    <row r="431">
      <c r="A431" s="15"/>
      <c r="B431" s="22" t="str">
        <f>'Ingest Template'!C431&amp;IF('Ingest Template'!A431 = "Standard", " - DAR","")</f>
        <v/>
      </c>
      <c r="C431" s="22" t="s">
        <v>83</v>
      </c>
      <c r="D431" s="22" t="str">
        <f t="array" ref="D431">CONCATENATE(INDEX(DropdownLists!$H$2:$H$11,MATCH(1,COUNTIF('Ingest Template'!E431,"*"&amp;DropdownLists!$I$2:$I$11&amp;"*"),0)),CHAR(10),'Ingest Template'!F431,CHAR(10),'Ingest Template'!G431,CHAR(10),VLOOKUP('Ingest Template'!D431,DropdownLists!C:D,2,FALSE))</f>
        <v>#N/A</v>
      </c>
      <c r="E431" s="22" t="str">
        <f>CONCATENATE('Ingest Template'!H431,CHAR(10),'Ingest Template'!I431,CHAR(10),'Ingest Template'!J431,CHAR(10))</f>
        <v>
</v>
      </c>
      <c r="F431" s="35" t="str">
        <f t="array" ref="F431">INDEX(DropdownLists!$O$2:$O$36,MATCH(1,COUNTIF(E431,"*"&amp;DropdownLists!$N$2:$N$36&amp;"*"),0))</f>
        <v/>
      </c>
      <c r="G431" s="35"/>
      <c r="H431" s="22" t="str">
        <f t="array" ref="H431">INDEX(DropdownLists!$E$2:$E$276,MATCH('Ingest Template'!D431,DropdownLists!$C$2:$C$276,0))</f>
        <v>#N/A</v>
      </c>
      <c r="I431" s="22"/>
      <c r="J431" s="22" t="str">
        <f t="array" ref="J431">iF('Ingest Template'!A431="Standard","Pristine Brand",INDEX(DropdownLists!$B$2:$B$246,MATCH('Ingest Template'!D431,DropdownLists!$C$2:$C$246,0)))</f>
        <v>#N/A</v>
      </c>
      <c r="K431" s="22" t="str">
        <f>iF('Ingest Template'!A431="Standard",'Ingest Template'!K431&amp;CHAR(10)&amp;'Ingest Template'!L431,"Competitive View")</f>
        <v>Competitive View</v>
      </c>
      <c r="L431" s="22" t="s">
        <v>95</v>
      </c>
      <c r="M431" s="45" t="str">
        <f>'Ingest Template'!B431</f>
        <v/>
      </c>
      <c r="N431" s="35"/>
      <c r="O431" s="35"/>
      <c r="P431" s="35"/>
      <c r="Q431" s="35"/>
      <c r="R431" s="35" t="str">
        <f>'Ingest Template'!D431</f>
        <v/>
      </c>
      <c r="S431" s="22" t="s">
        <v>101</v>
      </c>
      <c r="T431" s="35" t="str">
        <f>'Ingest Template'!V431</f>
        <v/>
      </c>
      <c r="U431" s="35" t="str">
        <f>'Ingest Template'!W431</f>
        <v/>
      </c>
      <c r="V431" s="35" t="str">
        <f>LOWER(SUBSTITUTE(SUBSTITUTE(SUBSTITUTE(SUBSTITUTE(SUBSTITUTE('Ingest Template'!X431,"https:",""),"www.",""),"/",""),"?hl=en",""),"instagram.com",""))</f>
        <v/>
      </c>
      <c r="W431" s="74" t="str">
        <f t="array" ref="W431">IF(
'Ingest Template'!Y431="",
SUBSTITUTE(
INDEX(DropdownLists!$F$2:$F$277,MATCH('Ingest Template'!D431,DropdownLists!$C$2:$C$277,0)),
CHAR(10),
"|"&amp;'Ingest Template'!C431&amp;CHAR(10)
)&amp;"|"&amp;'Ingest Template'!C431,
SUBSTITUTE(
INDEX(DropdownLists!$F$2:$F$277,MATCH('Ingest Template'!D431,DropdownLists!$C$2:$C$277,0)),
CHAR(10),
"|"&amp;'Ingest Template'!C431&amp;CHAR(10)
)&amp;"|"&amp;'Ingest Template'!C431&amp;CHAR(10)&amp;'Ingest Template'!Y431
)</f>
        <v>#N/A</v>
      </c>
      <c r="X431" s="74" t="str">
        <f>'Ingest Template'!Z431</f>
        <v/>
      </c>
      <c r="Y431" s="35" t="str">
        <f>SUBSTITUTE(SUBSTITUTE(SUBSTITUTE('Ingest Template'!AA431,"http:",""),"https:",""),"/","")</f>
        <v/>
      </c>
      <c r="Z431" s="35" t="str">
        <f t="array" ref="Z431">IF('Ingest Template'!A431="Standard",(IF(ISBLANK('Ingest Template'!AB431),"", 'Ingest Template'!AB431&amp;"|DAR")),(IF(ISBLANK('Ingest Template'!AB431),"", 'Ingest Template'!AB431&amp;"|TV Ops")))</f>
        <v/>
      </c>
      <c r="AA431" s="35"/>
      <c r="AB431" s="35" t="str">
        <f>'Ingest Template'!R431</f>
        <v/>
      </c>
      <c r="AC431" s="35" t="str">
        <f>'Ingest Template'!T431</f>
        <v/>
      </c>
      <c r="AD431" s="35" t="str">
        <f>'Ingest Template'!S431</f>
        <v/>
      </c>
      <c r="AE431" s="35" t="str">
        <f>'Ingest Template'!U431</f>
        <v/>
      </c>
      <c r="AF431" s="22"/>
      <c r="AG431" s="35" t="str">
        <f t="array" ref="AG431">IF('Ingest Template'!A431="Standard",(CONCATENATE(IF(ISBLANK('Ingest Template'!N431),"", 'Ingest Template'!N431&amp;"|DAR"),CHAR(10), IF(ISBLANK('Ingest Template'!O431),"", 'Ingest Template'!O431&amp;"|DAR"),CHAR(10), IF(ISBLANK('Ingest Template'!P431),"", 'Ingest Template'!P431&amp;"|DAR"))),(CONCATENATE(IF(ISBLANK('Ingest Template'!N431),"", 'Ingest Template'!N431&amp;"|TV Ops"),CHAR(10), IF(ISBLANK('Ingest Template'!O431),"", 'Ingest Template'!O431&amp;"|TV Ops"),CHAR(10), IF(ISBLANK('Ingest Template'!P431),"", 'Ingest Template'!P431&amp;"|TV Ops"))))</f>
        <v>
</v>
      </c>
      <c r="AH431" s="35"/>
      <c r="AI431" s="35"/>
      <c r="AJ431" s="117" t="str">
        <f>if('Ingest Template'!A431="Standard",(IF(OR('Ingest Template'!F431 = "Program Type - Special", 'Ingest Template'!F431 = "Program Type - Live Event"),'Ingest Template'!M431&amp; "|DAR|DAR|"&amp;TEXT('Ingest Template'!C431-3, "yyyy-mm-dd")&amp;"|"&amp;TEXT('Ingest Template'!C431+3, "yyyy-mm-dd"),'Ingest Template'!M431&amp; "|DAR|DAR|2021-01-01")),(IF(OR('Ingest Template'!F431 = "Program Type - Special", 'Ingest Template'!F431 = "Program Type - Live Event"),'Ingest Template'!M431&amp; "|Operations - Core Title|Operations - Core Title|"&amp;TEXT('Ingest Template'!C431-3, "yyyy-mm-dd")&amp;"|"&amp;TEXT('Ingest Template'!C431+3, "yyyy-mm-dd"),'Ingest Template'!M431&amp; "|Operations - Core Title|Operations - Core Title")))</f>
        <v>|Operations - Core Title|Operations - Core Title</v>
      </c>
      <c r="AK431" s="35"/>
      <c r="AL431" s="117" t="str">
        <f>if('Ingest Template'!A431="Standard",(IF(OR('Ingest Template'!F431 = "Program Type - Special", 'Ingest Template'!F431 = "Program Type - Live Event"),'Ingest Template'!Q431&amp;"|"&amp;TEXT('Ingest Template'!C431-3, "yyyy-mm-dd")&amp;"|"&amp;TEXT('Ingest Template'!C431+3, "yyyy-mm-dd"),'Ingest Template'!Q431&amp; "|2021-01-01")),(IF(OR('Ingest Template'!F431 = "Program Type - Special", 'Ingest Template'!F431 = "Program Type - Live Event"),'Ingest Template'!Q431&amp; "|"&amp;TEXT('Ingest Template'!C431-3, "yyyy-mm-dd")&amp;"|"&amp;TEXT('Ingest Template'!C431+3, "yyyy-mm-dd"),'Ingest Template'!Q431)))</f>
        <v/>
      </c>
      <c r="AM431" s="35" t="str">
        <f>'Ingest Template'!AC431</f>
        <v/>
      </c>
    </row>
    <row r="432">
      <c r="A432" s="15"/>
      <c r="B432" s="22" t="str">
        <f>'Ingest Template'!C432&amp;IF('Ingest Template'!A432 = "Standard", " - DAR","")</f>
        <v/>
      </c>
      <c r="C432" s="22" t="s">
        <v>83</v>
      </c>
      <c r="D432" s="22" t="str">
        <f t="array" ref="D432">CONCATENATE(INDEX(DropdownLists!$H$2:$H$11,MATCH(1,COUNTIF('Ingest Template'!E432,"*"&amp;DropdownLists!$I$2:$I$11&amp;"*"),0)),CHAR(10),'Ingest Template'!F432,CHAR(10),'Ingest Template'!G432,CHAR(10),VLOOKUP('Ingest Template'!D432,DropdownLists!C:D,2,FALSE))</f>
        <v>#N/A</v>
      </c>
      <c r="E432" s="22" t="str">
        <f>CONCATENATE('Ingest Template'!H432,CHAR(10),'Ingest Template'!I432,CHAR(10),'Ingest Template'!J432,CHAR(10))</f>
        <v>
</v>
      </c>
      <c r="F432" s="35" t="str">
        <f t="array" ref="F432">INDEX(DropdownLists!$O$2:$O$36,MATCH(1,COUNTIF(E432,"*"&amp;DropdownLists!$N$2:$N$36&amp;"*"),0))</f>
        <v/>
      </c>
      <c r="G432" s="35"/>
      <c r="H432" s="22" t="str">
        <f t="array" ref="H432">INDEX(DropdownLists!$E$2:$E$276,MATCH('Ingest Template'!D432,DropdownLists!$C$2:$C$276,0))</f>
        <v>#N/A</v>
      </c>
      <c r="I432" s="22"/>
      <c r="J432" s="22" t="str">
        <f t="array" ref="J432">iF('Ingest Template'!A432="Standard","Pristine Brand",INDEX(DropdownLists!$B$2:$B$246,MATCH('Ingest Template'!D432,DropdownLists!$C$2:$C$246,0)))</f>
        <v>#N/A</v>
      </c>
      <c r="K432" s="22" t="str">
        <f>iF('Ingest Template'!A432="Standard",'Ingest Template'!K432&amp;CHAR(10)&amp;'Ingest Template'!L432,"Competitive View")</f>
        <v>Competitive View</v>
      </c>
      <c r="L432" s="22" t="s">
        <v>95</v>
      </c>
      <c r="M432" s="45" t="str">
        <f>'Ingest Template'!B432</f>
        <v/>
      </c>
      <c r="N432" s="35"/>
      <c r="O432" s="35"/>
      <c r="P432" s="35"/>
      <c r="Q432" s="35"/>
      <c r="R432" s="35" t="str">
        <f>'Ingest Template'!D432</f>
        <v/>
      </c>
      <c r="S432" s="22" t="s">
        <v>101</v>
      </c>
      <c r="T432" s="35" t="str">
        <f>'Ingest Template'!V432</f>
        <v/>
      </c>
      <c r="U432" s="35" t="str">
        <f>'Ingest Template'!W432</f>
        <v/>
      </c>
      <c r="V432" s="35" t="str">
        <f>LOWER(SUBSTITUTE(SUBSTITUTE(SUBSTITUTE(SUBSTITUTE(SUBSTITUTE('Ingest Template'!X432,"https:",""),"www.",""),"/",""),"?hl=en",""),"instagram.com",""))</f>
        <v/>
      </c>
      <c r="W432" s="74" t="str">
        <f t="array" ref="W432">IF(
'Ingest Template'!Y432="",
SUBSTITUTE(
INDEX(DropdownLists!$F$2:$F$277,MATCH('Ingest Template'!D432,DropdownLists!$C$2:$C$277,0)),
CHAR(10),
"|"&amp;'Ingest Template'!C432&amp;CHAR(10)
)&amp;"|"&amp;'Ingest Template'!C432,
SUBSTITUTE(
INDEX(DropdownLists!$F$2:$F$277,MATCH('Ingest Template'!D432,DropdownLists!$C$2:$C$277,0)),
CHAR(10),
"|"&amp;'Ingest Template'!C432&amp;CHAR(10)
)&amp;"|"&amp;'Ingest Template'!C432&amp;CHAR(10)&amp;'Ingest Template'!Y432
)</f>
        <v>#N/A</v>
      </c>
      <c r="X432" s="74" t="str">
        <f>'Ingest Template'!Z432</f>
        <v/>
      </c>
      <c r="Y432" s="35" t="str">
        <f>SUBSTITUTE(SUBSTITUTE(SUBSTITUTE('Ingest Template'!AA432,"http:",""),"https:",""),"/","")</f>
        <v/>
      </c>
      <c r="Z432" s="35" t="str">
        <f t="array" ref="Z432">IF('Ingest Template'!A432="Standard",(IF(ISBLANK('Ingest Template'!AB432),"", 'Ingest Template'!AB432&amp;"|DAR")),(IF(ISBLANK('Ingest Template'!AB432),"", 'Ingest Template'!AB432&amp;"|TV Ops")))</f>
        <v/>
      </c>
      <c r="AA432" s="35"/>
      <c r="AB432" s="35" t="str">
        <f>'Ingest Template'!R432</f>
        <v/>
      </c>
      <c r="AC432" s="35" t="str">
        <f>'Ingest Template'!T432</f>
        <v/>
      </c>
      <c r="AD432" s="35" t="str">
        <f>'Ingest Template'!S432</f>
        <v/>
      </c>
      <c r="AE432" s="35" t="str">
        <f>'Ingest Template'!U432</f>
        <v/>
      </c>
      <c r="AF432" s="22"/>
      <c r="AG432" s="35" t="str">
        <f t="array" ref="AG432">IF('Ingest Template'!A432="Standard",(CONCATENATE(IF(ISBLANK('Ingest Template'!N432),"", 'Ingest Template'!N432&amp;"|DAR"),CHAR(10), IF(ISBLANK('Ingest Template'!O432),"", 'Ingest Template'!O432&amp;"|DAR"),CHAR(10), IF(ISBLANK('Ingest Template'!P432),"", 'Ingest Template'!P432&amp;"|DAR"))),(CONCATENATE(IF(ISBLANK('Ingest Template'!N432),"", 'Ingest Template'!N432&amp;"|TV Ops"),CHAR(10), IF(ISBLANK('Ingest Template'!O432),"", 'Ingest Template'!O432&amp;"|TV Ops"),CHAR(10), IF(ISBLANK('Ingest Template'!P432),"", 'Ingest Template'!P432&amp;"|TV Ops"))))</f>
        <v>
</v>
      </c>
      <c r="AH432" s="35"/>
      <c r="AI432" s="35"/>
      <c r="AJ432" s="117" t="str">
        <f>if('Ingest Template'!A432="Standard",(IF(OR('Ingest Template'!F432 = "Program Type - Special", 'Ingest Template'!F432 = "Program Type - Live Event"),'Ingest Template'!M432&amp; "|DAR|DAR|"&amp;TEXT('Ingest Template'!C432-3, "yyyy-mm-dd")&amp;"|"&amp;TEXT('Ingest Template'!C432+3, "yyyy-mm-dd"),'Ingest Template'!M432&amp; "|DAR|DAR|2021-01-01")),(IF(OR('Ingest Template'!F432 = "Program Type - Special", 'Ingest Template'!F432 = "Program Type - Live Event"),'Ingest Template'!M432&amp; "|Operations - Core Title|Operations - Core Title|"&amp;TEXT('Ingest Template'!C432-3, "yyyy-mm-dd")&amp;"|"&amp;TEXT('Ingest Template'!C432+3, "yyyy-mm-dd"),'Ingest Template'!M432&amp; "|Operations - Core Title|Operations - Core Title")))</f>
        <v>|Operations - Core Title|Operations - Core Title</v>
      </c>
      <c r="AK432" s="35"/>
      <c r="AL432" s="117" t="str">
        <f>if('Ingest Template'!A432="Standard",(IF(OR('Ingest Template'!F432 = "Program Type - Special", 'Ingest Template'!F432 = "Program Type - Live Event"),'Ingest Template'!Q432&amp;"|"&amp;TEXT('Ingest Template'!C432-3, "yyyy-mm-dd")&amp;"|"&amp;TEXT('Ingest Template'!C432+3, "yyyy-mm-dd"),'Ingest Template'!Q432&amp; "|2021-01-01")),(IF(OR('Ingest Template'!F432 = "Program Type - Special", 'Ingest Template'!F432 = "Program Type - Live Event"),'Ingest Template'!Q432&amp; "|"&amp;TEXT('Ingest Template'!C432-3, "yyyy-mm-dd")&amp;"|"&amp;TEXT('Ingest Template'!C432+3, "yyyy-mm-dd"),'Ingest Template'!Q432)))</f>
        <v/>
      </c>
      <c r="AM432" s="35" t="str">
        <f>'Ingest Template'!AC432</f>
        <v/>
      </c>
    </row>
    <row r="433">
      <c r="A433" s="15"/>
      <c r="B433" s="22" t="str">
        <f>'Ingest Template'!C433&amp;IF('Ingest Template'!A433 = "Standard", " - DAR","")</f>
        <v/>
      </c>
      <c r="C433" s="22" t="s">
        <v>83</v>
      </c>
      <c r="D433" s="22" t="str">
        <f t="array" ref="D433">CONCATENATE(INDEX(DropdownLists!$H$2:$H$11,MATCH(1,COUNTIF('Ingest Template'!E433,"*"&amp;DropdownLists!$I$2:$I$11&amp;"*"),0)),CHAR(10),'Ingest Template'!F433,CHAR(10),'Ingest Template'!G433,CHAR(10),VLOOKUP('Ingest Template'!D433,DropdownLists!C:D,2,FALSE))</f>
        <v>#N/A</v>
      </c>
      <c r="E433" s="22" t="str">
        <f>CONCATENATE('Ingest Template'!H433,CHAR(10),'Ingest Template'!I433,CHAR(10),'Ingest Template'!J433,CHAR(10))</f>
        <v>
</v>
      </c>
      <c r="F433" s="35" t="str">
        <f t="array" ref="F433">INDEX(DropdownLists!$O$2:$O$36,MATCH(1,COUNTIF(E433,"*"&amp;DropdownLists!$N$2:$N$36&amp;"*"),0))</f>
        <v/>
      </c>
      <c r="G433" s="35"/>
      <c r="H433" s="22" t="str">
        <f t="array" ref="H433">INDEX(DropdownLists!$E$2:$E$276,MATCH('Ingest Template'!D433,DropdownLists!$C$2:$C$276,0))</f>
        <v>#N/A</v>
      </c>
      <c r="I433" s="22"/>
      <c r="J433" s="22" t="str">
        <f t="array" ref="J433">iF('Ingest Template'!A433="Standard","Pristine Brand",INDEX(DropdownLists!$B$2:$B$246,MATCH('Ingest Template'!D433,DropdownLists!$C$2:$C$246,0)))</f>
        <v>#N/A</v>
      </c>
      <c r="K433" s="22" t="str">
        <f>iF('Ingest Template'!A433="Standard",'Ingest Template'!K433&amp;CHAR(10)&amp;'Ingest Template'!L433,"Competitive View")</f>
        <v>Competitive View</v>
      </c>
      <c r="L433" s="22" t="s">
        <v>95</v>
      </c>
      <c r="M433" s="45" t="str">
        <f>'Ingest Template'!B433</f>
        <v/>
      </c>
      <c r="N433" s="35"/>
      <c r="O433" s="35"/>
      <c r="P433" s="35"/>
      <c r="Q433" s="35"/>
      <c r="R433" s="35" t="str">
        <f>'Ingest Template'!D433</f>
        <v/>
      </c>
      <c r="S433" s="22" t="s">
        <v>101</v>
      </c>
      <c r="T433" s="35" t="str">
        <f>'Ingest Template'!V433</f>
        <v/>
      </c>
      <c r="U433" s="35" t="str">
        <f>'Ingest Template'!W433</f>
        <v/>
      </c>
      <c r="V433" s="35" t="str">
        <f>LOWER(SUBSTITUTE(SUBSTITUTE(SUBSTITUTE(SUBSTITUTE(SUBSTITUTE('Ingest Template'!X433,"https:",""),"www.",""),"/",""),"?hl=en",""),"instagram.com",""))</f>
        <v/>
      </c>
      <c r="W433" s="74" t="str">
        <f t="array" ref="W433">IF(
'Ingest Template'!Y433="",
SUBSTITUTE(
INDEX(DropdownLists!$F$2:$F$277,MATCH('Ingest Template'!D433,DropdownLists!$C$2:$C$277,0)),
CHAR(10),
"|"&amp;'Ingest Template'!C433&amp;CHAR(10)
)&amp;"|"&amp;'Ingest Template'!C433,
SUBSTITUTE(
INDEX(DropdownLists!$F$2:$F$277,MATCH('Ingest Template'!D433,DropdownLists!$C$2:$C$277,0)),
CHAR(10),
"|"&amp;'Ingest Template'!C433&amp;CHAR(10)
)&amp;"|"&amp;'Ingest Template'!C433&amp;CHAR(10)&amp;'Ingest Template'!Y433
)</f>
        <v>#N/A</v>
      </c>
      <c r="X433" s="74" t="str">
        <f>'Ingest Template'!Z433</f>
        <v/>
      </c>
      <c r="Y433" s="35" t="str">
        <f>SUBSTITUTE(SUBSTITUTE(SUBSTITUTE('Ingest Template'!AA433,"http:",""),"https:",""),"/","")</f>
        <v/>
      </c>
      <c r="Z433" s="35" t="str">
        <f t="array" ref="Z433">IF('Ingest Template'!A433="Standard",(IF(ISBLANK('Ingest Template'!AB433),"", 'Ingest Template'!AB433&amp;"|DAR")),(IF(ISBLANK('Ingest Template'!AB433),"", 'Ingest Template'!AB433&amp;"|TV Ops")))</f>
        <v/>
      </c>
      <c r="AA433" s="35"/>
      <c r="AB433" s="35" t="str">
        <f>'Ingest Template'!R433</f>
        <v/>
      </c>
      <c r="AC433" s="35" t="str">
        <f>'Ingest Template'!T433</f>
        <v/>
      </c>
      <c r="AD433" s="35" t="str">
        <f>'Ingest Template'!S433</f>
        <v/>
      </c>
      <c r="AE433" s="35" t="str">
        <f>'Ingest Template'!U433</f>
        <v/>
      </c>
      <c r="AF433" s="22"/>
      <c r="AG433" s="35" t="str">
        <f t="array" ref="AG433">IF('Ingest Template'!A433="Standard",(CONCATENATE(IF(ISBLANK('Ingest Template'!N433),"", 'Ingest Template'!N433&amp;"|DAR"),CHAR(10), IF(ISBLANK('Ingest Template'!O433),"", 'Ingest Template'!O433&amp;"|DAR"),CHAR(10), IF(ISBLANK('Ingest Template'!P433),"", 'Ingest Template'!P433&amp;"|DAR"))),(CONCATENATE(IF(ISBLANK('Ingest Template'!N433),"", 'Ingest Template'!N433&amp;"|TV Ops"),CHAR(10), IF(ISBLANK('Ingest Template'!O433),"", 'Ingest Template'!O433&amp;"|TV Ops"),CHAR(10), IF(ISBLANK('Ingest Template'!P433),"", 'Ingest Template'!P433&amp;"|TV Ops"))))</f>
        <v>
</v>
      </c>
      <c r="AH433" s="35"/>
      <c r="AI433" s="35"/>
      <c r="AJ433" s="117" t="str">
        <f>if('Ingest Template'!A433="Standard",(IF(OR('Ingest Template'!F433 = "Program Type - Special", 'Ingest Template'!F433 = "Program Type - Live Event"),'Ingest Template'!M433&amp; "|DAR|DAR|"&amp;TEXT('Ingest Template'!C433-3, "yyyy-mm-dd")&amp;"|"&amp;TEXT('Ingest Template'!C433+3, "yyyy-mm-dd"),'Ingest Template'!M433&amp; "|DAR|DAR|2021-01-01")),(IF(OR('Ingest Template'!F433 = "Program Type - Special", 'Ingest Template'!F433 = "Program Type - Live Event"),'Ingest Template'!M433&amp; "|Operations - Core Title|Operations - Core Title|"&amp;TEXT('Ingest Template'!C433-3, "yyyy-mm-dd")&amp;"|"&amp;TEXT('Ingest Template'!C433+3, "yyyy-mm-dd"),'Ingest Template'!M433&amp; "|Operations - Core Title|Operations - Core Title")))</f>
        <v>|Operations - Core Title|Operations - Core Title</v>
      </c>
      <c r="AK433" s="35"/>
      <c r="AL433" s="117" t="str">
        <f>if('Ingest Template'!A433="Standard",(IF(OR('Ingest Template'!F433 = "Program Type - Special", 'Ingest Template'!F433 = "Program Type - Live Event"),'Ingest Template'!Q433&amp;"|"&amp;TEXT('Ingest Template'!C433-3, "yyyy-mm-dd")&amp;"|"&amp;TEXT('Ingest Template'!C433+3, "yyyy-mm-dd"),'Ingest Template'!Q433&amp; "|2021-01-01")),(IF(OR('Ingest Template'!F433 = "Program Type - Special", 'Ingest Template'!F433 = "Program Type - Live Event"),'Ingest Template'!Q433&amp; "|"&amp;TEXT('Ingest Template'!C433-3, "yyyy-mm-dd")&amp;"|"&amp;TEXT('Ingest Template'!C433+3, "yyyy-mm-dd"),'Ingest Template'!Q433)))</f>
        <v/>
      </c>
      <c r="AM433" s="35" t="str">
        <f>'Ingest Template'!AC433</f>
        <v/>
      </c>
    </row>
    <row r="434">
      <c r="A434" s="15"/>
      <c r="B434" s="22" t="str">
        <f>'Ingest Template'!C434&amp;IF('Ingest Template'!A434 = "Standard", " - DAR","")</f>
        <v/>
      </c>
      <c r="C434" s="22" t="s">
        <v>83</v>
      </c>
      <c r="D434" s="22" t="str">
        <f t="array" ref="D434">CONCATENATE(INDEX(DropdownLists!$H$2:$H$11,MATCH(1,COUNTIF('Ingest Template'!E434,"*"&amp;DropdownLists!$I$2:$I$11&amp;"*"),0)),CHAR(10),'Ingest Template'!F434,CHAR(10),'Ingest Template'!G434,CHAR(10),VLOOKUP('Ingest Template'!D434,DropdownLists!C:D,2,FALSE))</f>
        <v>#N/A</v>
      </c>
      <c r="E434" s="22" t="str">
        <f>CONCATENATE('Ingest Template'!H434,CHAR(10),'Ingest Template'!I434,CHAR(10),'Ingest Template'!J434,CHAR(10))</f>
        <v>
</v>
      </c>
      <c r="F434" s="35" t="str">
        <f t="array" ref="F434">INDEX(DropdownLists!$O$2:$O$36,MATCH(1,COUNTIF(E434,"*"&amp;DropdownLists!$N$2:$N$36&amp;"*"),0))</f>
        <v/>
      </c>
      <c r="G434" s="35"/>
      <c r="H434" s="22" t="str">
        <f t="array" ref="H434">INDEX(DropdownLists!$E$2:$E$276,MATCH('Ingest Template'!D434,DropdownLists!$C$2:$C$276,0))</f>
        <v>#N/A</v>
      </c>
      <c r="I434" s="22"/>
      <c r="J434" s="22" t="str">
        <f t="array" ref="J434">iF('Ingest Template'!A434="Standard","Pristine Brand",INDEX(DropdownLists!$B$2:$B$246,MATCH('Ingest Template'!D434,DropdownLists!$C$2:$C$246,0)))</f>
        <v>#N/A</v>
      </c>
      <c r="K434" s="22" t="str">
        <f>iF('Ingest Template'!A434="Standard",'Ingest Template'!K434&amp;CHAR(10)&amp;'Ingest Template'!L434,"Competitive View")</f>
        <v>Competitive View</v>
      </c>
      <c r="L434" s="22" t="s">
        <v>95</v>
      </c>
      <c r="M434" s="45" t="str">
        <f>'Ingest Template'!B434</f>
        <v/>
      </c>
      <c r="N434" s="35"/>
      <c r="O434" s="35"/>
      <c r="P434" s="35"/>
      <c r="Q434" s="35"/>
      <c r="R434" s="35" t="str">
        <f>'Ingest Template'!D434</f>
        <v/>
      </c>
      <c r="S434" s="22" t="s">
        <v>101</v>
      </c>
      <c r="T434" s="35" t="str">
        <f>'Ingest Template'!V434</f>
        <v/>
      </c>
      <c r="U434" s="35" t="str">
        <f>'Ingest Template'!W434</f>
        <v/>
      </c>
      <c r="V434" s="35" t="str">
        <f>LOWER(SUBSTITUTE(SUBSTITUTE(SUBSTITUTE(SUBSTITUTE(SUBSTITUTE('Ingest Template'!X434,"https:",""),"www.",""),"/",""),"?hl=en",""),"instagram.com",""))</f>
        <v/>
      </c>
      <c r="W434" s="74" t="str">
        <f t="array" ref="W434">IF(
'Ingest Template'!Y434="",
SUBSTITUTE(
INDEX(DropdownLists!$F$2:$F$277,MATCH('Ingest Template'!D434,DropdownLists!$C$2:$C$277,0)),
CHAR(10),
"|"&amp;'Ingest Template'!C434&amp;CHAR(10)
)&amp;"|"&amp;'Ingest Template'!C434,
SUBSTITUTE(
INDEX(DropdownLists!$F$2:$F$277,MATCH('Ingest Template'!D434,DropdownLists!$C$2:$C$277,0)),
CHAR(10),
"|"&amp;'Ingest Template'!C434&amp;CHAR(10)
)&amp;"|"&amp;'Ingest Template'!C434&amp;CHAR(10)&amp;'Ingest Template'!Y434
)</f>
        <v>#N/A</v>
      </c>
      <c r="X434" s="74" t="str">
        <f>'Ingest Template'!Z434</f>
        <v/>
      </c>
      <c r="Y434" s="35" t="str">
        <f>SUBSTITUTE(SUBSTITUTE(SUBSTITUTE('Ingest Template'!AA434,"http:",""),"https:",""),"/","")</f>
        <v/>
      </c>
      <c r="Z434" s="35" t="str">
        <f t="array" ref="Z434">IF('Ingest Template'!A434="Standard",(IF(ISBLANK('Ingest Template'!AB434),"", 'Ingest Template'!AB434&amp;"|DAR")),(IF(ISBLANK('Ingest Template'!AB434),"", 'Ingest Template'!AB434&amp;"|TV Ops")))</f>
        <v/>
      </c>
      <c r="AA434" s="35"/>
      <c r="AB434" s="35" t="str">
        <f>'Ingest Template'!R434</f>
        <v/>
      </c>
      <c r="AC434" s="35" t="str">
        <f>'Ingest Template'!T434</f>
        <v/>
      </c>
      <c r="AD434" s="35" t="str">
        <f>'Ingest Template'!S434</f>
        <v/>
      </c>
      <c r="AE434" s="35" t="str">
        <f>'Ingest Template'!U434</f>
        <v/>
      </c>
      <c r="AF434" s="22"/>
      <c r="AG434" s="35" t="str">
        <f t="array" ref="AG434">IF('Ingest Template'!A434="Standard",(CONCATENATE(IF(ISBLANK('Ingest Template'!N434),"", 'Ingest Template'!N434&amp;"|DAR"),CHAR(10), IF(ISBLANK('Ingest Template'!O434),"", 'Ingest Template'!O434&amp;"|DAR"),CHAR(10), IF(ISBLANK('Ingest Template'!P434),"", 'Ingest Template'!P434&amp;"|DAR"))),(CONCATENATE(IF(ISBLANK('Ingest Template'!N434),"", 'Ingest Template'!N434&amp;"|TV Ops"),CHAR(10), IF(ISBLANK('Ingest Template'!O434),"", 'Ingest Template'!O434&amp;"|TV Ops"),CHAR(10), IF(ISBLANK('Ingest Template'!P434),"", 'Ingest Template'!P434&amp;"|TV Ops"))))</f>
        <v>
</v>
      </c>
      <c r="AH434" s="35"/>
      <c r="AI434" s="35"/>
      <c r="AJ434" s="117" t="str">
        <f>if('Ingest Template'!A434="Standard",(IF(OR('Ingest Template'!F434 = "Program Type - Special", 'Ingest Template'!F434 = "Program Type - Live Event"),'Ingest Template'!M434&amp; "|DAR|DAR|"&amp;TEXT('Ingest Template'!C434-3, "yyyy-mm-dd")&amp;"|"&amp;TEXT('Ingest Template'!C434+3, "yyyy-mm-dd"),'Ingest Template'!M434&amp; "|DAR|DAR|2021-01-01")),(IF(OR('Ingest Template'!F434 = "Program Type - Special", 'Ingest Template'!F434 = "Program Type - Live Event"),'Ingest Template'!M434&amp; "|Operations - Core Title|Operations - Core Title|"&amp;TEXT('Ingest Template'!C434-3, "yyyy-mm-dd")&amp;"|"&amp;TEXT('Ingest Template'!C434+3, "yyyy-mm-dd"),'Ingest Template'!M434&amp; "|Operations - Core Title|Operations - Core Title")))</f>
        <v>|Operations - Core Title|Operations - Core Title</v>
      </c>
      <c r="AK434" s="35"/>
      <c r="AL434" s="117" t="str">
        <f>if('Ingest Template'!A434="Standard",(IF(OR('Ingest Template'!F434 = "Program Type - Special", 'Ingest Template'!F434 = "Program Type - Live Event"),'Ingest Template'!Q434&amp;"|"&amp;TEXT('Ingest Template'!C434-3, "yyyy-mm-dd")&amp;"|"&amp;TEXT('Ingest Template'!C434+3, "yyyy-mm-dd"),'Ingest Template'!Q434&amp; "|2021-01-01")),(IF(OR('Ingest Template'!F434 = "Program Type - Special", 'Ingest Template'!F434 = "Program Type - Live Event"),'Ingest Template'!Q434&amp; "|"&amp;TEXT('Ingest Template'!C434-3, "yyyy-mm-dd")&amp;"|"&amp;TEXT('Ingest Template'!C434+3, "yyyy-mm-dd"),'Ingest Template'!Q434)))</f>
        <v/>
      </c>
      <c r="AM434" s="35" t="str">
        <f>'Ingest Template'!AC434</f>
        <v/>
      </c>
    </row>
    <row r="435">
      <c r="A435" s="15"/>
      <c r="B435" s="22" t="str">
        <f>'Ingest Template'!C435&amp;IF('Ingest Template'!A435 = "Standard", " - DAR","")</f>
        <v/>
      </c>
      <c r="C435" s="22" t="s">
        <v>83</v>
      </c>
      <c r="D435" s="22" t="str">
        <f t="array" ref="D435">CONCATENATE(INDEX(DropdownLists!$H$2:$H$11,MATCH(1,COUNTIF('Ingest Template'!E435,"*"&amp;DropdownLists!$I$2:$I$11&amp;"*"),0)),CHAR(10),'Ingest Template'!F435,CHAR(10),'Ingest Template'!G435,CHAR(10),VLOOKUP('Ingest Template'!D435,DropdownLists!C:D,2,FALSE))</f>
        <v>#N/A</v>
      </c>
      <c r="E435" s="22" t="str">
        <f>CONCATENATE('Ingest Template'!H435,CHAR(10),'Ingest Template'!I435,CHAR(10),'Ingest Template'!J435,CHAR(10))</f>
        <v>
</v>
      </c>
      <c r="F435" s="35" t="str">
        <f t="array" ref="F435">INDEX(DropdownLists!$O$2:$O$36,MATCH(1,COUNTIF(E435,"*"&amp;DropdownLists!$N$2:$N$36&amp;"*"),0))</f>
        <v/>
      </c>
      <c r="G435" s="35"/>
      <c r="H435" s="22" t="str">
        <f t="array" ref="H435">INDEX(DropdownLists!$E$2:$E$276,MATCH('Ingest Template'!D435,DropdownLists!$C$2:$C$276,0))</f>
        <v>#N/A</v>
      </c>
      <c r="I435" s="22"/>
      <c r="J435" s="22" t="str">
        <f t="array" ref="J435">iF('Ingest Template'!A435="Standard","Pristine Brand",INDEX(DropdownLists!$B$2:$B$246,MATCH('Ingest Template'!D435,DropdownLists!$C$2:$C$246,0)))</f>
        <v>#N/A</v>
      </c>
      <c r="K435" s="22" t="str">
        <f>iF('Ingest Template'!A435="Standard",'Ingest Template'!K435&amp;CHAR(10)&amp;'Ingest Template'!L435,"Competitive View")</f>
        <v>Competitive View</v>
      </c>
      <c r="L435" s="22" t="s">
        <v>95</v>
      </c>
      <c r="M435" s="45" t="str">
        <f>'Ingest Template'!B435</f>
        <v/>
      </c>
      <c r="N435" s="35"/>
      <c r="O435" s="35"/>
      <c r="P435" s="35"/>
      <c r="Q435" s="35"/>
      <c r="R435" s="35" t="str">
        <f>'Ingest Template'!D435</f>
        <v/>
      </c>
      <c r="S435" s="22" t="s">
        <v>101</v>
      </c>
      <c r="T435" s="35" t="str">
        <f>'Ingest Template'!V435</f>
        <v/>
      </c>
      <c r="U435" s="35" t="str">
        <f>'Ingest Template'!W435</f>
        <v/>
      </c>
      <c r="V435" s="35" t="str">
        <f>LOWER(SUBSTITUTE(SUBSTITUTE(SUBSTITUTE(SUBSTITUTE(SUBSTITUTE('Ingest Template'!X435,"https:",""),"www.",""),"/",""),"?hl=en",""),"instagram.com",""))</f>
        <v/>
      </c>
      <c r="W435" s="74" t="str">
        <f t="array" ref="W435">IF(
'Ingest Template'!Y435="",
SUBSTITUTE(
INDEX(DropdownLists!$F$2:$F$277,MATCH('Ingest Template'!D435,DropdownLists!$C$2:$C$277,0)),
CHAR(10),
"|"&amp;'Ingest Template'!C435&amp;CHAR(10)
)&amp;"|"&amp;'Ingest Template'!C435,
SUBSTITUTE(
INDEX(DropdownLists!$F$2:$F$277,MATCH('Ingest Template'!D435,DropdownLists!$C$2:$C$277,0)),
CHAR(10),
"|"&amp;'Ingest Template'!C435&amp;CHAR(10)
)&amp;"|"&amp;'Ingest Template'!C435&amp;CHAR(10)&amp;'Ingest Template'!Y435
)</f>
        <v>#N/A</v>
      </c>
      <c r="X435" s="74" t="str">
        <f>'Ingest Template'!Z435</f>
        <v/>
      </c>
      <c r="Y435" s="35" t="str">
        <f>SUBSTITUTE(SUBSTITUTE(SUBSTITUTE('Ingest Template'!AA435,"http:",""),"https:",""),"/","")</f>
        <v/>
      </c>
      <c r="Z435" s="35" t="str">
        <f t="array" ref="Z435">IF('Ingest Template'!A435="Standard",(IF(ISBLANK('Ingest Template'!AB435),"", 'Ingest Template'!AB435&amp;"|DAR")),(IF(ISBLANK('Ingest Template'!AB435),"", 'Ingest Template'!AB435&amp;"|TV Ops")))</f>
        <v/>
      </c>
      <c r="AA435" s="35"/>
      <c r="AB435" s="35" t="str">
        <f>'Ingest Template'!R435</f>
        <v/>
      </c>
      <c r="AC435" s="35" t="str">
        <f>'Ingest Template'!T435</f>
        <v/>
      </c>
      <c r="AD435" s="35" t="str">
        <f>'Ingest Template'!S435</f>
        <v/>
      </c>
      <c r="AE435" s="35" t="str">
        <f>'Ingest Template'!U435</f>
        <v/>
      </c>
      <c r="AF435" s="22"/>
      <c r="AG435" s="35" t="str">
        <f t="array" ref="AG435">IF('Ingest Template'!A435="Standard",(CONCATENATE(IF(ISBLANK('Ingest Template'!N435),"", 'Ingest Template'!N435&amp;"|DAR"),CHAR(10), IF(ISBLANK('Ingest Template'!O435),"", 'Ingest Template'!O435&amp;"|DAR"),CHAR(10), IF(ISBLANK('Ingest Template'!P435),"", 'Ingest Template'!P435&amp;"|DAR"))),(CONCATENATE(IF(ISBLANK('Ingest Template'!N435),"", 'Ingest Template'!N435&amp;"|TV Ops"),CHAR(10), IF(ISBLANK('Ingest Template'!O435),"", 'Ingest Template'!O435&amp;"|TV Ops"),CHAR(10), IF(ISBLANK('Ingest Template'!P435),"", 'Ingest Template'!P435&amp;"|TV Ops"))))</f>
        <v>
</v>
      </c>
      <c r="AH435" s="35"/>
      <c r="AI435" s="35"/>
      <c r="AJ435" s="117" t="str">
        <f>if('Ingest Template'!A435="Standard",(IF(OR('Ingest Template'!F435 = "Program Type - Special", 'Ingest Template'!F435 = "Program Type - Live Event"),'Ingest Template'!M435&amp; "|DAR|DAR|"&amp;TEXT('Ingest Template'!C435-3, "yyyy-mm-dd")&amp;"|"&amp;TEXT('Ingest Template'!C435+3, "yyyy-mm-dd"),'Ingest Template'!M435&amp; "|DAR|DAR|2021-01-01")),(IF(OR('Ingest Template'!F435 = "Program Type - Special", 'Ingest Template'!F435 = "Program Type - Live Event"),'Ingest Template'!M435&amp; "|Operations - Core Title|Operations - Core Title|"&amp;TEXT('Ingest Template'!C435-3, "yyyy-mm-dd")&amp;"|"&amp;TEXT('Ingest Template'!C435+3, "yyyy-mm-dd"),'Ingest Template'!M435&amp; "|Operations - Core Title|Operations - Core Title")))</f>
        <v>|Operations - Core Title|Operations - Core Title</v>
      </c>
      <c r="AK435" s="35"/>
      <c r="AL435" s="117" t="str">
        <f>if('Ingest Template'!A435="Standard",(IF(OR('Ingest Template'!F435 = "Program Type - Special", 'Ingest Template'!F435 = "Program Type - Live Event"),'Ingest Template'!Q435&amp;"|"&amp;TEXT('Ingest Template'!C435-3, "yyyy-mm-dd")&amp;"|"&amp;TEXT('Ingest Template'!C435+3, "yyyy-mm-dd"),'Ingest Template'!Q435&amp; "|2021-01-01")),(IF(OR('Ingest Template'!F435 = "Program Type - Special", 'Ingest Template'!F435 = "Program Type - Live Event"),'Ingest Template'!Q435&amp; "|"&amp;TEXT('Ingest Template'!C435-3, "yyyy-mm-dd")&amp;"|"&amp;TEXT('Ingest Template'!C435+3, "yyyy-mm-dd"),'Ingest Template'!Q435)))</f>
        <v/>
      </c>
      <c r="AM435" s="35" t="str">
        <f>'Ingest Template'!AC435</f>
        <v/>
      </c>
    </row>
    <row r="436">
      <c r="A436" s="15"/>
      <c r="B436" s="22" t="str">
        <f>'Ingest Template'!C436&amp;IF('Ingest Template'!A436 = "Standard", " - DAR","")</f>
        <v/>
      </c>
      <c r="C436" s="22" t="s">
        <v>83</v>
      </c>
      <c r="D436" s="22" t="str">
        <f t="array" ref="D436">CONCATENATE(INDEX(DropdownLists!$H$2:$H$11,MATCH(1,COUNTIF('Ingest Template'!E436,"*"&amp;DropdownLists!$I$2:$I$11&amp;"*"),0)),CHAR(10),'Ingest Template'!F436,CHAR(10),'Ingest Template'!G436,CHAR(10),VLOOKUP('Ingest Template'!D436,DropdownLists!C:D,2,FALSE))</f>
        <v>#N/A</v>
      </c>
      <c r="E436" s="22" t="str">
        <f>CONCATENATE('Ingest Template'!H436,CHAR(10),'Ingest Template'!I436,CHAR(10),'Ingest Template'!J436,CHAR(10))</f>
        <v>
</v>
      </c>
      <c r="F436" s="35" t="str">
        <f t="array" ref="F436">INDEX(DropdownLists!$O$2:$O$36,MATCH(1,COUNTIF(E436,"*"&amp;DropdownLists!$N$2:$N$36&amp;"*"),0))</f>
        <v/>
      </c>
      <c r="G436" s="35"/>
      <c r="H436" s="22" t="str">
        <f t="array" ref="H436">INDEX(DropdownLists!$E$2:$E$276,MATCH('Ingest Template'!D436,DropdownLists!$C$2:$C$276,0))</f>
        <v>#N/A</v>
      </c>
      <c r="I436" s="22"/>
      <c r="J436" s="22" t="str">
        <f t="array" ref="J436">iF('Ingest Template'!A436="Standard","Pristine Brand",INDEX(DropdownLists!$B$2:$B$246,MATCH('Ingest Template'!D436,DropdownLists!$C$2:$C$246,0)))</f>
        <v>#N/A</v>
      </c>
      <c r="K436" s="22" t="str">
        <f>iF('Ingest Template'!A436="Standard",'Ingest Template'!K436&amp;CHAR(10)&amp;'Ingest Template'!L436,"Competitive View")</f>
        <v>Competitive View</v>
      </c>
      <c r="L436" s="22" t="s">
        <v>95</v>
      </c>
      <c r="M436" s="45" t="str">
        <f>'Ingest Template'!B436</f>
        <v/>
      </c>
      <c r="N436" s="35"/>
      <c r="O436" s="35"/>
      <c r="P436" s="35"/>
      <c r="Q436" s="35"/>
      <c r="R436" s="35" t="str">
        <f>'Ingest Template'!D436</f>
        <v/>
      </c>
      <c r="S436" s="22" t="s">
        <v>101</v>
      </c>
      <c r="T436" s="35" t="str">
        <f>'Ingest Template'!V436</f>
        <v/>
      </c>
      <c r="U436" s="35" t="str">
        <f>'Ingest Template'!W436</f>
        <v/>
      </c>
      <c r="V436" s="35" t="str">
        <f>LOWER(SUBSTITUTE(SUBSTITUTE(SUBSTITUTE(SUBSTITUTE(SUBSTITUTE('Ingest Template'!X436,"https:",""),"www.",""),"/",""),"?hl=en",""),"instagram.com",""))</f>
        <v/>
      </c>
      <c r="W436" s="74" t="str">
        <f t="array" ref="W436">IF(
'Ingest Template'!Y436="",
SUBSTITUTE(
INDEX(DropdownLists!$F$2:$F$277,MATCH('Ingest Template'!D436,DropdownLists!$C$2:$C$277,0)),
CHAR(10),
"|"&amp;'Ingest Template'!C436&amp;CHAR(10)
)&amp;"|"&amp;'Ingest Template'!C436,
SUBSTITUTE(
INDEX(DropdownLists!$F$2:$F$277,MATCH('Ingest Template'!D436,DropdownLists!$C$2:$C$277,0)),
CHAR(10),
"|"&amp;'Ingest Template'!C436&amp;CHAR(10)
)&amp;"|"&amp;'Ingest Template'!C436&amp;CHAR(10)&amp;'Ingest Template'!Y436
)</f>
        <v>#N/A</v>
      </c>
      <c r="X436" s="74" t="str">
        <f>'Ingest Template'!Z436</f>
        <v/>
      </c>
      <c r="Y436" s="35" t="str">
        <f>SUBSTITUTE(SUBSTITUTE(SUBSTITUTE('Ingest Template'!AA436,"http:",""),"https:",""),"/","")</f>
        <v/>
      </c>
      <c r="Z436" s="35" t="str">
        <f t="array" ref="Z436">IF('Ingest Template'!A436="Standard",(IF(ISBLANK('Ingest Template'!AB436),"", 'Ingest Template'!AB436&amp;"|DAR")),(IF(ISBLANK('Ingest Template'!AB436),"", 'Ingest Template'!AB436&amp;"|TV Ops")))</f>
        <v/>
      </c>
      <c r="AA436" s="35"/>
      <c r="AB436" s="35" t="str">
        <f>'Ingest Template'!R436</f>
        <v/>
      </c>
      <c r="AC436" s="35" t="str">
        <f>'Ingest Template'!T436</f>
        <v/>
      </c>
      <c r="AD436" s="35" t="str">
        <f>'Ingest Template'!S436</f>
        <v/>
      </c>
      <c r="AE436" s="35" t="str">
        <f>'Ingest Template'!U436</f>
        <v/>
      </c>
      <c r="AF436" s="22"/>
      <c r="AG436" s="35" t="str">
        <f t="array" ref="AG436">IF('Ingest Template'!A436="Standard",(CONCATENATE(IF(ISBLANK('Ingest Template'!N436),"", 'Ingest Template'!N436&amp;"|DAR"),CHAR(10), IF(ISBLANK('Ingest Template'!O436),"", 'Ingest Template'!O436&amp;"|DAR"),CHAR(10), IF(ISBLANK('Ingest Template'!P436),"", 'Ingest Template'!P436&amp;"|DAR"))),(CONCATENATE(IF(ISBLANK('Ingest Template'!N436),"", 'Ingest Template'!N436&amp;"|TV Ops"),CHAR(10), IF(ISBLANK('Ingest Template'!O436),"", 'Ingest Template'!O436&amp;"|TV Ops"),CHAR(10), IF(ISBLANK('Ingest Template'!P436),"", 'Ingest Template'!P436&amp;"|TV Ops"))))</f>
        <v>
</v>
      </c>
      <c r="AH436" s="35"/>
      <c r="AI436" s="35"/>
      <c r="AJ436" s="117" t="str">
        <f>if('Ingest Template'!A436="Standard",(IF(OR('Ingest Template'!F436 = "Program Type - Special", 'Ingest Template'!F436 = "Program Type - Live Event"),'Ingest Template'!M436&amp; "|DAR|DAR|"&amp;TEXT('Ingest Template'!C436-3, "yyyy-mm-dd")&amp;"|"&amp;TEXT('Ingest Template'!C436+3, "yyyy-mm-dd"),'Ingest Template'!M436&amp; "|DAR|DAR|2021-01-01")),(IF(OR('Ingest Template'!F436 = "Program Type - Special", 'Ingest Template'!F436 = "Program Type - Live Event"),'Ingest Template'!M436&amp; "|Operations - Core Title|Operations - Core Title|"&amp;TEXT('Ingest Template'!C436-3, "yyyy-mm-dd")&amp;"|"&amp;TEXT('Ingest Template'!C436+3, "yyyy-mm-dd"),'Ingest Template'!M436&amp; "|Operations - Core Title|Operations - Core Title")))</f>
        <v>|Operations - Core Title|Operations - Core Title</v>
      </c>
      <c r="AK436" s="35"/>
      <c r="AL436" s="117" t="str">
        <f>if('Ingest Template'!A436="Standard",(IF(OR('Ingest Template'!F436 = "Program Type - Special", 'Ingest Template'!F436 = "Program Type - Live Event"),'Ingest Template'!Q436&amp;"|"&amp;TEXT('Ingest Template'!C436-3, "yyyy-mm-dd")&amp;"|"&amp;TEXT('Ingest Template'!C436+3, "yyyy-mm-dd"),'Ingest Template'!Q436&amp; "|2021-01-01")),(IF(OR('Ingest Template'!F436 = "Program Type - Special", 'Ingest Template'!F436 = "Program Type - Live Event"),'Ingest Template'!Q436&amp; "|"&amp;TEXT('Ingest Template'!C436-3, "yyyy-mm-dd")&amp;"|"&amp;TEXT('Ingest Template'!C436+3, "yyyy-mm-dd"),'Ingest Template'!Q436)))</f>
        <v/>
      </c>
      <c r="AM436" s="35" t="str">
        <f>'Ingest Template'!AC436</f>
        <v/>
      </c>
    </row>
    <row r="437">
      <c r="A437" s="15"/>
      <c r="B437" s="22" t="str">
        <f>'Ingest Template'!C437&amp;IF('Ingest Template'!A437 = "Standard", " - DAR","")</f>
        <v/>
      </c>
      <c r="C437" s="22" t="s">
        <v>83</v>
      </c>
      <c r="D437" s="22" t="str">
        <f t="array" ref="D437">CONCATENATE(INDEX(DropdownLists!$H$2:$H$11,MATCH(1,COUNTIF('Ingest Template'!E437,"*"&amp;DropdownLists!$I$2:$I$11&amp;"*"),0)),CHAR(10),'Ingest Template'!F437,CHAR(10),'Ingest Template'!G437,CHAR(10),VLOOKUP('Ingest Template'!D437,DropdownLists!C:D,2,FALSE))</f>
        <v>#N/A</v>
      </c>
      <c r="E437" s="22" t="str">
        <f>CONCATENATE('Ingest Template'!H437,CHAR(10),'Ingest Template'!I437,CHAR(10),'Ingest Template'!J437,CHAR(10))</f>
        <v>
</v>
      </c>
      <c r="F437" s="35" t="str">
        <f t="array" ref="F437">INDEX(DropdownLists!$O$2:$O$36,MATCH(1,COUNTIF(E437,"*"&amp;DropdownLists!$N$2:$N$36&amp;"*"),0))</f>
        <v/>
      </c>
      <c r="G437" s="35"/>
      <c r="H437" s="22" t="str">
        <f t="array" ref="H437">INDEX(DropdownLists!$E$2:$E$276,MATCH('Ingest Template'!D437,DropdownLists!$C$2:$C$276,0))</f>
        <v>#N/A</v>
      </c>
      <c r="I437" s="22"/>
      <c r="J437" s="22" t="str">
        <f t="array" ref="J437">iF('Ingest Template'!A437="Standard","Pristine Brand",INDEX(DropdownLists!$B$2:$B$246,MATCH('Ingest Template'!D437,DropdownLists!$C$2:$C$246,0)))</f>
        <v>#N/A</v>
      </c>
      <c r="K437" s="22" t="str">
        <f>iF('Ingest Template'!A437="Standard",'Ingest Template'!K437&amp;CHAR(10)&amp;'Ingest Template'!L437,"Competitive View")</f>
        <v>Competitive View</v>
      </c>
      <c r="L437" s="22" t="s">
        <v>95</v>
      </c>
      <c r="M437" s="45" t="str">
        <f>'Ingest Template'!B437</f>
        <v/>
      </c>
      <c r="N437" s="35"/>
      <c r="O437" s="35"/>
      <c r="P437" s="35"/>
      <c r="Q437" s="35"/>
      <c r="R437" s="35" t="str">
        <f>'Ingest Template'!D437</f>
        <v/>
      </c>
      <c r="S437" s="22" t="s">
        <v>101</v>
      </c>
      <c r="T437" s="35" t="str">
        <f>'Ingest Template'!V437</f>
        <v/>
      </c>
      <c r="U437" s="35" t="str">
        <f>'Ingest Template'!W437</f>
        <v/>
      </c>
      <c r="V437" s="35" t="str">
        <f>LOWER(SUBSTITUTE(SUBSTITUTE(SUBSTITUTE(SUBSTITUTE(SUBSTITUTE('Ingest Template'!X437,"https:",""),"www.",""),"/",""),"?hl=en",""),"instagram.com",""))</f>
        <v/>
      </c>
      <c r="W437" s="74" t="str">
        <f t="array" ref="W437">IF(
'Ingest Template'!Y437="",
SUBSTITUTE(
INDEX(DropdownLists!$F$2:$F$277,MATCH('Ingest Template'!D437,DropdownLists!$C$2:$C$277,0)),
CHAR(10),
"|"&amp;'Ingest Template'!C437&amp;CHAR(10)
)&amp;"|"&amp;'Ingest Template'!C437,
SUBSTITUTE(
INDEX(DropdownLists!$F$2:$F$277,MATCH('Ingest Template'!D437,DropdownLists!$C$2:$C$277,0)),
CHAR(10),
"|"&amp;'Ingest Template'!C437&amp;CHAR(10)
)&amp;"|"&amp;'Ingest Template'!C437&amp;CHAR(10)&amp;'Ingest Template'!Y437
)</f>
        <v>#N/A</v>
      </c>
      <c r="X437" s="74" t="str">
        <f>'Ingest Template'!Z437</f>
        <v/>
      </c>
      <c r="Y437" s="35" t="str">
        <f>SUBSTITUTE(SUBSTITUTE(SUBSTITUTE('Ingest Template'!AA437,"http:",""),"https:",""),"/","")</f>
        <v/>
      </c>
      <c r="Z437" s="35" t="str">
        <f t="array" ref="Z437">IF('Ingest Template'!A437="Standard",(IF(ISBLANK('Ingest Template'!AB437),"", 'Ingest Template'!AB437&amp;"|DAR")),(IF(ISBLANK('Ingest Template'!AB437),"", 'Ingest Template'!AB437&amp;"|TV Ops")))</f>
        <v/>
      </c>
      <c r="AA437" s="35"/>
      <c r="AB437" s="35" t="str">
        <f>'Ingest Template'!R437</f>
        <v/>
      </c>
      <c r="AC437" s="35" t="str">
        <f>'Ingest Template'!T437</f>
        <v/>
      </c>
      <c r="AD437" s="35" t="str">
        <f>'Ingest Template'!S437</f>
        <v/>
      </c>
      <c r="AE437" s="35" t="str">
        <f>'Ingest Template'!U437</f>
        <v/>
      </c>
      <c r="AF437" s="22"/>
      <c r="AG437" s="35" t="str">
        <f t="array" ref="AG437">IF('Ingest Template'!A437="Standard",(CONCATENATE(IF(ISBLANK('Ingest Template'!N437),"", 'Ingest Template'!N437&amp;"|DAR"),CHAR(10), IF(ISBLANK('Ingest Template'!O437),"", 'Ingest Template'!O437&amp;"|DAR"),CHAR(10), IF(ISBLANK('Ingest Template'!P437),"", 'Ingest Template'!P437&amp;"|DAR"))),(CONCATENATE(IF(ISBLANK('Ingest Template'!N437),"", 'Ingest Template'!N437&amp;"|TV Ops"),CHAR(10), IF(ISBLANK('Ingest Template'!O437),"", 'Ingest Template'!O437&amp;"|TV Ops"),CHAR(10), IF(ISBLANK('Ingest Template'!P437),"", 'Ingest Template'!P437&amp;"|TV Ops"))))</f>
        <v>
</v>
      </c>
      <c r="AH437" s="35"/>
      <c r="AI437" s="35"/>
      <c r="AJ437" s="117" t="str">
        <f>if('Ingest Template'!A437="Standard",(IF(OR('Ingest Template'!F437 = "Program Type - Special", 'Ingest Template'!F437 = "Program Type - Live Event"),'Ingest Template'!M437&amp; "|DAR|DAR|"&amp;TEXT('Ingest Template'!C437-3, "yyyy-mm-dd")&amp;"|"&amp;TEXT('Ingest Template'!C437+3, "yyyy-mm-dd"),'Ingest Template'!M437&amp; "|DAR|DAR|2021-01-01")),(IF(OR('Ingest Template'!F437 = "Program Type - Special", 'Ingest Template'!F437 = "Program Type - Live Event"),'Ingest Template'!M437&amp; "|Operations - Core Title|Operations - Core Title|"&amp;TEXT('Ingest Template'!C437-3, "yyyy-mm-dd")&amp;"|"&amp;TEXT('Ingest Template'!C437+3, "yyyy-mm-dd"),'Ingest Template'!M437&amp; "|Operations - Core Title|Operations - Core Title")))</f>
        <v>|Operations - Core Title|Operations - Core Title</v>
      </c>
      <c r="AK437" s="35"/>
      <c r="AL437" s="117" t="str">
        <f>if('Ingest Template'!A437="Standard",(IF(OR('Ingest Template'!F437 = "Program Type - Special", 'Ingest Template'!F437 = "Program Type - Live Event"),'Ingest Template'!Q437&amp;"|"&amp;TEXT('Ingest Template'!C437-3, "yyyy-mm-dd")&amp;"|"&amp;TEXT('Ingest Template'!C437+3, "yyyy-mm-dd"),'Ingest Template'!Q437&amp; "|2021-01-01")),(IF(OR('Ingest Template'!F437 = "Program Type - Special", 'Ingest Template'!F437 = "Program Type - Live Event"),'Ingest Template'!Q437&amp; "|"&amp;TEXT('Ingest Template'!C437-3, "yyyy-mm-dd")&amp;"|"&amp;TEXT('Ingest Template'!C437+3, "yyyy-mm-dd"),'Ingest Template'!Q437)))</f>
        <v/>
      </c>
      <c r="AM437" s="35" t="str">
        <f>'Ingest Template'!AC437</f>
        <v/>
      </c>
    </row>
    <row r="438">
      <c r="A438" s="15"/>
      <c r="B438" s="22" t="str">
        <f>'Ingest Template'!C438&amp;IF('Ingest Template'!A438 = "Standard", " - DAR","")</f>
        <v/>
      </c>
      <c r="C438" s="22" t="s">
        <v>83</v>
      </c>
      <c r="D438" s="22" t="str">
        <f t="array" ref="D438">CONCATENATE(INDEX(DropdownLists!$H$2:$H$11,MATCH(1,COUNTIF('Ingest Template'!E438,"*"&amp;DropdownLists!$I$2:$I$11&amp;"*"),0)),CHAR(10),'Ingest Template'!F438,CHAR(10),'Ingest Template'!G438,CHAR(10),VLOOKUP('Ingest Template'!D438,DropdownLists!C:D,2,FALSE))</f>
        <v>#N/A</v>
      </c>
      <c r="E438" s="22" t="str">
        <f>CONCATENATE('Ingest Template'!H438,CHAR(10),'Ingest Template'!I438,CHAR(10),'Ingest Template'!J438,CHAR(10))</f>
        <v>
</v>
      </c>
      <c r="F438" s="35" t="str">
        <f t="array" ref="F438">INDEX(DropdownLists!$O$2:$O$36,MATCH(1,COUNTIF(E438,"*"&amp;DropdownLists!$N$2:$N$36&amp;"*"),0))</f>
        <v/>
      </c>
      <c r="G438" s="35"/>
      <c r="H438" s="22" t="str">
        <f t="array" ref="H438">INDEX(DropdownLists!$E$2:$E$276,MATCH('Ingest Template'!D438,DropdownLists!$C$2:$C$276,0))</f>
        <v>#N/A</v>
      </c>
      <c r="I438" s="22"/>
      <c r="J438" s="22" t="str">
        <f t="array" ref="J438">iF('Ingest Template'!A438="Standard","Pristine Brand",INDEX(DropdownLists!$B$2:$B$246,MATCH('Ingest Template'!D438,DropdownLists!$C$2:$C$246,0)))</f>
        <v>#N/A</v>
      </c>
      <c r="K438" s="22" t="str">
        <f>iF('Ingest Template'!A438="Standard",'Ingest Template'!K438&amp;CHAR(10)&amp;'Ingest Template'!L438,"Competitive View")</f>
        <v>Competitive View</v>
      </c>
      <c r="L438" s="22" t="s">
        <v>95</v>
      </c>
      <c r="M438" s="45" t="str">
        <f>'Ingest Template'!B438</f>
        <v/>
      </c>
      <c r="N438" s="35"/>
      <c r="O438" s="35"/>
      <c r="P438" s="35"/>
      <c r="Q438" s="35"/>
      <c r="R438" s="35" t="str">
        <f>'Ingest Template'!D438</f>
        <v/>
      </c>
      <c r="S438" s="22" t="s">
        <v>101</v>
      </c>
      <c r="T438" s="35" t="str">
        <f>'Ingest Template'!V438</f>
        <v/>
      </c>
      <c r="U438" s="35" t="str">
        <f>'Ingest Template'!W438</f>
        <v/>
      </c>
      <c r="V438" s="35" t="str">
        <f>LOWER(SUBSTITUTE(SUBSTITUTE(SUBSTITUTE(SUBSTITUTE(SUBSTITUTE('Ingest Template'!X438,"https:",""),"www.",""),"/",""),"?hl=en",""),"instagram.com",""))</f>
        <v/>
      </c>
      <c r="W438" s="74" t="str">
        <f t="array" ref="W438">IF(
'Ingest Template'!Y438="",
SUBSTITUTE(
INDEX(DropdownLists!$F$2:$F$277,MATCH('Ingest Template'!D438,DropdownLists!$C$2:$C$277,0)),
CHAR(10),
"|"&amp;'Ingest Template'!C438&amp;CHAR(10)
)&amp;"|"&amp;'Ingest Template'!C438,
SUBSTITUTE(
INDEX(DropdownLists!$F$2:$F$277,MATCH('Ingest Template'!D438,DropdownLists!$C$2:$C$277,0)),
CHAR(10),
"|"&amp;'Ingest Template'!C438&amp;CHAR(10)
)&amp;"|"&amp;'Ingest Template'!C438&amp;CHAR(10)&amp;'Ingest Template'!Y438
)</f>
        <v>#N/A</v>
      </c>
      <c r="X438" s="74" t="str">
        <f>'Ingest Template'!Z438</f>
        <v/>
      </c>
      <c r="Y438" s="35" t="str">
        <f>SUBSTITUTE(SUBSTITUTE(SUBSTITUTE('Ingest Template'!AA438,"http:",""),"https:",""),"/","")</f>
        <v/>
      </c>
      <c r="Z438" s="35" t="str">
        <f t="array" ref="Z438">IF('Ingest Template'!A438="Standard",(IF(ISBLANK('Ingest Template'!AB438),"", 'Ingest Template'!AB438&amp;"|DAR")),(IF(ISBLANK('Ingest Template'!AB438),"", 'Ingest Template'!AB438&amp;"|TV Ops")))</f>
        <v/>
      </c>
      <c r="AA438" s="35"/>
      <c r="AB438" s="35" t="str">
        <f>'Ingest Template'!R438</f>
        <v/>
      </c>
      <c r="AC438" s="35" t="str">
        <f>'Ingest Template'!T438</f>
        <v/>
      </c>
      <c r="AD438" s="35" t="str">
        <f>'Ingest Template'!S438</f>
        <v/>
      </c>
      <c r="AE438" s="35" t="str">
        <f>'Ingest Template'!U438</f>
        <v/>
      </c>
      <c r="AF438" s="22"/>
      <c r="AG438" s="35" t="str">
        <f t="array" ref="AG438">IF('Ingest Template'!A438="Standard",(CONCATENATE(IF(ISBLANK('Ingest Template'!N438),"", 'Ingest Template'!N438&amp;"|DAR"),CHAR(10), IF(ISBLANK('Ingest Template'!O438),"", 'Ingest Template'!O438&amp;"|DAR"),CHAR(10), IF(ISBLANK('Ingest Template'!P438),"", 'Ingest Template'!P438&amp;"|DAR"))),(CONCATENATE(IF(ISBLANK('Ingest Template'!N438),"", 'Ingest Template'!N438&amp;"|TV Ops"),CHAR(10), IF(ISBLANK('Ingest Template'!O438),"", 'Ingest Template'!O438&amp;"|TV Ops"),CHAR(10), IF(ISBLANK('Ingest Template'!P438),"", 'Ingest Template'!P438&amp;"|TV Ops"))))</f>
        <v>
</v>
      </c>
      <c r="AH438" s="35"/>
      <c r="AI438" s="35"/>
      <c r="AJ438" s="117" t="str">
        <f>if('Ingest Template'!A438="Standard",(IF(OR('Ingest Template'!F438 = "Program Type - Special", 'Ingest Template'!F438 = "Program Type - Live Event"),'Ingest Template'!M438&amp; "|DAR|DAR|"&amp;TEXT('Ingest Template'!C438-3, "yyyy-mm-dd")&amp;"|"&amp;TEXT('Ingest Template'!C438+3, "yyyy-mm-dd"),'Ingest Template'!M438&amp; "|DAR|DAR|2021-01-01")),(IF(OR('Ingest Template'!F438 = "Program Type - Special", 'Ingest Template'!F438 = "Program Type - Live Event"),'Ingest Template'!M438&amp; "|Operations - Core Title|Operations - Core Title|"&amp;TEXT('Ingest Template'!C438-3, "yyyy-mm-dd")&amp;"|"&amp;TEXT('Ingest Template'!C438+3, "yyyy-mm-dd"),'Ingest Template'!M438&amp; "|Operations - Core Title|Operations - Core Title")))</f>
        <v>|Operations - Core Title|Operations - Core Title</v>
      </c>
      <c r="AK438" s="35"/>
      <c r="AL438" s="117" t="str">
        <f>if('Ingest Template'!A438="Standard",(IF(OR('Ingest Template'!F438 = "Program Type - Special", 'Ingest Template'!F438 = "Program Type - Live Event"),'Ingest Template'!Q438&amp;"|"&amp;TEXT('Ingest Template'!C438-3, "yyyy-mm-dd")&amp;"|"&amp;TEXT('Ingest Template'!C438+3, "yyyy-mm-dd"),'Ingest Template'!Q438&amp; "|2021-01-01")),(IF(OR('Ingest Template'!F438 = "Program Type - Special", 'Ingest Template'!F438 = "Program Type - Live Event"),'Ingest Template'!Q438&amp; "|"&amp;TEXT('Ingest Template'!C438-3, "yyyy-mm-dd")&amp;"|"&amp;TEXT('Ingest Template'!C438+3, "yyyy-mm-dd"),'Ingest Template'!Q438)))</f>
        <v/>
      </c>
      <c r="AM438" s="35" t="str">
        <f>'Ingest Template'!AC438</f>
        <v/>
      </c>
    </row>
    <row r="439">
      <c r="A439" s="15"/>
      <c r="B439" s="22" t="str">
        <f>'Ingest Template'!C439&amp;IF('Ingest Template'!A439 = "Standard", " - DAR","")</f>
        <v/>
      </c>
      <c r="C439" s="22" t="s">
        <v>83</v>
      </c>
      <c r="D439" s="22" t="str">
        <f t="array" ref="D439">CONCATENATE(INDEX(DropdownLists!$H$2:$H$11,MATCH(1,COUNTIF('Ingest Template'!E439,"*"&amp;DropdownLists!$I$2:$I$11&amp;"*"),0)),CHAR(10),'Ingest Template'!F439,CHAR(10),'Ingest Template'!G439,CHAR(10),VLOOKUP('Ingest Template'!D439,DropdownLists!C:D,2,FALSE))</f>
        <v>#N/A</v>
      </c>
      <c r="E439" s="22" t="str">
        <f>CONCATENATE('Ingest Template'!H439,CHAR(10),'Ingest Template'!I439,CHAR(10),'Ingest Template'!J439,CHAR(10))</f>
        <v>
</v>
      </c>
      <c r="F439" s="35" t="str">
        <f t="array" ref="F439">INDEX(DropdownLists!$O$2:$O$36,MATCH(1,COUNTIF(E439,"*"&amp;DropdownLists!$N$2:$N$36&amp;"*"),0))</f>
        <v/>
      </c>
      <c r="G439" s="35"/>
      <c r="H439" s="22" t="str">
        <f t="array" ref="H439">INDEX(DropdownLists!$E$2:$E$276,MATCH('Ingest Template'!D439,DropdownLists!$C$2:$C$276,0))</f>
        <v>#N/A</v>
      </c>
      <c r="I439" s="22"/>
      <c r="J439" s="22" t="str">
        <f t="array" ref="J439">iF('Ingest Template'!A439="Standard","Pristine Brand",INDEX(DropdownLists!$B$2:$B$246,MATCH('Ingest Template'!D439,DropdownLists!$C$2:$C$246,0)))</f>
        <v>#N/A</v>
      </c>
      <c r="K439" s="22" t="str">
        <f>iF('Ingest Template'!A439="Standard",'Ingest Template'!K439&amp;CHAR(10)&amp;'Ingest Template'!L439,"Competitive View")</f>
        <v>Competitive View</v>
      </c>
      <c r="L439" s="22" t="s">
        <v>95</v>
      </c>
      <c r="M439" s="45" t="str">
        <f>'Ingest Template'!B439</f>
        <v/>
      </c>
      <c r="N439" s="35"/>
      <c r="O439" s="35"/>
      <c r="P439" s="35"/>
      <c r="Q439" s="35"/>
      <c r="R439" s="35" t="str">
        <f>'Ingest Template'!D439</f>
        <v/>
      </c>
      <c r="S439" s="22" t="s">
        <v>101</v>
      </c>
      <c r="T439" s="35" t="str">
        <f>'Ingest Template'!V439</f>
        <v/>
      </c>
      <c r="U439" s="35" t="str">
        <f>'Ingest Template'!W439</f>
        <v/>
      </c>
      <c r="V439" s="35" t="str">
        <f>LOWER(SUBSTITUTE(SUBSTITUTE(SUBSTITUTE(SUBSTITUTE(SUBSTITUTE('Ingest Template'!X439,"https:",""),"www.",""),"/",""),"?hl=en",""),"instagram.com",""))</f>
        <v/>
      </c>
      <c r="W439" s="74" t="str">
        <f t="array" ref="W439">IF(
'Ingest Template'!Y439="",
SUBSTITUTE(
INDEX(DropdownLists!$F$2:$F$277,MATCH('Ingest Template'!D439,DropdownLists!$C$2:$C$277,0)),
CHAR(10),
"|"&amp;'Ingest Template'!C439&amp;CHAR(10)
)&amp;"|"&amp;'Ingest Template'!C439,
SUBSTITUTE(
INDEX(DropdownLists!$F$2:$F$277,MATCH('Ingest Template'!D439,DropdownLists!$C$2:$C$277,0)),
CHAR(10),
"|"&amp;'Ingest Template'!C439&amp;CHAR(10)
)&amp;"|"&amp;'Ingest Template'!C439&amp;CHAR(10)&amp;'Ingest Template'!Y439
)</f>
        <v>#N/A</v>
      </c>
      <c r="X439" s="74" t="str">
        <f>'Ingest Template'!Z439</f>
        <v/>
      </c>
      <c r="Y439" s="35" t="str">
        <f>SUBSTITUTE(SUBSTITUTE(SUBSTITUTE('Ingest Template'!AA439,"http:",""),"https:",""),"/","")</f>
        <v/>
      </c>
      <c r="Z439" s="35" t="str">
        <f t="array" ref="Z439">IF('Ingest Template'!A439="Standard",(IF(ISBLANK('Ingest Template'!AB439),"", 'Ingest Template'!AB439&amp;"|DAR")),(IF(ISBLANK('Ingest Template'!AB439),"", 'Ingest Template'!AB439&amp;"|TV Ops")))</f>
        <v/>
      </c>
      <c r="AA439" s="35"/>
      <c r="AB439" s="35" t="str">
        <f>'Ingest Template'!R439</f>
        <v/>
      </c>
      <c r="AC439" s="35" t="str">
        <f>'Ingest Template'!T439</f>
        <v/>
      </c>
      <c r="AD439" s="35" t="str">
        <f>'Ingest Template'!S439</f>
        <v/>
      </c>
      <c r="AE439" s="35" t="str">
        <f>'Ingest Template'!U439</f>
        <v/>
      </c>
      <c r="AF439" s="22"/>
      <c r="AG439" s="35" t="str">
        <f t="array" ref="AG439">IF('Ingest Template'!A439="Standard",(CONCATENATE(IF(ISBLANK('Ingest Template'!N439),"", 'Ingest Template'!N439&amp;"|DAR"),CHAR(10), IF(ISBLANK('Ingest Template'!O439),"", 'Ingest Template'!O439&amp;"|DAR"),CHAR(10), IF(ISBLANK('Ingest Template'!P439),"", 'Ingest Template'!P439&amp;"|DAR"))),(CONCATENATE(IF(ISBLANK('Ingest Template'!N439),"", 'Ingest Template'!N439&amp;"|TV Ops"),CHAR(10), IF(ISBLANK('Ingest Template'!O439),"", 'Ingest Template'!O439&amp;"|TV Ops"),CHAR(10), IF(ISBLANK('Ingest Template'!P439),"", 'Ingest Template'!P439&amp;"|TV Ops"))))</f>
        <v>
</v>
      </c>
      <c r="AH439" s="35"/>
      <c r="AI439" s="35"/>
      <c r="AJ439" s="117" t="str">
        <f>if('Ingest Template'!A439="Standard",(IF(OR('Ingest Template'!F439 = "Program Type - Special", 'Ingest Template'!F439 = "Program Type - Live Event"),'Ingest Template'!M439&amp; "|DAR|DAR|"&amp;TEXT('Ingest Template'!C439-3, "yyyy-mm-dd")&amp;"|"&amp;TEXT('Ingest Template'!C439+3, "yyyy-mm-dd"),'Ingest Template'!M439&amp; "|DAR|DAR|2021-01-01")),(IF(OR('Ingest Template'!F439 = "Program Type - Special", 'Ingest Template'!F439 = "Program Type - Live Event"),'Ingest Template'!M439&amp; "|Operations - Core Title|Operations - Core Title|"&amp;TEXT('Ingest Template'!C439-3, "yyyy-mm-dd")&amp;"|"&amp;TEXT('Ingest Template'!C439+3, "yyyy-mm-dd"),'Ingest Template'!M439&amp; "|Operations - Core Title|Operations - Core Title")))</f>
        <v>|Operations - Core Title|Operations - Core Title</v>
      </c>
      <c r="AK439" s="35"/>
      <c r="AL439" s="117" t="str">
        <f>if('Ingest Template'!A439="Standard",(IF(OR('Ingest Template'!F439 = "Program Type - Special", 'Ingest Template'!F439 = "Program Type - Live Event"),'Ingest Template'!Q439&amp;"|"&amp;TEXT('Ingest Template'!C439-3, "yyyy-mm-dd")&amp;"|"&amp;TEXT('Ingest Template'!C439+3, "yyyy-mm-dd"),'Ingest Template'!Q439&amp; "|2021-01-01")),(IF(OR('Ingest Template'!F439 = "Program Type - Special", 'Ingest Template'!F439 = "Program Type - Live Event"),'Ingest Template'!Q439&amp; "|"&amp;TEXT('Ingest Template'!C439-3, "yyyy-mm-dd")&amp;"|"&amp;TEXT('Ingest Template'!C439+3, "yyyy-mm-dd"),'Ingest Template'!Q439)))</f>
        <v/>
      </c>
      <c r="AM439" s="35" t="str">
        <f>'Ingest Template'!AC439</f>
        <v/>
      </c>
    </row>
    <row r="440">
      <c r="A440" s="15"/>
      <c r="B440" s="22" t="str">
        <f>'Ingest Template'!C440&amp;IF('Ingest Template'!A440 = "Standard", " - DAR","")</f>
        <v/>
      </c>
      <c r="C440" s="22" t="s">
        <v>83</v>
      </c>
      <c r="D440" s="22" t="str">
        <f t="array" ref="D440">CONCATENATE(INDEX(DropdownLists!$H$2:$H$11,MATCH(1,COUNTIF('Ingest Template'!E440,"*"&amp;DropdownLists!$I$2:$I$11&amp;"*"),0)),CHAR(10),'Ingest Template'!F440,CHAR(10),'Ingest Template'!G440,CHAR(10),VLOOKUP('Ingest Template'!D440,DropdownLists!C:D,2,FALSE))</f>
        <v>#N/A</v>
      </c>
      <c r="E440" s="22" t="str">
        <f>CONCATENATE('Ingest Template'!H440,CHAR(10),'Ingest Template'!I440,CHAR(10),'Ingest Template'!J440,CHAR(10))</f>
        <v>
</v>
      </c>
      <c r="F440" s="35" t="str">
        <f t="array" ref="F440">INDEX(DropdownLists!$O$2:$O$36,MATCH(1,COUNTIF(E440,"*"&amp;DropdownLists!$N$2:$N$36&amp;"*"),0))</f>
        <v/>
      </c>
      <c r="G440" s="35"/>
      <c r="H440" s="22" t="str">
        <f t="array" ref="H440">INDEX(DropdownLists!$E$2:$E$276,MATCH('Ingest Template'!D440,DropdownLists!$C$2:$C$276,0))</f>
        <v>#N/A</v>
      </c>
      <c r="I440" s="22"/>
      <c r="J440" s="22" t="str">
        <f t="array" ref="J440">iF('Ingest Template'!A440="Standard","Pristine Brand",INDEX(DropdownLists!$B$2:$B$246,MATCH('Ingest Template'!D440,DropdownLists!$C$2:$C$246,0)))</f>
        <v>#N/A</v>
      </c>
      <c r="K440" s="22" t="str">
        <f>iF('Ingest Template'!A440="Standard",'Ingest Template'!K440&amp;CHAR(10)&amp;'Ingest Template'!L440,"Competitive View")</f>
        <v>Competitive View</v>
      </c>
      <c r="L440" s="22" t="s">
        <v>95</v>
      </c>
      <c r="M440" s="45" t="str">
        <f>'Ingest Template'!B440</f>
        <v/>
      </c>
      <c r="N440" s="35"/>
      <c r="O440" s="35"/>
      <c r="P440" s="35"/>
      <c r="Q440" s="35"/>
      <c r="R440" s="35" t="str">
        <f>'Ingest Template'!D440</f>
        <v/>
      </c>
      <c r="S440" s="22" t="s">
        <v>101</v>
      </c>
      <c r="T440" s="35" t="str">
        <f>'Ingest Template'!V440</f>
        <v/>
      </c>
      <c r="U440" s="35" t="str">
        <f>'Ingest Template'!W440</f>
        <v/>
      </c>
      <c r="V440" s="35" t="str">
        <f>LOWER(SUBSTITUTE(SUBSTITUTE(SUBSTITUTE(SUBSTITUTE(SUBSTITUTE('Ingest Template'!X440,"https:",""),"www.",""),"/",""),"?hl=en",""),"instagram.com",""))</f>
        <v/>
      </c>
      <c r="W440" s="74" t="str">
        <f t="array" ref="W440">IF(
'Ingest Template'!Y440="",
SUBSTITUTE(
INDEX(DropdownLists!$F$2:$F$277,MATCH('Ingest Template'!D440,DropdownLists!$C$2:$C$277,0)),
CHAR(10),
"|"&amp;'Ingest Template'!C440&amp;CHAR(10)
)&amp;"|"&amp;'Ingest Template'!C440,
SUBSTITUTE(
INDEX(DropdownLists!$F$2:$F$277,MATCH('Ingest Template'!D440,DropdownLists!$C$2:$C$277,0)),
CHAR(10),
"|"&amp;'Ingest Template'!C440&amp;CHAR(10)
)&amp;"|"&amp;'Ingest Template'!C440&amp;CHAR(10)&amp;'Ingest Template'!Y440
)</f>
        <v>#N/A</v>
      </c>
      <c r="X440" s="74" t="str">
        <f>'Ingest Template'!Z440</f>
        <v/>
      </c>
      <c r="Y440" s="35" t="str">
        <f>SUBSTITUTE(SUBSTITUTE(SUBSTITUTE('Ingest Template'!AA440,"http:",""),"https:",""),"/","")</f>
        <v/>
      </c>
      <c r="Z440" s="35" t="str">
        <f t="array" ref="Z440">IF('Ingest Template'!A440="Standard",(IF(ISBLANK('Ingest Template'!AB440),"", 'Ingest Template'!AB440&amp;"|DAR")),(IF(ISBLANK('Ingest Template'!AB440),"", 'Ingest Template'!AB440&amp;"|TV Ops")))</f>
        <v/>
      </c>
      <c r="AA440" s="35"/>
      <c r="AB440" s="35" t="str">
        <f>'Ingest Template'!R440</f>
        <v/>
      </c>
      <c r="AC440" s="35" t="str">
        <f>'Ingest Template'!T440</f>
        <v/>
      </c>
      <c r="AD440" s="35" t="str">
        <f>'Ingest Template'!S440</f>
        <v/>
      </c>
      <c r="AE440" s="35" t="str">
        <f>'Ingest Template'!U440</f>
        <v/>
      </c>
      <c r="AF440" s="22"/>
      <c r="AG440" s="35" t="str">
        <f t="array" ref="AG440">IF('Ingest Template'!A440="Standard",(CONCATENATE(IF(ISBLANK('Ingest Template'!N440),"", 'Ingest Template'!N440&amp;"|DAR"),CHAR(10), IF(ISBLANK('Ingest Template'!O440),"", 'Ingest Template'!O440&amp;"|DAR"),CHAR(10), IF(ISBLANK('Ingest Template'!P440),"", 'Ingest Template'!P440&amp;"|DAR"))),(CONCATENATE(IF(ISBLANK('Ingest Template'!N440),"", 'Ingest Template'!N440&amp;"|TV Ops"),CHAR(10), IF(ISBLANK('Ingest Template'!O440),"", 'Ingest Template'!O440&amp;"|TV Ops"),CHAR(10), IF(ISBLANK('Ingest Template'!P440),"", 'Ingest Template'!P440&amp;"|TV Ops"))))</f>
        <v>
</v>
      </c>
      <c r="AH440" s="35"/>
      <c r="AI440" s="35"/>
      <c r="AJ440" s="117" t="str">
        <f>if('Ingest Template'!A440="Standard",(IF(OR('Ingest Template'!F440 = "Program Type - Special", 'Ingest Template'!F440 = "Program Type - Live Event"),'Ingest Template'!M440&amp; "|DAR|DAR|"&amp;TEXT('Ingest Template'!C440-3, "yyyy-mm-dd")&amp;"|"&amp;TEXT('Ingest Template'!C440+3, "yyyy-mm-dd"),'Ingest Template'!M440&amp; "|DAR|DAR|2021-01-01")),(IF(OR('Ingest Template'!F440 = "Program Type - Special", 'Ingest Template'!F440 = "Program Type - Live Event"),'Ingest Template'!M440&amp; "|Operations - Core Title|Operations - Core Title|"&amp;TEXT('Ingest Template'!C440-3, "yyyy-mm-dd")&amp;"|"&amp;TEXT('Ingest Template'!C440+3, "yyyy-mm-dd"),'Ingest Template'!M440&amp; "|Operations - Core Title|Operations - Core Title")))</f>
        <v>|Operations - Core Title|Operations - Core Title</v>
      </c>
      <c r="AK440" s="35"/>
      <c r="AL440" s="117" t="str">
        <f>if('Ingest Template'!A440="Standard",(IF(OR('Ingest Template'!F440 = "Program Type - Special", 'Ingest Template'!F440 = "Program Type - Live Event"),'Ingest Template'!Q440&amp;"|"&amp;TEXT('Ingest Template'!C440-3, "yyyy-mm-dd")&amp;"|"&amp;TEXT('Ingest Template'!C440+3, "yyyy-mm-dd"),'Ingest Template'!Q440&amp; "|2021-01-01")),(IF(OR('Ingest Template'!F440 = "Program Type - Special", 'Ingest Template'!F440 = "Program Type - Live Event"),'Ingest Template'!Q440&amp; "|"&amp;TEXT('Ingest Template'!C440-3, "yyyy-mm-dd")&amp;"|"&amp;TEXT('Ingest Template'!C440+3, "yyyy-mm-dd"),'Ingest Template'!Q440)))</f>
        <v/>
      </c>
      <c r="AM440" s="35" t="str">
        <f>'Ingest Template'!AC440</f>
        <v/>
      </c>
    </row>
    <row r="441">
      <c r="A441" s="15"/>
      <c r="B441" s="22" t="str">
        <f>'Ingest Template'!C441&amp;IF('Ingest Template'!A441 = "Standard", " - DAR","")</f>
        <v/>
      </c>
      <c r="C441" s="22" t="s">
        <v>83</v>
      </c>
      <c r="D441" s="22" t="str">
        <f t="array" ref="D441">CONCATENATE(INDEX(DropdownLists!$H$2:$H$11,MATCH(1,COUNTIF('Ingest Template'!E441,"*"&amp;DropdownLists!$I$2:$I$11&amp;"*"),0)),CHAR(10),'Ingest Template'!F441,CHAR(10),'Ingest Template'!G441,CHAR(10),VLOOKUP('Ingest Template'!D441,DropdownLists!C:D,2,FALSE))</f>
        <v>#N/A</v>
      </c>
      <c r="E441" s="22" t="str">
        <f>CONCATENATE('Ingest Template'!H441,CHAR(10),'Ingest Template'!I441,CHAR(10),'Ingest Template'!J441,CHAR(10))</f>
        <v>
</v>
      </c>
      <c r="F441" s="35" t="str">
        <f t="array" ref="F441">INDEX(DropdownLists!$O$2:$O$36,MATCH(1,COUNTIF(E441,"*"&amp;DropdownLists!$N$2:$N$36&amp;"*"),0))</f>
        <v/>
      </c>
      <c r="G441" s="35"/>
      <c r="H441" s="22" t="str">
        <f t="array" ref="H441">INDEX(DropdownLists!$E$2:$E$276,MATCH('Ingest Template'!D441,DropdownLists!$C$2:$C$276,0))</f>
        <v>#N/A</v>
      </c>
      <c r="I441" s="22"/>
      <c r="J441" s="22" t="str">
        <f t="array" ref="J441">iF('Ingest Template'!A441="Standard","Pristine Brand",INDEX(DropdownLists!$B$2:$B$246,MATCH('Ingest Template'!D441,DropdownLists!$C$2:$C$246,0)))</f>
        <v>#N/A</v>
      </c>
      <c r="K441" s="22" t="str">
        <f>iF('Ingest Template'!A441="Standard",'Ingest Template'!K441&amp;CHAR(10)&amp;'Ingest Template'!L441,"Competitive View")</f>
        <v>Competitive View</v>
      </c>
      <c r="L441" s="22" t="s">
        <v>95</v>
      </c>
      <c r="M441" s="45" t="str">
        <f>'Ingest Template'!B441</f>
        <v/>
      </c>
      <c r="N441" s="35"/>
      <c r="O441" s="35"/>
      <c r="P441" s="35"/>
      <c r="Q441" s="35"/>
      <c r="R441" s="35" t="str">
        <f>'Ingest Template'!D441</f>
        <v/>
      </c>
      <c r="S441" s="22" t="s">
        <v>101</v>
      </c>
      <c r="T441" s="35" t="str">
        <f>'Ingest Template'!V441</f>
        <v/>
      </c>
      <c r="U441" s="35" t="str">
        <f>'Ingest Template'!W441</f>
        <v/>
      </c>
      <c r="V441" s="35" t="str">
        <f>LOWER(SUBSTITUTE(SUBSTITUTE(SUBSTITUTE(SUBSTITUTE(SUBSTITUTE('Ingest Template'!X441,"https:",""),"www.",""),"/",""),"?hl=en",""),"instagram.com",""))</f>
        <v/>
      </c>
      <c r="W441" s="74" t="str">
        <f t="array" ref="W441">IF(
'Ingest Template'!Y441="",
SUBSTITUTE(
INDEX(DropdownLists!$F$2:$F$277,MATCH('Ingest Template'!D441,DropdownLists!$C$2:$C$277,0)),
CHAR(10),
"|"&amp;'Ingest Template'!C441&amp;CHAR(10)
)&amp;"|"&amp;'Ingest Template'!C441,
SUBSTITUTE(
INDEX(DropdownLists!$F$2:$F$277,MATCH('Ingest Template'!D441,DropdownLists!$C$2:$C$277,0)),
CHAR(10),
"|"&amp;'Ingest Template'!C441&amp;CHAR(10)
)&amp;"|"&amp;'Ingest Template'!C441&amp;CHAR(10)&amp;'Ingest Template'!Y441
)</f>
        <v>#N/A</v>
      </c>
      <c r="X441" s="74" t="str">
        <f>'Ingest Template'!Z441</f>
        <v/>
      </c>
      <c r="Y441" s="35" t="str">
        <f>SUBSTITUTE(SUBSTITUTE(SUBSTITUTE('Ingest Template'!AA441,"http:",""),"https:",""),"/","")</f>
        <v/>
      </c>
      <c r="Z441" s="35" t="str">
        <f t="array" ref="Z441">IF('Ingest Template'!A441="Standard",(IF(ISBLANK('Ingest Template'!AB441),"", 'Ingest Template'!AB441&amp;"|DAR")),(IF(ISBLANK('Ingest Template'!AB441),"", 'Ingest Template'!AB441&amp;"|TV Ops")))</f>
        <v/>
      </c>
      <c r="AA441" s="35"/>
      <c r="AB441" s="35" t="str">
        <f>'Ingest Template'!R441</f>
        <v/>
      </c>
      <c r="AC441" s="35" t="str">
        <f>'Ingest Template'!T441</f>
        <v/>
      </c>
      <c r="AD441" s="35" t="str">
        <f>'Ingest Template'!S441</f>
        <v/>
      </c>
      <c r="AE441" s="35" t="str">
        <f>'Ingest Template'!U441</f>
        <v/>
      </c>
      <c r="AF441" s="22"/>
      <c r="AG441" s="35" t="str">
        <f t="array" ref="AG441">IF('Ingest Template'!A441="Standard",(CONCATENATE(IF(ISBLANK('Ingest Template'!N441),"", 'Ingest Template'!N441&amp;"|DAR"),CHAR(10), IF(ISBLANK('Ingest Template'!O441),"", 'Ingest Template'!O441&amp;"|DAR"),CHAR(10), IF(ISBLANK('Ingest Template'!P441),"", 'Ingest Template'!P441&amp;"|DAR"))),(CONCATENATE(IF(ISBLANK('Ingest Template'!N441),"", 'Ingest Template'!N441&amp;"|TV Ops"),CHAR(10), IF(ISBLANK('Ingest Template'!O441),"", 'Ingest Template'!O441&amp;"|TV Ops"),CHAR(10), IF(ISBLANK('Ingest Template'!P441),"", 'Ingest Template'!P441&amp;"|TV Ops"))))</f>
        <v>
</v>
      </c>
      <c r="AH441" s="35"/>
      <c r="AI441" s="35"/>
      <c r="AJ441" s="117" t="str">
        <f>if('Ingest Template'!A441="Standard",(IF(OR('Ingest Template'!F441 = "Program Type - Special", 'Ingest Template'!F441 = "Program Type - Live Event"),'Ingest Template'!M441&amp; "|DAR|DAR|"&amp;TEXT('Ingest Template'!C441-3, "yyyy-mm-dd")&amp;"|"&amp;TEXT('Ingest Template'!C441+3, "yyyy-mm-dd"),'Ingest Template'!M441&amp; "|DAR|DAR|2021-01-01")),(IF(OR('Ingest Template'!F441 = "Program Type - Special", 'Ingest Template'!F441 = "Program Type - Live Event"),'Ingest Template'!M441&amp; "|Operations - Core Title|Operations - Core Title|"&amp;TEXT('Ingest Template'!C441-3, "yyyy-mm-dd")&amp;"|"&amp;TEXT('Ingest Template'!C441+3, "yyyy-mm-dd"),'Ingest Template'!M441&amp; "|Operations - Core Title|Operations - Core Title")))</f>
        <v>|Operations - Core Title|Operations - Core Title</v>
      </c>
      <c r="AK441" s="35"/>
      <c r="AL441" s="117" t="str">
        <f>if('Ingest Template'!A441="Standard",(IF(OR('Ingest Template'!F441 = "Program Type - Special", 'Ingest Template'!F441 = "Program Type - Live Event"),'Ingest Template'!Q441&amp;"|"&amp;TEXT('Ingest Template'!C441-3, "yyyy-mm-dd")&amp;"|"&amp;TEXT('Ingest Template'!C441+3, "yyyy-mm-dd"),'Ingest Template'!Q441&amp; "|2021-01-01")),(IF(OR('Ingest Template'!F441 = "Program Type - Special", 'Ingest Template'!F441 = "Program Type - Live Event"),'Ingest Template'!Q441&amp; "|"&amp;TEXT('Ingest Template'!C441-3, "yyyy-mm-dd")&amp;"|"&amp;TEXT('Ingest Template'!C441+3, "yyyy-mm-dd"),'Ingest Template'!Q441)))</f>
        <v/>
      </c>
      <c r="AM441" s="35" t="str">
        <f>'Ingest Template'!AC441</f>
        <v/>
      </c>
    </row>
    <row r="442">
      <c r="A442" s="15"/>
      <c r="B442" s="22" t="str">
        <f>'Ingest Template'!C442&amp;IF('Ingest Template'!A442 = "Standard", " - DAR","")</f>
        <v/>
      </c>
      <c r="C442" s="22" t="s">
        <v>83</v>
      </c>
      <c r="D442" s="22" t="str">
        <f t="array" ref="D442">CONCATENATE(INDEX(DropdownLists!$H$2:$H$11,MATCH(1,COUNTIF('Ingest Template'!E442,"*"&amp;DropdownLists!$I$2:$I$11&amp;"*"),0)),CHAR(10),'Ingest Template'!F442,CHAR(10),'Ingest Template'!G442,CHAR(10),VLOOKUP('Ingest Template'!D442,DropdownLists!C:D,2,FALSE))</f>
        <v>#N/A</v>
      </c>
      <c r="E442" s="22" t="str">
        <f>CONCATENATE('Ingest Template'!H442,CHAR(10),'Ingest Template'!I442,CHAR(10),'Ingest Template'!J442,CHAR(10))</f>
        <v>
</v>
      </c>
      <c r="F442" s="35" t="str">
        <f t="array" ref="F442">INDEX(DropdownLists!$O$2:$O$36,MATCH(1,COUNTIF(E442,"*"&amp;DropdownLists!$N$2:$N$36&amp;"*"),0))</f>
        <v/>
      </c>
      <c r="G442" s="35"/>
      <c r="H442" s="22" t="str">
        <f t="array" ref="H442">INDEX(DropdownLists!$E$2:$E$276,MATCH('Ingest Template'!D442,DropdownLists!$C$2:$C$276,0))</f>
        <v>#N/A</v>
      </c>
      <c r="I442" s="22"/>
      <c r="J442" s="22" t="str">
        <f t="array" ref="J442">iF('Ingest Template'!A442="Standard","Pristine Brand",INDEX(DropdownLists!$B$2:$B$246,MATCH('Ingest Template'!D442,DropdownLists!$C$2:$C$246,0)))</f>
        <v>#N/A</v>
      </c>
      <c r="K442" s="22" t="str">
        <f>iF('Ingest Template'!A442="Standard",'Ingest Template'!K442&amp;CHAR(10)&amp;'Ingest Template'!L442,"Competitive View")</f>
        <v>Competitive View</v>
      </c>
      <c r="L442" s="22" t="s">
        <v>95</v>
      </c>
      <c r="M442" s="45" t="str">
        <f>'Ingest Template'!B442</f>
        <v/>
      </c>
      <c r="N442" s="35"/>
      <c r="O442" s="35"/>
      <c r="P442" s="35"/>
      <c r="Q442" s="35"/>
      <c r="R442" s="35" t="str">
        <f>'Ingest Template'!D442</f>
        <v/>
      </c>
      <c r="S442" s="22" t="s">
        <v>101</v>
      </c>
      <c r="T442" s="35" t="str">
        <f>'Ingest Template'!V442</f>
        <v/>
      </c>
      <c r="U442" s="35" t="str">
        <f>'Ingest Template'!W442</f>
        <v/>
      </c>
      <c r="V442" s="35" t="str">
        <f>LOWER(SUBSTITUTE(SUBSTITUTE(SUBSTITUTE(SUBSTITUTE(SUBSTITUTE('Ingest Template'!X442,"https:",""),"www.",""),"/",""),"?hl=en",""),"instagram.com",""))</f>
        <v/>
      </c>
      <c r="W442" s="74" t="str">
        <f t="array" ref="W442">IF(
'Ingest Template'!Y442="",
SUBSTITUTE(
INDEX(DropdownLists!$F$2:$F$277,MATCH('Ingest Template'!D442,DropdownLists!$C$2:$C$277,0)),
CHAR(10),
"|"&amp;'Ingest Template'!C442&amp;CHAR(10)
)&amp;"|"&amp;'Ingest Template'!C442,
SUBSTITUTE(
INDEX(DropdownLists!$F$2:$F$277,MATCH('Ingest Template'!D442,DropdownLists!$C$2:$C$277,0)),
CHAR(10),
"|"&amp;'Ingest Template'!C442&amp;CHAR(10)
)&amp;"|"&amp;'Ingest Template'!C442&amp;CHAR(10)&amp;'Ingest Template'!Y442
)</f>
        <v>#N/A</v>
      </c>
      <c r="X442" s="74" t="str">
        <f>'Ingest Template'!Z442</f>
        <v/>
      </c>
      <c r="Y442" s="35" t="str">
        <f>SUBSTITUTE(SUBSTITUTE(SUBSTITUTE('Ingest Template'!AA442,"http:",""),"https:",""),"/","")</f>
        <v/>
      </c>
      <c r="Z442" s="35" t="str">
        <f t="array" ref="Z442">IF('Ingest Template'!A442="Standard",(IF(ISBLANK('Ingest Template'!AB442),"", 'Ingest Template'!AB442&amp;"|DAR")),(IF(ISBLANK('Ingest Template'!AB442),"", 'Ingest Template'!AB442&amp;"|TV Ops")))</f>
        <v/>
      </c>
      <c r="AA442" s="35"/>
      <c r="AB442" s="35" t="str">
        <f>'Ingest Template'!R442</f>
        <v/>
      </c>
      <c r="AC442" s="35" t="str">
        <f>'Ingest Template'!T442</f>
        <v/>
      </c>
      <c r="AD442" s="35" t="str">
        <f>'Ingest Template'!S442</f>
        <v/>
      </c>
      <c r="AE442" s="35" t="str">
        <f>'Ingest Template'!U442</f>
        <v/>
      </c>
      <c r="AF442" s="22"/>
      <c r="AG442" s="35" t="str">
        <f t="array" ref="AG442">IF('Ingest Template'!A442="Standard",(CONCATENATE(IF(ISBLANK('Ingest Template'!N442),"", 'Ingest Template'!N442&amp;"|DAR"),CHAR(10), IF(ISBLANK('Ingest Template'!O442),"", 'Ingest Template'!O442&amp;"|DAR"),CHAR(10), IF(ISBLANK('Ingest Template'!P442),"", 'Ingest Template'!P442&amp;"|DAR"))),(CONCATENATE(IF(ISBLANK('Ingest Template'!N442),"", 'Ingest Template'!N442&amp;"|TV Ops"),CHAR(10), IF(ISBLANK('Ingest Template'!O442),"", 'Ingest Template'!O442&amp;"|TV Ops"),CHAR(10), IF(ISBLANK('Ingest Template'!P442),"", 'Ingest Template'!P442&amp;"|TV Ops"))))</f>
        <v>
</v>
      </c>
      <c r="AH442" s="35"/>
      <c r="AI442" s="35"/>
      <c r="AJ442" s="117" t="str">
        <f>if('Ingest Template'!A442="Standard",(IF(OR('Ingest Template'!F442 = "Program Type - Special", 'Ingest Template'!F442 = "Program Type - Live Event"),'Ingest Template'!M442&amp; "|DAR|DAR|"&amp;TEXT('Ingest Template'!C442-3, "yyyy-mm-dd")&amp;"|"&amp;TEXT('Ingest Template'!C442+3, "yyyy-mm-dd"),'Ingest Template'!M442&amp; "|DAR|DAR|2021-01-01")),(IF(OR('Ingest Template'!F442 = "Program Type - Special", 'Ingest Template'!F442 = "Program Type - Live Event"),'Ingest Template'!M442&amp; "|Operations - Core Title|Operations - Core Title|"&amp;TEXT('Ingest Template'!C442-3, "yyyy-mm-dd")&amp;"|"&amp;TEXT('Ingest Template'!C442+3, "yyyy-mm-dd"),'Ingest Template'!M442&amp; "|Operations - Core Title|Operations - Core Title")))</f>
        <v>|Operations - Core Title|Operations - Core Title</v>
      </c>
      <c r="AK442" s="35"/>
      <c r="AL442" s="117" t="str">
        <f>if('Ingest Template'!A442="Standard",(IF(OR('Ingest Template'!F442 = "Program Type - Special", 'Ingest Template'!F442 = "Program Type - Live Event"),'Ingest Template'!Q442&amp;"|"&amp;TEXT('Ingest Template'!C442-3, "yyyy-mm-dd")&amp;"|"&amp;TEXT('Ingest Template'!C442+3, "yyyy-mm-dd"),'Ingest Template'!Q442&amp; "|2021-01-01")),(IF(OR('Ingest Template'!F442 = "Program Type - Special", 'Ingest Template'!F442 = "Program Type - Live Event"),'Ingest Template'!Q442&amp; "|"&amp;TEXT('Ingest Template'!C442-3, "yyyy-mm-dd")&amp;"|"&amp;TEXT('Ingest Template'!C442+3, "yyyy-mm-dd"),'Ingest Template'!Q442)))</f>
        <v/>
      </c>
      <c r="AM442" s="35" t="str">
        <f>'Ingest Template'!AC442</f>
        <v/>
      </c>
    </row>
    <row r="443">
      <c r="A443" s="15"/>
      <c r="B443" s="22" t="str">
        <f>'Ingest Template'!C443&amp;IF('Ingest Template'!A443 = "Standard", " - DAR","")</f>
        <v/>
      </c>
      <c r="C443" s="22" t="s">
        <v>83</v>
      </c>
      <c r="D443" s="22" t="str">
        <f t="array" ref="D443">CONCATENATE(INDEX(DropdownLists!$H$2:$H$11,MATCH(1,COUNTIF('Ingest Template'!E443,"*"&amp;DropdownLists!$I$2:$I$11&amp;"*"),0)),CHAR(10),'Ingest Template'!F443,CHAR(10),'Ingest Template'!G443,CHAR(10),VLOOKUP('Ingest Template'!D443,DropdownLists!C:D,2,FALSE))</f>
        <v>#N/A</v>
      </c>
      <c r="E443" s="22" t="str">
        <f>CONCATENATE('Ingest Template'!H443,CHAR(10),'Ingest Template'!I443,CHAR(10),'Ingest Template'!J443,CHAR(10))</f>
        <v>
</v>
      </c>
      <c r="F443" s="35" t="str">
        <f t="array" ref="F443">INDEX(DropdownLists!$O$2:$O$36,MATCH(1,COUNTIF(E443,"*"&amp;DropdownLists!$N$2:$N$36&amp;"*"),0))</f>
        <v/>
      </c>
      <c r="G443" s="35"/>
      <c r="H443" s="22" t="str">
        <f t="array" ref="H443">INDEX(DropdownLists!$E$2:$E$276,MATCH('Ingest Template'!D443,DropdownLists!$C$2:$C$276,0))</f>
        <v>#N/A</v>
      </c>
      <c r="I443" s="22"/>
      <c r="J443" s="22" t="str">
        <f t="array" ref="J443">iF('Ingest Template'!A443="Standard","Pristine Brand",INDEX(DropdownLists!$B$2:$B$246,MATCH('Ingest Template'!D443,DropdownLists!$C$2:$C$246,0)))</f>
        <v>#N/A</v>
      </c>
      <c r="K443" s="22" t="str">
        <f>iF('Ingest Template'!A443="Standard",'Ingest Template'!K443&amp;CHAR(10)&amp;'Ingest Template'!L443,"Competitive View")</f>
        <v>Competitive View</v>
      </c>
      <c r="L443" s="22" t="s">
        <v>95</v>
      </c>
      <c r="M443" s="45" t="str">
        <f>'Ingest Template'!B443</f>
        <v/>
      </c>
      <c r="N443" s="35"/>
      <c r="O443" s="35"/>
      <c r="P443" s="35"/>
      <c r="Q443" s="35"/>
      <c r="R443" s="35" t="str">
        <f>'Ingest Template'!D443</f>
        <v/>
      </c>
      <c r="S443" s="22" t="s">
        <v>101</v>
      </c>
      <c r="T443" s="35" t="str">
        <f>'Ingest Template'!V443</f>
        <v/>
      </c>
      <c r="U443" s="35" t="str">
        <f>'Ingest Template'!W443</f>
        <v/>
      </c>
      <c r="V443" s="35" t="str">
        <f>LOWER(SUBSTITUTE(SUBSTITUTE(SUBSTITUTE(SUBSTITUTE(SUBSTITUTE('Ingest Template'!X443,"https:",""),"www.",""),"/",""),"?hl=en",""),"instagram.com",""))</f>
        <v/>
      </c>
      <c r="W443" s="74" t="str">
        <f t="array" ref="W443">IF(
'Ingest Template'!Y443="",
SUBSTITUTE(
INDEX(DropdownLists!$F$2:$F$277,MATCH('Ingest Template'!D443,DropdownLists!$C$2:$C$277,0)),
CHAR(10),
"|"&amp;'Ingest Template'!C443&amp;CHAR(10)
)&amp;"|"&amp;'Ingest Template'!C443,
SUBSTITUTE(
INDEX(DropdownLists!$F$2:$F$277,MATCH('Ingest Template'!D443,DropdownLists!$C$2:$C$277,0)),
CHAR(10),
"|"&amp;'Ingest Template'!C443&amp;CHAR(10)
)&amp;"|"&amp;'Ingest Template'!C443&amp;CHAR(10)&amp;'Ingest Template'!Y443
)</f>
        <v>#N/A</v>
      </c>
      <c r="X443" s="74" t="str">
        <f>'Ingest Template'!Z443</f>
        <v/>
      </c>
      <c r="Y443" s="35" t="str">
        <f>SUBSTITUTE(SUBSTITUTE(SUBSTITUTE('Ingest Template'!AA443,"http:",""),"https:",""),"/","")</f>
        <v/>
      </c>
      <c r="Z443" s="35" t="str">
        <f t="array" ref="Z443">IF('Ingest Template'!A443="Standard",(IF(ISBLANK('Ingest Template'!AB443),"", 'Ingest Template'!AB443&amp;"|DAR")),(IF(ISBLANK('Ingest Template'!AB443),"", 'Ingest Template'!AB443&amp;"|TV Ops")))</f>
        <v/>
      </c>
      <c r="AA443" s="35"/>
      <c r="AB443" s="35" t="str">
        <f>'Ingest Template'!R443</f>
        <v/>
      </c>
      <c r="AC443" s="35" t="str">
        <f>'Ingest Template'!T443</f>
        <v/>
      </c>
      <c r="AD443" s="35" t="str">
        <f>'Ingest Template'!S443</f>
        <v/>
      </c>
      <c r="AE443" s="35" t="str">
        <f>'Ingest Template'!U443</f>
        <v/>
      </c>
      <c r="AF443" s="22"/>
      <c r="AG443" s="35" t="str">
        <f t="array" ref="AG443">IF('Ingest Template'!A443="Standard",(CONCATENATE(IF(ISBLANK('Ingest Template'!N443),"", 'Ingest Template'!N443&amp;"|DAR"),CHAR(10), IF(ISBLANK('Ingest Template'!O443),"", 'Ingest Template'!O443&amp;"|DAR"),CHAR(10), IF(ISBLANK('Ingest Template'!P443),"", 'Ingest Template'!P443&amp;"|DAR"))),(CONCATENATE(IF(ISBLANK('Ingest Template'!N443),"", 'Ingest Template'!N443&amp;"|TV Ops"),CHAR(10), IF(ISBLANK('Ingest Template'!O443),"", 'Ingest Template'!O443&amp;"|TV Ops"),CHAR(10), IF(ISBLANK('Ingest Template'!P443),"", 'Ingest Template'!P443&amp;"|TV Ops"))))</f>
        <v>
</v>
      </c>
      <c r="AH443" s="35"/>
      <c r="AI443" s="35"/>
      <c r="AJ443" s="117" t="str">
        <f>if('Ingest Template'!A443="Standard",(IF(OR('Ingest Template'!F443 = "Program Type - Special", 'Ingest Template'!F443 = "Program Type - Live Event"),'Ingest Template'!M443&amp; "|DAR|DAR|"&amp;TEXT('Ingest Template'!C443-3, "yyyy-mm-dd")&amp;"|"&amp;TEXT('Ingest Template'!C443+3, "yyyy-mm-dd"),'Ingest Template'!M443&amp; "|DAR|DAR|2021-01-01")),(IF(OR('Ingest Template'!F443 = "Program Type - Special", 'Ingest Template'!F443 = "Program Type - Live Event"),'Ingest Template'!M443&amp; "|Operations - Core Title|Operations - Core Title|"&amp;TEXT('Ingest Template'!C443-3, "yyyy-mm-dd")&amp;"|"&amp;TEXT('Ingest Template'!C443+3, "yyyy-mm-dd"),'Ingest Template'!M443&amp; "|Operations - Core Title|Operations - Core Title")))</f>
        <v>|Operations - Core Title|Operations - Core Title</v>
      </c>
      <c r="AK443" s="35"/>
      <c r="AL443" s="117" t="str">
        <f>if('Ingest Template'!A443="Standard",(IF(OR('Ingest Template'!F443 = "Program Type - Special", 'Ingest Template'!F443 = "Program Type - Live Event"),'Ingest Template'!Q443&amp;"|"&amp;TEXT('Ingest Template'!C443-3, "yyyy-mm-dd")&amp;"|"&amp;TEXT('Ingest Template'!C443+3, "yyyy-mm-dd"),'Ingest Template'!Q443&amp; "|2021-01-01")),(IF(OR('Ingest Template'!F443 = "Program Type - Special", 'Ingest Template'!F443 = "Program Type - Live Event"),'Ingest Template'!Q443&amp; "|"&amp;TEXT('Ingest Template'!C443-3, "yyyy-mm-dd")&amp;"|"&amp;TEXT('Ingest Template'!C443+3, "yyyy-mm-dd"),'Ingest Template'!Q443)))</f>
        <v/>
      </c>
      <c r="AM443" s="35" t="str">
        <f>'Ingest Template'!AC443</f>
        <v/>
      </c>
    </row>
    <row r="444">
      <c r="A444" s="15"/>
      <c r="B444" s="22" t="str">
        <f>'Ingest Template'!C444&amp;IF('Ingest Template'!A444 = "Standard", " - DAR","")</f>
        <v/>
      </c>
      <c r="C444" s="22" t="s">
        <v>83</v>
      </c>
      <c r="D444" s="22" t="str">
        <f t="array" ref="D444">CONCATENATE(INDEX(DropdownLists!$H$2:$H$11,MATCH(1,COUNTIF('Ingest Template'!E444,"*"&amp;DropdownLists!$I$2:$I$11&amp;"*"),0)),CHAR(10),'Ingest Template'!F444,CHAR(10),'Ingest Template'!G444,CHAR(10),VLOOKUP('Ingest Template'!D444,DropdownLists!C:D,2,FALSE))</f>
        <v>#N/A</v>
      </c>
      <c r="E444" s="22" t="str">
        <f>CONCATENATE('Ingest Template'!H444,CHAR(10),'Ingest Template'!I444,CHAR(10),'Ingest Template'!J444,CHAR(10))</f>
        <v>
</v>
      </c>
      <c r="F444" s="35" t="str">
        <f t="array" ref="F444">INDEX(DropdownLists!$O$2:$O$36,MATCH(1,COUNTIF(E444,"*"&amp;DropdownLists!$N$2:$N$36&amp;"*"),0))</f>
        <v/>
      </c>
      <c r="G444" s="35"/>
      <c r="H444" s="22" t="str">
        <f t="array" ref="H444">INDEX(DropdownLists!$E$2:$E$276,MATCH('Ingest Template'!D444,DropdownLists!$C$2:$C$276,0))</f>
        <v>#N/A</v>
      </c>
      <c r="I444" s="22"/>
      <c r="J444" s="22" t="str">
        <f t="array" ref="J444">iF('Ingest Template'!A444="Standard","Pristine Brand",INDEX(DropdownLists!$B$2:$B$246,MATCH('Ingest Template'!D444,DropdownLists!$C$2:$C$246,0)))</f>
        <v>#N/A</v>
      </c>
      <c r="K444" s="22" t="str">
        <f>iF('Ingest Template'!A444="Standard",'Ingest Template'!K444&amp;CHAR(10)&amp;'Ingest Template'!L444,"Competitive View")</f>
        <v>Competitive View</v>
      </c>
      <c r="L444" s="22" t="s">
        <v>95</v>
      </c>
      <c r="M444" s="45" t="str">
        <f>'Ingest Template'!B444</f>
        <v/>
      </c>
      <c r="N444" s="35"/>
      <c r="O444" s="35"/>
      <c r="P444" s="35"/>
      <c r="Q444" s="35"/>
      <c r="R444" s="35" t="str">
        <f>'Ingest Template'!D444</f>
        <v/>
      </c>
      <c r="S444" s="22" t="s">
        <v>101</v>
      </c>
      <c r="T444" s="35" t="str">
        <f>'Ingest Template'!V444</f>
        <v/>
      </c>
      <c r="U444" s="35" t="str">
        <f>'Ingest Template'!W444</f>
        <v/>
      </c>
      <c r="V444" s="35" t="str">
        <f>LOWER(SUBSTITUTE(SUBSTITUTE(SUBSTITUTE(SUBSTITUTE(SUBSTITUTE('Ingest Template'!X444,"https:",""),"www.",""),"/",""),"?hl=en",""),"instagram.com",""))</f>
        <v/>
      </c>
      <c r="W444" s="74" t="str">
        <f t="array" ref="W444">IF(
'Ingest Template'!Y444="",
SUBSTITUTE(
INDEX(DropdownLists!$F$2:$F$277,MATCH('Ingest Template'!D444,DropdownLists!$C$2:$C$277,0)),
CHAR(10),
"|"&amp;'Ingest Template'!C444&amp;CHAR(10)
)&amp;"|"&amp;'Ingest Template'!C444,
SUBSTITUTE(
INDEX(DropdownLists!$F$2:$F$277,MATCH('Ingest Template'!D444,DropdownLists!$C$2:$C$277,0)),
CHAR(10),
"|"&amp;'Ingest Template'!C444&amp;CHAR(10)
)&amp;"|"&amp;'Ingest Template'!C444&amp;CHAR(10)&amp;'Ingest Template'!Y444
)</f>
        <v>#N/A</v>
      </c>
      <c r="X444" s="74" t="str">
        <f>'Ingest Template'!Z444</f>
        <v/>
      </c>
      <c r="Y444" s="35" t="str">
        <f>SUBSTITUTE(SUBSTITUTE(SUBSTITUTE('Ingest Template'!AA444,"http:",""),"https:",""),"/","")</f>
        <v/>
      </c>
      <c r="Z444" s="35" t="str">
        <f t="array" ref="Z444">IF('Ingest Template'!A444="Standard",(IF(ISBLANK('Ingest Template'!AB444),"", 'Ingest Template'!AB444&amp;"|DAR")),(IF(ISBLANK('Ingest Template'!AB444),"", 'Ingest Template'!AB444&amp;"|TV Ops")))</f>
        <v/>
      </c>
      <c r="AA444" s="35"/>
      <c r="AB444" s="35" t="str">
        <f>'Ingest Template'!R444</f>
        <v/>
      </c>
      <c r="AC444" s="35" t="str">
        <f>'Ingest Template'!T444</f>
        <v/>
      </c>
      <c r="AD444" s="35" t="str">
        <f>'Ingest Template'!S444</f>
        <v/>
      </c>
      <c r="AE444" s="35" t="str">
        <f>'Ingest Template'!U444</f>
        <v/>
      </c>
      <c r="AF444" s="22"/>
      <c r="AG444" s="35" t="str">
        <f t="array" ref="AG444">IF('Ingest Template'!A444="Standard",(CONCATENATE(IF(ISBLANK('Ingest Template'!N444),"", 'Ingest Template'!N444&amp;"|DAR"),CHAR(10), IF(ISBLANK('Ingest Template'!O444),"", 'Ingest Template'!O444&amp;"|DAR"),CHAR(10), IF(ISBLANK('Ingest Template'!P444),"", 'Ingest Template'!P444&amp;"|DAR"))),(CONCATENATE(IF(ISBLANK('Ingest Template'!N444),"", 'Ingest Template'!N444&amp;"|TV Ops"),CHAR(10), IF(ISBLANK('Ingest Template'!O444),"", 'Ingest Template'!O444&amp;"|TV Ops"),CHAR(10), IF(ISBLANK('Ingest Template'!P444),"", 'Ingest Template'!P444&amp;"|TV Ops"))))</f>
        <v>
</v>
      </c>
      <c r="AH444" s="35"/>
      <c r="AI444" s="35"/>
      <c r="AJ444" s="117" t="str">
        <f>if('Ingest Template'!A444="Standard",(IF(OR('Ingest Template'!F444 = "Program Type - Special", 'Ingest Template'!F444 = "Program Type - Live Event"),'Ingest Template'!M444&amp; "|DAR|DAR|"&amp;TEXT('Ingest Template'!C444-3, "yyyy-mm-dd")&amp;"|"&amp;TEXT('Ingest Template'!C444+3, "yyyy-mm-dd"),'Ingest Template'!M444&amp; "|DAR|DAR|2021-01-01")),(IF(OR('Ingest Template'!F444 = "Program Type - Special", 'Ingest Template'!F444 = "Program Type - Live Event"),'Ingest Template'!M444&amp; "|Operations - Core Title|Operations - Core Title|"&amp;TEXT('Ingest Template'!C444-3, "yyyy-mm-dd")&amp;"|"&amp;TEXT('Ingest Template'!C444+3, "yyyy-mm-dd"),'Ingest Template'!M444&amp; "|Operations - Core Title|Operations - Core Title")))</f>
        <v>|Operations - Core Title|Operations - Core Title</v>
      </c>
      <c r="AK444" s="35"/>
      <c r="AL444" s="117" t="str">
        <f>if('Ingest Template'!A444="Standard",(IF(OR('Ingest Template'!F444 = "Program Type - Special", 'Ingest Template'!F444 = "Program Type - Live Event"),'Ingest Template'!Q444&amp;"|"&amp;TEXT('Ingest Template'!C444-3, "yyyy-mm-dd")&amp;"|"&amp;TEXT('Ingest Template'!C444+3, "yyyy-mm-dd"),'Ingest Template'!Q444&amp; "|2021-01-01")),(IF(OR('Ingest Template'!F444 = "Program Type - Special", 'Ingest Template'!F444 = "Program Type - Live Event"),'Ingest Template'!Q444&amp; "|"&amp;TEXT('Ingest Template'!C444-3, "yyyy-mm-dd")&amp;"|"&amp;TEXT('Ingest Template'!C444+3, "yyyy-mm-dd"),'Ingest Template'!Q444)))</f>
        <v/>
      </c>
      <c r="AM444" s="35" t="str">
        <f>'Ingest Template'!AC444</f>
        <v/>
      </c>
    </row>
    <row r="445">
      <c r="A445" s="15"/>
      <c r="B445" s="22" t="str">
        <f>'Ingest Template'!C445&amp;IF('Ingest Template'!A445 = "Standard", " - DAR","")</f>
        <v/>
      </c>
      <c r="C445" s="22" t="s">
        <v>83</v>
      </c>
      <c r="D445" s="22" t="str">
        <f t="array" ref="D445">CONCATENATE(INDEX(DropdownLists!$H$2:$H$11,MATCH(1,COUNTIF('Ingest Template'!E445,"*"&amp;DropdownLists!$I$2:$I$11&amp;"*"),0)),CHAR(10),'Ingest Template'!F445,CHAR(10),'Ingest Template'!G445,CHAR(10),VLOOKUP('Ingest Template'!D445,DropdownLists!C:D,2,FALSE))</f>
        <v>#N/A</v>
      </c>
      <c r="E445" s="22" t="str">
        <f>CONCATENATE('Ingest Template'!H445,CHAR(10),'Ingest Template'!I445,CHAR(10),'Ingest Template'!J445,CHAR(10))</f>
        <v>
</v>
      </c>
      <c r="F445" s="35" t="str">
        <f t="array" ref="F445">INDEX(DropdownLists!$O$2:$O$36,MATCH(1,COUNTIF(E445,"*"&amp;DropdownLists!$N$2:$N$36&amp;"*"),0))</f>
        <v/>
      </c>
      <c r="G445" s="35"/>
      <c r="H445" s="22" t="str">
        <f t="array" ref="H445">INDEX(DropdownLists!$E$2:$E$276,MATCH('Ingest Template'!D445,DropdownLists!$C$2:$C$276,0))</f>
        <v>#N/A</v>
      </c>
      <c r="I445" s="22"/>
      <c r="J445" s="22" t="str">
        <f t="array" ref="J445">iF('Ingest Template'!A445="Standard","Pristine Brand",INDEX(DropdownLists!$B$2:$B$246,MATCH('Ingest Template'!D445,DropdownLists!$C$2:$C$246,0)))</f>
        <v>#N/A</v>
      </c>
      <c r="K445" s="22" t="str">
        <f>iF('Ingest Template'!A445="Standard",'Ingest Template'!K445&amp;CHAR(10)&amp;'Ingest Template'!L445,"Competitive View")</f>
        <v>Competitive View</v>
      </c>
      <c r="L445" s="22" t="s">
        <v>95</v>
      </c>
      <c r="M445" s="45" t="str">
        <f>'Ingest Template'!B445</f>
        <v/>
      </c>
      <c r="N445" s="35"/>
      <c r="O445" s="35"/>
      <c r="P445" s="35"/>
      <c r="Q445" s="35"/>
      <c r="R445" s="35" t="str">
        <f>'Ingest Template'!D445</f>
        <v/>
      </c>
      <c r="S445" s="22" t="s">
        <v>101</v>
      </c>
      <c r="T445" s="35" t="str">
        <f>'Ingest Template'!V445</f>
        <v/>
      </c>
      <c r="U445" s="35" t="str">
        <f>'Ingest Template'!W445</f>
        <v/>
      </c>
      <c r="V445" s="35" t="str">
        <f>LOWER(SUBSTITUTE(SUBSTITUTE(SUBSTITUTE(SUBSTITUTE(SUBSTITUTE('Ingest Template'!X445,"https:",""),"www.",""),"/",""),"?hl=en",""),"instagram.com",""))</f>
        <v/>
      </c>
      <c r="W445" s="74" t="str">
        <f t="array" ref="W445">IF(
'Ingest Template'!Y445="",
SUBSTITUTE(
INDEX(DropdownLists!$F$2:$F$277,MATCH('Ingest Template'!D445,DropdownLists!$C$2:$C$277,0)),
CHAR(10),
"|"&amp;'Ingest Template'!C445&amp;CHAR(10)
)&amp;"|"&amp;'Ingest Template'!C445,
SUBSTITUTE(
INDEX(DropdownLists!$F$2:$F$277,MATCH('Ingest Template'!D445,DropdownLists!$C$2:$C$277,0)),
CHAR(10),
"|"&amp;'Ingest Template'!C445&amp;CHAR(10)
)&amp;"|"&amp;'Ingest Template'!C445&amp;CHAR(10)&amp;'Ingest Template'!Y445
)</f>
        <v>#N/A</v>
      </c>
      <c r="X445" s="74" t="str">
        <f>'Ingest Template'!Z445</f>
        <v/>
      </c>
      <c r="Y445" s="35" t="str">
        <f>SUBSTITUTE(SUBSTITUTE(SUBSTITUTE('Ingest Template'!AA445,"http:",""),"https:",""),"/","")</f>
        <v/>
      </c>
      <c r="Z445" s="35" t="str">
        <f t="array" ref="Z445">IF('Ingest Template'!A445="Standard",(IF(ISBLANK('Ingest Template'!AB445),"", 'Ingest Template'!AB445&amp;"|DAR")),(IF(ISBLANK('Ingest Template'!AB445),"", 'Ingest Template'!AB445&amp;"|TV Ops")))</f>
        <v/>
      </c>
      <c r="AA445" s="35"/>
      <c r="AB445" s="35" t="str">
        <f>'Ingest Template'!R445</f>
        <v/>
      </c>
      <c r="AC445" s="35" t="str">
        <f>'Ingest Template'!T445</f>
        <v/>
      </c>
      <c r="AD445" s="35" t="str">
        <f>'Ingest Template'!S445</f>
        <v/>
      </c>
      <c r="AE445" s="35" t="str">
        <f>'Ingest Template'!U445</f>
        <v/>
      </c>
      <c r="AF445" s="22"/>
      <c r="AG445" s="35" t="str">
        <f t="array" ref="AG445">IF('Ingest Template'!A445="Standard",(CONCATENATE(IF(ISBLANK('Ingest Template'!N445),"", 'Ingest Template'!N445&amp;"|DAR"),CHAR(10), IF(ISBLANK('Ingest Template'!O445),"", 'Ingest Template'!O445&amp;"|DAR"),CHAR(10), IF(ISBLANK('Ingest Template'!P445),"", 'Ingest Template'!P445&amp;"|DAR"))),(CONCATENATE(IF(ISBLANK('Ingest Template'!N445),"", 'Ingest Template'!N445&amp;"|TV Ops"),CHAR(10), IF(ISBLANK('Ingest Template'!O445),"", 'Ingest Template'!O445&amp;"|TV Ops"),CHAR(10), IF(ISBLANK('Ingest Template'!P445),"", 'Ingest Template'!P445&amp;"|TV Ops"))))</f>
        <v>
</v>
      </c>
      <c r="AH445" s="35"/>
      <c r="AI445" s="35"/>
      <c r="AJ445" s="117" t="str">
        <f>if('Ingest Template'!A445="Standard",(IF(OR('Ingest Template'!F445 = "Program Type - Special", 'Ingest Template'!F445 = "Program Type - Live Event"),'Ingest Template'!M445&amp; "|DAR|DAR|"&amp;TEXT('Ingest Template'!C445-3, "yyyy-mm-dd")&amp;"|"&amp;TEXT('Ingest Template'!C445+3, "yyyy-mm-dd"),'Ingest Template'!M445&amp; "|DAR|DAR|2021-01-01")),(IF(OR('Ingest Template'!F445 = "Program Type - Special", 'Ingest Template'!F445 = "Program Type - Live Event"),'Ingest Template'!M445&amp; "|Operations - Core Title|Operations - Core Title|"&amp;TEXT('Ingest Template'!C445-3, "yyyy-mm-dd")&amp;"|"&amp;TEXT('Ingest Template'!C445+3, "yyyy-mm-dd"),'Ingest Template'!M445&amp; "|Operations - Core Title|Operations - Core Title")))</f>
        <v>|Operations - Core Title|Operations - Core Title</v>
      </c>
      <c r="AK445" s="35"/>
      <c r="AL445" s="117" t="str">
        <f>if('Ingest Template'!A445="Standard",(IF(OR('Ingest Template'!F445 = "Program Type - Special", 'Ingest Template'!F445 = "Program Type - Live Event"),'Ingest Template'!Q445&amp;"|"&amp;TEXT('Ingest Template'!C445-3, "yyyy-mm-dd")&amp;"|"&amp;TEXT('Ingest Template'!C445+3, "yyyy-mm-dd"),'Ingest Template'!Q445&amp; "|2021-01-01")),(IF(OR('Ingest Template'!F445 = "Program Type - Special", 'Ingest Template'!F445 = "Program Type - Live Event"),'Ingest Template'!Q445&amp; "|"&amp;TEXT('Ingest Template'!C445-3, "yyyy-mm-dd")&amp;"|"&amp;TEXT('Ingest Template'!C445+3, "yyyy-mm-dd"),'Ingest Template'!Q445)))</f>
        <v/>
      </c>
      <c r="AM445" s="35" t="str">
        <f>'Ingest Template'!AC445</f>
        <v/>
      </c>
    </row>
    <row r="446">
      <c r="A446" s="15"/>
      <c r="B446" s="22" t="str">
        <f>'Ingest Template'!C446&amp;IF('Ingest Template'!A446 = "Standard", " - DAR","")</f>
        <v/>
      </c>
      <c r="C446" s="22" t="s">
        <v>83</v>
      </c>
      <c r="D446" s="22" t="str">
        <f t="array" ref="D446">CONCATENATE(INDEX(DropdownLists!$H$2:$H$11,MATCH(1,COUNTIF('Ingest Template'!E446,"*"&amp;DropdownLists!$I$2:$I$11&amp;"*"),0)),CHAR(10),'Ingest Template'!F446,CHAR(10),'Ingest Template'!G446,CHAR(10),VLOOKUP('Ingest Template'!D446,DropdownLists!C:D,2,FALSE))</f>
        <v>#N/A</v>
      </c>
      <c r="E446" s="22" t="str">
        <f>CONCATENATE('Ingest Template'!H446,CHAR(10),'Ingest Template'!I446,CHAR(10),'Ingest Template'!J446,CHAR(10))</f>
        <v>
</v>
      </c>
      <c r="F446" s="35" t="str">
        <f t="array" ref="F446">INDEX(DropdownLists!$O$2:$O$36,MATCH(1,COUNTIF(E446,"*"&amp;DropdownLists!$N$2:$N$36&amp;"*"),0))</f>
        <v/>
      </c>
      <c r="G446" s="35"/>
      <c r="H446" s="22" t="str">
        <f t="array" ref="H446">INDEX(DropdownLists!$E$2:$E$276,MATCH('Ingest Template'!D446,DropdownLists!$C$2:$C$276,0))</f>
        <v>#N/A</v>
      </c>
      <c r="I446" s="22"/>
      <c r="J446" s="22" t="str">
        <f t="array" ref="J446">iF('Ingest Template'!A446="Standard","Pristine Brand",INDEX(DropdownLists!$B$2:$B$246,MATCH('Ingest Template'!D446,DropdownLists!$C$2:$C$246,0)))</f>
        <v>#N/A</v>
      </c>
      <c r="K446" s="22" t="str">
        <f>iF('Ingest Template'!A446="Standard",'Ingest Template'!K446&amp;CHAR(10)&amp;'Ingest Template'!L446,"Competitive View")</f>
        <v>Competitive View</v>
      </c>
      <c r="L446" s="22" t="s">
        <v>95</v>
      </c>
      <c r="M446" s="45" t="str">
        <f>'Ingest Template'!B446</f>
        <v/>
      </c>
      <c r="N446" s="35"/>
      <c r="O446" s="35"/>
      <c r="P446" s="35"/>
      <c r="Q446" s="35"/>
      <c r="R446" s="35" t="str">
        <f>'Ingest Template'!D446</f>
        <v/>
      </c>
      <c r="S446" s="22" t="s">
        <v>101</v>
      </c>
      <c r="T446" s="35" t="str">
        <f>'Ingest Template'!V446</f>
        <v/>
      </c>
      <c r="U446" s="35" t="str">
        <f>'Ingest Template'!W446</f>
        <v/>
      </c>
      <c r="V446" s="35" t="str">
        <f>LOWER(SUBSTITUTE(SUBSTITUTE(SUBSTITUTE(SUBSTITUTE(SUBSTITUTE('Ingest Template'!X446,"https:",""),"www.",""),"/",""),"?hl=en",""),"instagram.com",""))</f>
        <v/>
      </c>
      <c r="W446" s="74" t="str">
        <f t="array" ref="W446">IF(
'Ingest Template'!Y446="",
SUBSTITUTE(
INDEX(DropdownLists!$F$2:$F$277,MATCH('Ingest Template'!D446,DropdownLists!$C$2:$C$277,0)),
CHAR(10),
"|"&amp;'Ingest Template'!C446&amp;CHAR(10)
)&amp;"|"&amp;'Ingest Template'!C446,
SUBSTITUTE(
INDEX(DropdownLists!$F$2:$F$277,MATCH('Ingest Template'!D446,DropdownLists!$C$2:$C$277,0)),
CHAR(10),
"|"&amp;'Ingest Template'!C446&amp;CHAR(10)
)&amp;"|"&amp;'Ingest Template'!C446&amp;CHAR(10)&amp;'Ingest Template'!Y446
)</f>
        <v>#N/A</v>
      </c>
      <c r="X446" s="74" t="str">
        <f>'Ingest Template'!Z446</f>
        <v/>
      </c>
      <c r="Y446" s="35" t="str">
        <f>SUBSTITUTE(SUBSTITUTE(SUBSTITUTE('Ingest Template'!AA446,"http:",""),"https:",""),"/","")</f>
        <v/>
      </c>
      <c r="Z446" s="35" t="str">
        <f t="array" ref="Z446">IF('Ingest Template'!A446="Standard",(IF(ISBLANK('Ingest Template'!AB446),"", 'Ingest Template'!AB446&amp;"|DAR")),(IF(ISBLANK('Ingest Template'!AB446),"", 'Ingest Template'!AB446&amp;"|TV Ops")))</f>
        <v/>
      </c>
      <c r="AA446" s="35"/>
      <c r="AB446" s="35" t="str">
        <f>'Ingest Template'!R446</f>
        <v/>
      </c>
      <c r="AC446" s="35" t="str">
        <f>'Ingest Template'!T446</f>
        <v/>
      </c>
      <c r="AD446" s="35" t="str">
        <f>'Ingest Template'!S446</f>
        <v/>
      </c>
      <c r="AE446" s="35" t="str">
        <f>'Ingest Template'!U446</f>
        <v/>
      </c>
      <c r="AF446" s="22"/>
      <c r="AG446" s="35" t="str">
        <f t="array" ref="AG446">IF('Ingest Template'!A446="Standard",(CONCATENATE(IF(ISBLANK('Ingest Template'!N446),"", 'Ingest Template'!N446&amp;"|DAR"),CHAR(10), IF(ISBLANK('Ingest Template'!O446),"", 'Ingest Template'!O446&amp;"|DAR"),CHAR(10), IF(ISBLANK('Ingest Template'!P446),"", 'Ingest Template'!P446&amp;"|DAR"))),(CONCATENATE(IF(ISBLANK('Ingest Template'!N446),"", 'Ingest Template'!N446&amp;"|TV Ops"),CHAR(10), IF(ISBLANK('Ingest Template'!O446),"", 'Ingest Template'!O446&amp;"|TV Ops"),CHAR(10), IF(ISBLANK('Ingest Template'!P446),"", 'Ingest Template'!P446&amp;"|TV Ops"))))</f>
        <v>
</v>
      </c>
      <c r="AH446" s="35"/>
      <c r="AI446" s="35"/>
      <c r="AJ446" s="117" t="str">
        <f>if('Ingest Template'!A446="Standard",(IF(OR('Ingest Template'!F446 = "Program Type - Special", 'Ingest Template'!F446 = "Program Type - Live Event"),'Ingest Template'!M446&amp; "|DAR|DAR|"&amp;TEXT('Ingest Template'!C446-3, "yyyy-mm-dd")&amp;"|"&amp;TEXT('Ingest Template'!C446+3, "yyyy-mm-dd"),'Ingest Template'!M446&amp; "|DAR|DAR|2021-01-01")),(IF(OR('Ingest Template'!F446 = "Program Type - Special", 'Ingest Template'!F446 = "Program Type - Live Event"),'Ingest Template'!M446&amp; "|Operations - Core Title|Operations - Core Title|"&amp;TEXT('Ingest Template'!C446-3, "yyyy-mm-dd")&amp;"|"&amp;TEXT('Ingest Template'!C446+3, "yyyy-mm-dd"),'Ingest Template'!M446&amp; "|Operations - Core Title|Operations - Core Title")))</f>
        <v>|Operations - Core Title|Operations - Core Title</v>
      </c>
      <c r="AK446" s="35"/>
      <c r="AL446" s="117" t="str">
        <f>if('Ingest Template'!A446="Standard",(IF(OR('Ingest Template'!F446 = "Program Type - Special", 'Ingest Template'!F446 = "Program Type - Live Event"),'Ingest Template'!Q446&amp;"|"&amp;TEXT('Ingest Template'!C446-3, "yyyy-mm-dd")&amp;"|"&amp;TEXT('Ingest Template'!C446+3, "yyyy-mm-dd"),'Ingest Template'!Q446&amp; "|2021-01-01")),(IF(OR('Ingest Template'!F446 = "Program Type - Special", 'Ingest Template'!F446 = "Program Type - Live Event"),'Ingest Template'!Q446&amp; "|"&amp;TEXT('Ingest Template'!C446-3, "yyyy-mm-dd")&amp;"|"&amp;TEXT('Ingest Template'!C446+3, "yyyy-mm-dd"),'Ingest Template'!Q446)))</f>
        <v/>
      </c>
      <c r="AM446" s="35" t="str">
        <f>'Ingest Template'!AC446</f>
        <v/>
      </c>
    </row>
    <row r="447">
      <c r="A447" s="15"/>
      <c r="B447" s="22" t="str">
        <f>'Ingest Template'!C447&amp;IF('Ingest Template'!A447 = "Standard", " - DAR","")</f>
        <v/>
      </c>
      <c r="C447" s="22" t="s">
        <v>83</v>
      </c>
      <c r="D447" s="22" t="str">
        <f t="array" ref="D447">CONCATENATE(INDEX(DropdownLists!$H$2:$H$11,MATCH(1,COUNTIF('Ingest Template'!E447,"*"&amp;DropdownLists!$I$2:$I$11&amp;"*"),0)),CHAR(10),'Ingest Template'!F447,CHAR(10),'Ingest Template'!G447,CHAR(10),VLOOKUP('Ingest Template'!D447,DropdownLists!C:D,2,FALSE))</f>
        <v>#N/A</v>
      </c>
      <c r="E447" s="22" t="str">
        <f>CONCATENATE('Ingest Template'!H447,CHAR(10),'Ingest Template'!I447,CHAR(10),'Ingest Template'!J447,CHAR(10))</f>
        <v>
</v>
      </c>
      <c r="F447" s="35" t="str">
        <f t="array" ref="F447">INDEX(DropdownLists!$O$2:$O$36,MATCH(1,COUNTIF(E447,"*"&amp;DropdownLists!$N$2:$N$36&amp;"*"),0))</f>
        <v/>
      </c>
      <c r="G447" s="35"/>
      <c r="H447" s="22" t="str">
        <f t="array" ref="H447">INDEX(DropdownLists!$E$2:$E$276,MATCH('Ingest Template'!D447,DropdownLists!$C$2:$C$276,0))</f>
        <v>#N/A</v>
      </c>
      <c r="I447" s="22"/>
      <c r="J447" s="22" t="str">
        <f t="array" ref="J447">iF('Ingest Template'!A447="Standard","Pristine Brand",INDEX(DropdownLists!$B$2:$B$246,MATCH('Ingest Template'!D447,DropdownLists!$C$2:$C$246,0)))</f>
        <v>#N/A</v>
      </c>
      <c r="K447" s="22" t="str">
        <f>iF('Ingest Template'!A447="Standard",'Ingest Template'!K447&amp;CHAR(10)&amp;'Ingest Template'!L447,"Competitive View")</f>
        <v>Competitive View</v>
      </c>
      <c r="L447" s="22" t="s">
        <v>95</v>
      </c>
      <c r="M447" s="45" t="str">
        <f>'Ingest Template'!B447</f>
        <v/>
      </c>
      <c r="N447" s="35"/>
      <c r="O447" s="35"/>
      <c r="P447" s="35"/>
      <c r="Q447" s="35"/>
      <c r="R447" s="35" t="str">
        <f>'Ingest Template'!D447</f>
        <v/>
      </c>
      <c r="S447" s="22" t="s">
        <v>101</v>
      </c>
      <c r="T447" s="35" t="str">
        <f>'Ingest Template'!V447</f>
        <v/>
      </c>
      <c r="U447" s="35" t="str">
        <f>'Ingest Template'!W447</f>
        <v/>
      </c>
      <c r="V447" s="35" t="str">
        <f>LOWER(SUBSTITUTE(SUBSTITUTE(SUBSTITUTE(SUBSTITUTE(SUBSTITUTE('Ingest Template'!X447,"https:",""),"www.",""),"/",""),"?hl=en",""),"instagram.com",""))</f>
        <v/>
      </c>
      <c r="W447" s="74" t="str">
        <f t="array" ref="W447">IF(
'Ingest Template'!Y447="",
SUBSTITUTE(
INDEX(DropdownLists!$F$2:$F$277,MATCH('Ingest Template'!D447,DropdownLists!$C$2:$C$277,0)),
CHAR(10),
"|"&amp;'Ingest Template'!C447&amp;CHAR(10)
)&amp;"|"&amp;'Ingest Template'!C447,
SUBSTITUTE(
INDEX(DropdownLists!$F$2:$F$277,MATCH('Ingest Template'!D447,DropdownLists!$C$2:$C$277,0)),
CHAR(10),
"|"&amp;'Ingest Template'!C447&amp;CHAR(10)
)&amp;"|"&amp;'Ingest Template'!C447&amp;CHAR(10)&amp;'Ingest Template'!Y447
)</f>
        <v>#N/A</v>
      </c>
      <c r="X447" s="74" t="str">
        <f>'Ingest Template'!Z447</f>
        <v/>
      </c>
      <c r="Y447" s="35" t="str">
        <f>SUBSTITUTE(SUBSTITUTE(SUBSTITUTE('Ingest Template'!AA447,"http:",""),"https:",""),"/","")</f>
        <v/>
      </c>
      <c r="Z447" s="35" t="str">
        <f t="array" ref="Z447">IF('Ingest Template'!A447="Standard",(IF(ISBLANK('Ingest Template'!AB447),"", 'Ingest Template'!AB447&amp;"|DAR")),(IF(ISBLANK('Ingest Template'!AB447),"", 'Ingest Template'!AB447&amp;"|TV Ops")))</f>
        <v/>
      </c>
      <c r="AA447" s="35"/>
      <c r="AB447" s="35" t="str">
        <f>'Ingest Template'!R447</f>
        <v/>
      </c>
      <c r="AC447" s="35" t="str">
        <f>'Ingest Template'!T447</f>
        <v/>
      </c>
      <c r="AD447" s="35" t="str">
        <f>'Ingest Template'!S447</f>
        <v/>
      </c>
      <c r="AE447" s="35" t="str">
        <f>'Ingest Template'!U447</f>
        <v/>
      </c>
      <c r="AF447" s="22"/>
      <c r="AG447" s="35" t="str">
        <f t="array" ref="AG447">IF('Ingest Template'!A447="Standard",(CONCATENATE(IF(ISBLANK('Ingest Template'!N447),"", 'Ingest Template'!N447&amp;"|DAR"),CHAR(10), IF(ISBLANK('Ingest Template'!O447),"", 'Ingest Template'!O447&amp;"|DAR"),CHAR(10), IF(ISBLANK('Ingest Template'!P447),"", 'Ingest Template'!P447&amp;"|DAR"))),(CONCATENATE(IF(ISBLANK('Ingest Template'!N447),"", 'Ingest Template'!N447&amp;"|TV Ops"),CHAR(10), IF(ISBLANK('Ingest Template'!O447),"", 'Ingest Template'!O447&amp;"|TV Ops"),CHAR(10), IF(ISBLANK('Ingest Template'!P447),"", 'Ingest Template'!P447&amp;"|TV Ops"))))</f>
        <v>
</v>
      </c>
      <c r="AH447" s="35"/>
      <c r="AI447" s="35"/>
      <c r="AJ447" s="117" t="str">
        <f>if('Ingest Template'!A447="Standard",(IF(OR('Ingest Template'!F447 = "Program Type - Special", 'Ingest Template'!F447 = "Program Type - Live Event"),'Ingest Template'!M447&amp; "|DAR|DAR|"&amp;TEXT('Ingest Template'!C447-3, "yyyy-mm-dd")&amp;"|"&amp;TEXT('Ingest Template'!C447+3, "yyyy-mm-dd"),'Ingest Template'!M447&amp; "|DAR|DAR|2021-01-01")),(IF(OR('Ingest Template'!F447 = "Program Type - Special", 'Ingest Template'!F447 = "Program Type - Live Event"),'Ingest Template'!M447&amp; "|Operations - Core Title|Operations - Core Title|"&amp;TEXT('Ingest Template'!C447-3, "yyyy-mm-dd")&amp;"|"&amp;TEXT('Ingest Template'!C447+3, "yyyy-mm-dd"),'Ingest Template'!M447&amp; "|Operations - Core Title|Operations - Core Title")))</f>
        <v>|Operations - Core Title|Operations - Core Title</v>
      </c>
      <c r="AK447" s="35"/>
      <c r="AL447" s="117" t="str">
        <f>if('Ingest Template'!A447="Standard",(IF(OR('Ingest Template'!F447 = "Program Type - Special", 'Ingest Template'!F447 = "Program Type - Live Event"),'Ingest Template'!Q447&amp;"|"&amp;TEXT('Ingest Template'!C447-3, "yyyy-mm-dd")&amp;"|"&amp;TEXT('Ingest Template'!C447+3, "yyyy-mm-dd"),'Ingest Template'!Q447&amp; "|2021-01-01")),(IF(OR('Ingest Template'!F447 = "Program Type - Special", 'Ingest Template'!F447 = "Program Type - Live Event"),'Ingest Template'!Q447&amp; "|"&amp;TEXT('Ingest Template'!C447-3, "yyyy-mm-dd")&amp;"|"&amp;TEXT('Ingest Template'!C447+3, "yyyy-mm-dd"),'Ingest Template'!Q447)))</f>
        <v/>
      </c>
      <c r="AM447" s="35" t="str">
        <f>'Ingest Template'!AC447</f>
        <v/>
      </c>
    </row>
    <row r="448">
      <c r="A448" s="15"/>
      <c r="B448" s="22" t="str">
        <f>'Ingest Template'!C448&amp;IF('Ingest Template'!A448 = "Standard", " - DAR","")</f>
        <v/>
      </c>
      <c r="C448" s="22" t="s">
        <v>83</v>
      </c>
      <c r="D448" s="22" t="str">
        <f t="array" ref="D448">CONCATENATE(INDEX(DropdownLists!$H$2:$H$11,MATCH(1,COUNTIF('Ingest Template'!E448,"*"&amp;DropdownLists!$I$2:$I$11&amp;"*"),0)),CHAR(10),'Ingest Template'!F448,CHAR(10),'Ingest Template'!G448,CHAR(10),VLOOKUP('Ingest Template'!D448,DropdownLists!C:D,2,FALSE))</f>
        <v>#N/A</v>
      </c>
      <c r="E448" s="22" t="str">
        <f>CONCATENATE('Ingest Template'!H448,CHAR(10),'Ingest Template'!I448,CHAR(10),'Ingest Template'!J448,CHAR(10))</f>
        <v>
</v>
      </c>
      <c r="F448" s="35" t="str">
        <f t="array" ref="F448">INDEX(DropdownLists!$O$2:$O$36,MATCH(1,COUNTIF(E448,"*"&amp;DropdownLists!$N$2:$N$36&amp;"*"),0))</f>
        <v/>
      </c>
      <c r="G448" s="35"/>
      <c r="H448" s="22" t="str">
        <f t="array" ref="H448">INDEX(DropdownLists!$E$2:$E$276,MATCH('Ingest Template'!D448,DropdownLists!$C$2:$C$276,0))</f>
        <v>#N/A</v>
      </c>
      <c r="I448" s="22"/>
      <c r="J448" s="22" t="str">
        <f t="array" ref="J448">iF('Ingest Template'!A448="Standard","Pristine Brand",INDEX(DropdownLists!$B$2:$B$246,MATCH('Ingest Template'!D448,DropdownLists!$C$2:$C$246,0)))</f>
        <v>#N/A</v>
      </c>
      <c r="K448" s="22" t="str">
        <f>iF('Ingest Template'!A448="Standard",'Ingest Template'!K448&amp;CHAR(10)&amp;'Ingest Template'!L448,"Competitive View")</f>
        <v>Competitive View</v>
      </c>
      <c r="L448" s="22" t="s">
        <v>95</v>
      </c>
      <c r="M448" s="45" t="str">
        <f>'Ingest Template'!B448</f>
        <v/>
      </c>
      <c r="N448" s="35"/>
      <c r="O448" s="35"/>
      <c r="P448" s="35"/>
      <c r="Q448" s="35"/>
      <c r="R448" s="35" t="str">
        <f>'Ingest Template'!D448</f>
        <v/>
      </c>
      <c r="S448" s="22" t="s">
        <v>101</v>
      </c>
      <c r="T448" s="35" t="str">
        <f>'Ingest Template'!V448</f>
        <v/>
      </c>
      <c r="U448" s="35" t="str">
        <f>'Ingest Template'!W448</f>
        <v/>
      </c>
      <c r="V448" s="35" t="str">
        <f>LOWER(SUBSTITUTE(SUBSTITUTE(SUBSTITUTE(SUBSTITUTE(SUBSTITUTE('Ingest Template'!X448,"https:",""),"www.",""),"/",""),"?hl=en",""),"instagram.com",""))</f>
        <v/>
      </c>
      <c r="W448" s="74" t="str">
        <f t="array" ref="W448">IF(
'Ingest Template'!Y448="",
SUBSTITUTE(
INDEX(DropdownLists!$F$2:$F$277,MATCH('Ingest Template'!D448,DropdownLists!$C$2:$C$277,0)),
CHAR(10),
"|"&amp;'Ingest Template'!C448&amp;CHAR(10)
)&amp;"|"&amp;'Ingest Template'!C448,
SUBSTITUTE(
INDEX(DropdownLists!$F$2:$F$277,MATCH('Ingest Template'!D448,DropdownLists!$C$2:$C$277,0)),
CHAR(10),
"|"&amp;'Ingest Template'!C448&amp;CHAR(10)
)&amp;"|"&amp;'Ingest Template'!C448&amp;CHAR(10)&amp;'Ingest Template'!Y448
)</f>
        <v>#N/A</v>
      </c>
      <c r="X448" s="74" t="str">
        <f>'Ingest Template'!Z448</f>
        <v/>
      </c>
      <c r="Y448" s="35" t="str">
        <f>SUBSTITUTE(SUBSTITUTE(SUBSTITUTE('Ingest Template'!AA448,"http:",""),"https:",""),"/","")</f>
        <v/>
      </c>
      <c r="Z448" s="35" t="str">
        <f t="array" ref="Z448">IF('Ingest Template'!A448="Standard",(IF(ISBLANK('Ingest Template'!AB448),"", 'Ingest Template'!AB448&amp;"|DAR")),(IF(ISBLANK('Ingest Template'!AB448),"", 'Ingest Template'!AB448&amp;"|TV Ops")))</f>
        <v/>
      </c>
      <c r="AA448" s="35"/>
      <c r="AB448" s="35" t="str">
        <f>'Ingest Template'!R448</f>
        <v/>
      </c>
      <c r="AC448" s="35" t="str">
        <f>'Ingest Template'!T448</f>
        <v/>
      </c>
      <c r="AD448" s="35" t="str">
        <f>'Ingest Template'!S448</f>
        <v/>
      </c>
      <c r="AE448" s="35" t="str">
        <f>'Ingest Template'!U448</f>
        <v/>
      </c>
      <c r="AF448" s="22"/>
      <c r="AG448" s="35" t="str">
        <f t="array" ref="AG448">IF('Ingest Template'!A448="Standard",(CONCATENATE(IF(ISBLANK('Ingest Template'!N448),"", 'Ingest Template'!N448&amp;"|DAR"),CHAR(10), IF(ISBLANK('Ingest Template'!O448),"", 'Ingest Template'!O448&amp;"|DAR"),CHAR(10), IF(ISBLANK('Ingest Template'!P448),"", 'Ingest Template'!P448&amp;"|DAR"))),(CONCATENATE(IF(ISBLANK('Ingest Template'!N448),"", 'Ingest Template'!N448&amp;"|TV Ops"),CHAR(10), IF(ISBLANK('Ingest Template'!O448),"", 'Ingest Template'!O448&amp;"|TV Ops"),CHAR(10), IF(ISBLANK('Ingest Template'!P448),"", 'Ingest Template'!P448&amp;"|TV Ops"))))</f>
        <v>
</v>
      </c>
      <c r="AH448" s="35"/>
      <c r="AI448" s="35"/>
      <c r="AJ448" s="117" t="str">
        <f>if('Ingest Template'!A448="Standard",(IF(OR('Ingest Template'!F448 = "Program Type - Special", 'Ingest Template'!F448 = "Program Type - Live Event"),'Ingest Template'!M448&amp; "|DAR|DAR|"&amp;TEXT('Ingest Template'!C448-3, "yyyy-mm-dd")&amp;"|"&amp;TEXT('Ingest Template'!C448+3, "yyyy-mm-dd"),'Ingest Template'!M448&amp; "|DAR|DAR|2021-01-01")),(IF(OR('Ingest Template'!F448 = "Program Type - Special", 'Ingest Template'!F448 = "Program Type - Live Event"),'Ingest Template'!M448&amp; "|Operations - Core Title|Operations - Core Title|"&amp;TEXT('Ingest Template'!C448-3, "yyyy-mm-dd")&amp;"|"&amp;TEXT('Ingest Template'!C448+3, "yyyy-mm-dd"),'Ingest Template'!M448&amp; "|Operations - Core Title|Operations - Core Title")))</f>
        <v>|Operations - Core Title|Operations - Core Title</v>
      </c>
      <c r="AK448" s="35"/>
      <c r="AL448" s="117" t="str">
        <f>if('Ingest Template'!A448="Standard",(IF(OR('Ingest Template'!F448 = "Program Type - Special", 'Ingest Template'!F448 = "Program Type - Live Event"),'Ingest Template'!Q448&amp;"|"&amp;TEXT('Ingest Template'!C448-3, "yyyy-mm-dd")&amp;"|"&amp;TEXT('Ingest Template'!C448+3, "yyyy-mm-dd"),'Ingest Template'!Q448&amp; "|2021-01-01")),(IF(OR('Ingest Template'!F448 = "Program Type - Special", 'Ingest Template'!F448 = "Program Type - Live Event"),'Ingest Template'!Q448&amp; "|"&amp;TEXT('Ingest Template'!C448-3, "yyyy-mm-dd")&amp;"|"&amp;TEXT('Ingest Template'!C448+3, "yyyy-mm-dd"),'Ingest Template'!Q448)))</f>
        <v/>
      </c>
      <c r="AM448" s="35" t="str">
        <f>'Ingest Template'!AC448</f>
        <v/>
      </c>
    </row>
    <row r="449">
      <c r="A449" s="15"/>
      <c r="B449" s="22" t="str">
        <f>'Ingest Template'!C449&amp;IF('Ingest Template'!A449 = "Standard", " - DAR","")</f>
        <v/>
      </c>
      <c r="C449" s="22" t="s">
        <v>83</v>
      </c>
      <c r="D449" s="22" t="str">
        <f t="array" ref="D449">CONCATENATE(INDEX(DropdownLists!$H$2:$H$11,MATCH(1,COUNTIF('Ingest Template'!E449,"*"&amp;DropdownLists!$I$2:$I$11&amp;"*"),0)),CHAR(10),'Ingest Template'!F449,CHAR(10),'Ingest Template'!G449,CHAR(10),VLOOKUP('Ingest Template'!D449,DropdownLists!C:D,2,FALSE))</f>
        <v>#N/A</v>
      </c>
      <c r="E449" s="22" t="str">
        <f>CONCATENATE('Ingest Template'!H449,CHAR(10),'Ingest Template'!I449,CHAR(10),'Ingest Template'!J449,CHAR(10))</f>
        <v>
</v>
      </c>
      <c r="F449" s="35" t="str">
        <f t="array" ref="F449">INDEX(DropdownLists!$O$2:$O$36,MATCH(1,COUNTIF(E449,"*"&amp;DropdownLists!$N$2:$N$36&amp;"*"),0))</f>
        <v/>
      </c>
      <c r="G449" s="35"/>
      <c r="H449" s="22" t="str">
        <f t="array" ref="H449">INDEX(DropdownLists!$E$2:$E$276,MATCH('Ingest Template'!D449,DropdownLists!$C$2:$C$276,0))</f>
        <v>#N/A</v>
      </c>
      <c r="I449" s="22"/>
      <c r="J449" s="22" t="str">
        <f t="array" ref="J449">iF('Ingest Template'!A449="Standard","Pristine Brand",INDEX(DropdownLists!$B$2:$B$246,MATCH('Ingest Template'!D449,DropdownLists!$C$2:$C$246,0)))</f>
        <v>#N/A</v>
      </c>
      <c r="K449" s="22" t="str">
        <f>iF('Ingest Template'!A449="Standard",'Ingest Template'!K449&amp;CHAR(10)&amp;'Ingest Template'!L449,"Competitive View")</f>
        <v>Competitive View</v>
      </c>
      <c r="L449" s="22" t="s">
        <v>95</v>
      </c>
      <c r="M449" s="45" t="str">
        <f>'Ingest Template'!B449</f>
        <v/>
      </c>
      <c r="N449" s="35"/>
      <c r="O449" s="35"/>
      <c r="P449" s="35"/>
      <c r="Q449" s="35"/>
      <c r="R449" s="35" t="str">
        <f>'Ingest Template'!D449</f>
        <v/>
      </c>
      <c r="S449" s="22" t="s">
        <v>101</v>
      </c>
      <c r="T449" s="35" t="str">
        <f>'Ingest Template'!V449</f>
        <v/>
      </c>
      <c r="U449" s="35" t="str">
        <f>'Ingest Template'!W449</f>
        <v/>
      </c>
      <c r="V449" s="35" t="str">
        <f>LOWER(SUBSTITUTE(SUBSTITUTE(SUBSTITUTE(SUBSTITUTE(SUBSTITUTE('Ingest Template'!X449,"https:",""),"www.",""),"/",""),"?hl=en",""),"instagram.com",""))</f>
        <v/>
      </c>
      <c r="W449" s="74" t="str">
        <f t="array" ref="W449">IF(
'Ingest Template'!Y449="",
SUBSTITUTE(
INDEX(DropdownLists!$F$2:$F$277,MATCH('Ingest Template'!D449,DropdownLists!$C$2:$C$277,0)),
CHAR(10),
"|"&amp;'Ingest Template'!C449&amp;CHAR(10)
)&amp;"|"&amp;'Ingest Template'!C449,
SUBSTITUTE(
INDEX(DropdownLists!$F$2:$F$277,MATCH('Ingest Template'!D449,DropdownLists!$C$2:$C$277,0)),
CHAR(10),
"|"&amp;'Ingest Template'!C449&amp;CHAR(10)
)&amp;"|"&amp;'Ingest Template'!C449&amp;CHAR(10)&amp;'Ingest Template'!Y449
)</f>
        <v>#N/A</v>
      </c>
      <c r="X449" s="74" t="str">
        <f>'Ingest Template'!Z449</f>
        <v/>
      </c>
      <c r="Y449" s="35" t="str">
        <f>SUBSTITUTE(SUBSTITUTE(SUBSTITUTE('Ingest Template'!AA449,"http:",""),"https:",""),"/","")</f>
        <v/>
      </c>
      <c r="Z449" s="35" t="str">
        <f t="array" ref="Z449">IF('Ingest Template'!A449="Standard",(IF(ISBLANK('Ingest Template'!AB449),"", 'Ingest Template'!AB449&amp;"|DAR")),(IF(ISBLANK('Ingest Template'!AB449),"", 'Ingest Template'!AB449&amp;"|TV Ops")))</f>
        <v/>
      </c>
      <c r="AA449" s="35"/>
      <c r="AB449" s="35" t="str">
        <f>'Ingest Template'!R449</f>
        <v/>
      </c>
      <c r="AC449" s="35" t="str">
        <f>'Ingest Template'!T449</f>
        <v/>
      </c>
      <c r="AD449" s="35" t="str">
        <f>'Ingest Template'!S449</f>
        <v/>
      </c>
      <c r="AE449" s="35" t="str">
        <f>'Ingest Template'!U449</f>
        <v/>
      </c>
      <c r="AF449" s="22"/>
      <c r="AG449" s="35" t="str">
        <f t="array" ref="AG449">IF('Ingest Template'!A449="Standard",(CONCATENATE(IF(ISBLANK('Ingest Template'!N449),"", 'Ingest Template'!N449&amp;"|DAR"),CHAR(10), IF(ISBLANK('Ingest Template'!O449),"", 'Ingest Template'!O449&amp;"|DAR"),CHAR(10), IF(ISBLANK('Ingest Template'!P449),"", 'Ingest Template'!P449&amp;"|DAR"))),(CONCATENATE(IF(ISBLANK('Ingest Template'!N449),"", 'Ingest Template'!N449&amp;"|TV Ops"),CHAR(10), IF(ISBLANK('Ingest Template'!O449),"", 'Ingest Template'!O449&amp;"|TV Ops"),CHAR(10), IF(ISBLANK('Ingest Template'!P449),"", 'Ingest Template'!P449&amp;"|TV Ops"))))</f>
        <v>
</v>
      </c>
      <c r="AH449" s="35"/>
      <c r="AI449" s="35"/>
      <c r="AJ449" s="117" t="str">
        <f>if('Ingest Template'!A449="Standard",(IF(OR('Ingest Template'!F449 = "Program Type - Special", 'Ingest Template'!F449 = "Program Type - Live Event"),'Ingest Template'!M449&amp; "|DAR|DAR|"&amp;TEXT('Ingest Template'!C449-3, "yyyy-mm-dd")&amp;"|"&amp;TEXT('Ingest Template'!C449+3, "yyyy-mm-dd"),'Ingest Template'!M449&amp; "|DAR|DAR|2021-01-01")),(IF(OR('Ingest Template'!F449 = "Program Type - Special", 'Ingest Template'!F449 = "Program Type - Live Event"),'Ingest Template'!M449&amp; "|Operations - Core Title|Operations - Core Title|"&amp;TEXT('Ingest Template'!C449-3, "yyyy-mm-dd")&amp;"|"&amp;TEXT('Ingest Template'!C449+3, "yyyy-mm-dd"),'Ingest Template'!M449&amp; "|Operations - Core Title|Operations - Core Title")))</f>
        <v>|Operations - Core Title|Operations - Core Title</v>
      </c>
      <c r="AK449" s="35"/>
      <c r="AL449" s="117" t="str">
        <f>if('Ingest Template'!A449="Standard",(IF(OR('Ingest Template'!F449 = "Program Type - Special", 'Ingest Template'!F449 = "Program Type - Live Event"),'Ingest Template'!Q449&amp;"|"&amp;TEXT('Ingest Template'!C449-3, "yyyy-mm-dd")&amp;"|"&amp;TEXT('Ingest Template'!C449+3, "yyyy-mm-dd"),'Ingest Template'!Q449&amp; "|2021-01-01")),(IF(OR('Ingest Template'!F449 = "Program Type - Special", 'Ingest Template'!F449 = "Program Type - Live Event"),'Ingest Template'!Q449&amp; "|"&amp;TEXT('Ingest Template'!C449-3, "yyyy-mm-dd")&amp;"|"&amp;TEXT('Ingest Template'!C449+3, "yyyy-mm-dd"),'Ingest Template'!Q449)))</f>
        <v/>
      </c>
      <c r="AM449" s="35" t="str">
        <f>'Ingest Template'!AC449</f>
        <v/>
      </c>
    </row>
    <row r="450">
      <c r="A450" s="15"/>
      <c r="B450" s="22" t="str">
        <f>'Ingest Template'!C450&amp;IF('Ingest Template'!A450 = "Standard", " - DAR","")</f>
        <v/>
      </c>
      <c r="C450" s="22" t="s">
        <v>83</v>
      </c>
      <c r="D450" s="22" t="str">
        <f t="array" ref="D450">CONCATENATE(INDEX(DropdownLists!$H$2:$H$11,MATCH(1,COUNTIF('Ingest Template'!E450,"*"&amp;DropdownLists!$I$2:$I$11&amp;"*"),0)),CHAR(10),'Ingest Template'!F450,CHAR(10),'Ingest Template'!G450,CHAR(10),VLOOKUP('Ingest Template'!D450,DropdownLists!C:D,2,FALSE))</f>
        <v>#N/A</v>
      </c>
      <c r="E450" s="22" t="str">
        <f>CONCATENATE('Ingest Template'!H450,CHAR(10),'Ingest Template'!I450,CHAR(10),'Ingest Template'!J450,CHAR(10))</f>
        <v>
</v>
      </c>
      <c r="F450" s="35" t="str">
        <f t="array" ref="F450">INDEX(DropdownLists!$O$2:$O$36,MATCH(1,COUNTIF(E450,"*"&amp;DropdownLists!$N$2:$N$36&amp;"*"),0))</f>
        <v/>
      </c>
      <c r="G450" s="35"/>
      <c r="H450" s="22" t="str">
        <f t="array" ref="H450">INDEX(DropdownLists!$E$2:$E$276,MATCH('Ingest Template'!D450,DropdownLists!$C$2:$C$276,0))</f>
        <v>#N/A</v>
      </c>
      <c r="I450" s="22"/>
      <c r="J450" s="22" t="str">
        <f t="array" ref="J450">iF('Ingest Template'!A450="Standard","Pristine Brand",INDEX(DropdownLists!$B$2:$B$246,MATCH('Ingest Template'!D450,DropdownLists!$C$2:$C$246,0)))</f>
        <v>#N/A</v>
      </c>
      <c r="K450" s="22" t="str">
        <f>iF('Ingest Template'!A450="Standard",'Ingest Template'!K450&amp;CHAR(10)&amp;'Ingest Template'!L450,"Competitive View")</f>
        <v>Competitive View</v>
      </c>
      <c r="L450" s="22" t="s">
        <v>95</v>
      </c>
      <c r="M450" s="45" t="str">
        <f>'Ingest Template'!B450</f>
        <v/>
      </c>
      <c r="N450" s="35"/>
      <c r="O450" s="35"/>
      <c r="P450" s="35"/>
      <c r="Q450" s="35"/>
      <c r="R450" s="35" t="str">
        <f>'Ingest Template'!D450</f>
        <v/>
      </c>
      <c r="S450" s="22" t="s">
        <v>101</v>
      </c>
      <c r="T450" s="35" t="str">
        <f>'Ingest Template'!V450</f>
        <v/>
      </c>
      <c r="U450" s="35" t="str">
        <f>'Ingest Template'!W450</f>
        <v/>
      </c>
      <c r="V450" s="35" t="str">
        <f>LOWER(SUBSTITUTE(SUBSTITUTE(SUBSTITUTE(SUBSTITUTE(SUBSTITUTE('Ingest Template'!X450,"https:",""),"www.",""),"/",""),"?hl=en",""),"instagram.com",""))</f>
        <v/>
      </c>
      <c r="W450" s="74" t="str">
        <f t="array" ref="W450">IF(
'Ingest Template'!Y450="",
SUBSTITUTE(
INDEX(DropdownLists!$F$2:$F$277,MATCH('Ingest Template'!D450,DropdownLists!$C$2:$C$277,0)),
CHAR(10),
"|"&amp;'Ingest Template'!C450&amp;CHAR(10)
)&amp;"|"&amp;'Ingest Template'!C450,
SUBSTITUTE(
INDEX(DropdownLists!$F$2:$F$277,MATCH('Ingest Template'!D450,DropdownLists!$C$2:$C$277,0)),
CHAR(10),
"|"&amp;'Ingest Template'!C450&amp;CHAR(10)
)&amp;"|"&amp;'Ingest Template'!C450&amp;CHAR(10)&amp;'Ingest Template'!Y450
)</f>
        <v>#N/A</v>
      </c>
      <c r="X450" s="74" t="str">
        <f>'Ingest Template'!Z450</f>
        <v/>
      </c>
      <c r="Y450" s="35" t="str">
        <f>SUBSTITUTE(SUBSTITUTE(SUBSTITUTE('Ingest Template'!AA450,"http:",""),"https:",""),"/","")</f>
        <v/>
      </c>
      <c r="Z450" s="35" t="str">
        <f t="array" ref="Z450">IF('Ingest Template'!A450="Standard",(IF(ISBLANK('Ingest Template'!AB450),"", 'Ingest Template'!AB450&amp;"|DAR")),(IF(ISBLANK('Ingest Template'!AB450),"", 'Ingest Template'!AB450&amp;"|TV Ops")))</f>
        <v/>
      </c>
      <c r="AA450" s="35"/>
      <c r="AB450" s="35" t="str">
        <f>'Ingest Template'!R450</f>
        <v/>
      </c>
      <c r="AC450" s="35" t="str">
        <f>'Ingest Template'!T450</f>
        <v/>
      </c>
      <c r="AD450" s="35" t="str">
        <f>'Ingest Template'!S450</f>
        <v/>
      </c>
      <c r="AE450" s="35" t="str">
        <f>'Ingest Template'!U450</f>
        <v/>
      </c>
      <c r="AF450" s="22"/>
      <c r="AG450" s="35" t="str">
        <f t="array" ref="AG450">IF('Ingest Template'!A450="Standard",(CONCATENATE(IF(ISBLANK('Ingest Template'!N450),"", 'Ingest Template'!N450&amp;"|DAR"),CHAR(10), IF(ISBLANK('Ingest Template'!O450),"", 'Ingest Template'!O450&amp;"|DAR"),CHAR(10), IF(ISBLANK('Ingest Template'!P450),"", 'Ingest Template'!P450&amp;"|DAR"))),(CONCATENATE(IF(ISBLANK('Ingest Template'!N450),"", 'Ingest Template'!N450&amp;"|TV Ops"),CHAR(10), IF(ISBLANK('Ingest Template'!O450),"", 'Ingest Template'!O450&amp;"|TV Ops"),CHAR(10), IF(ISBLANK('Ingest Template'!P450),"", 'Ingest Template'!P450&amp;"|TV Ops"))))</f>
        <v>
</v>
      </c>
      <c r="AH450" s="35"/>
      <c r="AI450" s="35"/>
      <c r="AJ450" s="117" t="str">
        <f>if('Ingest Template'!A450="Standard",(IF(OR('Ingest Template'!F450 = "Program Type - Special", 'Ingest Template'!F450 = "Program Type - Live Event"),'Ingest Template'!M450&amp; "|DAR|DAR|"&amp;TEXT('Ingest Template'!C450-3, "yyyy-mm-dd")&amp;"|"&amp;TEXT('Ingest Template'!C450+3, "yyyy-mm-dd"),'Ingest Template'!M450&amp; "|DAR|DAR|2021-01-01")),(IF(OR('Ingest Template'!F450 = "Program Type - Special", 'Ingest Template'!F450 = "Program Type - Live Event"),'Ingest Template'!M450&amp; "|Operations - Core Title|Operations - Core Title|"&amp;TEXT('Ingest Template'!C450-3, "yyyy-mm-dd")&amp;"|"&amp;TEXT('Ingest Template'!C450+3, "yyyy-mm-dd"),'Ingest Template'!M450&amp; "|Operations - Core Title|Operations - Core Title")))</f>
        <v>|Operations - Core Title|Operations - Core Title</v>
      </c>
      <c r="AK450" s="35"/>
      <c r="AL450" s="117" t="str">
        <f>if('Ingest Template'!A450="Standard",(IF(OR('Ingest Template'!F450 = "Program Type - Special", 'Ingest Template'!F450 = "Program Type - Live Event"),'Ingest Template'!Q450&amp;"|"&amp;TEXT('Ingest Template'!C450-3, "yyyy-mm-dd")&amp;"|"&amp;TEXT('Ingest Template'!C450+3, "yyyy-mm-dd"),'Ingest Template'!Q450&amp; "|2021-01-01")),(IF(OR('Ingest Template'!F450 = "Program Type - Special", 'Ingest Template'!F450 = "Program Type - Live Event"),'Ingest Template'!Q450&amp; "|"&amp;TEXT('Ingest Template'!C450-3, "yyyy-mm-dd")&amp;"|"&amp;TEXT('Ingest Template'!C450+3, "yyyy-mm-dd"),'Ingest Template'!Q450)))</f>
        <v/>
      </c>
      <c r="AM450" s="35" t="str">
        <f>'Ingest Template'!AC450</f>
        <v/>
      </c>
    </row>
    <row r="451">
      <c r="A451" s="15"/>
      <c r="B451" s="22" t="str">
        <f>'Ingest Template'!C451&amp;IF('Ingest Template'!A451 = "Standard", " - DAR","")</f>
        <v/>
      </c>
      <c r="C451" s="22" t="s">
        <v>83</v>
      </c>
      <c r="D451" s="22" t="str">
        <f t="array" ref="D451">CONCATENATE(INDEX(DropdownLists!$H$2:$H$11,MATCH(1,COUNTIF('Ingest Template'!E451,"*"&amp;DropdownLists!$I$2:$I$11&amp;"*"),0)),CHAR(10),'Ingest Template'!F451,CHAR(10),'Ingest Template'!G451,CHAR(10),VLOOKUP('Ingest Template'!D451,DropdownLists!C:D,2,FALSE))</f>
        <v>#N/A</v>
      </c>
      <c r="E451" s="22" t="str">
        <f>CONCATENATE('Ingest Template'!H451,CHAR(10),'Ingest Template'!I451,CHAR(10),'Ingest Template'!J451,CHAR(10))</f>
        <v>
</v>
      </c>
      <c r="F451" s="35" t="str">
        <f t="array" ref="F451">INDEX(DropdownLists!$O$2:$O$36,MATCH(1,COUNTIF(E451,"*"&amp;DropdownLists!$N$2:$N$36&amp;"*"),0))</f>
        <v/>
      </c>
      <c r="G451" s="35"/>
      <c r="H451" s="22" t="str">
        <f t="array" ref="H451">INDEX(DropdownLists!$E$2:$E$276,MATCH('Ingest Template'!D451,DropdownLists!$C$2:$C$276,0))</f>
        <v>#N/A</v>
      </c>
      <c r="I451" s="22"/>
      <c r="J451" s="22" t="str">
        <f t="array" ref="J451">iF('Ingest Template'!A451="Standard","Pristine Brand",INDEX(DropdownLists!$B$2:$B$246,MATCH('Ingest Template'!D451,DropdownLists!$C$2:$C$246,0)))</f>
        <v>#N/A</v>
      </c>
      <c r="K451" s="22" t="str">
        <f>iF('Ingest Template'!A451="Standard",'Ingest Template'!K451&amp;CHAR(10)&amp;'Ingest Template'!L451,"Competitive View")</f>
        <v>Competitive View</v>
      </c>
      <c r="L451" s="22" t="s">
        <v>95</v>
      </c>
      <c r="M451" s="45" t="str">
        <f>'Ingest Template'!B451</f>
        <v/>
      </c>
      <c r="N451" s="35"/>
      <c r="O451" s="35"/>
      <c r="P451" s="35"/>
      <c r="Q451" s="35"/>
      <c r="R451" s="35" t="str">
        <f>'Ingest Template'!D451</f>
        <v/>
      </c>
      <c r="S451" s="22" t="s">
        <v>101</v>
      </c>
      <c r="T451" s="35" t="str">
        <f>'Ingest Template'!V451</f>
        <v/>
      </c>
      <c r="U451" s="35" t="str">
        <f>'Ingest Template'!W451</f>
        <v/>
      </c>
      <c r="V451" s="35" t="str">
        <f>LOWER(SUBSTITUTE(SUBSTITUTE(SUBSTITUTE(SUBSTITUTE(SUBSTITUTE('Ingest Template'!X451,"https:",""),"www.",""),"/",""),"?hl=en",""),"instagram.com",""))</f>
        <v/>
      </c>
      <c r="W451" s="74" t="str">
        <f t="array" ref="W451">IF(
'Ingest Template'!Y451="",
SUBSTITUTE(
INDEX(DropdownLists!$F$2:$F$277,MATCH('Ingest Template'!D451,DropdownLists!$C$2:$C$277,0)),
CHAR(10),
"|"&amp;'Ingest Template'!C451&amp;CHAR(10)
)&amp;"|"&amp;'Ingest Template'!C451,
SUBSTITUTE(
INDEX(DropdownLists!$F$2:$F$277,MATCH('Ingest Template'!D451,DropdownLists!$C$2:$C$277,0)),
CHAR(10),
"|"&amp;'Ingest Template'!C451&amp;CHAR(10)
)&amp;"|"&amp;'Ingest Template'!C451&amp;CHAR(10)&amp;'Ingest Template'!Y451
)</f>
        <v>#N/A</v>
      </c>
      <c r="X451" s="74" t="str">
        <f>'Ingest Template'!Z451</f>
        <v/>
      </c>
      <c r="Y451" s="35" t="str">
        <f>SUBSTITUTE(SUBSTITUTE(SUBSTITUTE('Ingest Template'!AA451,"http:",""),"https:",""),"/","")</f>
        <v/>
      </c>
      <c r="Z451" s="35" t="str">
        <f t="array" ref="Z451">IF('Ingest Template'!A451="Standard",(IF(ISBLANK('Ingest Template'!AB451),"", 'Ingest Template'!AB451&amp;"|DAR")),(IF(ISBLANK('Ingest Template'!AB451),"", 'Ingest Template'!AB451&amp;"|TV Ops")))</f>
        <v/>
      </c>
      <c r="AA451" s="35"/>
      <c r="AB451" s="35" t="str">
        <f>'Ingest Template'!R451</f>
        <v/>
      </c>
      <c r="AC451" s="35" t="str">
        <f>'Ingest Template'!T451</f>
        <v/>
      </c>
      <c r="AD451" s="35" t="str">
        <f>'Ingest Template'!S451</f>
        <v/>
      </c>
      <c r="AE451" s="35" t="str">
        <f>'Ingest Template'!U451</f>
        <v/>
      </c>
      <c r="AF451" s="22"/>
      <c r="AG451" s="35" t="str">
        <f t="array" ref="AG451">IF('Ingest Template'!A451="Standard",(CONCATENATE(IF(ISBLANK('Ingest Template'!N451),"", 'Ingest Template'!N451&amp;"|DAR"),CHAR(10), IF(ISBLANK('Ingest Template'!O451),"", 'Ingest Template'!O451&amp;"|DAR"),CHAR(10), IF(ISBLANK('Ingest Template'!P451),"", 'Ingest Template'!P451&amp;"|DAR"))),(CONCATENATE(IF(ISBLANK('Ingest Template'!N451),"", 'Ingest Template'!N451&amp;"|TV Ops"),CHAR(10), IF(ISBLANK('Ingest Template'!O451),"", 'Ingest Template'!O451&amp;"|TV Ops"),CHAR(10), IF(ISBLANK('Ingest Template'!P451),"", 'Ingest Template'!P451&amp;"|TV Ops"))))</f>
        <v>
</v>
      </c>
      <c r="AH451" s="35"/>
      <c r="AI451" s="35"/>
      <c r="AJ451" s="117" t="str">
        <f>if('Ingest Template'!A451="Standard",(IF(OR('Ingest Template'!F451 = "Program Type - Special", 'Ingest Template'!F451 = "Program Type - Live Event"),'Ingest Template'!M451&amp; "|DAR|DAR|"&amp;TEXT('Ingest Template'!C451-3, "yyyy-mm-dd")&amp;"|"&amp;TEXT('Ingest Template'!C451+3, "yyyy-mm-dd"),'Ingest Template'!M451&amp; "|DAR|DAR|2021-01-01")),(IF(OR('Ingest Template'!F451 = "Program Type - Special", 'Ingest Template'!F451 = "Program Type - Live Event"),'Ingest Template'!M451&amp; "|Operations - Core Title|Operations - Core Title|"&amp;TEXT('Ingest Template'!C451-3, "yyyy-mm-dd")&amp;"|"&amp;TEXT('Ingest Template'!C451+3, "yyyy-mm-dd"),'Ingest Template'!M451&amp; "|Operations - Core Title|Operations - Core Title")))</f>
        <v>|Operations - Core Title|Operations - Core Title</v>
      </c>
      <c r="AK451" s="35"/>
      <c r="AL451" s="117" t="str">
        <f>if('Ingest Template'!A451="Standard",(IF(OR('Ingest Template'!F451 = "Program Type - Special", 'Ingest Template'!F451 = "Program Type - Live Event"),'Ingest Template'!Q451&amp;"|"&amp;TEXT('Ingest Template'!C451-3, "yyyy-mm-dd")&amp;"|"&amp;TEXT('Ingest Template'!C451+3, "yyyy-mm-dd"),'Ingest Template'!Q451&amp; "|2021-01-01")),(IF(OR('Ingest Template'!F451 = "Program Type - Special", 'Ingest Template'!F451 = "Program Type - Live Event"),'Ingest Template'!Q451&amp; "|"&amp;TEXT('Ingest Template'!C451-3, "yyyy-mm-dd")&amp;"|"&amp;TEXT('Ingest Template'!C451+3, "yyyy-mm-dd"),'Ingest Template'!Q451)))</f>
        <v/>
      </c>
      <c r="AM451" s="35" t="str">
        <f>'Ingest Template'!AC451</f>
        <v/>
      </c>
    </row>
    <row r="452">
      <c r="A452" s="15"/>
      <c r="B452" s="22" t="str">
        <f>'Ingest Template'!C452&amp;IF('Ingest Template'!A452 = "Standard", " - DAR","")</f>
        <v/>
      </c>
      <c r="C452" s="22" t="s">
        <v>83</v>
      </c>
      <c r="D452" s="22" t="str">
        <f t="array" ref="D452">CONCATENATE(INDEX(DropdownLists!$H$2:$H$11,MATCH(1,COUNTIF('Ingest Template'!E452,"*"&amp;DropdownLists!$I$2:$I$11&amp;"*"),0)),CHAR(10),'Ingest Template'!F452,CHAR(10),'Ingest Template'!G452,CHAR(10),VLOOKUP('Ingest Template'!D452,DropdownLists!C:D,2,FALSE))</f>
        <v>#N/A</v>
      </c>
      <c r="E452" s="22" t="str">
        <f>CONCATENATE('Ingest Template'!H452,CHAR(10),'Ingest Template'!I452,CHAR(10),'Ingest Template'!J452,CHAR(10))</f>
        <v>
</v>
      </c>
      <c r="F452" s="35" t="str">
        <f t="array" ref="F452">INDEX(DropdownLists!$O$2:$O$36,MATCH(1,COUNTIF(E452,"*"&amp;DropdownLists!$N$2:$N$36&amp;"*"),0))</f>
        <v/>
      </c>
      <c r="G452" s="35"/>
      <c r="H452" s="22" t="str">
        <f t="array" ref="H452">INDEX(DropdownLists!$E$2:$E$276,MATCH('Ingest Template'!D452,DropdownLists!$C$2:$C$276,0))</f>
        <v>#N/A</v>
      </c>
      <c r="I452" s="22"/>
      <c r="J452" s="22" t="str">
        <f t="array" ref="J452">iF('Ingest Template'!A452="Standard","Pristine Brand",INDEX(DropdownLists!$B$2:$B$246,MATCH('Ingest Template'!D452,DropdownLists!$C$2:$C$246,0)))</f>
        <v>#N/A</v>
      </c>
      <c r="K452" s="22" t="str">
        <f>iF('Ingest Template'!A452="Standard",'Ingest Template'!K452&amp;CHAR(10)&amp;'Ingest Template'!L452,"Competitive View")</f>
        <v>Competitive View</v>
      </c>
      <c r="L452" s="22" t="s">
        <v>95</v>
      </c>
      <c r="M452" s="45" t="str">
        <f>'Ingest Template'!B452</f>
        <v/>
      </c>
      <c r="N452" s="35"/>
      <c r="O452" s="35"/>
      <c r="P452" s="35"/>
      <c r="Q452" s="35"/>
      <c r="R452" s="35" t="str">
        <f>'Ingest Template'!D452</f>
        <v/>
      </c>
      <c r="S452" s="22" t="s">
        <v>101</v>
      </c>
      <c r="T452" s="35" t="str">
        <f>'Ingest Template'!V452</f>
        <v/>
      </c>
      <c r="U452" s="35" t="str">
        <f>'Ingest Template'!W452</f>
        <v/>
      </c>
      <c r="V452" s="35" t="str">
        <f>LOWER(SUBSTITUTE(SUBSTITUTE(SUBSTITUTE(SUBSTITUTE(SUBSTITUTE('Ingest Template'!X452,"https:",""),"www.",""),"/",""),"?hl=en",""),"instagram.com",""))</f>
        <v/>
      </c>
      <c r="W452" s="74" t="str">
        <f t="array" ref="W452">IF(
'Ingest Template'!Y452="",
SUBSTITUTE(
INDEX(DropdownLists!$F$2:$F$277,MATCH('Ingest Template'!D452,DropdownLists!$C$2:$C$277,0)),
CHAR(10),
"|"&amp;'Ingest Template'!C452&amp;CHAR(10)
)&amp;"|"&amp;'Ingest Template'!C452,
SUBSTITUTE(
INDEX(DropdownLists!$F$2:$F$277,MATCH('Ingest Template'!D452,DropdownLists!$C$2:$C$277,0)),
CHAR(10),
"|"&amp;'Ingest Template'!C452&amp;CHAR(10)
)&amp;"|"&amp;'Ingest Template'!C452&amp;CHAR(10)&amp;'Ingest Template'!Y452
)</f>
        <v>#N/A</v>
      </c>
      <c r="X452" s="74" t="str">
        <f>'Ingest Template'!Z452</f>
        <v/>
      </c>
      <c r="Y452" s="35" t="str">
        <f>SUBSTITUTE(SUBSTITUTE(SUBSTITUTE('Ingest Template'!AA452,"http:",""),"https:",""),"/","")</f>
        <v/>
      </c>
      <c r="Z452" s="35" t="str">
        <f t="array" ref="Z452">IF('Ingest Template'!A452="Standard",(IF(ISBLANK('Ingest Template'!AB452),"", 'Ingest Template'!AB452&amp;"|DAR")),(IF(ISBLANK('Ingest Template'!AB452),"", 'Ingest Template'!AB452&amp;"|TV Ops")))</f>
        <v/>
      </c>
      <c r="AA452" s="35"/>
      <c r="AB452" s="35" t="str">
        <f>'Ingest Template'!R452</f>
        <v/>
      </c>
      <c r="AC452" s="35" t="str">
        <f>'Ingest Template'!T452</f>
        <v/>
      </c>
      <c r="AD452" s="35" t="str">
        <f>'Ingest Template'!S452</f>
        <v/>
      </c>
      <c r="AE452" s="35" t="str">
        <f>'Ingest Template'!U452</f>
        <v/>
      </c>
      <c r="AF452" s="22"/>
      <c r="AG452" s="35" t="str">
        <f t="array" ref="AG452">IF('Ingest Template'!A452="Standard",(CONCATENATE(IF(ISBLANK('Ingest Template'!N452),"", 'Ingest Template'!N452&amp;"|DAR"),CHAR(10), IF(ISBLANK('Ingest Template'!O452),"", 'Ingest Template'!O452&amp;"|DAR"),CHAR(10), IF(ISBLANK('Ingest Template'!P452),"", 'Ingest Template'!P452&amp;"|DAR"))),(CONCATENATE(IF(ISBLANK('Ingest Template'!N452),"", 'Ingest Template'!N452&amp;"|TV Ops"),CHAR(10), IF(ISBLANK('Ingest Template'!O452),"", 'Ingest Template'!O452&amp;"|TV Ops"),CHAR(10), IF(ISBLANK('Ingest Template'!P452),"", 'Ingest Template'!P452&amp;"|TV Ops"))))</f>
        <v>
</v>
      </c>
      <c r="AH452" s="35"/>
      <c r="AI452" s="35"/>
      <c r="AJ452" s="117" t="str">
        <f>if('Ingest Template'!A452="Standard",(IF(OR('Ingest Template'!F452 = "Program Type - Special", 'Ingest Template'!F452 = "Program Type - Live Event"),'Ingest Template'!M452&amp; "|DAR|DAR|"&amp;TEXT('Ingest Template'!C452-3, "yyyy-mm-dd")&amp;"|"&amp;TEXT('Ingest Template'!C452+3, "yyyy-mm-dd"),'Ingest Template'!M452&amp; "|DAR|DAR|2021-01-01")),(IF(OR('Ingest Template'!F452 = "Program Type - Special", 'Ingest Template'!F452 = "Program Type - Live Event"),'Ingest Template'!M452&amp; "|Operations - Core Title|Operations - Core Title|"&amp;TEXT('Ingest Template'!C452-3, "yyyy-mm-dd")&amp;"|"&amp;TEXT('Ingest Template'!C452+3, "yyyy-mm-dd"),'Ingest Template'!M452&amp; "|Operations - Core Title|Operations - Core Title")))</f>
        <v>|Operations - Core Title|Operations - Core Title</v>
      </c>
      <c r="AK452" s="35"/>
      <c r="AL452" s="117" t="str">
        <f>if('Ingest Template'!A452="Standard",(IF(OR('Ingest Template'!F452 = "Program Type - Special", 'Ingest Template'!F452 = "Program Type - Live Event"),'Ingest Template'!Q452&amp;"|"&amp;TEXT('Ingest Template'!C452-3, "yyyy-mm-dd")&amp;"|"&amp;TEXT('Ingest Template'!C452+3, "yyyy-mm-dd"),'Ingest Template'!Q452&amp; "|2021-01-01")),(IF(OR('Ingest Template'!F452 = "Program Type - Special", 'Ingest Template'!F452 = "Program Type - Live Event"),'Ingest Template'!Q452&amp; "|"&amp;TEXT('Ingest Template'!C452-3, "yyyy-mm-dd")&amp;"|"&amp;TEXT('Ingest Template'!C452+3, "yyyy-mm-dd"),'Ingest Template'!Q452)))</f>
        <v/>
      </c>
      <c r="AM452" s="35" t="str">
        <f>'Ingest Template'!AC452</f>
        <v/>
      </c>
    </row>
    <row r="453">
      <c r="A453" s="15"/>
      <c r="B453" s="22" t="str">
        <f>'Ingest Template'!C453&amp;IF('Ingest Template'!A453 = "Standard", " - DAR","")</f>
        <v/>
      </c>
      <c r="C453" s="22" t="s">
        <v>83</v>
      </c>
      <c r="D453" s="22" t="str">
        <f t="array" ref="D453">CONCATENATE(INDEX(DropdownLists!$H$2:$H$11,MATCH(1,COUNTIF('Ingest Template'!E453,"*"&amp;DropdownLists!$I$2:$I$11&amp;"*"),0)),CHAR(10),'Ingest Template'!F453,CHAR(10),'Ingest Template'!G453,CHAR(10),VLOOKUP('Ingest Template'!D453,DropdownLists!C:D,2,FALSE))</f>
        <v>#N/A</v>
      </c>
      <c r="E453" s="22" t="str">
        <f>CONCATENATE('Ingest Template'!H453,CHAR(10),'Ingest Template'!I453,CHAR(10),'Ingest Template'!J453,CHAR(10))</f>
        <v>
</v>
      </c>
      <c r="F453" s="35" t="str">
        <f t="array" ref="F453">INDEX(DropdownLists!$O$2:$O$36,MATCH(1,COUNTIF(E453,"*"&amp;DropdownLists!$N$2:$N$36&amp;"*"),0))</f>
        <v/>
      </c>
      <c r="G453" s="35"/>
      <c r="H453" s="22" t="str">
        <f t="array" ref="H453">INDEX(DropdownLists!$E$2:$E$276,MATCH('Ingest Template'!D453,DropdownLists!$C$2:$C$276,0))</f>
        <v>#N/A</v>
      </c>
      <c r="I453" s="22"/>
      <c r="J453" s="22" t="str">
        <f t="array" ref="J453">iF('Ingest Template'!A453="Standard","Pristine Brand",INDEX(DropdownLists!$B$2:$B$246,MATCH('Ingest Template'!D453,DropdownLists!$C$2:$C$246,0)))</f>
        <v>#N/A</v>
      </c>
      <c r="K453" s="22" t="str">
        <f>iF('Ingest Template'!A453="Standard",'Ingest Template'!K453&amp;CHAR(10)&amp;'Ingest Template'!L453,"Competitive View")</f>
        <v>Competitive View</v>
      </c>
      <c r="L453" s="22" t="s">
        <v>95</v>
      </c>
      <c r="M453" s="45" t="str">
        <f>'Ingest Template'!B453</f>
        <v/>
      </c>
      <c r="N453" s="35"/>
      <c r="O453" s="35"/>
      <c r="P453" s="35"/>
      <c r="Q453" s="35"/>
      <c r="R453" s="35" t="str">
        <f>'Ingest Template'!D453</f>
        <v/>
      </c>
      <c r="S453" s="22" t="s">
        <v>101</v>
      </c>
      <c r="T453" s="35" t="str">
        <f>'Ingest Template'!V453</f>
        <v/>
      </c>
      <c r="U453" s="35" t="str">
        <f>'Ingest Template'!W453</f>
        <v/>
      </c>
      <c r="V453" s="35" t="str">
        <f>LOWER(SUBSTITUTE(SUBSTITUTE(SUBSTITUTE(SUBSTITUTE(SUBSTITUTE('Ingest Template'!X453,"https:",""),"www.",""),"/",""),"?hl=en",""),"instagram.com",""))</f>
        <v/>
      </c>
      <c r="W453" s="74" t="str">
        <f t="array" ref="W453">IF(
'Ingest Template'!Y453="",
SUBSTITUTE(
INDEX(DropdownLists!$F$2:$F$277,MATCH('Ingest Template'!D453,DropdownLists!$C$2:$C$277,0)),
CHAR(10),
"|"&amp;'Ingest Template'!C453&amp;CHAR(10)
)&amp;"|"&amp;'Ingest Template'!C453,
SUBSTITUTE(
INDEX(DropdownLists!$F$2:$F$277,MATCH('Ingest Template'!D453,DropdownLists!$C$2:$C$277,0)),
CHAR(10),
"|"&amp;'Ingest Template'!C453&amp;CHAR(10)
)&amp;"|"&amp;'Ingest Template'!C453&amp;CHAR(10)&amp;'Ingest Template'!Y453
)</f>
        <v>#N/A</v>
      </c>
      <c r="X453" s="74" t="str">
        <f>'Ingest Template'!Z453</f>
        <v/>
      </c>
      <c r="Y453" s="35" t="str">
        <f>SUBSTITUTE(SUBSTITUTE(SUBSTITUTE('Ingest Template'!AA453,"http:",""),"https:",""),"/","")</f>
        <v/>
      </c>
      <c r="Z453" s="35" t="str">
        <f t="array" ref="Z453">IF('Ingest Template'!A453="Standard",(IF(ISBLANK('Ingest Template'!AB453),"", 'Ingest Template'!AB453&amp;"|DAR")),(IF(ISBLANK('Ingest Template'!AB453),"", 'Ingest Template'!AB453&amp;"|TV Ops")))</f>
        <v/>
      </c>
      <c r="AA453" s="35"/>
      <c r="AB453" s="35" t="str">
        <f>'Ingest Template'!R453</f>
        <v/>
      </c>
      <c r="AC453" s="35" t="str">
        <f>'Ingest Template'!T453</f>
        <v/>
      </c>
      <c r="AD453" s="35" t="str">
        <f>'Ingest Template'!S453</f>
        <v/>
      </c>
      <c r="AE453" s="35" t="str">
        <f>'Ingest Template'!U453</f>
        <v/>
      </c>
      <c r="AF453" s="22"/>
      <c r="AG453" s="35" t="str">
        <f t="array" ref="AG453">IF('Ingest Template'!A453="Standard",(CONCATENATE(IF(ISBLANK('Ingest Template'!N453),"", 'Ingest Template'!N453&amp;"|DAR"),CHAR(10), IF(ISBLANK('Ingest Template'!O453),"", 'Ingest Template'!O453&amp;"|DAR"),CHAR(10), IF(ISBLANK('Ingest Template'!P453),"", 'Ingest Template'!P453&amp;"|DAR"))),(CONCATENATE(IF(ISBLANK('Ingest Template'!N453),"", 'Ingest Template'!N453&amp;"|TV Ops"),CHAR(10), IF(ISBLANK('Ingest Template'!O453),"", 'Ingest Template'!O453&amp;"|TV Ops"),CHAR(10), IF(ISBLANK('Ingest Template'!P453),"", 'Ingest Template'!P453&amp;"|TV Ops"))))</f>
        <v>
</v>
      </c>
      <c r="AH453" s="35"/>
      <c r="AI453" s="35"/>
      <c r="AJ453" s="117" t="str">
        <f>if('Ingest Template'!A453="Standard",(IF(OR('Ingest Template'!F453 = "Program Type - Special", 'Ingest Template'!F453 = "Program Type - Live Event"),'Ingest Template'!M453&amp; "|DAR|DAR|"&amp;TEXT('Ingest Template'!C453-3, "yyyy-mm-dd")&amp;"|"&amp;TEXT('Ingest Template'!C453+3, "yyyy-mm-dd"),'Ingest Template'!M453&amp; "|DAR|DAR|2021-01-01")),(IF(OR('Ingest Template'!F453 = "Program Type - Special", 'Ingest Template'!F453 = "Program Type - Live Event"),'Ingest Template'!M453&amp; "|Operations - Core Title|Operations - Core Title|"&amp;TEXT('Ingest Template'!C453-3, "yyyy-mm-dd")&amp;"|"&amp;TEXT('Ingest Template'!C453+3, "yyyy-mm-dd"),'Ingest Template'!M453&amp; "|Operations - Core Title|Operations - Core Title")))</f>
        <v>|Operations - Core Title|Operations - Core Title</v>
      </c>
      <c r="AK453" s="35"/>
      <c r="AL453" s="117" t="str">
        <f>if('Ingest Template'!A453="Standard",(IF(OR('Ingest Template'!F453 = "Program Type - Special", 'Ingest Template'!F453 = "Program Type - Live Event"),'Ingest Template'!Q453&amp;"|"&amp;TEXT('Ingest Template'!C453-3, "yyyy-mm-dd")&amp;"|"&amp;TEXT('Ingest Template'!C453+3, "yyyy-mm-dd"),'Ingest Template'!Q453&amp; "|2021-01-01")),(IF(OR('Ingest Template'!F453 = "Program Type - Special", 'Ingest Template'!F453 = "Program Type - Live Event"),'Ingest Template'!Q453&amp; "|"&amp;TEXT('Ingest Template'!C453-3, "yyyy-mm-dd")&amp;"|"&amp;TEXT('Ingest Template'!C453+3, "yyyy-mm-dd"),'Ingest Template'!Q453)))</f>
        <v/>
      </c>
      <c r="AM453" s="35" t="str">
        <f>'Ingest Template'!AC453</f>
        <v/>
      </c>
    </row>
    <row r="454">
      <c r="A454" s="15"/>
      <c r="B454" s="22" t="str">
        <f>'Ingest Template'!C454&amp;IF('Ingest Template'!A454 = "Standard", " - DAR","")</f>
        <v/>
      </c>
      <c r="C454" s="22" t="s">
        <v>83</v>
      </c>
      <c r="D454" s="22" t="str">
        <f t="array" ref="D454">CONCATENATE(INDEX(DropdownLists!$H$2:$H$11,MATCH(1,COUNTIF('Ingest Template'!E454,"*"&amp;DropdownLists!$I$2:$I$11&amp;"*"),0)),CHAR(10),'Ingest Template'!F454,CHAR(10),'Ingest Template'!G454,CHAR(10),VLOOKUP('Ingest Template'!D454,DropdownLists!C:D,2,FALSE))</f>
        <v>#N/A</v>
      </c>
      <c r="E454" s="22" t="str">
        <f>CONCATENATE('Ingest Template'!H454,CHAR(10),'Ingest Template'!I454,CHAR(10),'Ingest Template'!J454,CHAR(10))</f>
        <v>
</v>
      </c>
      <c r="F454" s="35" t="str">
        <f t="array" ref="F454">INDEX(DropdownLists!$O$2:$O$36,MATCH(1,COUNTIF(E454,"*"&amp;DropdownLists!$N$2:$N$36&amp;"*"),0))</f>
        <v/>
      </c>
      <c r="G454" s="35"/>
      <c r="H454" s="22" t="str">
        <f t="array" ref="H454">INDEX(DropdownLists!$E$2:$E$276,MATCH('Ingest Template'!D454,DropdownLists!$C$2:$C$276,0))</f>
        <v>#N/A</v>
      </c>
      <c r="I454" s="22"/>
      <c r="J454" s="22" t="str">
        <f t="array" ref="J454">iF('Ingest Template'!A454="Standard","Pristine Brand",INDEX(DropdownLists!$B$2:$B$246,MATCH('Ingest Template'!D454,DropdownLists!$C$2:$C$246,0)))</f>
        <v>#N/A</v>
      </c>
      <c r="K454" s="22" t="str">
        <f>iF('Ingest Template'!A454="Standard",'Ingest Template'!K454&amp;CHAR(10)&amp;'Ingest Template'!L454,"Competitive View")</f>
        <v>Competitive View</v>
      </c>
      <c r="L454" s="22" t="s">
        <v>95</v>
      </c>
      <c r="M454" s="45" t="str">
        <f>'Ingest Template'!B454</f>
        <v/>
      </c>
      <c r="N454" s="35"/>
      <c r="O454" s="35"/>
      <c r="P454" s="35"/>
      <c r="Q454" s="35"/>
      <c r="R454" s="35" t="str">
        <f>'Ingest Template'!D454</f>
        <v/>
      </c>
      <c r="S454" s="22" t="s">
        <v>101</v>
      </c>
      <c r="T454" s="35" t="str">
        <f>'Ingest Template'!V454</f>
        <v/>
      </c>
      <c r="U454" s="35" t="str">
        <f>'Ingest Template'!W454</f>
        <v/>
      </c>
      <c r="V454" s="35" t="str">
        <f>LOWER(SUBSTITUTE(SUBSTITUTE(SUBSTITUTE(SUBSTITUTE(SUBSTITUTE('Ingest Template'!X454,"https:",""),"www.",""),"/",""),"?hl=en",""),"instagram.com",""))</f>
        <v/>
      </c>
      <c r="W454" s="74" t="str">
        <f t="array" ref="W454">IF(
'Ingest Template'!Y454="",
SUBSTITUTE(
INDEX(DropdownLists!$F$2:$F$277,MATCH('Ingest Template'!D454,DropdownLists!$C$2:$C$277,0)),
CHAR(10),
"|"&amp;'Ingest Template'!C454&amp;CHAR(10)
)&amp;"|"&amp;'Ingest Template'!C454,
SUBSTITUTE(
INDEX(DropdownLists!$F$2:$F$277,MATCH('Ingest Template'!D454,DropdownLists!$C$2:$C$277,0)),
CHAR(10),
"|"&amp;'Ingest Template'!C454&amp;CHAR(10)
)&amp;"|"&amp;'Ingest Template'!C454&amp;CHAR(10)&amp;'Ingest Template'!Y454
)</f>
        <v>#N/A</v>
      </c>
      <c r="X454" s="74" t="str">
        <f>'Ingest Template'!Z454</f>
        <v/>
      </c>
      <c r="Y454" s="35" t="str">
        <f>SUBSTITUTE(SUBSTITUTE(SUBSTITUTE('Ingest Template'!AA454,"http:",""),"https:",""),"/","")</f>
        <v/>
      </c>
      <c r="Z454" s="35" t="str">
        <f t="array" ref="Z454">IF('Ingest Template'!A454="Standard",(IF(ISBLANK('Ingest Template'!AB454),"", 'Ingest Template'!AB454&amp;"|DAR")),(IF(ISBLANK('Ingest Template'!AB454),"", 'Ingest Template'!AB454&amp;"|TV Ops")))</f>
        <v/>
      </c>
      <c r="AA454" s="35"/>
      <c r="AB454" s="35" t="str">
        <f>'Ingest Template'!R454</f>
        <v/>
      </c>
      <c r="AC454" s="35" t="str">
        <f>'Ingest Template'!T454</f>
        <v/>
      </c>
      <c r="AD454" s="35" t="str">
        <f>'Ingest Template'!S454</f>
        <v/>
      </c>
      <c r="AE454" s="35" t="str">
        <f>'Ingest Template'!U454</f>
        <v/>
      </c>
      <c r="AF454" s="22"/>
      <c r="AG454" s="35" t="str">
        <f t="array" ref="AG454">IF('Ingest Template'!A454="Standard",(CONCATENATE(IF(ISBLANK('Ingest Template'!N454),"", 'Ingest Template'!N454&amp;"|DAR"),CHAR(10), IF(ISBLANK('Ingest Template'!O454),"", 'Ingest Template'!O454&amp;"|DAR"),CHAR(10), IF(ISBLANK('Ingest Template'!P454),"", 'Ingest Template'!P454&amp;"|DAR"))),(CONCATENATE(IF(ISBLANK('Ingest Template'!N454),"", 'Ingest Template'!N454&amp;"|TV Ops"),CHAR(10), IF(ISBLANK('Ingest Template'!O454),"", 'Ingest Template'!O454&amp;"|TV Ops"),CHAR(10), IF(ISBLANK('Ingest Template'!P454),"", 'Ingest Template'!P454&amp;"|TV Ops"))))</f>
        <v>
</v>
      </c>
      <c r="AH454" s="35"/>
      <c r="AI454" s="35"/>
      <c r="AJ454" s="117" t="str">
        <f>if('Ingest Template'!A454="Standard",(IF(OR('Ingest Template'!F454 = "Program Type - Special", 'Ingest Template'!F454 = "Program Type - Live Event"),'Ingest Template'!M454&amp; "|DAR|DAR|"&amp;TEXT('Ingest Template'!C454-3, "yyyy-mm-dd")&amp;"|"&amp;TEXT('Ingest Template'!C454+3, "yyyy-mm-dd"),'Ingest Template'!M454&amp; "|DAR|DAR|2021-01-01")),(IF(OR('Ingest Template'!F454 = "Program Type - Special", 'Ingest Template'!F454 = "Program Type - Live Event"),'Ingest Template'!M454&amp; "|Operations - Core Title|Operations - Core Title|"&amp;TEXT('Ingest Template'!C454-3, "yyyy-mm-dd")&amp;"|"&amp;TEXT('Ingest Template'!C454+3, "yyyy-mm-dd"),'Ingest Template'!M454&amp; "|Operations - Core Title|Operations - Core Title")))</f>
        <v>|Operations - Core Title|Operations - Core Title</v>
      </c>
      <c r="AK454" s="35"/>
      <c r="AL454" s="117" t="str">
        <f>if('Ingest Template'!A454="Standard",(IF(OR('Ingest Template'!F454 = "Program Type - Special", 'Ingest Template'!F454 = "Program Type - Live Event"),'Ingest Template'!Q454&amp;"|"&amp;TEXT('Ingest Template'!C454-3, "yyyy-mm-dd")&amp;"|"&amp;TEXT('Ingest Template'!C454+3, "yyyy-mm-dd"),'Ingest Template'!Q454&amp; "|2021-01-01")),(IF(OR('Ingest Template'!F454 = "Program Type - Special", 'Ingest Template'!F454 = "Program Type - Live Event"),'Ingest Template'!Q454&amp; "|"&amp;TEXT('Ingest Template'!C454-3, "yyyy-mm-dd")&amp;"|"&amp;TEXT('Ingest Template'!C454+3, "yyyy-mm-dd"),'Ingest Template'!Q454)))</f>
        <v/>
      </c>
      <c r="AM454" s="35" t="str">
        <f>'Ingest Template'!AC454</f>
        <v/>
      </c>
    </row>
    <row r="455">
      <c r="A455" s="15"/>
      <c r="B455" s="22" t="str">
        <f>'Ingest Template'!C455&amp;IF('Ingest Template'!A455 = "Standard", " - DAR","")</f>
        <v/>
      </c>
      <c r="C455" s="22" t="s">
        <v>83</v>
      </c>
      <c r="D455" s="22" t="str">
        <f t="array" ref="D455">CONCATENATE(INDEX(DropdownLists!$H$2:$H$11,MATCH(1,COUNTIF('Ingest Template'!E455,"*"&amp;DropdownLists!$I$2:$I$11&amp;"*"),0)),CHAR(10),'Ingest Template'!F455,CHAR(10),'Ingest Template'!G455,CHAR(10),VLOOKUP('Ingest Template'!D455,DropdownLists!C:D,2,FALSE))</f>
        <v>#N/A</v>
      </c>
      <c r="E455" s="22" t="str">
        <f>CONCATENATE('Ingest Template'!H455,CHAR(10),'Ingest Template'!I455,CHAR(10),'Ingest Template'!J455,CHAR(10))</f>
        <v>
</v>
      </c>
      <c r="F455" s="35" t="str">
        <f t="array" ref="F455">INDEX(DropdownLists!$O$2:$O$36,MATCH(1,COUNTIF(E455,"*"&amp;DropdownLists!$N$2:$N$36&amp;"*"),0))</f>
        <v/>
      </c>
      <c r="G455" s="35"/>
      <c r="H455" s="22" t="str">
        <f t="array" ref="H455">INDEX(DropdownLists!$E$2:$E$276,MATCH('Ingest Template'!D455,DropdownLists!$C$2:$C$276,0))</f>
        <v>#N/A</v>
      </c>
      <c r="I455" s="22"/>
      <c r="J455" s="22" t="str">
        <f t="array" ref="J455">iF('Ingest Template'!A455="Standard","Pristine Brand",INDEX(DropdownLists!$B$2:$B$246,MATCH('Ingest Template'!D455,DropdownLists!$C$2:$C$246,0)))</f>
        <v>#N/A</v>
      </c>
      <c r="K455" s="22" t="str">
        <f>iF('Ingest Template'!A455="Standard",'Ingest Template'!K455&amp;CHAR(10)&amp;'Ingest Template'!L455,"Competitive View")</f>
        <v>Competitive View</v>
      </c>
      <c r="L455" s="22" t="s">
        <v>95</v>
      </c>
      <c r="M455" s="45" t="str">
        <f>'Ingest Template'!B455</f>
        <v/>
      </c>
      <c r="N455" s="35"/>
      <c r="O455" s="35"/>
      <c r="P455" s="35"/>
      <c r="Q455" s="35"/>
      <c r="R455" s="35" t="str">
        <f>'Ingest Template'!D455</f>
        <v/>
      </c>
      <c r="S455" s="22" t="s">
        <v>101</v>
      </c>
      <c r="T455" s="35" t="str">
        <f>'Ingest Template'!V455</f>
        <v/>
      </c>
      <c r="U455" s="35" t="str">
        <f>'Ingest Template'!W455</f>
        <v/>
      </c>
      <c r="V455" s="35" t="str">
        <f>LOWER(SUBSTITUTE(SUBSTITUTE(SUBSTITUTE(SUBSTITUTE(SUBSTITUTE('Ingest Template'!X455,"https:",""),"www.",""),"/",""),"?hl=en",""),"instagram.com",""))</f>
        <v/>
      </c>
      <c r="W455" s="74" t="str">
        <f t="array" ref="W455">IF(
'Ingest Template'!Y455="",
SUBSTITUTE(
INDEX(DropdownLists!$F$2:$F$277,MATCH('Ingest Template'!D455,DropdownLists!$C$2:$C$277,0)),
CHAR(10),
"|"&amp;'Ingest Template'!C455&amp;CHAR(10)
)&amp;"|"&amp;'Ingest Template'!C455,
SUBSTITUTE(
INDEX(DropdownLists!$F$2:$F$277,MATCH('Ingest Template'!D455,DropdownLists!$C$2:$C$277,0)),
CHAR(10),
"|"&amp;'Ingest Template'!C455&amp;CHAR(10)
)&amp;"|"&amp;'Ingest Template'!C455&amp;CHAR(10)&amp;'Ingest Template'!Y455
)</f>
        <v>#N/A</v>
      </c>
      <c r="X455" s="74" t="str">
        <f>'Ingest Template'!Z455</f>
        <v/>
      </c>
      <c r="Y455" s="35" t="str">
        <f>SUBSTITUTE(SUBSTITUTE(SUBSTITUTE('Ingest Template'!AA455,"http:",""),"https:",""),"/","")</f>
        <v/>
      </c>
      <c r="Z455" s="35" t="str">
        <f t="array" ref="Z455">IF('Ingest Template'!A455="Standard",(IF(ISBLANK('Ingest Template'!AB455),"", 'Ingest Template'!AB455&amp;"|DAR")),(IF(ISBLANK('Ingest Template'!AB455),"", 'Ingest Template'!AB455&amp;"|TV Ops")))</f>
        <v/>
      </c>
      <c r="AA455" s="35"/>
      <c r="AB455" s="35" t="str">
        <f>'Ingest Template'!R455</f>
        <v/>
      </c>
      <c r="AC455" s="35" t="str">
        <f>'Ingest Template'!T455</f>
        <v/>
      </c>
      <c r="AD455" s="35" t="str">
        <f>'Ingest Template'!S455</f>
        <v/>
      </c>
      <c r="AE455" s="35" t="str">
        <f>'Ingest Template'!U455</f>
        <v/>
      </c>
      <c r="AF455" s="22"/>
      <c r="AG455" s="35" t="str">
        <f t="array" ref="AG455">IF('Ingest Template'!A455="Standard",(CONCATENATE(IF(ISBLANK('Ingest Template'!N455),"", 'Ingest Template'!N455&amp;"|DAR"),CHAR(10), IF(ISBLANK('Ingest Template'!O455),"", 'Ingest Template'!O455&amp;"|DAR"),CHAR(10), IF(ISBLANK('Ingest Template'!P455),"", 'Ingest Template'!P455&amp;"|DAR"))),(CONCATENATE(IF(ISBLANK('Ingest Template'!N455),"", 'Ingest Template'!N455&amp;"|TV Ops"),CHAR(10), IF(ISBLANK('Ingest Template'!O455),"", 'Ingest Template'!O455&amp;"|TV Ops"),CHAR(10), IF(ISBLANK('Ingest Template'!P455),"", 'Ingest Template'!P455&amp;"|TV Ops"))))</f>
        <v>
</v>
      </c>
      <c r="AH455" s="35"/>
      <c r="AI455" s="35"/>
      <c r="AJ455" s="117" t="str">
        <f>if('Ingest Template'!A455="Standard",(IF(OR('Ingest Template'!F455 = "Program Type - Special", 'Ingest Template'!F455 = "Program Type - Live Event"),'Ingest Template'!M455&amp; "|DAR|DAR|"&amp;TEXT('Ingest Template'!C455-3, "yyyy-mm-dd")&amp;"|"&amp;TEXT('Ingest Template'!C455+3, "yyyy-mm-dd"),'Ingest Template'!M455&amp; "|DAR|DAR|2021-01-01")),(IF(OR('Ingest Template'!F455 = "Program Type - Special", 'Ingest Template'!F455 = "Program Type - Live Event"),'Ingest Template'!M455&amp; "|Operations - Core Title|Operations - Core Title|"&amp;TEXT('Ingest Template'!C455-3, "yyyy-mm-dd")&amp;"|"&amp;TEXT('Ingest Template'!C455+3, "yyyy-mm-dd"),'Ingest Template'!M455&amp; "|Operations - Core Title|Operations - Core Title")))</f>
        <v>|Operations - Core Title|Operations - Core Title</v>
      </c>
      <c r="AK455" s="35"/>
      <c r="AL455" s="117" t="str">
        <f>if('Ingest Template'!A455="Standard",(IF(OR('Ingest Template'!F455 = "Program Type - Special", 'Ingest Template'!F455 = "Program Type - Live Event"),'Ingest Template'!Q455&amp;"|"&amp;TEXT('Ingest Template'!C455-3, "yyyy-mm-dd")&amp;"|"&amp;TEXT('Ingest Template'!C455+3, "yyyy-mm-dd"),'Ingest Template'!Q455&amp; "|2021-01-01")),(IF(OR('Ingest Template'!F455 = "Program Type - Special", 'Ingest Template'!F455 = "Program Type - Live Event"),'Ingest Template'!Q455&amp; "|"&amp;TEXT('Ingest Template'!C455-3, "yyyy-mm-dd")&amp;"|"&amp;TEXT('Ingest Template'!C455+3, "yyyy-mm-dd"),'Ingest Template'!Q455)))</f>
        <v/>
      </c>
      <c r="AM455" s="35" t="str">
        <f>'Ingest Template'!AC455</f>
        <v/>
      </c>
    </row>
    <row r="456">
      <c r="A456" s="15"/>
      <c r="B456" s="22" t="str">
        <f>'Ingest Template'!C456&amp;IF('Ingest Template'!A456 = "Standard", " - DAR","")</f>
        <v/>
      </c>
      <c r="C456" s="22" t="s">
        <v>83</v>
      </c>
      <c r="D456" s="22" t="str">
        <f t="array" ref="D456">CONCATENATE(INDEX(DropdownLists!$H$2:$H$11,MATCH(1,COUNTIF('Ingest Template'!E456,"*"&amp;DropdownLists!$I$2:$I$11&amp;"*"),0)),CHAR(10),'Ingest Template'!F456,CHAR(10),'Ingest Template'!G456,CHAR(10),VLOOKUP('Ingest Template'!D456,DropdownLists!C:D,2,FALSE))</f>
        <v>#N/A</v>
      </c>
      <c r="E456" s="22" t="str">
        <f>CONCATENATE('Ingest Template'!H456,CHAR(10),'Ingest Template'!I456,CHAR(10),'Ingest Template'!J456,CHAR(10))</f>
        <v>
</v>
      </c>
      <c r="F456" s="35" t="str">
        <f t="array" ref="F456">INDEX(DropdownLists!$O$2:$O$36,MATCH(1,COUNTIF(E456,"*"&amp;DropdownLists!$N$2:$N$36&amp;"*"),0))</f>
        <v/>
      </c>
      <c r="G456" s="35"/>
      <c r="H456" s="22" t="str">
        <f t="array" ref="H456">INDEX(DropdownLists!$E$2:$E$276,MATCH('Ingest Template'!D456,DropdownLists!$C$2:$C$276,0))</f>
        <v>#N/A</v>
      </c>
      <c r="I456" s="22"/>
      <c r="J456" s="22" t="str">
        <f t="array" ref="J456">iF('Ingest Template'!A456="Standard","Pristine Brand",INDEX(DropdownLists!$B$2:$B$246,MATCH('Ingest Template'!D456,DropdownLists!$C$2:$C$246,0)))</f>
        <v>#N/A</v>
      </c>
      <c r="K456" s="22" t="str">
        <f>iF('Ingest Template'!A456="Standard",'Ingest Template'!K456&amp;CHAR(10)&amp;'Ingest Template'!L456,"Competitive View")</f>
        <v>Competitive View</v>
      </c>
      <c r="L456" s="22" t="s">
        <v>95</v>
      </c>
      <c r="M456" s="45" t="str">
        <f>'Ingest Template'!B456</f>
        <v/>
      </c>
      <c r="N456" s="35"/>
      <c r="O456" s="35"/>
      <c r="P456" s="35"/>
      <c r="Q456" s="35"/>
      <c r="R456" s="35" t="str">
        <f>'Ingest Template'!D456</f>
        <v/>
      </c>
      <c r="S456" s="22" t="s">
        <v>101</v>
      </c>
      <c r="T456" s="35" t="str">
        <f>'Ingest Template'!V456</f>
        <v/>
      </c>
      <c r="U456" s="35" t="str">
        <f>'Ingest Template'!W456</f>
        <v/>
      </c>
      <c r="V456" s="35" t="str">
        <f>LOWER(SUBSTITUTE(SUBSTITUTE(SUBSTITUTE(SUBSTITUTE(SUBSTITUTE('Ingest Template'!X456,"https:",""),"www.",""),"/",""),"?hl=en",""),"instagram.com",""))</f>
        <v/>
      </c>
      <c r="W456" s="74" t="str">
        <f t="array" ref="W456">IF(
'Ingest Template'!Y456="",
SUBSTITUTE(
INDEX(DropdownLists!$F$2:$F$277,MATCH('Ingest Template'!D456,DropdownLists!$C$2:$C$277,0)),
CHAR(10),
"|"&amp;'Ingest Template'!C456&amp;CHAR(10)
)&amp;"|"&amp;'Ingest Template'!C456,
SUBSTITUTE(
INDEX(DropdownLists!$F$2:$F$277,MATCH('Ingest Template'!D456,DropdownLists!$C$2:$C$277,0)),
CHAR(10),
"|"&amp;'Ingest Template'!C456&amp;CHAR(10)
)&amp;"|"&amp;'Ingest Template'!C456&amp;CHAR(10)&amp;'Ingest Template'!Y456
)</f>
        <v>#N/A</v>
      </c>
      <c r="X456" s="74" t="str">
        <f>'Ingest Template'!Z456</f>
        <v/>
      </c>
      <c r="Y456" s="35" t="str">
        <f>SUBSTITUTE(SUBSTITUTE(SUBSTITUTE('Ingest Template'!AA456,"http:",""),"https:",""),"/","")</f>
        <v/>
      </c>
      <c r="Z456" s="35" t="str">
        <f t="array" ref="Z456">IF('Ingest Template'!A456="Standard",(IF(ISBLANK('Ingest Template'!AB456),"", 'Ingest Template'!AB456&amp;"|DAR")),(IF(ISBLANK('Ingest Template'!AB456),"", 'Ingest Template'!AB456&amp;"|TV Ops")))</f>
        <v/>
      </c>
      <c r="AA456" s="35"/>
      <c r="AB456" s="35" t="str">
        <f>'Ingest Template'!R456</f>
        <v/>
      </c>
      <c r="AC456" s="35" t="str">
        <f>'Ingest Template'!T456</f>
        <v/>
      </c>
      <c r="AD456" s="35" t="str">
        <f>'Ingest Template'!S456</f>
        <v/>
      </c>
      <c r="AE456" s="35" t="str">
        <f>'Ingest Template'!U456</f>
        <v/>
      </c>
      <c r="AF456" s="22"/>
      <c r="AG456" s="35" t="str">
        <f t="array" ref="AG456">IF('Ingest Template'!A456="Standard",(CONCATENATE(IF(ISBLANK('Ingest Template'!N456),"", 'Ingest Template'!N456&amp;"|DAR"),CHAR(10), IF(ISBLANK('Ingest Template'!O456),"", 'Ingest Template'!O456&amp;"|DAR"),CHAR(10), IF(ISBLANK('Ingest Template'!P456),"", 'Ingest Template'!P456&amp;"|DAR"))),(CONCATENATE(IF(ISBLANK('Ingest Template'!N456),"", 'Ingest Template'!N456&amp;"|TV Ops"),CHAR(10), IF(ISBLANK('Ingest Template'!O456),"", 'Ingest Template'!O456&amp;"|TV Ops"),CHAR(10), IF(ISBLANK('Ingest Template'!P456),"", 'Ingest Template'!P456&amp;"|TV Ops"))))</f>
        <v>
</v>
      </c>
      <c r="AH456" s="35"/>
      <c r="AI456" s="35"/>
      <c r="AJ456" s="117" t="str">
        <f>if('Ingest Template'!A456="Standard",(IF(OR('Ingest Template'!F456 = "Program Type - Special", 'Ingest Template'!F456 = "Program Type - Live Event"),'Ingest Template'!M456&amp; "|DAR|DAR|"&amp;TEXT('Ingest Template'!C456-3, "yyyy-mm-dd")&amp;"|"&amp;TEXT('Ingest Template'!C456+3, "yyyy-mm-dd"),'Ingest Template'!M456&amp; "|DAR|DAR|2021-01-01")),(IF(OR('Ingest Template'!F456 = "Program Type - Special", 'Ingest Template'!F456 = "Program Type - Live Event"),'Ingest Template'!M456&amp; "|Operations - Core Title|Operations - Core Title|"&amp;TEXT('Ingest Template'!C456-3, "yyyy-mm-dd")&amp;"|"&amp;TEXT('Ingest Template'!C456+3, "yyyy-mm-dd"),'Ingest Template'!M456&amp; "|Operations - Core Title|Operations - Core Title")))</f>
        <v>|Operations - Core Title|Operations - Core Title</v>
      </c>
      <c r="AK456" s="35"/>
      <c r="AL456" s="117" t="str">
        <f>if('Ingest Template'!A456="Standard",(IF(OR('Ingest Template'!F456 = "Program Type - Special", 'Ingest Template'!F456 = "Program Type - Live Event"),'Ingest Template'!Q456&amp;"|"&amp;TEXT('Ingest Template'!C456-3, "yyyy-mm-dd")&amp;"|"&amp;TEXT('Ingest Template'!C456+3, "yyyy-mm-dd"),'Ingest Template'!Q456&amp; "|2021-01-01")),(IF(OR('Ingest Template'!F456 = "Program Type - Special", 'Ingest Template'!F456 = "Program Type - Live Event"),'Ingest Template'!Q456&amp; "|"&amp;TEXT('Ingest Template'!C456-3, "yyyy-mm-dd")&amp;"|"&amp;TEXT('Ingest Template'!C456+3, "yyyy-mm-dd"),'Ingest Template'!Q456)))</f>
        <v/>
      </c>
      <c r="AM456" s="35" t="str">
        <f>'Ingest Template'!AC456</f>
        <v/>
      </c>
    </row>
    <row r="457">
      <c r="A457" s="15"/>
      <c r="B457" s="22" t="str">
        <f>'Ingest Template'!C457&amp;IF('Ingest Template'!A457 = "Standard", " - DAR","")</f>
        <v/>
      </c>
      <c r="C457" s="22" t="s">
        <v>83</v>
      </c>
      <c r="D457" s="22" t="str">
        <f t="array" ref="D457">CONCATENATE(INDEX(DropdownLists!$H$2:$H$11,MATCH(1,COUNTIF('Ingest Template'!E457,"*"&amp;DropdownLists!$I$2:$I$11&amp;"*"),0)),CHAR(10),'Ingest Template'!F457,CHAR(10),'Ingest Template'!G457,CHAR(10),VLOOKUP('Ingest Template'!D457,DropdownLists!C:D,2,FALSE))</f>
        <v>#N/A</v>
      </c>
      <c r="E457" s="22" t="str">
        <f>CONCATENATE('Ingest Template'!H457,CHAR(10),'Ingest Template'!I457,CHAR(10),'Ingest Template'!J457,CHAR(10))</f>
        <v>
</v>
      </c>
      <c r="F457" s="35" t="str">
        <f t="array" ref="F457">INDEX(DropdownLists!$O$2:$O$36,MATCH(1,COUNTIF(E457,"*"&amp;DropdownLists!$N$2:$N$36&amp;"*"),0))</f>
        <v/>
      </c>
      <c r="G457" s="35"/>
      <c r="H457" s="22" t="str">
        <f t="array" ref="H457">INDEX(DropdownLists!$E$2:$E$276,MATCH('Ingest Template'!D457,DropdownLists!$C$2:$C$276,0))</f>
        <v>#N/A</v>
      </c>
      <c r="I457" s="22"/>
      <c r="J457" s="22" t="str">
        <f t="array" ref="J457">iF('Ingest Template'!A457="Standard","Pristine Brand",INDEX(DropdownLists!$B$2:$B$246,MATCH('Ingest Template'!D457,DropdownLists!$C$2:$C$246,0)))</f>
        <v>#N/A</v>
      </c>
      <c r="K457" s="22" t="str">
        <f>iF('Ingest Template'!A457="Standard",'Ingest Template'!K457&amp;CHAR(10)&amp;'Ingest Template'!L457,"Competitive View")</f>
        <v>Competitive View</v>
      </c>
      <c r="L457" s="22" t="s">
        <v>95</v>
      </c>
      <c r="M457" s="45" t="str">
        <f>'Ingest Template'!B457</f>
        <v/>
      </c>
      <c r="N457" s="35"/>
      <c r="O457" s="35"/>
      <c r="P457" s="35"/>
      <c r="Q457" s="35"/>
      <c r="R457" s="35" t="str">
        <f>'Ingest Template'!D457</f>
        <v/>
      </c>
      <c r="S457" s="22" t="s">
        <v>101</v>
      </c>
      <c r="T457" s="35" t="str">
        <f>'Ingest Template'!V457</f>
        <v/>
      </c>
      <c r="U457" s="35" t="str">
        <f>'Ingest Template'!W457</f>
        <v/>
      </c>
      <c r="V457" s="35" t="str">
        <f>LOWER(SUBSTITUTE(SUBSTITUTE(SUBSTITUTE(SUBSTITUTE(SUBSTITUTE('Ingest Template'!X457,"https:",""),"www.",""),"/",""),"?hl=en",""),"instagram.com",""))</f>
        <v/>
      </c>
      <c r="W457" s="74" t="str">
        <f t="array" ref="W457">IF(
'Ingest Template'!Y457="",
SUBSTITUTE(
INDEX(DropdownLists!$F$2:$F$277,MATCH('Ingest Template'!D457,DropdownLists!$C$2:$C$277,0)),
CHAR(10),
"|"&amp;'Ingest Template'!C457&amp;CHAR(10)
)&amp;"|"&amp;'Ingest Template'!C457,
SUBSTITUTE(
INDEX(DropdownLists!$F$2:$F$277,MATCH('Ingest Template'!D457,DropdownLists!$C$2:$C$277,0)),
CHAR(10),
"|"&amp;'Ingest Template'!C457&amp;CHAR(10)
)&amp;"|"&amp;'Ingest Template'!C457&amp;CHAR(10)&amp;'Ingest Template'!Y457
)</f>
        <v>#N/A</v>
      </c>
      <c r="X457" s="74" t="str">
        <f>'Ingest Template'!Z457</f>
        <v/>
      </c>
      <c r="Y457" s="35" t="str">
        <f>SUBSTITUTE(SUBSTITUTE(SUBSTITUTE('Ingest Template'!AA457,"http:",""),"https:",""),"/","")</f>
        <v/>
      </c>
      <c r="Z457" s="35" t="str">
        <f t="array" ref="Z457">IF('Ingest Template'!A457="Standard",(IF(ISBLANK('Ingest Template'!AB457),"", 'Ingest Template'!AB457&amp;"|DAR")),(IF(ISBLANK('Ingest Template'!AB457),"", 'Ingest Template'!AB457&amp;"|TV Ops")))</f>
        <v/>
      </c>
      <c r="AA457" s="35"/>
      <c r="AB457" s="35" t="str">
        <f>'Ingest Template'!R457</f>
        <v/>
      </c>
      <c r="AC457" s="35" t="str">
        <f>'Ingest Template'!T457</f>
        <v/>
      </c>
      <c r="AD457" s="35" t="str">
        <f>'Ingest Template'!S457</f>
        <v/>
      </c>
      <c r="AE457" s="35" t="str">
        <f>'Ingest Template'!U457</f>
        <v/>
      </c>
      <c r="AF457" s="22"/>
      <c r="AG457" s="35" t="str">
        <f t="array" ref="AG457">IF('Ingest Template'!A457="Standard",(CONCATENATE(IF(ISBLANK('Ingest Template'!N457),"", 'Ingest Template'!N457&amp;"|DAR"),CHAR(10), IF(ISBLANK('Ingest Template'!O457),"", 'Ingest Template'!O457&amp;"|DAR"),CHAR(10), IF(ISBLANK('Ingest Template'!P457),"", 'Ingest Template'!P457&amp;"|DAR"))),(CONCATENATE(IF(ISBLANK('Ingest Template'!N457),"", 'Ingest Template'!N457&amp;"|TV Ops"),CHAR(10), IF(ISBLANK('Ingest Template'!O457),"", 'Ingest Template'!O457&amp;"|TV Ops"),CHAR(10), IF(ISBLANK('Ingest Template'!P457),"", 'Ingest Template'!P457&amp;"|TV Ops"))))</f>
        <v>
</v>
      </c>
      <c r="AH457" s="35"/>
      <c r="AI457" s="35"/>
      <c r="AJ457" s="117" t="str">
        <f>if('Ingest Template'!A457="Standard",(IF(OR('Ingest Template'!F457 = "Program Type - Special", 'Ingest Template'!F457 = "Program Type - Live Event"),'Ingest Template'!M457&amp; "|DAR|DAR|"&amp;TEXT('Ingest Template'!C457-3, "yyyy-mm-dd")&amp;"|"&amp;TEXT('Ingest Template'!C457+3, "yyyy-mm-dd"),'Ingest Template'!M457&amp; "|DAR|DAR|2021-01-01")),(IF(OR('Ingest Template'!F457 = "Program Type - Special", 'Ingest Template'!F457 = "Program Type - Live Event"),'Ingest Template'!M457&amp; "|Operations - Core Title|Operations - Core Title|"&amp;TEXT('Ingest Template'!C457-3, "yyyy-mm-dd")&amp;"|"&amp;TEXT('Ingest Template'!C457+3, "yyyy-mm-dd"),'Ingest Template'!M457&amp; "|Operations - Core Title|Operations - Core Title")))</f>
        <v>|Operations - Core Title|Operations - Core Title</v>
      </c>
      <c r="AK457" s="35"/>
      <c r="AL457" s="117" t="str">
        <f>if('Ingest Template'!A457="Standard",(IF(OR('Ingest Template'!F457 = "Program Type - Special", 'Ingest Template'!F457 = "Program Type - Live Event"),'Ingest Template'!Q457&amp;"|"&amp;TEXT('Ingest Template'!C457-3, "yyyy-mm-dd")&amp;"|"&amp;TEXT('Ingest Template'!C457+3, "yyyy-mm-dd"),'Ingest Template'!Q457&amp; "|2021-01-01")),(IF(OR('Ingest Template'!F457 = "Program Type - Special", 'Ingest Template'!F457 = "Program Type - Live Event"),'Ingest Template'!Q457&amp; "|"&amp;TEXT('Ingest Template'!C457-3, "yyyy-mm-dd")&amp;"|"&amp;TEXT('Ingest Template'!C457+3, "yyyy-mm-dd"),'Ingest Template'!Q457)))</f>
        <v/>
      </c>
      <c r="AM457" s="35" t="str">
        <f>'Ingest Template'!AC457</f>
        <v/>
      </c>
    </row>
    <row r="458">
      <c r="A458" s="15"/>
      <c r="B458" s="22" t="str">
        <f>'Ingest Template'!C458&amp;IF('Ingest Template'!A458 = "Standard", " - DAR","")</f>
        <v/>
      </c>
      <c r="C458" s="22" t="s">
        <v>83</v>
      </c>
      <c r="D458" s="22" t="str">
        <f t="array" ref="D458">CONCATENATE(INDEX(DropdownLists!$H$2:$H$11,MATCH(1,COUNTIF('Ingest Template'!E458,"*"&amp;DropdownLists!$I$2:$I$11&amp;"*"),0)),CHAR(10),'Ingest Template'!F458,CHAR(10),'Ingest Template'!G458,CHAR(10),VLOOKUP('Ingest Template'!D458,DropdownLists!C:D,2,FALSE))</f>
        <v>#N/A</v>
      </c>
      <c r="E458" s="22" t="str">
        <f>CONCATENATE('Ingest Template'!H458,CHAR(10),'Ingest Template'!I458,CHAR(10),'Ingest Template'!J458,CHAR(10))</f>
        <v>
</v>
      </c>
      <c r="F458" s="35" t="str">
        <f t="array" ref="F458">INDEX(DropdownLists!$O$2:$O$36,MATCH(1,COUNTIF(E458,"*"&amp;DropdownLists!$N$2:$N$36&amp;"*"),0))</f>
        <v/>
      </c>
      <c r="G458" s="35"/>
      <c r="H458" s="22" t="str">
        <f t="array" ref="H458">INDEX(DropdownLists!$E$2:$E$276,MATCH('Ingest Template'!D458,DropdownLists!$C$2:$C$276,0))</f>
        <v>#N/A</v>
      </c>
      <c r="I458" s="22"/>
      <c r="J458" s="22" t="str">
        <f t="array" ref="J458">iF('Ingest Template'!A458="Standard","Pristine Brand",INDEX(DropdownLists!$B$2:$B$246,MATCH('Ingest Template'!D458,DropdownLists!$C$2:$C$246,0)))</f>
        <v>#N/A</v>
      </c>
      <c r="K458" s="22" t="str">
        <f>iF('Ingest Template'!A458="Standard",'Ingest Template'!K458&amp;CHAR(10)&amp;'Ingest Template'!L458,"Competitive View")</f>
        <v>Competitive View</v>
      </c>
      <c r="L458" s="22" t="s">
        <v>95</v>
      </c>
      <c r="M458" s="45" t="str">
        <f>'Ingest Template'!B458</f>
        <v/>
      </c>
      <c r="N458" s="35"/>
      <c r="O458" s="35"/>
      <c r="P458" s="35"/>
      <c r="Q458" s="35"/>
      <c r="R458" s="35" t="str">
        <f>'Ingest Template'!D458</f>
        <v/>
      </c>
      <c r="S458" s="22" t="s">
        <v>101</v>
      </c>
      <c r="T458" s="35" t="str">
        <f>'Ingest Template'!V458</f>
        <v/>
      </c>
      <c r="U458" s="35" t="str">
        <f>'Ingest Template'!W458</f>
        <v/>
      </c>
      <c r="V458" s="35" t="str">
        <f>LOWER(SUBSTITUTE(SUBSTITUTE(SUBSTITUTE(SUBSTITUTE(SUBSTITUTE('Ingest Template'!X458,"https:",""),"www.",""),"/",""),"?hl=en",""),"instagram.com",""))</f>
        <v/>
      </c>
      <c r="W458" s="74" t="str">
        <f t="array" ref="W458">IF(
'Ingest Template'!Y458="",
SUBSTITUTE(
INDEX(DropdownLists!$F$2:$F$277,MATCH('Ingest Template'!D458,DropdownLists!$C$2:$C$277,0)),
CHAR(10),
"|"&amp;'Ingest Template'!C458&amp;CHAR(10)
)&amp;"|"&amp;'Ingest Template'!C458,
SUBSTITUTE(
INDEX(DropdownLists!$F$2:$F$277,MATCH('Ingest Template'!D458,DropdownLists!$C$2:$C$277,0)),
CHAR(10),
"|"&amp;'Ingest Template'!C458&amp;CHAR(10)
)&amp;"|"&amp;'Ingest Template'!C458&amp;CHAR(10)&amp;'Ingest Template'!Y458
)</f>
        <v>#N/A</v>
      </c>
      <c r="X458" s="74" t="str">
        <f>'Ingest Template'!Z458</f>
        <v/>
      </c>
      <c r="Y458" s="35" t="str">
        <f>SUBSTITUTE(SUBSTITUTE(SUBSTITUTE('Ingest Template'!AA458,"http:",""),"https:",""),"/","")</f>
        <v/>
      </c>
      <c r="Z458" s="35" t="str">
        <f t="array" ref="Z458">IF('Ingest Template'!A458="Standard",(IF(ISBLANK('Ingest Template'!AB458),"", 'Ingest Template'!AB458&amp;"|DAR")),(IF(ISBLANK('Ingest Template'!AB458),"", 'Ingest Template'!AB458&amp;"|TV Ops")))</f>
        <v/>
      </c>
      <c r="AA458" s="35"/>
      <c r="AB458" s="35" t="str">
        <f>'Ingest Template'!R458</f>
        <v/>
      </c>
      <c r="AC458" s="35" t="str">
        <f>'Ingest Template'!T458</f>
        <v/>
      </c>
      <c r="AD458" s="35" t="str">
        <f>'Ingest Template'!S458</f>
        <v/>
      </c>
      <c r="AE458" s="35" t="str">
        <f>'Ingest Template'!U458</f>
        <v/>
      </c>
      <c r="AF458" s="22"/>
      <c r="AG458" s="35" t="str">
        <f t="array" ref="AG458">IF('Ingest Template'!A458="Standard",(CONCATENATE(IF(ISBLANK('Ingest Template'!N458),"", 'Ingest Template'!N458&amp;"|DAR"),CHAR(10), IF(ISBLANK('Ingest Template'!O458),"", 'Ingest Template'!O458&amp;"|DAR"),CHAR(10), IF(ISBLANK('Ingest Template'!P458),"", 'Ingest Template'!P458&amp;"|DAR"))),(CONCATENATE(IF(ISBLANK('Ingest Template'!N458),"", 'Ingest Template'!N458&amp;"|TV Ops"),CHAR(10), IF(ISBLANK('Ingest Template'!O458),"", 'Ingest Template'!O458&amp;"|TV Ops"),CHAR(10), IF(ISBLANK('Ingest Template'!P458),"", 'Ingest Template'!P458&amp;"|TV Ops"))))</f>
        <v>
</v>
      </c>
      <c r="AH458" s="35"/>
      <c r="AI458" s="35"/>
      <c r="AJ458" s="117" t="str">
        <f>if('Ingest Template'!A458="Standard",(IF(OR('Ingest Template'!F458 = "Program Type - Special", 'Ingest Template'!F458 = "Program Type - Live Event"),'Ingest Template'!M458&amp; "|DAR|DAR|"&amp;TEXT('Ingest Template'!C458-3, "yyyy-mm-dd")&amp;"|"&amp;TEXT('Ingest Template'!C458+3, "yyyy-mm-dd"),'Ingest Template'!M458&amp; "|DAR|DAR|2021-01-01")),(IF(OR('Ingest Template'!F458 = "Program Type - Special", 'Ingest Template'!F458 = "Program Type - Live Event"),'Ingest Template'!M458&amp; "|Operations - Core Title|Operations - Core Title|"&amp;TEXT('Ingest Template'!C458-3, "yyyy-mm-dd")&amp;"|"&amp;TEXT('Ingest Template'!C458+3, "yyyy-mm-dd"),'Ingest Template'!M458&amp; "|Operations - Core Title|Operations - Core Title")))</f>
        <v>|Operations - Core Title|Operations - Core Title</v>
      </c>
      <c r="AK458" s="35"/>
      <c r="AL458" s="117" t="str">
        <f>if('Ingest Template'!A458="Standard",(IF(OR('Ingest Template'!F458 = "Program Type - Special", 'Ingest Template'!F458 = "Program Type - Live Event"),'Ingest Template'!Q458&amp;"|"&amp;TEXT('Ingest Template'!C458-3, "yyyy-mm-dd")&amp;"|"&amp;TEXT('Ingest Template'!C458+3, "yyyy-mm-dd"),'Ingest Template'!Q458&amp; "|2021-01-01")),(IF(OR('Ingest Template'!F458 = "Program Type - Special", 'Ingest Template'!F458 = "Program Type - Live Event"),'Ingest Template'!Q458&amp; "|"&amp;TEXT('Ingest Template'!C458-3, "yyyy-mm-dd")&amp;"|"&amp;TEXT('Ingest Template'!C458+3, "yyyy-mm-dd"),'Ingest Template'!Q458)))</f>
        <v/>
      </c>
      <c r="AM458" s="35" t="str">
        <f>'Ingest Template'!AC458</f>
        <v/>
      </c>
    </row>
    <row r="459">
      <c r="A459" s="15"/>
      <c r="B459" s="22" t="str">
        <f>'Ingest Template'!C459&amp;IF('Ingest Template'!A459 = "Standard", " - DAR","")</f>
        <v/>
      </c>
      <c r="C459" s="22" t="s">
        <v>83</v>
      </c>
      <c r="D459" s="22" t="str">
        <f t="array" ref="D459">CONCATENATE(INDEX(DropdownLists!$H$2:$H$11,MATCH(1,COUNTIF('Ingest Template'!E459,"*"&amp;DropdownLists!$I$2:$I$11&amp;"*"),0)),CHAR(10),'Ingest Template'!F459,CHAR(10),'Ingest Template'!G459,CHAR(10),VLOOKUP('Ingest Template'!D459,DropdownLists!C:D,2,FALSE))</f>
        <v>#N/A</v>
      </c>
      <c r="E459" s="22" t="str">
        <f>CONCATENATE('Ingest Template'!H459,CHAR(10),'Ingest Template'!I459,CHAR(10),'Ingest Template'!J459,CHAR(10))</f>
        <v>
</v>
      </c>
      <c r="F459" s="35" t="str">
        <f t="array" ref="F459">INDEX(DropdownLists!$O$2:$O$36,MATCH(1,COUNTIF(E459,"*"&amp;DropdownLists!$N$2:$N$36&amp;"*"),0))</f>
        <v/>
      </c>
      <c r="G459" s="35"/>
      <c r="H459" s="22" t="str">
        <f t="array" ref="H459">INDEX(DropdownLists!$E$2:$E$276,MATCH('Ingest Template'!D459,DropdownLists!$C$2:$C$276,0))</f>
        <v>#N/A</v>
      </c>
      <c r="I459" s="22"/>
      <c r="J459" s="22" t="str">
        <f t="array" ref="J459">iF('Ingest Template'!A459="Standard","Pristine Brand",INDEX(DropdownLists!$B$2:$B$246,MATCH('Ingest Template'!D459,DropdownLists!$C$2:$C$246,0)))</f>
        <v>#N/A</v>
      </c>
      <c r="K459" s="22" t="str">
        <f>iF('Ingest Template'!A459="Standard",'Ingest Template'!K459&amp;CHAR(10)&amp;'Ingest Template'!L459,"Competitive View")</f>
        <v>Competitive View</v>
      </c>
      <c r="L459" s="22" t="s">
        <v>95</v>
      </c>
      <c r="M459" s="45" t="str">
        <f>'Ingest Template'!B459</f>
        <v/>
      </c>
      <c r="N459" s="35"/>
      <c r="O459" s="35"/>
      <c r="P459" s="35"/>
      <c r="Q459" s="35"/>
      <c r="R459" s="35" t="str">
        <f>'Ingest Template'!D459</f>
        <v/>
      </c>
      <c r="S459" s="22" t="s">
        <v>101</v>
      </c>
      <c r="T459" s="35" t="str">
        <f>'Ingest Template'!V459</f>
        <v/>
      </c>
      <c r="U459" s="35" t="str">
        <f>'Ingest Template'!W459</f>
        <v/>
      </c>
      <c r="V459" s="35" t="str">
        <f>LOWER(SUBSTITUTE(SUBSTITUTE(SUBSTITUTE(SUBSTITUTE(SUBSTITUTE('Ingest Template'!X459,"https:",""),"www.",""),"/",""),"?hl=en",""),"instagram.com",""))</f>
        <v/>
      </c>
      <c r="W459" s="74" t="str">
        <f t="array" ref="W459">IF(
'Ingest Template'!Y459="",
SUBSTITUTE(
INDEX(DropdownLists!$F$2:$F$277,MATCH('Ingest Template'!D459,DropdownLists!$C$2:$C$277,0)),
CHAR(10),
"|"&amp;'Ingest Template'!C459&amp;CHAR(10)
)&amp;"|"&amp;'Ingest Template'!C459,
SUBSTITUTE(
INDEX(DropdownLists!$F$2:$F$277,MATCH('Ingest Template'!D459,DropdownLists!$C$2:$C$277,0)),
CHAR(10),
"|"&amp;'Ingest Template'!C459&amp;CHAR(10)
)&amp;"|"&amp;'Ingest Template'!C459&amp;CHAR(10)&amp;'Ingest Template'!Y459
)</f>
        <v>#N/A</v>
      </c>
      <c r="X459" s="74" t="str">
        <f>'Ingest Template'!Z459</f>
        <v/>
      </c>
      <c r="Y459" s="35" t="str">
        <f>SUBSTITUTE(SUBSTITUTE(SUBSTITUTE('Ingest Template'!AA459,"http:",""),"https:",""),"/","")</f>
        <v/>
      </c>
      <c r="Z459" s="35" t="str">
        <f t="array" ref="Z459">IF('Ingest Template'!A459="Standard",(IF(ISBLANK('Ingest Template'!AB459),"", 'Ingest Template'!AB459&amp;"|DAR")),(IF(ISBLANK('Ingest Template'!AB459),"", 'Ingest Template'!AB459&amp;"|TV Ops")))</f>
        <v/>
      </c>
      <c r="AA459" s="35"/>
      <c r="AB459" s="35" t="str">
        <f>'Ingest Template'!R459</f>
        <v/>
      </c>
      <c r="AC459" s="35" t="str">
        <f>'Ingest Template'!T459</f>
        <v/>
      </c>
      <c r="AD459" s="35" t="str">
        <f>'Ingest Template'!S459</f>
        <v/>
      </c>
      <c r="AE459" s="35" t="str">
        <f>'Ingest Template'!U459</f>
        <v/>
      </c>
      <c r="AF459" s="22"/>
      <c r="AG459" s="35" t="str">
        <f t="array" ref="AG459">IF('Ingest Template'!A459="Standard",(CONCATENATE(IF(ISBLANK('Ingest Template'!N459),"", 'Ingest Template'!N459&amp;"|DAR"),CHAR(10), IF(ISBLANK('Ingest Template'!O459),"", 'Ingest Template'!O459&amp;"|DAR"),CHAR(10), IF(ISBLANK('Ingest Template'!P459),"", 'Ingest Template'!P459&amp;"|DAR"))),(CONCATENATE(IF(ISBLANK('Ingest Template'!N459),"", 'Ingest Template'!N459&amp;"|TV Ops"),CHAR(10), IF(ISBLANK('Ingest Template'!O459),"", 'Ingest Template'!O459&amp;"|TV Ops"),CHAR(10), IF(ISBLANK('Ingest Template'!P459),"", 'Ingest Template'!P459&amp;"|TV Ops"))))</f>
        <v>
</v>
      </c>
      <c r="AH459" s="35"/>
      <c r="AI459" s="35"/>
      <c r="AJ459" s="117" t="str">
        <f>if('Ingest Template'!A459="Standard",(IF(OR('Ingest Template'!F459 = "Program Type - Special", 'Ingest Template'!F459 = "Program Type - Live Event"),'Ingest Template'!M459&amp; "|DAR|DAR|"&amp;TEXT('Ingest Template'!C459-3, "yyyy-mm-dd")&amp;"|"&amp;TEXT('Ingest Template'!C459+3, "yyyy-mm-dd"),'Ingest Template'!M459&amp; "|DAR|DAR|2021-01-01")),(IF(OR('Ingest Template'!F459 = "Program Type - Special", 'Ingest Template'!F459 = "Program Type - Live Event"),'Ingest Template'!M459&amp; "|Operations - Core Title|Operations - Core Title|"&amp;TEXT('Ingest Template'!C459-3, "yyyy-mm-dd")&amp;"|"&amp;TEXT('Ingest Template'!C459+3, "yyyy-mm-dd"),'Ingest Template'!M459&amp; "|Operations - Core Title|Operations - Core Title")))</f>
        <v>|Operations - Core Title|Operations - Core Title</v>
      </c>
      <c r="AK459" s="35"/>
      <c r="AL459" s="117" t="str">
        <f>if('Ingest Template'!A459="Standard",(IF(OR('Ingest Template'!F459 = "Program Type - Special", 'Ingest Template'!F459 = "Program Type - Live Event"),'Ingest Template'!Q459&amp;"|"&amp;TEXT('Ingest Template'!C459-3, "yyyy-mm-dd")&amp;"|"&amp;TEXT('Ingest Template'!C459+3, "yyyy-mm-dd"),'Ingest Template'!Q459&amp; "|2021-01-01")),(IF(OR('Ingest Template'!F459 = "Program Type - Special", 'Ingest Template'!F459 = "Program Type - Live Event"),'Ingest Template'!Q459&amp; "|"&amp;TEXT('Ingest Template'!C459-3, "yyyy-mm-dd")&amp;"|"&amp;TEXT('Ingest Template'!C459+3, "yyyy-mm-dd"),'Ingest Template'!Q459)))</f>
        <v/>
      </c>
      <c r="AM459" s="35" t="str">
        <f>'Ingest Template'!AC459</f>
        <v/>
      </c>
    </row>
    <row r="460">
      <c r="A460" s="15"/>
      <c r="B460" s="22" t="str">
        <f>'Ingest Template'!C460&amp;IF('Ingest Template'!A460 = "Standard", " - DAR","")</f>
        <v/>
      </c>
      <c r="C460" s="22" t="s">
        <v>83</v>
      </c>
      <c r="D460" s="22" t="str">
        <f t="array" ref="D460">CONCATENATE(INDEX(DropdownLists!$H$2:$H$11,MATCH(1,COUNTIF('Ingest Template'!E460,"*"&amp;DropdownLists!$I$2:$I$11&amp;"*"),0)),CHAR(10),'Ingest Template'!F460,CHAR(10),'Ingest Template'!G460,CHAR(10),VLOOKUP('Ingest Template'!D460,DropdownLists!C:D,2,FALSE))</f>
        <v>#N/A</v>
      </c>
      <c r="E460" s="22" t="str">
        <f>CONCATENATE('Ingest Template'!H460,CHAR(10),'Ingest Template'!I460,CHAR(10),'Ingest Template'!J460,CHAR(10))</f>
        <v>
</v>
      </c>
      <c r="F460" s="35" t="str">
        <f t="array" ref="F460">INDEX(DropdownLists!$O$2:$O$36,MATCH(1,COUNTIF(E460,"*"&amp;DropdownLists!$N$2:$N$36&amp;"*"),0))</f>
        <v/>
      </c>
      <c r="G460" s="35"/>
      <c r="H460" s="22" t="str">
        <f t="array" ref="H460">INDEX(DropdownLists!$E$2:$E$276,MATCH('Ingest Template'!D460,DropdownLists!$C$2:$C$276,0))</f>
        <v>#N/A</v>
      </c>
      <c r="I460" s="22"/>
      <c r="J460" s="22" t="str">
        <f t="array" ref="J460">iF('Ingest Template'!A460="Standard","Pristine Brand",INDEX(DropdownLists!$B$2:$B$246,MATCH('Ingest Template'!D460,DropdownLists!$C$2:$C$246,0)))</f>
        <v>#N/A</v>
      </c>
      <c r="K460" s="22" t="str">
        <f>iF('Ingest Template'!A460="Standard",'Ingest Template'!K460&amp;CHAR(10)&amp;'Ingest Template'!L460,"Competitive View")</f>
        <v>Competitive View</v>
      </c>
      <c r="L460" s="22" t="s">
        <v>95</v>
      </c>
      <c r="M460" s="45" t="str">
        <f>'Ingest Template'!B460</f>
        <v/>
      </c>
      <c r="N460" s="35"/>
      <c r="O460" s="35"/>
      <c r="P460" s="35"/>
      <c r="Q460" s="35"/>
      <c r="R460" s="35" t="str">
        <f>'Ingest Template'!D460</f>
        <v/>
      </c>
      <c r="S460" s="22" t="s">
        <v>101</v>
      </c>
      <c r="T460" s="35" t="str">
        <f>'Ingest Template'!V460</f>
        <v/>
      </c>
      <c r="U460" s="35" t="str">
        <f>'Ingest Template'!W460</f>
        <v/>
      </c>
      <c r="V460" s="35" t="str">
        <f>LOWER(SUBSTITUTE(SUBSTITUTE(SUBSTITUTE(SUBSTITUTE(SUBSTITUTE('Ingest Template'!X460,"https:",""),"www.",""),"/",""),"?hl=en",""),"instagram.com",""))</f>
        <v/>
      </c>
      <c r="W460" s="74" t="str">
        <f t="array" ref="W460">IF(
'Ingest Template'!Y460="",
SUBSTITUTE(
INDEX(DropdownLists!$F$2:$F$277,MATCH('Ingest Template'!D460,DropdownLists!$C$2:$C$277,0)),
CHAR(10),
"|"&amp;'Ingest Template'!C460&amp;CHAR(10)
)&amp;"|"&amp;'Ingest Template'!C460,
SUBSTITUTE(
INDEX(DropdownLists!$F$2:$F$277,MATCH('Ingest Template'!D460,DropdownLists!$C$2:$C$277,0)),
CHAR(10),
"|"&amp;'Ingest Template'!C460&amp;CHAR(10)
)&amp;"|"&amp;'Ingest Template'!C460&amp;CHAR(10)&amp;'Ingest Template'!Y460
)</f>
        <v>#N/A</v>
      </c>
      <c r="X460" s="74" t="str">
        <f>'Ingest Template'!Z460</f>
        <v/>
      </c>
      <c r="Y460" s="35" t="str">
        <f>SUBSTITUTE(SUBSTITUTE(SUBSTITUTE('Ingest Template'!AA460,"http:",""),"https:",""),"/","")</f>
        <v/>
      </c>
      <c r="Z460" s="35" t="str">
        <f t="array" ref="Z460">IF('Ingest Template'!A460="Standard",(IF(ISBLANK('Ingest Template'!AB460),"", 'Ingest Template'!AB460&amp;"|DAR")),(IF(ISBLANK('Ingest Template'!AB460),"", 'Ingest Template'!AB460&amp;"|TV Ops")))</f>
        <v/>
      </c>
      <c r="AA460" s="35"/>
      <c r="AB460" s="35" t="str">
        <f>'Ingest Template'!R460</f>
        <v/>
      </c>
      <c r="AC460" s="35" t="str">
        <f>'Ingest Template'!T460</f>
        <v/>
      </c>
      <c r="AD460" s="35" t="str">
        <f>'Ingest Template'!S460</f>
        <v/>
      </c>
      <c r="AE460" s="35" t="str">
        <f>'Ingest Template'!U460</f>
        <v/>
      </c>
      <c r="AF460" s="22"/>
      <c r="AG460" s="35" t="str">
        <f t="array" ref="AG460">IF('Ingest Template'!A460="Standard",(CONCATENATE(IF(ISBLANK('Ingest Template'!N460),"", 'Ingest Template'!N460&amp;"|DAR"),CHAR(10), IF(ISBLANK('Ingest Template'!O460),"", 'Ingest Template'!O460&amp;"|DAR"),CHAR(10), IF(ISBLANK('Ingest Template'!P460),"", 'Ingest Template'!P460&amp;"|DAR"))),(CONCATENATE(IF(ISBLANK('Ingest Template'!N460),"", 'Ingest Template'!N460&amp;"|TV Ops"),CHAR(10), IF(ISBLANK('Ingest Template'!O460),"", 'Ingest Template'!O460&amp;"|TV Ops"),CHAR(10), IF(ISBLANK('Ingest Template'!P460),"", 'Ingest Template'!P460&amp;"|TV Ops"))))</f>
        <v>
</v>
      </c>
      <c r="AH460" s="35"/>
      <c r="AI460" s="35"/>
      <c r="AJ460" s="117" t="str">
        <f>if('Ingest Template'!A460="Standard",(IF(OR('Ingest Template'!F460 = "Program Type - Special", 'Ingest Template'!F460 = "Program Type - Live Event"),'Ingest Template'!M460&amp; "|DAR|DAR|"&amp;TEXT('Ingest Template'!C460-3, "yyyy-mm-dd")&amp;"|"&amp;TEXT('Ingest Template'!C460+3, "yyyy-mm-dd"),'Ingest Template'!M460&amp; "|DAR|DAR|2021-01-01")),(IF(OR('Ingest Template'!F460 = "Program Type - Special", 'Ingest Template'!F460 = "Program Type - Live Event"),'Ingest Template'!M460&amp; "|Operations - Core Title|Operations - Core Title|"&amp;TEXT('Ingest Template'!C460-3, "yyyy-mm-dd")&amp;"|"&amp;TEXT('Ingest Template'!C460+3, "yyyy-mm-dd"),'Ingest Template'!M460&amp; "|Operations - Core Title|Operations - Core Title")))</f>
        <v>|Operations - Core Title|Operations - Core Title</v>
      </c>
      <c r="AK460" s="35"/>
      <c r="AL460" s="117" t="str">
        <f>if('Ingest Template'!A460="Standard",(IF(OR('Ingest Template'!F460 = "Program Type - Special", 'Ingest Template'!F460 = "Program Type - Live Event"),'Ingest Template'!Q460&amp;"|"&amp;TEXT('Ingest Template'!C460-3, "yyyy-mm-dd")&amp;"|"&amp;TEXT('Ingest Template'!C460+3, "yyyy-mm-dd"),'Ingest Template'!Q460&amp; "|2021-01-01")),(IF(OR('Ingest Template'!F460 = "Program Type - Special", 'Ingest Template'!F460 = "Program Type - Live Event"),'Ingest Template'!Q460&amp; "|"&amp;TEXT('Ingest Template'!C460-3, "yyyy-mm-dd")&amp;"|"&amp;TEXT('Ingest Template'!C460+3, "yyyy-mm-dd"),'Ingest Template'!Q460)))</f>
        <v/>
      </c>
      <c r="AM460" s="35" t="str">
        <f>'Ingest Template'!AC460</f>
        <v/>
      </c>
    </row>
    <row r="461">
      <c r="A461" s="15"/>
      <c r="B461" s="22" t="str">
        <f>'Ingest Template'!C461&amp;IF('Ingest Template'!A461 = "Standard", " - DAR","")</f>
        <v/>
      </c>
      <c r="C461" s="22" t="s">
        <v>83</v>
      </c>
      <c r="D461" s="22" t="str">
        <f t="array" ref="D461">CONCATENATE(INDEX(DropdownLists!$H$2:$H$11,MATCH(1,COUNTIF('Ingest Template'!E461,"*"&amp;DropdownLists!$I$2:$I$11&amp;"*"),0)),CHAR(10),'Ingest Template'!F461,CHAR(10),'Ingest Template'!G461,CHAR(10),VLOOKUP('Ingest Template'!D461,DropdownLists!C:D,2,FALSE))</f>
        <v>#N/A</v>
      </c>
      <c r="E461" s="22" t="str">
        <f>CONCATENATE('Ingest Template'!H461,CHAR(10),'Ingest Template'!I461,CHAR(10),'Ingest Template'!J461,CHAR(10))</f>
        <v>
</v>
      </c>
      <c r="F461" s="35" t="str">
        <f t="array" ref="F461">INDEX(DropdownLists!$O$2:$O$36,MATCH(1,COUNTIF(E461,"*"&amp;DropdownLists!$N$2:$N$36&amp;"*"),0))</f>
        <v/>
      </c>
      <c r="G461" s="35"/>
      <c r="H461" s="22" t="str">
        <f t="array" ref="H461">INDEX(DropdownLists!$E$2:$E$276,MATCH('Ingest Template'!D461,DropdownLists!$C$2:$C$276,0))</f>
        <v>#N/A</v>
      </c>
      <c r="I461" s="22"/>
      <c r="J461" s="22" t="str">
        <f t="array" ref="J461">iF('Ingest Template'!A461="Standard","Pristine Brand",INDEX(DropdownLists!$B$2:$B$246,MATCH('Ingest Template'!D461,DropdownLists!$C$2:$C$246,0)))</f>
        <v>#N/A</v>
      </c>
      <c r="K461" s="22" t="str">
        <f>iF('Ingest Template'!A461="Standard",'Ingest Template'!K461&amp;CHAR(10)&amp;'Ingest Template'!L461,"Competitive View")</f>
        <v>Competitive View</v>
      </c>
      <c r="L461" s="22" t="s">
        <v>95</v>
      </c>
      <c r="M461" s="45" t="str">
        <f>'Ingest Template'!B461</f>
        <v/>
      </c>
      <c r="N461" s="35"/>
      <c r="O461" s="35"/>
      <c r="P461" s="35"/>
      <c r="Q461" s="35"/>
      <c r="R461" s="35" t="str">
        <f>'Ingest Template'!D461</f>
        <v/>
      </c>
      <c r="S461" s="22" t="s">
        <v>101</v>
      </c>
      <c r="T461" s="35" t="str">
        <f>'Ingest Template'!V461</f>
        <v/>
      </c>
      <c r="U461" s="35" t="str">
        <f>'Ingest Template'!W461</f>
        <v/>
      </c>
      <c r="V461" s="35" t="str">
        <f>LOWER(SUBSTITUTE(SUBSTITUTE(SUBSTITUTE(SUBSTITUTE(SUBSTITUTE('Ingest Template'!X461,"https:",""),"www.",""),"/",""),"?hl=en",""),"instagram.com",""))</f>
        <v/>
      </c>
      <c r="W461" s="74" t="str">
        <f t="array" ref="W461">IF(
'Ingest Template'!Y461="",
SUBSTITUTE(
INDEX(DropdownLists!$F$2:$F$277,MATCH('Ingest Template'!D461,DropdownLists!$C$2:$C$277,0)),
CHAR(10),
"|"&amp;'Ingest Template'!C461&amp;CHAR(10)
)&amp;"|"&amp;'Ingest Template'!C461,
SUBSTITUTE(
INDEX(DropdownLists!$F$2:$F$277,MATCH('Ingest Template'!D461,DropdownLists!$C$2:$C$277,0)),
CHAR(10),
"|"&amp;'Ingest Template'!C461&amp;CHAR(10)
)&amp;"|"&amp;'Ingest Template'!C461&amp;CHAR(10)&amp;'Ingest Template'!Y461
)</f>
        <v>#N/A</v>
      </c>
      <c r="X461" s="74" t="str">
        <f>'Ingest Template'!Z461</f>
        <v/>
      </c>
      <c r="Y461" s="35" t="str">
        <f>SUBSTITUTE(SUBSTITUTE(SUBSTITUTE('Ingest Template'!AA461,"http:",""),"https:",""),"/","")</f>
        <v/>
      </c>
      <c r="Z461" s="35" t="str">
        <f t="array" ref="Z461">IF('Ingest Template'!A461="Standard",(IF(ISBLANK('Ingest Template'!AB461),"", 'Ingest Template'!AB461&amp;"|DAR")),(IF(ISBLANK('Ingest Template'!AB461),"", 'Ingest Template'!AB461&amp;"|TV Ops")))</f>
        <v/>
      </c>
      <c r="AA461" s="35"/>
      <c r="AB461" s="35" t="str">
        <f>'Ingest Template'!R461</f>
        <v/>
      </c>
      <c r="AC461" s="35" t="str">
        <f>'Ingest Template'!T461</f>
        <v/>
      </c>
      <c r="AD461" s="35" t="str">
        <f>'Ingest Template'!S461</f>
        <v/>
      </c>
      <c r="AE461" s="35" t="str">
        <f>'Ingest Template'!U461</f>
        <v/>
      </c>
      <c r="AF461" s="22"/>
      <c r="AG461" s="35" t="str">
        <f t="array" ref="AG461">IF('Ingest Template'!A461="Standard",(CONCATENATE(IF(ISBLANK('Ingest Template'!N461),"", 'Ingest Template'!N461&amp;"|DAR"),CHAR(10), IF(ISBLANK('Ingest Template'!O461),"", 'Ingest Template'!O461&amp;"|DAR"),CHAR(10), IF(ISBLANK('Ingest Template'!P461),"", 'Ingest Template'!P461&amp;"|DAR"))),(CONCATENATE(IF(ISBLANK('Ingest Template'!N461),"", 'Ingest Template'!N461&amp;"|TV Ops"),CHAR(10), IF(ISBLANK('Ingest Template'!O461),"", 'Ingest Template'!O461&amp;"|TV Ops"),CHAR(10), IF(ISBLANK('Ingest Template'!P461),"", 'Ingest Template'!P461&amp;"|TV Ops"))))</f>
        <v>
</v>
      </c>
      <c r="AH461" s="35"/>
      <c r="AI461" s="35"/>
      <c r="AJ461" s="117" t="str">
        <f>if('Ingest Template'!A461="Standard",(IF(OR('Ingest Template'!F461 = "Program Type - Special", 'Ingest Template'!F461 = "Program Type - Live Event"),'Ingest Template'!M461&amp; "|DAR|DAR|"&amp;TEXT('Ingest Template'!C461-3, "yyyy-mm-dd")&amp;"|"&amp;TEXT('Ingest Template'!C461+3, "yyyy-mm-dd"),'Ingest Template'!M461&amp; "|DAR|DAR|2021-01-01")),(IF(OR('Ingest Template'!F461 = "Program Type - Special", 'Ingest Template'!F461 = "Program Type - Live Event"),'Ingest Template'!M461&amp; "|Operations - Core Title|Operations - Core Title|"&amp;TEXT('Ingest Template'!C461-3, "yyyy-mm-dd")&amp;"|"&amp;TEXT('Ingest Template'!C461+3, "yyyy-mm-dd"),'Ingest Template'!M461&amp; "|Operations - Core Title|Operations - Core Title")))</f>
        <v>|Operations - Core Title|Operations - Core Title</v>
      </c>
      <c r="AK461" s="35"/>
      <c r="AL461" s="117" t="str">
        <f>if('Ingest Template'!A461="Standard",(IF(OR('Ingest Template'!F461 = "Program Type - Special", 'Ingest Template'!F461 = "Program Type - Live Event"),'Ingest Template'!Q461&amp;"|"&amp;TEXT('Ingest Template'!C461-3, "yyyy-mm-dd")&amp;"|"&amp;TEXT('Ingest Template'!C461+3, "yyyy-mm-dd"),'Ingest Template'!Q461&amp; "|2021-01-01")),(IF(OR('Ingest Template'!F461 = "Program Type - Special", 'Ingest Template'!F461 = "Program Type - Live Event"),'Ingest Template'!Q461&amp; "|"&amp;TEXT('Ingest Template'!C461-3, "yyyy-mm-dd")&amp;"|"&amp;TEXT('Ingest Template'!C461+3, "yyyy-mm-dd"),'Ingest Template'!Q461)))</f>
        <v/>
      </c>
      <c r="AM461" s="35" t="str">
        <f>'Ingest Template'!AC461</f>
        <v/>
      </c>
    </row>
    <row r="462">
      <c r="A462" s="15"/>
      <c r="B462" s="22" t="str">
        <f>'Ingest Template'!C462&amp;IF('Ingest Template'!A462 = "Standard", " - DAR","")</f>
        <v/>
      </c>
      <c r="C462" s="22" t="s">
        <v>83</v>
      </c>
      <c r="D462" s="22" t="str">
        <f t="array" ref="D462">CONCATENATE(INDEX(DropdownLists!$H$2:$H$11,MATCH(1,COUNTIF('Ingest Template'!E462,"*"&amp;DropdownLists!$I$2:$I$11&amp;"*"),0)),CHAR(10),'Ingest Template'!F462,CHAR(10),'Ingest Template'!G462,CHAR(10),VLOOKUP('Ingest Template'!D462,DropdownLists!C:D,2,FALSE))</f>
        <v>#N/A</v>
      </c>
      <c r="E462" s="22" t="str">
        <f>CONCATENATE('Ingest Template'!H462,CHAR(10),'Ingest Template'!I462,CHAR(10),'Ingest Template'!J462,CHAR(10))</f>
        <v>
</v>
      </c>
      <c r="F462" s="35" t="str">
        <f t="array" ref="F462">INDEX(DropdownLists!$O$2:$O$36,MATCH(1,COUNTIF(E462,"*"&amp;DropdownLists!$N$2:$N$36&amp;"*"),0))</f>
        <v/>
      </c>
      <c r="G462" s="35"/>
      <c r="H462" s="22" t="str">
        <f t="array" ref="H462">INDEX(DropdownLists!$E$2:$E$276,MATCH('Ingest Template'!D462,DropdownLists!$C$2:$C$276,0))</f>
        <v>#N/A</v>
      </c>
      <c r="I462" s="22"/>
      <c r="J462" s="22" t="str">
        <f t="array" ref="J462">iF('Ingest Template'!A462="Standard","Pristine Brand",INDEX(DropdownLists!$B$2:$B$246,MATCH('Ingest Template'!D462,DropdownLists!$C$2:$C$246,0)))</f>
        <v>#N/A</v>
      </c>
      <c r="K462" s="22" t="str">
        <f>iF('Ingest Template'!A462="Standard",'Ingest Template'!K462&amp;CHAR(10)&amp;'Ingest Template'!L462,"Competitive View")</f>
        <v>Competitive View</v>
      </c>
      <c r="L462" s="22" t="s">
        <v>95</v>
      </c>
      <c r="M462" s="45" t="str">
        <f>'Ingest Template'!B462</f>
        <v/>
      </c>
      <c r="N462" s="35"/>
      <c r="O462" s="35"/>
      <c r="P462" s="35"/>
      <c r="Q462" s="35"/>
      <c r="R462" s="35" t="str">
        <f>'Ingest Template'!D462</f>
        <v/>
      </c>
      <c r="S462" s="22" t="s">
        <v>101</v>
      </c>
      <c r="T462" s="35" t="str">
        <f>'Ingest Template'!V462</f>
        <v/>
      </c>
      <c r="U462" s="35" t="str">
        <f>'Ingest Template'!W462</f>
        <v/>
      </c>
      <c r="V462" s="35" t="str">
        <f>LOWER(SUBSTITUTE(SUBSTITUTE(SUBSTITUTE(SUBSTITUTE(SUBSTITUTE('Ingest Template'!X462,"https:",""),"www.",""),"/",""),"?hl=en",""),"instagram.com",""))</f>
        <v/>
      </c>
      <c r="W462" s="74" t="str">
        <f t="array" ref="W462">IF(
'Ingest Template'!Y462="",
SUBSTITUTE(
INDEX(DropdownLists!$F$2:$F$277,MATCH('Ingest Template'!D462,DropdownLists!$C$2:$C$277,0)),
CHAR(10),
"|"&amp;'Ingest Template'!C462&amp;CHAR(10)
)&amp;"|"&amp;'Ingest Template'!C462,
SUBSTITUTE(
INDEX(DropdownLists!$F$2:$F$277,MATCH('Ingest Template'!D462,DropdownLists!$C$2:$C$277,0)),
CHAR(10),
"|"&amp;'Ingest Template'!C462&amp;CHAR(10)
)&amp;"|"&amp;'Ingest Template'!C462&amp;CHAR(10)&amp;'Ingest Template'!Y462
)</f>
        <v>#N/A</v>
      </c>
      <c r="X462" s="74" t="str">
        <f>'Ingest Template'!Z462</f>
        <v/>
      </c>
      <c r="Y462" s="35" t="str">
        <f>SUBSTITUTE(SUBSTITUTE(SUBSTITUTE('Ingest Template'!AA462,"http:",""),"https:",""),"/","")</f>
        <v/>
      </c>
      <c r="Z462" s="35" t="str">
        <f t="array" ref="Z462">IF('Ingest Template'!A462="Standard",(IF(ISBLANK('Ingest Template'!AB462),"", 'Ingest Template'!AB462&amp;"|DAR")),(IF(ISBLANK('Ingest Template'!AB462),"", 'Ingest Template'!AB462&amp;"|TV Ops")))</f>
        <v/>
      </c>
      <c r="AA462" s="35"/>
      <c r="AB462" s="35" t="str">
        <f>'Ingest Template'!R462</f>
        <v/>
      </c>
      <c r="AC462" s="35" t="str">
        <f>'Ingest Template'!T462</f>
        <v/>
      </c>
      <c r="AD462" s="35" t="str">
        <f>'Ingest Template'!S462</f>
        <v/>
      </c>
      <c r="AE462" s="35" t="str">
        <f>'Ingest Template'!U462</f>
        <v/>
      </c>
      <c r="AF462" s="22"/>
      <c r="AG462" s="35" t="str">
        <f t="array" ref="AG462">IF('Ingest Template'!A462="Standard",(CONCATENATE(IF(ISBLANK('Ingest Template'!N462),"", 'Ingest Template'!N462&amp;"|DAR"),CHAR(10), IF(ISBLANK('Ingest Template'!O462),"", 'Ingest Template'!O462&amp;"|DAR"),CHAR(10), IF(ISBLANK('Ingest Template'!P462),"", 'Ingest Template'!P462&amp;"|DAR"))),(CONCATENATE(IF(ISBLANK('Ingest Template'!N462),"", 'Ingest Template'!N462&amp;"|TV Ops"),CHAR(10), IF(ISBLANK('Ingest Template'!O462),"", 'Ingest Template'!O462&amp;"|TV Ops"),CHAR(10), IF(ISBLANK('Ingest Template'!P462),"", 'Ingest Template'!P462&amp;"|TV Ops"))))</f>
        <v>
</v>
      </c>
      <c r="AH462" s="35"/>
      <c r="AI462" s="35"/>
      <c r="AJ462" s="117" t="str">
        <f>if('Ingest Template'!A462="Standard",(IF(OR('Ingest Template'!F462 = "Program Type - Special", 'Ingest Template'!F462 = "Program Type - Live Event"),'Ingest Template'!M462&amp; "|DAR|DAR|"&amp;TEXT('Ingest Template'!C462-3, "yyyy-mm-dd")&amp;"|"&amp;TEXT('Ingest Template'!C462+3, "yyyy-mm-dd"),'Ingest Template'!M462&amp; "|DAR|DAR|2021-01-01")),(IF(OR('Ingest Template'!F462 = "Program Type - Special", 'Ingest Template'!F462 = "Program Type - Live Event"),'Ingest Template'!M462&amp; "|Operations - Core Title|Operations - Core Title|"&amp;TEXT('Ingest Template'!C462-3, "yyyy-mm-dd")&amp;"|"&amp;TEXT('Ingest Template'!C462+3, "yyyy-mm-dd"),'Ingest Template'!M462&amp; "|Operations - Core Title|Operations - Core Title")))</f>
        <v>|Operations - Core Title|Operations - Core Title</v>
      </c>
      <c r="AK462" s="35"/>
      <c r="AL462" s="117" t="str">
        <f>if('Ingest Template'!A462="Standard",(IF(OR('Ingest Template'!F462 = "Program Type - Special", 'Ingest Template'!F462 = "Program Type - Live Event"),'Ingest Template'!Q462&amp;"|"&amp;TEXT('Ingest Template'!C462-3, "yyyy-mm-dd")&amp;"|"&amp;TEXT('Ingest Template'!C462+3, "yyyy-mm-dd"),'Ingest Template'!Q462&amp; "|2021-01-01")),(IF(OR('Ingest Template'!F462 = "Program Type - Special", 'Ingest Template'!F462 = "Program Type - Live Event"),'Ingest Template'!Q462&amp; "|"&amp;TEXT('Ingest Template'!C462-3, "yyyy-mm-dd")&amp;"|"&amp;TEXT('Ingest Template'!C462+3, "yyyy-mm-dd"),'Ingest Template'!Q462)))</f>
        <v/>
      </c>
      <c r="AM462" s="35" t="str">
        <f>'Ingest Template'!AC462</f>
        <v/>
      </c>
    </row>
    <row r="463">
      <c r="A463" s="15"/>
      <c r="B463" s="22" t="str">
        <f>'Ingest Template'!C463&amp;IF('Ingest Template'!A463 = "Standard", " - DAR","")</f>
        <v/>
      </c>
      <c r="C463" s="22" t="s">
        <v>83</v>
      </c>
      <c r="D463" s="22" t="str">
        <f t="array" ref="D463">CONCATENATE(INDEX(DropdownLists!$H$2:$H$11,MATCH(1,COUNTIF('Ingest Template'!E463,"*"&amp;DropdownLists!$I$2:$I$11&amp;"*"),0)),CHAR(10),'Ingest Template'!F463,CHAR(10),'Ingest Template'!G463,CHAR(10),VLOOKUP('Ingest Template'!D463,DropdownLists!C:D,2,FALSE))</f>
        <v>#N/A</v>
      </c>
      <c r="E463" s="22" t="str">
        <f>CONCATENATE('Ingest Template'!H463,CHAR(10),'Ingest Template'!I463,CHAR(10),'Ingest Template'!J463,CHAR(10))</f>
        <v>
</v>
      </c>
      <c r="F463" s="35" t="str">
        <f t="array" ref="F463">INDEX(DropdownLists!$O$2:$O$36,MATCH(1,COUNTIF(E463,"*"&amp;DropdownLists!$N$2:$N$36&amp;"*"),0))</f>
        <v/>
      </c>
      <c r="G463" s="35"/>
      <c r="H463" s="22" t="str">
        <f t="array" ref="H463">INDEX(DropdownLists!$E$2:$E$276,MATCH('Ingest Template'!D463,DropdownLists!$C$2:$C$276,0))</f>
        <v>#N/A</v>
      </c>
      <c r="I463" s="22"/>
      <c r="J463" s="22" t="str">
        <f t="array" ref="J463">iF('Ingest Template'!A463="Standard","Pristine Brand",INDEX(DropdownLists!$B$2:$B$246,MATCH('Ingest Template'!D463,DropdownLists!$C$2:$C$246,0)))</f>
        <v>#N/A</v>
      </c>
      <c r="K463" s="22" t="str">
        <f>iF('Ingest Template'!A463="Standard",'Ingest Template'!K463&amp;CHAR(10)&amp;'Ingest Template'!L463,"Competitive View")</f>
        <v>Competitive View</v>
      </c>
      <c r="L463" s="22" t="s">
        <v>95</v>
      </c>
      <c r="M463" s="45" t="str">
        <f>'Ingest Template'!B463</f>
        <v/>
      </c>
      <c r="N463" s="35"/>
      <c r="O463" s="35"/>
      <c r="P463" s="35"/>
      <c r="Q463" s="35"/>
      <c r="R463" s="35" t="str">
        <f>'Ingest Template'!D463</f>
        <v/>
      </c>
      <c r="S463" s="22" t="s">
        <v>101</v>
      </c>
      <c r="T463" s="35" t="str">
        <f>'Ingest Template'!V463</f>
        <v/>
      </c>
      <c r="U463" s="35" t="str">
        <f>'Ingest Template'!W463</f>
        <v/>
      </c>
      <c r="V463" s="35" t="str">
        <f>LOWER(SUBSTITUTE(SUBSTITUTE(SUBSTITUTE(SUBSTITUTE(SUBSTITUTE('Ingest Template'!X463,"https:",""),"www.",""),"/",""),"?hl=en",""),"instagram.com",""))</f>
        <v/>
      </c>
      <c r="W463" s="74" t="str">
        <f t="array" ref="W463">IF(
'Ingest Template'!Y463="",
SUBSTITUTE(
INDEX(DropdownLists!$F$2:$F$277,MATCH('Ingest Template'!D463,DropdownLists!$C$2:$C$277,0)),
CHAR(10),
"|"&amp;'Ingest Template'!C463&amp;CHAR(10)
)&amp;"|"&amp;'Ingest Template'!C463,
SUBSTITUTE(
INDEX(DropdownLists!$F$2:$F$277,MATCH('Ingest Template'!D463,DropdownLists!$C$2:$C$277,0)),
CHAR(10),
"|"&amp;'Ingest Template'!C463&amp;CHAR(10)
)&amp;"|"&amp;'Ingest Template'!C463&amp;CHAR(10)&amp;'Ingest Template'!Y463
)</f>
        <v>#N/A</v>
      </c>
      <c r="X463" s="74" t="str">
        <f>'Ingest Template'!Z463</f>
        <v/>
      </c>
      <c r="Y463" s="35" t="str">
        <f>SUBSTITUTE(SUBSTITUTE(SUBSTITUTE('Ingest Template'!AA463,"http:",""),"https:",""),"/","")</f>
        <v/>
      </c>
      <c r="Z463" s="35" t="str">
        <f t="array" ref="Z463">IF('Ingest Template'!A463="Standard",(IF(ISBLANK('Ingest Template'!AB463),"", 'Ingest Template'!AB463&amp;"|DAR")),(IF(ISBLANK('Ingest Template'!AB463),"", 'Ingest Template'!AB463&amp;"|TV Ops")))</f>
        <v/>
      </c>
      <c r="AA463" s="35"/>
      <c r="AB463" s="35" t="str">
        <f>'Ingest Template'!R463</f>
        <v/>
      </c>
      <c r="AC463" s="35" t="str">
        <f>'Ingest Template'!T463</f>
        <v/>
      </c>
      <c r="AD463" s="35" t="str">
        <f>'Ingest Template'!S463</f>
        <v/>
      </c>
      <c r="AE463" s="35" t="str">
        <f>'Ingest Template'!U463</f>
        <v/>
      </c>
      <c r="AF463" s="22"/>
      <c r="AG463" s="35" t="str">
        <f t="array" ref="AG463">IF('Ingest Template'!A463="Standard",(CONCATENATE(IF(ISBLANK('Ingest Template'!N463),"", 'Ingest Template'!N463&amp;"|DAR"),CHAR(10), IF(ISBLANK('Ingest Template'!O463),"", 'Ingest Template'!O463&amp;"|DAR"),CHAR(10), IF(ISBLANK('Ingest Template'!P463),"", 'Ingest Template'!P463&amp;"|DAR"))),(CONCATENATE(IF(ISBLANK('Ingest Template'!N463),"", 'Ingest Template'!N463&amp;"|TV Ops"),CHAR(10), IF(ISBLANK('Ingest Template'!O463),"", 'Ingest Template'!O463&amp;"|TV Ops"),CHAR(10), IF(ISBLANK('Ingest Template'!P463),"", 'Ingest Template'!P463&amp;"|TV Ops"))))</f>
        <v>
</v>
      </c>
      <c r="AH463" s="35"/>
      <c r="AI463" s="35"/>
      <c r="AJ463" s="117" t="str">
        <f>if('Ingest Template'!A463="Standard",(IF(OR('Ingest Template'!F463 = "Program Type - Special", 'Ingest Template'!F463 = "Program Type - Live Event"),'Ingest Template'!M463&amp; "|DAR|DAR|"&amp;TEXT('Ingest Template'!C463-3, "yyyy-mm-dd")&amp;"|"&amp;TEXT('Ingest Template'!C463+3, "yyyy-mm-dd"),'Ingest Template'!M463&amp; "|DAR|DAR|2021-01-01")),(IF(OR('Ingest Template'!F463 = "Program Type - Special", 'Ingest Template'!F463 = "Program Type - Live Event"),'Ingest Template'!M463&amp; "|Operations - Core Title|Operations - Core Title|"&amp;TEXT('Ingest Template'!C463-3, "yyyy-mm-dd")&amp;"|"&amp;TEXT('Ingest Template'!C463+3, "yyyy-mm-dd"),'Ingest Template'!M463&amp; "|Operations - Core Title|Operations - Core Title")))</f>
        <v>|Operations - Core Title|Operations - Core Title</v>
      </c>
      <c r="AK463" s="35"/>
      <c r="AL463" s="117" t="str">
        <f>if('Ingest Template'!A463="Standard",(IF(OR('Ingest Template'!F463 = "Program Type - Special", 'Ingest Template'!F463 = "Program Type - Live Event"),'Ingest Template'!Q463&amp;"|"&amp;TEXT('Ingest Template'!C463-3, "yyyy-mm-dd")&amp;"|"&amp;TEXT('Ingest Template'!C463+3, "yyyy-mm-dd"),'Ingest Template'!Q463&amp; "|2021-01-01")),(IF(OR('Ingest Template'!F463 = "Program Type - Special", 'Ingest Template'!F463 = "Program Type - Live Event"),'Ingest Template'!Q463&amp; "|"&amp;TEXT('Ingest Template'!C463-3, "yyyy-mm-dd")&amp;"|"&amp;TEXT('Ingest Template'!C463+3, "yyyy-mm-dd"),'Ingest Template'!Q463)))</f>
        <v/>
      </c>
      <c r="AM463" s="35" t="str">
        <f>'Ingest Template'!AC463</f>
        <v/>
      </c>
    </row>
    <row r="464">
      <c r="A464" s="15"/>
      <c r="B464" s="22" t="str">
        <f>'Ingest Template'!C464&amp;IF('Ingest Template'!A464 = "Standard", " - DAR","")</f>
        <v/>
      </c>
      <c r="C464" s="22" t="s">
        <v>83</v>
      </c>
      <c r="D464" s="22" t="str">
        <f t="array" ref="D464">CONCATENATE(INDEX(DropdownLists!$H$2:$H$11,MATCH(1,COUNTIF('Ingest Template'!E464,"*"&amp;DropdownLists!$I$2:$I$11&amp;"*"),0)),CHAR(10),'Ingest Template'!F464,CHAR(10),'Ingest Template'!G464,CHAR(10),VLOOKUP('Ingest Template'!D464,DropdownLists!C:D,2,FALSE))</f>
        <v>#N/A</v>
      </c>
      <c r="E464" s="22" t="str">
        <f>CONCATENATE('Ingest Template'!H464,CHAR(10),'Ingest Template'!I464,CHAR(10),'Ingest Template'!J464,CHAR(10))</f>
        <v>
</v>
      </c>
      <c r="F464" s="35" t="str">
        <f t="array" ref="F464">INDEX(DropdownLists!$O$2:$O$36,MATCH(1,COUNTIF(E464,"*"&amp;DropdownLists!$N$2:$N$36&amp;"*"),0))</f>
        <v/>
      </c>
      <c r="G464" s="35"/>
      <c r="H464" s="22" t="str">
        <f t="array" ref="H464">INDEX(DropdownLists!$E$2:$E$276,MATCH('Ingest Template'!D464,DropdownLists!$C$2:$C$276,0))</f>
        <v>#N/A</v>
      </c>
      <c r="I464" s="22"/>
      <c r="J464" s="22" t="str">
        <f t="array" ref="J464">iF('Ingest Template'!A464="Standard","Pristine Brand",INDEX(DropdownLists!$B$2:$B$246,MATCH('Ingest Template'!D464,DropdownLists!$C$2:$C$246,0)))</f>
        <v>#N/A</v>
      </c>
      <c r="K464" s="22" t="str">
        <f>iF('Ingest Template'!A464="Standard",'Ingest Template'!K464&amp;CHAR(10)&amp;'Ingest Template'!L464,"Competitive View")</f>
        <v>Competitive View</v>
      </c>
      <c r="L464" s="22" t="s">
        <v>95</v>
      </c>
      <c r="M464" s="45" t="str">
        <f>'Ingest Template'!B464</f>
        <v/>
      </c>
      <c r="N464" s="35"/>
      <c r="O464" s="35"/>
      <c r="P464" s="35"/>
      <c r="Q464" s="35"/>
      <c r="R464" s="35" t="str">
        <f>'Ingest Template'!D464</f>
        <v/>
      </c>
      <c r="S464" s="22" t="s">
        <v>101</v>
      </c>
      <c r="T464" s="35" t="str">
        <f>'Ingest Template'!V464</f>
        <v/>
      </c>
      <c r="U464" s="35" t="str">
        <f>'Ingest Template'!W464</f>
        <v/>
      </c>
      <c r="V464" s="35" t="str">
        <f>LOWER(SUBSTITUTE(SUBSTITUTE(SUBSTITUTE(SUBSTITUTE(SUBSTITUTE('Ingest Template'!X464,"https:",""),"www.",""),"/",""),"?hl=en",""),"instagram.com",""))</f>
        <v/>
      </c>
      <c r="W464" s="74" t="str">
        <f t="array" ref="W464">IF(
'Ingest Template'!Y464="",
SUBSTITUTE(
INDEX(DropdownLists!$F$2:$F$277,MATCH('Ingest Template'!D464,DropdownLists!$C$2:$C$277,0)),
CHAR(10),
"|"&amp;'Ingest Template'!C464&amp;CHAR(10)
)&amp;"|"&amp;'Ingest Template'!C464,
SUBSTITUTE(
INDEX(DropdownLists!$F$2:$F$277,MATCH('Ingest Template'!D464,DropdownLists!$C$2:$C$277,0)),
CHAR(10),
"|"&amp;'Ingest Template'!C464&amp;CHAR(10)
)&amp;"|"&amp;'Ingest Template'!C464&amp;CHAR(10)&amp;'Ingest Template'!Y464
)</f>
        <v>#N/A</v>
      </c>
      <c r="X464" s="74" t="str">
        <f>'Ingest Template'!Z464</f>
        <v/>
      </c>
      <c r="Y464" s="35" t="str">
        <f>SUBSTITUTE(SUBSTITUTE(SUBSTITUTE('Ingest Template'!AA464,"http:",""),"https:",""),"/","")</f>
        <v/>
      </c>
      <c r="Z464" s="35" t="str">
        <f t="array" ref="Z464">IF('Ingest Template'!A464="Standard",(IF(ISBLANK('Ingest Template'!AB464),"", 'Ingest Template'!AB464&amp;"|DAR")),(IF(ISBLANK('Ingest Template'!AB464),"", 'Ingest Template'!AB464&amp;"|TV Ops")))</f>
        <v/>
      </c>
      <c r="AA464" s="35"/>
      <c r="AB464" s="35" t="str">
        <f>'Ingest Template'!R464</f>
        <v/>
      </c>
      <c r="AC464" s="35" t="str">
        <f>'Ingest Template'!T464</f>
        <v/>
      </c>
      <c r="AD464" s="35" t="str">
        <f>'Ingest Template'!S464</f>
        <v/>
      </c>
      <c r="AE464" s="35" t="str">
        <f>'Ingest Template'!U464</f>
        <v/>
      </c>
      <c r="AF464" s="22"/>
      <c r="AG464" s="35" t="str">
        <f t="array" ref="AG464">IF('Ingest Template'!A464="Standard",(CONCATENATE(IF(ISBLANK('Ingest Template'!N464),"", 'Ingest Template'!N464&amp;"|DAR"),CHAR(10), IF(ISBLANK('Ingest Template'!O464),"", 'Ingest Template'!O464&amp;"|DAR"),CHAR(10), IF(ISBLANK('Ingest Template'!P464),"", 'Ingest Template'!P464&amp;"|DAR"))),(CONCATENATE(IF(ISBLANK('Ingest Template'!N464),"", 'Ingest Template'!N464&amp;"|TV Ops"),CHAR(10), IF(ISBLANK('Ingest Template'!O464),"", 'Ingest Template'!O464&amp;"|TV Ops"),CHAR(10), IF(ISBLANK('Ingest Template'!P464),"", 'Ingest Template'!P464&amp;"|TV Ops"))))</f>
        <v>
</v>
      </c>
      <c r="AH464" s="35"/>
      <c r="AI464" s="35"/>
      <c r="AJ464" s="117" t="str">
        <f>if('Ingest Template'!A464="Standard",(IF(OR('Ingest Template'!F464 = "Program Type - Special", 'Ingest Template'!F464 = "Program Type - Live Event"),'Ingest Template'!M464&amp; "|DAR|DAR|"&amp;TEXT('Ingest Template'!C464-3, "yyyy-mm-dd")&amp;"|"&amp;TEXT('Ingest Template'!C464+3, "yyyy-mm-dd"),'Ingest Template'!M464&amp; "|DAR|DAR|2021-01-01")),(IF(OR('Ingest Template'!F464 = "Program Type - Special", 'Ingest Template'!F464 = "Program Type - Live Event"),'Ingest Template'!M464&amp; "|Operations - Core Title|Operations - Core Title|"&amp;TEXT('Ingest Template'!C464-3, "yyyy-mm-dd")&amp;"|"&amp;TEXT('Ingest Template'!C464+3, "yyyy-mm-dd"),'Ingest Template'!M464&amp; "|Operations - Core Title|Operations - Core Title")))</f>
        <v>|Operations - Core Title|Operations - Core Title</v>
      </c>
      <c r="AK464" s="35"/>
      <c r="AL464" s="117" t="str">
        <f>if('Ingest Template'!A464="Standard",(IF(OR('Ingest Template'!F464 = "Program Type - Special", 'Ingest Template'!F464 = "Program Type - Live Event"),'Ingest Template'!Q464&amp;"|"&amp;TEXT('Ingest Template'!C464-3, "yyyy-mm-dd")&amp;"|"&amp;TEXT('Ingest Template'!C464+3, "yyyy-mm-dd"),'Ingest Template'!Q464&amp; "|2021-01-01")),(IF(OR('Ingest Template'!F464 = "Program Type - Special", 'Ingest Template'!F464 = "Program Type - Live Event"),'Ingest Template'!Q464&amp; "|"&amp;TEXT('Ingest Template'!C464-3, "yyyy-mm-dd")&amp;"|"&amp;TEXT('Ingest Template'!C464+3, "yyyy-mm-dd"),'Ingest Template'!Q464)))</f>
        <v/>
      </c>
      <c r="AM464" s="35" t="str">
        <f>'Ingest Template'!AC464</f>
        <v/>
      </c>
    </row>
    <row r="465">
      <c r="A465" s="15"/>
      <c r="B465" s="22" t="str">
        <f>'Ingest Template'!C465&amp;IF('Ingest Template'!A465 = "Standard", " - DAR","")</f>
        <v/>
      </c>
      <c r="C465" s="22" t="s">
        <v>83</v>
      </c>
      <c r="D465" s="22" t="str">
        <f t="array" ref="D465">CONCATENATE(INDEX(DropdownLists!$H$2:$H$11,MATCH(1,COUNTIF('Ingest Template'!E465,"*"&amp;DropdownLists!$I$2:$I$11&amp;"*"),0)),CHAR(10),'Ingest Template'!F465,CHAR(10),'Ingest Template'!G465,CHAR(10),VLOOKUP('Ingest Template'!D465,DropdownLists!C:D,2,FALSE))</f>
        <v>#N/A</v>
      </c>
      <c r="E465" s="22" t="str">
        <f>CONCATENATE('Ingest Template'!H465,CHAR(10),'Ingest Template'!I465,CHAR(10),'Ingest Template'!J465,CHAR(10))</f>
        <v>
</v>
      </c>
      <c r="F465" s="35" t="str">
        <f t="array" ref="F465">INDEX(DropdownLists!$O$2:$O$36,MATCH(1,COUNTIF(E465,"*"&amp;DropdownLists!$N$2:$N$36&amp;"*"),0))</f>
        <v/>
      </c>
      <c r="G465" s="35"/>
      <c r="H465" s="22" t="str">
        <f t="array" ref="H465">INDEX(DropdownLists!$E$2:$E$276,MATCH('Ingest Template'!D465,DropdownLists!$C$2:$C$276,0))</f>
        <v>#N/A</v>
      </c>
      <c r="I465" s="22"/>
      <c r="J465" s="22" t="str">
        <f t="array" ref="J465">iF('Ingest Template'!A465="Standard","Pristine Brand",INDEX(DropdownLists!$B$2:$B$246,MATCH('Ingest Template'!D465,DropdownLists!$C$2:$C$246,0)))</f>
        <v>#N/A</v>
      </c>
      <c r="K465" s="22" t="str">
        <f>iF('Ingest Template'!A465="Standard",'Ingest Template'!K465&amp;CHAR(10)&amp;'Ingest Template'!L465,"Competitive View")</f>
        <v>Competitive View</v>
      </c>
      <c r="L465" s="22" t="s">
        <v>95</v>
      </c>
      <c r="M465" s="45" t="str">
        <f>'Ingest Template'!B465</f>
        <v/>
      </c>
      <c r="N465" s="35"/>
      <c r="O465" s="35"/>
      <c r="P465" s="35"/>
      <c r="Q465" s="35"/>
      <c r="R465" s="35" t="str">
        <f>'Ingest Template'!D465</f>
        <v/>
      </c>
      <c r="S465" s="22" t="s">
        <v>101</v>
      </c>
      <c r="T465" s="35" t="str">
        <f>'Ingest Template'!V465</f>
        <v/>
      </c>
      <c r="U465" s="35" t="str">
        <f>'Ingest Template'!W465</f>
        <v/>
      </c>
      <c r="V465" s="35" t="str">
        <f>LOWER(SUBSTITUTE(SUBSTITUTE(SUBSTITUTE(SUBSTITUTE(SUBSTITUTE('Ingest Template'!X465,"https:",""),"www.",""),"/",""),"?hl=en",""),"instagram.com",""))</f>
        <v/>
      </c>
      <c r="W465" s="74" t="str">
        <f t="array" ref="W465">IF(
'Ingest Template'!Y465="",
SUBSTITUTE(
INDEX(DropdownLists!$F$2:$F$277,MATCH('Ingest Template'!D465,DropdownLists!$C$2:$C$277,0)),
CHAR(10),
"|"&amp;'Ingest Template'!C465&amp;CHAR(10)
)&amp;"|"&amp;'Ingest Template'!C465,
SUBSTITUTE(
INDEX(DropdownLists!$F$2:$F$277,MATCH('Ingest Template'!D465,DropdownLists!$C$2:$C$277,0)),
CHAR(10),
"|"&amp;'Ingest Template'!C465&amp;CHAR(10)
)&amp;"|"&amp;'Ingest Template'!C465&amp;CHAR(10)&amp;'Ingest Template'!Y465
)</f>
        <v>#N/A</v>
      </c>
      <c r="X465" s="74" t="str">
        <f>'Ingest Template'!Z465</f>
        <v/>
      </c>
      <c r="Y465" s="35" t="str">
        <f>SUBSTITUTE(SUBSTITUTE(SUBSTITUTE('Ingest Template'!AA465,"http:",""),"https:",""),"/","")</f>
        <v/>
      </c>
      <c r="Z465" s="35" t="str">
        <f t="array" ref="Z465">IF('Ingest Template'!A465="Standard",(IF(ISBLANK('Ingest Template'!AB465),"", 'Ingest Template'!AB465&amp;"|DAR")),(IF(ISBLANK('Ingest Template'!AB465),"", 'Ingest Template'!AB465&amp;"|TV Ops")))</f>
        <v/>
      </c>
      <c r="AA465" s="35"/>
      <c r="AB465" s="35" t="str">
        <f>'Ingest Template'!R465</f>
        <v/>
      </c>
      <c r="AC465" s="35" t="str">
        <f>'Ingest Template'!T465</f>
        <v/>
      </c>
      <c r="AD465" s="35" t="str">
        <f>'Ingest Template'!S465</f>
        <v/>
      </c>
      <c r="AE465" s="35" t="str">
        <f>'Ingest Template'!U465</f>
        <v/>
      </c>
      <c r="AF465" s="22"/>
      <c r="AG465" s="35" t="str">
        <f t="array" ref="AG465">IF('Ingest Template'!A465="Standard",(CONCATENATE(IF(ISBLANK('Ingest Template'!N465),"", 'Ingest Template'!N465&amp;"|DAR"),CHAR(10), IF(ISBLANK('Ingest Template'!O465),"", 'Ingest Template'!O465&amp;"|DAR"),CHAR(10), IF(ISBLANK('Ingest Template'!P465),"", 'Ingest Template'!P465&amp;"|DAR"))),(CONCATENATE(IF(ISBLANK('Ingest Template'!N465),"", 'Ingest Template'!N465&amp;"|TV Ops"),CHAR(10), IF(ISBLANK('Ingest Template'!O465),"", 'Ingest Template'!O465&amp;"|TV Ops"),CHAR(10), IF(ISBLANK('Ingest Template'!P465),"", 'Ingest Template'!P465&amp;"|TV Ops"))))</f>
        <v>
</v>
      </c>
      <c r="AH465" s="35"/>
      <c r="AI465" s="35"/>
      <c r="AJ465" s="117" t="str">
        <f>if('Ingest Template'!A465="Standard",(IF(OR('Ingest Template'!F465 = "Program Type - Special", 'Ingest Template'!F465 = "Program Type - Live Event"),'Ingest Template'!M465&amp; "|DAR|DAR|"&amp;TEXT('Ingest Template'!C465-3, "yyyy-mm-dd")&amp;"|"&amp;TEXT('Ingest Template'!C465+3, "yyyy-mm-dd"),'Ingest Template'!M465&amp; "|DAR|DAR|2021-01-01")),(IF(OR('Ingest Template'!F465 = "Program Type - Special", 'Ingest Template'!F465 = "Program Type - Live Event"),'Ingest Template'!M465&amp; "|Operations - Core Title|Operations - Core Title|"&amp;TEXT('Ingest Template'!C465-3, "yyyy-mm-dd")&amp;"|"&amp;TEXT('Ingest Template'!C465+3, "yyyy-mm-dd"),'Ingest Template'!M465&amp; "|Operations - Core Title|Operations - Core Title")))</f>
        <v>|Operations - Core Title|Operations - Core Title</v>
      </c>
      <c r="AK465" s="35"/>
      <c r="AL465" s="117" t="str">
        <f>if('Ingest Template'!A465="Standard",(IF(OR('Ingest Template'!F465 = "Program Type - Special", 'Ingest Template'!F465 = "Program Type - Live Event"),'Ingest Template'!Q465&amp;"|"&amp;TEXT('Ingest Template'!C465-3, "yyyy-mm-dd")&amp;"|"&amp;TEXT('Ingest Template'!C465+3, "yyyy-mm-dd"),'Ingest Template'!Q465&amp; "|2021-01-01")),(IF(OR('Ingest Template'!F465 = "Program Type - Special", 'Ingest Template'!F465 = "Program Type - Live Event"),'Ingest Template'!Q465&amp; "|"&amp;TEXT('Ingest Template'!C465-3, "yyyy-mm-dd")&amp;"|"&amp;TEXT('Ingest Template'!C465+3, "yyyy-mm-dd"),'Ingest Template'!Q465)))</f>
        <v/>
      </c>
      <c r="AM465" s="35" t="str">
        <f>'Ingest Template'!AC465</f>
        <v/>
      </c>
    </row>
    <row r="466">
      <c r="A466" s="15"/>
      <c r="B466" s="22" t="str">
        <f>'Ingest Template'!C466&amp;IF('Ingest Template'!A466 = "Standard", " - DAR","")</f>
        <v/>
      </c>
      <c r="C466" s="22" t="s">
        <v>83</v>
      </c>
      <c r="D466" s="22" t="str">
        <f t="array" ref="D466">CONCATENATE(INDEX(DropdownLists!$H$2:$H$11,MATCH(1,COUNTIF('Ingest Template'!E466,"*"&amp;DropdownLists!$I$2:$I$11&amp;"*"),0)),CHAR(10),'Ingest Template'!F466,CHAR(10),'Ingest Template'!G466,CHAR(10),VLOOKUP('Ingest Template'!D466,DropdownLists!C:D,2,FALSE))</f>
        <v>#N/A</v>
      </c>
      <c r="E466" s="22" t="str">
        <f>CONCATENATE('Ingest Template'!H466,CHAR(10),'Ingest Template'!I466,CHAR(10),'Ingest Template'!J466,CHAR(10))</f>
        <v>
</v>
      </c>
      <c r="F466" s="35" t="str">
        <f t="array" ref="F466">INDEX(DropdownLists!$O$2:$O$36,MATCH(1,COUNTIF(E466,"*"&amp;DropdownLists!$N$2:$N$36&amp;"*"),0))</f>
        <v/>
      </c>
      <c r="G466" s="35"/>
      <c r="H466" s="22" t="str">
        <f t="array" ref="H466">INDEX(DropdownLists!$E$2:$E$276,MATCH('Ingest Template'!D466,DropdownLists!$C$2:$C$276,0))</f>
        <v>#N/A</v>
      </c>
      <c r="I466" s="22"/>
      <c r="J466" s="22" t="str">
        <f t="array" ref="J466">iF('Ingest Template'!A466="Standard","Pristine Brand",INDEX(DropdownLists!$B$2:$B$246,MATCH('Ingest Template'!D466,DropdownLists!$C$2:$C$246,0)))</f>
        <v>#N/A</v>
      </c>
      <c r="K466" s="22" t="str">
        <f>iF('Ingest Template'!A466="Standard",'Ingest Template'!K466&amp;CHAR(10)&amp;'Ingest Template'!L466,"Competitive View")</f>
        <v>Competitive View</v>
      </c>
      <c r="L466" s="22" t="s">
        <v>95</v>
      </c>
      <c r="M466" s="45" t="str">
        <f>'Ingest Template'!B466</f>
        <v/>
      </c>
      <c r="N466" s="35"/>
      <c r="O466" s="35"/>
      <c r="P466" s="35"/>
      <c r="Q466" s="35"/>
      <c r="R466" s="35" t="str">
        <f>'Ingest Template'!D466</f>
        <v/>
      </c>
      <c r="S466" s="22" t="s">
        <v>101</v>
      </c>
      <c r="T466" s="35" t="str">
        <f>'Ingest Template'!V466</f>
        <v/>
      </c>
      <c r="U466" s="35" t="str">
        <f>'Ingest Template'!W466</f>
        <v/>
      </c>
      <c r="V466" s="35" t="str">
        <f>LOWER(SUBSTITUTE(SUBSTITUTE(SUBSTITUTE(SUBSTITUTE(SUBSTITUTE('Ingest Template'!X466,"https:",""),"www.",""),"/",""),"?hl=en",""),"instagram.com",""))</f>
        <v/>
      </c>
      <c r="W466" s="74" t="str">
        <f t="array" ref="W466">IF(
'Ingest Template'!Y466="",
SUBSTITUTE(
INDEX(DropdownLists!$F$2:$F$277,MATCH('Ingest Template'!D466,DropdownLists!$C$2:$C$277,0)),
CHAR(10),
"|"&amp;'Ingest Template'!C466&amp;CHAR(10)
)&amp;"|"&amp;'Ingest Template'!C466,
SUBSTITUTE(
INDEX(DropdownLists!$F$2:$F$277,MATCH('Ingest Template'!D466,DropdownLists!$C$2:$C$277,0)),
CHAR(10),
"|"&amp;'Ingest Template'!C466&amp;CHAR(10)
)&amp;"|"&amp;'Ingest Template'!C466&amp;CHAR(10)&amp;'Ingest Template'!Y466
)</f>
        <v>#N/A</v>
      </c>
      <c r="X466" s="74" t="str">
        <f>'Ingest Template'!Z466</f>
        <v/>
      </c>
      <c r="Y466" s="35" t="str">
        <f>SUBSTITUTE(SUBSTITUTE(SUBSTITUTE('Ingest Template'!AA466,"http:",""),"https:",""),"/","")</f>
        <v/>
      </c>
      <c r="Z466" s="35" t="str">
        <f t="array" ref="Z466">IF('Ingest Template'!A466="Standard",(IF(ISBLANK('Ingest Template'!AB466),"", 'Ingest Template'!AB466&amp;"|DAR")),(IF(ISBLANK('Ingest Template'!AB466),"", 'Ingest Template'!AB466&amp;"|TV Ops")))</f>
        <v/>
      </c>
      <c r="AA466" s="35"/>
      <c r="AB466" s="35" t="str">
        <f>'Ingest Template'!R466</f>
        <v/>
      </c>
      <c r="AC466" s="35" t="str">
        <f>'Ingest Template'!T466</f>
        <v/>
      </c>
      <c r="AD466" s="35" t="str">
        <f>'Ingest Template'!S466</f>
        <v/>
      </c>
      <c r="AE466" s="35" t="str">
        <f>'Ingest Template'!U466</f>
        <v/>
      </c>
      <c r="AF466" s="22"/>
      <c r="AG466" s="35" t="str">
        <f t="array" ref="AG466">IF('Ingest Template'!A466="Standard",(CONCATENATE(IF(ISBLANK('Ingest Template'!N466),"", 'Ingest Template'!N466&amp;"|DAR"),CHAR(10), IF(ISBLANK('Ingest Template'!O466),"", 'Ingest Template'!O466&amp;"|DAR"),CHAR(10), IF(ISBLANK('Ingest Template'!P466),"", 'Ingest Template'!P466&amp;"|DAR"))),(CONCATENATE(IF(ISBLANK('Ingest Template'!N466),"", 'Ingest Template'!N466&amp;"|TV Ops"),CHAR(10), IF(ISBLANK('Ingest Template'!O466),"", 'Ingest Template'!O466&amp;"|TV Ops"),CHAR(10), IF(ISBLANK('Ingest Template'!P466),"", 'Ingest Template'!P466&amp;"|TV Ops"))))</f>
        <v>
</v>
      </c>
      <c r="AH466" s="35"/>
      <c r="AI466" s="35"/>
      <c r="AJ466" s="117" t="str">
        <f>if('Ingest Template'!A466="Standard",(IF(OR('Ingest Template'!F466 = "Program Type - Special", 'Ingest Template'!F466 = "Program Type - Live Event"),'Ingest Template'!M466&amp; "|DAR|DAR|"&amp;TEXT('Ingest Template'!C466-3, "yyyy-mm-dd")&amp;"|"&amp;TEXT('Ingest Template'!C466+3, "yyyy-mm-dd"),'Ingest Template'!M466&amp; "|DAR|DAR|2021-01-01")),(IF(OR('Ingest Template'!F466 = "Program Type - Special", 'Ingest Template'!F466 = "Program Type - Live Event"),'Ingest Template'!M466&amp; "|Operations - Core Title|Operations - Core Title|"&amp;TEXT('Ingest Template'!C466-3, "yyyy-mm-dd")&amp;"|"&amp;TEXT('Ingest Template'!C466+3, "yyyy-mm-dd"),'Ingest Template'!M466&amp; "|Operations - Core Title|Operations - Core Title")))</f>
        <v>|Operations - Core Title|Operations - Core Title</v>
      </c>
      <c r="AK466" s="35"/>
      <c r="AL466" s="117" t="str">
        <f>if('Ingest Template'!A466="Standard",(IF(OR('Ingest Template'!F466 = "Program Type - Special", 'Ingest Template'!F466 = "Program Type - Live Event"),'Ingest Template'!Q466&amp;"|"&amp;TEXT('Ingest Template'!C466-3, "yyyy-mm-dd")&amp;"|"&amp;TEXT('Ingest Template'!C466+3, "yyyy-mm-dd"),'Ingest Template'!Q466&amp; "|2021-01-01")),(IF(OR('Ingest Template'!F466 = "Program Type - Special", 'Ingest Template'!F466 = "Program Type - Live Event"),'Ingest Template'!Q466&amp; "|"&amp;TEXT('Ingest Template'!C466-3, "yyyy-mm-dd")&amp;"|"&amp;TEXT('Ingest Template'!C466+3, "yyyy-mm-dd"),'Ingest Template'!Q466)))</f>
        <v/>
      </c>
      <c r="AM466" s="35" t="str">
        <f>'Ingest Template'!AC466</f>
        <v/>
      </c>
    </row>
    <row r="467">
      <c r="A467" s="15"/>
      <c r="B467" s="22" t="str">
        <f>'Ingest Template'!C467&amp;IF('Ingest Template'!A467 = "Standard", " - DAR","")</f>
        <v/>
      </c>
      <c r="C467" s="22" t="s">
        <v>83</v>
      </c>
      <c r="D467" s="22" t="str">
        <f t="array" ref="D467">CONCATENATE(INDEX(DropdownLists!$H$2:$H$11,MATCH(1,COUNTIF('Ingest Template'!E467,"*"&amp;DropdownLists!$I$2:$I$11&amp;"*"),0)),CHAR(10),'Ingest Template'!F467,CHAR(10),'Ingest Template'!G467,CHAR(10),VLOOKUP('Ingest Template'!D467,DropdownLists!C:D,2,FALSE))</f>
        <v>#N/A</v>
      </c>
      <c r="E467" s="22" t="str">
        <f>CONCATENATE('Ingest Template'!H467,CHAR(10),'Ingest Template'!I467,CHAR(10),'Ingest Template'!J467,CHAR(10))</f>
        <v>
</v>
      </c>
      <c r="F467" s="35" t="str">
        <f t="array" ref="F467">INDEX(DropdownLists!$O$2:$O$36,MATCH(1,COUNTIF(E467,"*"&amp;DropdownLists!$N$2:$N$36&amp;"*"),0))</f>
        <v/>
      </c>
      <c r="G467" s="35"/>
      <c r="H467" s="22" t="str">
        <f t="array" ref="H467">INDEX(DropdownLists!$E$2:$E$276,MATCH('Ingest Template'!D467,DropdownLists!$C$2:$C$276,0))</f>
        <v>#N/A</v>
      </c>
      <c r="I467" s="22"/>
      <c r="J467" s="22" t="str">
        <f t="array" ref="J467">iF('Ingest Template'!A467="Standard","Pristine Brand",INDEX(DropdownLists!$B$2:$B$246,MATCH('Ingest Template'!D467,DropdownLists!$C$2:$C$246,0)))</f>
        <v>#N/A</v>
      </c>
      <c r="K467" s="22" t="str">
        <f>iF('Ingest Template'!A467="Standard",'Ingest Template'!K467&amp;CHAR(10)&amp;'Ingest Template'!L467,"Competitive View")</f>
        <v>Competitive View</v>
      </c>
      <c r="L467" s="22" t="s">
        <v>95</v>
      </c>
      <c r="M467" s="45" t="str">
        <f>'Ingest Template'!B467</f>
        <v/>
      </c>
      <c r="N467" s="35"/>
      <c r="O467" s="35"/>
      <c r="P467" s="35"/>
      <c r="Q467" s="35"/>
      <c r="R467" s="35" t="str">
        <f>'Ingest Template'!D467</f>
        <v/>
      </c>
      <c r="S467" s="22" t="s">
        <v>101</v>
      </c>
      <c r="T467" s="35" t="str">
        <f>'Ingest Template'!V467</f>
        <v/>
      </c>
      <c r="U467" s="35" t="str">
        <f>'Ingest Template'!W467</f>
        <v/>
      </c>
      <c r="V467" s="35" t="str">
        <f>LOWER(SUBSTITUTE(SUBSTITUTE(SUBSTITUTE(SUBSTITUTE(SUBSTITUTE('Ingest Template'!X467,"https:",""),"www.",""),"/",""),"?hl=en",""),"instagram.com",""))</f>
        <v/>
      </c>
      <c r="W467" s="74" t="str">
        <f t="array" ref="W467">IF(
'Ingest Template'!Y467="",
SUBSTITUTE(
INDEX(DropdownLists!$F$2:$F$277,MATCH('Ingest Template'!D467,DropdownLists!$C$2:$C$277,0)),
CHAR(10),
"|"&amp;'Ingest Template'!C467&amp;CHAR(10)
)&amp;"|"&amp;'Ingest Template'!C467,
SUBSTITUTE(
INDEX(DropdownLists!$F$2:$F$277,MATCH('Ingest Template'!D467,DropdownLists!$C$2:$C$277,0)),
CHAR(10),
"|"&amp;'Ingest Template'!C467&amp;CHAR(10)
)&amp;"|"&amp;'Ingest Template'!C467&amp;CHAR(10)&amp;'Ingest Template'!Y467
)</f>
        <v>#N/A</v>
      </c>
      <c r="X467" s="74" t="str">
        <f>'Ingest Template'!Z467</f>
        <v/>
      </c>
      <c r="Y467" s="35" t="str">
        <f>SUBSTITUTE(SUBSTITUTE(SUBSTITUTE('Ingest Template'!AA467,"http:",""),"https:",""),"/","")</f>
        <v/>
      </c>
      <c r="Z467" s="35" t="str">
        <f t="array" ref="Z467">IF('Ingest Template'!A467="Standard",(IF(ISBLANK('Ingest Template'!AB467),"", 'Ingest Template'!AB467&amp;"|DAR")),(IF(ISBLANK('Ingest Template'!AB467),"", 'Ingest Template'!AB467&amp;"|TV Ops")))</f>
        <v/>
      </c>
      <c r="AA467" s="35"/>
      <c r="AB467" s="35" t="str">
        <f>'Ingest Template'!R467</f>
        <v/>
      </c>
      <c r="AC467" s="35" t="str">
        <f>'Ingest Template'!T467</f>
        <v/>
      </c>
      <c r="AD467" s="35" t="str">
        <f>'Ingest Template'!S467</f>
        <v/>
      </c>
      <c r="AE467" s="35" t="str">
        <f>'Ingest Template'!U467</f>
        <v/>
      </c>
      <c r="AF467" s="22"/>
      <c r="AG467" s="35" t="str">
        <f t="array" ref="AG467">IF('Ingest Template'!A467="Standard",(CONCATENATE(IF(ISBLANK('Ingest Template'!N467),"", 'Ingest Template'!N467&amp;"|DAR"),CHAR(10), IF(ISBLANK('Ingest Template'!O467),"", 'Ingest Template'!O467&amp;"|DAR"),CHAR(10), IF(ISBLANK('Ingest Template'!P467),"", 'Ingest Template'!P467&amp;"|DAR"))),(CONCATENATE(IF(ISBLANK('Ingest Template'!N467),"", 'Ingest Template'!N467&amp;"|TV Ops"),CHAR(10), IF(ISBLANK('Ingest Template'!O467),"", 'Ingest Template'!O467&amp;"|TV Ops"),CHAR(10), IF(ISBLANK('Ingest Template'!P467),"", 'Ingest Template'!P467&amp;"|TV Ops"))))</f>
        <v>
</v>
      </c>
      <c r="AH467" s="35"/>
      <c r="AI467" s="35"/>
      <c r="AJ467" s="117" t="str">
        <f>if('Ingest Template'!A467="Standard",(IF(OR('Ingest Template'!F467 = "Program Type - Special", 'Ingest Template'!F467 = "Program Type - Live Event"),'Ingest Template'!M467&amp; "|DAR|DAR|"&amp;TEXT('Ingest Template'!C467-3, "yyyy-mm-dd")&amp;"|"&amp;TEXT('Ingest Template'!C467+3, "yyyy-mm-dd"),'Ingest Template'!M467&amp; "|DAR|DAR|2021-01-01")),(IF(OR('Ingest Template'!F467 = "Program Type - Special", 'Ingest Template'!F467 = "Program Type - Live Event"),'Ingest Template'!M467&amp; "|Operations - Core Title|Operations - Core Title|"&amp;TEXT('Ingest Template'!C467-3, "yyyy-mm-dd")&amp;"|"&amp;TEXT('Ingest Template'!C467+3, "yyyy-mm-dd"),'Ingest Template'!M467&amp; "|Operations - Core Title|Operations - Core Title")))</f>
        <v>|Operations - Core Title|Operations - Core Title</v>
      </c>
      <c r="AK467" s="35"/>
      <c r="AL467" s="117" t="str">
        <f>if('Ingest Template'!A467="Standard",(IF(OR('Ingest Template'!F467 = "Program Type - Special", 'Ingest Template'!F467 = "Program Type - Live Event"),'Ingest Template'!Q467&amp;"|"&amp;TEXT('Ingest Template'!C467-3, "yyyy-mm-dd")&amp;"|"&amp;TEXT('Ingest Template'!C467+3, "yyyy-mm-dd"),'Ingest Template'!Q467&amp; "|2021-01-01")),(IF(OR('Ingest Template'!F467 = "Program Type - Special", 'Ingest Template'!F467 = "Program Type - Live Event"),'Ingest Template'!Q467&amp; "|"&amp;TEXT('Ingest Template'!C467-3, "yyyy-mm-dd")&amp;"|"&amp;TEXT('Ingest Template'!C467+3, "yyyy-mm-dd"),'Ingest Template'!Q467)))</f>
        <v/>
      </c>
      <c r="AM467" s="35" t="str">
        <f>'Ingest Template'!AC467</f>
        <v/>
      </c>
    </row>
    <row r="468">
      <c r="A468" s="15"/>
      <c r="B468" s="22" t="str">
        <f>'Ingest Template'!C468&amp;IF('Ingest Template'!A468 = "Standard", " - DAR","")</f>
        <v/>
      </c>
      <c r="C468" s="22" t="s">
        <v>83</v>
      </c>
      <c r="D468" s="22" t="str">
        <f t="array" ref="D468">CONCATENATE(INDEX(DropdownLists!$H$2:$H$11,MATCH(1,COUNTIF('Ingest Template'!E468,"*"&amp;DropdownLists!$I$2:$I$11&amp;"*"),0)),CHAR(10),'Ingest Template'!F468,CHAR(10),'Ingest Template'!G468,CHAR(10),VLOOKUP('Ingest Template'!D468,DropdownLists!C:D,2,FALSE))</f>
        <v>#N/A</v>
      </c>
      <c r="E468" s="22" t="str">
        <f>CONCATENATE('Ingest Template'!H468,CHAR(10),'Ingest Template'!I468,CHAR(10),'Ingest Template'!J468,CHAR(10))</f>
        <v>
</v>
      </c>
      <c r="F468" s="35" t="str">
        <f t="array" ref="F468">INDEX(DropdownLists!$O$2:$O$36,MATCH(1,COUNTIF(E468,"*"&amp;DropdownLists!$N$2:$N$36&amp;"*"),0))</f>
        <v/>
      </c>
      <c r="G468" s="35"/>
      <c r="H468" s="22" t="str">
        <f t="array" ref="H468">INDEX(DropdownLists!$E$2:$E$276,MATCH('Ingest Template'!D468,DropdownLists!$C$2:$C$276,0))</f>
        <v>#N/A</v>
      </c>
      <c r="I468" s="22"/>
      <c r="J468" s="22" t="str">
        <f t="array" ref="J468">iF('Ingest Template'!A468="Standard","Pristine Brand",INDEX(DropdownLists!$B$2:$B$246,MATCH('Ingest Template'!D468,DropdownLists!$C$2:$C$246,0)))</f>
        <v>#N/A</v>
      </c>
      <c r="K468" s="22" t="str">
        <f>iF('Ingest Template'!A468="Standard",'Ingest Template'!K468&amp;CHAR(10)&amp;'Ingest Template'!L468,"Competitive View")</f>
        <v>Competitive View</v>
      </c>
      <c r="L468" s="22" t="s">
        <v>95</v>
      </c>
      <c r="M468" s="45" t="str">
        <f>'Ingest Template'!B468</f>
        <v/>
      </c>
      <c r="N468" s="35"/>
      <c r="O468" s="35"/>
      <c r="P468" s="35"/>
      <c r="Q468" s="35"/>
      <c r="R468" s="35" t="str">
        <f>'Ingest Template'!D468</f>
        <v/>
      </c>
      <c r="S468" s="22" t="s">
        <v>101</v>
      </c>
      <c r="T468" s="35" t="str">
        <f>'Ingest Template'!V468</f>
        <v/>
      </c>
      <c r="U468" s="35" t="str">
        <f>'Ingest Template'!W468</f>
        <v/>
      </c>
      <c r="V468" s="35" t="str">
        <f>LOWER(SUBSTITUTE(SUBSTITUTE(SUBSTITUTE(SUBSTITUTE(SUBSTITUTE('Ingest Template'!X468,"https:",""),"www.",""),"/",""),"?hl=en",""),"instagram.com",""))</f>
        <v/>
      </c>
      <c r="W468" s="74" t="str">
        <f t="array" ref="W468">IF(
'Ingest Template'!Y468="",
SUBSTITUTE(
INDEX(DropdownLists!$F$2:$F$277,MATCH('Ingest Template'!D468,DropdownLists!$C$2:$C$277,0)),
CHAR(10),
"|"&amp;'Ingest Template'!C468&amp;CHAR(10)
)&amp;"|"&amp;'Ingest Template'!C468,
SUBSTITUTE(
INDEX(DropdownLists!$F$2:$F$277,MATCH('Ingest Template'!D468,DropdownLists!$C$2:$C$277,0)),
CHAR(10),
"|"&amp;'Ingest Template'!C468&amp;CHAR(10)
)&amp;"|"&amp;'Ingest Template'!C468&amp;CHAR(10)&amp;'Ingest Template'!Y468
)</f>
        <v>#N/A</v>
      </c>
      <c r="X468" s="74" t="str">
        <f>'Ingest Template'!Z468</f>
        <v/>
      </c>
      <c r="Y468" s="35" t="str">
        <f>SUBSTITUTE(SUBSTITUTE(SUBSTITUTE('Ingest Template'!AA468,"http:",""),"https:",""),"/","")</f>
        <v/>
      </c>
      <c r="Z468" s="35" t="str">
        <f t="array" ref="Z468">IF('Ingest Template'!A468="Standard",(IF(ISBLANK('Ingest Template'!AB468),"", 'Ingest Template'!AB468&amp;"|DAR")),(IF(ISBLANK('Ingest Template'!AB468),"", 'Ingest Template'!AB468&amp;"|TV Ops")))</f>
        <v/>
      </c>
      <c r="AA468" s="35"/>
      <c r="AB468" s="35" t="str">
        <f>'Ingest Template'!R468</f>
        <v/>
      </c>
      <c r="AC468" s="35" t="str">
        <f>'Ingest Template'!T468</f>
        <v/>
      </c>
      <c r="AD468" s="35" t="str">
        <f>'Ingest Template'!S468</f>
        <v/>
      </c>
      <c r="AE468" s="35" t="str">
        <f>'Ingest Template'!U468</f>
        <v/>
      </c>
      <c r="AF468" s="22"/>
      <c r="AG468" s="35" t="str">
        <f t="array" ref="AG468">IF('Ingest Template'!A468="Standard",(CONCATENATE(IF(ISBLANK('Ingest Template'!N468),"", 'Ingest Template'!N468&amp;"|DAR"),CHAR(10), IF(ISBLANK('Ingest Template'!O468),"", 'Ingest Template'!O468&amp;"|DAR"),CHAR(10), IF(ISBLANK('Ingest Template'!P468),"", 'Ingest Template'!P468&amp;"|DAR"))),(CONCATENATE(IF(ISBLANK('Ingest Template'!N468),"", 'Ingest Template'!N468&amp;"|TV Ops"),CHAR(10), IF(ISBLANK('Ingest Template'!O468),"", 'Ingest Template'!O468&amp;"|TV Ops"),CHAR(10), IF(ISBLANK('Ingest Template'!P468),"", 'Ingest Template'!P468&amp;"|TV Ops"))))</f>
        <v>
</v>
      </c>
      <c r="AH468" s="35"/>
      <c r="AI468" s="35"/>
      <c r="AJ468" s="117" t="str">
        <f>if('Ingest Template'!A468="Standard",(IF(OR('Ingest Template'!F468 = "Program Type - Special", 'Ingest Template'!F468 = "Program Type - Live Event"),'Ingest Template'!M468&amp; "|DAR|DAR|"&amp;TEXT('Ingest Template'!C468-3, "yyyy-mm-dd")&amp;"|"&amp;TEXT('Ingest Template'!C468+3, "yyyy-mm-dd"),'Ingest Template'!M468&amp; "|DAR|DAR|2021-01-01")),(IF(OR('Ingest Template'!F468 = "Program Type - Special", 'Ingest Template'!F468 = "Program Type - Live Event"),'Ingest Template'!M468&amp; "|Operations - Core Title|Operations - Core Title|"&amp;TEXT('Ingest Template'!C468-3, "yyyy-mm-dd")&amp;"|"&amp;TEXT('Ingest Template'!C468+3, "yyyy-mm-dd"),'Ingest Template'!M468&amp; "|Operations - Core Title|Operations - Core Title")))</f>
        <v>|Operations - Core Title|Operations - Core Title</v>
      </c>
      <c r="AK468" s="35"/>
      <c r="AL468" s="117" t="str">
        <f>if('Ingest Template'!A468="Standard",(IF(OR('Ingest Template'!F468 = "Program Type - Special", 'Ingest Template'!F468 = "Program Type - Live Event"),'Ingest Template'!Q468&amp;"|"&amp;TEXT('Ingest Template'!C468-3, "yyyy-mm-dd")&amp;"|"&amp;TEXT('Ingest Template'!C468+3, "yyyy-mm-dd"),'Ingest Template'!Q468&amp; "|2021-01-01")),(IF(OR('Ingest Template'!F468 = "Program Type - Special", 'Ingest Template'!F468 = "Program Type - Live Event"),'Ingest Template'!Q468&amp; "|"&amp;TEXT('Ingest Template'!C468-3, "yyyy-mm-dd")&amp;"|"&amp;TEXT('Ingest Template'!C468+3, "yyyy-mm-dd"),'Ingest Template'!Q468)))</f>
        <v/>
      </c>
      <c r="AM468" s="35" t="str">
        <f>'Ingest Template'!AC468</f>
        <v/>
      </c>
    </row>
    <row r="469">
      <c r="A469" s="15"/>
      <c r="B469" s="22" t="str">
        <f>'Ingest Template'!C469&amp;IF('Ingest Template'!A469 = "Standard", " - DAR","")</f>
        <v/>
      </c>
      <c r="C469" s="22" t="s">
        <v>83</v>
      </c>
      <c r="D469" s="22" t="str">
        <f t="array" ref="D469">CONCATENATE(INDEX(DropdownLists!$H$2:$H$11,MATCH(1,COUNTIF('Ingest Template'!E469,"*"&amp;DropdownLists!$I$2:$I$11&amp;"*"),0)),CHAR(10),'Ingest Template'!F469,CHAR(10),'Ingest Template'!G469,CHAR(10),VLOOKUP('Ingest Template'!D469,DropdownLists!C:D,2,FALSE))</f>
        <v>#N/A</v>
      </c>
      <c r="E469" s="22" t="str">
        <f>CONCATENATE('Ingest Template'!H469,CHAR(10),'Ingest Template'!I469,CHAR(10),'Ingest Template'!J469,CHAR(10))</f>
        <v>
</v>
      </c>
      <c r="F469" s="35" t="str">
        <f t="array" ref="F469">INDEX(DropdownLists!$O$2:$O$36,MATCH(1,COUNTIF(E469,"*"&amp;DropdownLists!$N$2:$N$36&amp;"*"),0))</f>
        <v/>
      </c>
      <c r="G469" s="35"/>
      <c r="H469" s="22" t="str">
        <f t="array" ref="H469">INDEX(DropdownLists!$E$2:$E$276,MATCH('Ingest Template'!D469,DropdownLists!$C$2:$C$276,0))</f>
        <v>#N/A</v>
      </c>
      <c r="I469" s="22"/>
      <c r="J469" s="22" t="str">
        <f t="array" ref="J469">iF('Ingest Template'!A469="Standard","Pristine Brand",INDEX(DropdownLists!$B$2:$B$246,MATCH('Ingest Template'!D469,DropdownLists!$C$2:$C$246,0)))</f>
        <v>#N/A</v>
      </c>
      <c r="K469" s="22" t="str">
        <f>iF('Ingest Template'!A469="Standard",'Ingest Template'!K469&amp;CHAR(10)&amp;'Ingest Template'!L469,"Competitive View")</f>
        <v>Competitive View</v>
      </c>
      <c r="L469" s="22" t="s">
        <v>95</v>
      </c>
      <c r="M469" s="45" t="str">
        <f>'Ingest Template'!B469</f>
        <v/>
      </c>
      <c r="N469" s="35"/>
      <c r="O469" s="35"/>
      <c r="P469" s="35"/>
      <c r="Q469" s="35"/>
      <c r="R469" s="35" t="str">
        <f>'Ingest Template'!D469</f>
        <v/>
      </c>
      <c r="S469" s="22" t="s">
        <v>101</v>
      </c>
      <c r="T469" s="35" t="str">
        <f>'Ingest Template'!V469</f>
        <v/>
      </c>
      <c r="U469" s="35" t="str">
        <f>'Ingest Template'!W469</f>
        <v/>
      </c>
      <c r="V469" s="35" t="str">
        <f>LOWER(SUBSTITUTE(SUBSTITUTE(SUBSTITUTE(SUBSTITUTE(SUBSTITUTE('Ingest Template'!X469,"https:",""),"www.",""),"/",""),"?hl=en",""),"instagram.com",""))</f>
        <v/>
      </c>
      <c r="W469" s="74" t="str">
        <f t="array" ref="W469">IF(
'Ingest Template'!Y469="",
SUBSTITUTE(
INDEX(DropdownLists!$F$2:$F$277,MATCH('Ingest Template'!D469,DropdownLists!$C$2:$C$277,0)),
CHAR(10),
"|"&amp;'Ingest Template'!C469&amp;CHAR(10)
)&amp;"|"&amp;'Ingest Template'!C469,
SUBSTITUTE(
INDEX(DropdownLists!$F$2:$F$277,MATCH('Ingest Template'!D469,DropdownLists!$C$2:$C$277,0)),
CHAR(10),
"|"&amp;'Ingest Template'!C469&amp;CHAR(10)
)&amp;"|"&amp;'Ingest Template'!C469&amp;CHAR(10)&amp;'Ingest Template'!Y469
)</f>
        <v>#N/A</v>
      </c>
      <c r="X469" s="74" t="str">
        <f>'Ingest Template'!Z469</f>
        <v/>
      </c>
      <c r="Y469" s="35" t="str">
        <f>SUBSTITUTE(SUBSTITUTE(SUBSTITUTE('Ingest Template'!AA469,"http:",""),"https:",""),"/","")</f>
        <v/>
      </c>
      <c r="Z469" s="35" t="str">
        <f t="array" ref="Z469">IF('Ingest Template'!A469="Standard",(IF(ISBLANK('Ingest Template'!AB469),"", 'Ingest Template'!AB469&amp;"|DAR")),(IF(ISBLANK('Ingest Template'!AB469),"", 'Ingest Template'!AB469&amp;"|TV Ops")))</f>
        <v/>
      </c>
      <c r="AA469" s="35"/>
      <c r="AB469" s="35" t="str">
        <f>'Ingest Template'!R469</f>
        <v/>
      </c>
      <c r="AC469" s="35" t="str">
        <f>'Ingest Template'!T469</f>
        <v/>
      </c>
      <c r="AD469" s="35" t="str">
        <f>'Ingest Template'!S469</f>
        <v/>
      </c>
      <c r="AE469" s="35" t="str">
        <f>'Ingest Template'!U469</f>
        <v/>
      </c>
      <c r="AF469" s="22"/>
      <c r="AG469" s="35" t="str">
        <f t="array" ref="AG469">IF('Ingest Template'!A469="Standard",(CONCATENATE(IF(ISBLANK('Ingest Template'!N469),"", 'Ingest Template'!N469&amp;"|DAR"),CHAR(10), IF(ISBLANK('Ingest Template'!O469),"", 'Ingest Template'!O469&amp;"|DAR"),CHAR(10), IF(ISBLANK('Ingest Template'!P469),"", 'Ingest Template'!P469&amp;"|DAR"))),(CONCATENATE(IF(ISBLANK('Ingest Template'!N469),"", 'Ingest Template'!N469&amp;"|TV Ops"),CHAR(10), IF(ISBLANK('Ingest Template'!O469),"", 'Ingest Template'!O469&amp;"|TV Ops"),CHAR(10), IF(ISBLANK('Ingest Template'!P469),"", 'Ingest Template'!P469&amp;"|TV Ops"))))</f>
        <v>
</v>
      </c>
      <c r="AH469" s="35"/>
      <c r="AI469" s="35"/>
      <c r="AJ469" s="117" t="str">
        <f>if('Ingest Template'!A469="Standard",(IF(OR('Ingest Template'!F469 = "Program Type - Special", 'Ingest Template'!F469 = "Program Type - Live Event"),'Ingest Template'!M469&amp; "|DAR|DAR|"&amp;TEXT('Ingest Template'!C469-3, "yyyy-mm-dd")&amp;"|"&amp;TEXT('Ingest Template'!C469+3, "yyyy-mm-dd"),'Ingest Template'!M469&amp; "|DAR|DAR|2021-01-01")),(IF(OR('Ingest Template'!F469 = "Program Type - Special", 'Ingest Template'!F469 = "Program Type - Live Event"),'Ingest Template'!M469&amp; "|Operations - Core Title|Operations - Core Title|"&amp;TEXT('Ingest Template'!C469-3, "yyyy-mm-dd")&amp;"|"&amp;TEXT('Ingest Template'!C469+3, "yyyy-mm-dd"),'Ingest Template'!M469&amp; "|Operations - Core Title|Operations - Core Title")))</f>
        <v>|Operations - Core Title|Operations - Core Title</v>
      </c>
      <c r="AK469" s="35"/>
      <c r="AL469" s="117" t="str">
        <f>if('Ingest Template'!A469="Standard",(IF(OR('Ingest Template'!F469 = "Program Type - Special", 'Ingest Template'!F469 = "Program Type - Live Event"),'Ingest Template'!Q469&amp;"|"&amp;TEXT('Ingest Template'!C469-3, "yyyy-mm-dd")&amp;"|"&amp;TEXT('Ingest Template'!C469+3, "yyyy-mm-dd"),'Ingest Template'!Q469&amp; "|2021-01-01")),(IF(OR('Ingest Template'!F469 = "Program Type - Special", 'Ingest Template'!F469 = "Program Type - Live Event"),'Ingest Template'!Q469&amp; "|"&amp;TEXT('Ingest Template'!C469-3, "yyyy-mm-dd")&amp;"|"&amp;TEXT('Ingest Template'!C469+3, "yyyy-mm-dd"),'Ingest Template'!Q469)))</f>
        <v/>
      </c>
      <c r="AM469" s="35" t="str">
        <f>'Ingest Template'!AC469</f>
        <v/>
      </c>
    </row>
    <row r="470">
      <c r="A470" s="15"/>
      <c r="B470" s="22" t="str">
        <f>'Ingest Template'!C470&amp;IF('Ingest Template'!A470 = "Standard", " - DAR","")</f>
        <v/>
      </c>
      <c r="C470" s="22" t="s">
        <v>83</v>
      </c>
      <c r="D470" s="22" t="str">
        <f t="array" ref="D470">CONCATENATE(INDEX(DropdownLists!$H$2:$H$11,MATCH(1,COUNTIF('Ingest Template'!E470,"*"&amp;DropdownLists!$I$2:$I$11&amp;"*"),0)),CHAR(10),'Ingest Template'!F470,CHAR(10),'Ingest Template'!G470,CHAR(10),VLOOKUP('Ingest Template'!D470,DropdownLists!C:D,2,FALSE))</f>
        <v>#N/A</v>
      </c>
      <c r="E470" s="22" t="str">
        <f>CONCATENATE('Ingest Template'!H470,CHAR(10),'Ingest Template'!I470,CHAR(10),'Ingest Template'!J470,CHAR(10))</f>
        <v>
</v>
      </c>
      <c r="F470" s="35" t="str">
        <f t="array" ref="F470">INDEX(DropdownLists!$O$2:$O$36,MATCH(1,COUNTIF(E470,"*"&amp;DropdownLists!$N$2:$N$36&amp;"*"),0))</f>
        <v/>
      </c>
      <c r="G470" s="35"/>
      <c r="H470" s="22" t="str">
        <f t="array" ref="H470">INDEX(DropdownLists!$E$2:$E$276,MATCH('Ingest Template'!D470,DropdownLists!$C$2:$C$276,0))</f>
        <v>#N/A</v>
      </c>
      <c r="I470" s="22"/>
      <c r="J470" s="22" t="str">
        <f t="array" ref="J470">iF('Ingest Template'!A470="Standard","Pristine Brand",INDEX(DropdownLists!$B$2:$B$246,MATCH('Ingest Template'!D470,DropdownLists!$C$2:$C$246,0)))</f>
        <v>#N/A</v>
      </c>
      <c r="K470" s="22" t="str">
        <f>iF('Ingest Template'!A470="Standard",'Ingest Template'!K470&amp;CHAR(10)&amp;'Ingest Template'!L470,"Competitive View")</f>
        <v>Competitive View</v>
      </c>
      <c r="L470" s="22" t="s">
        <v>95</v>
      </c>
      <c r="M470" s="45" t="str">
        <f>'Ingest Template'!B470</f>
        <v/>
      </c>
      <c r="N470" s="35"/>
      <c r="O470" s="35"/>
      <c r="P470" s="35"/>
      <c r="Q470" s="35"/>
      <c r="R470" s="35" t="str">
        <f>'Ingest Template'!D470</f>
        <v/>
      </c>
      <c r="S470" s="22" t="s">
        <v>101</v>
      </c>
      <c r="T470" s="35" t="str">
        <f>'Ingest Template'!V470</f>
        <v/>
      </c>
      <c r="U470" s="35" t="str">
        <f>'Ingest Template'!W470</f>
        <v/>
      </c>
      <c r="V470" s="35" t="str">
        <f>LOWER(SUBSTITUTE(SUBSTITUTE(SUBSTITUTE(SUBSTITUTE(SUBSTITUTE('Ingest Template'!X470,"https:",""),"www.",""),"/",""),"?hl=en",""),"instagram.com",""))</f>
        <v/>
      </c>
      <c r="W470" s="74" t="str">
        <f t="array" ref="W470">IF(
'Ingest Template'!Y470="",
SUBSTITUTE(
INDEX(DropdownLists!$F$2:$F$277,MATCH('Ingest Template'!D470,DropdownLists!$C$2:$C$277,0)),
CHAR(10),
"|"&amp;'Ingest Template'!C470&amp;CHAR(10)
)&amp;"|"&amp;'Ingest Template'!C470,
SUBSTITUTE(
INDEX(DropdownLists!$F$2:$F$277,MATCH('Ingest Template'!D470,DropdownLists!$C$2:$C$277,0)),
CHAR(10),
"|"&amp;'Ingest Template'!C470&amp;CHAR(10)
)&amp;"|"&amp;'Ingest Template'!C470&amp;CHAR(10)&amp;'Ingest Template'!Y470
)</f>
        <v>#N/A</v>
      </c>
      <c r="X470" s="74" t="str">
        <f>'Ingest Template'!Z470</f>
        <v/>
      </c>
      <c r="Y470" s="35" t="str">
        <f>SUBSTITUTE(SUBSTITUTE(SUBSTITUTE('Ingest Template'!AA470,"http:",""),"https:",""),"/","")</f>
        <v/>
      </c>
      <c r="Z470" s="35" t="str">
        <f t="array" ref="Z470">IF('Ingest Template'!A470="Standard",(IF(ISBLANK('Ingest Template'!AB470),"", 'Ingest Template'!AB470&amp;"|DAR")),(IF(ISBLANK('Ingest Template'!AB470),"", 'Ingest Template'!AB470&amp;"|TV Ops")))</f>
        <v/>
      </c>
      <c r="AA470" s="35"/>
      <c r="AB470" s="35" t="str">
        <f>'Ingest Template'!R470</f>
        <v/>
      </c>
      <c r="AC470" s="35" t="str">
        <f>'Ingest Template'!T470</f>
        <v/>
      </c>
      <c r="AD470" s="35" t="str">
        <f>'Ingest Template'!S470</f>
        <v/>
      </c>
      <c r="AE470" s="35" t="str">
        <f>'Ingest Template'!U470</f>
        <v/>
      </c>
      <c r="AF470" s="22"/>
      <c r="AG470" s="35" t="str">
        <f t="array" ref="AG470">IF('Ingest Template'!A470="Standard",(CONCATENATE(IF(ISBLANK('Ingest Template'!N470),"", 'Ingest Template'!N470&amp;"|DAR"),CHAR(10), IF(ISBLANK('Ingest Template'!O470),"", 'Ingest Template'!O470&amp;"|DAR"),CHAR(10), IF(ISBLANK('Ingest Template'!P470),"", 'Ingest Template'!P470&amp;"|DAR"))),(CONCATENATE(IF(ISBLANK('Ingest Template'!N470),"", 'Ingest Template'!N470&amp;"|TV Ops"),CHAR(10), IF(ISBLANK('Ingest Template'!O470),"", 'Ingest Template'!O470&amp;"|TV Ops"),CHAR(10), IF(ISBLANK('Ingest Template'!P470),"", 'Ingest Template'!P470&amp;"|TV Ops"))))</f>
        <v>
</v>
      </c>
      <c r="AH470" s="35"/>
      <c r="AI470" s="35"/>
      <c r="AJ470" s="117" t="str">
        <f>if('Ingest Template'!A470="Standard",(IF(OR('Ingest Template'!F470 = "Program Type - Special", 'Ingest Template'!F470 = "Program Type - Live Event"),'Ingest Template'!M470&amp; "|DAR|DAR|"&amp;TEXT('Ingest Template'!C470-3, "yyyy-mm-dd")&amp;"|"&amp;TEXT('Ingest Template'!C470+3, "yyyy-mm-dd"),'Ingest Template'!M470&amp; "|DAR|DAR|2021-01-01")),(IF(OR('Ingest Template'!F470 = "Program Type - Special", 'Ingest Template'!F470 = "Program Type - Live Event"),'Ingest Template'!M470&amp; "|Operations - Core Title|Operations - Core Title|"&amp;TEXT('Ingest Template'!C470-3, "yyyy-mm-dd")&amp;"|"&amp;TEXT('Ingest Template'!C470+3, "yyyy-mm-dd"),'Ingest Template'!M470&amp; "|Operations - Core Title|Operations - Core Title")))</f>
        <v>|Operations - Core Title|Operations - Core Title</v>
      </c>
      <c r="AK470" s="35"/>
      <c r="AL470" s="117" t="str">
        <f>if('Ingest Template'!A470="Standard",(IF(OR('Ingest Template'!F470 = "Program Type - Special", 'Ingest Template'!F470 = "Program Type - Live Event"),'Ingest Template'!Q470&amp;"|"&amp;TEXT('Ingest Template'!C470-3, "yyyy-mm-dd")&amp;"|"&amp;TEXT('Ingest Template'!C470+3, "yyyy-mm-dd"),'Ingest Template'!Q470&amp; "|2021-01-01")),(IF(OR('Ingest Template'!F470 = "Program Type - Special", 'Ingest Template'!F470 = "Program Type - Live Event"),'Ingest Template'!Q470&amp; "|"&amp;TEXT('Ingest Template'!C470-3, "yyyy-mm-dd")&amp;"|"&amp;TEXT('Ingest Template'!C470+3, "yyyy-mm-dd"),'Ingest Template'!Q470)))</f>
        <v/>
      </c>
      <c r="AM470" s="35" t="str">
        <f>'Ingest Template'!AC470</f>
        <v/>
      </c>
    </row>
    <row r="471">
      <c r="A471" s="15"/>
      <c r="B471" s="22" t="str">
        <f>'Ingest Template'!C471&amp;IF('Ingest Template'!A471 = "Standard", " - DAR","")</f>
        <v/>
      </c>
      <c r="C471" s="22" t="s">
        <v>83</v>
      </c>
      <c r="D471" s="22" t="str">
        <f t="array" ref="D471">CONCATENATE(INDEX(DropdownLists!$H$2:$H$11,MATCH(1,COUNTIF('Ingest Template'!E471,"*"&amp;DropdownLists!$I$2:$I$11&amp;"*"),0)),CHAR(10),'Ingest Template'!F471,CHAR(10),'Ingest Template'!G471,CHAR(10),VLOOKUP('Ingest Template'!D471,DropdownLists!C:D,2,FALSE))</f>
        <v>#N/A</v>
      </c>
      <c r="E471" s="22" t="str">
        <f>CONCATENATE('Ingest Template'!H471,CHAR(10),'Ingest Template'!I471,CHAR(10),'Ingest Template'!J471,CHAR(10))</f>
        <v>
</v>
      </c>
      <c r="F471" s="35" t="str">
        <f t="array" ref="F471">INDEX(DropdownLists!$O$2:$O$36,MATCH(1,COUNTIF(E471,"*"&amp;DropdownLists!$N$2:$N$36&amp;"*"),0))</f>
        <v/>
      </c>
      <c r="G471" s="35"/>
      <c r="H471" s="22" t="str">
        <f t="array" ref="H471">INDEX(DropdownLists!$E$2:$E$276,MATCH('Ingest Template'!D471,DropdownLists!$C$2:$C$276,0))</f>
        <v>#N/A</v>
      </c>
      <c r="I471" s="22"/>
      <c r="J471" s="22" t="str">
        <f t="array" ref="J471">iF('Ingest Template'!A471="Standard","Pristine Brand",INDEX(DropdownLists!$B$2:$B$246,MATCH('Ingest Template'!D471,DropdownLists!$C$2:$C$246,0)))</f>
        <v>#N/A</v>
      </c>
      <c r="K471" s="22" t="str">
        <f>iF('Ingest Template'!A471="Standard",'Ingest Template'!K471&amp;CHAR(10)&amp;'Ingest Template'!L471,"Competitive View")</f>
        <v>Competitive View</v>
      </c>
      <c r="L471" s="22" t="s">
        <v>95</v>
      </c>
      <c r="M471" s="45" t="str">
        <f>'Ingest Template'!B471</f>
        <v/>
      </c>
      <c r="N471" s="35"/>
      <c r="O471" s="35"/>
      <c r="P471" s="35"/>
      <c r="Q471" s="35"/>
      <c r="R471" s="35" t="str">
        <f>'Ingest Template'!D471</f>
        <v/>
      </c>
      <c r="S471" s="22" t="s">
        <v>101</v>
      </c>
      <c r="T471" s="35" t="str">
        <f>'Ingest Template'!V471</f>
        <v/>
      </c>
      <c r="U471" s="35" t="str">
        <f>'Ingest Template'!W471</f>
        <v/>
      </c>
      <c r="V471" s="35" t="str">
        <f>LOWER(SUBSTITUTE(SUBSTITUTE(SUBSTITUTE(SUBSTITUTE(SUBSTITUTE('Ingest Template'!X471,"https:",""),"www.",""),"/",""),"?hl=en",""),"instagram.com",""))</f>
        <v/>
      </c>
      <c r="W471" s="74" t="str">
        <f t="array" ref="W471">IF(
'Ingest Template'!Y471="",
SUBSTITUTE(
INDEX(DropdownLists!$F$2:$F$277,MATCH('Ingest Template'!D471,DropdownLists!$C$2:$C$277,0)),
CHAR(10),
"|"&amp;'Ingest Template'!C471&amp;CHAR(10)
)&amp;"|"&amp;'Ingest Template'!C471,
SUBSTITUTE(
INDEX(DropdownLists!$F$2:$F$277,MATCH('Ingest Template'!D471,DropdownLists!$C$2:$C$277,0)),
CHAR(10),
"|"&amp;'Ingest Template'!C471&amp;CHAR(10)
)&amp;"|"&amp;'Ingest Template'!C471&amp;CHAR(10)&amp;'Ingest Template'!Y471
)</f>
        <v>#N/A</v>
      </c>
      <c r="X471" s="74" t="str">
        <f>'Ingest Template'!Z471</f>
        <v/>
      </c>
      <c r="Y471" s="35" t="str">
        <f>SUBSTITUTE(SUBSTITUTE(SUBSTITUTE('Ingest Template'!AA471,"http:",""),"https:",""),"/","")</f>
        <v/>
      </c>
      <c r="Z471" s="35" t="str">
        <f t="array" ref="Z471">IF('Ingest Template'!A471="Standard",(IF(ISBLANK('Ingest Template'!AB471),"", 'Ingest Template'!AB471&amp;"|DAR")),(IF(ISBLANK('Ingest Template'!AB471),"", 'Ingest Template'!AB471&amp;"|TV Ops")))</f>
        <v/>
      </c>
      <c r="AA471" s="35"/>
      <c r="AB471" s="35" t="str">
        <f>'Ingest Template'!R471</f>
        <v/>
      </c>
      <c r="AC471" s="35" t="str">
        <f>'Ingest Template'!T471</f>
        <v/>
      </c>
      <c r="AD471" s="35" t="str">
        <f>'Ingest Template'!S471</f>
        <v/>
      </c>
      <c r="AE471" s="35" t="str">
        <f>'Ingest Template'!U471</f>
        <v/>
      </c>
      <c r="AF471" s="22"/>
      <c r="AG471" s="35" t="str">
        <f t="array" ref="AG471">IF('Ingest Template'!A471="Standard",(CONCATENATE(IF(ISBLANK('Ingest Template'!N471),"", 'Ingest Template'!N471&amp;"|DAR"),CHAR(10), IF(ISBLANK('Ingest Template'!O471),"", 'Ingest Template'!O471&amp;"|DAR"),CHAR(10), IF(ISBLANK('Ingest Template'!P471),"", 'Ingest Template'!P471&amp;"|DAR"))),(CONCATENATE(IF(ISBLANK('Ingest Template'!N471),"", 'Ingest Template'!N471&amp;"|TV Ops"),CHAR(10), IF(ISBLANK('Ingest Template'!O471),"", 'Ingest Template'!O471&amp;"|TV Ops"),CHAR(10), IF(ISBLANK('Ingest Template'!P471),"", 'Ingest Template'!P471&amp;"|TV Ops"))))</f>
        <v>
</v>
      </c>
      <c r="AH471" s="35"/>
      <c r="AI471" s="35"/>
      <c r="AJ471" s="117" t="str">
        <f>if('Ingest Template'!A471="Standard",(IF(OR('Ingest Template'!F471 = "Program Type - Special", 'Ingest Template'!F471 = "Program Type - Live Event"),'Ingest Template'!M471&amp; "|DAR|DAR|"&amp;TEXT('Ingest Template'!C471-3, "yyyy-mm-dd")&amp;"|"&amp;TEXT('Ingest Template'!C471+3, "yyyy-mm-dd"),'Ingest Template'!M471&amp; "|DAR|DAR|2021-01-01")),(IF(OR('Ingest Template'!F471 = "Program Type - Special", 'Ingest Template'!F471 = "Program Type - Live Event"),'Ingest Template'!M471&amp; "|Operations - Core Title|Operations - Core Title|"&amp;TEXT('Ingest Template'!C471-3, "yyyy-mm-dd")&amp;"|"&amp;TEXT('Ingest Template'!C471+3, "yyyy-mm-dd"),'Ingest Template'!M471&amp; "|Operations - Core Title|Operations - Core Title")))</f>
        <v>|Operations - Core Title|Operations - Core Title</v>
      </c>
      <c r="AK471" s="35"/>
      <c r="AL471" s="117" t="str">
        <f>if('Ingest Template'!A471="Standard",(IF(OR('Ingest Template'!F471 = "Program Type - Special", 'Ingest Template'!F471 = "Program Type - Live Event"),'Ingest Template'!Q471&amp;"|"&amp;TEXT('Ingest Template'!C471-3, "yyyy-mm-dd")&amp;"|"&amp;TEXT('Ingest Template'!C471+3, "yyyy-mm-dd"),'Ingest Template'!Q471&amp; "|2021-01-01")),(IF(OR('Ingest Template'!F471 = "Program Type - Special", 'Ingest Template'!F471 = "Program Type - Live Event"),'Ingest Template'!Q471&amp; "|"&amp;TEXT('Ingest Template'!C471-3, "yyyy-mm-dd")&amp;"|"&amp;TEXT('Ingest Template'!C471+3, "yyyy-mm-dd"),'Ingest Template'!Q471)))</f>
        <v/>
      </c>
      <c r="AM471" s="35" t="str">
        <f>'Ingest Template'!AC471</f>
        <v/>
      </c>
    </row>
    <row r="472">
      <c r="A472" s="15"/>
      <c r="B472" s="22" t="str">
        <f>'Ingest Template'!C472&amp;IF('Ingest Template'!A472 = "Standard", " - DAR","")</f>
        <v/>
      </c>
      <c r="C472" s="22" t="s">
        <v>83</v>
      </c>
      <c r="D472" s="22" t="str">
        <f t="array" ref="D472">CONCATENATE(INDEX(DropdownLists!$H$2:$H$11,MATCH(1,COUNTIF('Ingest Template'!E472,"*"&amp;DropdownLists!$I$2:$I$11&amp;"*"),0)),CHAR(10),'Ingest Template'!F472,CHAR(10),'Ingest Template'!G472,CHAR(10),VLOOKUP('Ingest Template'!D472,DropdownLists!C:D,2,FALSE))</f>
        <v>#N/A</v>
      </c>
      <c r="E472" s="22" t="str">
        <f>CONCATENATE('Ingest Template'!H472,CHAR(10),'Ingest Template'!I472,CHAR(10),'Ingest Template'!J472,CHAR(10))</f>
        <v>
</v>
      </c>
      <c r="F472" s="35" t="str">
        <f t="array" ref="F472">INDEX(DropdownLists!$O$2:$O$36,MATCH(1,COUNTIF(E472,"*"&amp;DropdownLists!$N$2:$N$36&amp;"*"),0))</f>
        <v/>
      </c>
      <c r="G472" s="35"/>
      <c r="H472" s="22" t="str">
        <f t="array" ref="H472">INDEX(DropdownLists!$E$2:$E$276,MATCH('Ingest Template'!D472,DropdownLists!$C$2:$C$276,0))</f>
        <v>#N/A</v>
      </c>
      <c r="I472" s="22"/>
      <c r="J472" s="22" t="str">
        <f t="array" ref="J472">iF('Ingest Template'!A472="Standard","Pristine Brand",INDEX(DropdownLists!$B$2:$B$246,MATCH('Ingest Template'!D472,DropdownLists!$C$2:$C$246,0)))</f>
        <v>#N/A</v>
      </c>
      <c r="K472" s="22" t="str">
        <f>iF('Ingest Template'!A472="Standard",'Ingest Template'!K472&amp;CHAR(10)&amp;'Ingest Template'!L472,"Competitive View")</f>
        <v>Competitive View</v>
      </c>
      <c r="L472" s="22" t="s">
        <v>95</v>
      </c>
      <c r="M472" s="45" t="str">
        <f>'Ingest Template'!B472</f>
        <v/>
      </c>
      <c r="N472" s="35"/>
      <c r="O472" s="35"/>
      <c r="P472" s="35"/>
      <c r="Q472" s="35"/>
      <c r="R472" s="35" t="str">
        <f>'Ingest Template'!D472</f>
        <v/>
      </c>
      <c r="S472" s="22" t="s">
        <v>101</v>
      </c>
      <c r="T472" s="35" t="str">
        <f>'Ingest Template'!V472</f>
        <v/>
      </c>
      <c r="U472" s="35" t="str">
        <f>'Ingest Template'!W472</f>
        <v/>
      </c>
      <c r="V472" s="35" t="str">
        <f>LOWER(SUBSTITUTE(SUBSTITUTE(SUBSTITUTE(SUBSTITUTE(SUBSTITUTE('Ingest Template'!X472,"https:",""),"www.",""),"/",""),"?hl=en",""),"instagram.com",""))</f>
        <v/>
      </c>
      <c r="W472" s="74" t="str">
        <f t="array" ref="W472">IF(
'Ingest Template'!Y472="",
SUBSTITUTE(
INDEX(DropdownLists!$F$2:$F$277,MATCH('Ingest Template'!D472,DropdownLists!$C$2:$C$277,0)),
CHAR(10),
"|"&amp;'Ingest Template'!C472&amp;CHAR(10)
)&amp;"|"&amp;'Ingest Template'!C472,
SUBSTITUTE(
INDEX(DropdownLists!$F$2:$F$277,MATCH('Ingest Template'!D472,DropdownLists!$C$2:$C$277,0)),
CHAR(10),
"|"&amp;'Ingest Template'!C472&amp;CHAR(10)
)&amp;"|"&amp;'Ingest Template'!C472&amp;CHAR(10)&amp;'Ingest Template'!Y472
)</f>
        <v>#N/A</v>
      </c>
      <c r="X472" s="74" t="str">
        <f>'Ingest Template'!Z472</f>
        <v/>
      </c>
      <c r="Y472" s="35" t="str">
        <f>SUBSTITUTE(SUBSTITUTE(SUBSTITUTE('Ingest Template'!AA472,"http:",""),"https:",""),"/","")</f>
        <v/>
      </c>
      <c r="Z472" s="35" t="str">
        <f t="array" ref="Z472">IF('Ingest Template'!A472="Standard",(IF(ISBLANK('Ingest Template'!AB472),"", 'Ingest Template'!AB472&amp;"|DAR")),(IF(ISBLANK('Ingest Template'!AB472),"", 'Ingest Template'!AB472&amp;"|TV Ops")))</f>
        <v/>
      </c>
      <c r="AA472" s="35"/>
      <c r="AB472" s="35" t="str">
        <f>'Ingest Template'!R472</f>
        <v/>
      </c>
      <c r="AC472" s="35" t="str">
        <f>'Ingest Template'!T472</f>
        <v/>
      </c>
      <c r="AD472" s="35" t="str">
        <f>'Ingest Template'!S472</f>
        <v/>
      </c>
      <c r="AE472" s="35" t="str">
        <f>'Ingest Template'!U472</f>
        <v/>
      </c>
      <c r="AF472" s="22"/>
      <c r="AG472" s="35" t="str">
        <f t="array" ref="AG472">IF('Ingest Template'!A472="Standard",(CONCATENATE(IF(ISBLANK('Ingest Template'!N472),"", 'Ingest Template'!N472&amp;"|DAR"),CHAR(10), IF(ISBLANK('Ingest Template'!O472),"", 'Ingest Template'!O472&amp;"|DAR"),CHAR(10), IF(ISBLANK('Ingest Template'!P472),"", 'Ingest Template'!P472&amp;"|DAR"))),(CONCATENATE(IF(ISBLANK('Ingest Template'!N472),"", 'Ingest Template'!N472&amp;"|TV Ops"),CHAR(10), IF(ISBLANK('Ingest Template'!O472),"", 'Ingest Template'!O472&amp;"|TV Ops"),CHAR(10), IF(ISBLANK('Ingest Template'!P472),"", 'Ingest Template'!P472&amp;"|TV Ops"))))</f>
        <v>
</v>
      </c>
      <c r="AH472" s="35"/>
      <c r="AI472" s="35"/>
      <c r="AJ472" s="117" t="str">
        <f>if('Ingest Template'!A472="Standard",(IF(OR('Ingest Template'!F472 = "Program Type - Special", 'Ingest Template'!F472 = "Program Type - Live Event"),'Ingest Template'!M472&amp; "|DAR|DAR|"&amp;TEXT('Ingest Template'!C472-3, "yyyy-mm-dd")&amp;"|"&amp;TEXT('Ingest Template'!C472+3, "yyyy-mm-dd"),'Ingest Template'!M472&amp; "|DAR|DAR|2021-01-01")),(IF(OR('Ingest Template'!F472 = "Program Type - Special", 'Ingest Template'!F472 = "Program Type - Live Event"),'Ingest Template'!M472&amp; "|Operations - Core Title|Operations - Core Title|"&amp;TEXT('Ingest Template'!C472-3, "yyyy-mm-dd")&amp;"|"&amp;TEXT('Ingest Template'!C472+3, "yyyy-mm-dd"),'Ingest Template'!M472&amp; "|Operations - Core Title|Operations - Core Title")))</f>
        <v>|Operations - Core Title|Operations - Core Title</v>
      </c>
      <c r="AK472" s="35"/>
      <c r="AL472" s="117" t="str">
        <f>if('Ingest Template'!A472="Standard",(IF(OR('Ingest Template'!F472 = "Program Type - Special", 'Ingest Template'!F472 = "Program Type - Live Event"),'Ingest Template'!Q472&amp;"|"&amp;TEXT('Ingest Template'!C472-3, "yyyy-mm-dd")&amp;"|"&amp;TEXT('Ingest Template'!C472+3, "yyyy-mm-dd"),'Ingest Template'!Q472&amp; "|2021-01-01")),(IF(OR('Ingest Template'!F472 = "Program Type - Special", 'Ingest Template'!F472 = "Program Type - Live Event"),'Ingest Template'!Q472&amp; "|"&amp;TEXT('Ingest Template'!C472-3, "yyyy-mm-dd")&amp;"|"&amp;TEXT('Ingest Template'!C472+3, "yyyy-mm-dd"),'Ingest Template'!Q472)))</f>
        <v/>
      </c>
      <c r="AM472" s="35" t="str">
        <f>'Ingest Template'!AC472</f>
        <v/>
      </c>
    </row>
    <row r="473">
      <c r="A473" s="15"/>
      <c r="B473" s="22" t="str">
        <f>'Ingest Template'!C473&amp;IF('Ingest Template'!A473 = "Standard", " - DAR","")</f>
        <v/>
      </c>
      <c r="C473" s="22" t="s">
        <v>83</v>
      </c>
      <c r="D473" s="22" t="str">
        <f t="array" ref="D473">CONCATENATE(INDEX(DropdownLists!$H$2:$H$11,MATCH(1,COUNTIF('Ingest Template'!E473,"*"&amp;DropdownLists!$I$2:$I$11&amp;"*"),0)),CHAR(10),'Ingest Template'!F473,CHAR(10),'Ingest Template'!G473,CHAR(10),VLOOKUP('Ingest Template'!D473,DropdownLists!C:D,2,FALSE))</f>
        <v>#N/A</v>
      </c>
      <c r="E473" s="22" t="str">
        <f>CONCATENATE('Ingest Template'!H473,CHAR(10),'Ingest Template'!I473,CHAR(10),'Ingest Template'!J473,CHAR(10))</f>
        <v>
</v>
      </c>
      <c r="F473" s="35" t="str">
        <f t="array" ref="F473">INDEX(DropdownLists!$O$2:$O$36,MATCH(1,COUNTIF(E473,"*"&amp;DropdownLists!$N$2:$N$36&amp;"*"),0))</f>
        <v/>
      </c>
      <c r="G473" s="35"/>
      <c r="H473" s="22" t="str">
        <f t="array" ref="H473">INDEX(DropdownLists!$E$2:$E$276,MATCH('Ingest Template'!D473,DropdownLists!$C$2:$C$276,0))</f>
        <v>#N/A</v>
      </c>
      <c r="I473" s="22"/>
      <c r="J473" s="22" t="str">
        <f t="array" ref="J473">iF('Ingest Template'!A473="Standard","Pristine Brand",INDEX(DropdownLists!$B$2:$B$246,MATCH('Ingest Template'!D473,DropdownLists!$C$2:$C$246,0)))</f>
        <v>#N/A</v>
      </c>
      <c r="K473" s="22" t="str">
        <f>iF('Ingest Template'!A473="Standard",'Ingest Template'!K473&amp;CHAR(10)&amp;'Ingest Template'!L473,"Competitive View")</f>
        <v>Competitive View</v>
      </c>
      <c r="L473" s="22" t="s">
        <v>95</v>
      </c>
      <c r="M473" s="45" t="str">
        <f>'Ingest Template'!B473</f>
        <v/>
      </c>
      <c r="N473" s="35"/>
      <c r="O473" s="35"/>
      <c r="P473" s="35"/>
      <c r="Q473" s="35"/>
      <c r="R473" s="35" t="str">
        <f>'Ingest Template'!D473</f>
        <v/>
      </c>
      <c r="S473" s="22" t="s">
        <v>101</v>
      </c>
      <c r="T473" s="35" t="str">
        <f>'Ingest Template'!V473</f>
        <v/>
      </c>
      <c r="U473" s="35" t="str">
        <f>'Ingest Template'!W473</f>
        <v/>
      </c>
      <c r="V473" s="35" t="str">
        <f>LOWER(SUBSTITUTE(SUBSTITUTE(SUBSTITUTE(SUBSTITUTE(SUBSTITUTE('Ingest Template'!X473,"https:",""),"www.",""),"/",""),"?hl=en",""),"instagram.com",""))</f>
        <v/>
      </c>
      <c r="W473" s="74" t="str">
        <f t="array" ref="W473">IF(
'Ingest Template'!Y473="",
SUBSTITUTE(
INDEX(DropdownLists!$F$2:$F$277,MATCH('Ingest Template'!D473,DropdownLists!$C$2:$C$277,0)),
CHAR(10),
"|"&amp;'Ingest Template'!C473&amp;CHAR(10)
)&amp;"|"&amp;'Ingest Template'!C473,
SUBSTITUTE(
INDEX(DropdownLists!$F$2:$F$277,MATCH('Ingest Template'!D473,DropdownLists!$C$2:$C$277,0)),
CHAR(10),
"|"&amp;'Ingest Template'!C473&amp;CHAR(10)
)&amp;"|"&amp;'Ingest Template'!C473&amp;CHAR(10)&amp;'Ingest Template'!Y473
)</f>
        <v>#N/A</v>
      </c>
      <c r="X473" s="74" t="str">
        <f>'Ingest Template'!Z473</f>
        <v/>
      </c>
      <c r="Y473" s="35" t="str">
        <f>SUBSTITUTE(SUBSTITUTE(SUBSTITUTE('Ingest Template'!AA473,"http:",""),"https:",""),"/","")</f>
        <v/>
      </c>
      <c r="Z473" s="35" t="str">
        <f t="array" ref="Z473">IF('Ingest Template'!A473="Standard",(IF(ISBLANK('Ingest Template'!AB473),"", 'Ingest Template'!AB473&amp;"|DAR")),(IF(ISBLANK('Ingest Template'!AB473),"", 'Ingest Template'!AB473&amp;"|TV Ops")))</f>
        <v/>
      </c>
      <c r="AA473" s="35"/>
      <c r="AB473" s="35" t="str">
        <f>'Ingest Template'!R473</f>
        <v/>
      </c>
      <c r="AC473" s="35" t="str">
        <f>'Ingest Template'!T473</f>
        <v/>
      </c>
      <c r="AD473" s="35" t="str">
        <f>'Ingest Template'!S473</f>
        <v/>
      </c>
      <c r="AE473" s="35" t="str">
        <f>'Ingest Template'!U473</f>
        <v/>
      </c>
      <c r="AF473" s="22"/>
      <c r="AG473" s="35" t="str">
        <f t="array" ref="AG473">IF('Ingest Template'!A473="Standard",(CONCATENATE(IF(ISBLANK('Ingest Template'!N473),"", 'Ingest Template'!N473&amp;"|DAR"),CHAR(10), IF(ISBLANK('Ingest Template'!O473),"", 'Ingest Template'!O473&amp;"|DAR"),CHAR(10), IF(ISBLANK('Ingest Template'!P473),"", 'Ingest Template'!P473&amp;"|DAR"))),(CONCATENATE(IF(ISBLANK('Ingest Template'!N473),"", 'Ingest Template'!N473&amp;"|TV Ops"),CHAR(10), IF(ISBLANK('Ingest Template'!O473),"", 'Ingest Template'!O473&amp;"|TV Ops"),CHAR(10), IF(ISBLANK('Ingest Template'!P473),"", 'Ingest Template'!P473&amp;"|TV Ops"))))</f>
        <v>
</v>
      </c>
      <c r="AH473" s="35"/>
      <c r="AI473" s="35"/>
      <c r="AJ473" s="117" t="str">
        <f>if('Ingest Template'!A473="Standard",(IF(OR('Ingest Template'!F473 = "Program Type - Special", 'Ingest Template'!F473 = "Program Type - Live Event"),'Ingest Template'!M473&amp; "|DAR|DAR|"&amp;TEXT('Ingest Template'!C473-3, "yyyy-mm-dd")&amp;"|"&amp;TEXT('Ingest Template'!C473+3, "yyyy-mm-dd"),'Ingest Template'!M473&amp; "|DAR|DAR|2021-01-01")),(IF(OR('Ingest Template'!F473 = "Program Type - Special", 'Ingest Template'!F473 = "Program Type - Live Event"),'Ingest Template'!M473&amp; "|Operations - Core Title|Operations - Core Title|"&amp;TEXT('Ingest Template'!C473-3, "yyyy-mm-dd")&amp;"|"&amp;TEXT('Ingest Template'!C473+3, "yyyy-mm-dd"),'Ingest Template'!M473&amp; "|Operations - Core Title|Operations - Core Title")))</f>
        <v>|Operations - Core Title|Operations - Core Title</v>
      </c>
      <c r="AK473" s="35"/>
      <c r="AL473" s="117" t="str">
        <f>if('Ingest Template'!A473="Standard",(IF(OR('Ingest Template'!F473 = "Program Type - Special", 'Ingest Template'!F473 = "Program Type - Live Event"),'Ingest Template'!Q473&amp;"|"&amp;TEXT('Ingest Template'!C473-3, "yyyy-mm-dd")&amp;"|"&amp;TEXT('Ingest Template'!C473+3, "yyyy-mm-dd"),'Ingest Template'!Q473&amp; "|2021-01-01")),(IF(OR('Ingest Template'!F473 = "Program Type - Special", 'Ingest Template'!F473 = "Program Type - Live Event"),'Ingest Template'!Q473&amp; "|"&amp;TEXT('Ingest Template'!C473-3, "yyyy-mm-dd")&amp;"|"&amp;TEXT('Ingest Template'!C473+3, "yyyy-mm-dd"),'Ingest Template'!Q473)))</f>
        <v/>
      </c>
      <c r="AM473" s="35" t="str">
        <f>'Ingest Template'!AC473</f>
        <v/>
      </c>
    </row>
    <row r="474">
      <c r="A474" s="15"/>
      <c r="B474" s="22" t="str">
        <f>'Ingest Template'!C474&amp;IF('Ingest Template'!A474 = "Standard", " - DAR","")</f>
        <v/>
      </c>
      <c r="C474" s="22" t="s">
        <v>83</v>
      </c>
      <c r="D474" s="22" t="str">
        <f t="array" ref="D474">CONCATENATE(INDEX(DropdownLists!$H$2:$H$11,MATCH(1,COUNTIF('Ingest Template'!E474,"*"&amp;DropdownLists!$I$2:$I$11&amp;"*"),0)),CHAR(10),'Ingest Template'!F474,CHAR(10),'Ingest Template'!G474,CHAR(10),VLOOKUP('Ingest Template'!D474,DropdownLists!C:D,2,FALSE))</f>
        <v>#N/A</v>
      </c>
      <c r="E474" s="22" t="str">
        <f>CONCATENATE('Ingest Template'!H474,CHAR(10),'Ingest Template'!I474,CHAR(10),'Ingest Template'!J474,CHAR(10))</f>
        <v>
</v>
      </c>
      <c r="F474" s="35" t="str">
        <f t="array" ref="F474">INDEX(DropdownLists!$O$2:$O$36,MATCH(1,COUNTIF(E474,"*"&amp;DropdownLists!$N$2:$N$36&amp;"*"),0))</f>
        <v/>
      </c>
      <c r="G474" s="35"/>
      <c r="H474" s="22" t="str">
        <f t="array" ref="H474">INDEX(DropdownLists!$E$2:$E$276,MATCH('Ingest Template'!D474,DropdownLists!$C$2:$C$276,0))</f>
        <v>#N/A</v>
      </c>
      <c r="I474" s="22"/>
      <c r="J474" s="22" t="str">
        <f t="array" ref="J474">iF('Ingest Template'!A474="Standard","Pristine Brand",INDEX(DropdownLists!$B$2:$B$246,MATCH('Ingest Template'!D474,DropdownLists!$C$2:$C$246,0)))</f>
        <v>#N/A</v>
      </c>
      <c r="K474" s="22" t="str">
        <f>iF('Ingest Template'!A474="Standard",'Ingest Template'!K474&amp;CHAR(10)&amp;'Ingest Template'!L474,"Competitive View")</f>
        <v>Competitive View</v>
      </c>
      <c r="L474" s="22" t="s">
        <v>95</v>
      </c>
      <c r="M474" s="45" t="str">
        <f>'Ingest Template'!B474</f>
        <v/>
      </c>
      <c r="N474" s="35"/>
      <c r="O474" s="35"/>
      <c r="P474" s="35"/>
      <c r="Q474" s="35"/>
      <c r="R474" s="35" t="str">
        <f>'Ingest Template'!D474</f>
        <v/>
      </c>
      <c r="S474" s="22" t="s">
        <v>101</v>
      </c>
      <c r="T474" s="35" t="str">
        <f>'Ingest Template'!V474</f>
        <v/>
      </c>
      <c r="U474" s="35" t="str">
        <f>'Ingest Template'!W474</f>
        <v/>
      </c>
      <c r="V474" s="35" t="str">
        <f>LOWER(SUBSTITUTE(SUBSTITUTE(SUBSTITUTE(SUBSTITUTE(SUBSTITUTE('Ingest Template'!X474,"https:",""),"www.",""),"/",""),"?hl=en",""),"instagram.com",""))</f>
        <v/>
      </c>
      <c r="W474" s="74" t="str">
        <f t="array" ref="W474">IF(
'Ingest Template'!Y474="",
SUBSTITUTE(
INDEX(DropdownLists!$F$2:$F$277,MATCH('Ingest Template'!D474,DropdownLists!$C$2:$C$277,0)),
CHAR(10),
"|"&amp;'Ingest Template'!C474&amp;CHAR(10)
)&amp;"|"&amp;'Ingest Template'!C474,
SUBSTITUTE(
INDEX(DropdownLists!$F$2:$F$277,MATCH('Ingest Template'!D474,DropdownLists!$C$2:$C$277,0)),
CHAR(10),
"|"&amp;'Ingest Template'!C474&amp;CHAR(10)
)&amp;"|"&amp;'Ingest Template'!C474&amp;CHAR(10)&amp;'Ingest Template'!Y474
)</f>
        <v>#N/A</v>
      </c>
      <c r="X474" s="74" t="str">
        <f>'Ingest Template'!Z474</f>
        <v/>
      </c>
      <c r="Y474" s="35" t="str">
        <f>SUBSTITUTE(SUBSTITUTE(SUBSTITUTE('Ingest Template'!AA474,"http:",""),"https:",""),"/","")</f>
        <v/>
      </c>
      <c r="Z474" s="35" t="str">
        <f t="array" ref="Z474">IF('Ingest Template'!A474="Standard",(IF(ISBLANK('Ingest Template'!AB474),"", 'Ingest Template'!AB474&amp;"|DAR")),(IF(ISBLANK('Ingest Template'!AB474),"", 'Ingest Template'!AB474&amp;"|TV Ops")))</f>
        <v/>
      </c>
      <c r="AA474" s="35"/>
      <c r="AB474" s="35" t="str">
        <f>'Ingest Template'!R474</f>
        <v/>
      </c>
      <c r="AC474" s="35" t="str">
        <f>'Ingest Template'!T474</f>
        <v/>
      </c>
      <c r="AD474" s="35" t="str">
        <f>'Ingest Template'!S474</f>
        <v/>
      </c>
      <c r="AE474" s="35" t="str">
        <f>'Ingest Template'!U474</f>
        <v/>
      </c>
      <c r="AF474" s="22"/>
      <c r="AG474" s="35" t="str">
        <f t="array" ref="AG474">IF('Ingest Template'!A474="Standard",(CONCATENATE(IF(ISBLANK('Ingest Template'!N474),"", 'Ingest Template'!N474&amp;"|DAR"),CHAR(10), IF(ISBLANK('Ingest Template'!O474),"", 'Ingest Template'!O474&amp;"|DAR"),CHAR(10), IF(ISBLANK('Ingest Template'!P474),"", 'Ingest Template'!P474&amp;"|DAR"))),(CONCATENATE(IF(ISBLANK('Ingest Template'!N474),"", 'Ingest Template'!N474&amp;"|TV Ops"),CHAR(10), IF(ISBLANK('Ingest Template'!O474),"", 'Ingest Template'!O474&amp;"|TV Ops"),CHAR(10), IF(ISBLANK('Ingest Template'!P474),"", 'Ingest Template'!P474&amp;"|TV Ops"))))</f>
        <v>
</v>
      </c>
      <c r="AH474" s="35"/>
      <c r="AI474" s="35"/>
      <c r="AJ474" s="117" t="str">
        <f>if('Ingest Template'!A474="Standard",(IF(OR('Ingest Template'!F474 = "Program Type - Special", 'Ingest Template'!F474 = "Program Type - Live Event"),'Ingest Template'!M474&amp; "|DAR|DAR|"&amp;TEXT('Ingest Template'!C474-3, "yyyy-mm-dd")&amp;"|"&amp;TEXT('Ingest Template'!C474+3, "yyyy-mm-dd"),'Ingest Template'!M474&amp; "|DAR|DAR|2021-01-01")),(IF(OR('Ingest Template'!F474 = "Program Type - Special", 'Ingest Template'!F474 = "Program Type - Live Event"),'Ingest Template'!M474&amp; "|Operations - Core Title|Operations - Core Title|"&amp;TEXT('Ingest Template'!C474-3, "yyyy-mm-dd")&amp;"|"&amp;TEXT('Ingest Template'!C474+3, "yyyy-mm-dd"),'Ingest Template'!M474&amp; "|Operations - Core Title|Operations - Core Title")))</f>
        <v>|Operations - Core Title|Operations - Core Title</v>
      </c>
      <c r="AK474" s="35"/>
      <c r="AL474" s="117" t="str">
        <f>if('Ingest Template'!A474="Standard",(IF(OR('Ingest Template'!F474 = "Program Type - Special", 'Ingest Template'!F474 = "Program Type - Live Event"),'Ingest Template'!Q474&amp;"|"&amp;TEXT('Ingest Template'!C474-3, "yyyy-mm-dd")&amp;"|"&amp;TEXT('Ingest Template'!C474+3, "yyyy-mm-dd"),'Ingest Template'!Q474&amp; "|2021-01-01")),(IF(OR('Ingest Template'!F474 = "Program Type - Special", 'Ingest Template'!F474 = "Program Type - Live Event"),'Ingest Template'!Q474&amp; "|"&amp;TEXT('Ingest Template'!C474-3, "yyyy-mm-dd")&amp;"|"&amp;TEXT('Ingest Template'!C474+3, "yyyy-mm-dd"),'Ingest Template'!Q474)))</f>
        <v/>
      </c>
      <c r="AM474" s="35" t="str">
        <f>'Ingest Template'!AC474</f>
        <v/>
      </c>
    </row>
    <row r="475">
      <c r="A475" s="15"/>
      <c r="B475" s="22" t="str">
        <f>'Ingest Template'!C475&amp;IF('Ingest Template'!A475 = "Standard", " - DAR","")</f>
        <v/>
      </c>
      <c r="C475" s="22" t="s">
        <v>83</v>
      </c>
      <c r="D475" s="22" t="str">
        <f t="array" ref="D475">CONCATENATE(INDEX(DropdownLists!$H$2:$H$11,MATCH(1,COUNTIF('Ingest Template'!E475,"*"&amp;DropdownLists!$I$2:$I$11&amp;"*"),0)),CHAR(10),'Ingest Template'!F475,CHAR(10),'Ingest Template'!G475,CHAR(10),VLOOKUP('Ingest Template'!D475,DropdownLists!C:D,2,FALSE))</f>
        <v>#N/A</v>
      </c>
      <c r="E475" s="22" t="str">
        <f>CONCATENATE('Ingest Template'!H475,CHAR(10),'Ingest Template'!I475,CHAR(10),'Ingest Template'!J475,CHAR(10))</f>
        <v>
</v>
      </c>
      <c r="F475" s="35" t="str">
        <f t="array" ref="F475">INDEX(DropdownLists!$O$2:$O$36,MATCH(1,COUNTIF(E475,"*"&amp;DropdownLists!$N$2:$N$36&amp;"*"),0))</f>
        <v/>
      </c>
      <c r="G475" s="35"/>
      <c r="H475" s="22" t="str">
        <f t="array" ref="H475">INDEX(DropdownLists!$E$2:$E$276,MATCH('Ingest Template'!D475,DropdownLists!$C$2:$C$276,0))</f>
        <v>#N/A</v>
      </c>
      <c r="I475" s="22"/>
      <c r="J475" s="22" t="str">
        <f t="array" ref="J475">iF('Ingest Template'!A475="Standard","Pristine Brand",INDEX(DropdownLists!$B$2:$B$246,MATCH('Ingest Template'!D475,DropdownLists!$C$2:$C$246,0)))</f>
        <v>#N/A</v>
      </c>
      <c r="K475" s="22" t="str">
        <f>iF('Ingest Template'!A475="Standard",'Ingest Template'!K475&amp;CHAR(10)&amp;'Ingest Template'!L475,"Competitive View")</f>
        <v>Competitive View</v>
      </c>
      <c r="L475" s="22" t="s">
        <v>95</v>
      </c>
      <c r="M475" s="45" t="str">
        <f>'Ingest Template'!B475</f>
        <v/>
      </c>
      <c r="N475" s="35"/>
      <c r="O475" s="35"/>
      <c r="P475" s="35"/>
      <c r="Q475" s="35"/>
      <c r="R475" s="35" t="str">
        <f>'Ingest Template'!D475</f>
        <v/>
      </c>
      <c r="S475" s="22" t="s">
        <v>101</v>
      </c>
      <c r="T475" s="35" t="str">
        <f>'Ingest Template'!V475</f>
        <v/>
      </c>
      <c r="U475" s="35" t="str">
        <f>'Ingest Template'!W475</f>
        <v/>
      </c>
      <c r="V475" s="35" t="str">
        <f>LOWER(SUBSTITUTE(SUBSTITUTE(SUBSTITUTE(SUBSTITUTE(SUBSTITUTE('Ingest Template'!X475,"https:",""),"www.",""),"/",""),"?hl=en",""),"instagram.com",""))</f>
        <v/>
      </c>
      <c r="W475" s="74" t="str">
        <f t="array" ref="W475">IF(
'Ingest Template'!Y475="",
SUBSTITUTE(
INDEX(DropdownLists!$F$2:$F$277,MATCH('Ingest Template'!D475,DropdownLists!$C$2:$C$277,0)),
CHAR(10),
"|"&amp;'Ingest Template'!C475&amp;CHAR(10)
)&amp;"|"&amp;'Ingest Template'!C475,
SUBSTITUTE(
INDEX(DropdownLists!$F$2:$F$277,MATCH('Ingest Template'!D475,DropdownLists!$C$2:$C$277,0)),
CHAR(10),
"|"&amp;'Ingest Template'!C475&amp;CHAR(10)
)&amp;"|"&amp;'Ingest Template'!C475&amp;CHAR(10)&amp;'Ingest Template'!Y475
)</f>
        <v>#N/A</v>
      </c>
      <c r="X475" s="74" t="str">
        <f>'Ingest Template'!Z475</f>
        <v/>
      </c>
      <c r="Y475" s="35" t="str">
        <f>SUBSTITUTE(SUBSTITUTE(SUBSTITUTE('Ingest Template'!AA475,"http:",""),"https:",""),"/","")</f>
        <v/>
      </c>
      <c r="Z475" s="35" t="str">
        <f t="array" ref="Z475">IF('Ingest Template'!A475="Standard",(IF(ISBLANK('Ingest Template'!AB475),"", 'Ingest Template'!AB475&amp;"|DAR")),(IF(ISBLANK('Ingest Template'!AB475),"", 'Ingest Template'!AB475&amp;"|TV Ops")))</f>
        <v/>
      </c>
      <c r="AA475" s="35"/>
      <c r="AB475" s="35" t="str">
        <f>'Ingest Template'!R475</f>
        <v/>
      </c>
      <c r="AC475" s="35" t="str">
        <f>'Ingest Template'!T475</f>
        <v/>
      </c>
      <c r="AD475" s="35" t="str">
        <f>'Ingest Template'!S475</f>
        <v/>
      </c>
      <c r="AE475" s="35" t="str">
        <f>'Ingest Template'!U475</f>
        <v/>
      </c>
      <c r="AF475" s="22"/>
      <c r="AG475" s="35" t="str">
        <f t="array" ref="AG475">IF('Ingest Template'!A475="Standard",(CONCATENATE(IF(ISBLANK('Ingest Template'!N475),"", 'Ingest Template'!N475&amp;"|DAR"),CHAR(10), IF(ISBLANK('Ingest Template'!O475),"", 'Ingest Template'!O475&amp;"|DAR"),CHAR(10), IF(ISBLANK('Ingest Template'!P475),"", 'Ingest Template'!P475&amp;"|DAR"))),(CONCATENATE(IF(ISBLANK('Ingest Template'!N475),"", 'Ingest Template'!N475&amp;"|TV Ops"),CHAR(10), IF(ISBLANK('Ingest Template'!O475),"", 'Ingest Template'!O475&amp;"|TV Ops"),CHAR(10), IF(ISBLANK('Ingest Template'!P475),"", 'Ingest Template'!P475&amp;"|TV Ops"))))</f>
        <v>
</v>
      </c>
      <c r="AH475" s="35"/>
      <c r="AI475" s="35"/>
      <c r="AJ475" s="117" t="str">
        <f>if('Ingest Template'!A475="Standard",(IF(OR('Ingest Template'!F475 = "Program Type - Special", 'Ingest Template'!F475 = "Program Type - Live Event"),'Ingest Template'!M475&amp; "|DAR|DAR|"&amp;TEXT('Ingest Template'!C475-3, "yyyy-mm-dd")&amp;"|"&amp;TEXT('Ingest Template'!C475+3, "yyyy-mm-dd"),'Ingest Template'!M475&amp; "|DAR|DAR|2021-01-01")),(IF(OR('Ingest Template'!F475 = "Program Type - Special", 'Ingest Template'!F475 = "Program Type - Live Event"),'Ingest Template'!M475&amp; "|Operations - Core Title|Operations - Core Title|"&amp;TEXT('Ingest Template'!C475-3, "yyyy-mm-dd")&amp;"|"&amp;TEXT('Ingest Template'!C475+3, "yyyy-mm-dd"),'Ingest Template'!M475&amp; "|Operations - Core Title|Operations - Core Title")))</f>
        <v>|Operations - Core Title|Operations - Core Title</v>
      </c>
      <c r="AK475" s="35"/>
      <c r="AL475" s="117" t="str">
        <f>if('Ingest Template'!A475="Standard",(IF(OR('Ingest Template'!F475 = "Program Type - Special", 'Ingest Template'!F475 = "Program Type - Live Event"),'Ingest Template'!Q475&amp;"|"&amp;TEXT('Ingest Template'!C475-3, "yyyy-mm-dd")&amp;"|"&amp;TEXT('Ingest Template'!C475+3, "yyyy-mm-dd"),'Ingest Template'!Q475&amp; "|2021-01-01")),(IF(OR('Ingest Template'!F475 = "Program Type - Special", 'Ingest Template'!F475 = "Program Type - Live Event"),'Ingest Template'!Q475&amp; "|"&amp;TEXT('Ingest Template'!C475-3, "yyyy-mm-dd")&amp;"|"&amp;TEXT('Ingest Template'!C475+3, "yyyy-mm-dd"),'Ingest Template'!Q475)))</f>
        <v/>
      </c>
      <c r="AM475" s="35" t="str">
        <f>'Ingest Template'!AC475</f>
        <v/>
      </c>
    </row>
    <row r="476">
      <c r="A476" s="15"/>
      <c r="B476" s="22" t="str">
        <f>'Ingest Template'!C476&amp;IF('Ingest Template'!A476 = "Standard", " - DAR","")</f>
        <v/>
      </c>
      <c r="C476" s="22" t="s">
        <v>83</v>
      </c>
      <c r="D476" s="22" t="str">
        <f t="array" ref="D476">CONCATENATE(INDEX(DropdownLists!$H$2:$H$11,MATCH(1,COUNTIF('Ingest Template'!E476,"*"&amp;DropdownLists!$I$2:$I$11&amp;"*"),0)),CHAR(10),'Ingest Template'!F476,CHAR(10),'Ingest Template'!G476,CHAR(10),VLOOKUP('Ingest Template'!D476,DropdownLists!C:D,2,FALSE))</f>
        <v>#N/A</v>
      </c>
      <c r="E476" s="22" t="str">
        <f>CONCATENATE('Ingest Template'!H476,CHAR(10),'Ingest Template'!I476,CHAR(10),'Ingest Template'!J476,CHAR(10))</f>
        <v>
</v>
      </c>
      <c r="F476" s="35" t="str">
        <f t="array" ref="F476">INDEX(DropdownLists!$O$2:$O$36,MATCH(1,COUNTIF(E476,"*"&amp;DropdownLists!$N$2:$N$36&amp;"*"),0))</f>
        <v/>
      </c>
      <c r="G476" s="35"/>
      <c r="H476" s="22" t="str">
        <f t="array" ref="H476">INDEX(DropdownLists!$E$2:$E$276,MATCH('Ingest Template'!D476,DropdownLists!$C$2:$C$276,0))</f>
        <v>#N/A</v>
      </c>
      <c r="I476" s="22"/>
      <c r="J476" s="22" t="str">
        <f t="array" ref="J476">iF('Ingest Template'!A476="Standard","Pristine Brand",INDEX(DropdownLists!$B$2:$B$246,MATCH('Ingest Template'!D476,DropdownLists!$C$2:$C$246,0)))</f>
        <v>#N/A</v>
      </c>
      <c r="K476" s="22" t="str">
        <f>iF('Ingest Template'!A476="Standard",'Ingest Template'!K476&amp;CHAR(10)&amp;'Ingest Template'!L476,"Competitive View")</f>
        <v>Competitive View</v>
      </c>
      <c r="L476" s="22" t="s">
        <v>95</v>
      </c>
      <c r="M476" s="45" t="str">
        <f>'Ingest Template'!B476</f>
        <v/>
      </c>
      <c r="N476" s="35"/>
      <c r="O476" s="35"/>
      <c r="P476" s="35"/>
      <c r="Q476" s="35"/>
      <c r="R476" s="35" t="str">
        <f>'Ingest Template'!D476</f>
        <v/>
      </c>
      <c r="S476" s="22" t="s">
        <v>101</v>
      </c>
      <c r="T476" s="35" t="str">
        <f>'Ingest Template'!V476</f>
        <v/>
      </c>
      <c r="U476" s="35" t="str">
        <f>'Ingest Template'!W476</f>
        <v/>
      </c>
      <c r="V476" s="35" t="str">
        <f>LOWER(SUBSTITUTE(SUBSTITUTE(SUBSTITUTE(SUBSTITUTE(SUBSTITUTE('Ingest Template'!X476,"https:",""),"www.",""),"/",""),"?hl=en",""),"instagram.com",""))</f>
        <v/>
      </c>
      <c r="W476" s="74" t="str">
        <f t="array" ref="W476">IF(
'Ingest Template'!Y476="",
SUBSTITUTE(
INDEX(DropdownLists!$F$2:$F$277,MATCH('Ingest Template'!D476,DropdownLists!$C$2:$C$277,0)),
CHAR(10),
"|"&amp;'Ingest Template'!C476&amp;CHAR(10)
)&amp;"|"&amp;'Ingest Template'!C476,
SUBSTITUTE(
INDEX(DropdownLists!$F$2:$F$277,MATCH('Ingest Template'!D476,DropdownLists!$C$2:$C$277,0)),
CHAR(10),
"|"&amp;'Ingest Template'!C476&amp;CHAR(10)
)&amp;"|"&amp;'Ingest Template'!C476&amp;CHAR(10)&amp;'Ingest Template'!Y476
)</f>
        <v>#N/A</v>
      </c>
      <c r="X476" s="74" t="str">
        <f>'Ingest Template'!Z476</f>
        <v/>
      </c>
      <c r="Y476" s="35" t="str">
        <f>SUBSTITUTE(SUBSTITUTE(SUBSTITUTE('Ingest Template'!AA476,"http:",""),"https:",""),"/","")</f>
        <v/>
      </c>
      <c r="Z476" s="35" t="str">
        <f t="array" ref="Z476">IF('Ingest Template'!A476="Standard",(IF(ISBLANK('Ingest Template'!AB476),"", 'Ingest Template'!AB476&amp;"|DAR")),(IF(ISBLANK('Ingest Template'!AB476),"", 'Ingest Template'!AB476&amp;"|TV Ops")))</f>
        <v/>
      </c>
      <c r="AA476" s="35"/>
      <c r="AB476" s="35" t="str">
        <f>'Ingest Template'!R476</f>
        <v/>
      </c>
      <c r="AC476" s="35" t="str">
        <f>'Ingest Template'!T476</f>
        <v/>
      </c>
      <c r="AD476" s="35" t="str">
        <f>'Ingest Template'!S476</f>
        <v/>
      </c>
      <c r="AE476" s="35" t="str">
        <f>'Ingest Template'!U476</f>
        <v/>
      </c>
      <c r="AF476" s="22"/>
      <c r="AG476" s="35" t="str">
        <f t="array" ref="AG476">IF('Ingest Template'!A476="Standard",(CONCATENATE(IF(ISBLANK('Ingest Template'!N476),"", 'Ingest Template'!N476&amp;"|DAR"),CHAR(10), IF(ISBLANK('Ingest Template'!O476),"", 'Ingest Template'!O476&amp;"|DAR"),CHAR(10), IF(ISBLANK('Ingest Template'!P476),"", 'Ingest Template'!P476&amp;"|DAR"))),(CONCATENATE(IF(ISBLANK('Ingest Template'!N476),"", 'Ingest Template'!N476&amp;"|TV Ops"),CHAR(10), IF(ISBLANK('Ingest Template'!O476),"", 'Ingest Template'!O476&amp;"|TV Ops"),CHAR(10), IF(ISBLANK('Ingest Template'!P476),"", 'Ingest Template'!P476&amp;"|TV Ops"))))</f>
        <v>
</v>
      </c>
      <c r="AH476" s="35"/>
      <c r="AI476" s="35"/>
      <c r="AJ476" s="117" t="str">
        <f>if('Ingest Template'!A476="Standard",(IF(OR('Ingest Template'!F476 = "Program Type - Special", 'Ingest Template'!F476 = "Program Type - Live Event"),'Ingest Template'!M476&amp; "|DAR|DAR|"&amp;TEXT('Ingest Template'!C476-3, "yyyy-mm-dd")&amp;"|"&amp;TEXT('Ingest Template'!C476+3, "yyyy-mm-dd"),'Ingest Template'!M476&amp; "|DAR|DAR|2021-01-01")),(IF(OR('Ingest Template'!F476 = "Program Type - Special", 'Ingest Template'!F476 = "Program Type - Live Event"),'Ingest Template'!M476&amp; "|Operations - Core Title|Operations - Core Title|"&amp;TEXT('Ingest Template'!C476-3, "yyyy-mm-dd")&amp;"|"&amp;TEXT('Ingest Template'!C476+3, "yyyy-mm-dd"),'Ingest Template'!M476&amp; "|Operations - Core Title|Operations - Core Title")))</f>
        <v>|Operations - Core Title|Operations - Core Title</v>
      </c>
      <c r="AK476" s="35"/>
      <c r="AL476" s="117" t="str">
        <f>if('Ingest Template'!A476="Standard",(IF(OR('Ingest Template'!F476 = "Program Type - Special", 'Ingest Template'!F476 = "Program Type - Live Event"),'Ingest Template'!Q476&amp;"|"&amp;TEXT('Ingest Template'!C476-3, "yyyy-mm-dd")&amp;"|"&amp;TEXT('Ingest Template'!C476+3, "yyyy-mm-dd"),'Ingest Template'!Q476&amp; "|2021-01-01")),(IF(OR('Ingest Template'!F476 = "Program Type - Special", 'Ingest Template'!F476 = "Program Type - Live Event"),'Ingest Template'!Q476&amp; "|"&amp;TEXT('Ingest Template'!C476-3, "yyyy-mm-dd")&amp;"|"&amp;TEXT('Ingest Template'!C476+3, "yyyy-mm-dd"),'Ingest Template'!Q476)))</f>
        <v/>
      </c>
      <c r="AM476" s="35" t="str">
        <f>'Ingest Template'!AC476</f>
        <v/>
      </c>
    </row>
    <row r="477">
      <c r="A477" s="15"/>
      <c r="B477" s="22" t="str">
        <f>'Ingest Template'!C477&amp;IF('Ingest Template'!A477 = "Standard", " - DAR","")</f>
        <v/>
      </c>
      <c r="C477" s="22" t="s">
        <v>83</v>
      </c>
      <c r="D477" s="22" t="str">
        <f t="array" ref="D477">CONCATENATE(INDEX(DropdownLists!$H$2:$H$11,MATCH(1,COUNTIF('Ingest Template'!E477,"*"&amp;DropdownLists!$I$2:$I$11&amp;"*"),0)),CHAR(10),'Ingest Template'!F477,CHAR(10),'Ingest Template'!G477,CHAR(10),VLOOKUP('Ingest Template'!D477,DropdownLists!C:D,2,FALSE))</f>
        <v>#N/A</v>
      </c>
      <c r="E477" s="22" t="str">
        <f>CONCATENATE('Ingest Template'!H477,CHAR(10),'Ingest Template'!I477,CHAR(10),'Ingest Template'!J477,CHAR(10))</f>
        <v>
</v>
      </c>
      <c r="F477" s="35" t="str">
        <f t="array" ref="F477">INDEX(DropdownLists!$O$2:$O$36,MATCH(1,COUNTIF(E477,"*"&amp;DropdownLists!$N$2:$N$36&amp;"*"),0))</f>
        <v/>
      </c>
      <c r="G477" s="35"/>
      <c r="H477" s="22" t="str">
        <f t="array" ref="H477">INDEX(DropdownLists!$E$2:$E$276,MATCH('Ingest Template'!D477,DropdownLists!$C$2:$C$276,0))</f>
        <v>#N/A</v>
      </c>
      <c r="I477" s="22"/>
      <c r="J477" s="22" t="str">
        <f t="array" ref="J477">iF('Ingest Template'!A477="Standard","Pristine Brand",INDEX(DropdownLists!$B$2:$B$246,MATCH('Ingest Template'!D477,DropdownLists!$C$2:$C$246,0)))</f>
        <v>#N/A</v>
      </c>
      <c r="K477" s="22" t="str">
        <f>iF('Ingest Template'!A477="Standard",'Ingest Template'!K477&amp;CHAR(10)&amp;'Ingest Template'!L477,"Competitive View")</f>
        <v>Competitive View</v>
      </c>
      <c r="L477" s="22" t="s">
        <v>95</v>
      </c>
      <c r="M477" s="45" t="str">
        <f>'Ingest Template'!B477</f>
        <v/>
      </c>
      <c r="N477" s="35"/>
      <c r="O477" s="35"/>
      <c r="P477" s="35"/>
      <c r="Q477" s="35"/>
      <c r="R477" s="35" t="str">
        <f>'Ingest Template'!D477</f>
        <v/>
      </c>
      <c r="S477" s="22" t="s">
        <v>101</v>
      </c>
      <c r="T477" s="35" t="str">
        <f>'Ingest Template'!V477</f>
        <v/>
      </c>
      <c r="U477" s="35" t="str">
        <f>'Ingest Template'!W477</f>
        <v/>
      </c>
      <c r="V477" s="35" t="str">
        <f>LOWER(SUBSTITUTE(SUBSTITUTE(SUBSTITUTE(SUBSTITUTE(SUBSTITUTE('Ingest Template'!X477,"https:",""),"www.",""),"/",""),"?hl=en",""),"instagram.com",""))</f>
        <v/>
      </c>
      <c r="W477" s="74" t="str">
        <f t="array" ref="W477">IF(
'Ingest Template'!Y477="",
SUBSTITUTE(
INDEX(DropdownLists!$F$2:$F$277,MATCH('Ingest Template'!D477,DropdownLists!$C$2:$C$277,0)),
CHAR(10),
"|"&amp;'Ingest Template'!C477&amp;CHAR(10)
)&amp;"|"&amp;'Ingest Template'!C477,
SUBSTITUTE(
INDEX(DropdownLists!$F$2:$F$277,MATCH('Ingest Template'!D477,DropdownLists!$C$2:$C$277,0)),
CHAR(10),
"|"&amp;'Ingest Template'!C477&amp;CHAR(10)
)&amp;"|"&amp;'Ingest Template'!C477&amp;CHAR(10)&amp;'Ingest Template'!Y477
)</f>
        <v>#N/A</v>
      </c>
      <c r="X477" s="74" t="str">
        <f>'Ingest Template'!Z477</f>
        <v/>
      </c>
      <c r="Y477" s="35" t="str">
        <f>SUBSTITUTE(SUBSTITUTE(SUBSTITUTE('Ingest Template'!AA477,"http:",""),"https:",""),"/","")</f>
        <v/>
      </c>
      <c r="Z477" s="35" t="str">
        <f t="array" ref="Z477">IF('Ingest Template'!A477="Standard",(IF(ISBLANK('Ingest Template'!AB477),"", 'Ingest Template'!AB477&amp;"|DAR")),(IF(ISBLANK('Ingest Template'!AB477),"", 'Ingest Template'!AB477&amp;"|TV Ops")))</f>
        <v/>
      </c>
      <c r="AA477" s="35"/>
      <c r="AB477" s="35" t="str">
        <f>'Ingest Template'!R477</f>
        <v/>
      </c>
      <c r="AC477" s="35" t="str">
        <f>'Ingest Template'!T477</f>
        <v/>
      </c>
      <c r="AD477" s="35" t="str">
        <f>'Ingest Template'!S477</f>
        <v/>
      </c>
      <c r="AE477" s="35" t="str">
        <f>'Ingest Template'!U477</f>
        <v/>
      </c>
      <c r="AF477" s="22"/>
      <c r="AG477" s="35" t="str">
        <f t="array" ref="AG477">IF('Ingest Template'!A477="Standard",(CONCATENATE(IF(ISBLANK('Ingest Template'!N477),"", 'Ingest Template'!N477&amp;"|DAR"),CHAR(10), IF(ISBLANK('Ingest Template'!O477),"", 'Ingest Template'!O477&amp;"|DAR"),CHAR(10), IF(ISBLANK('Ingest Template'!P477),"", 'Ingest Template'!P477&amp;"|DAR"))),(CONCATENATE(IF(ISBLANK('Ingest Template'!N477),"", 'Ingest Template'!N477&amp;"|TV Ops"),CHAR(10), IF(ISBLANK('Ingest Template'!O477),"", 'Ingest Template'!O477&amp;"|TV Ops"),CHAR(10), IF(ISBLANK('Ingest Template'!P477),"", 'Ingest Template'!P477&amp;"|TV Ops"))))</f>
        <v>
</v>
      </c>
      <c r="AH477" s="35"/>
      <c r="AI477" s="35"/>
      <c r="AJ477" s="117" t="str">
        <f>if('Ingest Template'!A477="Standard",(IF(OR('Ingest Template'!F477 = "Program Type - Special", 'Ingest Template'!F477 = "Program Type - Live Event"),'Ingest Template'!M477&amp; "|DAR|DAR|"&amp;TEXT('Ingest Template'!C477-3, "yyyy-mm-dd")&amp;"|"&amp;TEXT('Ingest Template'!C477+3, "yyyy-mm-dd"),'Ingest Template'!M477&amp; "|DAR|DAR|2021-01-01")),(IF(OR('Ingest Template'!F477 = "Program Type - Special", 'Ingest Template'!F477 = "Program Type - Live Event"),'Ingest Template'!M477&amp; "|Operations - Core Title|Operations - Core Title|"&amp;TEXT('Ingest Template'!C477-3, "yyyy-mm-dd")&amp;"|"&amp;TEXT('Ingest Template'!C477+3, "yyyy-mm-dd"),'Ingest Template'!M477&amp; "|Operations - Core Title|Operations - Core Title")))</f>
        <v>|Operations - Core Title|Operations - Core Title</v>
      </c>
      <c r="AK477" s="35"/>
      <c r="AL477" s="117" t="str">
        <f>if('Ingest Template'!A477="Standard",(IF(OR('Ingest Template'!F477 = "Program Type - Special", 'Ingest Template'!F477 = "Program Type - Live Event"),'Ingest Template'!Q477&amp;"|"&amp;TEXT('Ingest Template'!C477-3, "yyyy-mm-dd")&amp;"|"&amp;TEXT('Ingest Template'!C477+3, "yyyy-mm-dd"),'Ingest Template'!Q477&amp; "|2021-01-01")),(IF(OR('Ingest Template'!F477 = "Program Type - Special", 'Ingest Template'!F477 = "Program Type - Live Event"),'Ingest Template'!Q477&amp; "|"&amp;TEXT('Ingest Template'!C477-3, "yyyy-mm-dd")&amp;"|"&amp;TEXT('Ingest Template'!C477+3, "yyyy-mm-dd"),'Ingest Template'!Q477)))</f>
        <v/>
      </c>
      <c r="AM477" s="35" t="str">
        <f>'Ingest Template'!AC477</f>
        <v/>
      </c>
    </row>
    <row r="478">
      <c r="A478" s="15"/>
      <c r="B478" s="22" t="str">
        <f>'Ingest Template'!C478&amp;IF('Ingest Template'!A478 = "Standard", " - DAR","")</f>
        <v/>
      </c>
      <c r="C478" s="22" t="s">
        <v>83</v>
      </c>
      <c r="D478" s="22" t="str">
        <f t="array" ref="D478">CONCATENATE(INDEX(DropdownLists!$H$2:$H$11,MATCH(1,COUNTIF('Ingest Template'!E478,"*"&amp;DropdownLists!$I$2:$I$11&amp;"*"),0)),CHAR(10),'Ingest Template'!F478,CHAR(10),'Ingest Template'!G478,CHAR(10),VLOOKUP('Ingest Template'!D478,DropdownLists!C:D,2,FALSE))</f>
        <v>#N/A</v>
      </c>
      <c r="E478" s="22" t="str">
        <f>CONCATENATE('Ingest Template'!H478,CHAR(10),'Ingest Template'!I478,CHAR(10),'Ingest Template'!J478,CHAR(10))</f>
        <v>
</v>
      </c>
      <c r="F478" s="35" t="str">
        <f t="array" ref="F478">INDEX(DropdownLists!$O$2:$O$36,MATCH(1,COUNTIF(E478,"*"&amp;DropdownLists!$N$2:$N$36&amp;"*"),0))</f>
        <v/>
      </c>
      <c r="G478" s="35"/>
      <c r="H478" s="22" t="str">
        <f t="array" ref="H478">INDEX(DropdownLists!$E$2:$E$276,MATCH('Ingest Template'!D478,DropdownLists!$C$2:$C$276,0))</f>
        <v>#N/A</v>
      </c>
      <c r="I478" s="22"/>
      <c r="J478" s="22" t="str">
        <f t="array" ref="J478">iF('Ingest Template'!A478="Standard","Pristine Brand",INDEX(DropdownLists!$B$2:$B$246,MATCH('Ingest Template'!D478,DropdownLists!$C$2:$C$246,0)))</f>
        <v>#N/A</v>
      </c>
      <c r="K478" s="22" t="str">
        <f>iF('Ingest Template'!A478="Standard",'Ingest Template'!K478&amp;CHAR(10)&amp;'Ingest Template'!L478,"Competitive View")</f>
        <v>Competitive View</v>
      </c>
      <c r="L478" s="22" t="s">
        <v>95</v>
      </c>
      <c r="M478" s="45" t="str">
        <f>'Ingest Template'!B478</f>
        <v/>
      </c>
      <c r="N478" s="35"/>
      <c r="O478" s="35"/>
      <c r="P478" s="35"/>
      <c r="Q478" s="35"/>
      <c r="R478" s="35" t="str">
        <f>'Ingest Template'!D478</f>
        <v/>
      </c>
      <c r="S478" s="22" t="s">
        <v>101</v>
      </c>
      <c r="T478" s="35" t="str">
        <f>'Ingest Template'!V478</f>
        <v/>
      </c>
      <c r="U478" s="35" t="str">
        <f>'Ingest Template'!W478</f>
        <v/>
      </c>
      <c r="V478" s="35" t="str">
        <f>LOWER(SUBSTITUTE(SUBSTITUTE(SUBSTITUTE(SUBSTITUTE(SUBSTITUTE('Ingest Template'!X478,"https:",""),"www.",""),"/",""),"?hl=en",""),"instagram.com",""))</f>
        <v/>
      </c>
      <c r="W478" s="74" t="str">
        <f t="array" ref="W478">IF(
'Ingest Template'!Y478="",
SUBSTITUTE(
INDEX(DropdownLists!$F$2:$F$277,MATCH('Ingest Template'!D478,DropdownLists!$C$2:$C$277,0)),
CHAR(10),
"|"&amp;'Ingest Template'!C478&amp;CHAR(10)
)&amp;"|"&amp;'Ingest Template'!C478,
SUBSTITUTE(
INDEX(DropdownLists!$F$2:$F$277,MATCH('Ingest Template'!D478,DropdownLists!$C$2:$C$277,0)),
CHAR(10),
"|"&amp;'Ingest Template'!C478&amp;CHAR(10)
)&amp;"|"&amp;'Ingest Template'!C478&amp;CHAR(10)&amp;'Ingest Template'!Y478
)</f>
        <v>#N/A</v>
      </c>
      <c r="X478" s="74" t="str">
        <f>'Ingest Template'!Z478</f>
        <v/>
      </c>
      <c r="Y478" s="35" t="str">
        <f>SUBSTITUTE(SUBSTITUTE(SUBSTITUTE('Ingest Template'!AA478,"http:",""),"https:",""),"/","")</f>
        <v/>
      </c>
      <c r="Z478" s="35" t="str">
        <f t="array" ref="Z478">IF('Ingest Template'!A478="Standard",(IF(ISBLANK('Ingest Template'!AB478),"", 'Ingest Template'!AB478&amp;"|DAR")),(IF(ISBLANK('Ingest Template'!AB478),"", 'Ingest Template'!AB478&amp;"|TV Ops")))</f>
        <v/>
      </c>
      <c r="AA478" s="35"/>
      <c r="AB478" s="35" t="str">
        <f>'Ingest Template'!R478</f>
        <v/>
      </c>
      <c r="AC478" s="35" t="str">
        <f>'Ingest Template'!T478</f>
        <v/>
      </c>
      <c r="AD478" s="35" t="str">
        <f>'Ingest Template'!S478</f>
        <v/>
      </c>
      <c r="AE478" s="35" t="str">
        <f>'Ingest Template'!U478</f>
        <v/>
      </c>
      <c r="AF478" s="22"/>
      <c r="AG478" s="35" t="str">
        <f t="array" ref="AG478">IF('Ingest Template'!A478="Standard",(CONCATENATE(IF(ISBLANK('Ingest Template'!N478),"", 'Ingest Template'!N478&amp;"|DAR"),CHAR(10), IF(ISBLANK('Ingest Template'!O478),"", 'Ingest Template'!O478&amp;"|DAR"),CHAR(10), IF(ISBLANK('Ingest Template'!P478),"", 'Ingest Template'!P478&amp;"|DAR"))),(CONCATENATE(IF(ISBLANK('Ingest Template'!N478),"", 'Ingest Template'!N478&amp;"|TV Ops"),CHAR(10), IF(ISBLANK('Ingest Template'!O478),"", 'Ingest Template'!O478&amp;"|TV Ops"),CHAR(10), IF(ISBLANK('Ingest Template'!P478),"", 'Ingest Template'!P478&amp;"|TV Ops"))))</f>
        <v>
</v>
      </c>
      <c r="AH478" s="35"/>
      <c r="AI478" s="35"/>
      <c r="AJ478" s="117" t="str">
        <f>if('Ingest Template'!A478="Standard",(IF(OR('Ingest Template'!F478 = "Program Type - Special", 'Ingest Template'!F478 = "Program Type - Live Event"),'Ingest Template'!M478&amp; "|DAR|DAR|"&amp;TEXT('Ingest Template'!C478-3, "yyyy-mm-dd")&amp;"|"&amp;TEXT('Ingest Template'!C478+3, "yyyy-mm-dd"),'Ingest Template'!M478&amp; "|DAR|DAR|2021-01-01")),(IF(OR('Ingest Template'!F478 = "Program Type - Special", 'Ingest Template'!F478 = "Program Type - Live Event"),'Ingest Template'!M478&amp; "|Operations - Core Title|Operations - Core Title|"&amp;TEXT('Ingest Template'!C478-3, "yyyy-mm-dd")&amp;"|"&amp;TEXT('Ingest Template'!C478+3, "yyyy-mm-dd"),'Ingest Template'!M478&amp; "|Operations - Core Title|Operations - Core Title")))</f>
        <v>|Operations - Core Title|Operations - Core Title</v>
      </c>
      <c r="AK478" s="35"/>
      <c r="AL478" s="117" t="str">
        <f>if('Ingest Template'!A478="Standard",(IF(OR('Ingest Template'!F478 = "Program Type - Special", 'Ingest Template'!F478 = "Program Type - Live Event"),'Ingest Template'!Q478&amp;"|"&amp;TEXT('Ingest Template'!C478-3, "yyyy-mm-dd")&amp;"|"&amp;TEXT('Ingest Template'!C478+3, "yyyy-mm-dd"),'Ingest Template'!Q478&amp; "|2021-01-01")),(IF(OR('Ingest Template'!F478 = "Program Type - Special", 'Ingest Template'!F478 = "Program Type - Live Event"),'Ingest Template'!Q478&amp; "|"&amp;TEXT('Ingest Template'!C478-3, "yyyy-mm-dd")&amp;"|"&amp;TEXT('Ingest Template'!C478+3, "yyyy-mm-dd"),'Ingest Template'!Q478)))</f>
        <v/>
      </c>
      <c r="AM478" s="35" t="str">
        <f>'Ingest Template'!AC478</f>
        <v/>
      </c>
    </row>
    <row r="479">
      <c r="A479" s="15"/>
      <c r="B479" s="22" t="str">
        <f>'Ingest Template'!C479&amp;IF('Ingest Template'!A479 = "Standard", " - DAR","")</f>
        <v/>
      </c>
      <c r="C479" s="22" t="s">
        <v>83</v>
      </c>
      <c r="D479" s="22" t="str">
        <f t="array" ref="D479">CONCATENATE(INDEX(DropdownLists!$H$2:$H$11,MATCH(1,COUNTIF('Ingest Template'!E479,"*"&amp;DropdownLists!$I$2:$I$11&amp;"*"),0)),CHAR(10),'Ingest Template'!F479,CHAR(10),'Ingest Template'!G479,CHAR(10),VLOOKUP('Ingest Template'!D479,DropdownLists!C:D,2,FALSE))</f>
        <v>#N/A</v>
      </c>
      <c r="E479" s="22" t="str">
        <f>CONCATENATE('Ingest Template'!H479,CHAR(10),'Ingest Template'!I479,CHAR(10),'Ingest Template'!J479,CHAR(10))</f>
        <v>
</v>
      </c>
      <c r="F479" s="35" t="str">
        <f t="array" ref="F479">INDEX(DropdownLists!$O$2:$O$36,MATCH(1,COUNTIF(E479,"*"&amp;DropdownLists!$N$2:$N$36&amp;"*"),0))</f>
        <v/>
      </c>
      <c r="G479" s="35"/>
      <c r="H479" s="22" t="str">
        <f t="array" ref="H479">INDEX(DropdownLists!$E$2:$E$276,MATCH('Ingest Template'!D479,DropdownLists!$C$2:$C$276,0))</f>
        <v>#N/A</v>
      </c>
      <c r="I479" s="22"/>
      <c r="J479" s="22" t="str">
        <f t="array" ref="J479">iF('Ingest Template'!A479="Standard","Pristine Brand",INDEX(DropdownLists!$B$2:$B$246,MATCH('Ingest Template'!D479,DropdownLists!$C$2:$C$246,0)))</f>
        <v>#N/A</v>
      </c>
      <c r="K479" s="22" t="str">
        <f>iF('Ingest Template'!A479="Standard",'Ingest Template'!K479&amp;CHAR(10)&amp;'Ingest Template'!L479,"Competitive View")</f>
        <v>Competitive View</v>
      </c>
      <c r="L479" s="22" t="s">
        <v>95</v>
      </c>
      <c r="M479" s="45" t="str">
        <f>'Ingest Template'!B479</f>
        <v/>
      </c>
      <c r="N479" s="35"/>
      <c r="O479" s="35"/>
      <c r="P479" s="35"/>
      <c r="Q479" s="35"/>
      <c r="R479" s="35" t="str">
        <f>'Ingest Template'!D479</f>
        <v/>
      </c>
      <c r="S479" s="22" t="s">
        <v>101</v>
      </c>
      <c r="T479" s="35" t="str">
        <f>'Ingest Template'!V479</f>
        <v/>
      </c>
      <c r="U479" s="35" t="str">
        <f>'Ingest Template'!W479</f>
        <v/>
      </c>
      <c r="V479" s="35" t="str">
        <f>LOWER(SUBSTITUTE(SUBSTITUTE(SUBSTITUTE(SUBSTITUTE(SUBSTITUTE('Ingest Template'!X479,"https:",""),"www.",""),"/",""),"?hl=en",""),"instagram.com",""))</f>
        <v/>
      </c>
      <c r="W479" s="74" t="str">
        <f t="array" ref="W479">IF(
'Ingest Template'!Y479="",
SUBSTITUTE(
INDEX(DropdownLists!$F$2:$F$277,MATCH('Ingest Template'!D479,DropdownLists!$C$2:$C$277,0)),
CHAR(10),
"|"&amp;'Ingest Template'!C479&amp;CHAR(10)
)&amp;"|"&amp;'Ingest Template'!C479,
SUBSTITUTE(
INDEX(DropdownLists!$F$2:$F$277,MATCH('Ingest Template'!D479,DropdownLists!$C$2:$C$277,0)),
CHAR(10),
"|"&amp;'Ingest Template'!C479&amp;CHAR(10)
)&amp;"|"&amp;'Ingest Template'!C479&amp;CHAR(10)&amp;'Ingest Template'!Y479
)</f>
        <v>#N/A</v>
      </c>
      <c r="X479" s="74" t="str">
        <f>'Ingest Template'!Z479</f>
        <v/>
      </c>
      <c r="Y479" s="35" t="str">
        <f>SUBSTITUTE(SUBSTITUTE(SUBSTITUTE('Ingest Template'!AA479,"http:",""),"https:",""),"/","")</f>
        <v/>
      </c>
      <c r="Z479" s="35" t="str">
        <f t="array" ref="Z479">IF('Ingest Template'!A479="Standard",(IF(ISBLANK('Ingest Template'!AB479),"", 'Ingest Template'!AB479&amp;"|DAR")),(IF(ISBLANK('Ingest Template'!AB479),"", 'Ingest Template'!AB479&amp;"|TV Ops")))</f>
        <v/>
      </c>
      <c r="AA479" s="35"/>
      <c r="AB479" s="35" t="str">
        <f>'Ingest Template'!R479</f>
        <v/>
      </c>
      <c r="AC479" s="35" t="str">
        <f>'Ingest Template'!T479</f>
        <v/>
      </c>
      <c r="AD479" s="35" t="str">
        <f>'Ingest Template'!S479</f>
        <v/>
      </c>
      <c r="AE479" s="35" t="str">
        <f>'Ingest Template'!U479</f>
        <v/>
      </c>
      <c r="AF479" s="22"/>
      <c r="AG479" s="35" t="str">
        <f t="array" ref="AG479">IF('Ingest Template'!A479="Standard",(CONCATENATE(IF(ISBLANK('Ingest Template'!N479),"", 'Ingest Template'!N479&amp;"|DAR"),CHAR(10), IF(ISBLANK('Ingest Template'!O479),"", 'Ingest Template'!O479&amp;"|DAR"),CHAR(10), IF(ISBLANK('Ingest Template'!P479),"", 'Ingest Template'!P479&amp;"|DAR"))),(CONCATENATE(IF(ISBLANK('Ingest Template'!N479),"", 'Ingest Template'!N479&amp;"|TV Ops"),CHAR(10), IF(ISBLANK('Ingest Template'!O479),"", 'Ingest Template'!O479&amp;"|TV Ops"),CHAR(10), IF(ISBLANK('Ingest Template'!P479),"", 'Ingest Template'!P479&amp;"|TV Ops"))))</f>
        <v>
</v>
      </c>
      <c r="AH479" s="35"/>
      <c r="AI479" s="35"/>
      <c r="AJ479" s="117" t="str">
        <f>if('Ingest Template'!A479="Standard",(IF(OR('Ingest Template'!F479 = "Program Type - Special", 'Ingest Template'!F479 = "Program Type - Live Event"),'Ingest Template'!M479&amp; "|DAR|DAR|"&amp;TEXT('Ingest Template'!C479-3, "yyyy-mm-dd")&amp;"|"&amp;TEXT('Ingest Template'!C479+3, "yyyy-mm-dd"),'Ingest Template'!M479&amp; "|DAR|DAR|2021-01-01")),(IF(OR('Ingest Template'!F479 = "Program Type - Special", 'Ingest Template'!F479 = "Program Type - Live Event"),'Ingest Template'!M479&amp; "|Operations - Core Title|Operations - Core Title|"&amp;TEXT('Ingest Template'!C479-3, "yyyy-mm-dd")&amp;"|"&amp;TEXT('Ingest Template'!C479+3, "yyyy-mm-dd"),'Ingest Template'!M479&amp; "|Operations - Core Title|Operations - Core Title")))</f>
        <v>|Operations - Core Title|Operations - Core Title</v>
      </c>
      <c r="AK479" s="35"/>
      <c r="AL479" s="117" t="str">
        <f>if('Ingest Template'!A479="Standard",(IF(OR('Ingest Template'!F479 = "Program Type - Special", 'Ingest Template'!F479 = "Program Type - Live Event"),'Ingest Template'!Q479&amp;"|"&amp;TEXT('Ingest Template'!C479-3, "yyyy-mm-dd")&amp;"|"&amp;TEXT('Ingest Template'!C479+3, "yyyy-mm-dd"),'Ingest Template'!Q479&amp; "|2021-01-01")),(IF(OR('Ingest Template'!F479 = "Program Type - Special", 'Ingest Template'!F479 = "Program Type - Live Event"),'Ingest Template'!Q479&amp; "|"&amp;TEXT('Ingest Template'!C479-3, "yyyy-mm-dd")&amp;"|"&amp;TEXT('Ingest Template'!C479+3, "yyyy-mm-dd"),'Ingest Template'!Q479)))</f>
        <v/>
      </c>
      <c r="AM479" s="35" t="str">
        <f>'Ingest Template'!AC479</f>
        <v/>
      </c>
    </row>
    <row r="480">
      <c r="A480" s="15"/>
      <c r="B480" s="22" t="str">
        <f>'Ingest Template'!C480&amp;IF('Ingest Template'!A480 = "Standard", " - DAR","")</f>
        <v/>
      </c>
      <c r="C480" s="22" t="s">
        <v>83</v>
      </c>
      <c r="D480" s="22" t="str">
        <f t="array" ref="D480">CONCATENATE(INDEX(DropdownLists!$H$2:$H$11,MATCH(1,COUNTIF('Ingest Template'!E480,"*"&amp;DropdownLists!$I$2:$I$11&amp;"*"),0)),CHAR(10),'Ingest Template'!F480,CHAR(10),'Ingest Template'!G480,CHAR(10),VLOOKUP('Ingest Template'!D480,DropdownLists!C:D,2,FALSE))</f>
        <v>#N/A</v>
      </c>
      <c r="E480" s="22" t="str">
        <f>CONCATENATE('Ingest Template'!H480,CHAR(10),'Ingest Template'!I480,CHAR(10),'Ingest Template'!J480,CHAR(10))</f>
        <v>
</v>
      </c>
      <c r="F480" s="35" t="str">
        <f t="array" ref="F480">INDEX(DropdownLists!$O$2:$O$36,MATCH(1,COUNTIF(E480,"*"&amp;DropdownLists!$N$2:$N$36&amp;"*"),0))</f>
        <v/>
      </c>
      <c r="G480" s="35"/>
      <c r="H480" s="22" t="str">
        <f t="array" ref="H480">INDEX(DropdownLists!$E$2:$E$276,MATCH('Ingest Template'!D480,DropdownLists!$C$2:$C$276,0))</f>
        <v>#N/A</v>
      </c>
      <c r="I480" s="22"/>
      <c r="J480" s="22" t="str">
        <f t="array" ref="J480">iF('Ingest Template'!A480="Standard","Pristine Brand",INDEX(DropdownLists!$B$2:$B$246,MATCH('Ingest Template'!D480,DropdownLists!$C$2:$C$246,0)))</f>
        <v>#N/A</v>
      </c>
      <c r="K480" s="22" t="str">
        <f>iF('Ingest Template'!A480="Standard",'Ingest Template'!K480&amp;CHAR(10)&amp;'Ingest Template'!L480,"Competitive View")</f>
        <v>Competitive View</v>
      </c>
      <c r="L480" s="22" t="s">
        <v>95</v>
      </c>
      <c r="M480" s="45" t="str">
        <f>'Ingest Template'!B480</f>
        <v/>
      </c>
      <c r="N480" s="35"/>
      <c r="O480" s="35"/>
      <c r="P480" s="35"/>
      <c r="Q480" s="35"/>
      <c r="R480" s="35" t="str">
        <f>'Ingest Template'!D480</f>
        <v/>
      </c>
      <c r="S480" s="22" t="s">
        <v>101</v>
      </c>
      <c r="T480" s="35" t="str">
        <f>'Ingest Template'!V480</f>
        <v/>
      </c>
      <c r="U480" s="35" t="str">
        <f>'Ingest Template'!W480</f>
        <v/>
      </c>
      <c r="V480" s="35" t="str">
        <f>LOWER(SUBSTITUTE(SUBSTITUTE(SUBSTITUTE(SUBSTITUTE(SUBSTITUTE('Ingest Template'!X480,"https:",""),"www.",""),"/",""),"?hl=en",""),"instagram.com",""))</f>
        <v/>
      </c>
      <c r="W480" s="74" t="str">
        <f t="array" ref="W480">IF(
'Ingest Template'!Y480="",
SUBSTITUTE(
INDEX(DropdownLists!$F$2:$F$277,MATCH('Ingest Template'!D480,DropdownLists!$C$2:$C$277,0)),
CHAR(10),
"|"&amp;'Ingest Template'!C480&amp;CHAR(10)
)&amp;"|"&amp;'Ingest Template'!C480,
SUBSTITUTE(
INDEX(DropdownLists!$F$2:$F$277,MATCH('Ingest Template'!D480,DropdownLists!$C$2:$C$277,0)),
CHAR(10),
"|"&amp;'Ingest Template'!C480&amp;CHAR(10)
)&amp;"|"&amp;'Ingest Template'!C480&amp;CHAR(10)&amp;'Ingest Template'!Y480
)</f>
        <v>#N/A</v>
      </c>
      <c r="X480" s="74" t="str">
        <f>'Ingest Template'!Z480</f>
        <v/>
      </c>
      <c r="Y480" s="35" t="str">
        <f>SUBSTITUTE(SUBSTITUTE(SUBSTITUTE('Ingest Template'!AA480,"http:",""),"https:",""),"/","")</f>
        <v/>
      </c>
      <c r="Z480" s="35" t="str">
        <f t="array" ref="Z480">IF('Ingest Template'!A480="Standard",(IF(ISBLANK('Ingest Template'!AB480),"", 'Ingest Template'!AB480&amp;"|DAR")),(IF(ISBLANK('Ingest Template'!AB480),"", 'Ingest Template'!AB480&amp;"|TV Ops")))</f>
        <v/>
      </c>
      <c r="AA480" s="35"/>
      <c r="AB480" s="35" t="str">
        <f>'Ingest Template'!R480</f>
        <v/>
      </c>
      <c r="AC480" s="35" t="str">
        <f>'Ingest Template'!T480</f>
        <v/>
      </c>
      <c r="AD480" s="35" t="str">
        <f>'Ingest Template'!S480</f>
        <v/>
      </c>
      <c r="AE480" s="35" t="str">
        <f>'Ingest Template'!U480</f>
        <v/>
      </c>
      <c r="AF480" s="22"/>
      <c r="AG480" s="35" t="str">
        <f t="array" ref="AG480">IF('Ingest Template'!A480="Standard",(CONCATENATE(IF(ISBLANK('Ingest Template'!N480),"", 'Ingest Template'!N480&amp;"|DAR"),CHAR(10), IF(ISBLANK('Ingest Template'!O480),"", 'Ingest Template'!O480&amp;"|DAR"),CHAR(10), IF(ISBLANK('Ingest Template'!P480),"", 'Ingest Template'!P480&amp;"|DAR"))),(CONCATENATE(IF(ISBLANK('Ingest Template'!N480),"", 'Ingest Template'!N480&amp;"|TV Ops"),CHAR(10), IF(ISBLANK('Ingest Template'!O480),"", 'Ingest Template'!O480&amp;"|TV Ops"),CHAR(10), IF(ISBLANK('Ingest Template'!P480),"", 'Ingest Template'!P480&amp;"|TV Ops"))))</f>
        <v>
</v>
      </c>
      <c r="AH480" s="35"/>
      <c r="AI480" s="35"/>
      <c r="AJ480" s="117" t="str">
        <f>if('Ingest Template'!A480="Standard",(IF(OR('Ingest Template'!F480 = "Program Type - Special", 'Ingest Template'!F480 = "Program Type - Live Event"),'Ingest Template'!M480&amp; "|DAR|DAR|"&amp;TEXT('Ingest Template'!C480-3, "yyyy-mm-dd")&amp;"|"&amp;TEXT('Ingest Template'!C480+3, "yyyy-mm-dd"),'Ingest Template'!M480&amp; "|DAR|DAR|2021-01-01")),(IF(OR('Ingest Template'!F480 = "Program Type - Special", 'Ingest Template'!F480 = "Program Type - Live Event"),'Ingest Template'!M480&amp; "|Operations - Core Title|Operations - Core Title|"&amp;TEXT('Ingest Template'!C480-3, "yyyy-mm-dd")&amp;"|"&amp;TEXT('Ingest Template'!C480+3, "yyyy-mm-dd"),'Ingest Template'!M480&amp; "|Operations - Core Title|Operations - Core Title")))</f>
        <v>|Operations - Core Title|Operations - Core Title</v>
      </c>
      <c r="AK480" s="35"/>
      <c r="AL480" s="117" t="str">
        <f>if('Ingest Template'!A480="Standard",(IF(OR('Ingest Template'!F480 = "Program Type - Special", 'Ingest Template'!F480 = "Program Type - Live Event"),'Ingest Template'!Q480&amp;"|"&amp;TEXT('Ingest Template'!C480-3, "yyyy-mm-dd")&amp;"|"&amp;TEXT('Ingest Template'!C480+3, "yyyy-mm-dd"),'Ingest Template'!Q480&amp; "|2021-01-01")),(IF(OR('Ingest Template'!F480 = "Program Type - Special", 'Ingest Template'!F480 = "Program Type - Live Event"),'Ingest Template'!Q480&amp; "|"&amp;TEXT('Ingest Template'!C480-3, "yyyy-mm-dd")&amp;"|"&amp;TEXT('Ingest Template'!C480+3, "yyyy-mm-dd"),'Ingest Template'!Q480)))</f>
        <v/>
      </c>
      <c r="AM480" s="35" t="str">
        <f>'Ingest Template'!AC480</f>
        <v/>
      </c>
    </row>
    <row r="481">
      <c r="A481" s="15"/>
      <c r="B481" s="22" t="str">
        <f>'Ingest Template'!C481&amp;IF('Ingest Template'!A481 = "Standard", " - DAR","")</f>
        <v/>
      </c>
      <c r="C481" s="22" t="s">
        <v>83</v>
      </c>
      <c r="D481" s="22" t="str">
        <f t="array" ref="D481">CONCATENATE(INDEX(DropdownLists!$H$2:$H$11,MATCH(1,COUNTIF('Ingest Template'!E481,"*"&amp;DropdownLists!$I$2:$I$11&amp;"*"),0)),CHAR(10),'Ingest Template'!F481,CHAR(10),'Ingest Template'!G481,CHAR(10),VLOOKUP('Ingest Template'!D481,DropdownLists!C:D,2,FALSE))</f>
        <v>#N/A</v>
      </c>
      <c r="E481" s="22" t="str">
        <f>CONCATENATE('Ingest Template'!H481,CHAR(10),'Ingest Template'!I481,CHAR(10),'Ingest Template'!J481,CHAR(10))</f>
        <v>
</v>
      </c>
      <c r="F481" s="35" t="str">
        <f t="array" ref="F481">INDEX(DropdownLists!$O$2:$O$36,MATCH(1,COUNTIF(E481,"*"&amp;DropdownLists!$N$2:$N$36&amp;"*"),0))</f>
        <v/>
      </c>
      <c r="G481" s="35"/>
      <c r="H481" s="22" t="str">
        <f t="array" ref="H481">INDEX(DropdownLists!$E$2:$E$276,MATCH('Ingest Template'!D481,DropdownLists!$C$2:$C$276,0))</f>
        <v>#N/A</v>
      </c>
      <c r="I481" s="22"/>
      <c r="J481" s="22" t="str">
        <f t="array" ref="J481">iF('Ingest Template'!A481="Standard","Pristine Brand",INDEX(DropdownLists!$B$2:$B$246,MATCH('Ingest Template'!D481,DropdownLists!$C$2:$C$246,0)))</f>
        <v>#N/A</v>
      </c>
      <c r="K481" s="22" t="str">
        <f>iF('Ingest Template'!A481="Standard",'Ingest Template'!K481&amp;CHAR(10)&amp;'Ingest Template'!L481,"Competitive View")</f>
        <v>Competitive View</v>
      </c>
      <c r="L481" s="22" t="s">
        <v>95</v>
      </c>
      <c r="M481" s="45" t="str">
        <f>'Ingest Template'!B481</f>
        <v/>
      </c>
      <c r="N481" s="35"/>
      <c r="O481" s="35"/>
      <c r="P481" s="35"/>
      <c r="Q481" s="35"/>
      <c r="R481" s="35" t="str">
        <f>'Ingest Template'!D481</f>
        <v/>
      </c>
      <c r="S481" s="22" t="s">
        <v>101</v>
      </c>
      <c r="T481" s="35" t="str">
        <f>'Ingest Template'!V481</f>
        <v/>
      </c>
      <c r="U481" s="35" t="str">
        <f>'Ingest Template'!W481</f>
        <v/>
      </c>
      <c r="V481" s="35" t="str">
        <f>LOWER(SUBSTITUTE(SUBSTITUTE(SUBSTITUTE(SUBSTITUTE(SUBSTITUTE('Ingest Template'!X481,"https:",""),"www.",""),"/",""),"?hl=en",""),"instagram.com",""))</f>
        <v/>
      </c>
      <c r="W481" s="74" t="str">
        <f t="array" ref="W481">IF(
'Ingest Template'!Y481="",
SUBSTITUTE(
INDEX(DropdownLists!$F$2:$F$277,MATCH('Ingest Template'!D481,DropdownLists!$C$2:$C$277,0)),
CHAR(10),
"|"&amp;'Ingest Template'!C481&amp;CHAR(10)
)&amp;"|"&amp;'Ingest Template'!C481,
SUBSTITUTE(
INDEX(DropdownLists!$F$2:$F$277,MATCH('Ingest Template'!D481,DropdownLists!$C$2:$C$277,0)),
CHAR(10),
"|"&amp;'Ingest Template'!C481&amp;CHAR(10)
)&amp;"|"&amp;'Ingest Template'!C481&amp;CHAR(10)&amp;'Ingest Template'!Y481
)</f>
        <v>#N/A</v>
      </c>
      <c r="X481" s="74" t="str">
        <f>'Ingest Template'!Z481</f>
        <v/>
      </c>
      <c r="Y481" s="35" t="str">
        <f>SUBSTITUTE(SUBSTITUTE(SUBSTITUTE('Ingest Template'!AA481,"http:",""),"https:",""),"/","")</f>
        <v/>
      </c>
      <c r="Z481" s="35" t="str">
        <f t="array" ref="Z481">IF('Ingest Template'!A481="Standard",(IF(ISBLANK('Ingest Template'!AB481),"", 'Ingest Template'!AB481&amp;"|DAR")),(IF(ISBLANK('Ingest Template'!AB481),"", 'Ingest Template'!AB481&amp;"|TV Ops")))</f>
        <v/>
      </c>
      <c r="AA481" s="35"/>
      <c r="AB481" s="35" t="str">
        <f>'Ingest Template'!R481</f>
        <v/>
      </c>
      <c r="AC481" s="35" t="str">
        <f>'Ingest Template'!T481</f>
        <v/>
      </c>
      <c r="AD481" s="35" t="str">
        <f>'Ingest Template'!S481</f>
        <v/>
      </c>
      <c r="AE481" s="35" t="str">
        <f>'Ingest Template'!U481</f>
        <v/>
      </c>
      <c r="AF481" s="22"/>
      <c r="AG481" s="35" t="str">
        <f t="array" ref="AG481">IF('Ingest Template'!A481="Standard",(CONCATENATE(IF(ISBLANK('Ingest Template'!N481),"", 'Ingest Template'!N481&amp;"|DAR"),CHAR(10), IF(ISBLANK('Ingest Template'!O481),"", 'Ingest Template'!O481&amp;"|DAR"),CHAR(10), IF(ISBLANK('Ingest Template'!P481),"", 'Ingest Template'!P481&amp;"|DAR"))),(CONCATENATE(IF(ISBLANK('Ingest Template'!N481),"", 'Ingest Template'!N481&amp;"|TV Ops"),CHAR(10), IF(ISBLANK('Ingest Template'!O481),"", 'Ingest Template'!O481&amp;"|TV Ops"),CHAR(10), IF(ISBLANK('Ingest Template'!P481),"", 'Ingest Template'!P481&amp;"|TV Ops"))))</f>
        <v>
</v>
      </c>
      <c r="AH481" s="35"/>
      <c r="AI481" s="35"/>
      <c r="AJ481" s="117" t="str">
        <f>if('Ingest Template'!A481="Standard",(IF(OR('Ingest Template'!F481 = "Program Type - Special", 'Ingest Template'!F481 = "Program Type - Live Event"),'Ingest Template'!M481&amp; "|DAR|DAR|"&amp;TEXT('Ingest Template'!C481-3, "yyyy-mm-dd")&amp;"|"&amp;TEXT('Ingest Template'!C481+3, "yyyy-mm-dd"),'Ingest Template'!M481&amp; "|DAR|DAR|2021-01-01")),(IF(OR('Ingest Template'!F481 = "Program Type - Special", 'Ingest Template'!F481 = "Program Type - Live Event"),'Ingest Template'!M481&amp; "|Operations - Core Title|Operations - Core Title|"&amp;TEXT('Ingest Template'!C481-3, "yyyy-mm-dd")&amp;"|"&amp;TEXT('Ingest Template'!C481+3, "yyyy-mm-dd"),'Ingest Template'!M481&amp; "|Operations - Core Title|Operations - Core Title")))</f>
        <v>|Operations - Core Title|Operations - Core Title</v>
      </c>
      <c r="AK481" s="35"/>
      <c r="AL481" s="117" t="str">
        <f>if('Ingest Template'!A481="Standard",(IF(OR('Ingest Template'!F481 = "Program Type - Special", 'Ingest Template'!F481 = "Program Type - Live Event"),'Ingest Template'!Q481&amp;"|"&amp;TEXT('Ingest Template'!C481-3, "yyyy-mm-dd")&amp;"|"&amp;TEXT('Ingest Template'!C481+3, "yyyy-mm-dd"),'Ingest Template'!Q481&amp; "|2021-01-01")),(IF(OR('Ingest Template'!F481 = "Program Type - Special", 'Ingest Template'!F481 = "Program Type - Live Event"),'Ingest Template'!Q481&amp; "|"&amp;TEXT('Ingest Template'!C481-3, "yyyy-mm-dd")&amp;"|"&amp;TEXT('Ingest Template'!C481+3, "yyyy-mm-dd"),'Ingest Template'!Q481)))</f>
        <v/>
      </c>
      <c r="AM481" s="35" t="str">
        <f>'Ingest Template'!AC481</f>
        <v/>
      </c>
    </row>
    <row r="482">
      <c r="A482" s="15"/>
      <c r="B482" s="22" t="str">
        <f>'Ingest Template'!C482&amp;IF('Ingest Template'!A482 = "Standard", " - DAR","")</f>
        <v/>
      </c>
      <c r="C482" s="22" t="s">
        <v>83</v>
      </c>
      <c r="D482" s="22" t="str">
        <f t="array" ref="D482">CONCATENATE(INDEX(DropdownLists!$H$2:$H$11,MATCH(1,COUNTIF('Ingest Template'!E482,"*"&amp;DropdownLists!$I$2:$I$11&amp;"*"),0)),CHAR(10),'Ingest Template'!F482,CHAR(10),'Ingest Template'!G482,CHAR(10),VLOOKUP('Ingest Template'!D482,DropdownLists!C:D,2,FALSE))</f>
        <v>#N/A</v>
      </c>
      <c r="E482" s="22" t="str">
        <f>CONCATENATE('Ingest Template'!H482,CHAR(10),'Ingest Template'!I482,CHAR(10),'Ingest Template'!J482,CHAR(10))</f>
        <v>
</v>
      </c>
      <c r="F482" s="35" t="str">
        <f t="array" ref="F482">INDEX(DropdownLists!$O$2:$O$36,MATCH(1,COUNTIF(E482,"*"&amp;DropdownLists!$N$2:$N$36&amp;"*"),0))</f>
        <v/>
      </c>
      <c r="G482" s="35"/>
      <c r="H482" s="22" t="str">
        <f t="array" ref="H482">INDEX(DropdownLists!$E$2:$E$276,MATCH('Ingest Template'!D482,DropdownLists!$C$2:$C$276,0))</f>
        <v>#N/A</v>
      </c>
      <c r="I482" s="22"/>
      <c r="J482" s="22" t="str">
        <f t="array" ref="J482">iF('Ingest Template'!A482="Standard","Pristine Brand",INDEX(DropdownLists!$B$2:$B$246,MATCH('Ingest Template'!D482,DropdownLists!$C$2:$C$246,0)))</f>
        <v>#N/A</v>
      </c>
      <c r="K482" s="22" t="str">
        <f>iF('Ingest Template'!A482="Standard",'Ingest Template'!K482&amp;CHAR(10)&amp;'Ingest Template'!L482,"Competitive View")</f>
        <v>Competitive View</v>
      </c>
      <c r="L482" s="22" t="s">
        <v>95</v>
      </c>
      <c r="M482" s="45" t="str">
        <f>'Ingest Template'!B482</f>
        <v/>
      </c>
      <c r="N482" s="35"/>
      <c r="O482" s="35"/>
      <c r="P482" s="35"/>
      <c r="Q482" s="35"/>
      <c r="R482" s="35" t="str">
        <f>'Ingest Template'!D482</f>
        <v/>
      </c>
      <c r="S482" s="22" t="s">
        <v>101</v>
      </c>
      <c r="T482" s="35" t="str">
        <f>'Ingest Template'!V482</f>
        <v/>
      </c>
      <c r="U482" s="35" t="str">
        <f>'Ingest Template'!W482</f>
        <v/>
      </c>
      <c r="V482" s="35" t="str">
        <f>LOWER(SUBSTITUTE(SUBSTITUTE(SUBSTITUTE(SUBSTITUTE(SUBSTITUTE('Ingest Template'!X482,"https:",""),"www.",""),"/",""),"?hl=en",""),"instagram.com",""))</f>
        <v/>
      </c>
      <c r="W482" s="74" t="str">
        <f t="array" ref="W482">IF(
'Ingest Template'!Y482="",
SUBSTITUTE(
INDEX(DropdownLists!$F$2:$F$277,MATCH('Ingest Template'!D482,DropdownLists!$C$2:$C$277,0)),
CHAR(10),
"|"&amp;'Ingest Template'!C482&amp;CHAR(10)
)&amp;"|"&amp;'Ingest Template'!C482,
SUBSTITUTE(
INDEX(DropdownLists!$F$2:$F$277,MATCH('Ingest Template'!D482,DropdownLists!$C$2:$C$277,0)),
CHAR(10),
"|"&amp;'Ingest Template'!C482&amp;CHAR(10)
)&amp;"|"&amp;'Ingest Template'!C482&amp;CHAR(10)&amp;'Ingest Template'!Y482
)</f>
        <v>#N/A</v>
      </c>
      <c r="X482" s="74" t="str">
        <f>'Ingest Template'!Z482</f>
        <v/>
      </c>
      <c r="Y482" s="35" t="str">
        <f>SUBSTITUTE(SUBSTITUTE(SUBSTITUTE('Ingest Template'!AA482,"http:",""),"https:",""),"/","")</f>
        <v/>
      </c>
      <c r="Z482" s="35" t="str">
        <f t="array" ref="Z482">IF('Ingest Template'!A482="Standard",(IF(ISBLANK('Ingest Template'!AB482),"", 'Ingest Template'!AB482&amp;"|DAR")),(IF(ISBLANK('Ingest Template'!AB482),"", 'Ingest Template'!AB482&amp;"|TV Ops")))</f>
        <v/>
      </c>
      <c r="AA482" s="35"/>
      <c r="AB482" s="35" t="str">
        <f>'Ingest Template'!R482</f>
        <v/>
      </c>
      <c r="AC482" s="35" t="str">
        <f>'Ingest Template'!T482</f>
        <v/>
      </c>
      <c r="AD482" s="35" t="str">
        <f>'Ingest Template'!S482</f>
        <v/>
      </c>
      <c r="AE482" s="35" t="str">
        <f>'Ingest Template'!U482</f>
        <v/>
      </c>
      <c r="AF482" s="22"/>
      <c r="AG482" s="35" t="str">
        <f t="array" ref="AG482">IF('Ingest Template'!A482="Standard",(CONCATENATE(IF(ISBLANK('Ingest Template'!N482),"", 'Ingest Template'!N482&amp;"|DAR"),CHAR(10), IF(ISBLANK('Ingest Template'!O482),"", 'Ingest Template'!O482&amp;"|DAR"),CHAR(10), IF(ISBLANK('Ingest Template'!P482),"", 'Ingest Template'!P482&amp;"|DAR"))),(CONCATENATE(IF(ISBLANK('Ingest Template'!N482),"", 'Ingest Template'!N482&amp;"|TV Ops"),CHAR(10), IF(ISBLANK('Ingest Template'!O482),"", 'Ingest Template'!O482&amp;"|TV Ops"),CHAR(10), IF(ISBLANK('Ingest Template'!P482),"", 'Ingest Template'!P482&amp;"|TV Ops"))))</f>
        <v>
</v>
      </c>
      <c r="AH482" s="35"/>
      <c r="AI482" s="35"/>
      <c r="AJ482" s="117" t="str">
        <f>if('Ingest Template'!A482="Standard",(IF(OR('Ingest Template'!F482 = "Program Type - Special", 'Ingest Template'!F482 = "Program Type - Live Event"),'Ingest Template'!M482&amp; "|DAR|DAR|"&amp;TEXT('Ingest Template'!C482-3, "yyyy-mm-dd")&amp;"|"&amp;TEXT('Ingest Template'!C482+3, "yyyy-mm-dd"),'Ingest Template'!M482&amp; "|DAR|DAR|2021-01-01")),(IF(OR('Ingest Template'!F482 = "Program Type - Special", 'Ingest Template'!F482 = "Program Type - Live Event"),'Ingest Template'!M482&amp; "|Operations - Core Title|Operations - Core Title|"&amp;TEXT('Ingest Template'!C482-3, "yyyy-mm-dd")&amp;"|"&amp;TEXT('Ingest Template'!C482+3, "yyyy-mm-dd"),'Ingest Template'!M482&amp; "|Operations - Core Title|Operations - Core Title")))</f>
        <v>|Operations - Core Title|Operations - Core Title</v>
      </c>
      <c r="AK482" s="35"/>
      <c r="AL482" s="117" t="str">
        <f>if('Ingest Template'!A482="Standard",(IF(OR('Ingest Template'!F482 = "Program Type - Special", 'Ingest Template'!F482 = "Program Type - Live Event"),'Ingest Template'!Q482&amp;"|"&amp;TEXT('Ingest Template'!C482-3, "yyyy-mm-dd")&amp;"|"&amp;TEXT('Ingest Template'!C482+3, "yyyy-mm-dd"),'Ingest Template'!Q482&amp; "|2021-01-01")),(IF(OR('Ingest Template'!F482 = "Program Type - Special", 'Ingest Template'!F482 = "Program Type - Live Event"),'Ingest Template'!Q482&amp; "|"&amp;TEXT('Ingest Template'!C482-3, "yyyy-mm-dd")&amp;"|"&amp;TEXT('Ingest Template'!C482+3, "yyyy-mm-dd"),'Ingest Template'!Q482)))</f>
        <v/>
      </c>
      <c r="AM482" s="35" t="str">
        <f>'Ingest Template'!AC482</f>
        <v/>
      </c>
    </row>
    <row r="483">
      <c r="A483" s="15"/>
      <c r="B483" s="22" t="str">
        <f>'Ingest Template'!C483&amp;IF('Ingest Template'!A483 = "Standard", " - DAR","")</f>
        <v/>
      </c>
      <c r="C483" s="22" t="s">
        <v>83</v>
      </c>
      <c r="D483" s="22" t="str">
        <f t="array" ref="D483">CONCATENATE(INDEX(DropdownLists!$H$2:$H$11,MATCH(1,COUNTIF('Ingest Template'!E483,"*"&amp;DropdownLists!$I$2:$I$11&amp;"*"),0)),CHAR(10),'Ingest Template'!F483,CHAR(10),'Ingest Template'!G483,CHAR(10),VLOOKUP('Ingest Template'!D483,DropdownLists!C:D,2,FALSE))</f>
        <v>#N/A</v>
      </c>
      <c r="E483" s="22" t="str">
        <f>CONCATENATE('Ingest Template'!H483,CHAR(10),'Ingest Template'!I483,CHAR(10),'Ingest Template'!J483,CHAR(10))</f>
        <v>
</v>
      </c>
      <c r="F483" s="35" t="str">
        <f t="array" ref="F483">INDEX(DropdownLists!$O$2:$O$36,MATCH(1,COUNTIF(E483,"*"&amp;DropdownLists!$N$2:$N$36&amp;"*"),0))</f>
        <v/>
      </c>
      <c r="G483" s="35"/>
      <c r="H483" s="22" t="str">
        <f t="array" ref="H483">INDEX(DropdownLists!$E$2:$E$276,MATCH('Ingest Template'!D483,DropdownLists!$C$2:$C$276,0))</f>
        <v>#N/A</v>
      </c>
      <c r="I483" s="22"/>
      <c r="J483" s="22" t="str">
        <f t="array" ref="J483">iF('Ingest Template'!A483="Standard","Pristine Brand",INDEX(DropdownLists!$B$2:$B$246,MATCH('Ingest Template'!D483,DropdownLists!$C$2:$C$246,0)))</f>
        <v>#N/A</v>
      </c>
      <c r="K483" s="22" t="str">
        <f>iF('Ingest Template'!A483="Standard",'Ingest Template'!K483&amp;CHAR(10)&amp;'Ingest Template'!L483,"Competitive View")</f>
        <v>Competitive View</v>
      </c>
      <c r="L483" s="22" t="s">
        <v>95</v>
      </c>
      <c r="M483" s="45" t="str">
        <f>'Ingest Template'!B483</f>
        <v/>
      </c>
      <c r="N483" s="35"/>
      <c r="O483" s="35"/>
      <c r="P483" s="35"/>
      <c r="Q483" s="35"/>
      <c r="R483" s="35" t="str">
        <f>'Ingest Template'!D483</f>
        <v/>
      </c>
      <c r="S483" s="22" t="s">
        <v>101</v>
      </c>
      <c r="T483" s="35" t="str">
        <f>'Ingest Template'!V483</f>
        <v/>
      </c>
      <c r="U483" s="35" t="str">
        <f>'Ingest Template'!W483</f>
        <v/>
      </c>
      <c r="V483" s="35" t="str">
        <f>LOWER(SUBSTITUTE(SUBSTITUTE(SUBSTITUTE(SUBSTITUTE(SUBSTITUTE('Ingest Template'!X483,"https:",""),"www.",""),"/",""),"?hl=en",""),"instagram.com",""))</f>
        <v/>
      </c>
      <c r="W483" s="74" t="str">
        <f t="array" ref="W483">IF(
'Ingest Template'!Y483="",
SUBSTITUTE(
INDEX(DropdownLists!$F$2:$F$277,MATCH('Ingest Template'!D483,DropdownLists!$C$2:$C$277,0)),
CHAR(10),
"|"&amp;'Ingest Template'!C483&amp;CHAR(10)
)&amp;"|"&amp;'Ingest Template'!C483,
SUBSTITUTE(
INDEX(DropdownLists!$F$2:$F$277,MATCH('Ingest Template'!D483,DropdownLists!$C$2:$C$277,0)),
CHAR(10),
"|"&amp;'Ingest Template'!C483&amp;CHAR(10)
)&amp;"|"&amp;'Ingest Template'!C483&amp;CHAR(10)&amp;'Ingest Template'!Y483
)</f>
        <v>#N/A</v>
      </c>
      <c r="X483" s="74" t="str">
        <f>'Ingest Template'!Z483</f>
        <v/>
      </c>
      <c r="Y483" s="35" t="str">
        <f>SUBSTITUTE(SUBSTITUTE(SUBSTITUTE('Ingest Template'!AA483,"http:",""),"https:",""),"/","")</f>
        <v/>
      </c>
      <c r="Z483" s="35" t="str">
        <f t="array" ref="Z483">IF('Ingest Template'!A483="Standard",(IF(ISBLANK('Ingest Template'!AB483),"", 'Ingest Template'!AB483&amp;"|DAR")),(IF(ISBLANK('Ingest Template'!AB483),"", 'Ingest Template'!AB483&amp;"|TV Ops")))</f>
        <v/>
      </c>
      <c r="AA483" s="35"/>
      <c r="AB483" s="35" t="str">
        <f>'Ingest Template'!R483</f>
        <v/>
      </c>
      <c r="AC483" s="35" t="str">
        <f>'Ingest Template'!T483</f>
        <v/>
      </c>
      <c r="AD483" s="35" t="str">
        <f>'Ingest Template'!S483</f>
        <v/>
      </c>
      <c r="AE483" s="35" t="str">
        <f>'Ingest Template'!U483</f>
        <v/>
      </c>
      <c r="AF483" s="22"/>
      <c r="AG483" s="35" t="str">
        <f t="array" ref="AG483">IF('Ingest Template'!A483="Standard",(CONCATENATE(IF(ISBLANK('Ingest Template'!N483),"", 'Ingest Template'!N483&amp;"|DAR"),CHAR(10), IF(ISBLANK('Ingest Template'!O483),"", 'Ingest Template'!O483&amp;"|DAR"),CHAR(10), IF(ISBLANK('Ingest Template'!P483),"", 'Ingest Template'!P483&amp;"|DAR"))),(CONCATENATE(IF(ISBLANK('Ingest Template'!N483),"", 'Ingest Template'!N483&amp;"|TV Ops"),CHAR(10), IF(ISBLANK('Ingest Template'!O483),"", 'Ingest Template'!O483&amp;"|TV Ops"),CHAR(10), IF(ISBLANK('Ingest Template'!P483),"", 'Ingest Template'!P483&amp;"|TV Ops"))))</f>
        <v>
</v>
      </c>
      <c r="AH483" s="35"/>
      <c r="AI483" s="35"/>
      <c r="AJ483" s="117" t="str">
        <f>if('Ingest Template'!A483="Standard",(IF(OR('Ingest Template'!F483 = "Program Type - Special", 'Ingest Template'!F483 = "Program Type - Live Event"),'Ingest Template'!M483&amp; "|DAR|DAR|"&amp;TEXT('Ingest Template'!C483-3, "yyyy-mm-dd")&amp;"|"&amp;TEXT('Ingest Template'!C483+3, "yyyy-mm-dd"),'Ingest Template'!M483&amp; "|DAR|DAR|2021-01-01")),(IF(OR('Ingest Template'!F483 = "Program Type - Special", 'Ingest Template'!F483 = "Program Type - Live Event"),'Ingest Template'!M483&amp; "|Operations - Core Title|Operations - Core Title|"&amp;TEXT('Ingest Template'!C483-3, "yyyy-mm-dd")&amp;"|"&amp;TEXT('Ingest Template'!C483+3, "yyyy-mm-dd"),'Ingest Template'!M483&amp; "|Operations - Core Title|Operations - Core Title")))</f>
        <v>|Operations - Core Title|Operations - Core Title</v>
      </c>
      <c r="AK483" s="35"/>
      <c r="AL483" s="117" t="str">
        <f>if('Ingest Template'!A483="Standard",(IF(OR('Ingest Template'!F483 = "Program Type - Special", 'Ingest Template'!F483 = "Program Type - Live Event"),'Ingest Template'!Q483&amp;"|"&amp;TEXT('Ingest Template'!C483-3, "yyyy-mm-dd")&amp;"|"&amp;TEXT('Ingest Template'!C483+3, "yyyy-mm-dd"),'Ingest Template'!Q483&amp; "|2021-01-01")),(IF(OR('Ingest Template'!F483 = "Program Type - Special", 'Ingest Template'!F483 = "Program Type - Live Event"),'Ingest Template'!Q483&amp; "|"&amp;TEXT('Ingest Template'!C483-3, "yyyy-mm-dd")&amp;"|"&amp;TEXT('Ingest Template'!C483+3, "yyyy-mm-dd"),'Ingest Template'!Q483)))</f>
        <v/>
      </c>
      <c r="AM483" s="35" t="str">
        <f>'Ingest Template'!AC483</f>
        <v/>
      </c>
    </row>
    <row r="484">
      <c r="A484" s="15"/>
      <c r="B484" s="22" t="str">
        <f>'Ingest Template'!C484&amp;IF('Ingest Template'!A484 = "Standard", " - DAR","")</f>
        <v/>
      </c>
      <c r="C484" s="22" t="s">
        <v>83</v>
      </c>
      <c r="D484" s="22" t="str">
        <f t="array" ref="D484">CONCATENATE(INDEX(DropdownLists!$H$2:$H$11,MATCH(1,COUNTIF('Ingest Template'!E484,"*"&amp;DropdownLists!$I$2:$I$11&amp;"*"),0)),CHAR(10),'Ingest Template'!F484,CHAR(10),'Ingest Template'!G484,CHAR(10),VLOOKUP('Ingest Template'!D484,DropdownLists!C:D,2,FALSE))</f>
        <v>#N/A</v>
      </c>
      <c r="E484" s="22" t="str">
        <f>CONCATENATE('Ingest Template'!H484,CHAR(10),'Ingest Template'!I484,CHAR(10),'Ingest Template'!J484,CHAR(10))</f>
        <v>
</v>
      </c>
      <c r="F484" s="35" t="str">
        <f t="array" ref="F484">INDEX(DropdownLists!$O$2:$O$36,MATCH(1,COUNTIF(E484,"*"&amp;DropdownLists!$N$2:$N$36&amp;"*"),0))</f>
        <v/>
      </c>
      <c r="G484" s="35"/>
      <c r="H484" s="22" t="str">
        <f t="array" ref="H484">INDEX(DropdownLists!$E$2:$E$276,MATCH('Ingest Template'!D484,DropdownLists!$C$2:$C$276,0))</f>
        <v>#N/A</v>
      </c>
      <c r="I484" s="22"/>
      <c r="J484" s="22" t="str">
        <f t="array" ref="J484">iF('Ingest Template'!A484="Standard","Pristine Brand",INDEX(DropdownLists!$B$2:$B$246,MATCH('Ingest Template'!D484,DropdownLists!$C$2:$C$246,0)))</f>
        <v>#N/A</v>
      </c>
      <c r="K484" s="22" t="str">
        <f>iF('Ingest Template'!A484="Standard",'Ingest Template'!K484&amp;CHAR(10)&amp;'Ingest Template'!L484,"Competitive View")</f>
        <v>Competitive View</v>
      </c>
      <c r="L484" s="22" t="s">
        <v>95</v>
      </c>
      <c r="M484" s="45" t="str">
        <f>'Ingest Template'!B484</f>
        <v/>
      </c>
      <c r="N484" s="35"/>
      <c r="O484" s="35"/>
      <c r="P484" s="35"/>
      <c r="Q484" s="35"/>
      <c r="R484" s="35" t="str">
        <f>'Ingest Template'!D484</f>
        <v/>
      </c>
      <c r="S484" s="22" t="s">
        <v>101</v>
      </c>
      <c r="T484" s="35" t="str">
        <f>'Ingest Template'!V484</f>
        <v/>
      </c>
      <c r="U484" s="35" t="str">
        <f>'Ingest Template'!W484</f>
        <v/>
      </c>
      <c r="V484" s="35" t="str">
        <f>LOWER(SUBSTITUTE(SUBSTITUTE(SUBSTITUTE(SUBSTITUTE(SUBSTITUTE('Ingest Template'!X484,"https:",""),"www.",""),"/",""),"?hl=en",""),"instagram.com",""))</f>
        <v/>
      </c>
      <c r="W484" s="74" t="str">
        <f t="array" ref="W484">IF(
'Ingest Template'!Y484="",
SUBSTITUTE(
INDEX(DropdownLists!$F$2:$F$277,MATCH('Ingest Template'!D484,DropdownLists!$C$2:$C$277,0)),
CHAR(10),
"|"&amp;'Ingest Template'!C484&amp;CHAR(10)
)&amp;"|"&amp;'Ingest Template'!C484,
SUBSTITUTE(
INDEX(DropdownLists!$F$2:$F$277,MATCH('Ingest Template'!D484,DropdownLists!$C$2:$C$277,0)),
CHAR(10),
"|"&amp;'Ingest Template'!C484&amp;CHAR(10)
)&amp;"|"&amp;'Ingest Template'!C484&amp;CHAR(10)&amp;'Ingest Template'!Y484
)</f>
        <v>#N/A</v>
      </c>
      <c r="X484" s="74" t="str">
        <f>'Ingest Template'!Z484</f>
        <v/>
      </c>
      <c r="Y484" s="35" t="str">
        <f>SUBSTITUTE(SUBSTITUTE(SUBSTITUTE('Ingest Template'!AA484,"http:",""),"https:",""),"/","")</f>
        <v/>
      </c>
      <c r="Z484" s="35" t="str">
        <f t="array" ref="Z484">IF('Ingest Template'!A484="Standard",(IF(ISBLANK('Ingest Template'!AB484),"", 'Ingest Template'!AB484&amp;"|DAR")),(IF(ISBLANK('Ingest Template'!AB484),"", 'Ingest Template'!AB484&amp;"|TV Ops")))</f>
        <v/>
      </c>
      <c r="AA484" s="35"/>
      <c r="AB484" s="35" t="str">
        <f>'Ingest Template'!R484</f>
        <v/>
      </c>
      <c r="AC484" s="35" t="str">
        <f>'Ingest Template'!T484</f>
        <v/>
      </c>
      <c r="AD484" s="35" t="str">
        <f>'Ingest Template'!S484</f>
        <v/>
      </c>
      <c r="AE484" s="35" t="str">
        <f>'Ingest Template'!U484</f>
        <v/>
      </c>
      <c r="AF484" s="22"/>
      <c r="AG484" s="35" t="str">
        <f t="array" ref="AG484">IF('Ingest Template'!A484="Standard",(CONCATENATE(IF(ISBLANK('Ingest Template'!N484),"", 'Ingest Template'!N484&amp;"|DAR"),CHAR(10), IF(ISBLANK('Ingest Template'!O484),"", 'Ingest Template'!O484&amp;"|DAR"),CHAR(10), IF(ISBLANK('Ingest Template'!P484),"", 'Ingest Template'!P484&amp;"|DAR"))),(CONCATENATE(IF(ISBLANK('Ingest Template'!N484),"", 'Ingest Template'!N484&amp;"|TV Ops"),CHAR(10), IF(ISBLANK('Ingest Template'!O484),"", 'Ingest Template'!O484&amp;"|TV Ops"),CHAR(10), IF(ISBLANK('Ingest Template'!P484),"", 'Ingest Template'!P484&amp;"|TV Ops"))))</f>
        <v>
</v>
      </c>
      <c r="AH484" s="35"/>
      <c r="AI484" s="35"/>
      <c r="AJ484" s="117" t="str">
        <f>if('Ingest Template'!A484="Standard",(IF(OR('Ingest Template'!F484 = "Program Type - Special", 'Ingest Template'!F484 = "Program Type - Live Event"),'Ingest Template'!M484&amp; "|DAR|DAR|"&amp;TEXT('Ingest Template'!C484-3, "yyyy-mm-dd")&amp;"|"&amp;TEXT('Ingest Template'!C484+3, "yyyy-mm-dd"),'Ingest Template'!M484&amp; "|DAR|DAR|2021-01-01")),(IF(OR('Ingest Template'!F484 = "Program Type - Special", 'Ingest Template'!F484 = "Program Type - Live Event"),'Ingest Template'!M484&amp; "|Operations - Core Title|Operations - Core Title|"&amp;TEXT('Ingest Template'!C484-3, "yyyy-mm-dd")&amp;"|"&amp;TEXT('Ingest Template'!C484+3, "yyyy-mm-dd"),'Ingest Template'!M484&amp; "|Operations - Core Title|Operations - Core Title")))</f>
        <v>|Operations - Core Title|Operations - Core Title</v>
      </c>
      <c r="AK484" s="35"/>
      <c r="AL484" s="117" t="str">
        <f>if('Ingest Template'!A484="Standard",(IF(OR('Ingest Template'!F484 = "Program Type - Special", 'Ingest Template'!F484 = "Program Type - Live Event"),'Ingest Template'!Q484&amp;"|"&amp;TEXT('Ingest Template'!C484-3, "yyyy-mm-dd")&amp;"|"&amp;TEXT('Ingest Template'!C484+3, "yyyy-mm-dd"),'Ingest Template'!Q484&amp; "|2021-01-01")),(IF(OR('Ingest Template'!F484 = "Program Type - Special", 'Ingest Template'!F484 = "Program Type - Live Event"),'Ingest Template'!Q484&amp; "|"&amp;TEXT('Ingest Template'!C484-3, "yyyy-mm-dd")&amp;"|"&amp;TEXT('Ingest Template'!C484+3, "yyyy-mm-dd"),'Ingest Template'!Q484)))</f>
        <v/>
      </c>
      <c r="AM484" s="35" t="str">
        <f>'Ingest Template'!AC484</f>
        <v/>
      </c>
    </row>
    <row r="485">
      <c r="A485" s="15"/>
      <c r="B485" s="22" t="str">
        <f>'Ingest Template'!C485&amp;IF('Ingest Template'!A485 = "Standard", " - DAR","")</f>
        <v/>
      </c>
      <c r="C485" s="22" t="s">
        <v>83</v>
      </c>
      <c r="D485" s="22" t="str">
        <f t="array" ref="D485">CONCATENATE(INDEX(DropdownLists!$H$2:$H$11,MATCH(1,COUNTIF('Ingest Template'!E485,"*"&amp;DropdownLists!$I$2:$I$11&amp;"*"),0)),CHAR(10),'Ingest Template'!F485,CHAR(10),'Ingest Template'!G485,CHAR(10),VLOOKUP('Ingest Template'!D485,DropdownLists!C:D,2,FALSE))</f>
        <v>#N/A</v>
      </c>
      <c r="E485" s="22" t="str">
        <f>CONCATENATE('Ingest Template'!H485,CHAR(10),'Ingest Template'!I485,CHAR(10),'Ingest Template'!J485,CHAR(10))</f>
        <v>
</v>
      </c>
      <c r="F485" s="35" t="str">
        <f t="array" ref="F485">INDEX(DropdownLists!$O$2:$O$36,MATCH(1,COUNTIF(E485,"*"&amp;DropdownLists!$N$2:$N$36&amp;"*"),0))</f>
        <v/>
      </c>
      <c r="G485" s="35"/>
      <c r="H485" s="22" t="str">
        <f t="array" ref="H485">INDEX(DropdownLists!$E$2:$E$276,MATCH('Ingest Template'!D485,DropdownLists!$C$2:$C$276,0))</f>
        <v>#N/A</v>
      </c>
      <c r="I485" s="22"/>
      <c r="J485" s="22" t="str">
        <f t="array" ref="J485">iF('Ingest Template'!A485="Standard","Pristine Brand",INDEX(DropdownLists!$B$2:$B$246,MATCH('Ingest Template'!D485,DropdownLists!$C$2:$C$246,0)))</f>
        <v>#N/A</v>
      </c>
      <c r="K485" s="22" t="str">
        <f>iF('Ingest Template'!A485="Standard",'Ingest Template'!K485&amp;CHAR(10)&amp;'Ingest Template'!L485,"Competitive View")</f>
        <v>Competitive View</v>
      </c>
      <c r="L485" s="22" t="s">
        <v>95</v>
      </c>
      <c r="M485" s="45" t="str">
        <f>'Ingest Template'!B485</f>
        <v/>
      </c>
      <c r="N485" s="35"/>
      <c r="O485" s="35"/>
      <c r="P485" s="35"/>
      <c r="Q485" s="35"/>
      <c r="R485" s="35" t="str">
        <f>'Ingest Template'!D485</f>
        <v/>
      </c>
      <c r="S485" s="22" t="s">
        <v>101</v>
      </c>
      <c r="T485" s="35" t="str">
        <f>'Ingest Template'!V485</f>
        <v/>
      </c>
      <c r="U485" s="35" t="str">
        <f>'Ingest Template'!W485</f>
        <v/>
      </c>
      <c r="V485" s="35" t="str">
        <f>LOWER(SUBSTITUTE(SUBSTITUTE(SUBSTITUTE(SUBSTITUTE(SUBSTITUTE('Ingest Template'!X485,"https:",""),"www.",""),"/",""),"?hl=en",""),"instagram.com",""))</f>
        <v/>
      </c>
      <c r="W485" s="74" t="str">
        <f t="array" ref="W485">IF(
'Ingest Template'!Y485="",
SUBSTITUTE(
INDEX(DropdownLists!$F$2:$F$277,MATCH('Ingest Template'!D485,DropdownLists!$C$2:$C$277,0)),
CHAR(10),
"|"&amp;'Ingest Template'!C485&amp;CHAR(10)
)&amp;"|"&amp;'Ingest Template'!C485,
SUBSTITUTE(
INDEX(DropdownLists!$F$2:$F$277,MATCH('Ingest Template'!D485,DropdownLists!$C$2:$C$277,0)),
CHAR(10),
"|"&amp;'Ingest Template'!C485&amp;CHAR(10)
)&amp;"|"&amp;'Ingest Template'!C485&amp;CHAR(10)&amp;'Ingest Template'!Y485
)</f>
        <v>#N/A</v>
      </c>
      <c r="X485" s="74" t="str">
        <f>'Ingest Template'!Z485</f>
        <v/>
      </c>
      <c r="Y485" s="35" t="str">
        <f>SUBSTITUTE(SUBSTITUTE(SUBSTITUTE('Ingest Template'!AA485,"http:",""),"https:",""),"/","")</f>
        <v/>
      </c>
      <c r="Z485" s="35" t="str">
        <f t="array" ref="Z485">IF('Ingest Template'!A485="Standard",(IF(ISBLANK('Ingest Template'!AB485),"", 'Ingest Template'!AB485&amp;"|DAR")),(IF(ISBLANK('Ingest Template'!AB485),"", 'Ingest Template'!AB485&amp;"|TV Ops")))</f>
        <v/>
      </c>
      <c r="AA485" s="35"/>
      <c r="AB485" s="35" t="str">
        <f>'Ingest Template'!R485</f>
        <v/>
      </c>
      <c r="AC485" s="35" t="str">
        <f>'Ingest Template'!T485</f>
        <v/>
      </c>
      <c r="AD485" s="35" t="str">
        <f>'Ingest Template'!S485</f>
        <v/>
      </c>
      <c r="AE485" s="35" t="str">
        <f>'Ingest Template'!U485</f>
        <v/>
      </c>
      <c r="AF485" s="22"/>
      <c r="AG485" s="35" t="str">
        <f t="array" ref="AG485">IF('Ingest Template'!A485="Standard",(CONCATENATE(IF(ISBLANK('Ingest Template'!N485),"", 'Ingest Template'!N485&amp;"|DAR"),CHAR(10), IF(ISBLANK('Ingest Template'!O485),"", 'Ingest Template'!O485&amp;"|DAR"),CHAR(10), IF(ISBLANK('Ingest Template'!P485),"", 'Ingest Template'!P485&amp;"|DAR"))),(CONCATENATE(IF(ISBLANK('Ingest Template'!N485),"", 'Ingest Template'!N485&amp;"|TV Ops"),CHAR(10), IF(ISBLANK('Ingest Template'!O485),"", 'Ingest Template'!O485&amp;"|TV Ops"),CHAR(10), IF(ISBLANK('Ingest Template'!P485),"", 'Ingest Template'!P485&amp;"|TV Ops"))))</f>
        <v>
</v>
      </c>
      <c r="AH485" s="35"/>
      <c r="AI485" s="35"/>
      <c r="AJ485" s="117" t="str">
        <f>if('Ingest Template'!A485="Standard",(IF(OR('Ingest Template'!F485 = "Program Type - Special", 'Ingest Template'!F485 = "Program Type - Live Event"),'Ingest Template'!M485&amp; "|DAR|DAR|"&amp;TEXT('Ingest Template'!C485-3, "yyyy-mm-dd")&amp;"|"&amp;TEXT('Ingest Template'!C485+3, "yyyy-mm-dd"),'Ingest Template'!M485&amp; "|DAR|DAR|2021-01-01")),(IF(OR('Ingest Template'!F485 = "Program Type - Special", 'Ingest Template'!F485 = "Program Type - Live Event"),'Ingest Template'!M485&amp; "|Operations - Core Title|Operations - Core Title|"&amp;TEXT('Ingest Template'!C485-3, "yyyy-mm-dd")&amp;"|"&amp;TEXT('Ingest Template'!C485+3, "yyyy-mm-dd"),'Ingest Template'!M485&amp; "|Operations - Core Title|Operations - Core Title")))</f>
        <v>|Operations - Core Title|Operations - Core Title</v>
      </c>
      <c r="AK485" s="35"/>
      <c r="AL485" s="117" t="str">
        <f>if('Ingest Template'!A485="Standard",(IF(OR('Ingest Template'!F485 = "Program Type - Special", 'Ingest Template'!F485 = "Program Type - Live Event"),'Ingest Template'!Q485&amp;"|"&amp;TEXT('Ingest Template'!C485-3, "yyyy-mm-dd")&amp;"|"&amp;TEXT('Ingest Template'!C485+3, "yyyy-mm-dd"),'Ingest Template'!Q485&amp; "|2021-01-01")),(IF(OR('Ingest Template'!F485 = "Program Type - Special", 'Ingest Template'!F485 = "Program Type - Live Event"),'Ingest Template'!Q485&amp; "|"&amp;TEXT('Ingest Template'!C485-3, "yyyy-mm-dd")&amp;"|"&amp;TEXT('Ingest Template'!C485+3, "yyyy-mm-dd"),'Ingest Template'!Q485)))</f>
        <v/>
      </c>
      <c r="AM485" s="35" t="str">
        <f>'Ingest Template'!AC485</f>
        <v/>
      </c>
    </row>
    <row r="486">
      <c r="A486" s="15"/>
      <c r="B486" s="22" t="str">
        <f>'Ingest Template'!C486&amp;IF('Ingest Template'!A486 = "Standard", " - DAR","")</f>
        <v/>
      </c>
      <c r="C486" s="22" t="s">
        <v>83</v>
      </c>
      <c r="D486" s="22" t="str">
        <f t="array" ref="D486">CONCATENATE(INDEX(DropdownLists!$H$2:$H$11,MATCH(1,COUNTIF('Ingest Template'!E486,"*"&amp;DropdownLists!$I$2:$I$11&amp;"*"),0)),CHAR(10),'Ingest Template'!F486,CHAR(10),'Ingest Template'!G486,CHAR(10),VLOOKUP('Ingest Template'!D486,DropdownLists!C:D,2,FALSE))</f>
        <v>#N/A</v>
      </c>
      <c r="E486" s="22" t="str">
        <f>CONCATENATE('Ingest Template'!H486,CHAR(10),'Ingest Template'!I486,CHAR(10),'Ingest Template'!J486,CHAR(10))</f>
        <v>
</v>
      </c>
      <c r="F486" s="35" t="str">
        <f t="array" ref="F486">INDEX(DropdownLists!$O$2:$O$36,MATCH(1,COUNTIF(E486,"*"&amp;DropdownLists!$N$2:$N$36&amp;"*"),0))</f>
        <v/>
      </c>
      <c r="G486" s="35"/>
      <c r="H486" s="22" t="str">
        <f t="array" ref="H486">INDEX(DropdownLists!$E$2:$E$276,MATCH('Ingest Template'!D486,DropdownLists!$C$2:$C$276,0))</f>
        <v>#N/A</v>
      </c>
      <c r="I486" s="22"/>
      <c r="J486" s="22" t="str">
        <f t="array" ref="J486">iF('Ingest Template'!A486="Standard","Pristine Brand",INDEX(DropdownLists!$B$2:$B$246,MATCH('Ingest Template'!D486,DropdownLists!$C$2:$C$246,0)))</f>
        <v>#N/A</v>
      </c>
      <c r="K486" s="22" t="str">
        <f>iF('Ingest Template'!A486="Standard",'Ingest Template'!K486&amp;CHAR(10)&amp;'Ingest Template'!L486,"Competitive View")</f>
        <v>Competitive View</v>
      </c>
      <c r="L486" s="22" t="s">
        <v>95</v>
      </c>
      <c r="M486" s="45" t="str">
        <f>'Ingest Template'!B486</f>
        <v/>
      </c>
      <c r="N486" s="35"/>
      <c r="O486" s="35"/>
      <c r="P486" s="35"/>
      <c r="Q486" s="35"/>
      <c r="R486" s="35" t="str">
        <f>'Ingest Template'!D486</f>
        <v/>
      </c>
      <c r="S486" s="22" t="s">
        <v>101</v>
      </c>
      <c r="T486" s="35" t="str">
        <f>'Ingest Template'!V486</f>
        <v/>
      </c>
      <c r="U486" s="35" t="str">
        <f>'Ingest Template'!W486</f>
        <v/>
      </c>
      <c r="V486" s="35" t="str">
        <f>LOWER(SUBSTITUTE(SUBSTITUTE(SUBSTITUTE(SUBSTITUTE(SUBSTITUTE('Ingest Template'!X486,"https:",""),"www.",""),"/",""),"?hl=en",""),"instagram.com",""))</f>
        <v/>
      </c>
      <c r="W486" s="74" t="str">
        <f t="array" ref="W486">IF(
'Ingest Template'!Y486="",
SUBSTITUTE(
INDEX(DropdownLists!$F$2:$F$277,MATCH('Ingest Template'!D486,DropdownLists!$C$2:$C$277,0)),
CHAR(10),
"|"&amp;'Ingest Template'!C486&amp;CHAR(10)
)&amp;"|"&amp;'Ingest Template'!C486,
SUBSTITUTE(
INDEX(DropdownLists!$F$2:$F$277,MATCH('Ingest Template'!D486,DropdownLists!$C$2:$C$277,0)),
CHAR(10),
"|"&amp;'Ingest Template'!C486&amp;CHAR(10)
)&amp;"|"&amp;'Ingest Template'!C486&amp;CHAR(10)&amp;'Ingest Template'!Y486
)</f>
        <v>#N/A</v>
      </c>
      <c r="X486" s="74" t="str">
        <f>'Ingest Template'!Z486</f>
        <v/>
      </c>
      <c r="Y486" s="35" t="str">
        <f>SUBSTITUTE(SUBSTITUTE(SUBSTITUTE('Ingest Template'!AA486,"http:",""),"https:",""),"/","")</f>
        <v/>
      </c>
      <c r="Z486" s="35" t="str">
        <f t="array" ref="Z486">IF('Ingest Template'!A486="Standard",(IF(ISBLANK('Ingest Template'!AB486),"", 'Ingest Template'!AB486&amp;"|DAR")),(IF(ISBLANK('Ingest Template'!AB486),"", 'Ingest Template'!AB486&amp;"|TV Ops")))</f>
        <v/>
      </c>
      <c r="AA486" s="35"/>
      <c r="AB486" s="35" t="str">
        <f>'Ingest Template'!R486</f>
        <v/>
      </c>
      <c r="AC486" s="35" t="str">
        <f>'Ingest Template'!T486</f>
        <v/>
      </c>
      <c r="AD486" s="35" t="str">
        <f>'Ingest Template'!S486</f>
        <v/>
      </c>
      <c r="AE486" s="35" t="str">
        <f>'Ingest Template'!U486</f>
        <v/>
      </c>
      <c r="AF486" s="22"/>
      <c r="AG486" s="35" t="str">
        <f t="array" ref="AG486">IF('Ingest Template'!A486="Standard",(CONCATENATE(IF(ISBLANK('Ingest Template'!N486),"", 'Ingest Template'!N486&amp;"|DAR"),CHAR(10), IF(ISBLANK('Ingest Template'!O486),"", 'Ingest Template'!O486&amp;"|DAR"),CHAR(10), IF(ISBLANK('Ingest Template'!P486),"", 'Ingest Template'!P486&amp;"|DAR"))),(CONCATENATE(IF(ISBLANK('Ingest Template'!N486),"", 'Ingest Template'!N486&amp;"|TV Ops"),CHAR(10), IF(ISBLANK('Ingest Template'!O486),"", 'Ingest Template'!O486&amp;"|TV Ops"),CHAR(10), IF(ISBLANK('Ingest Template'!P486),"", 'Ingest Template'!P486&amp;"|TV Ops"))))</f>
        <v>
</v>
      </c>
      <c r="AH486" s="35"/>
      <c r="AI486" s="35"/>
      <c r="AJ486" s="117" t="str">
        <f>if('Ingest Template'!A486="Standard",(IF(OR('Ingest Template'!F486 = "Program Type - Special", 'Ingest Template'!F486 = "Program Type - Live Event"),'Ingest Template'!M486&amp; "|DAR|DAR|"&amp;TEXT('Ingest Template'!C486-3, "yyyy-mm-dd")&amp;"|"&amp;TEXT('Ingest Template'!C486+3, "yyyy-mm-dd"),'Ingest Template'!M486&amp; "|DAR|DAR|2021-01-01")),(IF(OR('Ingest Template'!F486 = "Program Type - Special", 'Ingest Template'!F486 = "Program Type - Live Event"),'Ingest Template'!M486&amp; "|Operations - Core Title|Operations - Core Title|"&amp;TEXT('Ingest Template'!C486-3, "yyyy-mm-dd")&amp;"|"&amp;TEXT('Ingest Template'!C486+3, "yyyy-mm-dd"),'Ingest Template'!M486&amp; "|Operations - Core Title|Operations - Core Title")))</f>
        <v>|Operations - Core Title|Operations - Core Title</v>
      </c>
      <c r="AK486" s="35"/>
      <c r="AL486" s="117" t="str">
        <f>if('Ingest Template'!A486="Standard",(IF(OR('Ingest Template'!F486 = "Program Type - Special", 'Ingest Template'!F486 = "Program Type - Live Event"),'Ingest Template'!Q486&amp;"|"&amp;TEXT('Ingest Template'!C486-3, "yyyy-mm-dd")&amp;"|"&amp;TEXT('Ingest Template'!C486+3, "yyyy-mm-dd"),'Ingest Template'!Q486&amp; "|2021-01-01")),(IF(OR('Ingest Template'!F486 = "Program Type - Special", 'Ingest Template'!F486 = "Program Type - Live Event"),'Ingest Template'!Q486&amp; "|"&amp;TEXT('Ingest Template'!C486-3, "yyyy-mm-dd")&amp;"|"&amp;TEXT('Ingest Template'!C486+3, "yyyy-mm-dd"),'Ingest Template'!Q486)))</f>
        <v/>
      </c>
      <c r="AM486" s="35" t="str">
        <f>'Ingest Template'!AC486</f>
        <v/>
      </c>
    </row>
    <row r="487">
      <c r="A487" s="15"/>
      <c r="B487" s="22" t="str">
        <f>'Ingest Template'!C487&amp;IF('Ingest Template'!A487 = "Standard", " - DAR","")</f>
        <v/>
      </c>
      <c r="C487" s="22" t="s">
        <v>83</v>
      </c>
      <c r="D487" s="22" t="str">
        <f t="array" ref="D487">CONCATENATE(INDEX(DropdownLists!$H$2:$H$11,MATCH(1,COUNTIF('Ingest Template'!E487,"*"&amp;DropdownLists!$I$2:$I$11&amp;"*"),0)),CHAR(10),'Ingest Template'!F487,CHAR(10),'Ingest Template'!G487,CHAR(10),VLOOKUP('Ingest Template'!D487,DropdownLists!C:D,2,FALSE))</f>
        <v>#N/A</v>
      </c>
      <c r="E487" s="22" t="str">
        <f>CONCATENATE('Ingest Template'!H487,CHAR(10),'Ingest Template'!I487,CHAR(10),'Ingest Template'!J487,CHAR(10))</f>
        <v>
</v>
      </c>
      <c r="F487" s="35" t="str">
        <f t="array" ref="F487">INDEX(DropdownLists!$O$2:$O$36,MATCH(1,COUNTIF(E487,"*"&amp;DropdownLists!$N$2:$N$36&amp;"*"),0))</f>
        <v/>
      </c>
      <c r="G487" s="35"/>
      <c r="H487" s="22" t="str">
        <f t="array" ref="H487">INDEX(DropdownLists!$E$2:$E$276,MATCH('Ingest Template'!D487,DropdownLists!$C$2:$C$276,0))</f>
        <v>#N/A</v>
      </c>
      <c r="I487" s="22"/>
      <c r="J487" s="22" t="str">
        <f t="array" ref="J487">iF('Ingest Template'!A487="Standard","Pristine Brand",INDEX(DropdownLists!$B$2:$B$246,MATCH('Ingest Template'!D487,DropdownLists!$C$2:$C$246,0)))</f>
        <v>#N/A</v>
      </c>
      <c r="K487" s="22" t="str">
        <f>iF('Ingest Template'!A487="Standard",'Ingest Template'!K487&amp;CHAR(10)&amp;'Ingest Template'!L487,"Competitive View")</f>
        <v>Competitive View</v>
      </c>
      <c r="L487" s="22" t="s">
        <v>95</v>
      </c>
      <c r="M487" s="45" t="str">
        <f>'Ingest Template'!B487</f>
        <v/>
      </c>
      <c r="N487" s="35"/>
      <c r="O487" s="35"/>
      <c r="P487" s="35"/>
      <c r="Q487" s="35"/>
      <c r="R487" s="35" t="str">
        <f>'Ingest Template'!D487</f>
        <v/>
      </c>
      <c r="S487" s="22" t="s">
        <v>101</v>
      </c>
      <c r="T487" s="35" t="str">
        <f>'Ingest Template'!V487</f>
        <v/>
      </c>
      <c r="U487" s="35" t="str">
        <f>'Ingest Template'!W487</f>
        <v/>
      </c>
      <c r="V487" s="35" t="str">
        <f>LOWER(SUBSTITUTE(SUBSTITUTE(SUBSTITUTE(SUBSTITUTE(SUBSTITUTE('Ingest Template'!X487,"https:",""),"www.",""),"/",""),"?hl=en",""),"instagram.com",""))</f>
        <v/>
      </c>
      <c r="W487" s="74" t="str">
        <f t="array" ref="W487">IF(
'Ingest Template'!Y487="",
SUBSTITUTE(
INDEX(DropdownLists!$F$2:$F$277,MATCH('Ingest Template'!D487,DropdownLists!$C$2:$C$277,0)),
CHAR(10),
"|"&amp;'Ingest Template'!C487&amp;CHAR(10)
)&amp;"|"&amp;'Ingest Template'!C487,
SUBSTITUTE(
INDEX(DropdownLists!$F$2:$F$277,MATCH('Ingest Template'!D487,DropdownLists!$C$2:$C$277,0)),
CHAR(10),
"|"&amp;'Ingest Template'!C487&amp;CHAR(10)
)&amp;"|"&amp;'Ingest Template'!C487&amp;CHAR(10)&amp;'Ingest Template'!Y487
)</f>
        <v>#N/A</v>
      </c>
      <c r="X487" s="74" t="str">
        <f>'Ingest Template'!Z487</f>
        <v/>
      </c>
      <c r="Y487" s="35" t="str">
        <f>SUBSTITUTE(SUBSTITUTE(SUBSTITUTE('Ingest Template'!AA487,"http:",""),"https:",""),"/","")</f>
        <v/>
      </c>
      <c r="Z487" s="35" t="str">
        <f t="array" ref="Z487">IF('Ingest Template'!A487="Standard",(IF(ISBLANK('Ingest Template'!AB487),"", 'Ingest Template'!AB487&amp;"|DAR")),(IF(ISBLANK('Ingest Template'!AB487),"", 'Ingest Template'!AB487&amp;"|TV Ops")))</f>
        <v/>
      </c>
      <c r="AA487" s="35"/>
      <c r="AB487" s="35" t="str">
        <f>'Ingest Template'!R487</f>
        <v/>
      </c>
      <c r="AC487" s="35" t="str">
        <f>'Ingest Template'!T487</f>
        <v/>
      </c>
      <c r="AD487" s="35" t="str">
        <f>'Ingest Template'!S487</f>
        <v/>
      </c>
      <c r="AE487" s="35" t="str">
        <f>'Ingest Template'!U487</f>
        <v/>
      </c>
      <c r="AF487" s="22"/>
      <c r="AG487" s="35" t="str">
        <f t="array" ref="AG487">IF('Ingest Template'!A487="Standard",(CONCATENATE(IF(ISBLANK('Ingest Template'!N487),"", 'Ingest Template'!N487&amp;"|DAR"),CHAR(10), IF(ISBLANK('Ingest Template'!O487),"", 'Ingest Template'!O487&amp;"|DAR"),CHAR(10), IF(ISBLANK('Ingest Template'!P487),"", 'Ingest Template'!P487&amp;"|DAR"))),(CONCATENATE(IF(ISBLANK('Ingest Template'!N487),"", 'Ingest Template'!N487&amp;"|TV Ops"),CHAR(10), IF(ISBLANK('Ingest Template'!O487),"", 'Ingest Template'!O487&amp;"|TV Ops"),CHAR(10), IF(ISBLANK('Ingest Template'!P487),"", 'Ingest Template'!P487&amp;"|TV Ops"))))</f>
        <v>
</v>
      </c>
      <c r="AH487" s="35"/>
      <c r="AI487" s="35"/>
      <c r="AJ487" s="117" t="str">
        <f>if('Ingest Template'!A487="Standard",(IF(OR('Ingest Template'!F487 = "Program Type - Special", 'Ingest Template'!F487 = "Program Type - Live Event"),'Ingest Template'!M487&amp; "|DAR|DAR|"&amp;TEXT('Ingest Template'!C487-3, "yyyy-mm-dd")&amp;"|"&amp;TEXT('Ingest Template'!C487+3, "yyyy-mm-dd"),'Ingest Template'!M487&amp; "|DAR|DAR|2021-01-01")),(IF(OR('Ingest Template'!F487 = "Program Type - Special", 'Ingest Template'!F487 = "Program Type - Live Event"),'Ingest Template'!M487&amp; "|Operations - Core Title|Operations - Core Title|"&amp;TEXT('Ingest Template'!C487-3, "yyyy-mm-dd")&amp;"|"&amp;TEXT('Ingest Template'!C487+3, "yyyy-mm-dd"),'Ingest Template'!M487&amp; "|Operations - Core Title|Operations - Core Title")))</f>
        <v>|Operations - Core Title|Operations - Core Title</v>
      </c>
      <c r="AK487" s="35"/>
      <c r="AL487" s="117" t="str">
        <f>if('Ingest Template'!A487="Standard",(IF(OR('Ingest Template'!F487 = "Program Type - Special", 'Ingest Template'!F487 = "Program Type - Live Event"),'Ingest Template'!Q487&amp;"|"&amp;TEXT('Ingest Template'!C487-3, "yyyy-mm-dd")&amp;"|"&amp;TEXT('Ingest Template'!C487+3, "yyyy-mm-dd"),'Ingest Template'!Q487&amp; "|2021-01-01")),(IF(OR('Ingest Template'!F487 = "Program Type - Special", 'Ingest Template'!F487 = "Program Type - Live Event"),'Ingest Template'!Q487&amp; "|"&amp;TEXT('Ingest Template'!C487-3, "yyyy-mm-dd")&amp;"|"&amp;TEXT('Ingest Template'!C487+3, "yyyy-mm-dd"),'Ingest Template'!Q487)))</f>
        <v/>
      </c>
      <c r="AM487" s="35" t="str">
        <f>'Ingest Template'!AC487</f>
        <v/>
      </c>
    </row>
    <row r="488">
      <c r="A488" s="15"/>
      <c r="B488" s="22" t="str">
        <f>'Ingest Template'!C488&amp;IF('Ingest Template'!A488 = "Standard", " - DAR","")</f>
        <v/>
      </c>
      <c r="C488" s="22" t="s">
        <v>83</v>
      </c>
      <c r="D488" s="22" t="str">
        <f t="array" ref="D488">CONCATENATE(INDEX(DropdownLists!$H$2:$H$11,MATCH(1,COUNTIF('Ingest Template'!E488,"*"&amp;DropdownLists!$I$2:$I$11&amp;"*"),0)),CHAR(10),'Ingest Template'!F488,CHAR(10),'Ingest Template'!G488,CHAR(10),VLOOKUP('Ingest Template'!D488,DropdownLists!C:D,2,FALSE))</f>
        <v>#N/A</v>
      </c>
      <c r="E488" s="22" t="str">
        <f>CONCATENATE('Ingest Template'!H488,CHAR(10),'Ingest Template'!I488,CHAR(10),'Ingest Template'!J488,CHAR(10))</f>
        <v>
</v>
      </c>
      <c r="F488" s="35" t="str">
        <f t="array" ref="F488">INDEX(DropdownLists!$O$2:$O$36,MATCH(1,COUNTIF(E488,"*"&amp;DropdownLists!$N$2:$N$36&amp;"*"),0))</f>
        <v/>
      </c>
      <c r="G488" s="35"/>
      <c r="H488" s="22" t="str">
        <f t="array" ref="H488">INDEX(DropdownLists!$E$2:$E$276,MATCH('Ingest Template'!D488,DropdownLists!$C$2:$C$276,0))</f>
        <v>#N/A</v>
      </c>
      <c r="I488" s="22"/>
      <c r="J488" s="22" t="str">
        <f t="array" ref="J488">iF('Ingest Template'!A488="Standard","Pristine Brand",INDEX(DropdownLists!$B$2:$B$246,MATCH('Ingest Template'!D488,DropdownLists!$C$2:$C$246,0)))</f>
        <v>#N/A</v>
      </c>
      <c r="K488" s="22" t="str">
        <f>iF('Ingest Template'!A488="Standard",'Ingest Template'!K488&amp;CHAR(10)&amp;'Ingest Template'!L488,"Competitive View")</f>
        <v>Competitive View</v>
      </c>
      <c r="L488" s="22" t="s">
        <v>95</v>
      </c>
      <c r="M488" s="45" t="str">
        <f>'Ingest Template'!B488</f>
        <v/>
      </c>
      <c r="N488" s="35"/>
      <c r="O488" s="35"/>
      <c r="P488" s="35"/>
      <c r="Q488" s="35"/>
      <c r="R488" s="35" t="str">
        <f>'Ingest Template'!D488</f>
        <v/>
      </c>
      <c r="S488" s="22" t="s">
        <v>101</v>
      </c>
      <c r="T488" s="35" t="str">
        <f>'Ingest Template'!V488</f>
        <v/>
      </c>
      <c r="U488" s="35" t="str">
        <f>'Ingest Template'!W488</f>
        <v/>
      </c>
      <c r="V488" s="35" t="str">
        <f>LOWER(SUBSTITUTE(SUBSTITUTE(SUBSTITUTE(SUBSTITUTE(SUBSTITUTE('Ingest Template'!X488,"https:",""),"www.",""),"/",""),"?hl=en",""),"instagram.com",""))</f>
        <v/>
      </c>
      <c r="W488" s="74" t="str">
        <f t="array" ref="W488">IF(
'Ingest Template'!Y488="",
SUBSTITUTE(
INDEX(DropdownLists!$F$2:$F$277,MATCH('Ingest Template'!D488,DropdownLists!$C$2:$C$277,0)),
CHAR(10),
"|"&amp;'Ingest Template'!C488&amp;CHAR(10)
)&amp;"|"&amp;'Ingest Template'!C488,
SUBSTITUTE(
INDEX(DropdownLists!$F$2:$F$277,MATCH('Ingest Template'!D488,DropdownLists!$C$2:$C$277,0)),
CHAR(10),
"|"&amp;'Ingest Template'!C488&amp;CHAR(10)
)&amp;"|"&amp;'Ingest Template'!C488&amp;CHAR(10)&amp;'Ingest Template'!Y488
)</f>
        <v>#N/A</v>
      </c>
      <c r="X488" s="74" t="str">
        <f>'Ingest Template'!Z488</f>
        <v/>
      </c>
      <c r="Y488" s="35" t="str">
        <f>SUBSTITUTE(SUBSTITUTE(SUBSTITUTE('Ingest Template'!AA488,"http:",""),"https:",""),"/","")</f>
        <v/>
      </c>
      <c r="Z488" s="35" t="str">
        <f t="array" ref="Z488">IF('Ingest Template'!A488="Standard",(IF(ISBLANK('Ingest Template'!AB488),"", 'Ingest Template'!AB488&amp;"|DAR")),(IF(ISBLANK('Ingest Template'!AB488),"", 'Ingest Template'!AB488&amp;"|TV Ops")))</f>
        <v/>
      </c>
      <c r="AA488" s="35"/>
      <c r="AB488" s="35" t="str">
        <f>'Ingest Template'!R488</f>
        <v/>
      </c>
      <c r="AC488" s="35" t="str">
        <f>'Ingest Template'!T488</f>
        <v/>
      </c>
      <c r="AD488" s="35" t="str">
        <f>'Ingest Template'!S488</f>
        <v/>
      </c>
      <c r="AE488" s="35" t="str">
        <f>'Ingest Template'!U488</f>
        <v/>
      </c>
      <c r="AF488" s="22"/>
      <c r="AG488" s="35" t="str">
        <f t="array" ref="AG488">IF('Ingest Template'!A488="Standard",(CONCATENATE(IF(ISBLANK('Ingest Template'!N488),"", 'Ingest Template'!N488&amp;"|DAR"),CHAR(10), IF(ISBLANK('Ingest Template'!O488),"", 'Ingest Template'!O488&amp;"|DAR"),CHAR(10), IF(ISBLANK('Ingest Template'!P488),"", 'Ingest Template'!P488&amp;"|DAR"))),(CONCATENATE(IF(ISBLANK('Ingest Template'!N488),"", 'Ingest Template'!N488&amp;"|TV Ops"),CHAR(10), IF(ISBLANK('Ingest Template'!O488),"", 'Ingest Template'!O488&amp;"|TV Ops"),CHAR(10), IF(ISBLANK('Ingest Template'!P488),"", 'Ingest Template'!P488&amp;"|TV Ops"))))</f>
        <v>
</v>
      </c>
      <c r="AH488" s="35"/>
      <c r="AI488" s="35"/>
      <c r="AJ488" s="117" t="str">
        <f>if('Ingest Template'!A488="Standard",(IF(OR('Ingest Template'!F488 = "Program Type - Special", 'Ingest Template'!F488 = "Program Type - Live Event"),'Ingest Template'!M488&amp; "|DAR|DAR|"&amp;TEXT('Ingest Template'!C488-3, "yyyy-mm-dd")&amp;"|"&amp;TEXT('Ingest Template'!C488+3, "yyyy-mm-dd"),'Ingest Template'!M488&amp; "|DAR|DAR|2021-01-01")),(IF(OR('Ingest Template'!F488 = "Program Type - Special", 'Ingest Template'!F488 = "Program Type - Live Event"),'Ingest Template'!M488&amp; "|Operations - Core Title|Operations - Core Title|"&amp;TEXT('Ingest Template'!C488-3, "yyyy-mm-dd")&amp;"|"&amp;TEXT('Ingest Template'!C488+3, "yyyy-mm-dd"),'Ingest Template'!M488&amp; "|Operations - Core Title|Operations - Core Title")))</f>
        <v>|Operations - Core Title|Operations - Core Title</v>
      </c>
      <c r="AK488" s="35"/>
      <c r="AL488" s="117" t="str">
        <f>if('Ingest Template'!A488="Standard",(IF(OR('Ingest Template'!F488 = "Program Type - Special", 'Ingest Template'!F488 = "Program Type - Live Event"),'Ingest Template'!Q488&amp;"|"&amp;TEXT('Ingest Template'!C488-3, "yyyy-mm-dd")&amp;"|"&amp;TEXT('Ingest Template'!C488+3, "yyyy-mm-dd"),'Ingest Template'!Q488&amp; "|2021-01-01")),(IF(OR('Ingest Template'!F488 = "Program Type - Special", 'Ingest Template'!F488 = "Program Type - Live Event"),'Ingest Template'!Q488&amp; "|"&amp;TEXT('Ingest Template'!C488-3, "yyyy-mm-dd")&amp;"|"&amp;TEXT('Ingest Template'!C488+3, "yyyy-mm-dd"),'Ingest Template'!Q488)))</f>
        <v/>
      </c>
      <c r="AM488" s="35" t="str">
        <f>'Ingest Template'!AC488</f>
        <v/>
      </c>
    </row>
    <row r="489">
      <c r="A489" s="15"/>
      <c r="B489" s="22" t="str">
        <f>'Ingest Template'!C489&amp;IF('Ingest Template'!A489 = "Standard", " - DAR","")</f>
        <v/>
      </c>
      <c r="C489" s="22" t="s">
        <v>83</v>
      </c>
      <c r="D489" s="22" t="str">
        <f t="array" ref="D489">CONCATENATE(INDEX(DropdownLists!$H$2:$H$11,MATCH(1,COUNTIF('Ingest Template'!E489,"*"&amp;DropdownLists!$I$2:$I$11&amp;"*"),0)),CHAR(10),'Ingest Template'!F489,CHAR(10),'Ingest Template'!G489,CHAR(10),VLOOKUP('Ingest Template'!D489,DropdownLists!C:D,2,FALSE))</f>
        <v>#N/A</v>
      </c>
      <c r="E489" s="22" t="str">
        <f>CONCATENATE('Ingest Template'!H489,CHAR(10),'Ingest Template'!I489,CHAR(10),'Ingest Template'!J489,CHAR(10))</f>
        <v>
</v>
      </c>
      <c r="F489" s="35" t="str">
        <f t="array" ref="F489">INDEX(DropdownLists!$O$2:$O$36,MATCH(1,COUNTIF(E489,"*"&amp;DropdownLists!$N$2:$N$36&amp;"*"),0))</f>
        <v/>
      </c>
      <c r="G489" s="35"/>
      <c r="H489" s="22" t="str">
        <f t="array" ref="H489">INDEX(DropdownLists!$E$2:$E$276,MATCH('Ingest Template'!D489,DropdownLists!$C$2:$C$276,0))</f>
        <v>#N/A</v>
      </c>
      <c r="I489" s="22"/>
      <c r="J489" s="22" t="str">
        <f t="array" ref="J489">iF('Ingest Template'!A489="Standard","Pristine Brand",INDEX(DropdownLists!$B$2:$B$246,MATCH('Ingest Template'!D489,DropdownLists!$C$2:$C$246,0)))</f>
        <v>#N/A</v>
      </c>
      <c r="K489" s="22" t="str">
        <f>iF('Ingest Template'!A489="Standard",'Ingest Template'!K489&amp;CHAR(10)&amp;'Ingest Template'!L489,"Competitive View")</f>
        <v>Competitive View</v>
      </c>
      <c r="L489" s="22" t="s">
        <v>95</v>
      </c>
      <c r="M489" s="45" t="str">
        <f>'Ingest Template'!B489</f>
        <v/>
      </c>
      <c r="N489" s="35"/>
      <c r="O489" s="35"/>
      <c r="P489" s="35"/>
      <c r="Q489" s="35"/>
      <c r="R489" s="35" t="str">
        <f>'Ingest Template'!D489</f>
        <v/>
      </c>
      <c r="S489" s="22" t="s">
        <v>101</v>
      </c>
      <c r="T489" s="35" t="str">
        <f>'Ingest Template'!V489</f>
        <v/>
      </c>
      <c r="U489" s="35" t="str">
        <f>'Ingest Template'!W489</f>
        <v/>
      </c>
      <c r="V489" s="35" t="str">
        <f>LOWER(SUBSTITUTE(SUBSTITUTE(SUBSTITUTE(SUBSTITUTE(SUBSTITUTE('Ingest Template'!X489,"https:",""),"www.",""),"/",""),"?hl=en",""),"instagram.com",""))</f>
        <v/>
      </c>
      <c r="W489" s="74" t="str">
        <f t="array" ref="W489">IF(
'Ingest Template'!Y489="",
SUBSTITUTE(
INDEX(DropdownLists!$F$2:$F$277,MATCH('Ingest Template'!D489,DropdownLists!$C$2:$C$277,0)),
CHAR(10),
"|"&amp;'Ingest Template'!C489&amp;CHAR(10)
)&amp;"|"&amp;'Ingest Template'!C489,
SUBSTITUTE(
INDEX(DropdownLists!$F$2:$F$277,MATCH('Ingest Template'!D489,DropdownLists!$C$2:$C$277,0)),
CHAR(10),
"|"&amp;'Ingest Template'!C489&amp;CHAR(10)
)&amp;"|"&amp;'Ingest Template'!C489&amp;CHAR(10)&amp;'Ingest Template'!Y489
)</f>
        <v>#N/A</v>
      </c>
      <c r="X489" s="74" t="str">
        <f>'Ingest Template'!Z489</f>
        <v/>
      </c>
      <c r="Y489" s="35" t="str">
        <f>SUBSTITUTE(SUBSTITUTE(SUBSTITUTE('Ingest Template'!AA489,"http:",""),"https:",""),"/","")</f>
        <v/>
      </c>
      <c r="Z489" s="35" t="str">
        <f t="array" ref="Z489">IF('Ingest Template'!A489="Standard",(IF(ISBLANK('Ingest Template'!AB489),"", 'Ingest Template'!AB489&amp;"|DAR")),(IF(ISBLANK('Ingest Template'!AB489),"", 'Ingest Template'!AB489&amp;"|TV Ops")))</f>
        <v/>
      </c>
      <c r="AA489" s="35"/>
      <c r="AB489" s="35" t="str">
        <f>'Ingest Template'!R489</f>
        <v/>
      </c>
      <c r="AC489" s="35" t="str">
        <f>'Ingest Template'!T489</f>
        <v/>
      </c>
      <c r="AD489" s="35" t="str">
        <f>'Ingest Template'!S489</f>
        <v/>
      </c>
      <c r="AE489" s="35" t="str">
        <f>'Ingest Template'!U489</f>
        <v/>
      </c>
      <c r="AF489" s="22"/>
      <c r="AG489" s="35" t="str">
        <f t="array" ref="AG489">IF('Ingest Template'!A489="Standard",(CONCATENATE(IF(ISBLANK('Ingest Template'!N489),"", 'Ingest Template'!N489&amp;"|DAR"),CHAR(10), IF(ISBLANK('Ingest Template'!O489),"", 'Ingest Template'!O489&amp;"|DAR"),CHAR(10), IF(ISBLANK('Ingest Template'!P489),"", 'Ingest Template'!P489&amp;"|DAR"))),(CONCATENATE(IF(ISBLANK('Ingest Template'!N489),"", 'Ingest Template'!N489&amp;"|TV Ops"),CHAR(10), IF(ISBLANK('Ingest Template'!O489),"", 'Ingest Template'!O489&amp;"|TV Ops"),CHAR(10), IF(ISBLANK('Ingest Template'!P489),"", 'Ingest Template'!P489&amp;"|TV Ops"))))</f>
        <v>
</v>
      </c>
      <c r="AH489" s="35"/>
      <c r="AI489" s="35"/>
      <c r="AJ489" s="117" t="str">
        <f>if('Ingest Template'!A489="Standard",(IF(OR('Ingest Template'!F489 = "Program Type - Special", 'Ingest Template'!F489 = "Program Type - Live Event"),'Ingest Template'!M489&amp; "|DAR|DAR|"&amp;TEXT('Ingest Template'!C489-3, "yyyy-mm-dd")&amp;"|"&amp;TEXT('Ingest Template'!C489+3, "yyyy-mm-dd"),'Ingest Template'!M489&amp; "|DAR|DAR|2021-01-01")),(IF(OR('Ingest Template'!F489 = "Program Type - Special", 'Ingest Template'!F489 = "Program Type - Live Event"),'Ingest Template'!M489&amp; "|Operations - Core Title|Operations - Core Title|"&amp;TEXT('Ingest Template'!C489-3, "yyyy-mm-dd")&amp;"|"&amp;TEXT('Ingest Template'!C489+3, "yyyy-mm-dd"),'Ingest Template'!M489&amp; "|Operations - Core Title|Operations - Core Title")))</f>
        <v>|Operations - Core Title|Operations - Core Title</v>
      </c>
      <c r="AK489" s="35"/>
      <c r="AL489" s="117" t="str">
        <f>if('Ingest Template'!A489="Standard",(IF(OR('Ingest Template'!F489 = "Program Type - Special", 'Ingest Template'!F489 = "Program Type - Live Event"),'Ingest Template'!Q489&amp;"|"&amp;TEXT('Ingest Template'!C489-3, "yyyy-mm-dd")&amp;"|"&amp;TEXT('Ingest Template'!C489+3, "yyyy-mm-dd"),'Ingest Template'!Q489&amp; "|2021-01-01")),(IF(OR('Ingest Template'!F489 = "Program Type - Special", 'Ingest Template'!F489 = "Program Type - Live Event"),'Ingest Template'!Q489&amp; "|"&amp;TEXT('Ingest Template'!C489-3, "yyyy-mm-dd")&amp;"|"&amp;TEXT('Ingest Template'!C489+3, "yyyy-mm-dd"),'Ingest Template'!Q489)))</f>
        <v/>
      </c>
      <c r="AM489" s="35" t="str">
        <f>'Ingest Template'!AC489</f>
        <v/>
      </c>
    </row>
    <row r="490">
      <c r="A490" s="15"/>
      <c r="B490" s="22" t="str">
        <f>'Ingest Template'!C490&amp;IF('Ingest Template'!A490 = "Standard", " - DAR","")</f>
        <v/>
      </c>
      <c r="C490" s="22" t="s">
        <v>83</v>
      </c>
      <c r="D490" s="22" t="str">
        <f t="array" ref="D490">CONCATENATE(INDEX(DropdownLists!$H$2:$H$11,MATCH(1,COUNTIF('Ingest Template'!E490,"*"&amp;DropdownLists!$I$2:$I$11&amp;"*"),0)),CHAR(10),'Ingest Template'!F490,CHAR(10),'Ingest Template'!G490,CHAR(10),VLOOKUP('Ingest Template'!D490,DropdownLists!C:D,2,FALSE))</f>
        <v>#N/A</v>
      </c>
      <c r="E490" s="22" t="str">
        <f>CONCATENATE('Ingest Template'!H490,CHAR(10),'Ingest Template'!I490,CHAR(10),'Ingest Template'!J490,CHAR(10))</f>
        <v>
</v>
      </c>
      <c r="F490" s="35" t="str">
        <f t="array" ref="F490">INDEX(DropdownLists!$O$2:$O$36,MATCH(1,COUNTIF(E490,"*"&amp;DropdownLists!$N$2:$N$36&amp;"*"),0))</f>
        <v/>
      </c>
      <c r="G490" s="35"/>
      <c r="H490" s="22" t="str">
        <f t="array" ref="H490">INDEX(DropdownLists!$E$2:$E$276,MATCH('Ingest Template'!D490,DropdownLists!$C$2:$C$276,0))</f>
        <v>#N/A</v>
      </c>
      <c r="I490" s="22"/>
      <c r="J490" s="22" t="str">
        <f t="array" ref="J490">iF('Ingest Template'!A490="Standard","Pristine Brand",INDEX(DropdownLists!$B$2:$B$246,MATCH('Ingest Template'!D490,DropdownLists!$C$2:$C$246,0)))</f>
        <v>#N/A</v>
      </c>
      <c r="K490" s="22" t="str">
        <f>iF('Ingest Template'!A490="Standard",'Ingest Template'!K490&amp;CHAR(10)&amp;'Ingest Template'!L490,"Competitive View")</f>
        <v>Competitive View</v>
      </c>
      <c r="L490" s="22" t="s">
        <v>95</v>
      </c>
      <c r="M490" s="45" t="str">
        <f>'Ingest Template'!B490</f>
        <v/>
      </c>
      <c r="N490" s="35"/>
      <c r="O490" s="35"/>
      <c r="P490" s="35"/>
      <c r="Q490" s="35"/>
      <c r="R490" s="35" t="str">
        <f>'Ingest Template'!D490</f>
        <v/>
      </c>
      <c r="S490" s="22" t="s">
        <v>101</v>
      </c>
      <c r="T490" s="35" t="str">
        <f>'Ingest Template'!V490</f>
        <v/>
      </c>
      <c r="U490" s="35" t="str">
        <f>'Ingest Template'!W490</f>
        <v/>
      </c>
      <c r="V490" s="35" t="str">
        <f>LOWER(SUBSTITUTE(SUBSTITUTE(SUBSTITUTE(SUBSTITUTE(SUBSTITUTE('Ingest Template'!X490,"https:",""),"www.",""),"/",""),"?hl=en",""),"instagram.com",""))</f>
        <v/>
      </c>
      <c r="W490" s="74" t="str">
        <f t="array" ref="W490">IF(
'Ingest Template'!Y490="",
SUBSTITUTE(
INDEX(DropdownLists!$F$2:$F$277,MATCH('Ingest Template'!D490,DropdownLists!$C$2:$C$277,0)),
CHAR(10),
"|"&amp;'Ingest Template'!C490&amp;CHAR(10)
)&amp;"|"&amp;'Ingest Template'!C490,
SUBSTITUTE(
INDEX(DropdownLists!$F$2:$F$277,MATCH('Ingest Template'!D490,DropdownLists!$C$2:$C$277,0)),
CHAR(10),
"|"&amp;'Ingest Template'!C490&amp;CHAR(10)
)&amp;"|"&amp;'Ingest Template'!C490&amp;CHAR(10)&amp;'Ingest Template'!Y490
)</f>
        <v>#N/A</v>
      </c>
      <c r="X490" s="74" t="str">
        <f>'Ingest Template'!Z490</f>
        <v/>
      </c>
      <c r="Y490" s="35" t="str">
        <f>SUBSTITUTE(SUBSTITUTE(SUBSTITUTE('Ingest Template'!AA490,"http:",""),"https:",""),"/","")</f>
        <v/>
      </c>
      <c r="Z490" s="35" t="str">
        <f t="array" ref="Z490">IF('Ingest Template'!A490="Standard",(IF(ISBLANK('Ingest Template'!AB490),"", 'Ingest Template'!AB490&amp;"|DAR")),(IF(ISBLANK('Ingest Template'!AB490),"", 'Ingest Template'!AB490&amp;"|TV Ops")))</f>
        <v/>
      </c>
      <c r="AA490" s="35"/>
      <c r="AB490" s="35" t="str">
        <f>'Ingest Template'!R490</f>
        <v/>
      </c>
      <c r="AC490" s="35" t="str">
        <f>'Ingest Template'!T490</f>
        <v/>
      </c>
      <c r="AD490" s="35" t="str">
        <f>'Ingest Template'!S490</f>
        <v/>
      </c>
      <c r="AE490" s="35" t="str">
        <f>'Ingest Template'!U490</f>
        <v/>
      </c>
      <c r="AF490" s="22"/>
      <c r="AG490" s="35" t="str">
        <f t="array" ref="AG490">IF('Ingest Template'!A490="Standard",(CONCATENATE(IF(ISBLANK('Ingest Template'!N490),"", 'Ingest Template'!N490&amp;"|DAR"),CHAR(10), IF(ISBLANK('Ingest Template'!O490),"", 'Ingest Template'!O490&amp;"|DAR"),CHAR(10), IF(ISBLANK('Ingest Template'!P490),"", 'Ingest Template'!P490&amp;"|DAR"))),(CONCATENATE(IF(ISBLANK('Ingest Template'!N490),"", 'Ingest Template'!N490&amp;"|TV Ops"),CHAR(10), IF(ISBLANK('Ingest Template'!O490),"", 'Ingest Template'!O490&amp;"|TV Ops"),CHAR(10), IF(ISBLANK('Ingest Template'!P490),"", 'Ingest Template'!P490&amp;"|TV Ops"))))</f>
        <v>
</v>
      </c>
      <c r="AH490" s="35"/>
      <c r="AI490" s="35"/>
      <c r="AJ490" s="117" t="str">
        <f>if('Ingest Template'!A490="Standard",(IF(OR('Ingest Template'!F490 = "Program Type - Special", 'Ingest Template'!F490 = "Program Type - Live Event"),'Ingest Template'!M490&amp; "|DAR|DAR|"&amp;TEXT('Ingest Template'!C490-3, "yyyy-mm-dd")&amp;"|"&amp;TEXT('Ingest Template'!C490+3, "yyyy-mm-dd"),'Ingest Template'!M490&amp; "|DAR|DAR|2021-01-01")),(IF(OR('Ingest Template'!F490 = "Program Type - Special", 'Ingest Template'!F490 = "Program Type - Live Event"),'Ingest Template'!M490&amp; "|Operations - Core Title|Operations - Core Title|"&amp;TEXT('Ingest Template'!C490-3, "yyyy-mm-dd")&amp;"|"&amp;TEXT('Ingest Template'!C490+3, "yyyy-mm-dd"),'Ingest Template'!M490&amp; "|Operations - Core Title|Operations - Core Title")))</f>
        <v>|Operations - Core Title|Operations - Core Title</v>
      </c>
      <c r="AK490" s="35"/>
      <c r="AL490" s="117" t="str">
        <f>if('Ingest Template'!A490="Standard",(IF(OR('Ingest Template'!F490 = "Program Type - Special", 'Ingest Template'!F490 = "Program Type - Live Event"),'Ingest Template'!Q490&amp;"|"&amp;TEXT('Ingest Template'!C490-3, "yyyy-mm-dd")&amp;"|"&amp;TEXT('Ingest Template'!C490+3, "yyyy-mm-dd"),'Ingest Template'!Q490&amp; "|2021-01-01")),(IF(OR('Ingest Template'!F490 = "Program Type - Special", 'Ingest Template'!F490 = "Program Type - Live Event"),'Ingest Template'!Q490&amp; "|"&amp;TEXT('Ingest Template'!C490-3, "yyyy-mm-dd")&amp;"|"&amp;TEXT('Ingest Template'!C490+3, "yyyy-mm-dd"),'Ingest Template'!Q490)))</f>
        <v/>
      </c>
      <c r="AM490" s="35" t="str">
        <f>'Ingest Template'!AC490</f>
        <v/>
      </c>
    </row>
    <row r="491">
      <c r="A491" s="15"/>
      <c r="B491" s="22" t="str">
        <f>'Ingest Template'!C491&amp;IF('Ingest Template'!A491 = "Standard", " - DAR","")</f>
        <v/>
      </c>
      <c r="C491" s="22" t="s">
        <v>83</v>
      </c>
      <c r="D491" s="22" t="str">
        <f t="array" ref="D491">CONCATENATE(INDEX(DropdownLists!$H$2:$H$11,MATCH(1,COUNTIF('Ingest Template'!E491,"*"&amp;DropdownLists!$I$2:$I$11&amp;"*"),0)),CHAR(10),'Ingest Template'!F491,CHAR(10),'Ingest Template'!G491,CHAR(10),VLOOKUP('Ingest Template'!D491,DropdownLists!C:D,2,FALSE))</f>
        <v>#N/A</v>
      </c>
      <c r="E491" s="22" t="str">
        <f>CONCATENATE('Ingest Template'!H491,CHAR(10),'Ingest Template'!I491,CHAR(10),'Ingest Template'!J491,CHAR(10))</f>
        <v>
</v>
      </c>
      <c r="F491" s="35" t="str">
        <f t="array" ref="F491">INDEX(DropdownLists!$O$2:$O$36,MATCH(1,COUNTIF(E491,"*"&amp;DropdownLists!$N$2:$N$36&amp;"*"),0))</f>
        <v/>
      </c>
      <c r="G491" s="35"/>
      <c r="H491" s="22" t="str">
        <f t="array" ref="H491">INDEX(DropdownLists!$E$2:$E$276,MATCH('Ingest Template'!D491,DropdownLists!$C$2:$C$276,0))</f>
        <v>#N/A</v>
      </c>
      <c r="I491" s="22"/>
      <c r="J491" s="22" t="str">
        <f t="array" ref="J491">iF('Ingest Template'!A491="Standard","Pristine Brand",INDEX(DropdownLists!$B$2:$B$246,MATCH('Ingest Template'!D491,DropdownLists!$C$2:$C$246,0)))</f>
        <v>#N/A</v>
      </c>
      <c r="K491" s="22" t="str">
        <f>iF('Ingest Template'!A491="Standard",'Ingest Template'!K491&amp;CHAR(10)&amp;'Ingest Template'!L491,"Competitive View")</f>
        <v>Competitive View</v>
      </c>
      <c r="L491" s="22" t="s">
        <v>95</v>
      </c>
      <c r="M491" s="45" t="str">
        <f>'Ingest Template'!B491</f>
        <v/>
      </c>
      <c r="N491" s="35"/>
      <c r="O491" s="35"/>
      <c r="P491" s="35"/>
      <c r="Q491" s="35"/>
      <c r="R491" s="35" t="str">
        <f>'Ingest Template'!D491</f>
        <v/>
      </c>
      <c r="S491" s="22" t="s">
        <v>101</v>
      </c>
      <c r="T491" s="35" t="str">
        <f>'Ingest Template'!V491</f>
        <v/>
      </c>
      <c r="U491" s="35" t="str">
        <f>'Ingest Template'!W491</f>
        <v/>
      </c>
      <c r="V491" s="35" t="str">
        <f>LOWER(SUBSTITUTE(SUBSTITUTE(SUBSTITUTE(SUBSTITUTE(SUBSTITUTE('Ingest Template'!X491,"https:",""),"www.",""),"/",""),"?hl=en",""),"instagram.com",""))</f>
        <v/>
      </c>
      <c r="W491" s="74" t="str">
        <f t="array" ref="W491">IF(
'Ingest Template'!Y491="",
SUBSTITUTE(
INDEX(DropdownLists!$F$2:$F$277,MATCH('Ingest Template'!D491,DropdownLists!$C$2:$C$277,0)),
CHAR(10),
"|"&amp;'Ingest Template'!C491&amp;CHAR(10)
)&amp;"|"&amp;'Ingest Template'!C491,
SUBSTITUTE(
INDEX(DropdownLists!$F$2:$F$277,MATCH('Ingest Template'!D491,DropdownLists!$C$2:$C$277,0)),
CHAR(10),
"|"&amp;'Ingest Template'!C491&amp;CHAR(10)
)&amp;"|"&amp;'Ingest Template'!C491&amp;CHAR(10)&amp;'Ingest Template'!Y491
)</f>
        <v>#N/A</v>
      </c>
      <c r="X491" s="74" t="str">
        <f>'Ingest Template'!Z491</f>
        <v/>
      </c>
      <c r="Y491" s="35" t="str">
        <f>SUBSTITUTE(SUBSTITUTE(SUBSTITUTE('Ingest Template'!AA491,"http:",""),"https:",""),"/","")</f>
        <v/>
      </c>
      <c r="Z491" s="35" t="str">
        <f t="array" ref="Z491">IF('Ingest Template'!A491="Standard",(IF(ISBLANK('Ingest Template'!AB491),"", 'Ingest Template'!AB491&amp;"|DAR")),(IF(ISBLANK('Ingest Template'!AB491),"", 'Ingest Template'!AB491&amp;"|TV Ops")))</f>
        <v/>
      </c>
      <c r="AA491" s="35"/>
      <c r="AB491" s="35" t="str">
        <f>'Ingest Template'!R491</f>
        <v/>
      </c>
      <c r="AC491" s="35" t="str">
        <f>'Ingest Template'!T491</f>
        <v/>
      </c>
      <c r="AD491" s="35" t="str">
        <f>'Ingest Template'!S491</f>
        <v/>
      </c>
      <c r="AE491" s="35" t="str">
        <f>'Ingest Template'!U491</f>
        <v/>
      </c>
      <c r="AF491" s="22"/>
      <c r="AG491" s="35" t="str">
        <f t="array" ref="AG491">IF('Ingest Template'!A491="Standard",(CONCATENATE(IF(ISBLANK('Ingest Template'!N491),"", 'Ingest Template'!N491&amp;"|DAR"),CHAR(10), IF(ISBLANK('Ingest Template'!O491),"", 'Ingest Template'!O491&amp;"|DAR"),CHAR(10), IF(ISBLANK('Ingest Template'!P491),"", 'Ingest Template'!P491&amp;"|DAR"))),(CONCATENATE(IF(ISBLANK('Ingest Template'!N491),"", 'Ingest Template'!N491&amp;"|TV Ops"),CHAR(10), IF(ISBLANK('Ingest Template'!O491),"", 'Ingest Template'!O491&amp;"|TV Ops"),CHAR(10), IF(ISBLANK('Ingest Template'!P491),"", 'Ingest Template'!P491&amp;"|TV Ops"))))</f>
        <v>
</v>
      </c>
      <c r="AH491" s="35"/>
      <c r="AI491" s="35"/>
      <c r="AJ491" s="117" t="str">
        <f>if('Ingest Template'!A491="Standard",(IF(OR('Ingest Template'!F491 = "Program Type - Special", 'Ingest Template'!F491 = "Program Type - Live Event"),'Ingest Template'!M491&amp; "|DAR|DAR|"&amp;TEXT('Ingest Template'!C491-3, "yyyy-mm-dd")&amp;"|"&amp;TEXT('Ingest Template'!C491+3, "yyyy-mm-dd"),'Ingest Template'!M491&amp; "|DAR|DAR|2021-01-01")),(IF(OR('Ingest Template'!F491 = "Program Type - Special", 'Ingest Template'!F491 = "Program Type - Live Event"),'Ingest Template'!M491&amp; "|Operations - Core Title|Operations - Core Title|"&amp;TEXT('Ingest Template'!C491-3, "yyyy-mm-dd")&amp;"|"&amp;TEXT('Ingest Template'!C491+3, "yyyy-mm-dd"),'Ingest Template'!M491&amp; "|Operations - Core Title|Operations - Core Title")))</f>
        <v>|Operations - Core Title|Operations - Core Title</v>
      </c>
      <c r="AK491" s="35"/>
      <c r="AL491" s="117" t="str">
        <f>if('Ingest Template'!A491="Standard",(IF(OR('Ingest Template'!F491 = "Program Type - Special", 'Ingest Template'!F491 = "Program Type - Live Event"),'Ingest Template'!Q491&amp;"|"&amp;TEXT('Ingest Template'!C491-3, "yyyy-mm-dd")&amp;"|"&amp;TEXT('Ingest Template'!C491+3, "yyyy-mm-dd"),'Ingest Template'!Q491&amp; "|2021-01-01")),(IF(OR('Ingest Template'!F491 = "Program Type - Special", 'Ingest Template'!F491 = "Program Type - Live Event"),'Ingest Template'!Q491&amp; "|"&amp;TEXT('Ingest Template'!C491-3, "yyyy-mm-dd")&amp;"|"&amp;TEXT('Ingest Template'!C491+3, "yyyy-mm-dd"),'Ingest Template'!Q491)))</f>
        <v/>
      </c>
      <c r="AM491" s="35" t="str">
        <f>'Ingest Template'!AC491</f>
        <v/>
      </c>
    </row>
    <row r="492">
      <c r="A492" s="15"/>
      <c r="B492" s="22" t="str">
        <f>'Ingest Template'!C492&amp;IF('Ingest Template'!A492 = "Standard", " - DAR","")</f>
        <v/>
      </c>
      <c r="C492" s="22" t="s">
        <v>83</v>
      </c>
      <c r="D492" s="22" t="str">
        <f t="array" ref="D492">CONCATENATE(INDEX(DropdownLists!$H$2:$H$11,MATCH(1,COUNTIF('Ingest Template'!E492,"*"&amp;DropdownLists!$I$2:$I$11&amp;"*"),0)),CHAR(10),'Ingest Template'!F492,CHAR(10),'Ingest Template'!G492,CHAR(10),VLOOKUP('Ingest Template'!D492,DropdownLists!C:D,2,FALSE))</f>
        <v>#N/A</v>
      </c>
      <c r="E492" s="22" t="str">
        <f>CONCATENATE('Ingest Template'!H492,CHAR(10),'Ingest Template'!I492,CHAR(10),'Ingest Template'!J492,CHAR(10))</f>
        <v>
</v>
      </c>
      <c r="F492" s="35" t="str">
        <f t="array" ref="F492">INDEX(DropdownLists!$O$2:$O$36,MATCH(1,COUNTIF(E492,"*"&amp;DropdownLists!$N$2:$N$36&amp;"*"),0))</f>
        <v/>
      </c>
      <c r="G492" s="35"/>
      <c r="H492" s="22" t="str">
        <f t="array" ref="H492">INDEX(DropdownLists!$E$2:$E$276,MATCH('Ingest Template'!D492,DropdownLists!$C$2:$C$276,0))</f>
        <v>#N/A</v>
      </c>
      <c r="I492" s="22"/>
      <c r="J492" s="22" t="str">
        <f t="array" ref="J492">iF('Ingest Template'!A492="Standard","Pristine Brand",INDEX(DropdownLists!$B$2:$B$246,MATCH('Ingest Template'!D492,DropdownLists!$C$2:$C$246,0)))</f>
        <v>#N/A</v>
      </c>
      <c r="K492" s="22" t="str">
        <f>iF('Ingest Template'!A492="Standard",'Ingest Template'!K492&amp;CHAR(10)&amp;'Ingest Template'!L492,"Competitive View")</f>
        <v>Competitive View</v>
      </c>
      <c r="L492" s="22" t="s">
        <v>95</v>
      </c>
      <c r="M492" s="45" t="str">
        <f>'Ingest Template'!B492</f>
        <v/>
      </c>
      <c r="N492" s="35"/>
      <c r="O492" s="35"/>
      <c r="P492" s="35"/>
      <c r="Q492" s="35"/>
      <c r="R492" s="35" t="str">
        <f>'Ingest Template'!D492</f>
        <v/>
      </c>
      <c r="S492" s="22" t="s">
        <v>101</v>
      </c>
      <c r="T492" s="35" t="str">
        <f>'Ingest Template'!V492</f>
        <v/>
      </c>
      <c r="U492" s="35" t="str">
        <f>'Ingest Template'!W492</f>
        <v/>
      </c>
      <c r="V492" s="35" t="str">
        <f>LOWER(SUBSTITUTE(SUBSTITUTE(SUBSTITUTE(SUBSTITUTE(SUBSTITUTE('Ingest Template'!X492,"https:",""),"www.",""),"/",""),"?hl=en",""),"instagram.com",""))</f>
        <v/>
      </c>
      <c r="W492" s="74" t="str">
        <f t="array" ref="W492">IF(
'Ingest Template'!Y492="",
SUBSTITUTE(
INDEX(DropdownLists!$F$2:$F$277,MATCH('Ingest Template'!D492,DropdownLists!$C$2:$C$277,0)),
CHAR(10),
"|"&amp;'Ingest Template'!C492&amp;CHAR(10)
)&amp;"|"&amp;'Ingest Template'!C492,
SUBSTITUTE(
INDEX(DropdownLists!$F$2:$F$277,MATCH('Ingest Template'!D492,DropdownLists!$C$2:$C$277,0)),
CHAR(10),
"|"&amp;'Ingest Template'!C492&amp;CHAR(10)
)&amp;"|"&amp;'Ingest Template'!C492&amp;CHAR(10)&amp;'Ingest Template'!Y492
)</f>
        <v>#N/A</v>
      </c>
      <c r="X492" s="74" t="str">
        <f>'Ingest Template'!Z492</f>
        <v/>
      </c>
      <c r="Y492" s="35" t="str">
        <f>SUBSTITUTE(SUBSTITUTE(SUBSTITUTE('Ingest Template'!AA492,"http:",""),"https:",""),"/","")</f>
        <v/>
      </c>
      <c r="Z492" s="35" t="str">
        <f t="array" ref="Z492">IF('Ingest Template'!A492="Standard",(IF(ISBLANK('Ingest Template'!AB492),"", 'Ingest Template'!AB492&amp;"|DAR")),(IF(ISBLANK('Ingest Template'!AB492),"", 'Ingest Template'!AB492&amp;"|TV Ops")))</f>
        <v/>
      </c>
      <c r="AA492" s="35"/>
      <c r="AB492" s="35" t="str">
        <f>'Ingest Template'!R492</f>
        <v/>
      </c>
      <c r="AC492" s="35" t="str">
        <f>'Ingest Template'!T492</f>
        <v/>
      </c>
      <c r="AD492" s="35" t="str">
        <f>'Ingest Template'!S492</f>
        <v/>
      </c>
      <c r="AE492" s="35" t="str">
        <f>'Ingest Template'!U492</f>
        <v/>
      </c>
      <c r="AF492" s="22"/>
      <c r="AG492" s="35" t="str">
        <f t="array" ref="AG492">IF('Ingest Template'!A492="Standard",(CONCATENATE(IF(ISBLANK('Ingest Template'!N492),"", 'Ingest Template'!N492&amp;"|DAR"),CHAR(10), IF(ISBLANK('Ingest Template'!O492),"", 'Ingest Template'!O492&amp;"|DAR"),CHAR(10), IF(ISBLANK('Ingest Template'!P492),"", 'Ingest Template'!P492&amp;"|DAR"))),(CONCATENATE(IF(ISBLANK('Ingest Template'!N492),"", 'Ingest Template'!N492&amp;"|TV Ops"),CHAR(10), IF(ISBLANK('Ingest Template'!O492),"", 'Ingest Template'!O492&amp;"|TV Ops"),CHAR(10), IF(ISBLANK('Ingest Template'!P492),"", 'Ingest Template'!P492&amp;"|TV Ops"))))</f>
        <v>
</v>
      </c>
      <c r="AH492" s="35"/>
      <c r="AI492" s="35"/>
      <c r="AJ492" s="117" t="str">
        <f>if('Ingest Template'!A492="Standard",(IF(OR('Ingest Template'!F492 = "Program Type - Special", 'Ingest Template'!F492 = "Program Type - Live Event"),'Ingest Template'!M492&amp; "|DAR|DAR|"&amp;TEXT('Ingest Template'!C492-3, "yyyy-mm-dd")&amp;"|"&amp;TEXT('Ingest Template'!C492+3, "yyyy-mm-dd"),'Ingest Template'!M492&amp; "|DAR|DAR|2021-01-01")),(IF(OR('Ingest Template'!F492 = "Program Type - Special", 'Ingest Template'!F492 = "Program Type - Live Event"),'Ingest Template'!M492&amp; "|Operations - Core Title|Operations - Core Title|"&amp;TEXT('Ingest Template'!C492-3, "yyyy-mm-dd")&amp;"|"&amp;TEXT('Ingest Template'!C492+3, "yyyy-mm-dd"),'Ingest Template'!M492&amp; "|Operations - Core Title|Operations - Core Title")))</f>
        <v>|Operations - Core Title|Operations - Core Title</v>
      </c>
      <c r="AK492" s="35"/>
      <c r="AL492" s="117" t="str">
        <f>if('Ingest Template'!A492="Standard",(IF(OR('Ingest Template'!F492 = "Program Type - Special", 'Ingest Template'!F492 = "Program Type - Live Event"),'Ingest Template'!Q492&amp;"|"&amp;TEXT('Ingest Template'!C492-3, "yyyy-mm-dd")&amp;"|"&amp;TEXT('Ingest Template'!C492+3, "yyyy-mm-dd"),'Ingest Template'!Q492&amp; "|2021-01-01")),(IF(OR('Ingest Template'!F492 = "Program Type - Special", 'Ingest Template'!F492 = "Program Type - Live Event"),'Ingest Template'!Q492&amp; "|"&amp;TEXT('Ingest Template'!C492-3, "yyyy-mm-dd")&amp;"|"&amp;TEXT('Ingest Template'!C492+3, "yyyy-mm-dd"),'Ingest Template'!Q492)))</f>
        <v/>
      </c>
      <c r="AM492" s="35" t="str">
        <f>'Ingest Template'!AC492</f>
        <v/>
      </c>
    </row>
    <row r="493">
      <c r="A493" s="15"/>
      <c r="B493" s="22" t="str">
        <f>'Ingest Template'!C493&amp;IF('Ingest Template'!A493 = "Standard", " - DAR","")</f>
        <v/>
      </c>
      <c r="C493" s="22" t="s">
        <v>83</v>
      </c>
      <c r="D493" s="22" t="str">
        <f t="array" ref="D493">CONCATENATE(INDEX(DropdownLists!$H$2:$H$11,MATCH(1,COUNTIF('Ingest Template'!E493,"*"&amp;DropdownLists!$I$2:$I$11&amp;"*"),0)),CHAR(10),'Ingest Template'!F493,CHAR(10),'Ingest Template'!G493,CHAR(10),VLOOKUP('Ingest Template'!D493,DropdownLists!C:D,2,FALSE))</f>
        <v>#N/A</v>
      </c>
      <c r="E493" s="22" t="str">
        <f>CONCATENATE('Ingest Template'!H493,CHAR(10),'Ingest Template'!I493,CHAR(10),'Ingest Template'!J493,CHAR(10))</f>
        <v>
</v>
      </c>
      <c r="F493" s="35" t="str">
        <f t="array" ref="F493">INDEX(DropdownLists!$O$2:$O$36,MATCH(1,COUNTIF(E493,"*"&amp;DropdownLists!$N$2:$N$36&amp;"*"),0))</f>
        <v/>
      </c>
      <c r="G493" s="35"/>
      <c r="H493" s="22" t="str">
        <f t="array" ref="H493">INDEX(DropdownLists!$E$2:$E$276,MATCH('Ingest Template'!D493,DropdownLists!$C$2:$C$276,0))</f>
        <v>#N/A</v>
      </c>
      <c r="I493" s="22"/>
      <c r="J493" s="22" t="str">
        <f t="array" ref="J493">iF('Ingest Template'!A493="Standard","Pristine Brand",INDEX(DropdownLists!$B$2:$B$246,MATCH('Ingest Template'!D493,DropdownLists!$C$2:$C$246,0)))</f>
        <v>#N/A</v>
      </c>
      <c r="K493" s="22" t="str">
        <f>iF('Ingest Template'!A493="Standard",'Ingest Template'!K493&amp;CHAR(10)&amp;'Ingest Template'!L493,"Competitive View")</f>
        <v>Competitive View</v>
      </c>
      <c r="L493" s="22" t="s">
        <v>95</v>
      </c>
      <c r="M493" s="45" t="str">
        <f>'Ingest Template'!B493</f>
        <v/>
      </c>
      <c r="N493" s="35"/>
      <c r="O493" s="35"/>
      <c r="P493" s="35"/>
      <c r="Q493" s="35"/>
      <c r="R493" s="35" t="str">
        <f>'Ingest Template'!D493</f>
        <v/>
      </c>
      <c r="S493" s="22" t="s">
        <v>101</v>
      </c>
      <c r="T493" s="35" t="str">
        <f>'Ingest Template'!V493</f>
        <v/>
      </c>
      <c r="U493" s="35" t="str">
        <f>'Ingest Template'!W493</f>
        <v/>
      </c>
      <c r="V493" s="35" t="str">
        <f>LOWER(SUBSTITUTE(SUBSTITUTE(SUBSTITUTE(SUBSTITUTE(SUBSTITUTE('Ingest Template'!X493,"https:",""),"www.",""),"/",""),"?hl=en",""),"instagram.com",""))</f>
        <v/>
      </c>
      <c r="W493" s="74" t="str">
        <f t="array" ref="W493">IF(
'Ingest Template'!Y493="",
SUBSTITUTE(
INDEX(DropdownLists!$F$2:$F$277,MATCH('Ingest Template'!D493,DropdownLists!$C$2:$C$277,0)),
CHAR(10),
"|"&amp;'Ingest Template'!C493&amp;CHAR(10)
)&amp;"|"&amp;'Ingest Template'!C493,
SUBSTITUTE(
INDEX(DropdownLists!$F$2:$F$277,MATCH('Ingest Template'!D493,DropdownLists!$C$2:$C$277,0)),
CHAR(10),
"|"&amp;'Ingest Template'!C493&amp;CHAR(10)
)&amp;"|"&amp;'Ingest Template'!C493&amp;CHAR(10)&amp;'Ingest Template'!Y493
)</f>
        <v>#N/A</v>
      </c>
      <c r="X493" s="74" t="str">
        <f>'Ingest Template'!Z493</f>
        <v/>
      </c>
      <c r="Y493" s="35" t="str">
        <f>SUBSTITUTE(SUBSTITUTE(SUBSTITUTE('Ingest Template'!AA493,"http:",""),"https:",""),"/","")</f>
        <v/>
      </c>
      <c r="Z493" s="35" t="str">
        <f t="array" ref="Z493">IF('Ingest Template'!A493="Standard",(IF(ISBLANK('Ingest Template'!AB493),"", 'Ingest Template'!AB493&amp;"|DAR")),(IF(ISBLANK('Ingest Template'!AB493),"", 'Ingest Template'!AB493&amp;"|TV Ops")))</f>
        <v/>
      </c>
      <c r="AA493" s="35"/>
      <c r="AB493" s="35" t="str">
        <f>'Ingest Template'!R493</f>
        <v/>
      </c>
      <c r="AC493" s="35" t="str">
        <f>'Ingest Template'!T493</f>
        <v/>
      </c>
      <c r="AD493" s="35" t="str">
        <f>'Ingest Template'!S493</f>
        <v/>
      </c>
      <c r="AE493" s="35" t="str">
        <f>'Ingest Template'!U493</f>
        <v/>
      </c>
      <c r="AF493" s="22"/>
      <c r="AG493" s="35" t="str">
        <f t="array" ref="AG493">IF('Ingest Template'!A493="Standard",(CONCATENATE(IF(ISBLANK('Ingest Template'!N493),"", 'Ingest Template'!N493&amp;"|DAR"),CHAR(10), IF(ISBLANK('Ingest Template'!O493),"", 'Ingest Template'!O493&amp;"|DAR"),CHAR(10), IF(ISBLANK('Ingest Template'!P493),"", 'Ingest Template'!P493&amp;"|DAR"))),(CONCATENATE(IF(ISBLANK('Ingest Template'!N493),"", 'Ingest Template'!N493&amp;"|TV Ops"),CHAR(10), IF(ISBLANK('Ingest Template'!O493),"", 'Ingest Template'!O493&amp;"|TV Ops"),CHAR(10), IF(ISBLANK('Ingest Template'!P493),"", 'Ingest Template'!P493&amp;"|TV Ops"))))</f>
        <v>
</v>
      </c>
      <c r="AH493" s="35"/>
      <c r="AI493" s="35"/>
      <c r="AJ493" s="117" t="str">
        <f>if('Ingest Template'!A493="Standard",(IF(OR('Ingest Template'!F493 = "Program Type - Special", 'Ingest Template'!F493 = "Program Type - Live Event"),'Ingest Template'!M493&amp; "|DAR|DAR|"&amp;TEXT('Ingest Template'!C493-3, "yyyy-mm-dd")&amp;"|"&amp;TEXT('Ingest Template'!C493+3, "yyyy-mm-dd"),'Ingest Template'!M493&amp; "|DAR|DAR|2021-01-01")),(IF(OR('Ingest Template'!F493 = "Program Type - Special", 'Ingest Template'!F493 = "Program Type - Live Event"),'Ingest Template'!M493&amp; "|Operations - Core Title|Operations - Core Title|"&amp;TEXT('Ingest Template'!C493-3, "yyyy-mm-dd")&amp;"|"&amp;TEXT('Ingest Template'!C493+3, "yyyy-mm-dd"),'Ingest Template'!M493&amp; "|Operations - Core Title|Operations - Core Title")))</f>
        <v>|Operations - Core Title|Operations - Core Title</v>
      </c>
      <c r="AK493" s="35"/>
      <c r="AL493" s="117" t="str">
        <f>if('Ingest Template'!A493="Standard",(IF(OR('Ingest Template'!F493 = "Program Type - Special", 'Ingest Template'!F493 = "Program Type - Live Event"),'Ingest Template'!Q493&amp;"|"&amp;TEXT('Ingest Template'!C493-3, "yyyy-mm-dd")&amp;"|"&amp;TEXT('Ingest Template'!C493+3, "yyyy-mm-dd"),'Ingest Template'!Q493&amp; "|2021-01-01")),(IF(OR('Ingest Template'!F493 = "Program Type - Special", 'Ingest Template'!F493 = "Program Type - Live Event"),'Ingest Template'!Q493&amp; "|"&amp;TEXT('Ingest Template'!C493-3, "yyyy-mm-dd")&amp;"|"&amp;TEXT('Ingest Template'!C493+3, "yyyy-mm-dd"),'Ingest Template'!Q493)))</f>
        <v/>
      </c>
      <c r="AM493" s="35" t="str">
        <f>'Ingest Template'!AC493</f>
        <v/>
      </c>
    </row>
    <row r="494">
      <c r="A494" s="15"/>
      <c r="B494" s="22" t="str">
        <f>'Ingest Template'!C494&amp;IF('Ingest Template'!A494 = "Standard", " - DAR","")</f>
        <v/>
      </c>
      <c r="C494" s="22" t="s">
        <v>83</v>
      </c>
      <c r="D494" s="22" t="str">
        <f t="array" ref="D494">CONCATENATE(INDEX(DropdownLists!$H$2:$H$11,MATCH(1,COUNTIF('Ingest Template'!E494,"*"&amp;DropdownLists!$I$2:$I$11&amp;"*"),0)),CHAR(10),'Ingest Template'!F494,CHAR(10),'Ingest Template'!G494,CHAR(10),VLOOKUP('Ingest Template'!D494,DropdownLists!C:D,2,FALSE))</f>
        <v>#N/A</v>
      </c>
      <c r="E494" s="22" t="str">
        <f>CONCATENATE('Ingest Template'!H494,CHAR(10),'Ingest Template'!I494,CHAR(10),'Ingest Template'!J494,CHAR(10))</f>
        <v>
</v>
      </c>
      <c r="F494" s="35" t="str">
        <f t="array" ref="F494">INDEX(DropdownLists!$O$2:$O$36,MATCH(1,COUNTIF(E494,"*"&amp;DropdownLists!$N$2:$N$36&amp;"*"),0))</f>
        <v/>
      </c>
      <c r="G494" s="35"/>
      <c r="H494" s="22" t="str">
        <f t="array" ref="H494">INDEX(DropdownLists!$E$2:$E$276,MATCH('Ingest Template'!D494,DropdownLists!$C$2:$C$276,0))</f>
        <v>#N/A</v>
      </c>
      <c r="I494" s="22"/>
      <c r="J494" s="22" t="str">
        <f t="array" ref="J494">iF('Ingest Template'!A494="Standard","Pristine Brand",INDEX(DropdownLists!$B$2:$B$246,MATCH('Ingest Template'!D494,DropdownLists!$C$2:$C$246,0)))</f>
        <v>#N/A</v>
      </c>
      <c r="K494" s="22" t="str">
        <f>iF('Ingest Template'!A494="Standard",'Ingest Template'!K494&amp;CHAR(10)&amp;'Ingest Template'!L494,"Competitive View")</f>
        <v>Competitive View</v>
      </c>
      <c r="L494" s="22" t="s">
        <v>95</v>
      </c>
      <c r="M494" s="45" t="str">
        <f>'Ingest Template'!B494</f>
        <v/>
      </c>
      <c r="N494" s="35"/>
      <c r="O494" s="35"/>
      <c r="P494" s="35"/>
      <c r="Q494" s="35"/>
      <c r="R494" s="35" t="str">
        <f>'Ingest Template'!D494</f>
        <v/>
      </c>
      <c r="S494" s="22" t="s">
        <v>101</v>
      </c>
      <c r="T494" s="35" t="str">
        <f>'Ingest Template'!V494</f>
        <v/>
      </c>
      <c r="U494" s="35" t="str">
        <f>'Ingest Template'!W494</f>
        <v/>
      </c>
      <c r="V494" s="35" t="str">
        <f>LOWER(SUBSTITUTE(SUBSTITUTE(SUBSTITUTE(SUBSTITUTE(SUBSTITUTE('Ingest Template'!X494,"https:",""),"www.",""),"/",""),"?hl=en",""),"instagram.com",""))</f>
        <v/>
      </c>
      <c r="W494" s="74" t="str">
        <f t="array" ref="W494">IF(
'Ingest Template'!Y494="",
SUBSTITUTE(
INDEX(DropdownLists!$F$2:$F$277,MATCH('Ingest Template'!D494,DropdownLists!$C$2:$C$277,0)),
CHAR(10),
"|"&amp;'Ingest Template'!C494&amp;CHAR(10)
)&amp;"|"&amp;'Ingest Template'!C494,
SUBSTITUTE(
INDEX(DropdownLists!$F$2:$F$277,MATCH('Ingest Template'!D494,DropdownLists!$C$2:$C$277,0)),
CHAR(10),
"|"&amp;'Ingest Template'!C494&amp;CHAR(10)
)&amp;"|"&amp;'Ingest Template'!C494&amp;CHAR(10)&amp;'Ingest Template'!Y494
)</f>
        <v>#N/A</v>
      </c>
      <c r="X494" s="74" t="str">
        <f>'Ingest Template'!Z494</f>
        <v/>
      </c>
      <c r="Y494" s="35" t="str">
        <f>SUBSTITUTE(SUBSTITUTE(SUBSTITUTE('Ingest Template'!AA494,"http:",""),"https:",""),"/","")</f>
        <v/>
      </c>
      <c r="Z494" s="35" t="str">
        <f t="array" ref="Z494">IF('Ingest Template'!A494="Standard",(IF(ISBLANK('Ingest Template'!AB494),"", 'Ingest Template'!AB494&amp;"|DAR")),(IF(ISBLANK('Ingest Template'!AB494),"", 'Ingest Template'!AB494&amp;"|TV Ops")))</f>
        <v/>
      </c>
      <c r="AA494" s="35"/>
      <c r="AB494" s="35" t="str">
        <f>'Ingest Template'!R494</f>
        <v/>
      </c>
      <c r="AC494" s="35" t="str">
        <f>'Ingest Template'!T494</f>
        <v/>
      </c>
      <c r="AD494" s="35" t="str">
        <f>'Ingest Template'!S494</f>
        <v/>
      </c>
      <c r="AE494" s="35" t="str">
        <f>'Ingest Template'!U494</f>
        <v/>
      </c>
      <c r="AF494" s="22"/>
      <c r="AG494" s="35" t="str">
        <f t="array" ref="AG494">IF('Ingest Template'!A494="Standard",(CONCATENATE(IF(ISBLANK('Ingest Template'!N494),"", 'Ingest Template'!N494&amp;"|DAR"),CHAR(10), IF(ISBLANK('Ingest Template'!O494),"", 'Ingest Template'!O494&amp;"|DAR"),CHAR(10), IF(ISBLANK('Ingest Template'!P494),"", 'Ingest Template'!P494&amp;"|DAR"))),(CONCATENATE(IF(ISBLANK('Ingest Template'!N494),"", 'Ingest Template'!N494&amp;"|TV Ops"),CHAR(10), IF(ISBLANK('Ingest Template'!O494),"", 'Ingest Template'!O494&amp;"|TV Ops"),CHAR(10), IF(ISBLANK('Ingest Template'!P494),"", 'Ingest Template'!P494&amp;"|TV Ops"))))</f>
        <v>
</v>
      </c>
      <c r="AH494" s="35"/>
      <c r="AI494" s="35"/>
      <c r="AJ494" s="117" t="str">
        <f>if('Ingest Template'!A494="Standard",(IF(OR('Ingest Template'!F494 = "Program Type - Special", 'Ingest Template'!F494 = "Program Type - Live Event"),'Ingest Template'!M494&amp; "|DAR|DAR|"&amp;TEXT('Ingest Template'!C494-3, "yyyy-mm-dd")&amp;"|"&amp;TEXT('Ingest Template'!C494+3, "yyyy-mm-dd"),'Ingest Template'!M494&amp; "|DAR|DAR|2021-01-01")),(IF(OR('Ingest Template'!F494 = "Program Type - Special", 'Ingest Template'!F494 = "Program Type - Live Event"),'Ingest Template'!M494&amp; "|Operations - Core Title|Operations - Core Title|"&amp;TEXT('Ingest Template'!C494-3, "yyyy-mm-dd")&amp;"|"&amp;TEXT('Ingest Template'!C494+3, "yyyy-mm-dd"),'Ingest Template'!M494&amp; "|Operations - Core Title|Operations - Core Title")))</f>
        <v>|Operations - Core Title|Operations - Core Title</v>
      </c>
      <c r="AK494" s="35"/>
      <c r="AL494" s="117" t="str">
        <f>if('Ingest Template'!A494="Standard",(IF(OR('Ingest Template'!F494 = "Program Type - Special", 'Ingest Template'!F494 = "Program Type - Live Event"),'Ingest Template'!Q494&amp;"|"&amp;TEXT('Ingest Template'!C494-3, "yyyy-mm-dd")&amp;"|"&amp;TEXT('Ingest Template'!C494+3, "yyyy-mm-dd"),'Ingest Template'!Q494&amp; "|2021-01-01")),(IF(OR('Ingest Template'!F494 = "Program Type - Special", 'Ingest Template'!F494 = "Program Type - Live Event"),'Ingest Template'!Q494&amp; "|"&amp;TEXT('Ingest Template'!C494-3, "yyyy-mm-dd")&amp;"|"&amp;TEXT('Ingest Template'!C494+3, "yyyy-mm-dd"),'Ingest Template'!Q494)))</f>
        <v/>
      </c>
      <c r="AM494" s="35" t="str">
        <f>'Ingest Template'!AC494</f>
        <v/>
      </c>
    </row>
    <row r="495">
      <c r="A495" s="15"/>
      <c r="B495" s="22" t="str">
        <f>'Ingest Template'!C495&amp;IF('Ingest Template'!A495 = "Standard", " - DAR","")</f>
        <v/>
      </c>
      <c r="C495" s="22" t="s">
        <v>83</v>
      </c>
      <c r="D495" s="22" t="str">
        <f t="array" ref="D495">CONCATENATE(INDEX(DropdownLists!$H$2:$H$11,MATCH(1,COUNTIF('Ingest Template'!E495,"*"&amp;DropdownLists!$I$2:$I$11&amp;"*"),0)),CHAR(10),'Ingest Template'!F495,CHAR(10),'Ingest Template'!G495,CHAR(10),VLOOKUP('Ingest Template'!D495,DropdownLists!C:D,2,FALSE))</f>
        <v>#N/A</v>
      </c>
      <c r="E495" s="22" t="str">
        <f>CONCATENATE('Ingest Template'!H495,CHAR(10),'Ingest Template'!I495,CHAR(10),'Ingest Template'!J495,CHAR(10))</f>
        <v>
</v>
      </c>
      <c r="F495" s="35" t="str">
        <f t="array" ref="F495">INDEX(DropdownLists!$O$2:$O$36,MATCH(1,COUNTIF(E495,"*"&amp;DropdownLists!$N$2:$N$36&amp;"*"),0))</f>
        <v/>
      </c>
      <c r="G495" s="35"/>
      <c r="H495" s="22" t="str">
        <f t="array" ref="H495">INDEX(DropdownLists!$E$2:$E$276,MATCH('Ingest Template'!D495,DropdownLists!$C$2:$C$276,0))</f>
        <v>#N/A</v>
      </c>
      <c r="I495" s="22"/>
      <c r="J495" s="22" t="str">
        <f t="array" ref="J495">iF('Ingest Template'!A495="Standard","Pristine Brand",INDEX(DropdownLists!$B$2:$B$246,MATCH('Ingest Template'!D495,DropdownLists!$C$2:$C$246,0)))</f>
        <v>#N/A</v>
      </c>
      <c r="K495" s="22" t="str">
        <f>iF('Ingest Template'!A495="Standard",'Ingest Template'!K495&amp;CHAR(10)&amp;'Ingest Template'!L495,"Competitive View")</f>
        <v>Competitive View</v>
      </c>
      <c r="L495" s="22" t="s">
        <v>95</v>
      </c>
      <c r="M495" s="45" t="str">
        <f>'Ingest Template'!B495</f>
        <v/>
      </c>
      <c r="N495" s="35"/>
      <c r="O495" s="35"/>
      <c r="P495" s="35"/>
      <c r="Q495" s="35"/>
      <c r="R495" s="35" t="str">
        <f>'Ingest Template'!D495</f>
        <v/>
      </c>
      <c r="S495" s="22" t="s">
        <v>101</v>
      </c>
      <c r="T495" s="35" t="str">
        <f>'Ingest Template'!V495</f>
        <v/>
      </c>
      <c r="U495" s="35" t="str">
        <f>'Ingest Template'!W495</f>
        <v/>
      </c>
      <c r="V495" s="35" t="str">
        <f>LOWER(SUBSTITUTE(SUBSTITUTE(SUBSTITUTE(SUBSTITUTE(SUBSTITUTE('Ingest Template'!X495,"https:",""),"www.",""),"/",""),"?hl=en",""),"instagram.com",""))</f>
        <v/>
      </c>
      <c r="W495" s="74" t="str">
        <f t="array" ref="W495">IF(
'Ingest Template'!Y495="",
SUBSTITUTE(
INDEX(DropdownLists!$F$2:$F$277,MATCH('Ingest Template'!D495,DropdownLists!$C$2:$C$277,0)),
CHAR(10),
"|"&amp;'Ingest Template'!C495&amp;CHAR(10)
)&amp;"|"&amp;'Ingest Template'!C495,
SUBSTITUTE(
INDEX(DropdownLists!$F$2:$F$277,MATCH('Ingest Template'!D495,DropdownLists!$C$2:$C$277,0)),
CHAR(10),
"|"&amp;'Ingest Template'!C495&amp;CHAR(10)
)&amp;"|"&amp;'Ingest Template'!C495&amp;CHAR(10)&amp;'Ingest Template'!Y495
)</f>
        <v>#N/A</v>
      </c>
      <c r="X495" s="74" t="str">
        <f>'Ingest Template'!Z495</f>
        <v/>
      </c>
      <c r="Y495" s="35" t="str">
        <f>SUBSTITUTE(SUBSTITUTE(SUBSTITUTE('Ingest Template'!AA495,"http:",""),"https:",""),"/","")</f>
        <v/>
      </c>
      <c r="Z495" s="35" t="str">
        <f t="array" ref="Z495">IF('Ingest Template'!A495="Standard",(IF(ISBLANK('Ingest Template'!AB495),"", 'Ingest Template'!AB495&amp;"|DAR")),(IF(ISBLANK('Ingest Template'!AB495),"", 'Ingest Template'!AB495&amp;"|TV Ops")))</f>
        <v/>
      </c>
      <c r="AA495" s="35"/>
      <c r="AB495" s="35" t="str">
        <f>'Ingest Template'!R495</f>
        <v/>
      </c>
      <c r="AC495" s="35" t="str">
        <f>'Ingest Template'!T495</f>
        <v/>
      </c>
      <c r="AD495" s="35" t="str">
        <f>'Ingest Template'!S495</f>
        <v/>
      </c>
      <c r="AE495" s="35" t="str">
        <f>'Ingest Template'!U495</f>
        <v/>
      </c>
      <c r="AF495" s="22"/>
      <c r="AG495" s="35" t="str">
        <f t="array" ref="AG495">IF('Ingest Template'!A495="Standard",(CONCATENATE(IF(ISBLANK('Ingest Template'!N495),"", 'Ingest Template'!N495&amp;"|DAR"),CHAR(10), IF(ISBLANK('Ingest Template'!O495),"", 'Ingest Template'!O495&amp;"|DAR"),CHAR(10), IF(ISBLANK('Ingest Template'!P495),"", 'Ingest Template'!P495&amp;"|DAR"))),(CONCATENATE(IF(ISBLANK('Ingest Template'!N495),"", 'Ingest Template'!N495&amp;"|TV Ops"),CHAR(10), IF(ISBLANK('Ingest Template'!O495),"", 'Ingest Template'!O495&amp;"|TV Ops"),CHAR(10), IF(ISBLANK('Ingest Template'!P495),"", 'Ingest Template'!P495&amp;"|TV Ops"))))</f>
        <v>
</v>
      </c>
      <c r="AH495" s="35"/>
      <c r="AI495" s="35"/>
      <c r="AJ495" s="117" t="str">
        <f>if('Ingest Template'!A495="Standard",(IF(OR('Ingest Template'!F495 = "Program Type - Special", 'Ingest Template'!F495 = "Program Type - Live Event"),'Ingest Template'!M495&amp; "|DAR|DAR|"&amp;TEXT('Ingest Template'!C495-3, "yyyy-mm-dd")&amp;"|"&amp;TEXT('Ingest Template'!C495+3, "yyyy-mm-dd"),'Ingest Template'!M495&amp; "|DAR|DAR|2021-01-01")),(IF(OR('Ingest Template'!F495 = "Program Type - Special", 'Ingest Template'!F495 = "Program Type - Live Event"),'Ingest Template'!M495&amp; "|Operations - Core Title|Operations - Core Title|"&amp;TEXT('Ingest Template'!C495-3, "yyyy-mm-dd")&amp;"|"&amp;TEXT('Ingest Template'!C495+3, "yyyy-mm-dd"),'Ingest Template'!M495&amp; "|Operations - Core Title|Operations - Core Title")))</f>
        <v>|Operations - Core Title|Operations - Core Title</v>
      </c>
      <c r="AK495" s="35"/>
      <c r="AL495" s="117" t="str">
        <f>if('Ingest Template'!A495="Standard",(IF(OR('Ingest Template'!F495 = "Program Type - Special", 'Ingest Template'!F495 = "Program Type - Live Event"),'Ingest Template'!Q495&amp;"|"&amp;TEXT('Ingest Template'!C495-3, "yyyy-mm-dd")&amp;"|"&amp;TEXT('Ingest Template'!C495+3, "yyyy-mm-dd"),'Ingest Template'!Q495&amp; "|2021-01-01")),(IF(OR('Ingest Template'!F495 = "Program Type - Special", 'Ingest Template'!F495 = "Program Type - Live Event"),'Ingest Template'!Q495&amp; "|"&amp;TEXT('Ingest Template'!C495-3, "yyyy-mm-dd")&amp;"|"&amp;TEXT('Ingest Template'!C495+3, "yyyy-mm-dd"),'Ingest Template'!Q495)))</f>
        <v/>
      </c>
      <c r="AM495" s="35" t="str">
        <f>'Ingest Template'!AC495</f>
        <v/>
      </c>
    </row>
    <row r="496">
      <c r="A496" s="15"/>
      <c r="B496" s="22" t="str">
        <f>'Ingest Template'!C496&amp;IF('Ingest Template'!A496 = "Standard", " - DAR","")</f>
        <v/>
      </c>
      <c r="C496" s="22" t="s">
        <v>83</v>
      </c>
      <c r="D496" s="22" t="str">
        <f t="array" ref="D496">CONCATENATE(INDEX(DropdownLists!$H$2:$H$11,MATCH(1,COUNTIF('Ingest Template'!E496,"*"&amp;DropdownLists!$I$2:$I$11&amp;"*"),0)),CHAR(10),'Ingest Template'!F496,CHAR(10),'Ingest Template'!G496,CHAR(10),VLOOKUP('Ingest Template'!D496,DropdownLists!C:D,2,FALSE))</f>
        <v>#N/A</v>
      </c>
      <c r="E496" s="22" t="str">
        <f>CONCATENATE('Ingest Template'!H496,CHAR(10),'Ingest Template'!I496,CHAR(10),'Ingest Template'!J496,CHAR(10))</f>
        <v>
</v>
      </c>
      <c r="F496" s="35" t="str">
        <f t="array" ref="F496">INDEX(DropdownLists!$O$2:$O$36,MATCH(1,COUNTIF(E496,"*"&amp;DropdownLists!$N$2:$N$36&amp;"*"),0))</f>
        <v/>
      </c>
      <c r="G496" s="35"/>
      <c r="H496" s="22" t="str">
        <f t="array" ref="H496">INDEX(DropdownLists!$E$2:$E$276,MATCH('Ingest Template'!D496,DropdownLists!$C$2:$C$276,0))</f>
        <v>#N/A</v>
      </c>
      <c r="I496" s="22"/>
      <c r="J496" s="22" t="str">
        <f t="array" ref="J496">iF('Ingest Template'!A496="Standard","Pristine Brand",INDEX(DropdownLists!$B$2:$B$246,MATCH('Ingest Template'!D496,DropdownLists!$C$2:$C$246,0)))</f>
        <v>#N/A</v>
      </c>
      <c r="K496" s="22" t="str">
        <f>iF('Ingest Template'!A496="Standard",'Ingest Template'!K496&amp;CHAR(10)&amp;'Ingest Template'!L496,"Competitive View")</f>
        <v>Competitive View</v>
      </c>
      <c r="L496" s="22" t="s">
        <v>95</v>
      </c>
      <c r="M496" s="45" t="str">
        <f>'Ingest Template'!B496</f>
        <v/>
      </c>
      <c r="N496" s="35"/>
      <c r="O496" s="35"/>
      <c r="P496" s="35"/>
      <c r="Q496" s="35"/>
      <c r="R496" s="35" t="str">
        <f>'Ingest Template'!D496</f>
        <v/>
      </c>
      <c r="S496" s="22" t="s">
        <v>101</v>
      </c>
      <c r="T496" s="35" t="str">
        <f>'Ingest Template'!V496</f>
        <v/>
      </c>
      <c r="U496" s="35" t="str">
        <f>'Ingest Template'!W496</f>
        <v/>
      </c>
      <c r="V496" s="35" t="str">
        <f>LOWER(SUBSTITUTE(SUBSTITUTE(SUBSTITUTE(SUBSTITUTE(SUBSTITUTE('Ingest Template'!X496,"https:",""),"www.",""),"/",""),"?hl=en",""),"instagram.com",""))</f>
        <v/>
      </c>
      <c r="W496" s="74" t="str">
        <f t="array" ref="W496">IF(
'Ingest Template'!Y496="",
SUBSTITUTE(
INDEX(DropdownLists!$F$2:$F$277,MATCH('Ingest Template'!D496,DropdownLists!$C$2:$C$277,0)),
CHAR(10),
"|"&amp;'Ingest Template'!C496&amp;CHAR(10)
)&amp;"|"&amp;'Ingest Template'!C496,
SUBSTITUTE(
INDEX(DropdownLists!$F$2:$F$277,MATCH('Ingest Template'!D496,DropdownLists!$C$2:$C$277,0)),
CHAR(10),
"|"&amp;'Ingest Template'!C496&amp;CHAR(10)
)&amp;"|"&amp;'Ingest Template'!C496&amp;CHAR(10)&amp;'Ingest Template'!Y496
)</f>
        <v>#N/A</v>
      </c>
      <c r="X496" s="74" t="str">
        <f>'Ingest Template'!Z496</f>
        <v/>
      </c>
      <c r="Y496" s="35" t="str">
        <f>SUBSTITUTE(SUBSTITUTE(SUBSTITUTE('Ingest Template'!AA496,"http:",""),"https:",""),"/","")</f>
        <v/>
      </c>
      <c r="Z496" s="35" t="str">
        <f t="array" ref="Z496">IF('Ingest Template'!A496="Standard",(IF(ISBLANK('Ingest Template'!AB496),"", 'Ingest Template'!AB496&amp;"|DAR")),(IF(ISBLANK('Ingest Template'!AB496),"", 'Ingest Template'!AB496&amp;"|TV Ops")))</f>
        <v/>
      </c>
      <c r="AA496" s="35"/>
      <c r="AB496" s="35" t="str">
        <f>'Ingest Template'!R496</f>
        <v/>
      </c>
      <c r="AC496" s="35" t="str">
        <f>'Ingest Template'!T496</f>
        <v/>
      </c>
      <c r="AD496" s="35" t="str">
        <f>'Ingest Template'!S496</f>
        <v/>
      </c>
      <c r="AE496" s="35" t="str">
        <f>'Ingest Template'!U496</f>
        <v/>
      </c>
      <c r="AF496" s="22"/>
      <c r="AG496" s="35" t="str">
        <f t="array" ref="AG496">IF('Ingest Template'!A496="Standard",(CONCATENATE(IF(ISBLANK('Ingest Template'!N496),"", 'Ingest Template'!N496&amp;"|DAR"),CHAR(10), IF(ISBLANK('Ingest Template'!O496),"", 'Ingest Template'!O496&amp;"|DAR"),CHAR(10), IF(ISBLANK('Ingest Template'!P496),"", 'Ingest Template'!P496&amp;"|DAR"))),(CONCATENATE(IF(ISBLANK('Ingest Template'!N496),"", 'Ingest Template'!N496&amp;"|TV Ops"),CHAR(10), IF(ISBLANK('Ingest Template'!O496),"", 'Ingest Template'!O496&amp;"|TV Ops"),CHAR(10), IF(ISBLANK('Ingest Template'!P496),"", 'Ingest Template'!P496&amp;"|TV Ops"))))</f>
        <v>
</v>
      </c>
      <c r="AH496" s="35"/>
      <c r="AI496" s="35"/>
      <c r="AJ496" s="117" t="str">
        <f>if('Ingest Template'!A496="Standard",(IF(OR('Ingest Template'!F496 = "Program Type - Special", 'Ingest Template'!F496 = "Program Type - Live Event"),'Ingest Template'!M496&amp; "|DAR|DAR|"&amp;TEXT('Ingest Template'!C496-3, "yyyy-mm-dd")&amp;"|"&amp;TEXT('Ingest Template'!C496+3, "yyyy-mm-dd"),'Ingest Template'!M496&amp; "|DAR|DAR|2021-01-01")),(IF(OR('Ingest Template'!F496 = "Program Type - Special", 'Ingest Template'!F496 = "Program Type - Live Event"),'Ingest Template'!M496&amp; "|Operations - Core Title|Operations - Core Title|"&amp;TEXT('Ingest Template'!C496-3, "yyyy-mm-dd")&amp;"|"&amp;TEXT('Ingest Template'!C496+3, "yyyy-mm-dd"),'Ingest Template'!M496&amp; "|Operations - Core Title|Operations - Core Title")))</f>
        <v>|Operations - Core Title|Operations - Core Title</v>
      </c>
      <c r="AK496" s="35"/>
      <c r="AL496" s="117" t="str">
        <f>if('Ingest Template'!A496="Standard",(IF(OR('Ingest Template'!F496 = "Program Type - Special", 'Ingest Template'!F496 = "Program Type - Live Event"),'Ingest Template'!Q496&amp;"|"&amp;TEXT('Ingest Template'!C496-3, "yyyy-mm-dd")&amp;"|"&amp;TEXT('Ingest Template'!C496+3, "yyyy-mm-dd"),'Ingest Template'!Q496&amp; "|2021-01-01")),(IF(OR('Ingest Template'!F496 = "Program Type - Special", 'Ingest Template'!F496 = "Program Type - Live Event"),'Ingest Template'!Q496&amp; "|"&amp;TEXT('Ingest Template'!C496-3, "yyyy-mm-dd")&amp;"|"&amp;TEXT('Ingest Template'!C496+3, "yyyy-mm-dd"),'Ingest Template'!Q496)))</f>
        <v/>
      </c>
      <c r="AM496" s="35" t="str">
        <f>'Ingest Template'!AC496</f>
        <v/>
      </c>
    </row>
    <row r="497">
      <c r="A497" s="15"/>
      <c r="B497" s="22" t="str">
        <f>'Ingest Template'!C497&amp;IF('Ingest Template'!A497 = "Standard", " - DAR","")</f>
        <v/>
      </c>
      <c r="C497" s="22" t="s">
        <v>83</v>
      </c>
      <c r="D497" s="22" t="str">
        <f t="array" ref="D497">CONCATENATE(INDEX(DropdownLists!$H$2:$H$11,MATCH(1,COUNTIF('Ingest Template'!E497,"*"&amp;DropdownLists!$I$2:$I$11&amp;"*"),0)),CHAR(10),'Ingest Template'!F497,CHAR(10),'Ingest Template'!G497,CHAR(10),VLOOKUP('Ingest Template'!D497,DropdownLists!C:D,2,FALSE))</f>
        <v>#N/A</v>
      </c>
      <c r="E497" s="22" t="str">
        <f>CONCATENATE('Ingest Template'!H497,CHAR(10),'Ingest Template'!I497,CHAR(10),'Ingest Template'!J497,CHAR(10))</f>
        <v>
</v>
      </c>
      <c r="F497" s="35" t="str">
        <f t="array" ref="F497">INDEX(DropdownLists!$O$2:$O$36,MATCH(1,COUNTIF(E497,"*"&amp;DropdownLists!$N$2:$N$36&amp;"*"),0))</f>
        <v/>
      </c>
      <c r="G497" s="35"/>
      <c r="H497" s="22" t="str">
        <f t="array" ref="H497">INDEX(DropdownLists!$E$2:$E$276,MATCH('Ingest Template'!D497,DropdownLists!$C$2:$C$276,0))</f>
        <v>#N/A</v>
      </c>
      <c r="I497" s="22"/>
      <c r="J497" s="22" t="str">
        <f t="array" ref="J497">iF('Ingest Template'!A497="Standard","Pristine Brand",INDEX(DropdownLists!$B$2:$B$246,MATCH('Ingest Template'!D497,DropdownLists!$C$2:$C$246,0)))</f>
        <v>#N/A</v>
      </c>
      <c r="K497" s="22" t="str">
        <f>iF('Ingest Template'!A497="Standard",'Ingest Template'!K497&amp;CHAR(10)&amp;'Ingest Template'!L497,"Competitive View")</f>
        <v>Competitive View</v>
      </c>
      <c r="L497" s="22" t="s">
        <v>95</v>
      </c>
      <c r="M497" s="45" t="str">
        <f>'Ingest Template'!B497</f>
        <v/>
      </c>
      <c r="N497" s="35"/>
      <c r="O497" s="35"/>
      <c r="P497" s="35"/>
      <c r="Q497" s="35"/>
      <c r="R497" s="35" t="str">
        <f>'Ingest Template'!D497</f>
        <v/>
      </c>
      <c r="S497" s="22" t="s">
        <v>101</v>
      </c>
      <c r="T497" s="35" t="str">
        <f>'Ingest Template'!V497</f>
        <v/>
      </c>
      <c r="U497" s="35" t="str">
        <f>'Ingest Template'!W497</f>
        <v/>
      </c>
      <c r="V497" s="35" t="str">
        <f>LOWER(SUBSTITUTE(SUBSTITUTE(SUBSTITUTE(SUBSTITUTE(SUBSTITUTE('Ingest Template'!X497,"https:",""),"www.",""),"/",""),"?hl=en",""),"instagram.com",""))</f>
        <v/>
      </c>
      <c r="W497" s="74" t="str">
        <f t="array" ref="W497">IF(
'Ingest Template'!Y497="",
SUBSTITUTE(
INDEX(DropdownLists!$F$2:$F$277,MATCH('Ingest Template'!D497,DropdownLists!$C$2:$C$277,0)),
CHAR(10),
"|"&amp;'Ingest Template'!C497&amp;CHAR(10)
)&amp;"|"&amp;'Ingest Template'!C497,
SUBSTITUTE(
INDEX(DropdownLists!$F$2:$F$277,MATCH('Ingest Template'!D497,DropdownLists!$C$2:$C$277,0)),
CHAR(10),
"|"&amp;'Ingest Template'!C497&amp;CHAR(10)
)&amp;"|"&amp;'Ingest Template'!C497&amp;CHAR(10)&amp;'Ingest Template'!Y497
)</f>
        <v>#N/A</v>
      </c>
      <c r="X497" s="74" t="str">
        <f>'Ingest Template'!Z497</f>
        <v/>
      </c>
      <c r="Y497" s="35" t="str">
        <f>SUBSTITUTE(SUBSTITUTE(SUBSTITUTE('Ingest Template'!AA497,"http:",""),"https:",""),"/","")</f>
        <v/>
      </c>
      <c r="Z497" s="35" t="str">
        <f t="array" ref="Z497">IF('Ingest Template'!A497="Standard",(IF(ISBLANK('Ingest Template'!AB497),"", 'Ingest Template'!AB497&amp;"|DAR")),(IF(ISBLANK('Ingest Template'!AB497),"", 'Ingest Template'!AB497&amp;"|TV Ops")))</f>
        <v/>
      </c>
      <c r="AA497" s="35"/>
      <c r="AB497" s="35" t="str">
        <f>'Ingest Template'!R497</f>
        <v/>
      </c>
      <c r="AC497" s="35" t="str">
        <f>'Ingest Template'!T497</f>
        <v/>
      </c>
      <c r="AD497" s="35" t="str">
        <f>'Ingest Template'!S497</f>
        <v/>
      </c>
      <c r="AE497" s="35" t="str">
        <f>'Ingest Template'!U497</f>
        <v/>
      </c>
      <c r="AF497" s="22"/>
      <c r="AG497" s="35" t="str">
        <f t="array" ref="AG497">IF('Ingest Template'!A497="Standard",(CONCATENATE(IF(ISBLANK('Ingest Template'!N497),"", 'Ingest Template'!N497&amp;"|DAR"),CHAR(10), IF(ISBLANK('Ingest Template'!O497),"", 'Ingest Template'!O497&amp;"|DAR"),CHAR(10), IF(ISBLANK('Ingest Template'!P497),"", 'Ingest Template'!P497&amp;"|DAR"))),(CONCATENATE(IF(ISBLANK('Ingest Template'!N497),"", 'Ingest Template'!N497&amp;"|TV Ops"),CHAR(10), IF(ISBLANK('Ingest Template'!O497),"", 'Ingest Template'!O497&amp;"|TV Ops"),CHAR(10), IF(ISBLANK('Ingest Template'!P497),"", 'Ingest Template'!P497&amp;"|TV Ops"))))</f>
        <v>
</v>
      </c>
      <c r="AH497" s="35"/>
      <c r="AI497" s="35"/>
      <c r="AJ497" s="117" t="str">
        <f>if('Ingest Template'!A497="Standard",(IF(OR('Ingest Template'!F497 = "Program Type - Special", 'Ingest Template'!F497 = "Program Type - Live Event"),'Ingest Template'!M497&amp; "|DAR|DAR|"&amp;TEXT('Ingest Template'!C497-3, "yyyy-mm-dd")&amp;"|"&amp;TEXT('Ingest Template'!C497+3, "yyyy-mm-dd"),'Ingest Template'!M497&amp; "|DAR|DAR|2021-01-01")),(IF(OR('Ingest Template'!F497 = "Program Type - Special", 'Ingest Template'!F497 = "Program Type - Live Event"),'Ingest Template'!M497&amp; "|Operations - Core Title|Operations - Core Title|"&amp;TEXT('Ingest Template'!C497-3, "yyyy-mm-dd")&amp;"|"&amp;TEXT('Ingest Template'!C497+3, "yyyy-mm-dd"),'Ingest Template'!M497&amp; "|Operations - Core Title|Operations - Core Title")))</f>
        <v>|Operations - Core Title|Operations - Core Title</v>
      </c>
      <c r="AK497" s="35"/>
      <c r="AL497" s="117" t="str">
        <f>if('Ingest Template'!A497="Standard",(IF(OR('Ingest Template'!F497 = "Program Type - Special", 'Ingest Template'!F497 = "Program Type - Live Event"),'Ingest Template'!Q497&amp;"|"&amp;TEXT('Ingest Template'!C497-3, "yyyy-mm-dd")&amp;"|"&amp;TEXT('Ingest Template'!C497+3, "yyyy-mm-dd"),'Ingest Template'!Q497&amp; "|2021-01-01")),(IF(OR('Ingest Template'!F497 = "Program Type - Special", 'Ingest Template'!F497 = "Program Type - Live Event"),'Ingest Template'!Q497&amp; "|"&amp;TEXT('Ingest Template'!C497-3, "yyyy-mm-dd")&amp;"|"&amp;TEXT('Ingest Template'!C497+3, "yyyy-mm-dd"),'Ingest Template'!Q497)))</f>
        <v/>
      </c>
      <c r="AM497" s="35" t="str">
        <f>'Ingest Template'!AC497</f>
        <v/>
      </c>
    </row>
    <row r="498">
      <c r="A498" s="15"/>
      <c r="B498" s="22" t="str">
        <f>'Ingest Template'!C498&amp;IF('Ingest Template'!A498 = "Standard", " - DAR","")</f>
        <v/>
      </c>
      <c r="C498" s="22" t="s">
        <v>83</v>
      </c>
      <c r="D498" s="22" t="str">
        <f t="array" ref="D498">CONCATENATE(INDEX(DropdownLists!$H$2:$H$11,MATCH(1,COUNTIF('Ingest Template'!E498,"*"&amp;DropdownLists!$I$2:$I$11&amp;"*"),0)),CHAR(10),'Ingest Template'!F498,CHAR(10),'Ingest Template'!G498,CHAR(10),VLOOKUP('Ingest Template'!D498,DropdownLists!C:D,2,FALSE))</f>
        <v>#N/A</v>
      </c>
      <c r="E498" s="22" t="str">
        <f>CONCATENATE('Ingest Template'!H498,CHAR(10),'Ingest Template'!I498,CHAR(10),'Ingest Template'!J498,CHAR(10))</f>
        <v>
</v>
      </c>
      <c r="F498" s="35" t="str">
        <f t="array" ref="F498">INDEX(DropdownLists!$O$2:$O$36,MATCH(1,COUNTIF(E498,"*"&amp;DropdownLists!$N$2:$N$36&amp;"*"),0))</f>
        <v/>
      </c>
      <c r="G498" s="35"/>
      <c r="H498" s="22" t="str">
        <f t="array" ref="H498">INDEX(DropdownLists!$E$2:$E$276,MATCH('Ingest Template'!D498,DropdownLists!$C$2:$C$276,0))</f>
        <v>#N/A</v>
      </c>
      <c r="I498" s="22"/>
      <c r="J498" s="22" t="str">
        <f t="array" ref="J498">iF('Ingest Template'!A498="Standard","Pristine Brand",INDEX(DropdownLists!$B$2:$B$246,MATCH('Ingest Template'!D498,DropdownLists!$C$2:$C$246,0)))</f>
        <v>#N/A</v>
      </c>
      <c r="K498" s="22" t="str">
        <f>iF('Ingest Template'!A498="Standard",'Ingest Template'!K498&amp;CHAR(10)&amp;'Ingest Template'!L498,"Competitive View")</f>
        <v>Competitive View</v>
      </c>
      <c r="L498" s="22" t="s">
        <v>95</v>
      </c>
      <c r="M498" s="45" t="str">
        <f>'Ingest Template'!B498</f>
        <v/>
      </c>
      <c r="N498" s="35"/>
      <c r="O498" s="35"/>
      <c r="P498" s="35"/>
      <c r="Q498" s="35"/>
      <c r="R498" s="35" t="str">
        <f>'Ingest Template'!D498</f>
        <v/>
      </c>
      <c r="S498" s="22" t="s">
        <v>101</v>
      </c>
      <c r="T498" s="35" t="str">
        <f>'Ingest Template'!V498</f>
        <v/>
      </c>
      <c r="U498" s="35" t="str">
        <f>'Ingest Template'!W498</f>
        <v/>
      </c>
      <c r="V498" s="35" t="str">
        <f>LOWER(SUBSTITUTE(SUBSTITUTE(SUBSTITUTE(SUBSTITUTE(SUBSTITUTE('Ingest Template'!X498,"https:",""),"www.",""),"/",""),"?hl=en",""),"instagram.com",""))</f>
        <v/>
      </c>
      <c r="W498" s="74" t="str">
        <f t="array" ref="W498">IF(
'Ingest Template'!Y498="",
SUBSTITUTE(
INDEX(DropdownLists!$F$2:$F$277,MATCH('Ingest Template'!D498,DropdownLists!$C$2:$C$277,0)),
CHAR(10),
"|"&amp;'Ingest Template'!C498&amp;CHAR(10)
)&amp;"|"&amp;'Ingest Template'!C498,
SUBSTITUTE(
INDEX(DropdownLists!$F$2:$F$277,MATCH('Ingest Template'!D498,DropdownLists!$C$2:$C$277,0)),
CHAR(10),
"|"&amp;'Ingest Template'!C498&amp;CHAR(10)
)&amp;"|"&amp;'Ingest Template'!C498&amp;CHAR(10)&amp;'Ingest Template'!Y498
)</f>
        <v>#N/A</v>
      </c>
      <c r="X498" s="74" t="str">
        <f>'Ingest Template'!Z498</f>
        <v/>
      </c>
      <c r="Y498" s="35" t="str">
        <f>SUBSTITUTE(SUBSTITUTE(SUBSTITUTE('Ingest Template'!AA498,"http:",""),"https:",""),"/","")</f>
        <v/>
      </c>
      <c r="Z498" s="35" t="str">
        <f t="array" ref="Z498">IF('Ingest Template'!A498="Standard",(IF(ISBLANK('Ingest Template'!AB498),"", 'Ingest Template'!AB498&amp;"|DAR")),(IF(ISBLANK('Ingest Template'!AB498),"", 'Ingest Template'!AB498&amp;"|TV Ops")))</f>
        <v/>
      </c>
      <c r="AA498" s="35"/>
      <c r="AB498" s="35" t="str">
        <f>'Ingest Template'!R498</f>
        <v/>
      </c>
      <c r="AC498" s="35" t="str">
        <f>'Ingest Template'!T498</f>
        <v/>
      </c>
      <c r="AD498" s="35" t="str">
        <f>'Ingest Template'!S498</f>
        <v/>
      </c>
      <c r="AE498" s="35" t="str">
        <f>'Ingest Template'!U498</f>
        <v/>
      </c>
      <c r="AF498" s="22"/>
      <c r="AG498" s="35" t="str">
        <f t="array" ref="AG498">IF('Ingest Template'!A498="Standard",(CONCATENATE(IF(ISBLANK('Ingest Template'!N498),"", 'Ingest Template'!N498&amp;"|DAR"),CHAR(10), IF(ISBLANK('Ingest Template'!O498),"", 'Ingest Template'!O498&amp;"|DAR"),CHAR(10), IF(ISBLANK('Ingest Template'!P498),"", 'Ingest Template'!P498&amp;"|DAR"))),(CONCATENATE(IF(ISBLANK('Ingest Template'!N498),"", 'Ingest Template'!N498&amp;"|TV Ops"),CHAR(10), IF(ISBLANK('Ingest Template'!O498),"", 'Ingest Template'!O498&amp;"|TV Ops"),CHAR(10), IF(ISBLANK('Ingest Template'!P498),"", 'Ingest Template'!P498&amp;"|TV Ops"))))</f>
        <v>
</v>
      </c>
      <c r="AH498" s="35"/>
      <c r="AI498" s="35"/>
      <c r="AJ498" s="117" t="str">
        <f>if('Ingest Template'!A498="Standard",(IF(OR('Ingest Template'!F498 = "Program Type - Special", 'Ingest Template'!F498 = "Program Type - Live Event"),'Ingest Template'!M498&amp; "|DAR|DAR|"&amp;TEXT('Ingest Template'!C498-3, "yyyy-mm-dd")&amp;"|"&amp;TEXT('Ingest Template'!C498+3, "yyyy-mm-dd"),'Ingest Template'!M498&amp; "|DAR|DAR|2021-01-01")),(IF(OR('Ingest Template'!F498 = "Program Type - Special", 'Ingest Template'!F498 = "Program Type - Live Event"),'Ingest Template'!M498&amp; "|Operations - Core Title|Operations - Core Title|"&amp;TEXT('Ingest Template'!C498-3, "yyyy-mm-dd")&amp;"|"&amp;TEXT('Ingest Template'!C498+3, "yyyy-mm-dd"),'Ingest Template'!M498&amp; "|Operations - Core Title|Operations - Core Title")))</f>
        <v>|Operations - Core Title|Operations - Core Title</v>
      </c>
      <c r="AK498" s="35"/>
      <c r="AL498" s="117" t="str">
        <f>if('Ingest Template'!A498="Standard",(IF(OR('Ingest Template'!F498 = "Program Type - Special", 'Ingest Template'!F498 = "Program Type - Live Event"),'Ingest Template'!Q498&amp;"|"&amp;TEXT('Ingest Template'!C498-3, "yyyy-mm-dd")&amp;"|"&amp;TEXT('Ingest Template'!C498+3, "yyyy-mm-dd"),'Ingest Template'!Q498&amp; "|2021-01-01")),(IF(OR('Ingest Template'!F498 = "Program Type - Special", 'Ingest Template'!F498 = "Program Type - Live Event"),'Ingest Template'!Q498&amp; "|"&amp;TEXT('Ingest Template'!C498-3, "yyyy-mm-dd")&amp;"|"&amp;TEXT('Ingest Template'!C498+3, "yyyy-mm-dd"),'Ingest Template'!Q498)))</f>
        <v/>
      </c>
      <c r="AM498" s="35" t="str">
        <f>'Ingest Template'!AC498</f>
        <v/>
      </c>
    </row>
    <row r="499">
      <c r="A499" s="15"/>
      <c r="B499" s="22" t="str">
        <f>'Ingest Template'!C499&amp;IF('Ingest Template'!A499 = "Standard", " - DAR","")</f>
        <v/>
      </c>
      <c r="C499" s="22" t="s">
        <v>83</v>
      </c>
      <c r="D499" s="22" t="str">
        <f t="array" ref="D499">CONCATENATE(INDEX(DropdownLists!$H$2:$H$11,MATCH(1,COUNTIF('Ingest Template'!E499,"*"&amp;DropdownLists!$I$2:$I$11&amp;"*"),0)),CHAR(10),'Ingest Template'!F499,CHAR(10),'Ingest Template'!G499,CHAR(10),VLOOKUP('Ingest Template'!D499,DropdownLists!C:D,2,FALSE))</f>
        <v>#N/A</v>
      </c>
      <c r="E499" s="22" t="str">
        <f>CONCATENATE('Ingest Template'!H499,CHAR(10),'Ingest Template'!I499,CHAR(10),'Ingest Template'!J499,CHAR(10))</f>
        <v>
</v>
      </c>
      <c r="F499" s="35" t="str">
        <f t="array" ref="F499">INDEX(DropdownLists!$O$2:$O$36,MATCH(1,COUNTIF(E499,"*"&amp;DropdownLists!$N$2:$N$36&amp;"*"),0))</f>
        <v/>
      </c>
      <c r="G499" s="35"/>
      <c r="H499" s="22" t="str">
        <f t="array" ref="H499">INDEX(DropdownLists!$E$2:$E$276,MATCH('Ingest Template'!D499,DropdownLists!$C$2:$C$276,0))</f>
        <v>#N/A</v>
      </c>
      <c r="I499" s="22"/>
      <c r="J499" s="22" t="str">
        <f t="array" ref="J499">iF('Ingest Template'!A499="Standard","Pristine Brand",INDEX(DropdownLists!$B$2:$B$246,MATCH('Ingest Template'!D499,DropdownLists!$C$2:$C$246,0)))</f>
        <v>#N/A</v>
      </c>
      <c r="K499" s="22" t="str">
        <f>iF('Ingest Template'!A499="Standard",'Ingest Template'!K499&amp;CHAR(10)&amp;'Ingest Template'!L499,"Competitive View")</f>
        <v>Competitive View</v>
      </c>
      <c r="L499" s="22" t="s">
        <v>95</v>
      </c>
      <c r="M499" s="45" t="str">
        <f>'Ingest Template'!B499</f>
        <v/>
      </c>
      <c r="N499" s="35"/>
      <c r="O499" s="35"/>
      <c r="P499" s="35"/>
      <c r="Q499" s="35"/>
      <c r="R499" s="35" t="str">
        <f>'Ingest Template'!D499</f>
        <v/>
      </c>
      <c r="S499" s="22" t="s">
        <v>101</v>
      </c>
      <c r="T499" s="35" t="str">
        <f>'Ingest Template'!V499</f>
        <v/>
      </c>
      <c r="U499" s="35" t="str">
        <f>'Ingest Template'!W499</f>
        <v/>
      </c>
      <c r="V499" s="35" t="str">
        <f>LOWER(SUBSTITUTE(SUBSTITUTE(SUBSTITUTE(SUBSTITUTE(SUBSTITUTE('Ingest Template'!X499,"https:",""),"www.",""),"/",""),"?hl=en",""),"instagram.com",""))</f>
        <v/>
      </c>
      <c r="W499" s="74" t="str">
        <f t="array" ref="W499">IF(
'Ingest Template'!Y499="",
SUBSTITUTE(
INDEX(DropdownLists!$F$2:$F$277,MATCH('Ingest Template'!D499,DropdownLists!$C$2:$C$277,0)),
CHAR(10),
"|"&amp;'Ingest Template'!C499&amp;CHAR(10)
)&amp;"|"&amp;'Ingest Template'!C499,
SUBSTITUTE(
INDEX(DropdownLists!$F$2:$F$277,MATCH('Ingest Template'!D499,DropdownLists!$C$2:$C$277,0)),
CHAR(10),
"|"&amp;'Ingest Template'!C499&amp;CHAR(10)
)&amp;"|"&amp;'Ingest Template'!C499&amp;CHAR(10)&amp;'Ingest Template'!Y499
)</f>
        <v>#N/A</v>
      </c>
      <c r="X499" s="74" t="str">
        <f>'Ingest Template'!Z499</f>
        <v/>
      </c>
      <c r="Y499" s="35" t="str">
        <f>SUBSTITUTE(SUBSTITUTE(SUBSTITUTE('Ingest Template'!AA499,"http:",""),"https:",""),"/","")</f>
        <v/>
      </c>
      <c r="Z499" s="35" t="str">
        <f t="array" ref="Z499">IF('Ingest Template'!A499="Standard",(IF(ISBLANK('Ingest Template'!AB499),"", 'Ingest Template'!AB499&amp;"|DAR")),(IF(ISBLANK('Ingest Template'!AB499),"", 'Ingest Template'!AB499&amp;"|TV Ops")))</f>
        <v/>
      </c>
      <c r="AA499" s="35"/>
      <c r="AB499" s="35" t="str">
        <f>'Ingest Template'!R499</f>
        <v/>
      </c>
      <c r="AC499" s="35" t="str">
        <f>'Ingest Template'!T499</f>
        <v/>
      </c>
      <c r="AD499" s="35" t="str">
        <f>'Ingest Template'!S499</f>
        <v/>
      </c>
      <c r="AE499" s="35" t="str">
        <f>'Ingest Template'!U499</f>
        <v/>
      </c>
      <c r="AF499" s="22"/>
      <c r="AG499" s="35" t="str">
        <f t="array" ref="AG499">IF('Ingest Template'!A499="Standard",(CONCATENATE(IF(ISBLANK('Ingest Template'!N499),"", 'Ingest Template'!N499&amp;"|DAR"),CHAR(10), IF(ISBLANK('Ingest Template'!O499),"", 'Ingest Template'!O499&amp;"|DAR"),CHAR(10), IF(ISBLANK('Ingest Template'!P499),"", 'Ingest Template'!P499&amp;"|DAR"))),(CONCATENATE(IF(ISBLANK('Ingest Template'!N499),"", 'Ingest Template'!N499&amp;"|TV Ops"),CHAR(10), IF(ISBLANK('Ingest Template'!O499),"", 'Ingest Template'!O499&amp;"|TV Ops"),CHAR(10), IF(ISBLANK('Ingest Template'!P499),"", 'Ingest Template'!P499&amp;"|TV Ops"))))</f>
        <v>
</v>
      </c>
      <c r="AH499" s="35"/>
      <c r="AI499" s="35"/>
      <c r="AJ499" s="117" t="str">
        <f>if('Ingest Template'!A499="Standard",(IF(OR('Ingest Template'!F499 = "Program Type - Special", 'Ingest Template'!F499 = "Program Type - Live Event"),'Ingest Template'!M499&amp; "|DAR|DAR|"&amp;TEXT('Ingest Template'!C499-3, "yyyy-mm-dd")&amp;"|"&amp;TEXT('Ingest Template'!C499+3, "yyyy-mm-dd"),'Ingest Template'!M499&amp; "|DAR|DAR|2021-01-01")),(IF(OR('Ingest Template'!F499 = "Program Type - Special", 'Ingest Template'!F499 = "Program Type - Live Event"),'Ingest Template'!M499&amp; "|Operations - Core Title|Operations - Core Title|"&amp;TEXT('Ingest Template'!C499-3, "yyyy-mm-dd")&amp;"|"&amp;TEXT('Ingest Template'!C499+3, "yyyy-mm-dd"),'Ingest Template'!M499&amp; "|Operations - Core Title|Operations - Core Title")))</f>
        <v>|Operations - Core Title|Operations - Core Title</v>
      </c>
      <c r="AK499" s="35"/>
      <c r="AL499" s="117" t="str">
        <f>if('Ingest Template'!A499="Standard",(IF(OR('Ingest Template'!F499 = "Program Type - Special", 'Ingest Template'!F499 = "Program Type - Live Event"),'Ingest Template'!Q499&amp;"|"&amp;TEXT('Ingest Template'!C499-3, "yyyy-mm-dd")&amp;"|"&amp;TEXT('Ingest Template'!C499+3, "yyyy-mm-dd"),'Ingest Template'!Q499&amp; "|2021-01-01")),(IF(OR('Ingest Template'!F499 = "Program Type - Special", 'Ingest Template'!F499 = "Program Type - Live Event"),'Ingest Template'!Q499&amp; "|"&amp;TEXT('Ingest Template'!C499-3, "yyyy-mm-dd")&amp;"|"&amp;TEXT('Ingest Template'!C499+3, "yyyy-mm-dd"),'Ingest Template'!Q499)))</f>
        <v/>
      </c>
      <c r="AM499" s="35" t="str">
        <f>'Ingest Template'!AC499</f>
        <v/>
      </c>
    </row>
    <row r="500">
      <c r="A500" s="15"/>
      <c r="B500" s="22" t="str">
        <f>'Ingest Template'!C500&amp;IF('Ingest Template'!A500 = "Standard", " - DAR","")</f>
        <v/>
      </c>
      <c r="C500" s="22" t="s">
        <v>83</v>
      </c>
      <c r="D500" s="22" t="str">
        <f t="array" ref="D500">CONCATENATE(INDEX(DropdownLists!$H$2:$H$11,MATCH(1,COUNTIF('Ingest Template'!E500,"*"&amp;DropdownLists!$I$2:$I$11&amp;"*"),0)),CHAR(10),'Ingest Template'!F500,CHAR(10),'Ingest Template'!G500,CHAR(10),VLOOKUP('Ingest Template'!D500,DropdownLists!C:D,2,FALSE))</f>
        <v>#N/A</v>
      </c>
      <c r="E500" s="22" t="str">
        <f>CONCATENATE('Ingest Template'!H500,CHAR(10),'Ingest Template'!I500,CHAR(10),'Ingest Template'!J500,CHAR(10))</f>
        <v>
</v>
      </c>
      <c r="F500" s="35" t="str">
        <f t="array" ref="F500">INDEX(DropdownLists!$O$2:$O$36,MATCH(1,COUNTIF(E500,"*"&amp;DropdownLists!$N$2:$N$36&amp;"*"),0))</f>
        <v/>
      </c>
      <c r="G500" s="35"/>
      <c r="H500" s="22" t="str">
        <f t="array" ref="H500">INDEX(DropdownLists!$E$2:$E$276,MATCH('Ingest Template'!D500,DropdownLists!$C$2:$C$276,0))</f>
        <v>#N/A</v>
      </c>
      <c r="I500" s="22"/>
      <c r="J500" s="22" t="str">
        <f t="array" ref="J500">iF('Ingest Template'!A500="Standard","Pristine Brand",INDEX(DropdownLists!$B$2:$B$246,MATCH('Ingest Template'!D500,DropdownLists!$C$2:$C$246,0)))</f>
        <v>#N/A</v>
      </c>
      <c r="K500" s="22" t="str">
        <f>iF('Ingest Template'!A500="Standard",'Ingest Template'!K500&amp;CHAR(10)&amp;'Ingest Template'!L500,"Competitive View")</f>
        <v>Competitive View</v>
      </c>
      <c r="L500" s="22" t="s">
        <v>95</v>
      </c>
      <c r="M500" s="45" t="str">
        <f>'Ingest Template'!B500</f>
        <v/>
      </c>
      <c r="N500" s="35"/>
      <c r="O500" s="35"/>
      <c r="P500" s="35"/>
      <c r="Q500" s="35"/>
      <c r="R500" s="35" t="str">
        <f>'Ingest Template'!D500</f>
        <v/>
      </c>
      <c r="S500" s="22" t="s">
        <v>101</v>
      </c>
      <c r="T500" s="35" t="str">
        <f>'Ingest Template'!V500</f>
        <v/>
      </c>
      <c r="U500" s="35" t="str">
        <f>'Ingest Template'!W500</f>
        <v/>
      </c>
      <c r="V500" s="35" t="str">
        <f>LOWER(SUBSTITUTE(SUBSTITUTE(SUBSTITUTE(SUBSTITUTE(SUBSTITUTE('Ingest Template'!X500,"https:",""),"www.",""),"/",""),"?hl=en",""),"instagram.com",""))</f>
        <v/>
      </c>
      <c r="W500" s="74" t="str">
        <f t="array" ref="W500">IF(
'Ingest Template'!Y500="",
SUBSTITUTE(
INDEX(DropdownLists!$F$2:$F$277,MATCH('Ingest Template'!D500,DropdownLists!$C$2:$C$277,0)),
CHAR(10),
"|"&amp;'Ingest Template'!C500&amp;CHAR(10)
)&amp;"|"&amp;'Ingest Template'!C500,
SUBSTITUTE(
INDEX(DropdownLists!$F$2:$F$277,MATCH('Ingest Template'!D500,DropdownLists!$C$2:$C$277,0)),
CHAR(10),
"|"&amp;'Ingest Template'!C500&amp;CHAR(10)
)&amp;"|"&amp;'Ingest Template'!C500&amp;CHAR(10)&amp;'Ingest Template'!Y500
)</f>
        <v>#N/A</v>
      </c>
      <c r="X500" s="74" t="str">
        <f>'Ingest Template'!Z500</f>
        <v/>
      </c>
      <c r="Y500" s="35" t="str">
        <f>SUBSTITUTE(SUBSTITUTE(SUBSTITUTE('Ingest Template'!AA500,"http:",""),"https:",""),"/","")</f>
        <v/>
      </c>
      <c r="Z500" s="35" t="str">
        <f t="array" ref="Z500">IF('Ingest Template'!A500="Standard",(IF(ISBLANK('Ingest Template'!AB500),"", 'Ingest Template'!AB500&amp;"|DAR")),(IF(ISBLANK('Ingest Template'!AB500),"", 'Ingest Template'!AB500&amp;"|TV Ops")))</f>
        <v/>
      </c>
      <c r="AA500" s="35"/>
      <c r="AB500" s="35" t="str">
        <f>'Ingest Template'!R500</f>
        <v/>
      </c>
      <c r="AC500" s="35" t="str">
        <f>'Ingest Template'!T500</f>
        <v/>
      </c>
      <c r="AD500" s="35" t="str">
        <f>'Ingest Template'!S500</f>
        <v/>
      </c>
      <c r="AE500" s="35" t="str">
        <f>'Ingest Template'!U500</f>
        <v/>
      </c>
      <c r="AF500" s="22"/>
      <c r="AG500" s="35" t="str">
        <f t="array" ref="AG500">IF('Ingest Template'!A500="Standard",(CONCATENATE(IF(ISBLANK('Ingest Template'!N500),"", 'Ingest Template'!N500&amp;"|DAR"),CHAR(10), IF(ISBLANK('Ingest Template'!O500),"", 'Ingest Template'!O500&amp;"|DAR"),CHAR(10), IF(ISBLANK('Ingest Template'!P500),"", 'Ingest Template'!P500&amp;"|DAR"))),(CONCATENATE(IF(ISBLANK('Ingest Template'!N500),"", 'Ingest Template'!N500&amp;"|TV Ops"),CHAR(10), IF(ISBLANK('Ingest Template'!O500),"", 'Ingest Template'!O500&amp;"|TV Ops"),CHAR(10), IF(ISBLANK('Ingest Template'!P500),"", 'Ingest Template'!P500&amp;"|TV Ops"))))</f>
        <v>
</v>
      </c>
      <c r="AH500" s="35"/>
      <c r="AI500" s="35"/>
      <c r="AJ500" s="117" t="str">
        <f>if('Ingest Template'!A500="Standard",(IF(OR('Ingest Template'!F500 = "Program Type - Special", 'Ingest Template'!F500 = "Program Type - Live Event"),'Ingest Template'!M500&amp; "|DAR|DAR|"&amp;TEXT('Ingest Template'!C500-3, "yyyy-mm-dd")&amp;"|"&amp;TEXT('Ingest Template'!C500+3, "yyyy-mm-dd"),'Ingest Template'!M500&amp; "|DAR|DAR|2021-01-01")),(IF(OR('Ingest Template'!F500 = "Program Type - Special", 'Ingest Template'!F500 = "Program Type - Live Event"),'Ingest Template'!M500&amp; "|Operations - Core Title|Operations - Core Title|"&amp;TEXT('Ingest Template'!C500-3, "yyyy-mm-dd")&amp;"|"&amp;TEXT('Ingest Template'!C500+3, "yyyy-mm-dd"),'Ingest Template'!M500&amp; "|Operations - Core Title|Operations - Core Title")))</f>
        <v>|Operations - Core Title|Operations - Core Title</v>
      </c>
      <c r="AK500" s="35"/>
      <c r="AL500" s="117" t="str">
        <f>if('Ingest Template'!A500="Standard",(IF(OR('Ingest Template'!F500 = "Program Type - Special", 'Ingest Template'!F500 = "Program Type - Live Event"),'Ingest Template'!Q500&amp;"|"&amp;TEXT('Ingest Template'!C500-3, "yyyy-mm-dd")&amp;"|"&amp;TEXT('Ingest Template'!C500+3, "yyyy-mm-dd"),'Ingest Template'!Q500&amp; "|2021-01-01")),(IF(OR('Ingest Template'!F500 = "Program Type - Special", 'Ingest Template'!F500 = "Program Type - Live Event"),'Ingest Template'!Q500&amp; "|"&amp;TEXT('Ingest Template'!C500-3, "yyyy-mm-dd")&amp;"|"&amp;TEXT('Ingest Template'!C500+3, "yyyy-mm-dd"),'Ingest Template'!Q500)))</f>
        <v/>
      </c>
      <c r="AM500" s="35" t="str">
        <f>'Ingest Template'!AC500</f>
        <v/>
      </c>
    </row>
    <row r="501">
      <c r="A501" s="15"/>
      <c r="B501" s="22" t="str">
        <f>'Ingest Template'!C501&amp;IF('Ingest Template'!A501 = "Standard", " - DAR","")</f>
        <v/>
      </c>
      <c r="C501" s="22" t="s">
        <v>83</v>
      </c>
      <c r="D501" s="22" t="str">
        <f t="array" ref="D501">CONCATENATE(INDEX(DropdownLists!$H$2:$H$11,MATCH(1,COUNTIF('Ingest Template'!E501,"*"&amp;DropdownLists!$I$2:$I$11&amp;"*"),0)),CHAR(10),'Ingest Template'!F501,CHAR(10),'Ingest Template'!G501,CHAR(10),VLOOKUP('Ingest Template'!D501,DropdownLists!C:D,2,FALSE))</f>
        <v>#N/A</v>
      </c>
      <c r="E501" s="22" t="str">
        <f>CONCATENATE('Ingest Template'!H501,CHAR(10),'Ingest Template'!I501,CHAR(10),'Ingest Template'!J501,CHAR(10))</f>
        <v>
</v>
      </c>
      <c r="F501" s="35" t="str">
        <f t="array" ref="F501">INDEX(DropdownLists!$O$2:$O$36,MATCH(1,COUNTIF(E501,"*"&amp;DropdownLists!$N$2:$N$36&amp;"*"),0))</f>
        <v/>
      </c>
      <c r="G501" s="35"/>
      <c r="H501" s="22" t="str">
        <f t="array" ref="H501">INDEX(DropdownLists!$E$2:$E$276,MATCH('Ingest Template'!D501,DropdownLists!$C$2:$C$276,0))</f>
        <v>#N/A</v>
      </c>
      <c r="I501" s="22"/>
      <c r="J501" s="22" t="str">
        <f t="array" ref="J501">iF('Ingest Template'!A501="Standard","Pristine Brand",INDEX(DropdownLists!$B$2:$B$246,MATCH('Ingest Template'!D501,DropdownLists!$C$2:$C$246,0)))</f>
        <v>#N/A</v>
      </c>
      <c r="K501" s="22" t="str">
        <f>iF('Ingest Template'!A501="Standard",'Ingest Template'!K501&amp;CHAR(10)&amp;'Ingest Template'!L501,"Competitive View")</f>
        <v>Competitive View</v>
      </c>
      <c r="L501" s="22" t="s">
        <v>95</v>
      </c>
      <c r="M501" s="45" t="str">
        <f>'Ingest Template'!B501</f>
        <v/>
      </c>
      <c r="N501" s="35"/>
      <c r="O501" s="35"/>
      <c r="P501" s="35"/>
      <c r="Q501" s="35"/>
      <c r="R501" s="35" t="str">
        <f>'Ingest Template'!D501</f>
        <v/>
      </c>
      <c r="S501" s="22" t="s">
        <v>101</v>
      </c>
      <c r="T501" s="35" t="str">
        <f>'Ingest Template'!V501</f>
        <v/>
      </c>
      <c r="U501" s="35" t="str">
        <f>'Ingest Template'!W501</f>
        <v/>
      </c>
      <c r="V501" s="35" t="str">
        <f>LOWER(SUBSTITUTE(SUBSTITUTE(SUBSTITUTE(SUBSTITUTE(SUBSTITUTE('Ingest Template'!X501,"https:",""),"www.",""),"/",""),"?hl=en",""),"instagram.com",""))</f>
        <v/>
      </c>
      <c r="W501" s="74" t="str">
        <f t="array" ref="W501">IF(
'Ingest Template'!Y501="",
SUBSTITUTE(
INDEX(DropdownLists!$F$2:$F$277,MATCH('Ingest Template'!D501,DropdownLists!$C$2:$C$277,0)),
CHAR(10),
"|"&amp;'Ingest Template'!C501&amp;CHAR(10)
)&amp;"|"&amp;'Ingest Template'!C501,
SUBSTITUTE(
INDEX(DropdownLists!$F$2:$F$277,MATCH('Ingest Template'!D501,DropdownLists!$C$2:$C$277,0)),
CHAR(10),
"|"&amp;'Ingest Template'!C501&amp;CHAR(10)
)&amp;"|"&amp;'Ingest Template'!C501&amp;CHAR(10)&amp;'Ingest Template'!Y501
)</f>
        <v>#N/A</v>
      </c>
      <c r="X501" s="74" t="str">
        <f>'Ingest Template'!Z501</f>
        <v/>
      </c>
      <c r="Y501" s="35" t="str">
        <f>SUBSTITUTE(SUBSTITUTE(SUBSTITUTE('Ingest Template'!AA501,"http:",""),"https:",""),"/","")</f>
        <v/>
      </c>
      <c r="Z501" s="35" t="str">
        <f t="array" ref="Z501">IF('Ingest Template'!A501="Standard",(IF(ISBLANK('Ingest Template'!AB501),"", 'Ingest Template'!AB501&amp;"|DAR")),(IF(ISBLANK('Ingest Template'!AB501),"", 'Ingest Template'!AB501&amp;"|TV Ops")))</f>
        <v/>
      </c>
      <c r="AA501" s="35"/>
      <c r="AB501" s="35" t="str">
        <f>'Ingest Template'!R501</f>
        <v/>
      </c>
      <c r="AC501" s="35" t="str">
        <f>'Ingest Template'!T501</f>
        <v/>
      </c>
      <c r="AD501" s="35" t="str">
        <f>'Ingest Template'!S501</f>
        <v/>
      </c>
      <c r="AE501" s="35" t="str">
        <f>'Ingest Template'!U501</f>
        <v/>
      </c>
      <c r="AF501" s="22"/>
      <c r="AG501" s="35" t="str">
        <f t="array" ref="AG501">IF('Ingest Template'!A501="Standard",(CONCATENATE(IF(ISBLANK('Ingest Template'!N501),"", 'Ingest Template'!N501&amp;"|DAR"),CHAR(10), IF(ISBLANK('Ingest Template'!O501),"", 'Ingest Template'!O501&amp;"|DAR"),CHAR(10), IF(ISBLANK('Ingest Template'!P501),"", 'Ingest Template'!P501&amp;"|DAR"))),(CONCATENATE(IF(ISBLANK('Ingest Template'!N501),"", 'Ingest Template'!N501&amp;"|TV Ops"),CHAR(10), IF(ISBLANK('Ingest Template'!O501),"", 'Ingest Template'!O501&amp;"|TV Ops"),CHAR(10), IF(ISBLANK('Ingest Template'!P501),"", 'Ingest Template'!P501&amp;"|TV Ops"))))</f>
        <v>
</v>
      </c>
      <c r="AH501" s="35"/>
      <c r="AI501" s="35"/>
      <c r="AJ501" s="117" t="str">
        <f>if('Ingest Template'!A501="Standard",(IF(OR('Ingest Template'!F501 = "Program Type - Special", 'Ingest Template'!F501 = "Program Type - Live Event"),'Ingest Template'!M501&amp; "|DAR|DAR|"&amp;TEXT('Ingest Template'!C501-3, "yyyy-mm-dd")&amp;"|"&amp;TEXT('Ingest Template'!C501+3, "yyyy-mm-dd"),'Ingest Template'!M501&amp; "|DAR|DAR|2021-01-01")),(IF(OR('Ingest Template'!F501 = "Program Type - Special", 'Ingest Template'!F501 = "Program Type - Live Event"),'Ingest Template'!M501&amp; "|Operations - Core Title|Operations - Core Title|"&amp;TEXT('Ingest Template'!C501-3, "yyyy-mm-dd")&amp;"|"&amp;TEXT('Ingest Template'!C501+3, "yyyy-mm-dd"),'Ingest Template'!M501&amp; "|Operations - Core Title|Operations - Core Title")))</f>
        <v>|Operations - Core Title|Operations - Core Title</v>
      </c>
      <c r="AK501" s="35"/>
      <c r="AL501" s="117" t="str">
        <f>if('Ingest Template'!A501="Standard",(IF(OR('Ingest Template'!F501 = "Program Type - Special", 'Ingest Template'!F501 = "Program Type - Live Event"),'Ingest Template'!Q501&amp;"|"&amp;TEXT('Ingest Template'!C501-3, "yyyy-mm-dd")&amp;"|"&amp;TEXT('Ingest Template'!C501+3, "yyyy-mm-dd"),'Ingest Template'!Q501&amp; "|2021-01-01")),(IF(OR('Ingest Template'!F501 = "Program Type - Special", 'Ingest Template'!F501 = "Program Type - Live Event"),'Ingest Template'!Q501&amp; "|"&amp;TEXT('Ingest Template'!C501-3, "yyyy-mm-dd")&amp;"|"&amp;TEXT('Ingest Template'!C501+3, "yyyy-mm-dd"),'Ingest Template'!Q501)))</f>
        <v/>
      </c>
      <c r="AM501" s="35" t="str">
        <f>'Ingest Template'!AC501</f>
        <v/>
      </c>
    </row>
    <row r="502">
      <c r="A502" s="15"/>
      <c r="B502" s="22" t="str">
        <f>'Ingest Template'!C502&amp;IF('Ingest Template'!A502 = "Standard", " - DAR","")</f>
        <v/>
      </c>
      <c r="C502" s="22" t="s">
        <v>83</v>
      </c>
      <c r="D502" s="22" t="str">
        <f t="array" ref="D502">CONCATENATE(INDEX(DropdownLists!$H$2:$H$11,MATCH(1,COUNTIF('Ingest Template'!E502,"*"&amp;DropdownLists!$I$2:$I$11&amp;"*"),0)),CHAR(10),'Ingest Template'!F502,CHAR(10),'Ingest Template'!G502,CHAR(10),VLOOKUP('Ingest Template'!D502,DropdownLists!C:D,2,FALSE))</f>
        <v>#N/A</v>
      </c>
      <c r="E502" s="22" t="str">
        <f>CONCATENATE('Ingest Template'!H502,CHAR(10),'Ingest Template'!I502,CHAR(10),'Ingest Template'!J502,CHAR(10))</f>
        <v>
</v>
      </c>
      <c r="F502" s="35" t="str">
        <f t="array" ref="F502">INDEX(DropdownLists!$O$2:$O$36,MATCH(1,COUNTIF(E502,"*"&amp;DropdownLists!$N$2:$N$36&amp;"*"),0))</f>
        <v/>
      </c>
      <c r="G502" s="35"/>
      <c r="H502" s="22" t="str">
        <f t="array" ref="H502">INDEX(DropdownLists!$E$2:$E$276,MATCH('Ingest Template'!D502,DropdownLists!$C$2:$C$276,0))</f>
        <v>#N/A</v>
      </c>
      <c r="I502" s="22"/>
      <c r="J502" s="22" t="str">
        <f t="array" ref="J502">iF('Ingest Template'!A502="Standard","Pristine Brand",INDEX(DropdownLists!$B$2:$B$246,MATCH('Ingest Template'!D502,DropdownLists!$C$2:$C$246,0)))</f>
        <v>#N/A</v>
      </c>
      <c r="K502" s="22" t="str">
        <f>iF('Ingest Template'!A502="Standard",'Ingest Template'!K502&amp;CHAR(10)&amp;'Ingest Template'!L502,"Competitive View")</f>
        <v>Competitive View</v>
      </c>
      <c r="L502" s="22" t="s">
        <v>95</v>
      </c>
      <c r="M502" s="45" t="str">
        <f>'Ingest Template'!B502</f>
        <v/>
      </c>
      <c r="N502" s="35"/>
      <c r="O502" s="35"/>
      <c r="P502" s="35"/>
      <c r="Q502" s="35"/>
      <c r="R502" s="35" t="str">
        <f>'Ingest Template'!D502</f>
        <v/>
      </c>
      <c r="S502" s="22" t="s">
        <v>101</v>
      </c>
      <c r="T502" s="35" t="str">
        <f>'Ingest Template'!V502</f>
        <v/>
      </c>
      <c r="U502" s="35" t="str">
        <f>'Ingest Template'!W502</f>
        <v/>
      </c>
      <c r="V502" s="35" t="str">
        <f>LOWER(SUBSTITUTE(SUBSTITUTE(SUBSTITUTE(SUBSTITUTE(SUBSTITUTE('Ingest Template'!X502,"https:",""),"www.",""),"/",""),"?hl=en",""),"instagram.com",""))</f>
        <v/>
      </c>
      <c r="W502" s="74" t="str">
        <f t="array" ref="W502">IF(
'Ingest Template'!Y502="",
SUBSTITUTE(
INDEX(DropdownLists!$F$2:$F$277,MATCH('Ingest Template'!D502,DropdownLists!$C$2:$C$277,0)),
CHAR(10),
"|"&amp;'Ingest Template'!C502&amp;CHAR(10)
)&amp;"|"&amp;'Ingest Template'!C502,
SUBSTITUTE(
INDEX(DropdownLists!$F$2:$F$277,MATCH('Ingest Template'!D502,DropdownLists!$C$2:$C$277,0)),
CHAR(10),
"|"&amp;'Ingest Template'!C502&amp;CHAR(10)
)&amp;"|"&amp;'Ingest Template'!C502&amp;CHAR(10)&amp;'Ingest Template'!Y502
)</f>
        <v>#N/A</v>
      </c>
      <c r="X502" s="74" t="str">
        <f>'Ingest Template'!Z502</f>
        <v/>
      </c>
      <c r="Y502" s="35" t="str">
        <f>SUBSTITUTE(SUBSTITUTE(SUBSTITUTE('Ingest Template'!AA502,"http:",""),"https:",""),"/","")</f>
        <v/>
      </c>
      <c r="Z502" s="35" t="str">
        <f t="array" ref="Z502">IF('Ingest Template'!A502="Standard",(IF(ISBLANK('Ingest Template'!AB502),"", 'Ingest Template'!AB502&amp;"|DAR")),(IF(ISBLANK('Ingest Template'!AB502),"", 'Ingest Template'!AB502&amp;"|TV Ops")))</f>
        <v/>
      </c>
      <c r="AA502" s="35"/>
      <c r="AB502" s="35" t="str">
        <f>'Ingest Template'!R502</f>
        <v/>
      </c>
      <c r="AC502" s="35" t="str">
        <f>'Ingest Template'!T502</f>
        <v/>
      </c>
      <c r="AD502" s="35" t="str">
        <f>'Ingest Template'!S502</f>
        <v/>
      </c>
      <c r="AE502" s="35" t="str">
        <f>'Ingest Template'!U502</f>
        <v/>
      </c>
      <c r="AF502" s="22"/>
      <c r="AG502" s="35" t="str">
        <f t="array" ref="AG502">IF('Ingest Template'!A502="Standard",(CONCATENATE(IF(ISBLANK('Ingest Template'!N502),"", 'Ingest Template'!N502&amp;"|DAR"),CHAR(10), IF(ISBLANK('Ingest Template'!O502),"", 'Ingest Template'!O502&amp;"|DAR"),CHAR(10), IF(ISBLANK('Ingest Template'!P502),"", 'Ingest Template'!P502&amp;"|DAR"))),(CONCATENATE(IF(ISBLANK('Ingest Template'!N502),"", 'Ingest Template'!N502&amp;"|TV Ops"),CHAR(10), IF(ISBLANK('Ingest Template'!O502),"", 'Ingest Template'!O502&amp;"|TV Ops"),CHAR(10), IF(ISBLANK('Ingest Template'!P502),"", 'Ingest Template'!P502&amp;"|TV Ops"))))</f>
        <v>
</v>
      </c>
      <c r="AH502" s="35"/>
      <c r="AI502" s="35"/>
      <c r="AJ502" s="117" t="str">
        <f>if('Ingest Template'!A502="Standard",(IF(OR('Ingest Template'!F502 = "Program Type - Special", 'Ingest Template'!F502 = "Program Type - Live Event"),'Ingest Template'!M502&amp; "|DAR|DAR|"&amp;TEXT('Ingest Template'!C502-3, "yyyy-mm-dd")&amp;"|"&amp;TEXT('Ingest Template'!C502+3, "yyyy-mm-dd"),'Ingest Template'!M502&amp; "|DAR|DAR|2021-01-01")),(IF(OR('Ingest Template'!F502 = "Program Type - Special", 'Ingest Template'!F502 = "Program Type - Live Event"),'Ingest Template'!M502&amp; "|Operations - Core Title|Operations - Core Title|"&amp;TEXT('Ingest Template'!C502-3, "yyyy-mm-dd")&amp;"|"&amp;TEXT('Ingest Template'!C502+3, "yyyy-mm-dd"),'Ingest Template'!M502&amp; "|Operations - Core Title|Operations - Core Title")))</f>
        <v>|Operations - Core Title|Operations - Core Title</v>
      </c>
      <c r="AK502" s="35"/>
      <c r="AL502" s="117" t="str">
        <f>if('Ingest Template'!A502="Standard",(IF(OR('Ingest Template'!F502 = "Program Type - Special", 'Ingest Template'!F502 = "Program Type - Live Event"),'Ingest Template'!Q502&amp;"|"&amp;TEXT('Ingest Template'!C502-3, "yyyy-mm-dd")&amp;"|"&amp;TEXT('Ingest Template'!C502+3, "yyyy-mm-dd"),'Ingest Template'!Q502&amp; "|2021-01-01")),(IF(OR('Ingest Template'!F502 = "Program Type - Special", 'Ingest Template'!F502 = "Program Type - Live Event"),'Ingest Template'!Q502&amp; "|"&amp;TEXT('Ingest Template'!C502-3, "yyyy-mm-dd")&amp;"|"&amp;TEXT('Ingest Template'!C502+3, "yyyy-mm-dd"),'Ingest Template'!Q502)))</f>
        <v/>
      </c>
      <c r="AM502" s="35" t="str">
        <f>'Ingest Template'!AC502</f>
        <v/>
      </c>
    </row>
    <row r="503">
      <c r="A503" s="15"/>
      <c r="B503" s="22" t="str">
        <f>'Ingest Template'!C503&amp;IF('Ingest Template'!A503 = "Standard", " - DAR","")</f>
        <v/>
      </c>
      <c r="C503" s="22" t="s">
        <v>83</v>
      </c>
      <c r="D503" s="22" t="str">
        <f t="array" ref="D503">CONCATENATE(INDEX(DropdownLists!$H$2:$H$11,MATCH(1,COUNTIF('Ingest Template'!E503,"*"&amp;DropdownLists!$I$2:$I$11&amp;"*"),0)),CHAR(10),'Ingest Template'!F503,CHAR(10),'Ingest Template'!G503,CHAR(10),VLOOKUP('Ingest Template'!D503,DropdownLists!C:D,2,FALSE))</f>
        <v>#N/A</v>
      </c>
      <c r="E503" s="22" t="str">
        <f>CONCATENATE('Ingest Template'!H503,CHAR(10),'Ingest Template'!I503,CHAR(10),'Ingest Template'!J503,CHAR(10))</f>
        <v>
</v>
      </c>
      <c r="F503" s="35" t="str">
        <f t="array" ref="F503">INDEX(DropdownLists!$O$2:$O$36,MATCH(1,COUNTIF(E503,"*"&amp;DropdownLists!$N$2:$N$36&amp;"*"),0))</f>
        <v/>
      </c>
      <c r="G503" s="35"/>
      <c r="H503" s="22" t="str">
        <f t="array" ref="H503">INDEX(DropdownLists!$E$2:$E$276,MATCH('Ingest Template'!D503,DropdownLists!$C$2:$C$276,0))</f>
        <v>#N/A</v>
      </c>
      <c r="I503" s="22"/>
      <c r="J503" s="22" t="str">
        <f t="array" ref="J503">iF('Ingest Template'!A503="Standard","Pristine Brand",INDEX(DropdownLists!$B$2:$B$246,MATCH('Ingest Template'!D503,DropdownLists!$C$2:$C$246,0)))</f>
        <v>#N/A</v>
      </c>
      <c r="K503" s="22" t="str">
        <f>iF('Ingest Template'!A503="Standard",'Ingest Template'!K503&amp;CHAR(10)&amp;'Ingest Template'!L503,"Competitive View")</f>
        <v>Competitive View</v>
      </c>
      <c r="L503" s="22" t="s">
        <v>95</v>
      </c>
      <c r="M503" s="45" t="str">
        <f>'Ingest Template'!B503</f>
        <v/>
      </c>
      <c r="N503" s="35"/>
      <c r="O503" s="35"/>
      <c r="P503" s="35"/>
      <c r="Q503" s="35"/>
      <c r="R503" s="35" t="str">
        <f>'Ingest Template'!D503</f>
        <v/>
      </c>
      <c r="S503" s="22" t="s">
        <v>101</v>
      </c>
      <c r="T503" s="35" t="str">
        <f>'Ingest Template'!V503</f>
        <v/>
      </c>
      <c r="U503" s="35" t="str">
        <f>'Ingest Template'!W503</f>
        <v/>
      </c>
      <c r="V503" s="35" t="str">
        <f>LOWER(SUBSTITUTE(SUBSTITUTE(SUBSTITUTE(SUBSTITUTE(SUBSTITUTE('Ingest Template'!X503,"https:",""),"www.",""),"/",""),"?hl=en",""),"instagram.com",""))</f>
        <v/>
      </c>
      <c r="W503" s="74" t="str">
        <f t="array" ref="W503">IF(
'Ingest Template'!Y503="",
SUBSTITUTE(
INDEX(DropdownLists!$F$2:$F$277,MATCH('Ingest Template'!D503,DropdownLists!$C$2:$C$277,0)),
CHAR(10),
"|"&amp;'Ingest Template'!C503&amp;CHAR(10)
)&amp;"|"&amp;'Ingest Template'!C503,
SUBSTITUTE(
INDEX(DropdownLists!$F$2:$F$277,MATCH('Ingest Template'!D503,DropdownLists!$C$2:$C$277,0)),
CHAR(10),
"|"&amp;'Ingest Template'!C503&amp;CHAR(10)
)&amp;"|"&amp;'Ingest Template'!C503&amp;CHAR(10)&amp;'Ingest Template'!Y503
)</f>
        <v>#N/A</v>
      </c>
      <c r="X503" s="74" t="str">
        <f>'Ingest Template'!Z503</f>
        <v/>
      </c>
      <c r="Y503" s="35" t="str">
        <f>SUBSTITUTE(SUBSTITUTE(SUBSTITUTE('Ingest Template'!AA503,"http:",""),"https:",""),"/","")</f>
        <v/>
      </c>
      <c r="Z503" s="35" t="str">
        <f t="array" ref="Z503">IF('Ingest Template'!A503="Standard",(IF(ISBLANK('Ingest Template'!AB503),"", 'Ingest Template'!AB503&amp;"|DAR")),(IF(ISBLANK('Ingest Template'!AB503),"", 'Ingest Template'!AB503&amp;"|TV Ops")))</f>
        <v/>
      </c>
      <c r="AA503" s="35"/>
      <c r="AB503" s="35" t="str">
        <f>'Ingest Template'!R503</f>
        <v/>
      </c>
      <c r="AC503" s="35" t="str">
        <f>'Ingest Template'!T503</f>
        <v/>
      </c>
      <c r="AD503" s="35" t="str">
        <f>'Ingest Template'!S503</f>
        <v/>
      </c>
      <c r="AE503" s="35" t="str">
        <f>'Ingest Template'!U503</f>
        <v/>
      </c>
      <c r="AF503" s="22"/>
      <c r="AG503" s="35" t="str">
        <f t="array" ref="AG503">IF('Ingest Template'!A503="Standard",(CONCATENATE(IF(ISBLANK('Ingest Template'!N503),"", 'Ingest Template'!N503&amp;"|DAR"),CHAR(10), IF(ISBLANK('Ingest Template'!O503),"", 'Ingest Template'!O503&amp;"|DAR"),CHAR(10), IF(ISBLANK('Ingest Template'!P503),"", 'Ingest Template'!P503&amp;"|DAR"))),(CONCATENATE(IF(ISBLANK('Ingest Template'!N503),"", 'Ingest Template'!N503&amp;"|TV Ops"),CHAR(10), IF(ISBLANK('Ingest Template'!O503),"", 'Ingest Template'!O503&amp;"|TV Ops"),CHAR(10), IF(ISBLANK('Ingest Template'!P503),"", 'Ingest Template'!P503&amp;"|TV Ops"))))</f>
        <v>
</v>
      </c>
      <c r="AH503" s="35"/>
      <c r="AI503" s="35"/>
      <c r="AJ503" s="117" t="str">
        <f>if('Ingest Template'!A503="Standard",(IF(OR('Ingest Template'!F503 = "Program Type - Special", 'Ingest Template'!F503 = "Program Type - Live Event"),'Ingest Template'!M503&amp; "|DAR|DAR|"&amp;TEXT('Ingest Template'!C503-3, "yyyy-mm-dd")&amp;"|"&amp;TEXT('Ingest Template'!C503+3, "yyyy-mm-dd"),'Ingest Template'!M503&amp; "|DAR|DAR|2021-01-01")),(IF(OR('Ingest Template'!F503 = "Program Type - Special", 'Ingest Template'!F503 = "Program Type - Live Event"),'Ingest Template'!M503&amp; "|Operations - Core Title|Operations - Core Title|"&amp;TEXT('Ingest Template'!C503-3, "yyyy-mm-dd")&amp;"|"&amp;TEXT('Ingest Template'!C503+3, "yyyy-mm-dd"),'Ingest Template'!M503&amp; "|Operations - Core Title|Operations - Core Title")))</f>
        <v>|Operations - Core Title|Operations - Core Title</v>
      </c>
      <c r="AK503" s="35"/>
      <c r="AL503" s="117" t="str">
        <f>if('Ingest Template'!A503="Standard",(IF(OR('Ingest Template'!F503 = "Program Type - Special", 'Ingest Template'!F503 = "Program Type - Live Event"),'Ingest Template'!Q503&amp;"|"&amp;TEXT('Ingest Template'!C503-3, "yyyy-mm-dd")&amp;"|"&amp;TEXT('Ingest Template'!C503+3, "yyyy-mm-dd"),'Ingest Template'!Q503&amp; "|2021-01-01")),(IF(OR('Ingest Template'!F503 = "Program Type - Special", 'Ingest Template'!F503 = "Program Type - Live Event"),'Ingest Template'!Q503&amp; "|"&amp;TEXT('Ingest Template'!C503-3, "yyyy-mm-dd")&amp;"|"&amp;TEXT('Ingest Template'!C503+3, "yyyy-mm-dd"),'Ingest Template'!Q503)))</f>
        <v/>
      </c>
      <c r="AM503" s="35" t="str">
        <f>'Ingest Template'!AC503</f>
        <v/>
      </c>
    </row>
    <row r="504">
      <c r="A504" s="15"/>
      <c r="B504" s="22" t="str">
        <f>'Ingest Template'!C504&amp;IF('Ingest Template'!A504 = "Standard", " - DAR","")</f>
        <v/>
      </c>
      <c r="C504" s="22" t="s">
        <v>83</v>
      </c>
      <c r="D504" s="22" t="str">
        <f t="array" ref="D504">CONCATENATE(INDEX(DropdownLists!$H$2:$H$11,MATCH(1,COUNTIF('Ingest Template'!E504,"*"&amp;DropdownLists!$I$2:$I$11&amp;"*"),0)),CHAR(10),'Ingest Template'!F504,CHAR(10),'Ingest Template'!G504,CHAR(10),VLOOKUP('Ingest Template'!D504,DropdownLists!C:D,2,FALSE))</f>
        <v>#N/A</v>
      </c>
      <c r="E504" s="22" t="str">
        <f>CONCATENATE('Ingest Template'!H504,CHAR(10),'Ingest Template'!I504,CHAR(10),'Ingest Template'!J504,CHAR(10))</f>
        <v>
</v>
      </c>
      <c r="F504" s="35" t="str">
        <f t="array" ref="F504">INDEX(DropdownLists!$O$2:$O$36,MATCH(1,COUNTIF(E504,"*"&amp;DropdownLists!$N$2:$N$36&amp;"*"),0))</f>
        <v/>
      </c>
      <c r="G504" s="35"/>
      <c r="H504" s="22" t="str">
        <f t="array" ref="H504">INDEX(DropdownLists!$E$2:$E$276,MATCH('Ingest Template'!D504,DropdownLists!$C$2:$C$276,0))</f>
        <v>#N/A</v>
      </c>
      <c r="I504" s="22"/>
      <c r="J504" s="22" t="str">
        <f t="array" ref="J504">iF('Ingest Template'!A504="Standard","Pristine Brand",INDEX(DropdownLists!$B$2:$B$246,MATCH('Ingest Template'!D504,DropdownLists!$C$2:$C$246,0)))</f>
        <v>#N/A</v>
      </c>
      <c r="K504" s="22" t="str">
        <f>iF('Ingest Template'!A504="Standard",'Ingest Template'!K504&amp;CHAR(10)&amp;'Ingest Template'!L504,"Competitive View")</f>
        <v>Competitive View</v>
      </c>
      <c r="L504" s="22" t="s">
        <v>95</v>
      </c>
      <c r="M504" s="45" t="str">
        <f>'Ingest Template'!B504</f>
        <v/>
      </c>
      <c r="N504" s="35"/>
      <c r="O504" s="35"/>
      <c r="P504" s="35"/>
      <c r="Q504" s="35"/>
      <c r="R504" s="35" t="str">
        <f>'Ingest Template'!D504</f>
        <v/>
      </c>
      <c r="S504" s="22" t="s">
        <v>101</v>
      </c>
      <c r="T504" s="35" t="str">
        <f>'Ingest Template'!V504</f>
        <v/>
      </c>
      <c r="U504" s="35" t="str">
        <f>'Ingest Template'!W504</f>
        <v/>
      </c>
      <c r="V504" s="35" t="str">
        <f>LOWER(SUBSTITUTE(SUBSTITUTE(SUBSTITUTE(SUBSTITUTE(SUBSTITUTE('Ingest Template'!X504,"https:",""),"www.",""),"/",""),"?hl=en",""),"instagram.com",""))</f>
        <v/>
      </c>
      <c r="W504" s="74" t="str">
        <f t="array" ref="W504">IF(
'Ingest Template'!Y504="",
SUBSTITUTE(
INDEX(DropdownLists!$F$2:$F$277,MATCH('Ingest Template'!D504,DropdownLists!$C$2:$C$277,0)),
CHAR(10),
"|"&amp;'Ingest Template'!C504&amp;CHAR(10)
)&amp;"|"&amp;'Ingest Template'!C504,
SUBSTITUTE(
INDEX(DropdownLists!$F$2:$F$277,MATCH('Ingest Template'!D504,DropdownLists!$C$2:$C$277,0)),
CHAR(10),
"|"&amp;'Ingest Template'!C504&amp;CHAR(10)
)&amp;"|"&amp;'Ingest Template'!C504&amp;CHAR(10)&amp;'Ingest Template'!Y504
)</f>
        <v>#N/A</v>
      </c>
      <c r="X504" s="74" t="str">
        <f>'Ingest Template'!Z504</f>
        <v/>
      </c>
      <c r="Y504" s="35" t="str">
        <f>SUBSTITUTE(SUBSTITUTE(SUBSTITUTE('Ingest Template'!AA504,"http:",""),"https:",""),"/","")</f>
        <v/>
      </c>
      <c r="Z504" s="35" t="str">
        <f t="array" ref="Z504">IF('Ingest Template'!A504="Standard",(IF(ISBLANK('Ingest Template'!AB504),"", 'Ingest Template'!AB504&amp;"|DAR")),(IF(ISBLANK('Ingest Template'!AB504),"", 'Ingest Template'!AB504&amp;"|TV Ops")))</f>
        <v/>
      </c>
      <c r="AA504" s="35"/>
      <c r="AB504" s="35" t="str">
        <f>'Ingest Template'!R504</f>
        <v/>
      </c>
      <c r="AC504" s="35" t="str">
        <f>'Ingest Template'!T504</f>
        <v/>
      </c>
      <c r="AD504" s="35" t="str">
        <f>'Ingest Template'!S504</f>
        <v/>
      </c>
      <c r="AE504" s="35" t="str">
        <f>'Ingest Template'!U504</f>
        <v/>
      </c>
      <c r="AF504" s="22"/>
      <c r="AG504" s="35" t="str">
        <f t="array" ref="AG504">IF('Ingest Template'!A504="Standard",(CONCATENATE(IF(ISBLANK('Ingest Template'!N504),"", 'Ingest Template'!N504&amp;"|DAR"),CHAR(10), IF(ISBLANK('Ingest Template'!O504),"", 'Ingest Template'!O504&amp;"|DAR"),CHAR(10), IF(ISBLANK('Ingest Template'!P504),"", 'Ingest Template'!P504&amp;"|DAR"))),(CONCATENATE(IF(ISBLANK('Ingest Template'!N504),"", 'Ingest Template'!N504&amp;"|TV Ops"),CHAR(10), IF(ISBLANK('Ingest Template'!O504),"", 'Ingest Template'!O504&amp;"|TV Ops"),CHAR(10), IF(ISBLANK('Ingest Template'!P504),"", 'Ingest Template'!P504&amp;"|TV Ops"))))</f>
        <v>
</v>
      </c>
      <c r="AH504" s="35"/>
      <c r="AI504" s="35"/>
      <c r="AJ504" s="117" t="str">
        <f>if('Ingest Template'!A504="Standard",(IF(OR('Ingest Template'!F504 = "Program Type - Special", 'Ingest Template'!F504 = "Program Type - Live Event"),'Ingest Template'!M504&amp; "|DAR|DAR|"&amp;TEXT('Ingest Template'!C504-3, "yyyy-mm-dd")&amp;"|"&amp;TEXT('Ingest Template'!C504+3, "yyyy-mm-dd"),'Ingest Template'!M504&amp; "|DAR|DAR|2021-01-01")),(IF(OR('Ingest Template'!F504 = "Program Type - Special", 'Ingest Template'!F504 = "Program Type - Live Event"),'Ingest Template'!M504&amp; "|Operations - Core Title|Operations - Core Title|"&amp;TEXT('Ingest Template'!C504-3, "yyyy-mm-dd")&amp;"|"&amp;TEXT('Ingest Template'!C504+3, "yyyy-mm-dd"),'Ingest Template'!M504&amp; "|Operations - Core Title|Operations - Core Title")))</f>
        <v>|Operations - Core Title|Operations - Core Title</v>
      </c>
      <c r="AK504" s="35"/>
      <c r="AL504" s="117" t="str">
        <f>if('Ingest Template'!A504="Standard",(IF(OR('Ingest Template'!F504 = "Program Type - Special", 'Ingest Template'!F504 = "Program Type - Live Event"),'Ingest Template'!Q504&amp;"|"&amp;TEXT('Ingest Template'!C504-3, "yyyy-mm-dd")&amp;"|"&amp;TEXT('Ingest Template'!C504+3, "yyyy-mm-dd"),'Ingest Template'!Q504&amp; "|2021-01-01")),(IF(OR('Ingest Template'!F504 = "Program Type - Special", 'Ingest Template'!F504 = "Program Type - Live Event"),'Ingest Template'!Q504&amp; "|"&amp;TEXT('Ingest Template'!C504-3, "yyyy-mm-dd")&amp;"|"&amp;TEXT('Ingest Template'!C504+3, "yyyy-mm-dd"),'Ingest Template'!Q504)))</f>
        <v/>
      </c>
      <c r="AM504" s="35" t="str">
        <f>'Ingest Template'!AC504</f>
        <v/>
      </c>
    </row>
    <row r="505">
      <c r="A505" s="15"/>
      <c r="B505" s="22" t="str">
        <f>'Ingest Template'!C505&amp;IF('Ingest Template'!A505 = "Standard", " - DAR","")</f>
        <v/>
      </c>
      <c r="C505" s="22" t="s">
        <v>83</v>
      </c>
      <c r="D505" s="22" t="str">
        <f t="array" ref="D505">CONCATENATE(INDEX(DropdownLists!$H$2:$H$11,MATCH(1,COUNTIF('Ingest Template'!E505,"*"&amp;DropdownLists!$I$2:$I$11&amp;"*"),0)),CHAR(10),'Ingest Template'!F505,CHAR(10),'Ingest Template'!G505,CHAR(10),VLOOKUP('Ingest Template'!D505,DropdownLists!C:D,2,FALSE))</f>
        <v>#N/A</v>
      </c>
      <c r="E505" s="22" t="str">
        <f>CONCATENATE('Ingest Template'!H505,CHAR(10),'Ingest Template'!I505,CHAR(10),'Ingest Template'!J505,CHAR(10))</f>
        <v>
</v>
      </c>
      <c r="F505" s="35" t="str">
        <f t="array" ref="F505">INDEX(DropdownLists!$O$2:$O$36,MATCH(1,COUNTIF(E505,"*"&amp;DropdownLists!$N$2:$N$36&amp;"*"),0))</f>
        <v/>
      </c>
      <c r="G505" s="35"/>
      <c r="H505" s="22" t="str">
        <f t="array" ref="H505">INDEX(DropdownLists!$E$2:$E$276,MATCH('Ingest Template'!D505,DropdownLists!$C$2:$C$276,0))</f>
        <v>#N/A</v>
      </c>
      <c r="I505" s="22"/>
      <c r="J505" s="22" t="str">
        <f t="array" ref="J505">iF('Ingest Template'!A505="Standard","Pristine Brand",INDEX(DropdownLists!$B$2:$B$246,MATCH('Ingest Template'!D505,DropdownLists!$C$2:$C$246,0)))</f>
        <v>#N/A</v>
      </c>
      <c r="K505" s="22" t="str">
        <f>iF('Ingest Template'!A505="Standard",'Ingest Template'!K505&amp;CHAR(10)&amp;'Ingest Template'!L505,"Competitive View")</f>
        <v>Competitive View</v>
      </c>
      <c r="L505" s="22" t="s">
        <v>95</v>
      </c>
      <c r="M505" s="45" t="str">
        <f>'Ingest Template'!B505</f>
        <v/>
      </c>
      <c r="N505" s="35"/>
      <c r="O505" s="35"/>
      <c r="P505" s="35"/>
      <c r="Q505" s="35"/>
      <c r="R505" s="35" t="str">
        <f>'Ingest Template'!D505</f>
        <v/>
      </c>
      <c r="S505" s="22" t="s">
        <v>101</v>
      </c>
      <c r="T505" s="35" t="str">
        <f>'Ingest Template'!V505</f>
        <v/>
      </c>
      <c r="U505" s="35" t="str">
        <f>'Ingest Template'!W505</f>
        <v/>
      </c>
      <c r="V505" s="35" t="str">
        <f>LOWER(SUBSTITUTE(SUBSTITUTE(SUBSTITUTE(SUBSTITUTE(SUBSTITUTE('Ingest Template'!X505,"https:",""),"www.",""),"/",""),"?hl=en",""),"instagram.com",""))</f>
        <v/>
      </c>
      <c r="W505" s="74" t="str">
        <f t="array" ref="W505">IF(
'Ingest Template'!Y505="",
SUBSTITUTE(
INDEX(DropdownLists!$F$2:$F$277,MATCH('Ingest Template'!D505,DropdownLists!$C$2:$C$277,0)),
CHAR(10),
"|"&amp;'Ingest Template'!C505&amp;CHAR(10)
)&amp;"|"&amp;'Ingest Template'!C505,
SUBSTITUTE(
INDEX(DropdownLists!$F$2:$F$277,MATCH('Ingest Template'!D505,DropdownLists!$C$2:$C$277,0)),
CHAR(10),
"|"&amp;'Ingest Template'!C505&amp;CHAR(10)
)&amp;"|"&amp;'Ingest Template'!C505&amp;CHAR(10)&amp;'Ingest Template'!Y505
)</f>
        <v>#N/A</v>
      </c>
      <c r="X505" s="74" t="str">
        <f>'Ingest Template'!Z505</f>
        <v/>
      </c>
      <c r="Y505" s="35" t="str">
        <f>SUBSTITUTE(SUBSTITUTE(SUBSTITUTE('Ingest Template'!AA505,"http:",""),"https:",""),"/","")</f>
        <v/>
      </c>
      <c r="Z505" s="35" t="str">
        <f t="array" ref="Z505">IF('Ingest Template'!A505="Standard",(IF(ISBLANK('Ingest Template'!AB505),"", 'Ingest Template'!AB505&amp;"|DAR")),(IF(ISBLANK('Ingest Template'!AB505),"", 'Ingest Template'!AB505&amp;"|TV Ops")))</f>
        <v/>
      </c>
      <c r="AA505" s="35"/>
      <c r="AB505" s="35" t="str">
        <f>'Ingest Template'!R505</f>
        <v/>
      </c>
      <c r="AC505" s="35" t="str">
        <f>'Ingest Template'!T505</f>
        <v/>
      </c>
      <c r="AD505" s="35" t="str">
        <f>'Ingest Template'!S505</f>
        <v/>
      </c>
      <c r="AE505" s="35" t="str">
        <f>'Ingest Template'!U505</f>
        <v/>
      </c>
      <c r="AF505" s="22"/>
      <c r="AG505" s="35" t="str">
        <f t="array" ref="AG505">IF('Ingest Template'!A505="Standard",(CONCATENATE(IF(ISBLANK('Ingest Template'!N505),"", 'Ingest Template'!N505&amp;"|DAR"),CHAR(10), IF(ISBLANK('Ingest Template'!O505),"", 'Ingest Template'!O505&amp;"|DAR"),CHAR(10), IF(ISBLANK('Ingest Template'!P505),"", 'Ingest Template'!P505&amp;"|DAR"))),(CONCATENATE(IF(ISBLANK('Ingest Template'!N505),"", 'Ingest Template'!N505&amp;"|TV Ops"),CHAR(10), IF(ISBLANK('Ingest Template'!O505),"", 'Ingest Template'!O505&amp;"|TV Ops"),CHAR(10), IF(ISBLANK('Ingest Template'!P505),"", 'Ingest Template'!P505&amp;"|TV Ops"))))</f>
        <v>
</v>
      </c>
      <c r="AH505" s="35"/>
      <c r="AI505" s="35"/>
      <c r="AJ505" s="117" t="str">
        <f>if('Ingest Template'!A505="Standard",(IF(OR('Ingest Template'!F505 = "Program Type - Special", 'Ingest Template'!F505 = "Program Type - Live Event"),'Ingest Template'!M505&amp; "|DAR|DAR|"&amp;TEXT('Ingest Template'!C505-3, "yyyy-mm-dd")&amp;"|"&amp;TEXT('Ingest Template'!C505+3, "yyyy-mm-dd"),'Ingest Template'!M505&amp; "|DAR|DAR|2021-01-01")),(IF(OR('Ingest Template'!F505 = "Program Type - Special", 'Ingest Template'!F505 = "Program Type - Live Event"),'Ingest Template'!M505&amp; "|Operations - Core Title|Operations - Core Title|"&amp;TEXT('Ingest Template'!C505-3, "yyyy-mm-dd")&amp;"|"&amp;TEXT('Ingest Template'!C505+3, "yyyy-mm-dd"),'Ingest Template'!M505&amp; "|Operations - Core Title|Operations - Core Title")))</f>
        <v>|Operations - Core Title|Operations - Core Title</v>
      </c>
      <c r="AK505" s="35"/>
      <c r="AL505" s="117" t="str">
        <f>if('Ingest Template'!A505="Standard",(IF(OR('Ingest Template'!F505 = "Program Type - Special", 'Ingest Template'!F505 = "Program Type - Live Event"),'Ingest Template'!Q505&amp;"|"&amp;TEXT('Ingest Template'!C505-3, "yyyy-mm-dd")&amp;"|"&amp;TEXT('Ingest Template'!C505+3, "yyyy-mm-dd"),'Ingest Template'!Q505&amp; "|2021-01-01")),(IF(OR('Ingest Template'!F505 = "Program Type - Special", 'Ingest Template'!F505 = "Program Type - Live Event"),'Ingest Template'!Q505&amp; "|"&amp;TEXT('Ingest Template'!C505-3, "yyyy-mm-dd")&amp;"|"&amp;TEXT('Ingest Template'!C505+3, "yyyy-mm-dd"),'Ingest Template'!Q505)))</f>
        <v/>
      </c>
      <c r="AM505" s="35" t="str">
        <f>'Ingest Template'!AC505</f>
        <v/>
      </c>
    </row>
    <row r="506">
      <c r="A506" s="15"/>
      <c r="B506" s="22" t="str">
        <f>'Ingest Template'!C506&amp;IF('Ingest Template'!A506 = "Standard", " - DAR","")</f>
        <v/>
      </c>
      <c r="C506" s="22" t="s">
        <v>83</v>
      </c>
      <c r="D506" s="22" t="str">
        <f t="array" ref="D506">CONCATENATE(INDEX(DropdownLists!$H$2:$H$11,MATCH(1,COUNTIF('Ingest Template'!E506,"*"&amp;DropdownLists!$I$2:$I$11&amp;"*"),0)),CHAR(10),'Ingest Template'!F506,CHAR(10),'Ingest Template'!G506,CHAR(10),VLOOKUP('Ingest Template'!D506,DropdownLists!C:D,2,FALSE))</f>
        <v>#N/A</v>
      </c>
      <c r="E506" s="22" t="str">
        <f>CONCATENATE('Ingest Template'!H506,CHAR(10),'Ingest Template'!I506,CHAR(10),'Ingest Template'!J506,CHAR(10))</f>
        <v>
</v>
      </c>
      <c r="F506" s="35" t="str">
        <f t="array" ref="F506">INDEX(DropdownLists!$O$2:$O$36,MATCH(1,COUNTIF(E506,"*"&amp;DropdownLists!$N$2:$N$36&amp;"*"),0))</f>
        <v/>
      </c>
      <c r="G506" s="35"/>
      <c r="H506" s="22" t="str">
        <f t="array" ref="H506">INDEX(DropdownLists!$E$2:$E$276,MATCH('Ingest Template'!D506,DropdownLists!$C$2:$C$276,0))</f>
        <v>#N/A</v>
      </c>
      <c r="I506" s="22"/>
      <c r="J506" s="22" t="str">
        <f t="array" ref="J506">iF('Ingest Template'!A506="Standard","Pristine Brand",INDEX(DropdownLists!$B$2:$B$246,MATCH('Ingest Template'!D506,DropdownLists!$C$2:$C$246,0)))</f>
        <v>#N/A</v>
      </c>
      <c r="K506" s="22" t="str">
        <f>iF('Ingest Template'!A506="Standard",'Ingest Template'!K506&amp;CHAR(10)&amp;'Ingest Template'!L506,"Competitive View")</f>
        <v>Competitive View</v>
      </c>
      <c r="L506" s="22" t="s">
        <v>95</v>
      </c>
      <c r="M506" s="45" t="str">
        <f>'Ingest Template'!B506</f>
        <v/>
      </c>
      <c r="N506" s="35"/>
      <c r="O506" s="35"/>
      <c r="P506" s="35"/>
      <c r="Q506" s="35"/>
      <c r="R506" s="35" t="str">
        <f>'Ingest Template'!D506</f>
        <v/>
      </c>
      <c r="S506" s="22" t="s">
        <v>101</v>
      </c>
      <c r="T506" s="35" t="str">
        <f>'Ingest Template'!V506</f>
        <v/>
      </c>
      <c r="U506" s="35" t="str">
        <f>'Ingest Template'!W506</f>
        <v/>
      </c>
      <c r="V506" s="35" t="str">
        <f>LOWER(SUBSTITUTE(SUBSTITUTE(SUBSTITUTE(SUBSTITUTE(SUBSTITUTE('Ingest Template'!X506,"https:",""),"www.",""),"/",""),"?hl=en",""),"instagram.com",""))</f>
        <v/>
      </c>
      <c r="W506" s="74" t="str">
        <f t="array" ref="W506">IF(
'Ingest Template'!Y506="",
SUBSTITUTE(
INDEX(DropdownLists!$F$2:$F$277,MATCH('Ingest Template'!D506,DropdownLists!$C$2:$C$277,0)),
CHAR(10),
"|"&amp;'Ingest Template'!C506&amp;CHAR(10)
)&amp;"|"&amp;'Ingest Template'!C506,
SUBSTITUTE(
INDEX(DropdownLists!$F$2:$F$277,MATCH('Ingest Template'!D506,DropdownLists!$C$2:$C$277,0)),
CHAR(10),
"|"&amp;'Ingest Template'!C506&amp;CHAR(10)
)&amp;"|"&amp;'Ingest Template'!C506&amp;CHAR(10)&amp;'Ingest Template'!Y506
)</f>
        <v>#N/A</v>
      </c>
      <c r="X506" s="74" t="str">
        <f>'Ingest Template'!Z506</f>
        <v/>
      </c>
      <c r="Y506" s="35" t="str">
        <f>SUBSTITUTE(SUBSTITUTE(SUBSTITUTE('Ingest Template'!AA506,"http:",""),"https:",""),"/","")</f>
        <v/>
      </c>
      <c r="Z506" s="35" t="str">
        <f t="array" ref="Z506">IF('Ingest Template'!A506="Standard",(IF(ISBLANK('Ingest Template'!AB506),"", 'Ingest Template'!AB506&amp;"|DAR")),(IF(ISBLANK('Ingest Template'!AB506),"", 'Ingest Template'!AB506&amp;"|TV Ops")))</f>
        <v/>
      </c>
      <c r="AA506" s="35"/>
      <c r="AB506" s="35" t="str">
        <f>'Ingest Template'!R506</f>
        <v/>
      </c>
      <c r="AC506" s="35" t="str">
        <f>'Ingest Template'!T506</f>
        <v/>
      </c>
      <c r="AD506" s="35" t="str">
        <f>'Ingest Template'!S506</f>
        <v/>
      </c>
      <c r="AE506" s="35" t="str">
        <f>'Ingest Template'!U506</f>
        <v/>
      </c>
      <c r="AF506" s="22"/>
      <c r="AG506" s="35" t="str">
        <f t="array" ref="AG506">IF('Ingest Template'!A506="Standard",(CONCATENATE(IF(ISBLANK('Ingest Template'!N506),"", 'Ingest Template'!N506&amp;"|DAR"),CHAR(10), IF(ISBLANK('Ingest Template'!O506),"", 'Ingest Template'!O506&amp;"|DAR"),CHAR(10), IF(ISBLANK('Ingest Template'!P506),"", 'Ingest Template'!P506&amp;"|DAR"))),(CONCATENATE(IF(ISBLANK('Ingest Template'!N506),"", 'Ingest Template'!N506&amp;"|TV Ops"),CHAR(10), IF(ISBLANK('Ingest Template'!O506),"", 'Ingest Template'!O506&amp;"|TV Ops"),CHAR(10), IF(ISBLANK('Ingest Template'!P506),"", 'Ingest Template'!P506&amp;"|TV Ops"))))</f>
        <v>
</v>
      </c>
      <c r="AH506" s="35"/>
      <c r="AI506" s="35"/>
      <c r="AJ506" s="117" t="str">
        <f>if('Ingest Template'!A506="Standard",(IF(OR('Ingest Template'!F506 = "Program Type - Special", 'Ingest Template'!F506 = "Program Type - Live Event"),'Ingest Template'!M506&amp; "|DAR|DAR|"&amp;TEXT('Ingest Template'!C506-3, "yyyy-mm-dd")&amp;"|"&amp;TEXT('Ingest Template'!C506+3, "yyyy-mm-dd"),'Ingest Template'!M506&amp; "|DAR|DAR|2021-01-01")),(IF(OR('Ingest Template'!F506 = "Program Type - Special", 'Ingest Template'!F506 = "Program Type - Live Event"),'Ingest Template'!M506&amp; "|Operations - Core Title|Operations - Core Title|"&amp;TEXT('Ingest Template'!C506-3, "yyyy-mm-dd")&amp;"|"&amp;TEXT('Ingest Template'!C506+3, "yyyy-mm-dd"),'Ingest Template'!M506&amp; "|Operations - Core Title|Operations - Core Title")))</f>
        <v>|Operations - Core Title|Operations - Core Title</v>
      </c>
      <c r="AK506" s="35"/>
      <c r="AL506" s="117" t="str">
        <f>if('Ingest Template'!A506="Standard",(IF(OR('Ingest Template'!F506 = "Program Type - Special", 'Ingest Template'!F506 = "Program Type - Live Event"),'Ingest Template'!Q506&amp;"|"&amp;TEXT('Ingest Template'!C506-3, "yyyy-mm-dd")&amp;"|"&amp;TEXT('Ingest Template'!C506+3, "yyyy-mm-dd"),'Ingest Template'!Q506&amp; "|2021-01-01")),(IF(OR('Ingest Template'!F506 = "Program Type - Special", 'Ingest Template'!F506 = "Program Type - Live Event"),'Ingest Template'!Q506&amp; "|"&amp;TEXT('Ingest Template'!C506-3, "yyyy-mm-dd")&amp;"|"&amp;TEXT('Ingest Template'!C506+3, "yyyy-mm-dd"),'Ingest Template'!Q506)))</f>
        <v/>
      </c>
      <c r="AM506" s="35" t="str">
        <f>'Ingest Template'!AC506</f>
        <v/>
      </c>
    </row>
    <row r="507">
      <c r="A507" s="15"/>
      <c r="B507" s="22" t="str">
        <f>'Ingest Template'!C507&amp;IF('Ingest Template'!A507 = "Standard", " - DAR","")</f>
        <v/>
      </c>
      <c r="C507" s="22" t="s">
        <v>83</v>
      </c>
      <c r="D507" s="22" t="str">
        <f t="array" ref="D507">CONCATENATE(INDEX(DropdownLists!$H$2:$H$11,MATCH(1,COUNTIF('Ingest Template'!E507,"*"&amp;DropdownLists!$I$2:$I$11&amp;"*"),0)),CHAR(10),'Ingest Template'!F507,CHAR(10),'Ingest Template'!G507,CHAR(10),VLOOKUP('Ingest Template'!D507,DropdownLists!C:D,2,FALSE))</f>
        <v>#N/A</v>
      </c>
      <c r="E507" s="22" t="str">
        <f>CONCATENATE('Ingest Template'!H507,CHAR(10),'Ingest Template'!I507,CHAR(10),'Ingest Template'!J507,CHAR(10))</f>
        <v>
</v>
      </c>
      <c r="F507" s="35" t="str">
        <f t="array" ref="F507">INDEX(DropdownLists!$O$2:$O$36,MATCH(1,COUNTIF(E507,"*"&amp;DropdownLists!$N$2:$N$36&amp;"*"),0))</f>
        <v/>
      </c>
      <c r="G507" s="35"/>
      <c r="H507" s="22" t="str">
        <f t="array" ref="H507">INDEX(DropdownLists!$E$2:$E$276,MATCH('Ingest Template'!D507,DropdownLists!$C$2:$C$276,0))</f>
        <v>#N/A</v>
      </c>
      <c r="I507" s="22"/>
      <c r="J507" s="22" t="str">
        <f t="array" ref="J507">iF('Ingest Template'!A507="Standard","Pristine Brand",INDEX(DropdownLists!$B$2:$B$246,MATCH('Ingest Template'!D507,DropdownLists!$C$2:$C$246,0)))</f>
        <v>#N/A</v>
      </c>
      <c r="K507" s="22" t="str">
        <f>iF('Ingest Template'!A507="Standard",'Ingest Template'!K507&amp;CHAR(10)&amp;'Ingest Template'!L507,"Competitive View")</f>
        <v>Competitive View</v>
      </c>
      <c r="L507" s="22" t="s">
        <v>95</v>
      </c>
      <c r="M507" s="45" t="str">
        <f>'Ingest Template'!B507</f>
        <v/>
      </c>
      <c r="N507" s="35"/>
      <c r="O507" s="35"/>
      <c r="P507" s="35"/>
      <c r="Q507" s="35"/>
      <c r="R507" s="35" t="str">
        <f>'Ingest Template'!D507</f>
        <v/>
      </c>
      <c r="S507" s="22" t="s">
        <v>101</v>
      </c>
      <c r="T507" s="35" t="str">
        <f>'Ingest Template'!V507</f>
        <v/>
      </c>
      <c r="U507" s="35" t="str">
        <f>'Ingest Template'!W507</f>
        <v/>
      </c>
      <c r="V507" s="35" t="str">
        <f>LOWER(SUBSTITUTE(SUBSTITUTE(SUBSTITUTE(SUBSTITUTE(SUBSTITUTE('Ingest Template'!X507,"https:",""),"www.",""),"/",""),"?hl=en",""),"instagram.com",""))</f>
        <v/>
      </c>
      <c r="W507" s="74" t="str">
        <f t="array" ref="W507">IF(
'Ingest Template'!Y507="",
SUBSTITUTE(
INDEX(DropdownLists!$F$2:$F$277,MATCH('Ingest Template'!D507,DropdownLists!$C$2:$C$277,0)),
CHAR(10),
"|"&amp;'Ingest Template'!C507&amp;CHAR(10)
)&amp;"|"&amp;'Ingest Template'!C507,
SUBSTITUTE(
INDEX(DropdownLists!$F$2:$F$277,MATCH('Ingest Template'!D507,DropdownLists!$C$2:$C$277,0)),
CHAR(10),
"|"&amp;'Ingest Template'!C507&amp;CHAR(10)
)&amp;"|"&amp;'Ingest Template'!C507&amp;CHAR(10)&amp;'Ingest Template'!Y507
)</f>
        <v>#N/A</v>
      </c>
      <c r="X507" s="74" t="str">
        <f>'Ingest Template'!Z507</f>
        <v/>
      </c>
      <c r="Y507" s="35" t="str">
        <f>SUBSTITUTE(SUBSTITUTE(SUBSTITUTE('Ingest Template'!AA507,"http:",""),"https:",""),"/","")</f>
        <v/>
      </c>
      <c r="Z507" s="35" t="str">
        <f t="array" ref="Z507">IF('Ingest Template'!A507="Standard",(IF(ISBLANK('Ingest Template'!AB507),"", 'Ingest Template'!AB507&amp;"|DAR")),(IF(ISBLANK('Ingest Template'!AB507),"", 'Ingest Template'!AB507&amp;"|TV Ops")))</f>
        <v/>
      </c>
      <c r="AA507" s="35"/>
      <c r="AB507" s="35" t="str">
        <f>'Ingest Template'!R507</f>
        <v/>
      </c>
      <c r="AC507" s="35" t="str">
        <f>'Ingest Template'!T507</f>
        <v/>
      </c>
      <c r="AD507" s="35" t="str">
        <f>'Ingest Template'!S507</f>
        <v/>
      </c>
      <c r="AE507" s="35" t="str">
        <f>'Ingest Template'!U507</f>
        <v/>
      </c>
      <c r="AF507" s="22"/>
      <c r="AG507" s="35" t="str">
        <f t="array" ref="AG507">IF('Ingest Template'!A507="Standard",(CONCATENATE(IF(ISBLANK('Ingest Template'!N507),"", 'Ingest Template'!N507&amp;"|DAR"),CHAR(10), IF(ISBLANK('Ingest Template'!O507),"", 'Ingest Template'!O507&amp;"|DAR"),CHAR(10), IF(ISBLANK('Ingest Template'!P507),"", 'Ingest Template'!P507&amp;"|DAR"))),(CONCATENATE(IF(ISBLANK('Ingest Template'!N507),"", 'Ingest Template'!N507&amp;"|TV Ops"),CHAR(10), IF(ISBLANK('Ingest Template'!O507),"", 'Ingest Template'!O507&amp;"|TV Ops"),CHAR(10), IF(ISBLANK('Ingest Template'!P507),"", 'Ingest Template'!P507&amp;"|TV Ops"))))</f>
        <v>
</v>
      </c>
      <c r="AH507" s="35"/>
      <c r="AI507" s="35"/>
      <c r="AJ507" s="117" t="str">
        <f>if('Ingest Template'!A507="Standard",(IF(OR('Ingest Template'!F507 = "Program Type - Special", 'Ingest Template'!F507 = "Program Type - Live Event"),'Ingest Template'!M507&amp; "|DAR|DAR|"&amp;TEXT('Ingest Template'!C507-3, "yyyy-mm-dd")&amp;"|"&amp;TEXT('Ingest Template'!C507+3, "yyyy-mm-dd"),'Ingest Template'!M507&amp; "|DAR|DAR|2021-01-01")),(IF(OR('Ingest Template'!F507 = "Program Type - Special", 'Ingest Template'!F507 = "Program Type - Live Event"),'Ingest Template'!M507&amp; "|Operations - Core Title|Operations - Core Title|"&amp;TEXT('Ingest Template'!C507-3, "yyyy-mm-dd")&amp;"|"&amp;TEXT('Ingest Template'!C507+3, "yyyy-mm-dd"),'Ingest Template'!M507&amp; "|Operations - Core Title|Operations - Core Title")))</f>
        <v>|Operations - Core Title|Operations - Core Title</v>
      </c>
      <c r="AK507" s="35"/>
      <c r="AL507" s="117" t="str">
        <f>if('Ingest Template'!A507="Standard",(IF(OR('Ingest Template'!F507 = "Program Type - Special", 'Ingest Template'!F507 = "Program Type - Live Event"),'Ingest Template'!Q507&amp;"|"&amp;TEXT('Ingest Template'!C507-3, "yyyy-mm-dd")&amp;"|"&amp;TEXT('Ingest Template'!C507+3, "yyyy-mm-dd"),'Ingest Template'!Q507&amp; "|2021-01-01")),(IF(OR('Ingest Template'!F507 = "Program Type - Special", 'Ingest Template'!F507 = "Program Type - Live Event"),'Ingest Template'!Q507&amp; "|"&amp;TEXT('Ingest Template'!C507-3, "yyyy-mm-dd")&amp;"|"&amp;TEXT('Ingest Template'!C507+3, "yyyy-mm-dd"),'Ingest Template'!Q507)))</f>
        <v/>
      </c>
      <c r="AM507" s="35" t="str">
        <f>'Ingest Template'!AC507</f>
        <v/>
      </c>
    </row>
    <row r="508">
      <c r="A508" s="15"/>
      <c r="B508" s="22" t="str">
        <f>'Ingest Template'!C508&amp;IF('Ingest Template'!A508 = "Standard", " - DAR","")</f>
        <v/>
      </c>
      <c r="C508" s="22" t="s">
        <v>83</v>
      </c>
      <c r="D508" s="22" t="str">
        <f t="array" ref="D508">CONCATENATE(INDEX(DropdownLists!$H$2:$H$11,MATCH(1,COUNTIF('Ingest Template'!E508,"*"&amp;DropdownLists!$I$2:$I$11&amp;"*"),0)),CHAR(10),'Ingest Template'!F508,CHAR(10),'Ingest Template'!G508,CHAR(10),VLOOKUP('Ingest Template'!D508,DropdownLists!C:D,2,FALSE))</f>
        <v>#N/A</v>
      </c>
      <c r="E508" s="22" t="str">
        <f>CONCATENATE('Ingest Template'!H508,CHAR(10),'Ingest Template'!I508,CHAR(10),'Ingest Template'!J508,CHAR(10))</f>
        <v>
</v>
      </c>
      <c r="F508" s="35" t="str">
        <f t="array" ref="F508">INDEX(DropdownLists!$O$2:$O$36,MATCH(1,COUNTIF(E508,"*"&amp;DropdownLists!$N$2:$N$36&amp;"*"),0))</f>
        <v/>
      </c>
      <c r="G508" s="35"/>
      <c r="H508" s="22" t="str">
        <f t="array" ref="H508">INDEX(DropdownLists!$E$2:$E$276,MATCH('Ingest Template'!D508,DropdownLists!$C$2:$C$276,0))</f>
        <v>#N/A</v>
      </c>
      <c r="I508" s="22"/>
      <c r="J508" s="22" t="str">
        <f t="array" ref="J508">iF('Ingest Template'!A508="Standard","Pristine Brand",INDEX(DropdownLists!$B$2:$B$246,MATCH('Ingest Template'!D508,DropdownLists!$C$2:$C$246,0)))</f>
        <v>#N/A</v>
      </c>
      <c r="K508" s="22" t="str">
        <f>iF('Ingest Template'!A508="Standard",'Ingest Template'!K508&amp;CHAR(10)&amp;'Ingest Template'!L508,"Competitive View")</f>
        <v>Competitive View</v>
      </c>
      <c r="L508" s="22" t="s">
        <v>95</v>
      </c>
      <c r="M508" s="45" t="str">
        <f>'Ingest Template'!B508</f>
        <v/>
      </c>
      <c r="N508" s="35"/>
      <c r="O508" s="35"/>
      <c r="P508" s="35"/>
      <c r="Q508" s="35"/>
      <c r="R508" s="35" t="str">
        <f>'Ingest Template'!D508</f>
        <v/>
      </c>
      <c r="S508" s="22" t="s">
        <v>101</v>
      </c>
      <c r="T508" s="35" t="str">
        <f>'Ingest Template'!V508</f>
        <v/>
      </c>
      <c r="U508" s="35" t="str">
        <f>'Ingest Template'!W508</f>
        <v/>
      </c>
      <c r="V508" s="35" t="str">
        <f>LOWER(SUBSTITUTE(SUBSTITUTE(SUBSTITUTE(SUBSTITUTE(SUBSTITUTE('Ingest Template'!X508,"https:",""),"www.",""),"/",""),"?hl=en",""),"instagram.com",""))</f>
        <v/>
      </c>
      <c r="W508" s="74" t="str">
        <f t="array" ref="W508">IF(
'Ingest Template'!Y508="",
SUBSTITUTE(
INDEX(DropdownLists!$F$2:$F$277,MATCH('Ingest Template'!D508,DropdownLists!$C$2:$C$277,0)),
CHAR(10),
"|"&amp;'Ingest Template'!C508&amp;CHAR(10)
)&amp;"|"&amp;'Ingest Template'!C508,
SUBSTITUTE(
INDEX(DropdownLists!$F$2:$F$277,MATCH('Ingest Template'!D508,DropdownLists!$C$2:$C$277,0)),
CHAR(10),
"|"&amp;'Ingest Template'!C508&amp;CHAR(10)
)&amp;"|"&amp;'Ingest Template'!C508&amp;CHAR(10)&amp;'Ingest Template'!Y508
)</f>
        <v>#N/A</v>
      </c>
      <c r="X508" s="74" t="str">
        <f>'Ingest Template'!Z508</f>
        <v/>
      </c>
      <c r="Y508" s="35" t="str">
        <f>SUBSTITUTE(SUBSTITUTE(SUBSTITUTE('Ingest Template'!AA508,"http:",""),"https:",""),"/","")</f>
        <v/>
      </c>
      <c r="Z508" s="35" t="str">
        <f t="array" ref="Z508">IF('Ingest Template'!A508="Standard",(IF(ISBLANK('Ingest Template'!AB508),"", 'Ingest Template'!AB508&amp;"|DAR")),(IF(ISBLANK('Ingest Template'!AB508),"", 'Ingest Template'!AB508&amp;"|TV Ops")))</f>
        <v/>
      </c>
      <c r="AA508" s="35"/>
      <c r="AB508" s="35" t="str">
        <f>'Ingest Template'!R508</f>
        <v/>
      </c>
      <c r="AC508" s="35" t="str">
        <f>'Ingest Template'!T508</f>
        <v/>
      </c>
      <c r="AD508" s="35" t="str">
        <f>'Ingest Template'!S508</f>
        <v/>
      </c>
      <c r="AE508" s="35" t="str">
        <f>'Ingest Template'!U508</f>
        <v/>
      </c>
      <c r="AF508" s="22"/>
      <c r="AG508" s="35" t="str">
        <f t="array" ref="AG508">IF('Ingest Template'!A508="Standard",(CONCATENATE(IF(ISBLANK('Ingest Template'!N508),"", 'Ingest Template'!N508&amp;"|DAR"),CHAR(10), IF(ISBLANK('Ingest Template'!O508),"", 'Ingest Template'!O508&amp;"|DAR"),CHAR(10), IF(ISBLANK('Ingest Template'!P508),"", 'Ingest Template'!P508&amp;"|DAR"))),(CONCATENATE(IF(ISBLANK('Ingest Template'!N508),"", 'Ingest Template'!N508&amp;"|TV Ops"),CHAR(10), IF(ISBLANK('Ingest Template'!O508),"", 'Ingest Template'!O508&amp;"|TV Ops"),CHAR(10), IF(ISBLANK('Ingest Template'!P508),"", 'Ingest Template'!P508&amp;"|TV Ops"))))</f>
        <v>
</v>
      </c>
      <c r="AH508" s="35"/>
      <c r="AI508" s="35"/>
      <c r="AJ508" s="117" t="str">
        <f>if('Ingest Template'!A508="Standard",(IF(OR('Ingest Template'!F508 = "Program Type - Special", 'Ingest Template'!F508 = "Program Type - Live Event"),'Ingest Template'!M508&amp; "|DAR|DAR|"&amp;TEXT('Ingest Template'!C508-3, "yyyy-mm-dd")&amp;"|"&amp;TEXT('Ingest Template'!C508+3, "yyyy-mm-dd"),'Ingest Template'!M508&amp; "|DAR|DAR|2021-01-01")),(IF(OR('Ingest Template'!F508 = "Program Type - Special", 'Ingest Template'!F508 = "Program Type - Live Event"),'Ingest Template'!M508&amp; "|Operations - Core Title|Operations - Core Title|"&amp;TEXT('Ingest Template'!C508-3, "yyyy-mm-dd")&amp;"|"&amp;TEXT('Ingest Template'!C508+3, "yyyy-mm-dd"),'Ingest Template'!M508&amp; "|Operations - Core Title|Operations - Core Title")))</f>
        <v>|Operations - Core Title|Operations - Core Title</v>
      </c>
      <c r="AK508" s="35"/>
      <c r="AL508" s="117" t="str">
        <f>if('Ingest Template'!A508="Standard",(IF(OR('Ingest Template'!F508 = "Program Type - Special", 'Ingest Template'!F508 = "Program Type - Live Event"),'Ingest Template'!Q508&amp;"|"&amp;TEXT('Ingest Template'!C508-3, "yyyy-mm-dd")&amp;"|"&amp;TEXT('Ingest Template'!C508+3, "yyyy-mm-dd"),'Ingest Template'!Q508&amp; "|2021-01-01")),(IF(OR('Ingest Template'!F508 = "Program Type - Special", 'Ingest Template'!F508 = "Program Type - Live Event"),'Ingest Template'!Q508&amp; "|"&amp;TEXT('Ingest Template'!C508-3, "yyyy-mm-dd")&amp;"|"&amp;TEXT('Ingest Template'!C508+3, "yyyy-mm-dd"),'Ingest Template'!Q508)))</f>
        <v/>
      </c>
      <c r="AM508" s="35" t="str">
        <f>'Ingest Template'!AC508</f>
        <v/>
      </c>
    </row>
    <row r="509">
      <c r="A509" s="15"/>
      <c r="B509" s="22" t="str">
        <f>'Ingest Template'!C509&amp;IF('Ingest Template'!A509 = "Standard", " - DAR","")</f>
        <v/>
      </c>
      <c r="C509" s="22" t="s">
        <v>83</v>
      </c>
      <c r="D509" s="22" t="str">
        <f t="array" ref="D509">CONCATENATE(INDEX(DropdownLists!$H$2:$H$11,MATCH(1,COUNTIF('Ingest Template'!E509,"*"&amp;DropdownLists!$I$2:$I$11&amp;"*"),0)),CHAR(10),'Ingest Template'!F509,CHAR(10),'Ingest Template'!G509,CHAR(10),VLOOKUP('Ingest Template'!D509,DropdownLists!C:D,2,FALSE))</f>
        <v>#N/A</v>
      </c>
      <c r="E509" s="22" t="str">
        <f>CONCATENATE('Ingest Template'!H509,CHAR(10),'Ingest Template'!I509,CHAR(10),'Ingest Template'!J509,CHAR(10))</f>
        <v>
</v>
      </c>
      <c r="F509" s="35" t="str">
        <f t="array" ref="F509">INDEX(DropdownLists!$O$2:$O$36,MATCH(1,COUNTIF(E509,"*"&amp;DropdownLists!$N$2:$N$36&amp;"*"),0))</f>
        <v/>
      </c>
      <c r="G509" s="35"/>
      <c r="H509" s="22" t="str">
        <f t="array" ref="H509">INDEX(DropdownLists!$E$2:$E$276,MATCH('Ingest Template'!D509,DropdownLists!$C$2:$C$276,0))</f>
        <v>#N/A</v>
      </c>
      <c r="I509" s="22"/>
      <c r="J509" s="22" t="str">
        <f t="array" ref="J509">iF('Ingest Template'!A509="Standard","Pristine Brand",INDEX(DropdownLists!$B$2:$B$246,MATCH('Ingest Template'!D509,DropdownLists!$C$2:$C$246,0)))</f>
        <v>#N/A</v>
      </c>
      <c r="K509" s="22" t="str">
        <f>iF('Ingest Template'!A509="Standard",'Ingest Template'!K509&amp;CHAR(10)&amp;'Ingest Template'!L509,"Competitive View")</f>
        <v>Competitive View</v>
      </c>
      <c r="L509" s="22" t="s">
        <v>95</v>
      </c>
      <c r="M509" s="45" t="str">
        <f>'Ingest Template'!B509</f>
        <v/>
      </c>
      <c r="N509" s="35"/>
      <c r="O509" s="35"/>
      <c r="P509" s="35"/>
      <c r="Q509" s="35"/>
      <c r="R509" s="35" t="str">
        <f>'Ingest Template'!D509</f>
        <v/>
      </c>
      <c r="S509" s="22" t="s">
        <v>101</v>
      </c>
      <c r="T509" s="35" t="str">
        <f>'Ingest Template'!V509</f>
        <v/>
      </c>
      <c r="U509" s="35" t="str">
        <f>'Ingest Template'!W509</f>
        <v/>
      </c>
      <c r="V509" s="35" t="str">
        <f>LOWER(SUBSTITUTE(SUBSTITUTE(SUBSTITUTE(SUBSTITUTE(SUBSTITUTE('Ingest Template'!X509,"https:",""),"www.",""),"/",""),"?hl=en",""),"instagram.com",""))</f>
        <v/>
      </c>
      <c r="W509" s="74" t="str">
        <f t="array" ref="W509">IF(
'Ingest Template'!Y509="",
SUBSTITUTE(
INDEX(DropdownLists!$F$2:$F$277,MATCH('Ingest Template'!D509,DropdownLists!$C$2:$C$277,0)),
CHAR(10),
"|"&amp;'Ingest Template'!C509&amp;CHAR(10)
)&amp;"|"&amp;'Ingest Template'!C509,
SUBSTITUTE(
INDEX(DropdownLists!$F$2:$F$277,MATCH('Ingest Template'!D509,DropdownLists!$C$2:$C$277,0)),
CHAR(10),
"|"&amp;'Ingest Template'!C509&amp;CHAR(10)
)&amp;"|"&amp;'Ingest Template'!C509&amp;CHAR(10)&amp;'Ingest Template'!Y509
)</f>
        <v>#N/A</v>
      </c>
      <c r="X509" s="74" t="str">
        <f>'Ingest Template'!Z509</f>
        <v/>
      </c>
      <c r="Y509" s="35" t="str">
        <f>SUBSTITUTE(SUBSTITUTE(SUBSTITUTE('Ingest Template'!AA509,"http:",""),"https:",""),"/","")</f>
        <v/>
      </c>
      <c r="Z509" s="35" t="str">
        <f t="array" ref="Z509">IF('Ingest Template'!A509="Standard",(IF(ISBLANK('Ingest Template'!AB509),"", 'Ingest Template'!AB509&amp;"|DAR")),(IF(ISBLANK('Ingest Template'!AB509),"", 'Ingest Template'!AB509&amp;"|TV Ops")))</f>
        <v/>
      </c>
      <c r="AA509" s="35"/>
      <c r="AB509" s="35" t="str">
        <f>'Ingest Template'!R509</f>
        <v/>
      </c>
      <c r="AC509" s="35" t="str">
        <f>'Ingest Template'!T509</f>
        <v/>
      </c>
      <c r="AD509" s="35" t="str">
        <f>'Ingest Template'!S509</f>
        <v/>
      </c>
      <c r="AE509" s="35" t="str">
        <f>'Ingest Template'!U509</f>
        <v/>
      </c>
      <c r="AF509" s="22"/>
      <c r="AG509" s="35" t="str">
        <f t="array" ref="AG509">IF('Ingest Template'!A509="Standard",(CONCATENATE(IF(ISBLANK('Ingest Template'!N509),"", 'Ingest Template'!N509&amp;"|DAR"),CHAR(10), IF(ISBLANK('Ingest Template'!O509),"", 'Ingest Template'!O509&amp;"|DAR"),CHAR(10), IF(ISBLANK('Ingest Template'!P509),"", 'Ingest Template'!P509&amp;"|DAR"))),(CONCATENATE(IF(ISBLANK('Ingest Template'!N509),"", 'Ingest Template'!N509&amp;"|TV Ops"),CHAR(10), IF(ISBLANK('Ingest Template'!O509),"", 'Ingest Template'!O509&amp;"|TV Ops"),CHAR(10), IF(ISBLANK('Ingest Template'!P509),"", 'Ingest Template'!P509&amp;"|TV Ops"))))</f>
        <v>
</v>
      </c>
      <c r="AH509" s="35"/>
      <c r="AI509" s="35"/>
      <c r="AJ509" s="117" t="str">
        <f>if('Ingest Template'!A509="Standard",(IF(OR('Ingest Template'!F509 = "Program Type - Special", 'Ingest Template'!F509 = "Program Type - Live Event"),'Ingest Template'!M509&amp; "|DAR|DAR|"&amp;TEXT('Ingest Template'!C509-3, "yyyy-mm-dd")&amp;"|"&amp;TEXT('Ingest Template'!C509+3, "yyyy-mm-dd"),'Ingest Template'!M509&amp; "|DAR|DAR|2021-01-01")),(IF(OR('Ingest Template'!F509 = "Program Type - Special", 'Ingest Template'!F509 = "Program Type - Live Event"),'Ingest Template'!M509&amp; "|Operations - Core Title|Operations - Core Title|"&amp;TEXT('Ingest Template'!C509-3, "yyyy-mm-dd")&amp;"|"&amp;TEXT('Ingest Template'!C509+3, "yyyy-mm-dd"),'Ingest Template'!M509&amp; "|Operations - Core Title|Operations - Core Title")))</f>
        <v>|Operations - Core Title|Operations - Core Title</v>
      </c>
      <c r="AK509" s="35"/>
      <c r="AL509" s="117" t="str">
        <f>if('Ingest Template'!A509="Standard",(IF(OR('Ingest Template'!F509 = "Program Type - Special", 'Ingest Template'!F509 = "Program Type - Live Event"),'Ingest Template'!Q509&amp;"|"&amp;TEXT('Ingest Template'!C509-3, "yyyy-mm-dd")&amp;"|"&amp;TEXT('Ingest Template'!C509+3, "yyyy-mm-dd"),'Ingest Template'!Q509&amp; "|2021-01-01")),(IF(OR('Ingest Template'!F509 = "Program Type - Special", 'Ingest Template'!F509 = "Program Type - Live Event"),'Ingest Template'!Q509&amp; "|"&amp;TEXT('Ingest Template'!C509-3, "yyyy-mm-dd")&amp;"|"&amp;TEXT('Ingest Template'!C509+3, "yyyy-mm-dd"),'Ingest Template'!Q509)))</f>
        <v/>
      </c>
      <c r="AM509" s="35" t="str">
        <f>'Ingest Template'!AC509</f>
        <v/>
      </c>
    </row>
    <row r="510">
      <c r="A510" s="15"/>
      <c r="B510" s="22" t="str">
        <f>'Ingest Template'!C510&amp;IF('Ingest Template'!A510 = "Standard", " - DAR","")</f>
        <v/>
      </c>
      <c r="C510" s="22" t="s">
        <v>83</v>
      </c>
      <c r="D510" s="22" t="str">
        <f t="array" ref="D510">CONCATENATE(INDEX(DropdownLists!$H$2:$H$11,MATCH(1,COUNTIF('Ingest Template'!E510,"*"&amp;DropdownLists!$I$2:$I$11&amp;"*"),0)),CHAR(10),'Ingest Template'!F510,CHAR(10),'Ingest Template'!G510,CHAR(10),VLOOKUP('Ingest Template'!D510,DropdownLists!C:D,2,FALSE))</f>
        <v>#N/A</v>
      </c>
      <c r="E510" s="22" t="str">
        <f>CONCATENATE('Ingest Template'!H510,CHAR(10),'Ingest Template'!I510,CHAR(10),'Ingest Template'!J510,CHAR(10))</f>
        <v>
</v>
      </c>
      <c r="F510" s="35" t="str">
        <f t="array" ref="F510">INDEX(DropdownLists!$O$2:$O$36,MATCH(1,COUNTIF(E510,"*"&amp;DropdownLists!$N$2:$N$36&amp;"*"),0))</f>
        <v/>
      </c>
      <c r="G510" s="35"/>
      <c r="H510" s="22" t="str">
        <f t="array" ref="H510">INDEX(DropdownLists!$E$2:$E$276,MATCH('Ingest Template'!D510,DropdownLists!$C$2:$C$276,0))</f>
        <v>#N/A</v>
      </c>
      <c r="I510" s="22"/>
      <c r="J510" s="22" t="str">
        <f t="array" ref="J510">iF('Ingest Template'!A510="Standard","Pristine Brand",INDEX(DropdownLists!$B$2:$B$246,MATCH('Ingest Template'!D510,DropdownLists!$C$2:$C$246,0)))</f>
        <v>#N/A</v>
      </c>
      <c r="K510" s="22" t="str">
        <f>iF('Ingest Template'!A510="Standard",'Ingest Template'!K510&amp;CHAR(10)&amp;'Ingest Template'!L510,"Competitive View")</f>
        <v>Competitive View</v>
      </c>
      <c r="L510" s="22" t="s">
        <v>95</v>
      </c>
      <c r="M510" s="45" t="str">
        <f>'Ingest Template'!B510</f>
        <v/>
      </c>
      <c r="N510" s="35"/>
      <c r="O510" s="35"/>
      <c r="P510" s="35"/>
      <c r="Q510" s="35"/>
      <c r="R510" s="35" t="str">
        <f>'Ingest Template'!D510</f>
        <v/>
      </c>
      <c r="S510" s="22" t="s">
        <v>101</v>
      </c>
      <c r="T510" s="35" t="str">
        <f>'Ingest Template'!V510</f>
        <v/>
      </c>
      <c r="U510" s="35" t="str">
        <f>'Ingest Template'!W510</f>
        <v/>
      </c>
      <c r="V510" s="35" t="str">
        <f>LOWER(SUBSTITUTE(SUBSTITUTE(SUBSTITUTE(SUBSTITUTE(SUBSTITUTE('Ingest Template'!X510,"https:",""),"www.",""),"/",""),"?hl=en",""),"instagram.com",""))</f>
        <v/>
      </c>
      <c r="W510" s="74" t="str">
        <f t="array" ref="W510">IF(
'Ingest Template'!Y510="",
SUBSTITUTE(
INDEX(DropdownLists!$F$2:$F$277,MATCH('Ingest Template'!D510,DropdownLists!$C$2:$C$277,0)),
CHAR(10),
"|"&amp;'Ingest Template'!C510&amp;CHAR(10)
)&amp;"|"&amp;'Ingest Template'!C510,
SUBSTITUTE(
INDEX(DropdownLists!$F$2:$F$277,MATCH('Ingest Template'!D510,DropdownLists!$C$2:$C$277,0)),
CHAR(10),
"|"&amp;'Ingest Template'!C510&amp;CHAR(10)
)&amp;"|"&amp;'Ingest Template'!C510&amp;CHAR(10)&amp;'Ingest Template'!Y510
)</f>
        <v>#N/A</v>
      </c>
      <c r="X510" s="74" t="str">
        <f>'Ingest Template'!Z510</f>
        <v/>
      </c>
      <c r="Y510" s="35" t="str">
        <f>SUBSTITUTE(SUBSTITUTE(SUBSTITUTE('Ingest Template'!AA510,"http:",""),"https:",""),"/","")</f>
        <v/>
      </c>
      <c r="Z510" s="35" t="str">
        <f t="array" ref="Z510">IF('Ingest Template'!A510="Standard",(IF(ISBLANK('Ingest Template'!AB510),"", 'Ingest Template'!AB510&amp;"|DAR")),(IF(ISBLANK('Ingest Template'!AB510),"", 'Ingest Template'!AB510&amp;"|TV Ops")))</f>
        <v/>
      </c>
      <c r="AA510" s="35"/>
      <c r="AB510" s="35" t="str">
        <f>'Ingest Template'!R510</f>
        <v/>
      </c>
      <c r="AC510" s="35" t="str">
        <f>'Ingest Template'!T510</f>
        <v/>
      </c>
      <c r="AD510" s="35" t="str">
        <f>'Ingest Template'!S510</f>
        <v/>
      </c>
      <c r="AE510" s="35" t="str">
        <f>'Ingest Template'!U510</f>
        <v/>
      </c>
      <c r="AF510" s="22"/>
      <c r="AG510" s="35" t="str">
        <f t="array" ref="AG510">IF('Ingest Template'!A510="Standard",(CONCATENATE(IF(ISBLANK('Ingest Template'!N510),"", 'Ingest Template'!N510&amp;"|DAR"),CHAR(10), IF(ISBLANK('Ingest Template'!O510),"", 'Ingest Template'!O510&amp;"|DAR"),CHAR(10), IF(ISBLANK('Ingest Template'!P510),"", 'Ingest Template'!P510&amp;"|DAR"))),(CONCATENATE(IF(ISBLANK('Ingest Template'!N510),"", 'Ingest Template'!N510&amp;"|TV Ops"),CHAR(10), IF(ISBLANK('Ingest Template'!O510),"", 'Ingest Template'!O510&amp;"|TV Ops"),CHAR(10), IF(ISBLANK('Ingest Template'!P510),"", 'Ingest Template'!P510&amp;"|TV Ops"))))</f>
        <v>
</v>
      </c>
      <c r="AH510" s="35"/>
      <c r="AI510" s="35"/>
      <c r="AJ510" s="117" t="str">
        <f>if('Ingest Template'!A510="Standard",(IF(OR('Ingest Template'!F510 = "Program Type - Special", 'Ingest Template'!F510 = "Program Type - Live Event"),'Ingest Template'!M510&amp; "|DAR|DAR|"&amp;TEXT('Ingest Template'!C510-3, "yyyy-mm-dd")&amp;"|"&amp;TEXT('Ingest Template'!C510+3, "yyyy-mm-dd"),'Ingest Template'!M510&amp; "|DAR|DAR|2021-01-01")),(IF(OR('Ingest Template'!F510 = "Program Type - Special", 'Ingest Template'!F510 = "Program Type - Live Event"),'Ingest Template'!M510&amp; "|Operations - Core Title|Operations - Core Title|"&amp;TEXT('Ingest Template'!C510-3, "yyyy-mm-dd")&amp;"|"&amp;TEXT('Ingest Template'!C510+3, "yyyy-mm-dd"),'Ingest Template'!M510&amp; "|Operations - Core Title|Operations - Core Title")))</f>
        <v>|Operations - Core Title|Operations - Core Title</v>
      </c>
      <c r="AK510" s="35"/>
      <c r="AL510" s="117" t="str">
        <f>if('Ingest Template'!A510="Standard",(IF(OR('Ingest Template'!F510 = "Program Type - Special", 'Ingest Template'!F510 = "Program Type - Live Event"),'Ingest Template'!Q510&amp;"|"&amp;TEXT('Ingest Template'!C510-3, "yyyy-mm-dd")&amp;"|"&amp;TEXT('Ingest Template'!C510+3, "yyyy-mm-dd"),'Ingest Template'!Q510&amp; "|2021-01-01")),(IF(OR('Ingest Template'!F510 = "Program Type - Special", 'Ingest Template'!F510 = "Program Type - Live Event"),'Ingest Template'!Q510&amp; "|"&amp;TEXT('Ingest Template'!C510-3, "yyyy-mm-dd")&amp;"|"&amp;TEXT('Ingest Template'!C510+3, "yyyy-mm-dd"),'Ingest Template'!Q510)))</f>
        <v/>
      </c>
      <c r="AM510" s="35" t="str">
        <f>'Ingest Template'!AC510</f>
        <v/>
      </c>
    </row>
    <row r="511">
      <c r="A511" s="15"/>
      <c r="B511" s="22" t="str">
        <f>'Ingest Template'!C511&amp;IF('Ingest Template'!A511 = "Standard", " - DAR","")</f>
        <v/>
      </c>
      <c r="C511" s="22" t="s">
        <v>83</v>
      </c>
      <c r="D511" s="22" t="str">
        <f t="array" ref="D511">CONCATENATE(INDEX(DropdownLists!$H$2:$H$11,MATCH(1,COUNTIF('Ingest Template'!E511,"*"&amp;DropdownLists!$I$2:$I$11&amp;"*"),0)),CHAR(10),'Ingest Template'!F511,CHAR(10),'Ingest Template'!G511,CHAR(10),VLOOKUP('Ingest Template'!D511,DropdownLists!C:D,2,FALSE))</f>
        <v>#N/A</v>
      </c>
      <c r="E511" s="22" t="str">
        <f>CONCATENATE('Ingest Template'!H511,CHAR(10),'Ingest Template'!I511,CHAR(10),'Ingest Template'!J511,CHAR(10))</f>
        <v>
</v>
      </c>
      <c r="F511" s="35" t="str">
        <f t="array" ref="F511">INDEX(DropdownLists!$O$2:$O$36,MATCH(1,COUNTIF(E511,"*"&amp;DropdownLists!$N$2:$N$36&amp;"*"),0))</f>
        <v/>
      </c>
      <c r="G511" s="35"/>
      <c r="H511" s="22" t="str">
        <f t="array" ref="H511">INDEX(DropdownLists!$E$2:$E$276,MATCH('Ingest Template'!D511,DropdownLists!$C$2:$C$276,0))</f>
        <v>#N/A</v>
      </c>
      <c r="I511" s="22"/>
      <c r="J511" s="22" t="str">
        <f t="array" ref="J511">iF('Ingest Template'!A511="Standard","Pristine Brand",INDEX(DropdownLists!$B$2:$B$246,MATCH('Ingest Template'!D511,DropdownLists!$C$2:$C$246,0)))</f>
        <v>#N/A</v>
      </c>
      <c r="K511" s="22" t="str">
        <f>iF('Ingest Template'!A511="Standard",'Ingest Template'!K511&amp;CHAR(10)&amp;'Ingest Template'!L511,"Competitive View")</f>
        <v>Competitive View</v>
      </c>
      <c r="L511" s="22" t="s">
        <v>95</v>
      </c>
      <c r="M511" s="45" t="str">
        <f>'Ingest Template'!B511</f>
        <v/>
      </c>
      <c r="N511" s="35"/>
      <c r="O511" s="35"/>
      <c r="P511" s="35"/>
      <c r="Q511" s="35"/>
      <c r="R511" s="35" t="str">
        <f>'Ingest Template'!D511</f>
        <v/>
      </c>
      <c r="S511" s="22" t="s">
        <v>101</v>
      </c>
      <c r="T511" s="35" t="str">
        <f>'Ingest Template'!V511</f>
        <v/>
      </c>
      <c r="U511" s="35" t="str">
        <f>'Ingest Template'!W511</f>
        <v/>
      </c>
      <c r="V511" s="35" t="str">
        <f>LOWER(SUBSTITUTE(SUBSTITUTE(SUBSTITUTE(SUBSTITUTE(SUBSTITUTE('Ingest Template'!X511,"https:",""),"www.",""),"/",""),"?hl=en",""),"instagram.com",""))</f>
        <v/>
      </c>
      <c r="W511" s="74" t="str">
        <f t="array" ref="W511">IF(
'Ingest Template'!Y511="",
SUBSTITUTE(
INDEX(DropdownLists!$F$2:$F$277,MATCH('Ingest Template'!D511,DropdownLists!$C$2:$C$277,0)),
CHAR(10),
"|"&amp;'Ingest Template'!C511&amp;CHAR(10)
)&amp;"|"&amp;'Ingest Template'!C511,
SUBSTITUTE(
INDEX(DropdownLists!$F$2:$F$277,MATCH('Ingest Template'!D511,DropdownLists!$C$2:$C$277,0)),
CHAR(10),
"|"&amp;'Ingest Template'!C511&amp;CHAR(10)
)&amp;"|"&amp;'Ingest Template'!C511&amp;CHAR(10)&amp;'Ingest Template'!Y511
)</f>
        <v>#N/A</v>
      </c>
      <c r="X511" s="74" t="str">
        <f>'Ingest Template'!Z511</f>
        <v/>
      </c>
      <c r="Y511" s="35" t="str">
        <f>SUBSTITUTE(SUBSTITUTE(SUBSTITUTE('Ingest Template'!AA511,"http:",""),"https:",""),"/","")</f>
        <v/>
      </c>
      <c r="Z511" s="35" t="str">
        <f t="array" ref="Z511">IF('Ingest Template'!A511="Standard",(IF(ISBLANK('Ingest Template'!AB511),"", 'Ingest Template'!AB511&amp;"|DAR")),(IF(ISBLANK('Ingest Template'!AB511),"", 'Ingest Template'!AB511&amp;"|TV Ops")))</f>
        <v/>
      </c>
      <c r="AA511" s="35"/>
      <c r="AB511" s="35" t="str">
        <f>'Ingest Template'!R511</f>
        <v/>
      </c>
      <c r="AC511" s="35" t="str">
        <f>'Ingest Template'!T511</f>
        <v/>
      </c>
      <c r="AD511" s="35" t="str">
        <f>'Ingest Template'!S511</f>
        <v/>
      </c>
      <c r="AE511" s="35" t="str">
        <f>'Ingest Template'!U511</f>
        <v/>
      </c>
      <c r="AF511" s="22"/>
      <c r="AG511" s="35" t="str">
        <f t="array" ref="AG511">IF('Ingest Template'!A511="Standard",(CONCATENATE(IF(ISBLANK('Ingest Template'!N511),"", 'Ingest Template'!N511&amp;"|DAR"),CHAR(10), IF(ISBLANK('Ingest Template'!O511),"", 'Ingest Template'!O511&amp;"|DAR"),CHAR(10), IF(ISBLANK('Ingest Template'!P511),"", 'Ingest Template'!P511&amp;"|DAR"))),(CONCATENATE(IF(ISBLANK('Ingest Template'!N511),"", 'Ingest Template'!N511&amp;"|TV Ops"),CHAR(10), IF(ISBLANK('Ingest Template'!O511),"", 'Ingest Template'!O511&amp;"|TV Ops"),CHAR(10), IF(ISBLANK('Ingest Template'!P511),"", 'Ingest Template'!P511&amp;"|TV Ops"))))</f>
        <v>
</v>
      </c>
      <c r="AH511" s="35"/>
      <c r="AI511" s="35"/>
      <c r="AJ511" s="117" t="str">
        <f>if('Ingest Template'!A511="Standard",(IF(OR('Ingest Template'!F511 = "Program Type - Special", 'Ingest Template'!F511 = "Program Type - Live Event"),'Ingest Template'!M511&amp; "|DAR|DAR|"&amp;TEXT('Ingest Template'!C511-3, "yyyy-mm-dd")&amp;"|"&amp;TEXT('Ingest Template'!C511+3, "yyyy-mm-dd"),'Ingest Template'!M511&amp; "|DAR|DAR|2021-01-01")),(IF(OR('Ingest Template'!F511 = "Program Type - Special", 'Ingest Template'!F511 = "Program Type - Live Event"),'Ingest Template'!M511&amp; "|Operations - Core Title|Operations - Core Title|"&amp;TEXT('Ingest Template'!C511-3, "yyyy-mm-dd")&amp;"|"&amp;TEXT('Ingest Template'!C511+3, "yyyy-mm-dd"),'Ingest Template'!M511&amp; "|Operations - Core Title|Operations - Core Title")))</f>
        <v>|Operations - Core Title|Operations - Core Title</v>
      </c>
      <c r="AK511" s="35"/>
      <c r="AL511" s="117" t="str">
        <f>if('Ingest Template'!A511="Standard",(IF(OR('Ingest Template'!F511 = "Program Type - Special", 'Ingest Template'!F511 = "Program Type - Live Event"),'Ingest Template'!Q511&amp;"|"&amp;TEXT('Ingest Template'!C511-3, "yyyy-mm-dd")&amp;"|"&amp;TEXT('Ingest Template'!C511+3, "yyyy-mm-dd"),'Ingest Template'!Q511&amp; "|2021-01-01")),(IF(OR('Ingest Template'!F511 = "Program Type - Special", 'Ingest Template'!F511 = "Program Type - Live Event"),'Ingest Template'!Q511&amp; "|"&amp;TEXT('Ingest Template'!C511-3, "yyyy-mm-dd")&amp;"|"&amp;TEXT('Ingest Template'!C511+3, "yyyy-mm-dd"),'Ingest Template'!Q511)))</f>
        <v/>
      </c>
      <c r="AM511" s="35" t="str">
        <f>'Ingest Template'!AC511</f>
        <v/>
      </c>
    </row>
    <row r="512">
      <c r="A512" s="15"/>
      <c r="B512" s="22" t="str">
        <f>'Ingest Template'!C512&amp;IF('Ingest Template'!A512 = "Standard", " - DAR","")</f>
        <v/>
      </c>
      <c r="C512" s="22" t="s">
        <v>83</v>
      </c>
      <c r="D512" s="22" t="str">
        <f t="array" ref="D512">CONCATENATE(INDEX(DropdownLists!$H$2:$H$11,MATCH(1,COUNTIF('Ingest Template'!E512,"*"&amp;DropdownLists!$I$2:$I$11&amp;"*"),0)),CHAR(10),'Ingest Template'!F512,CHAR(10),'Ingest Template'!G512,CHAR(10),VLOOKUP('Ingest Template'!D512,DropdownLists!C:D,2,FALSE))</f>
        <v>#N/A</v>
      </c>
      <c r="E512" s="22" t="str">
        <f>CONCATENATE('Ingest Template'!H512,CHAR(10),'Ingest Template'!I512,CHAR(10),'Ingest Template'!J512,CHAR(10))</f>
        <v>
</v>
      </c>
      <c r="F512" s="35" t="str">
        <f t="array" ref="F512">INDEX(DropdownLists!$O$2:$O$36,MATCH(1,COUNTIF(E512,"*"&amp;DropdownLists!$N$2:$N$36&amp;"*"),0))</f>
        <v/>
      </c>
      <c r="G512" s="35"/>
      <c r="H512" s="22" t="str">
        <f t="array" ref="H512">INDEX(DropdownLists!$E$2:$E$276,MATCH('Ingest Template'!D512,DropdownLists!$C$2:$C$276,0))</f>
        <v>#N/A</v>
      </c>
      <c r="I512" s="22"/>
      <c r="J512" s="22" t="str">
        <f t="array" ref="J512">iF('Ingest Template'!A512="Standard","Pristine Brand",INDEX(DropdownLists!$B$2:$B$246,MATCH('Ingest Template'!D512,DropdownLists!$C$2:$C$246,0)))</f>
        <v>#N/A</v>
      </c>
      <c r="K512" s="22" t="str">
        <f>iF('Ingest Template'!A512="Standard",'Ingest Template'!K512&amp;CHAR(10)&amp;'Ingest Template'!L512,"Competitive View")</f>
        <v>Competitive View</v>
      </c>
      <c r="L512" s="22" t="s">
        <v>95</v>
      </c>
      <c r="M512" s="45" t="str">
        <f>'Ingest Template'!B512</f>
        <v/>
      </c>
      <c r="N512" s="35"/>
      <c r="O512" s="35"/>
      <c r="P512" s="35"/>
      <c r="Q512" s="35"/>
      <c r="R512" s="35" t="str">
        <f>'Ingest Template'!D512</f>
        <v/>
      </c>
      <c r="S512" s="22" t="s">
        <v>101</v>
      </c>
      <c r="T512" s="35" t="str">
        <f>'Ingest Template'!V512</f>
        <v/>
      </c>
      <c r="U512" s="35" t="str">
        <f>'Ingest Template'!W512</f>
        <v/>
      </c>
      <c r="V512" s="35" t="str">
        <f>LOWER(SUBSTITUTE(SUBSTITUTE(SUBSTITUTE(SUBSTITUTE(SUBSTITUTE('Ingest Template'!X512,"https:",""),"www.",""),"/",""),"?hl=en",""),"instagram.com",""))</f>
        <v/>
      </c>
      <c r="W512" s="74" t="str">
        <f t="array" ref="W512">IF(
'Ingest Template'!Y512="",
SUBSTITUTE(
INDEX(DropdownLists!$F$2:$F$277,MATCH('Ingest Template'!D512,DropdownLists!$C$2:$C$277,0)),
CHAR(10),
"|"&amp;'Ingest Template'!C512&amp;CHAR(10)
)&amp;"|"&amp;'Ingest Template'!C512,
SUBSTITUTE(
INDEX(DropdownLists!$F$2:$F$277,MATCH('Ingest Template'!D512,DropdownLists!$C$2:$C$277,0)),
CHAR(10),
"|"&amp;'Ingest Template'!C512&amp;CHAR(10)
)&amp;"|"&amp;'Ingest Template'!C512&amp;CHAR(10)&amp;'Ingest Template'!Y512
)</f>
        <v>#N/A</v>
      </c>
      <c r="X512" s="74" t="str">
        <f>'Ingest Template'!Z512</f>
        <v/>
      </c>
      <c r="Y512" s="35" t="str">
        <f>SUBSTITUTE(SUBSTITUTE(SUBSTITUTE('Ingest Template'!AA512,"http:",""),"https:",""),"/","")</f>
        <v/>
      </c>
      <c r="Z512" s="35" t="str">
        <f t="array" ref="Z512">IF('Ingest Template'!A512="Standard",(IF(ISBLANK('Ingest Template'!AB512),"", 'Ingest Template'!AB512&amp;"|DAR")),(IF(ISBLANK('Ingest Template'!AB512),"", 'Ingest Template'!AB512&amp;"|TV Ops")))</f>
        <v/>
      </c>
      <c r="AA512" s="35"/>
      <c r="AB512" s="35" t="str">
        <f>'Ingest Template'!R512</f>
        <v/>
      </c>
      <c r="AC512" s="35" t="str">
        <f>'Ingest Template'!T512</f>
        <v/>
      </c>
      <c r="AD512" s="35" t="str">
        <f>'Ingest Template'!S512</f>
        <v/>
      </c>
      <c r="AE512" s="35" t="str">
        <f>'Ingest Template'!U512</f>
        <v/>
      </c>
      <c r="AF512" s="22"/>
      <c r="AG512" s="35" t="str">
        <f t="array" ref="AG512">IF('Ingest Template'!A512="Standard",(CONCATENATE(IF(ISBLANK('Ingest Template'!N512),"", 'Ingest Template'!N512&amp;"|DAR"),CHAR(10), IF(ISBLANK('Ingest Template'!O512),"", 'Ingest Template'!O512&amp;"|DAR"),CHAR(10), IF(ISBLANK('Ingest Template'!P512),"", 'Ingest Template'!P512&amp;"|DAR"))),(CONCATENATE(IF(ISBLANK('Ingest Template'!N512),"", 'Ingest Template'!N512&amp;"|TV Ops"),CHAR(10), IF(ISBLANK('Ingest Template'!O512),"", 'Ingest Template'!O512&amp;"|TV Ops"),CHAR(10), IF(ISBLANK('Ingest Template'!P512),"", 'Ingest Template'!P512&amp;"|TV Ops"))))</f>
        <v>
</v>
      </c>
      <c r="AH512" s="35"/>
      <c r="AI512" s="35"/>
      <c r="AJ512" s="117" t="str">
        <f>if('Ingest Template'!A512="Standard",(IF(OR('Ingest Template'!F512 = "Program Type - Special", 'Ingest Template'!F512 = "Program Type - Live Event"),'Ingest Template'!M512&amp; "|DAR|DAR|"&amp;TEXT('Ingest Template'!C512-3, "yyyy-mm-dd")&amp;"|"&amp;TEXT('Ingest Template'!C512+3, "yyyy-mm-dd"),'Ingest Template'!M512&amp; "|DAR|DAR|2021-01-01")),(IF(OR('Ingest Template'!F512 = "Program Type - Special", 'Ingest Template'!F512 = "Program Type - Live Event"),'Ingest Template'!M512&amp; "|Operations - Core Title|Operations - Core Title|"&amp;TEXT('Ingest Template'!C512-3, "yyyy-mm-dd")&amp;"|"&amp;TEXT('Ingest Template'!C512+3, "yyyy-mm-dd"),'Ingest Template'!M512&amp; "|Operations - Core Title|Operations - Core Title")))</f>
        <v>|Operations - Core Title|Operations - Core Title</v>
      </c>
      <c r="AK512" s="35"/>
      <c r="AL512" s="117" t="str">
        <f>if('Ingest Template'!A512="Standard",(IF(OR('Ingest Template'!F512 = "Program Type - Special", 'Ingest Template'!F512 = "Program Type - Live Event"),'Ingest Template'!Q512&amp;"|"&amp;TEXT('Ingest Template'!C512-3, "yyyy-mm-dd")&amp;"|"&amp;TEXT('Ingest Template'!C512+3, "yyyy-mm-dd"),'Ingest Template'!Q512&amp; "|2021-01-01")),(IF(OR('Ingest Template'!F512 = "Program Type - Special", 'Ingest Template'!F512 = "Program Type - Live Event"),'Ingest Template'!Q512&amp; "|"&amp;TEXT('Ingest Template'!C512-3, "yyyy-mm-dd")&amp;"|"&amp;TEXT('Ingest Template'!C512+3, "yyyy-mm-dd"),'Ingest Template'!Q512)))</f>
        <v/>
      </c>
      <c r="AM512" s="35" t="str">
        <f>'Ingest Template'!AC512</f>
        <v/>
      </c>
    </row>
    <row r="513">
      <c r="A513" s="15"/>
      <c r="B513" s="22" t="str">
        <f>'Ingest Template'!C513&amp;IF('Ingest Template'!A513 = "Standard", " - DAR","")</f>
        <v/>
      </c>
      <c r="C513" s="22" t="s">
        <v>83</v>
      </c>
      <c r="D513" s="22" t="str">
        <f t="array" ref="D513">CONCATENATE(INDEX(DropdownLists!$H$2:$H$11,MATCH(1,COUNTIF('Ingest Template'!E513,"*"&amp;DropdownLists!$I$2:$I$11&amp;"*"),0)),CHAR(10),'Ingest Template'!F513,CHAR(10),'Ingest Template'!G513,CHAR(10),VLOOKUP('Ingest Template'!D513,DropdownLists!C:D,2,FALSE))</f>
        <v>#N/A</v>
      </c>
      <c r="E513" s="22" t="str">
        <f>CONCATENATE('Ingest Template'!H513,CHAR(10),'Ingest Template'!I513,CHAR(10),'Ingest Template'!J513,CHAR(10))</f>
        <v>
</v>
      </c>
      <c r="F513" s="35" t="str">
        <f t="array" ref="F513">INDEX(DropdownLists!$O$2:$O$36,MATCH(1,COUNTIF(E513,"*"&amp;DropdownLists!$N$2:$N$36&amp;"*"),0))</f>
        <v/>
      </c>
      <c r="G513" s="35"/>
      <c r="H513" s="22" t="str">
        <f t="array" ref="H513">INDEX(DropdownLists!$E$2:$E$276,MATCH('Ingest Template'!D513,DropdownLists!$C$2:$C$276,0))</f>
        <v>#N/A</v>
      </c>
      <c r="I513" s="22"/>
      <c r="J513" s="22" t="str">
        <f t="array" ref="J513">iF('Ingest Template'!A513="Standard","Pristine Brand",INDEX(DropdownLists!$B$2:$B$246,MATCH('Ingest Template'!D513,DropdownLists!$C$2:$C$246,0)))</f>
        <v>#N/A</v>
      </c>
      <c r="K513" s="22" t="str">
        <f>iF('Ingest Template'!A513="Standard",'Ingest Template'!K513&amp;CHAR(10)&amp;'Ingest Template'!L513,"Competitive View")</f>
        <v>Competitive View</v>
      </c>
      <c r="L513" s="22" t="s">
        <v>95</v>
      </c>
      <c r="M513" s="45" t="str">
        <f>'Ingest Template'!B513</f>
        <v/>
      </c>
      <c r="N513" s="35"/>
      <c r="O513" s="35"/>
      <c r="P513" s="35"/>
      <c r="Q513" s="35"/>
      <c r="R513" s="35" t="str">
        <f>'Ingest Template'!D513</f>
        <v/>
      </c>
      <c r="S513" s="22" t="s">
        <v>101</v>
      </c>
      <c r="T513" s="35" t="str">
        <f>'Ingest Template'!V513</f>
        <v/>
      </c>
      <c r="U513" s="35" t="str">
        <f>'Ingest Template'!W513</f>
        <v/>
      </c>
      <c r="V513" s="35" t="str">
        <f>LOWER(SUBSTITUTE(SUBSTITUTE(SUBSTITUTE(SUBSTITUTE(SUBSTITUTE('Ingest Template'!X513,"https:",""),"www.",""),"/",""),"?hl=en",""),"instagram.com",""))</f>
        <v/>
      </c>
      <c r="W513" s="74" t="str">
        <f t="array" ref="W513">IF(
'Ingest Template'!Y513="",
SUBSTITUTE(
INDEX(DropdownLists!$F$2:$F$277,MATCH('Ingest Template'!D513,DropdownLists!$C$2:$C$277,0)),
CHAR(10),
"|"&amp;'Ingest Template'!C513&amp;CHAR(10)
)&amp;"|"&amp;'Ingest Template'!C513,
SUBSTITUTE(
INDEX(DropdownLists!$F$2:$F$277,MATCH('Ingest Template'!D513,DropdownLists!$C$2:$C$277,0)),
CHAR(10),
"|"&amp;'Ingest Template'!C513&amp;CHAR(10)
)&amp;"|"&amp;'Ingest Template'!C513&amp;CHAR(10)&amp;'Ingest Template'!Y513
)</f>
        <v>#N/A</v>
      </c>
      <c r="X513" s="74" t="str">
        <f>'Ingest Template'!Z513</f>
        <v/>
      </c>
      <c r="Y513" s="35" t="str">
        <f>SUBSTITUTE(SUBSTITUTE(SUBSTITUTE('Ingest Template'!AA513,"http:",""),"https:",""),"/","")</f>
        <v/>
      </c>
      <c r="Z513" s="35" t="str">
        <f t="array" ref="Z513">IF('Ingest Template'!A513="Standard",(IF(ISBLANK('Ingest Template'!AB513),"", 'Ingest Template'!AB513&amp;"|DAR")),(IF(ISBLANK('Ingest Template'!AB513),"", 'Ingest Template'!AB513&amp;"|TV Ops")))</f>
        <v/>
      </c>
      <c r="AA513" s="35"/>
      <c r="AB513" s="35" t="str">
        <f>'Ingest Template'!R513</f>
        <v/>
      </c>
      <c r="AC513" s="35" t="str">
        <f>'Ingest Template'!T513</f>
        <v/>
      </c>
      <c r="AD513" s="35" t="str">
        <f>'Ingest Template'!S513</f>
        <v/>
      </c>
      <c r="AE513" s="35" t="str">
        <f>'Ingest Template'!U513</f>
        <v/>
      </c>
      <c r="AF513" s="22"/>
      <c r="AG513" s="35" t="str">
        <f t="array" ref="AG513">IF('Ingest Template'!A513="Standard",(CONCATENATE(IF(ISBLANK('Ingest Template'!N513),"", 'Ingest Template'!N513&amp;"|DAR"),CHAR(10), IF(ISBLANK('Ingest Template'!O513),"", 'Ingest Template'!O513&amp;"|DAR"),CHAR(10), IF(ISBLANK('Ingest Template'!P513),"", 'Ingest Template'!P513&amp;"|DAR"))),(CONCATENATE(IF(ISBLANK('Ingest Template'!N513),"", 'Ingest Template'!N513&amp;"|TV Ops"),CHAR(10), IF(ISBLANK('Ingest Template'!O513),"", 'Ingest Template'!O513&amp;"|TV Ops"),CHAR(10), IF(ISBLANK('Ingest Template'!P513),"", 'Ingest Template'!P513&amp;"|TV Ops"))))</f>
        <v>
</v>
      </c>
      <c r="AH513" s="35"/>
      <c r="AI513" s="35"/>
      <c r="AJ513" s="117" t="str">
        <f>if('Ingest Template'!A513="Standard",(IF(OR('Ingest Template'!F513 = "Program Type - Special", 'Ingest Template'!F513 = "Program Type - Live Event"),'Ingest Template'!M513&amp; "|DAR|DAR|"&amp;TEXT('Ingest Template'!C513-3, "yyyy-mm-dd")&amp;"|"&amp;TEXT('Ingest Template'!C513+3, "yyyy-mm-dd"),'Ingest Template'!M513&amp; "|DAR|DAR|2021-01-01")),(IF(OR('Ingest Template'!F513 = "Program Type - Special", 'Ingest Template'!F513 = "Program Type - Live Event"),'Ingest Template'!M513&amp; "|Operations - Core Title|Operations - Core Title|"&amp;TEXT('Ingest Template'!C513-3, "yyyy-mm-dd")&amp;"|"&amp;TEXT('Ingest Template'!C513+3, "yyyy-mm-dd"),'Ingest Template'!M513&amp; "|Operations - Core Title|Operations - Core Title")))</f>
        <v>|Operations - Core Title|Operations - Core Title</v>
      </c>
      <c r="AK513" s="35"/>
      <c r="AL513" s="117" t="str">
        <f>if('Ingest Template'!A513="Standard",(IF(OR('Ingest Template'!F513 = "Program Type - Special", 'Ingest Template'!F513 = "Program Type - Live Event"),'Ingest Template'!Q513&amp;"|"&amp;TEXT('Ingest Template'!C513-3, "yyyy-mm-dd")&amp;"|"&amp;TEXT('Ingest Template'!C513+3, "yyyy-mm-dd"),'Ingest Template'!Q513&amp; "|2021-01-01")),(IF(OR('Ingest Template'!F513 = "Program Type - Special", 'Ingest Template'!F513 = "Program Type - Live Event"),'Ingest Template'!Q513&amp; "|"&amp;TEXT('Ingest Template'!C513-3, "yyyy-mm-dd")&amp;"|"&amp;TEXT('Ingest Template'!C513+3, "yyyy-mm-dd"),'Ingest Template'!Q513)))</f>
        <v/>
      </c>
      <c r="AM513" s="35" t="str">
        <f>'Ingest Template'!AC513</f>
        <v/>
      </c>
    </row>
    <row r="514">
      <c r="A514" s="15"/>
      <c r="B514" s="22" t="str">
        <f>'Ingest Template'!C514&amp;IF('Ingest Template'!A514 = "Standard", " - DAR","")</f>
        <v/>
      </c>
      <c r="C514" s="22" t="s">
        <v>83</v>
      </c>
      <c r="D514" s="22" t="str">
        <f t="array" ref="D514">CONCATENATE(INDEX(DropdownLists!$H$2:$H$11,MATCH(1,COUNTIF('Ingest Template'!E514,"*"&amp;DropdownLists!$I$2:$I$11&amp;"*"),0)),CHAR(10),'Ingest Template'!F514,CHAR(10),'Ingest Template'!G514,CHAR(10),VLOOKUP('Ingest Template'!D514,DropdownLists!C:D,2,FALSE))</f>
        <v>#N/A</v>
      </c>
      <c r="E514" s="22" t="str">
        <f>CONCATENATE('Ingest Template'!H514,CHAR(10),'Ingest Template'!I514,CHAR(10),'Ingest Template'!J514,CHAR(10))</f>
        <v>
</v>
      </c>
      <c r="F514" s="35" t="str">
        <f t="array" ref="F514">INDEX(DropdownLists!$O$2:$O$36,MATCH(1,COUNTIF(E514,"*"&amp;DropdownLists!$N$2:$N$36&amp;"*"),0))</f>
        <v/>
      </c>
      <c r="G514" s="35"/>
      <c r="H514" s="22" t="str">
        <f t="array" ref="H514">INDEX(DropdownLists!$E$2:$E$276,MATCH('Ingest Template'!D514,DropdownLists!$C$2:$C$276,0))</f>
        <v>#N/A</v>
      </c>
      <c r="I514" s="22"/>
      <c r="J514" s="22" t="str">
        <f t="array" ref="J514">iF('Ingest Template'!A514="Standard","Pristine Brand",INDEX(DropdownLists!$B$2:$B$246,MATCH('Ingest Template'!D514,DropdownLists!$C$2:$C$246,0)))</f>
        <v>#N/A</v>
      </c>
      <c r="K514" s="22" t="str">
        <f>iF('Ingest Template'!A514="Standard",'Ingest Template'!K514&amp;CHAR(10)&amp;'Ingest Template'!L514,"Competitive View")</f>
        <v>Competitive View</v>
      </c>
      <c r="L514" s="22" t="s">
        <v>95</v>
      </c>
      <c r="M514" s="45" t="str">
        <f>'Ingest Template'!B514</f>
        <v/>
      </c>
      <c r="N514" s="35"/>
      <c r="O514" s="35"/>
      <c r="P514" s="35"/>
      <c r="Q514" s="35"/>
      <c r="R514" s="35" t="str">
        <f>'Ingest Template'!D514</f>
        <v/>
      </c>
      <c r="S514" s="22" t="s">
        <v>101</v>
      </c>
      <c r="T514" s="35" t="str">
        <f>'Ingest Template'!V514</f>
        <v/>
      </c>
      <c r="U514" s="35" t="str">
        <f>'Ingest Template'!W514</f>
        <v/>
      </c>
      <c r="V514" s="35" t="str">
        <f>LOWER(SUBSTITUTE(SUBSTITUTE(SUBSTITUTE(SUBSTITUTE(SUBSTITUTE('Ingest Template'!X514,"https:",""),"www.",""),"/",""),"?hl=en",""),"instagram.com",""))</f>
        <v/>
      </c>
      <c r="W514" s="74" t="str">
        <f t="array" ref="W514">IF(
'Ingest Template'!Y514="",
SUBSTITUTE(
INDEX(DropdownLists!$F$2:$F$277,MATCH('Ingest Template'!D514,DropdownLists!$C$2:$C$277,0)),
CHAR(10),
"|"&amp;'Ingest Template'!C514&amp;CHAR(10)
)&amp;"|"&amp;'Ingest Template'!C514,
SUBSTITUTE(
INDEX(DropdownLists!$F$2:$F$277,MATCH('Ingest Template'!D514,DropdownLists!$C$2:$C$277,0)),
CHAR(10),
"|"&amp;'Ingest Template'!C514&amp;CHAR(10)
)&amp;"|"&amp;'Ingest Template'!C514&amp;CHAR(10)&amp;'Ingest Template'!Y514
)</f>
        <v>#N/A</v>
      </c>
      <c r="X514" s="74" t="str">
        <f>'Ingest Template'!Z514</f>
        <v/>
      </c>
      <c r="Y514" s="35" t="str">
        <f>SUBSTITUTE(SUBSTITUTE(SUBSTITUTE('Ingest Template'!AA514,"http:",""),"https:",""),"/","")</f>
        <v/>
      </c>
      <c r="Z514" s="35" t="str">
        <f t="array" ref="Z514">IF('Ingest Template'!A514="Standard",(IF(ISBLANK('Ingest Template'!AB514),"", 'Ingest Template'!AB514&amp;"|DAR")),(IF(ISBLANK('Ingest Template'!AB514),"", 'Ingest Template'!AB514&amp;"|TV Ops")))</f>
        <v/>
      </c>
      <c r="AA514" s="35"/>
      <c r="AB514" s="35" t="str">
        <f>'Ingest Template'!R514</f>
        <v/>
      </c>
      <c r="AC514" s="35" t="str">
        <f>'Ingest Template'!T514</f>
        <v/>
      </c>
      <c r="AD514" s="35" t="str">
        <f>'Ingest Template'!S514</f>
        <v/>
      </c>
      <c r="AE514" s="35" t="str">
        <f>'Ingest Template'!U514</f>
        <v/>
      </c>
      <c r="AF514" s="22"/>
      <c r="AG514" s="35" t="str">
        <f t="array" ref="AG514">IF('Ingest Template'!A514="Standard",(CONCATENATE(IF(ISBLANK('Ingest Template'!N514),"", 'Ingest Template'!N514&amp;"|DAR"),CHAR(10), IF(ISBLANK('Ingest Template'!O514),"", 'Ingest Template'!O514&amp;"|DAR"),CHAR(10), IF(ISBLANK('Ingest Template'!P514),"", 'Ingest Template'!P514&amp;"|DAR"))),(CONCATENATE(IF(ISBLANK('Ingest Template'!N514),"", 'Ingest Template'!N514&amp;"|TV Ops"),CHAR(10), IF(ISBLANK('Ingest Template'!O514),"", 'Ingest Template'!O514&amp;"|TV Ops"),CHAR(10), IF(ISBLANK('Ingest Template'!P514),"", 'Ingest Template'!P514&amp;"|TV Ops"))))</f>
        <v>
</v>
      </c>
      <c r="AH514" s="35"/>
      <c r="AI514" s="35"/>
      <c r="AJ514" s="117" t="str">
        <f>if('Ingest Template'!A514="Standard",(IF(OR('Ingest Template'!F514 = "Program Type - Special", 'Ingest Template'!F514 = "Program Type - Live Event"),'Ingest Template'!M514&amp; "|DAR|DAR|"&amp;TEXT('Ingest Template'!C514-3, "yyyy-mm-dd")&amp;"|"&amp;TEXT('Ingest Template'!C514+3, "yyyy-mm-dd"),'Ingest Template'!M514&amp; "|DAR|DAR|2021-01-01")),(IF(OR('Ingest Template'!F514 = "Program Type - Special", 'Ingest Template'!F514 = "Program Type - Live Event"),'Ingest Template'!M514&amp; "|Operations - Core Title|Operations - Core Title|"&amp;TEXT('Ingest Template'!C514-3, "yyyy-mm-dd")&amp;"|"&amp;TEXT('Ingest Template'!C514+3, "yyyy-mm-dd"),'Ingest Template'!M514&amp; "|Operations - Core Title|Operations - Core Title")))</f>
        <v>|Operations - Core Title|Operations - Core Title</v>
      </c>
      <c r="AK514" s="35"/>
      <c r="AL514" s="117" t="str">
        <f>if('Ingest Template'!A514="Standard",(IF(OR('Ingest Template'!F514 = "Program Type - Special", 'Ingest Template'!F514 = "Program Type - Live Event"),'Ingest Template'!Q514&amp;"|"&amp;TEXT('Ingest Template'!C514-3, "yyyy-mm-dd")&amp;"|"&amp;TEXT('Ingest Template'!C514+3, "yyyy-mm-dd"),'Ingest Template'!Q514&amp; "|2021-01-01")),(IF(OR('Ingest Template'!F514 = "Program Type - Special", 'Ingest Template'!F514 = "Program Type - Live Event"),'Ingest Template'!Q514&amp; "|"&amp;TEXT('Ingest Template'!C514-3, "yyyy-mm-dd")&amp;"|"&amp;TEXT('Ingest Template'!C514+3, "yyyy-mm-dd"),'Ingest Template'!Q514)))</f>
        <v/>
      </c>
      <c r="AM514" s="35" t="str">
        <f>'Ingest Template'!AC514</f>
        <v/>
      </c>
    </row>
    <row r="515">
      <c r="A515" s="15"/>
      <c r="B515" s="22" t="str">
        <f>'Ingest Template'!C515&amp;IF('Ingest Template'!A515 = "Standard", " - DAR","")</f>
        <v/>
      </c>
      <c r="C515" s="22" t="s">
        <v>83</v>
      </c>
      <c r="D515" s="22" t="str">
        <f t="array" ref="D515">CONCATENATE(INDEX(DropdownLists!$H$2:$H$11,MATCH(1,COUNTIF('Ingest Template'!E515,"*"&amp;DropdownLists!$I$2:$I$11&amp;"*"),0)),CHAR(10),'Ingest Template'!F515,CHAR(10),'Ingest Template'!G515,CHAR(10),VLOOKUP('Ingest Template'!D515,DropdownLists!C:D,2,FALSE))</f>
        <v>#N/A</v>
      </c>
      <c r="E515" s="22" t="str">
        <f>CONCATENATE('Ingest Template'!H515,CHAR(10),'Ingest Template'!I515,CHAR(10),'Ingest Template'!J515,CHAR(10))</f>
        <v>
</v>
      </c>
      <c r="F515" s="35" t="str">
        <f t="array" ref="F515">INDEX(DropdownLists!$O$2:$O$36,MATCH(1,COUNTIF(E515,"*"&amp;DropdownLists!$N$2:$N$36&amp;"*"),0))</f>
        <v/>
      </c>
      <c r="G515" s="35"/>
      <c r="H515" s="22" t="str">
        <f t="array" ref="H515">INDEX(DropdownLists!$E$2:$E$276,MATCH('Ingest Template'!D515,DropdownLists!$C$2:$C$276,0))</f>
        <v>#N/A</v>
      </c>
      <c r="I515" s="22"/>
      <c r="J515" s="22" t="str">
        <f t="array" ref="J515">iF('Ingest Template'!A515="Standard","Pristine Brand",INDEX(DropdownLists!$B$2:$B$246,MATCH('Ingest Template'!D515,DropdownLists!$C$2:$C$246,0)))</f>
        <v>#N/A</v>
      </c>
      <c r="K515" s="22" t="str">
        <f>iF('Ingest Template'!A515="Standard",'Ingest Template'!K515&amp;CHAR(10)&amp;'Ingest Template'!L515,"Competitive View")</f>
        <v>Competitive View</v>
      </c>
      <c r="L515" s="22" t="s">
        <v>95</v>
      </c>
      <c r="M515" s="45" t="str">
        <f>'Ingest Template'!B515</f>
        <v/>
      </c>
      <c r="N515" s="35"/>
      <c r="O515" s="35"/>
      <c r="P515" s="35"/>
      <c r="Q515" s="35"/>
      <c r="R515" s="35" t="str">
        <f>'Ingest Template'!D515</f>
        <v/>
      </c>
      <c r="S515" s="22" t="s">
        <v>101</v>
      </c>
      <c r="T515" s="35" t="str">
        <f>'Ingest Template'!V515</f>
        <v/>
      </c>
      <c r="U515" s="35" t="str">
        <f>'Ingest Template'!W515</f>
        <v/>
      </c>
      <c r="V515" s="35" t="str">
        <f>LOWER(SUBSTITUTE(SUBSTITUTE(SUBSTITUTE(SUBSTITUTE(SUBSTITUTE('Ingest Template'!X515,"https:",""),"www.",""),"/",""),"?hl=en",""),"instagram.com",""))</f>
        <v/>
      </c>
      <c r="W515" s="74" t="str">
        <f t="array" ref="W515">IF(
'Ingest Template'!Y515="",
SUBSTITUTE(
INDEX(DropdownLists!$F$2:$F$277,MATCH('Ingest Template'!D515,DropdownLists!$C$2:$C$277,0)),
CHAR(10),
"|"&amp;'Ingest Template'!C515&amp;CHAR(10)
)&amp;"|"&amp;'Ingest Template'!C515,
SUBSTITUTE(
INDEX(DropdownLists!$F$2:$F$277,MATCH('Ingest Template'!D515,DropdownLists!$C$2:$C$277,0)),
CHAR(10),
"|"&amp;'Ingest Template'!C515&amp;CHAR(10)
)&amp;"|"&amp;'Ingest Template'!C515&amp;CHAR(10)&amp;'Ingest Template'!Y515
)</f>
        <v>#N/A</v>
      </c>
      <c r="X515" s="74" t="str">
        <f>'Ingest Template'!Z515</f>
        <v/>
      </c>
      <c r="Y515" s="35" t="str">
        <f>SUBSTITUTE(SUBSTITUTE(SUBSTITUTE('Ingest Template'!AA515,"http:",""),"https:",""),"/","")</f>
        <v/>
      </c>
      <c r="Z515" s="35" t="str">
        <f t="array" ref="Z515">IF('Ingest Template'!A515="Standard",(IF(ISBLANK('Ingest Template'!AB515),"", 'Ingest Template'!AB515&amp;"|DAR")),(IF(ISBLANK('Ingest Template'!AB515),"", 'Ingest Template'!AB515&amp;"|TV Ops")))</f>
        <v/>
      </c>
      <c r="AA515" s="35"/>
      <c r="AB515" s="35" t="str">
        <f>'Ingest Template'!R515</f>
        <v/>
      </c>
      <c r="AC515" s="35" t="str">
        <f>'Ingest Template'!T515</f>
        <v/>
      </c>
      <c r="AD515" s="35" t="str">
        <f>'Ingest Template'!S515</f>
        <v/>
      </c>
      <c r="AE515" s="35" t="str">
        <f>'Ingest Template'!U515</f>
        <v/>
      </c>
      <c r="AF515" s="22"/>
      <c r="AG515" s="35" t="str">
        <f t="array" ref="AG515">IF('Ingest Template'!A515="Standard",(CONCATENATE(IF(ISBLANK('Ingest Template'!N515),"", 'Ingest Template'!N515&amp;"|DAR"),CHAR(10), IF(ISBLANK('Ingest Template'!O515),"", 'Ingest Template'!O515&amp;"|DAR"),CHAR(10), IF(ISBLANK('Ingest Template'!P515),"", 'Ingest Template'!P515&amp;"|DAR"))),(CONCATENATE(IF(ISBLANK('Ingest Template'!N515),"", 'Ingest Template'!N515&amp;"|TV Ops"),CHAR(10), IF(ISBLANK('Ingest Template'!O515),"", 'Ingest Template'!O515&amp;"|TV Ops"),CHAR(10), IF(ISBLANK('Ingest Template'!P515),"", 'Ingest Template'!P515&amp;"|TV Ops"))))</f>
        <v>
</v>
      </c>
      <c r="AH515" s="35"/>
      <c r="AI515" s="35"/>
      <c r="AJ515" s="117" t="str">
        <f>if('Ingest Template'!A515="Standard",(IF(OR('Ingest Template'!F515 = "Program Type - Special", 'Ingest Template'!F515 = "Program Type - Live Event"),'Ingest Template'!M515&amp; "|DAR|DAR|"&amp;TEXT('Ingest Template'!C515-3, "yyyy-mm-dd")&amp;"|"&amp;TEXT('Ingest Template'!C515+3, "yyyy-mm-dd"),'Ingest Template'!M515&amp; "|DAR|DAR|2021-01-01")),(IF(OR('Ingest Template'!F515 = "Program Type - Special", 'Ingest Template'!F515 = "Program Type - Live Event"),'Ingest Template'!M515&amp; "|Operations - Core Title|Operations - Core Title|"&amp;TEXT('Ingest Template'!C515-3, "yyyy-mm-dd")&amp;"|"&amp;TEXT('Ingest Template'!C515+3, "yyyy-mm-dd"),'Ingest Template'!M515&amp; "|Operations - Core Title|Operations - Core Title")))</f>
        <v>|Operations - Core Title|Operations - Core Title</v>
      </c>
      <c r="AK515" s="35"/>
      <c r="AL515" s="117" t="str">
        <f>if('Ingest Template'!A515="Standard",(IF(OR('Ingest Template'!F515 = "Program Type - Special", 'Ingest Template'!F515 = "Program Type - Live Event"),'Ingest Template'!Q515&amp;"|"&amp;TEXT('Ingest Template'!C515-3, "yyyy-mm-dd")&amp;"|"&amp;TEXT('Ingest Template'!C515+3, "yyyy-mm-dd"),'Ingest Template'!Q515&amp; "|2021-01-01")),(IF(OR('Ingest Template'!F515 = "Program Type - Special", 'Ingest Template'!F515 = "Program Type - Live Event"),'Ingest Template'!Q515&amp; "|"&amp;TEXT('Ingest Template'!C515-3, "yyyy-mm-dd")&amp;"|"&amp;TEXT('Ingest Template'!C515+3, "yyyy-mm-dd"),'Ingest Template'!Q515)))</f>
        <v/>
      </c>
      <c r="AM515" s="35" t="str">
        <f>'Ingest Template'!AC515</f>
        <v/>
      </c>
    </row>
    <row r="516">
      <c r="A516" s="15"/>
      <c r="B516" s="22" t="str">
        <f>'Ingest Template'!C516&amp;IF('Ingest Template'!A516 = "Standard", " - DAR","")</f>
        <v/>
      </c>
      <c r="C516" s="22" t="s">
        <v>83</v>
      </c>
      <c r="D516" s="22" t="str">
        <f t="array" ref="D516">CONCATENATE(INDEX(DropdownLists!$H$2:$H$11,MATCH(1,COUNTIF('Ingest Template'!E516,"*"&amp;DropdownLists!$I$2:$I$11&amp;"*"),0)),CHAR(10),'Ingest Template'!F516,CHAR(10),'Ingest Template'!G516,CHAR(10),VLOOKUP('Ingest Template'!D516,DropdownLists!C:D,2,FALSE))</f>
        <v>#N/A</v>
      </c>
      <c r="E516" s="22" t="str">
        <f>CONCATENATE('Ingest Template'!H516,CHAR(10),'Ingest Template'!I516,CHAR(10),'Ingest Template'!J516,CHAR(10))</f>
        <v>
</v>
      </c>
      <c r="F516" s="35" t="str">
        <f t="array" ref="F516">INDEX(DropdownLists!$O$2:$O$36,MATCH(1,COUNTIF(E516,"*"&amp;DropdownLists!$N$2:$N$36&amp;"*"),0))</f>
        <v/>
      </c>
      <c r="G516" s="35"/>
      <c r="H516" s="22" t="str">
        <f t="array" ref="H516">INDEX(DropdownLists!$E$2:$E$276,MATCH('Ingest Template'!D516,DropdownLists!$C$2:$C$276,0))</f>
        <v>#N/A</v>
      </c>
      <c r="I516" s="22"/>
      <c r="J516" s="22" t="str">
        <f t="array" ref="J516">iF('Ingest Template'!A516="Standard","Pristine Brand",INDEX(DropdownLists!$B$2:$B$246,MATCH('Ingest Template'!D516,DropdownLists!$C$2:$C$246,0)))</f>
        <v>#N/A</v>
      </c>
      <c r="K516" s="22" t="str">
        <f>iF('Ingest Template'!A516="Standard",'Ingest Template'!K516&amp;CHAR(10)&amp;'Ingest Template'!L516,"Competitive View")</f>
        <v>Competitive View</v>
      </c>
      <c r="L516" s="22" t="s">
        <v>95</v>
      </c>
      <c r="M516" s="45" t="str">
        <f>'Ingest Template'!B516</f>
        <v/>
      </c>
      <c r="N516" s="35"/>
      <c r="O516" s="35"/>
      <c r="P516" s="35"/>
      <c r="Q516" s="35"/>
      <c r="R516" s="35" t="str">
        <f>'Ingest Template'!D516</f>
        <v/>
      </c>
      <c r="S516" s="22" t="s">
        <v>101</v>
      </c>
      <c r="T516" s="35" t="str">
        <f>'Ingest Template'!V516</f>
        <v/>
      </c>
      <c r="U516" s="35" t="str">
        <f>'Ingest Template'!W516</f>
        <v/>
      </c>
      <c r="V516" s="35" t="str">
        <f>LOWER(SUBSTITUTE(SUBSTITUTE(SUBSTITUTE(SUBSTITUTE(SUBSTITUTE('Ingest Template'!X516,"https:",""),"www.",""),"/",""),"?hl=en",""),"instagram.com",""))</f>
        <v/>
      </c>
      <c r="W516" s="74" t="str">
        <f t="array" ref="W516">IF(
'Ingest Template'!Y516="",
SUBSTITUTE(
INDEX(DropdownLists!$F$2:$F$277,MATCH('Ingest Template'!D516,DropdownLists!$C$2:$C$277,0)),
CHAR(10),
"|"&amp;'Ingest Template'!C516&amp;CHAR(10)
)&amp;"|"&amp;'Ingest Template'!C516,
SUBSTITUTE(
INDEX(DropdownLists!$F$2:$F$277,MATCH('Ingest Template'!D516,DropdownLists!$C$2:$C$277,0)),
CHAR(10),
"|"&amp;'Ingest Template'!C516&amp;CHAR(10)
)&amp;"|"&amp;'Ingest Template'!C516&amp;CHAR(10)&amp;'Ingest Template'!Y516
)</f>
        <v>#N/A</v>
      </c>
      <c r="X516" s="74" t="str">
        <f>'Ingest Template'!Z516</f>
        <v/>
      </c>
      <c r="Y516" s="35" t="str">
        <f>SUBSTITUTE(SUBSTITUTE(SUBSTITUTE('Ingest Template'!AA516,"http:",""),"https:",""),"/","")</f>
        <v/>
      </c>
      <c r="Z516" s="35" t="str">
        <f t="array" ref="Z516">IF('Ingest Template'!A516="Standard",(IF(ISBLANK('Ingest Template'!AB516),"", 'Ingest Template'!AB516&amp;"|DAR")),(IF(ISBLANK('Ingest Template'!AB516),"", 'Ingest Template'!AB516&amp;"|TV Ops")))</f>
        <v/>
      </c>
      <c r="AA516" s="35"/>
      <c r="AB516" s="35" t="str">
        <f>'Ingest Template'!R516</f>
        <v/>
      </c>
      <c r="AC516" s="35" t="str">
        <f>'Ingest Template'!T516</f>
        <v/>
      </c>
      <c r="AD516" s="35" t="str">
        <f>'Ingest Template'!S516</f>
        <v/>
      </c>
      <c r="AE516" s="35" t="str">
        <f>'Ingest Template'!U516</f>
        <v/>
      </c>
      <c r="AF516" s="22"/>
      <c r="AG516" s="35" t="str">
        <f t="array" ref="AG516">IF('Ingest Template'!A516="Standard",(CONCATENATE(IF(ISBLANK('Ingest Template'!N516),"", 'Ingest Template'!N516&amp;"|DAR"),CHAR(10), IF(ISBLANK('Ingest Template'!O516),"", 'Ingest Template'!O516&amp;"|DAR"),CHAR(10), IF(ISBLANK('Ingest Template'!P516),"", 'Ingest Template'!P516&amp;"|DAR"))),(CONCATENATE(IF(ISBLANK('Ingest Template'!N516),"", 'Ingest Template'!N516&amp;"|TV Ops"),CHAR(10), IF(ISBLANK('Ingest Template'!O516),"", 'Ingest Template'!O516&amp;"|TV Ops"),CHAR(10), IF(ISBLANK('Ingest Template'!P516),"", 'Ingest Template'!P516&amp;"|TV Ops"))))</f>
        <v>
</v>
      </c>
      <c r="AH516" s="35"/>
      <c r="AI516" s="35"/>
      <c r="AJ516" s="117" t="str">
        <f>if('Ingest Template'!A516="Standard",(IF(OR('Ingest Template'!F516 = "Program Type - Special", 'Ingest Template'!F516 = "Program Type - Live Event"),'Ingest Template'!M516&amp; "|DAR|DAR|"&amp;TEXT('Ingest Template'!C516-3, "yyyy-mm-dd")&amp;"|"&amp;TEXT('Ingest Template'!C516+3, "yyyy-mm-dd"),'Ingest Template'!M516&amp; "|DAR|DAR|2021-01-01")),(IF(OR('Ingest Template'!F516 = "Program Type - Special", 'Ingest Template'!F516 = "Program Type - Live Event"),'Ingest Template'!M516&amp; "|Operations - Core Title|Operations - Core Title|"&amp;TEXT('Ingest Template'!C516-3, "yyyy-mm-dd")&amp;"|"&amp;TEXT('Ingest Template'!C516+3, "yyyy-mm-dd"),'Ingest Template'!M516&amp; "|Operations - Core Title|Operations - Core Title")))</f>
        <v>|Operations - Core Title|Operations - Core Title</v>
      </c>
      <c r="AK516" s="35"/>
      <c r="AL516" s="117" t="str">
        <f>if('Ingest Template'!A516="Standard",(IF(OR('Ingest Template'!F516 = "Program Type - Special", 'Ingest Template'!F516 = "Program Type - Live Event"),'Ingest Template'!Q516&amp;"|"&amp;TEXT('Ingest Template'!C516-3, "yyyy-mm-dd")&amp;"|"&amp;TEXT('Ingest Template'!C516+3, "yyyy-mm-dd"),'Ingest Template'!Q516&amp; "|2021-01-01")),(IF(OR('Ingest Template'!F516 = "Program Type - Special", 'Ingest Template'!F516 = "Program Type - Live Event"),'Ingest Template'!Q516&amp; "|"&amp;TEXT('Ingest Template'!C516-3, "yyyy-mm-dd")&amp;"|"&amp;TEXT('Ingest Template'!C516+3, "yyyy-mm-dd"),'Ingest Template'!Q516)))</f>
        <v/>
      </c>
      <c r="AM516" s="35" t="str">
        <f>'Ingest Template'!AC516</f>
        <v/>
      </c>
    </row>
    <row r="517">
      <c r="A517" s="15"/>
      <c r="B517" s="22" t="str">
        <f>'Ingest Template'!C517&amp;IF('Ingest Template'!A517 = "Standard", " - DAR","")</f>
        <v/>
      </c>
      <c r="C517" s="22" t="s">
        <v>83</v>
      </c>
      <c r="D517" s="22" t="str">
        <f t="array" ref="D517">CONCATENATE(INDEX(DropdownLists!$H$2:$H$11,MATCH(1,COUNTIF('Ingest Template'!E517,"*"&amp;DropdownLists!$I$2:$I$11&amp;"*"),0)),CHAR(10),'Ingest Template'!F517,CHAR(10),'Ingest Template'!G517,CHAR(10),VLOOKUP('Ingest Template'!D517,DropdownLists!C:D,2,FALSE))</f>
        <v>#N/A</v>
      </c>
      <c r="E517" s="22" t="str">
        <f>CONCATENATE('Ingest Template'!H517,CHAR(10),'Ingest Template'!I517,CHAR(10),'Ingest Template'!J517,CHAR(10))</f>
        <v>
</v>
      </c>
      <c r="F517" s="35" t="str">
        <f t="array" ref="F517">INDEX(DropdownLists!$O$2:$O$36,MATCH(1,COUNTIF(E517,"*"&amp;DropdownLists!$N$2:$N$36&amp;"*"),0))</f>
        <v/>
      </c>
      <c r="G517" s="35"/>
      <c r="H517" s="22" t="str">
        <f t="array" ref="H517">INDEX(DropdownLists!$E$2:$E$276,MATCH('Ingest Template'!D517,DropdownLists!$C$2:$C$276,0))</f>
        <v>#N/A</v>
      </c>
      <c r="I517" s="22"/>
      <c r="J517" s="22" t="str">
        <f t="array" ref="J517">iF('Ingest Template'!A517="Standard","Pristine Brand",INDEX(DropdownLists!$B$2:$B$246,MATCH('Ingest Template'!D517,DropdownLists!$C$2:$C$246,0)))</f>
        <v>#N/A</v>
      </c>
      <c r="K517" s="22" t="str">
        <f>iF('Ingest Template'!A517="Standard",'Ingest Template'!K517&amp;CHAR(10)&amp;'Ingest Template'!L517,"Competitive View")</f>
        <v>Competitive View</v>
      </c>
      <c r="L517" s="22" t="s">
        <v>95</v>
      </c>
      <c r="M517" s="45" t="str">
        <f>'Ingest Template'!B517</f>
        <v/>
      </c>
      <c r="N517" s="35"/>
      <c r="O517" s="35"/>
      <c r="P517" s="35"/>
      <c r="Q517" s="35"/>
      <c r="R517" s="35" t="str">
        <f>'Ingest Template'!D517</f>
        <v/>
      </c>
      <c r="S517" s="22" t="s">
        <v>101</v>
      </c>
      <c r="T517" s="35" t="str">
        <f>'Ingest Template'!V517</f>
        <v/>
      </c>
      <c r="U517" s="35" t="str">
        <f>'Ingest Template'!W517</f>
        <v/>
      </c>
      <c r="V517" s="35" t="str">
        <f>LOWER(SUBSTITUTE(SUBSTITUTE(SUBSTITUTE(SUBSTITUTE(SUBSTITUTE('Ingest Template'!X517,"https:",""),"www.",""),"/",""),"?hl=en",""),"instagram.com",""))</f>
        <v/>
      </c>
      <c r="W517" s="74" t="str">
        <f t="array" ref="W517">IF(
'Ingest Template'!Y517="",
SUBSTITUTE(
INDEX(DropdownLists!$F$2:$F$277,MATCH('Ingest Template'!D517,DropdownLists!$C$2:$C$277,0)),
CHAR(10),
"|"&amp;'Ingest Template'!C517&amp;CHAR(10)
)&amp;"|"&amp;'Ingest Template'!C517,
SUBSTITUTE(
INDEX(DropdownLists!$F$2:$F$277,MATCH('Ingest Template'!D517,DropdownLists!$C$2:$C$277,0)),
CHAR(10),
"|"&amp;'Ingest Template'!C517&amp;CHAR(10)
)&amp;"|"&amp;'Ingest Template'!C517&amp;CHAR(10)&amp;'Ingest Template'!Y517
)</f>
        <v>#N/A</v>
      </c>
      <c r="X517" s="74" t="str">
        <f>'Ingest Template'!Z517</f>
        <v/>
      </c>
      <c r="Y517" s="35" t="str">
        <f>SUBSTITUTE(SUBSTITUTE(SUBSTITUTE('Ingest Template'!AA517,"http:",""),"https:",""),"/","")</f>
        <v/>
      </c>
      <c r="Z517" s="35" t="str">
        <f t="array" ref="Z517">IF('Ingest Template'!A517="Standard",(IF(ISBLANK('Ingest Template'!AB517),"", 'Ingest Template'!AB517&amp;"|DAR")),(IF(ISBLANK('Ingest Template'!AB517),"", 'Ingest Template'!AB517&amp;"|TV Ops")))</f>
        <v/>
      </c>
      <c r="AA517" s="35"/>
      <c r="AB517" s="35" t="str">
        <f>'Ingest Template'!R517</f>
        <v/>
      </c>
      <c r="AC517" s="35" t="str">
        <f>'Ingest Template'!T517</f>
        <v/>
      </c>
      <c r="AD517" s="35" t="str">
        <f>'Ingest Template'!S517</f>
        <v/>
      </c>
      <c r="AE517" s="35" t="str">
        <f>'Ingest Template'!U517</f>
        <v/>
      </c>
      <c r="AF517" s="22"/>
      <c r="AG517" s="35" t="str">
        <f t="array" ref="AG517">IF('Ingest Template'!A517="Standard",(CONCATENATE(IF(ISBLANK('Ingest Template'!N517),"", 'Ingest Template'!N517&amp;"|DAR"),CHAR(10), IF(ISBLANK('Ingest Template'!O517),"", 'Ingest Template'!O517&amp;"|DAR"),CHAR(10), IF(ISBLANK('Ingest Template'!P517),"", 'Ingest Template'!P517&amp;"|DAR"))),(CONCATENATE(IF(ISBLANK('Ingest Template'!N517),"", 'Ingest Template'!N517&amp;"|TV Ops"),CHAR(10), IF(ISBLANK('Ingest Template'!O517),"", 'Ingest Template'!O517&amp;"|TV Ops"),CHAR(10), IF(ISBLANK('Ingest Template'!P517),"", 'Ingest Template'!P517&amp;"|TV Ops"))))</f>
        <v>
</v>
      </c>
      <c r="AH517" s="35"/>
      <c r="AI517" s="35"/>
      <c r="AJ517" s="117" t="str">
        <f>if('Ingest Template'!A517="Standard",(IF(OR('Ingest Template'!F517 = "Program Type - Special", 'Ingest Template'!F517 = "Program Type - Live Event"),'Ingest Template'!M517&amp; "|DAR|DAR|"&amp;TEXT('Ingest Template'!C517-3, "yyyy-mm-dd")&amp;"|"&amp;TEXT('Ingest Template'!C517+3, "yyyy-mm-dd"),'Ingest Template'!M517&amp; "|DAR|DAR|2021-01-01")),(IF(OR('Ingest Template'!F517 = "Program Type - Special", 'Ingest Template'!F517 = "Program Type - Live Event"),'Ingest Template'!M517&amp; "|Operations - Core Title|Operations - Core Title|"&amp;TEXT('Ingest Template'!C517-3, "yyyy-mm-dd")&amp;"|"&amp;TEXT('Ingest Template'!C517+3, "yyyy-mm-dd"),'Ingest Template'!M517&amp; "|Operations - Core Title|Operations - Core Title")))</f>
        <v>|Operations - Core Title|Operations - Core Title</v>
      </c>
      <c r="AK517" s="35"/>
      <c r="AL517" s="117" t="str">
        <f>if('Ingest Template'!A517="Standard",(IF(OR('Ingest Template'!F517 = "Program Type - Special", 'Ingest Template'!F517 = "Program Type - Live Event"),'Ingest Template'!Q517&amp;"|"&amp;TEXT('Ingest Template'!C517-3, "yyyy-mm-dd")&amp;"|"&amp;TEXT('Ingest Template'!C517+3, "yyyy-mm-dd"),'Ingest Template'!Q517&amp; "|2021-01-01")),(IF(OR('Ingest Template'!F517 = "Program Type - Special", 'Ingest Template'!F517 = "Program Type - Live Event"),'Ingest Template'!Q517&amp; "|"&amp;TEXT('Ingest Template'!C517-3, "yyyy-mm-dd")&amp;"|"&amp;TEXT('Ingest Template'!C517+3, "yyyy-mm-dd"),'Ingest Template'!Q517)))</f>
        <v/>
      </c>
      <c r="AM517" s="35" t="str">
        <f>'Ingest Template'!AC517</f>
        <v/>
      </c>
    </row>
    <row r="518">
      <c r="A518" s="15"/>
      <c r="B518" s="22" t="str">
        <f>'Ingest Template'!C518&amp;IF('Ingest Template'!A518 = "Standard", " - DAR","")</f>
        <v/>
      </c>
      <c r="C518" s="22" t="s">
        <v>83</v>
      </c>
      <c r="D518" s="22" t="str">
        <f t="array" ref="D518">CONCATENATE(INDEX(DropdownLists!$H$2:$H$11,MATCH(1,COUNTIF('Ingest Template'!E518,"*"&amp;DropdownLists!$I$2:$I$11&amp;"*"),0)),CHAR(10),'Ingest Template'!F518,CHAR(10),'Ingest Template'!G518,CHAR(10),VLOOKUP('Ingest Template'!D518,DropdownLists!C:D,2,FALSE))</f>
        <v>#N/A</v>
      </c>
      <c r="E518" s="22" t="str">
        <f>CONCATENATE('Ingest Template'!H518,CHAR(10),'Ingest Template'!I518,CHAR(10),'Ingest Template'!J518,CHAR(10))</f>
        <v>
</v>
      </c>
      <c r="F518" s="35" t="str">
        <f t="array" ref="F518">INDEX(DropdownLists!$O$2:$O$36,MATCH(1,COUNTIF(E518,"*"&amp;DropdownLists!$N$2:$N$36&amp;"*"),0))</f>
        <v/>
      </c>
      <c r="G518" s="35"/>
      <c r="H518" s="22" t="str">
        <f t="array" ref="H518">INDEX(DropdownLists!$E$2:$E$276,MATCH('Ingest Template'!D518,DropdownLists!$C$2:$C$276,0))</f>
        <v>#N/A</v>
      </c>
      <c r="I518" s="22"/>
      <c r="J518" s="22" t="str">
        <f t="array" ref="J518">iF('Ingest Template'!A518="Standard","Pristine Brand",INDEX(DropdownLists!$B$2:$B$246,MATCH('Ingest Template'!D518,DropdownLists!$C$2:$C$246,0)))</f>
        <v>#N/A</v>
      </c>
      <c r="K518" s="22" t="str">
        <f>iF('Ingest Template'!A518="Standard",'Ingest Template'!K518&amp;CHAR(10)&amp;'Ingest Template'!L518,"Competitive View")</f>
        <v>Competitive View</v>
      </c>
      <c r="L518" s="22" t="s">
        <v>95</v>
      </c>
      <c r="M518" s="45" t="str">
        <f>'Ingest Template'!B518</f>
        <v/>
      </c>
      <c r="N518" s="35"/>
      <c r="O518" s="35"/>
      <c r="P518" s="35"/>
      <c r="Q518" s="35"/>
      <c r="R518" s="35" t="str">
        <f>'Ingest Template'!D518</f>
        <v/>
      </c>
      <c r="S518" s="22" t="s">
        <v>101</v>
      </c>
      <c r="T518" s="35" t="str">
        <f>'Ingest Template'!V518</f>
        <v/>
      </c>
      <c r="U518" s="35" t="str">
        <f>'Ingest Template'!W518</f>
        <v/>
      </c>
      <c r="V518" s="35" t="str">
        <f>LOWER(SUBSTITUTE(SUBSTITUTE(SUBSTITUTE(SUBSTITUTE(SUBSTITUTE('Ingest Template'!X518,"https:",""),"www.",""),"/",""),"?hl=en",""),"instagram.com",""))</f>
        <v/>
      </c>
      <c r="W518" s="74" t="str">
        <f t="array" ref="W518">IF(
'Ingest Template'!Y518="",
SUBSTITUTE(
INDEX(DropdownLists!$F$2:$F$277,MATCH('Ingest Template'!D518,DropdownLists!$C$2:$C$277,0)),
CHAR(10),
"|"&amp;'Ingest Template'!C518&amp;CHAR(10)
)&amp;"|"&amp;'Ingest Template'!C518,
SUBSTITUTE(
INDEX(DropdownLists!$F$2:$F$277,MATCH('Ingest Template'!D518,DropdownLists!$C$2:$C$277,0)),
CHAR(10),
"|"&amp;'Ingest Template'!C518&amp;CHAR(10)
)&amp;"|"&amp;'Ingest Template'!C518&amp;CHAR(10)&amp;'Ingest Template'!Y518
)</f>
        <v>#N/A</v>
      </c>
      <c r="X518" s="74" t="str">
        <f>'Ingest Template'!Z518</f>
        <v/>
      </c>
      <c r="Y518" s="35" t="str">
        <f>SUBSTITUTE(SUBSTITUTE(SUBSTITUTE('Ingest Template'!AA518,"http:",""),"https:",""),"/","")</f>
        <v/>
      </c>
      <c r="Z518" s="35" t="str">
        <f t="array" ref="Z518">IF('Ingest Template'!A518="Standard",(IF(ISBLANK('Ingest Template'!AB518),"", 'Ingest Template'!AB518&amp;"|DAR")),(IF(ISBLANK('Ingest Template'!AB518),"", 'Ingest Template'!AB518&amp;"|TV Ops")))</f>
        <v/>
      </c>
      <c r="AA518" s="35"/>
      <c r="AB518" s="35" t="str">
        <f>'Ingest Template'!R518</f>
        <v/>
      </c>
      <c r="AC518" s="35" t="str">
        <f>'Ingest Template'!T518</f>
        <v/>
      </c>
      <c r="AD518" s="35" t="str">
        <f>'Ingest Template'!S518</f>
        <v/>
      </c>
      <c r="AE518" s="35" t="str">
        <f>'Ingest Template'!U518</f>
        <v/>
      </c>
      <c r="AF518" s="22"/>
      <c r="AG518" s="35" t="str">
        <f t="array" ref="AG518">IF('Ingest Template'!A518="Standard",(CONCATENATE(IF(ISBLANK('Ingest Template'!N518),"", 'Ingest Template'!N518&amp;"|DAR"),CHAR(10), IF(ISBLANK('Ingest Template'!O518),"", 'Ingest Template'!O518&amp;"|DAR"),CHAR(10), IF(ISBLANK('Ingest Template'!P518),"", 'Ingest Template'!P518&amp;"|DAR"))),(CONCATENATE(IF(ISBLANK('Ingest Template'!N518),"", 'Ingest Template'!N518&amp;"|TV Ops"),CHAR(10), IF(ISBLANK('Ingest Template'!O518),"", 'Ingest Template'!O518&amp;"|TV Ops"),CHAR(10), IF(ISBLANK('Ingest Template'!P518),"", 'Ingest Template'!P518&amp;"|TV Ops"))))</f>
        <v>
</v>
      </c>
      <c r="AH518" s="35"/>
      <c r="AI518" s="35"/>
      <c r="AJ518" s="117" t="str">
        <f>if('Ingest Template'!A518="Standard",(IF(OR('Ingest Template'!F518 = "Program Type - Special", 'Ingest Template'!F518 = "Program Type - Live Event"),'Ingest Template'!M518&amp; "|DAR|DAR|"&amp;TEXT('Ingest Template'!C518-3, "yyyy-mm-dd")&amp;"|"&amp;TEXT('Ingest Template'!C518+3, "yyyy-mm-dd"),'Ingest Template'!M518&amp; "|DAR|DAR|2021-01-01")),(IF(OR('Ingest Template'!F518 = "Program Type - Special", 'Ingest Template'!F518 = "Program Type - Live Event"),'Ingest Template'!M518&amp; "|Operations - Core Title|Operations - Core Title|"&amp;TEXT('Ingest Template'!C518-3, "yyyy-mm-dd")&amp;"|"&amp;TEXT('Ingest Template'!C518+3, "yyyy-mm-dd"),'Ingest Template'!M518&amp; "|Operations - Core Title|Operations - Core Title")))</f>
        <v>|Operations - Core Title|Operations - Core Title</v>
      </c>
      <c r="AK518" s="35"/>
      <c r="AL518" s="117" t="str">
        <f>if('Ingest Template'!A518="Standard",(IF(OR('Ingest Template'!F518 = "Program Type - Special", 'Ingest Template'!F518 = "Program Type - Live Event"),'Ingest Template'!Q518&amp;"|"&amp;TEXT('Ingest Template'!C518-3, "yyyy-mm-dd")&amp;"|"&amp;TEXT('Ingest Template'!C518+3, "yyyy-mm-dd"),'Ingest Template'!Q518&amp; "|2021-01-01")),(IF(OR('Ingest Template'!F518 = "Program Type - Special", 'Ingest Template'!F518 = "Program Type - Live Event"),'Ingest Template'!Q518&amp; "|"&amp;TEXT('Ingest Template'!C518-3, "yyyy-mm-dd")&amp;"|"&amp;TEXT('Ingest Template'!C518+3, "yyyy-mm-dd"),'Ingest Template'!Q518)))</f>
        <v/>
      </c>
      <c r="AM518" s="35" t="str">
        <f>'Ingest Template'!AC518</f>
        <v/>
      </c>
    </row>
    <row r="519">
      <c r="A519" s="15"/>
      <c r="B519" s="22" t="str">
        <f>'Ingest Template'!C519&amp;IF('Ingest Template'!A519 = "Standard", " - DAR","")</f>
        <v/>
      </c>
      <c r="C519" s="22" t="s">
        <v>83</v>
      </c>
      <c r="D519" s="22" t="str">
        <f t="array" ref="D519">CONCATENATE(INDEX(DropdownLists!$H$2:$H$11,MATCH(1,COUNTIF('Ingest Template'!E519,"*"&amp;DropdownLists!$I$2:$I$11&amp;"*"),0)),CHAR(10),'Ingest Template'!F519,CHAR(10),'Ingest Template'!G519,CHAR(10),VLOOKUP('Ingest Template'!D519,DropdownLists!C:D,2,FALSE))</f>
        <v>#N/A</v>
      </c>
      <c r="E519" s="22" t="str">
        <f>CONCATENATE('Ingest Template'!H519,CHAR(10),'Ingest Template'!I519,CHAR(10),'Ingest Template'!J519,CHAR(10))</f>
        <v>
</v>
      </c>
      <c r="F519" s="35" t="str">
        <f t="array" ref="F519">INDEX(DropdownLists!$O$2:$O$36,MATCH(1,COUNTIF(E519,"*"&amp;DropdownLists!$N$2:$N$36&amp;"*"),0))</f>
        <v/>
      </c>
      <c r="G519" s="35"/>
      <c r="H519" s="22" t="str">
        <f t="array" ref="H519">INDEX(DropdownLists!$E$2:$E$276,MATCH('Ingest Template'!D519,DropdownLists!$C$2:$C$276,0))</f>
        <v>#N/A</v>
      </c>
      <c r="I519" s="22"/>
      <c r="J519" s="22" t="str">
        <f t="array" ref="J519">iF('Ingest Template'!A519="Standard","Pristine Brand",INDEX(DropdownLists!$B$2:$B$246,MATCH('Ingest Template'!D519,DropdownLists!$C$2:$C$246,0)))</f>
        <v>#N/A</v>
      </c>
      <c r="K519" s="22" t="str">
        <f>iF('Ingest Template'!A519="Standard",'Ingest Template'!K519&amp;CHAR(10)&amp;'Ingest Template'!L519,"Competitive View")</f>
        <v>Competitive View</v>
      </c>
      <c r="L519" s="22" t="s">
        <v>95</v>
      </c>
      <c r="M519" s="45" t="str">
        <f>'Ingest Template'!B519</f>
        <v/>
      </c>
      <c r="N519" s="35"/>
      <c r="O519" s="35"/>
      <c r="P519" s="35"/>
      <c r="Q519" s="35"/>
      <c r="R519" s="35" t="str">
        <f>'Ingest Template'!D519</f>
        <v/>
      </c>
      <c r="S519" s="22" t="s">
        <v>101</v>
      </c>
      <c r="T519" s="35" t="str">
        <f>'Ingest Template'!V519</f>
        <v/>
      </c>
      <c r="U519" s="35" t="str">
        <f>'Ingest Template'!W519</f>
        <v/>
      </c>
      <c r="V519" s="35" t="str">
        <f>LOWER(SUBSTITUTE(SUBSTITUTE(SUBSTITUTE(SUBSTITUTE(SUBSTITUTE('Ingest Template'!X519,"https:",""),"www.",""),"/",""),"?hl=en",""),"instagram.com",""))</f>
        <v/>
      </c>
      <c r="W519" s="74" t="str">
        <f t="array" ref="W519">IF(
'Ingest Template'!Y519="",
SUBSTITUTE(
INDEX(DropdownLists!$F$2:$F$277,MATCH('Ingest Template'!D519,DropdownLists!$C$2:$C$277,0)),
CHAR(10),
"|"&amp;'Ingest Template'!C519&amp;CHAR(10)
)&amp;"|"&amp;'Ingest Template'!C519,
SUBSTITUTE(
INDEX(DropdownLists!$F$2:$F$277,MATCH('Ingest Template'!D519,DropdownLists!$C$2:$C$277,0)),
CHAR(10),
"|"&amp;'Ingest Template'!C519&amp;CHAR(10)
)&amp;"|"&amp;'Ingest Template'!C519&amp;CHAR(10)&amp;'Ingest Template'!Y519
)</f>
        <v>#N/A</v>
      </c>
      <c r="X519" s="74" t="str">
        <f>'Ingest Template'!Z519</f>
        <v/>
      </c>
      <c r="Y519" s="35" t="str">
        <f>SUBSTITUTE(SUBSTITUTE(SUBSTITUTE('Ingest Template'!AA519,"http:",""),"https:",""),"/","")</f>
        <v/>
      </c>
      <c r="Z519" s="35" t="str">
        <f t="array" ref="Z519">IF('Ingest Template'!A519="Standard",(IF(ISBLANK('Ingest Template'!AB519),"", 'Ingest Template'!AB519&amp;"|DAR")),(IF(ISBLANK('Ingest Template'!AB519),"", 'Ingest Template'!AB519&amp;"|TV Ops")))</f>
        <v/>
      </c>
      <c r="AA519" s="35"/>
      <c r="AB519" s="35" t="str">
        <f>'Ingest Template'!R519</f>
        <v/>
      </c>
      <c r="AC519" s="35" t="str">
        <f>'Ingest Template'!T519</f>
        <v/>
      </c>
      <c r="AD519" s="35" t="str">
        <f>'Ingest Template'!S519</f>
        <v/>
      </c>
      <c r="AE519" s="35" t="str">
        <f>'Ingest Template'!U519</f>
        <v/>
      </c>
      <c r="AF519" s="22"/>
      <c r="AG519" s="35" t="str">
        <f t="array" ref="AG519">IF('Ingest Template'!A519="Standard",(CONCATENATE(IF(ISBLANK('Ingest Template'!N519),"", 'Ingest Template'!N519&amp;"|DAR"),CHAR(10), IF(ISBLANK('Ingest Template'!O519),"", 'Ingest Template'!O519&amp;"|DAR"),CHAR(10), IF(ISBLANK('Ingest Template'!P519),"", 'Ingest Template'!P519&amp;"|DAR"))),(CONCATENATE(IF(ISBLANK('Ingest Template'!N519),"", 'Ingest Template'!N519&amp;"|TV Ops"),CHAR(10), IF(ISBLANK('Ingest Template'!O519),"", 'Ingest Template'!O519&amp;"|TV Ops"),CHAR(10), IF(ISBLANK('Ingest Template'!P519),"", 'Ingest Template'!P519&amp;"|TV Ops"))))</f>
        <v>
</v>
      </c>
      <c r="AH519" s="35"/>
      <c r="AI519" s="35"/>
      <c r="AJ519" s="117" t="str">
        <f>if('Ingest Template'!A519="Standard",(IF(OR('Ingest Template'!F519 = "Program Type - Special", 'Ingest Template'!F519 = "Program Type - Live Event"),'Ingest Template'!M519&amp; "|DAR|DAR|"&amp;TEXT('Ingest Template'!C519-3, "yyyy-mm-dd")&amp;"|"&amp;TEXT('Ingest Template'!C519+3, "yyyy-mm-dd"),'Ingest Template'!M519&amp; "|DAR|DAR|2021-01-01")),(IF(OR('Ingest Template'!F519 = "Program Type - Special", 'Ingest Template'!F519 = "Program Type - Live Event"),'Ingest Template'!M519&amp; "|Operations - Core Title|Operations - Core Title|"&amp;TEXT('Ingest Template'!C519-3, "yyyy-mm-dd")&amp;"|"&amp;TEXT('Ingest Template'!C519+3, "yyyy-mm-dd"),'Ingest Template'!M519&amp; "|Operations - Core Title|Operations - Core Title")))</f>
        <v>|Operations - Core Title|Operations - Core Title</v>
      </c>
      <c r="AK519" s="35"/>
      <c r="AL519" s="117" t="str">
        <f>if('Ingest Template'!A519="Standard",(IF(OR('Ingest Template'!F519 = "Program Type - Special", 'Ingest Template'!F519 = "Program Type - Live Event"),'Ingest Template'!Q519&amp;"|"&amp;TEXT('Ingest Template'!C519-3, "yyyy-mm-dd")&amp;"|"&amp;TEXT('Ingest Template'!C519+3, "yyyy-mm-dd"),'Ingest Template'!Q519&amp; "|2021-01-01")),(IF(OR('Ingest Template'!F519 = "Program Type - Special", 'Ingest Template'!F519 = "Program Type - Live Event"),'Ingest Template'!Q519&amp; "|"&amp;TEXT('Ingest Template'!C519-3, "yyyy-mm-dd")&amp;"|"&amp;TEXT('Ingest Template'!C519+3, "yyyy-mm-dd"),'Ingest Template'!Q519)))</f>
        <v/>
      </c>
      <c r="AM519" s="35" t="str">
        <f>'Ingest Template'!AC519</f>
        <v/>
      </c>
    </row>
    <row r="520">
      <c r="A520" s="15"/>
      <c r="B520" s="22" t="str">
        <f>'Ingest Template'!C520&amp;IF('Ingest Template'!A520 = "Standard", " - DAR","")</f>
        <v/>
      </c>
      <c r="C520" s="22" t="s">
        <v>83</v>
      </c>
      <c r="D520" s="22" t="str">
        <f t="array" ref="D520">CONCATENATE(INDEX(DropdownLists!$H$2:$H$11,MATCH(1,COUNTIF('Ingest Template'!E520,"*"&amp;DropdownLists!$I$2:$I$11&amp;"*"),0)),CHAR(10),'Ingest Template'!F520,CHAR(10),'Ingest Template'!G520,CHAR(10),VLOOKUP('Ingest Template'!D520,DropdownLists!C:D,2,FALSE))</f>
        <v>#N/A</v>
      </c>
      <c r="E520" s="22" t="str">
        <f>CONCATENATE('Ingest Template'!H520,CHAR(10),'Ingest Template'!I520,CHAR(10),'Ingest Template'!J520,CHAR(10))</f>
        <v>
</v>
      </c>
      <c r="F520" s="35" t="str">
        <f t="array" ref="F520">INDEX(DropdownLists!$O$2:$O$36,MATCH(1,COUNTIF(E520,"*"&amp;DropdownLists!$N$2:$N$36&amp;"*"),0))</f>
        <v/>
      </c>
      <c r="G520" s="35"/>
      <c r="H520" s="22" t="str">
        <f t="array" ref="H520">INDEX(DropdownLists!$E$2:$E$276,MATCH('Ingest Template'!D520,DropdownLists!$C$2:$C$276,0))</f>
        <v>#N/A</v>
      </c>
      <c r="I520" s="22"/>
      <c r="J520" s="22" t="str">
        <f t="array" ref="J520">iF('Ingest Template'!A520="Standard","Pristine Brand",INDEX(DropdownLists!$B$2:$B$246,MATCH('Ingest Template'!D520,DropdownLists!$C$2:$C$246,0)))</f>
        <v>#N/A</v>
      </c>
      <c r="K520" s="22" t="str">
        <f>iF('Ingest Template'!A520="Standard",'Ingest Template'!K520&amp;CHAR(10)&amp;'Ingest Template'!L520,"Competitive View")</f>
        <v>Competitive View</v>
      </c>
      <c r="L520" s="22" t="s">
        <v>95</v>
      </c>
      <c r="M520" s="45" t="str">
        <f>'Ingest Template'!B520</f>
        <v/>
      </c>
      <c r="N520" s="35"/>
      <c r="O520" s="35"/>
      <c r="P520" s="35"/>
      <c r="Q520" s="35"/>
      <c r="R520" s="35" t="str">
        <f>'Ingest Template'!D520</f>
        <v/>
      </c>
      <c r="S520" s="22" t="s">
        <v>101</v>
      </c>
      <c r="T520" s="35" t="str">
        <f>'Ingest Template'!V520</f>
        <v/>
      </c>
      <c r="U520" s="35" t="str">
        <f>'Ingest Template'!W520</f>
        <v/>
      </c>
      <c r="V520" s="35" t="str">
        <f>LOWER(SUBSTITUTE(SUBSTITUTE(SUBSTITUTE(SUBSTITUTE(SUBSTITUTE('Ingest Template'!X520,"https:",""),"www.",""),"/",""),"?hl=en",""),"instagram.com",""))</f>
        <v/>
      </c>
      <c r="W520" s="74" t="str">
        <f t="array" ref="W520">IF(
'Ingest Template'!Y520="",
SUBSTITUTE(
INDEX(DropdownLists!$F$2:$F$277,MATCH('Ingest Template'!D520,DropdownLists!$C$2:$C$277,0)),
CHAR(10),
"|"&amp;'Ingest Template'!C520&amp;CHAR(10)
)&amp;"|"&amp;'Ingest Template'!C520,
SUBSTITUTE(
INDEX(DropdownLists!$F$2:$F$277,MATCH('Ingest Template'!D520,DropdownLists!$C$2:$C$277,0)),
CHAR(10),
"|"&amp;'Ingest Template'!C520&amp;CHAR(10)
)&amp;"|"&amp;'Ingest Template'!C520&amp;CHAR(10)&amp;'Ingest Template'!Y520
)</f>
        <v>#N/A</v>
      </c>
      <c r="X520" s="74" t="str">
        <f>'Ingest Template'!Z520</f>
        <v/>
      </c>
      <c r="Y520" s="35" t="str">
        <f>SUBSTITUTE(SUBSTITUTE(SUBSTITUTE('Ingest Template'!AA520,"http:",""),"https:",""),"/","")</f>
        <v/>
      </c>
      <c r="Z520" s="35" t="str">
        <f t="array" ref="Z520">IF('Ingest Template'!A520="Standard",(IF(ISBLANK('Ingest Template'!AB520),"", 'Ingest Template'!AB520&amp;"|DAR")),(IF(ISBLANK('Ingest Template'!AB520),"", 'Ingest Template'!AB520&amp;"|TV Ops")))</f>
        <v/>
      </c>
      <c r="AA520" s="35"/>
      <c r="AB520" s="35" t="str">
        <f>'Ingest Template'!R520</f>
        <v/>
      </c>
      <c r="AC520" s="35" t="str">
        <f>'Ingest Template'!T520</f>
        <v/>
      </c>
      <c r="AD520" s="35" t="str">
        <f>'Ingest Template'!S520</f>
        <v/>
      </c>
      <c r="AE520" s="35" t="str">
        <f>'Ingest Template'!U520</f>
        <v/>
      </c>
      <c r="AF520" s="22"/>
      <c r="AG520" s="35" t="str">
        <f t="array" ref="AG520">IF('Ingest Template'!A520="Standard",(CONCATENATE(IF(ISBLANK('Ingest Template'!N520),"", 'Ingest Template'!N520&amp;"|DAR"),CHAR(10), IF(ISBLANK('Ingest Template'!O520),"", 'Ingest Template'!O520&amp;"|DAR"),CHAR(10), IF(ISBLANK('Ingest Template'!P520),"", 'Ingest Template'!P520&amp;"|DAR"))),(CONCATENATE(IF(ISBLANK('Ingest Template'!N520),"", 'Ingest Template'!N520&amp;"|TV Ops"),CHAR(10), IF(ISBLANK('Ingest Template'!O520),"", 'Ingest Template'!O520&amp;"|TV Ops"),CHAR(10), IF(ISBLANK('Ingest Template'!P520),"", 'Ingest Template'!P520&amp;"|TV Ops"))))</f>
        <v>
</v>
      </c>
      <c r="AH520" s="35"/>
      <c r="AI520" s="35"/>
      <c r="AJ520" s="117" t="str">
        <f>if('Ingest Template'!A520="Standard",(IF(OR('Ingest Template'!F520 = "Program Type - Special", 'Ingest Template'!F520 = "Program Type - Live Event"),'Ingest Template'!M520&amp; "|DAR|DAR|"&amp;TEXT('Ingest Template'!C520-3, "yyyy-mm-dd")&amp;"|"&amp;TEXT('Ingest Template'!C520+3, "yyyy-mm-dd"),'Ingest Template'!M520&amp; "|DAR|DAR|2021-01-01")),(IF(OR('Ingest Template'!F520 = "Program Type - Special", 'Ingest Template'!F520 = "Program Type - Live Event"),'Ingest Template'!M520&amp; "|Operations - Core Title|Operations - Core Title|"&amp;TEXT('Ingest Template'!C520-3, "yyyy-mm-dd")&amp;"|"&amp;TEXT('Ingest Template'!C520+3, "yyyy-mm-dd"),'Ingest Template'!M520&amp; "|Operations - Core Title|Operations - Core Title")))</f>
        <v>|Operations - Core Title|Operations - Core Title</v>
      </c>
      <c r="AK520" s="35"/>
      <c r="AL520" s="117" t="str">
        <f>if('Ingest Template'!A520="Standard",(IF(OR('Ingest Template'!F520 = "Program Type - Special", 'Ingest Template'!F520 = "Program Type - Live Event"),'Ingest Template'!Q520&amp;"|"&amp;TEXT('Ingest Template'!C520-3, "yyyy-mm-dd")&amp;"|"&amp;TEXT('Ingest Template'!C520+3, "yyyy-mm-dd"),'Ingest Template'!Q520&amp; "|2021-01-01")),(IF(OR('Ingest Template'!F520 = "Program Type - Special", 'Ingest Template'!F520 = "Program Type - Live Event"),'Ingest Template'!Q520&amp; "|"&amp;TEXT('Ingest Template'!C520-3, "yyyy-mm-dd")&amp;"|"&amp;TEXT('Ingest Template'!C520+3, "yyyy-mm-dd"),'Ingest Template'!Q520)))</f>
        <v/>
      </c>
      <c r="AM520" s="35" t="str">
        <f>'Ingest Template'!AC520</f>
        <v/>
      </c>
    </row>
    <row r="521">
      <c r="A521" s="15"/>
      <c r="B521" s="22" t="str">
        <f>'Ingest Template'!C521&amp;IF('Ingest Template'!A521 = "Standard", " - DAR","")</f>
        <v/>
      </c>
      <c r="C521" s="22" t="s">
        <v>83</v>
      </c>
      <c r="D521" s="22" t="str">
        <f t="array" ref="D521">CONCATENATE(INDEX(DropdownLists!$H$2:$H$11,MATCH(1,COUNTIF('Ingest Template'!E521,"*"&amp;DropdownLists!$I$2:$I$11&amp;"*"),0)),CHAR(10),'Ingest Template'!F521,CHAR(10),'Ingest Template'!G521,CHAR(10),VLOOKUP('Ingest Template'!D521,DropdownLists!C:D,2,FALSE))</f>
        <v>#N/A</v>
      </c>
      <c r="E521" s="22" t="str">
        <f>CONCATENATE('Ingest Template'!H521,CHAR(10),'Ingest Template'!I521,CHAR(10),'Ingest Template'!J521,CHAR(10))</f>
        <v>
</v>
      </c>
      <c r="F521" s="35" t="str">
        <f t="array" ref="F521">INDEX(DropdownLists!$O$2:$O$36,MATCH(1,COUNTIF(E521,"*"&amp;DropdownLists!$N$2:$N$36&amp;"*"),0))</f>
        <v/>
      </c>
      <c r="G521" s="35"/>
      <c r="H521" s="22" t="str">
        <f t="array" ref="H521">INDEX(DropdownLists!$E$2:$E$276,MATCH('Ingest Template'!D521,DropdownLists!$C$2:$C$276,0))</f>
        <v>#N/A</v>
      </c>
      <c r="I521" s="22"/>
      <c r="J521" s="22" t="str">
        <f t="array" ref="J521">iF('Ingest Template'!A521="Standard","Pristine Brand",INDEX(DropdownLists!$B$2:$B$246,MATCH('Ingest Template'!D521,DropdownLists!$C$2:$C$246,0)))</f>
        <v>#N/A</v>
      </c>
      <c r="K521" s="22" t="str">
        <f>iF('Ingest Template'!A521="Standard",'Ingest Template'!K521&amp;CHAR(10)&amp;'Ingest Template'!L521,"Competitive View")</f>
        <v>Competitive View</v>
      </c>
      <c r="L521" s="22" t="s">
        <v>95</v>
      </c>
      <c r="M521" s="45" t="str">
        <f>'Ingest Template'!B521</f>
        <v/>
      </c>
      <c r="N521" s="35"/>
      <c r="O521" s="35"/>
      <c r="P521" s="35"/>
      <c r="Q521" s="35"/>
      <c r="R521" s="35" t="str">
        <f>'Ingest Template'!D521</f>
        <v/>
      </c>
      <c r="S521" s="22" t="s">
        <v>101</v>
      </c>
      <c r="T521" s="35" t="str">
        <f>'Ingest Template'!V521</f>
        <v/>
      </c>
      <c r="U521" s="35" t="str">
        <f>'Ingest Template'!W521</f>
        <v/>
      </c>
      <c r="V521" s="35" t="str">
        <f>LOWER(SUBSTITUTE(SUBSTITUTE(SUBSTITUTE(SUBSTITUTE(SUBSTITUTE('Ingest Template'!X521,"https:",""),"www.",""),"/",""),"?hl=en",""),"instagram.com",""))</f>
        <v/>
      </c>
      <c r="W521" s="74" t="str">
        <f t="array" ref="W521">IF(
'Ingest Template'!Y521="",
SUBSTITUTE(
INDEX(DropdownLists!$F$2:$F$277,MATCH('Ingest Template'!D521,DropdownLists!$C$2:$C$277,0)),
CHAR(10),
"|"&amp;'Ingest Template'!C521&amp;CHAR(10)
)&amp;"|"&amp;'Ingest Template'!C521,
SUBSTITUTE(
INDEX(DropdownLists!$F$2:$F$277,MATCH('Ingest Template'!D521,DropdownLists!$C$2:$C$277,0)),
CHAR(10),
"|"&amp;'Ingest Template'!C521&amp;CHAR(10)
)&amp;"|"&amp;'Ingest Template'!C521&amp;CHAR(10)&amp;'Ingest Template'!Y521
)</f>
        <v>#N/A</v>
      </c>
      <c r="X521" s="74" t="str">
        <f>'Ingest Template'!Z521</f>
        <v/>
      </c>
      <c r="Y521" s="35" t="str">
        <f>SUBSTITUTE(SUBSTITUTE(SUBSTITUTE('Ingest Template'!AA521,"http:",""),"https:",""),"/","")</f>
        <v/>
      </c>
      <c r="Z521" s="35" t="str">
        <f t="array" ref="Z521">IF('Ingest Template'!A521="Standard",(IF(ISBLANK('Ingest Template'!AB521),"", 'Ingest Template'!AB521&amp;"|DAR")),(IF(ISBLANK('Ingest Template'!AB521),"", 'Ingest Template'!AB521&amp;"|TV Ops")))</f>
        <v/>
      </c>
      <c r="AA521" s="35"/>
      <c r="AB521" s="35" t="str">
        <f>'Ingest Template'!R521</f>
        <v/>
      </c>
      <c r="AC521" s="35" t="str">
        <f>'Ingest Template'!T521</f>
        <v/>
      </c>
      <c r="AD521" s="35" t="str">
        <f>'Ingest Template'!S521</f>
        <v/>
      </c>
      <c r="AE521" s="35" t="str">
        <f>'Ingest Template'!U521</f>
        <v/>
      </c>
      <c r="AF521" s="22"/>
      <c r="AG521" s="35" t="str">
        <f t="array" ref="AG521">IF('Ingest Template'!A521="Standard",(CONCATENATE(IF(ISBLANK('Ingest Template'!N521),"", 'Ingest Template'!N521&amp;"|DAR"),CHAR(10), IF(ISBLANK('Ingest Template'!O521),"", 'Ingest Template'!O521&amp;"|DAR"),CHAR(10), IF(ISBLANK('Ingest Template'!P521),"", 'Ingest Template'!P521&amp;"|DAR"))),(CONCATENATE(IF(ISBLANK('Ingest Template'!N521),"", 'Ingest Template'!N521&amp;"|TV Ops"),CHAR(10), IF(ISBLANK('Ingest Template'!O521),"", 'Ingest Template'!O521&amp;"|TV Ops"),CHAR(10), IF(ISBLANK('Ingest Template'!P521),"", 'Ingest Template'!P521&amp;"|TV Ops"))))</f>
        <v>
</v>
      </c>
      <c r="AH521" s="35"/>
      <c r="AI521" s="35"/>
      <c r="AJ521" s="117" t="str">
        <f>if('Ingest Template'!A521="Standard",(IF(OR('Ingest Template'!F521 = "Program Type - Special", 'Ingest Template'!F521 = "Program Type - Live Event"),'Ingest Template'!M521&amp; "|DAR|DAR|"&amp;TEXT('Ingest Template'!C521-3, "yyyy-mm-dd")&amp;"|"&amp;TEXT('Ingest Template'!C521+3, "yyyy-mm-dd"),'Ingest Template'!M521&amp; "|DAR|DAR|2021-01-01")),(IF(OR('Ingest Template'!F521 = "Program Type - Special", 'Ingest Template'!F521 = "Program Type - Live Event"),'Ingest Template'!M521&amp; "|Operations - Core Title|Operations - Core Title|"&amp;TEXT('Ingest Template'!C521-3, "yyyy-mm-dd")&amp;"|"&amp;TEXT('Ingest Template'!C521+3, "yyyy-mm-dd"),'Ingest Template'!M521&amp; "|Operations - Core Title|Operations - Core Title")))</f>
        <v>|Operations - Core Title|Operations - Core Title</v>
      </c>
      <c r="AK521" s="35"/>
      <c r="AL521" s="117" t="str">
        <f>if('Ingest Template'!A521="Standard",(IF(OR('Ingest Template'!F521 = "Program Type - Special", 'Ingest Template'!F521 = "Program Type - Live Event"),'Ingest Template'!Q521&amp;"|"&amp;TEXT('Ingest Template'!C521-3, "yyyy-mm-dd")&amp;"|"&amp;TEXT('Ingest Template'!C521+3, "yyyy-mm-dd"),'Ingest Template'!Q521&amp; "|2021-01-01")),(IF(OR('Ingest Template'!F521 = "Program Type - Special", 'Ingest Template'!F521 = "Program Type - Live Event"),'Ingest Template'!Q521&amp; "|"&amp;TEXT('Ingest Template'!C521-3, "yyyy-mm-dd")&amp;"|"&amp;TEXT('Ingest Template'!C521+3, "yyyy-mm-dd"),'Ingest Template'!Q521)))</f>
        <v/>
      </c>
      <c r="AM521" s="35" t="str">
        <f>'Ingest Template'!AC521</f>
        <v/>
      </c>
    </row>
    <row r="522">
      <c r="A522" s="15"/>
      <c r="B522" s="22" t="str">
        <f>'Ingest Template'!C522&amp;IF('Ingest Template'!A522 = "Standard", " - DAR","")</f>
        <v/>
      </c>
      <c r="C522" s="22" t="s">
        <v>83</v>
      </c>
      <c r="D522" s="22" t="str">
        <f t="array" ref="D522">CONCATENATE(INDEX(DropdownLists!$H$2:$H$11,MATCH(1,COUNTIF('Ingest Template'!E522,"*"&amp;DropdownLists!$I$2:$I$11&amp;"*"),0)),CHAR(10),'Ingest Template'!F522,CHAR(10),'Ingest Template'!G522,CHAR(10),VLOOKUP('Ingest Template'!D522,DropdownLists!C:D,2,FALSE))</f>
        <v>#N/A</v>
      </c>
      <c r="E522" s="22" t="str">
        <f>CONCATENATE('Ingest Template'!H522,CHAR(10),'Ingest Template'!I522,CHAR(10),'Ingest Template'!J522,CHAR(10))</f>
        <v>
</v>
      </c>
      <c r="F522" s="35" t="str">
        <f t="array" ref="F522">INDEX(DropdownLists!$O$2:$O$36,MATCH(1,COUNTIF(E522,"*"&amp;DropdownLists!$N$2:$N$36&amp;"*"),0))</f>
        <v/>
      </c>
      <c r="G522" s="35"/>
      <c r="H522" s="22" t="str">
        <f t="array" ref="H522">INDEX(DropdownLists!$E$2:$E$276,MATCH('Ingest Template'!D522,DropdownLists!$C$2:$C$276,0))</f>
        <v>#N/A</v>
      </c>
      <c r="I522" s="22"/>
      <c r="J522" s="22" t="str">
        <f t="array" ref="J522">iF('Ingest Template'!A522="Standard","Pristine Brand",INDEX(DropdownLists!$B$2:$B$246,MATCH('Ingest Template'!D522,DropdownLists!$C$2:$C$246,0)))</f>
        <v>#N/A</v>
      </c>
      <c r="K522" s="22" t="str">
        <f>iF('Ingest Template'!A522="Standard",'Ingest Template'!K522&amp;CHAR(10)&amp;'Ingest Template'!L522,"Competitive View")</f>
        <v>Competitive View</v>
      </c>
      <c r="L522" s="22" t="s">
        <v>95</v>
      </c>
      <c r="M522" s="45" t="str">
        <f>'Ingest Template'!B522</f>
        <v/>
      </c>
      <c r="N522" s="35"/>
      <c r="O522" s="35"/>
      <c r="P522" s="35"/>
      <c r="Q522" s="35"/>
      <c r="R522" s="35" t="str">
        <f>'Ingest Template'!D522</f>
        <v/>
      </c>
      <c r="S522" s="22" t="s">
        <v>101</v>
      </c>
      <c r="T522" s="35" t="str">
        <f>'Ingest Template'!V522</f>
        <v/>
      </c>
      <c r="U522" s="35" t="str">
        <f>'Ingest Template'!W522</f>
        <v/>
      </c>
      <c r="V522" s="35" t="str">
        <f>LOWER(SUBSTITUTE(SUBSTITUTE(SUBSTITUTE(SUBSTITUTE(SUBSTITUTE('Ingest Template'!X522,"https:",""),"www.",""),"/",""),"?hl=en",""),"instagram.com",""))</f>
        <v/>
      </c>
      <c r="W522" s="74" t="str">
        <f t="array" ref="W522">IF(
'Ingest Template'!Y522="",
SUBSTITUTE(
INDEX(DropdownLists!$F$2:$F$277,MATCH('Ingest Template'!D522,DropdownLists!$C$2:$C$277,0)),
CHAR(10),
"|"&amp;'Ingest Template'!C522&amp;CHAR(10)
)&amp;"|"&amp;'Ingest Template'!C522,
SUBSTITUTE(
INDEX(DropdownLists!$F$2:$F$277,MATCH('Ingest Template'!D522,DropdownLists!$C$2:$C$277,0)),
CHAR(10),
"|"&amp;'Ingest Template'!C522&amp;CHAR(10)
)&amp;"|"&amp;'Ingest Template'!C522&amp;CHAR(10)&amp;'Ingest Template'!Y522
)</f>
        <v>#N/A</v>
      </c>
      <c r="X522" s="74" t="str">
        <f>'Ingest Template'!Z522</f>
        <v/>
      </c>
      <c r="Y522" s="35" t="str">
        <f>SUBSTITUTE(SUBSTITUTE(SUBSTITUTE('Ingest Template'!AA522,"http:",""),"https:",""),"/","")</f>
        <v/>
      </c>
      <c r="Z522" s="35" t="str">
        <f t="array" ref="Z522">IF('Ingest Template'!A522="Standard",(IF(ISBLANK('Ingest Template'!AB522),"", 'Ingest Template'!AB522&amp;"|DAR")),(IF(ISBLANK('Ingest Template'!AB522),"", 'Ingest Template'!AB522&amp;"|TV Ops")))</f>
        <v/>
      </c>
      <c r="AA522" s="35"/>
      <c r="AB522" s="35" t="str">
        <f>'Ingest Template'!R522</f>
        <v/>
      </c>
      <c r="AC522" s="35" t="str">
        <f>'Ingest Template'!T522</f>
        <v/>
      </c>
      <c r="AD522" s="35" t="str">
        <f>'Ingest Template'!S522</f>
        <v/>
      </c>
      <c r="AE522" s="35" t="str">
        <f>'Ingest Template'!U522</f>
        <v/>
      </c>
      <c r="AF522" s="22"/>
      <c r="AG522" s="35" t="str">
        <f t="array" ref="AG522">IF('Ingest Template'!A522="Standard",(CONCATENATE(IF(ISBLANK('Ingest Template'!N522),"", 'Ingest Template'!N522&amp;"|DAR"),CHAR(10), IF(ISBLANK('Ingest Template'!O522),"", 'Ingest Template'!O522&amp;"|DAR"),CHAR(10), IF(ISBLANK('Ingest Template'!P522),"", 'Ingest Template'!P522&amp;"|DAR"))),(CONCATENATE(IF(ISBLANK('Ingest Template'!N522),"", 'Ingest Template'!N522&amp;"|TV Ops"),CHAR(10), IF(ISBLANK('Ingest Template'!O522),"", 'Ingest Template'!O522&amp;"|TV Ops"),CHAR(10), IF(ISBLANK('Ingest Template'!P522),"", 'Ingest Template'!P522&amp;"|TV Ops"))))</f>
        <v>
</v>
      </c>
      <c r="AH522" s="35"/>
      <c r="AI522" s="35"/>
      <c r="AJ522" s="117" t="str">
        <f>if('Ingest Template'!A522="Standard",(IF(OR('Ingest Template'!F522 = "Program Type - Special", 'Ingest Template'!F522 = "Program Type - Live Event"),'Ingest Template'!M522&amp; "|DAR|DAR|"&amp;TEXT('Ingest Template'!C522-3, "yyyy-mm-dd")&amp;"|"&amp;TEXT('Ingest Template'!C522+3, "yyyy-mm-dd"),'Ingest Template'!M522&amp; "|DAR|DAR|2021-01-01")),(IF(OR('Ingest Template'!F522 = "Program Type - Special", 'Ingest Template'!F522 = "Program Type - Live Event"),'Ingest Template'!M522&amp; "|Operations - Core Title|Operations - Core Title|"&amp;TEXT('Ingest Template'!C522-3, "yyyy-mm-dd")&amp;"|"&amp;TEXT('Ingest Template'!C522+3, "yyyy-mm-dd"),'Ingest Template'!M522&amp; "|Operations - Core Title|Operations - Core Title")))</f>
        <v>|Operations - Core Title|Operations - Core Title</v>
      </c>
      <c r="AK522" s="35"/>
      <c r="AL522" s="117" t="str">
        <f>if('Ingest Template'!A522="Standard",(IF(OR('Ingest Template'!F522 = "Program Type - Special", 'Ingest Template'!F522 = "Program Type - Live Event"),'Ingest Template'!Q522&amp;"|"&amp;TEXT('Ingest Template'!C522-3, "yyyy-mm-dd")&amp;"|"&amp;TEXT('Ingest Template'!C522+3, "yyyy-mm-dd"),'Ingest Template'!Q522&amp; "|2021-01-01")),(IF(OR('Ingest Template'!F522 = "Program Type - Special", 'Ingest Template'!F522 = "Program Type - Live Event"),'Ingest Template'!Q522&amp; "|"&amp;TEXT('Ingest Template'!C522-3, "yyyy-mm-dd")&amp;"|"&amp;TEXT('Ingest Template'!C522+3, "yyyy-mm-dd"),'Ingest Template'!Q522)))</f>
        <v/>
      </c>
      <c r="AM522" s="35" t="str">
        <f>'Ingest Template'!AC522</f>
        <v/>
      </c>
    </row>
    <row r="523">
      <c r="A523" s="15"/>
      <c r="B523" s="22" t="str">
        <f>'Ingest Template'!C523&amp;IF('Ingest Template'!A523 = "Standard", " - DAR","")</f>
        <v/>
      </c>
      <c r="C523" s="22" t="s">
        <v>83</v>
      </c>
      <c r="D523" s="22" t="str">
        <f t="array" ref="D523">CONCATENATE(INDEX(DropdownLists!$H$2:$H$11,MATCH(1,COUNTIF('Ingest Template'!E523,"*"&amp;DropdownLists!$I$2:$I$11&amp;"*"),0)),CHAR(10),'Ingest Template'!F523,CHAR(10),'Ingest Template'!G523,CHAR(10),VLOOKUP('Ingest Template'!D523,DropdownLists!C:D,2,FALSE))</f>
        <v>#N/A</v>
      </c>
      <c r="E523" s="22" t="str">
        <f>CONCATENATE('Ingest Template'!H523,CHAR(10),'Ingest Template'!I523,CHAR(10),'Ingest Template'!J523,CHAR(10))</f>
        <v>
</v>
      </c>
      <c r="F523" s="35" t="str">
        <f t="array" ref="F523">INDEX(DropdownLists!$O$2:$O$36,MATCH(1,COUNTIF(E523,"*"&amp;DropdownLists!$N$2:$N$36&amp;"*"),0))</f>
        <v/>
      </c>
      <c r="G523" s="35"/>
      <c r="H523" s="22" t="str">
        <f t="array" ref="H523">INDEX(DropdownLists!$E$2:$E$276,MATCH('Ingest Template'!D523,DropdownLists!$C$2:$C$276,0))</f>
        <v>#N/A</v>
      </c>
      <c r="I523" s="22"/>
      <c r="J523" s="22" t="str">
        <f t="array" ref="J523">iF('Ingest Template'!A523="Standard","Pristine Brand",INDEX(DropdownLists!$B$2:$B$246,MATCH('Ingest Template'!D523,DropdownLists!$C$2:$C$246,0)))</f>
        <v>#N/A</v>
      </c>
      <c r="K523" s="22" t="str">
        <f>iF('Ingest Template'!A523="Standard",'Ingest Template'!K523&amp;CHAR(10)&amp;'Ingest Template'!L523,"Competitive View")</f>
        <v>Competitive View</v>
      </c>
      <c r="L523" s="22" t="s">
        <v>95</v>
      </c>
      <c r="M523" s="45" t="str">
        <f>'Ingest Template'!B523</f>
        <v/>
      </c>
      <c r="N523" s="35"/>
      <c r="O523" s="35"/>
      <c r="P523" s="35"/>
      <c r="Q523" s="35"/>
      <c r="R523" s="35" t="str">
        <f>'Ingest Template'!D523</f>
        <v/>
      </c>
      <c r="S523" s="22" t="s">
        <v>101</v>
      </c>
      <c r="T523" s="35" t="str">
        <f>'Ingest Template'!V523</f>
        <v/>
      </c>
      <c r="U523" s="35" t="str">
        <f>'Ingest Template'!W523</f>
        <v/>
      </c>
      <c r="V523" s="35" t="str">
        <f>LOWER(SUBSTITUTE(SUBSTITUTE(SUBSTITUTE(SUBSTITUTE(SUBSTITUTE('Ingest Template'!X523,"https:",""),"www.",""),"/",""),"?hl=en",""),"instagram.com",""))</f>
        <v/>
      </c>
      <c r="W523" s="74" t="str">
        <f t="array" ref="W523">IF(
'Ingest Template'!Y523="",
SUBSTITUTE(
INDEX(DropdownLists!$F$2:$F$277,MATCH('Ingest Template'!D523,DropdownLists!$C$2:$C$277,0)),
CHAR(10),
"|"&amp;'Ingest Template'!C523&amp;CHAR(10)
)&amp;"|"&amp;'Ingest Template'!C523,
SUBSTITUTE(
INDEX(DropdownLists!$F$2:$F$277,MATCH('Ingest Template'!D523,DropdownLists!$C$2:$C$277,0)),
CHAR(10),
"|"&amp;'Ingest Template'!C523&amp;CHAR(10)
)&amp;"|"&amp;'Ingest Template'!C523&amp;CHAR(10)&amp;'Ingest Template'!Y523
)</f>
        <v>#N/A</v>
      </c>
      <c r="X523" s="74" t="str">
        <f>'Ingest Template'!Z523</f>
        <v/>
      </c>
      <c r="Y523" s="35" t="str">
        <f>SUBSTITUTE(SUBSTITUTE(SUBSTITUTE('Ingest Template'!AA523,"http:",""),"https:",""),"/","")</f>
        <v/>
      </c>
      <c r="Z523" s="35" t="str">
        <f t="array" ref="Z523">IF('Ingest Template'!A523="Standard",(IF(ISBLANK('Ingest Template'!AB523),"", 'Ingest Template'!AB523&amp;"|DAR")),(IF(ISBLANK('Ingest Template'!AB523),"", 'Ingest Template'!AB523&amp;"|TV Ops")))</f>
        <v/>
      </c>
      <c r="AA523" s="35"/>
      <c r="AB523" s="35" t="str">
        <f>'Ingest Template'!R523</f>
        <v/>
      </c>
      <c r="AC523" s="35" t="str">
        <f>'Ingest Template'!T523</f>
        <v/>
      </c>
      <c r="AD523" s="35" t="str">
        <f>'Ingest Template'!S523</f>
        <v/>
      </c>
      <c r="AE523" s="35" t="str">
        <f>'Ingest Template'!U523</f>
        <v/>
      </c>
      <c r="AF523" s="22"/>
      <c r="AG523" s="35" t="str">
        <f t="array" ref="AG523">IF('Ingest Template'!A523="Standard",(CONCATENATE(IF(ISBLANK('Ingest Template'!N523),"", 'Ingest Template'!N523&amp;"|DAR"),CHAR(10), IF(ISBLANK('Ingest Template'!O523),"", 'Ingest Template'!O523&amp;"|DAR"),CHAR(10), IF(ISBLANK('Ingest Template'!P523),"", 'Ingest Template'!P523&amp;"|DAR"))),(CONCATENATE(IF(ISBLANK('Ingest Template'!N523),"", 'Ingest Template'!N523&amp;"|TV Ops"),CHAR(10), IF(ISBLANK('Ingest Template'!O523),"", 'Ingest Template'!O523&amp;"|TV Ops"),CHAR(10), IF(ISBLANK('Ingest Template'!P523),"", 'Ingest Template'!P523&amp;"|TV Ops"))))</f>
        <v>
</v>
      </c>
      <c r="AH523" s="35"/>
      <c r="AI523" s="35"/>
      <c r="AJ523" s="117" t="str">
        <f>if('Ingest Template'!A523="Standard",(IF(OR('Ingest Template'!F523 = "Program Type - Special", 'Ingest Template'!F523 = "Program Type - Live Event"),'Ingest Template'!M523&amp; "|DAR|DAR|"&amp;TEXT('Ingest Template'!C523-3, "yyyy-mm-dd")&amp;"|"&amp;TEXT('Ingest Template'!C523+3, "yyyy-mm-dd"),'Ingest Template'!M523&amp; "|DAR|DAR|2021-01-01")),(IF(OR('Ingest Template'!F523 = "Program Type - Special", 'Ingest Template'!F523 = "Program Type - Live Event"),'Ingest Template'!M523&amp; "|Operations - Core Title|Operations - Core Title|"&amp;TEXT('Ingest Template'!C523-3, "yyyy-mm-dd")&amp;"|"&amp;TEXT('Ingest Template'!C523+3, "yyyy-mm-dd"),'Ingest Template'!M523&amp; "|Operations - Core Title|Operations - Core Title")))</f>
        <v>|Operations - Core Title|Operations - Core Title</v>
      </c>
      <c r="AK523" s="35"/>
      <c r="AL523" s="117" t="str">
        <f>if('Ingest Template'!A523="Standard",(IF(OR('Ingest Template'!F523 = "Program Type - Special", 'Ingest Template'!F523 = "Program Type - Live Event"),'Ingest Template'!Q523&amp;"|"&amp;TEXT('Ingest Template'!C523-3, "yyyy-mm-dd")&amp;"|"&amp;TEXT('Ingest Template'!C523+3, "yyyy-mm-dd"),'Ingest Template'!Q523&amp; "|2021-01-01")),(IF(OR('Ingest Template'!F523 = "Program Type - Special", 'Ingest Template'!F523 = "Program Type - Live Event"),'Ingest Template'!Q523&amp; "|"&amp;TEXT('Ingest Template'!C523-3, "yyyy-mm-dd")&amp;"|"&amp;TEXT('Ingest Template'!C523+3, "yyyy-mm-dd"),'Ingest Template'!Q523)))</f>
        <v/>
      </c>
      <c r="AM523" s="35" t="str">
        <f>'Ingest Template'!AC523</f>
        <v/>
      </c>
    </row>
    <row r="524">
      <c r="A524" s="15"/>
      <c r="B524" s="22" t="str">
        <f>'Ingest Template'!C524&amp;IF('Ingest Template'!A524 = "Standard", " - DAR","")</f>
        <v/>
      </c>
      <c r="C524" s="22" t="s">
        <v>83</v>
      </c>
      <c r="D524" s="22" t="str">
        <f t="array" ref="D524">CONCATENATE(INDEX(DropdownLists!$H$2:$H$11,MATCH(1,COUNTIF('Ingest Template'!E524,"*"&amp;DropdownLists!$I$2:$I$11&amp;"*"),0)),CHAR(10),'Ingest Template'!F524,CHAR(10),'Ingest Template'!G524,CHAR(10),VLOOKUP('Ingest Template'!D524,DropdownLists!C:D,2,FALSE))</f>
        <v>#N/A</v>
      </c>
      <c r="E524" s="22" t="str">
        <f>CONCATENATE('Ingest Template'!H524,CHAR(10),'Ingest Template'!I524,CHAR(10),'Ingest Template'!J524,CHAR(10))</f>
        <v>
</v>
      </c>
      <c r="F524" s="35" t="str">
        <f t="array" ref="F524">INDEX(DropdownLists!$O$2:$O$36,MATCH(1,COUNTIF(E524,"*"&amp;DropdownLists!$N$2:$N$36&amp;"*"),0))</f>
        <v/>
      </c>
      <c r="G524" s="35"/>
      <c r="H524" s="22" t="str">
        <f t="array" ref="H524">INDEX(DropdownLists!$E$2:$E$276,MATCH('Ingest Template'!D524,DropdownLists!$C$2:$C$276,0))</f>
        <v>#N/A</v>
      </c>
      <c r="I524" s="22"/>
      <c r="J524" s="22" t="str">
        <f t="array" ref="J524">iF('Ingest Template'!A524="Standard","Pristine Brand",INDEX(DropdownLists!$B$2:$B$246,MATCH('Ingest Template'!D524,DropdownLists!$C$2:$C$246,0)))</f>
        <v>#N/A</v>
      </c>
      <c r="K524" s="22" t="str">
        <f>iF('Ingest Template'!A524="Standard",'Ingest Template'!K524&amp;CHAR(10)&amp;'Ingest Template'!L524,"Competitive View")</f>
        <v>Competitive View</v>
      </c>
      <c r="L524" s="22" t="s">
        <v>95</v>
      </c>
      <c r="M524" s="45" t="str">
        <f>'Ingest Template'!B524</f>
        <v/>
      </c>
      <c r="N524" s="35"/>
      <c r="O524" s="35"/>
      <c r="P524" s="35"/>
      <c r="Q524" s="35"/>
      <c r="R524" s="35" t="str">
        <f>'Ingest Template'!D524</f>
        <v/>
      </c>
      <c r="S524" s="22" t="s">
        <v>101</v>
      </c>
      <c r="T524" s="35" t="str">
        <f>'Ingest Template'!V524</f>
        <v/>
      </c>
      <c r="U524" s="35" t="str">
        <f>'Ingest Template'!W524</f>
        <v/>
      </c>
      <c r="V524" s="35" t="str">
        <f>LOWER(SUBSTITUTE(SUBSTITUTE(SUBSTITUTE(SUBSTITUTE(SUBSTITUTE('Ingest Template'!X524,"https:",""),"www.",""),"/",""),"?hl=en",""),"instagram.com",""))</f>
        <v/>
      </c>
      <c r="W524" s="74" t="str">
        <f t="array" ref="W524">IF(
'Ingest Template'!Y524="",
SUBSTITUTE(
INDEX(DropdownLists!$F$2:$F$277,MATCH('Ingest Template'!D524,DropdownLists!$C$2:$C$277,0)),
CHAR(10),
"|"&amp;'Ingest Template'!C524&amp;CHAR(10)
)&amp;"|"&amp;'Ingest Template'!C524,
SUBSTITUTE(
INDEX(DropdownLists!$F$2:$F$277,MATCH('Ingest Template'!D524,DropdownLists!$C$2:$C$277,0)),
CHAR(10),
"|"&amp;'Ingest Template'!C524&amp;CHAR(10)
)&amp;"|"&amp;'Ingest Template'!C524&amp;CHAR(10)&amp;'Ingest Template'!Y524
)</f>
        <v>#N/A</v>
      </c>
      <c r="X524" s="74" t="str">
        <f>'Ingest Template'!Z524</f>
        <v/>
      </c>
      <c r="Y524" s="35" t="str">
        <f>SUBSTITUTE(SUBSTITUTE(SUBSTITUTE('Ingest Template'!AA524,"http:",""),"https:",""),"/","")</f>
        <v/>
      </c>
      <c r="Z524" s="35" t="str">
        <f t="array" ref="Z524">IF('Ingest Template'!A524="Standard",(IF(ISBLANK('Ingest Template'!AB524),"", 'Ingest Template'!AB524&amp;"|DAR")),(IF(ISBLANK('Ingest Template'!AB524),"", 'Ingest Template'!AB524&amp;"|TV Ops")))</f>
        <v/>
      </c>
      <c r="AA524" s="35"/>
      <c r="AB524" s="35" t="str">
        <f>'Ingest Template'!R524</f>
        <v/>
      </c>
      <c r="AC524" s="35" t="str">
        <f>'Ingest Template'!T524</f>
        <v/>
      </c>
      <c r="AD524" s="35" t="str">
        <f>'Ingest Template'!S524</f>
        <v/>
      </c>
      <c r="AE524" s="35" t="str">
        <f>'Ingest Template'!U524</f>
        <v/>
      </c>
      <c r="AF524" s="22"/>
      <c r="AG524" s="35" t="str">
        <f t="array" ref="AG524">IF('Ingest Template'!A524="Standard",(CONCATENATE(IF(ISBLANK('Ingest Template'!N524),"", 'Ingest Template'!N524&amp;"|DAR"),CHAR(10), IF(ISBLANK('Ingest Template'!O524),"", 'Ingest Template'!O524&amp;"|DAR"),CHAR(10), IF(ISBLANK('Ingest Template'!P524),"", 'Ingest Template'!P524&amp;"|DAR"))),(CONCATENATE(IF(ISBLANK('Ingest Template'!N524),"", 'Ingest Template'!N524&amp;"|TV Ops"),CHAR(10), IF(ISBLANK('Ingest Template'!O524),"", 'Ingest Template'!O524&amp;"|TV Ops"),CHAR(10), IF(ISBLANK('Ingest Template'!P524),"", 'Ingest Template'!P524&amp;"|TV Ops"))))</f>
        <v>
</v>
      </c>
      <c r="AH524" s="35"/>
      <c r="AI524" s="35"/>
      <c r="AJ524" s="117" t="str">
        <f>if('Ingest Template'!A524="Standard",(IF(OR('Ingest Template'!F524 = "Program Type - Special", 'Ingest Template'!F524 = "Program Type - Live Event"),'Ingest Template'!M524&amp; "|DAR|DAR|"&amp;TEXT('Ingest Template'!C524-3, "yyyy-mm-dd")&amp;"|"&amp;TEXT('Ingest Template'!C524+3, "yyyy-mm-dd"),'Ingest Template'!M524&amp; "|DAR|DAR|2021-01-01")),(IF(OR('Ingest Template'!F524 = "Program Type - Special", 'Ingest Template'!F524 = "Program Type - Live Event"),'Ingest Template'!M524&amp; "|Operations - Core Title|Operations - Core Title|"&amp;TEXT('Ingest Template'!C524-3, "yyyy-mm-dd")&amp;"|"&amp;TEXT('Ingest Template'!C524+3, "yyyy-mm-dd"),'Ingest Template'!M524&amp; "|Operations - Core Title|Operations - Core Title")))</f>
        <v>|Operations - Core Title|Operations - Core Title</v>
      </c>
      <c r="AK524" s="35"/>
      <c r="AL524" s="117" t="str">
        <f>if('Ingest Template'!A524="Standard",(IF(OR('Ingest Template'!F524 = "Program Type - Special", 'Ingest Template'!F524 = "Program Type - Live Event"),'Ingest Template'!Q524&amp;"|"&amp;TEXT('Ingest Template'!C524-3, "yyyy-mm-dd")&amp;"|"&amp;TEXT('Ingest Template'!C524+3, "yyyy-mm-dd"),'Ingest Template'!Q524&amp; "|2021-01-01")),(IF(OR('Ingest Template'!F524 = "Program Type - Special", 'Ingest Template'!F524 = "Program Type - Live Event"),'Ingest Template'!Q524&amp; "|"&amp;TEXT('Ingest Template'!C524-3, "yyyy-mm-dd")&amp;"|"&amp;TEXT('Ingest Template'!C524+3, "yyyy-mm-dd"),'Ingest Template'!Q524)))</f>
        <v/>
      </c>
      <c r="AM524" s="35" t="str">
        <f>'Ingest Template'!AC524</f>
        <v/>
      </c>
    </row>
    <row r="525">
      <c r="A525" s="15"/>
      <c r="B525" s="22" t="str">
        <f>'Ingest Template'!C525&amp;IF('Ingest Template'!A525 = "Standard", " - DAR","")</f>
        <v/>
      </c>
      <c r="C525" s="22" t="s">
        <v>83</v>
      </c>
      <c r="D525" s="22" t="str">
        <f t="array" ref="D525">CONCATENATE(INDEX(DropdownLists!$H$2:$H$11,MATCH(1,COUNTIF('Ingest Template'!E525,"*"&amp;DropdownLists!$I$2:$I$11&amp;"*"),0)),CHAR(10),'Ingest Template'!F525,CHAR(10),'Ingest Template'!G525,CHAR(10),VLOOKUP('Ingest Template'!D525,DropdownLists!C:D,2,FALSE))</f>
        <v>#N/A</v>
      </c>
      <c r="E525" s="22" t="str">
        <f>CONCATENATE('Ingest Template'!H525,CHAR(10),'Ingest Template'!I525,CHAR(10),'Ingest Template'!J525,CHAR(10))</f>
        <v>
</v>
      </c>
      <c r="F525" s="35" t="str">
        <f t="array" ref="F525">INDEX(DropdownLists!$O$2:$O$36,MATCH(1,COUNTIF(E525,"*"&amp;DropdownLists!$N$2:$N$36&amp;"*"),0))</f>
        <v/>
      </c>
      <c r="G525" s="35"/>
      <c r="H525" s="22" t="str">
        <f t="array" ref="H525">INDEX(DropdownLists!$E$2:$E$276,MATCH('Ingest Template'!D525,DropdownLists!$C$2:$C$276,0))</f>
        <v>#N/A</v>
      </c>
      <c r="I525" s="22"/>
      <c r="J525" s="22" t="str">
        <f t="array" ref="J525">iF('Ingest Template'!A525="Standard","Pristine Brand",INDEX(DropdownLists!$B$2:$B$246,MATCH('Ingest Template'!D525,DropdownLists!$C$2:$C$246,0)))</f>
        <v>#N/A</v>
      </c>
      <c r="K525" s="22" t="str">
        <f>iF('Ingest Template'!A525="Standard",'Ingest Template'!K525&amp;CHAR(10)&amp;'Ingest Template'!L525,"Competitive View")</f>
        <v>Competitive View</v>
      </c>
      <c r="L525" s="22" t="s">
        <v>95</v>
      </c>
      <c r="M525" s="45" t="str">
        <f>'Ingest Template'!B525</f>
        <v/>
      </c>
      <c r="N525" s="35"/>
      <c r="O525" s="35"/>
      <c r="P525" s="35"/>
      <c r="Q525" s="35"/>
      <c r="R525" s="35" t="str">
        <f>'Ingest Template'!D525</f>
        <v/>
      </c>
      <c r="S525" s="22" t="s">
        <v>101</v>
      </c>
      <c r="T525" s="35" t="str">
        <f>'Ingest Template'!V525</f>
        <v/>
      </c>
      <c r="U525" s="35" t="str">
        <f>'Ingest Template'!W525</f>
        <v/>
      </c>
      <c r="V525" s="35" t="str">
        <f>LOWER(SUBSTITUTE(SUBSTITUTE(SUBSTITUTE(SUBSTITUTE(SUBSTITUTE('Ingest Template'!X525,"https:",""),"www.",""),"/",""),"?hl=en",""),"instagram.com",""))</f>
        <v/>
      </c>
      <c r="W525" s="74" t="str">
        <f t="array" ref="W525">IF(
'Ingest Template'!Y525="",
SUBSTITUTE(
INDEX(DropdownLists!$F$2:$F$277,MATCH('Ingest Template'!D525,DropdownLists!$C$2:$C$277,0)),
CHAR(10),
"|"&amp;'Ingest Template'!C525&amp;CHAR(10)
)&amp;"|"&amp;'Ingest Template'!C525,
SUBSTITUTE(
INDEX(DropdownLists!$F$2:$F$277,MATCH('Ingest Template'!D525,DropdownLists!$C$2:$C$277,0)),
CHAR(10),
"|"&amp;'Ingest Template'!C525&amp;CHAR(10)
)&amp;"|"&amp;'Ingest Template'!C525&amp;CHAR(10)&amp;'Ingest Template'!Y525
)</f>
        <v>#N/A</v>
      </c>
      <c r="X525" s="74" t="str">
        <f>'Ingest Template'!Z525</f>
        <v/>
      </c>
      <c r="Y525" s="35" t="str">
        <f>SUBSTITUTE(SUBSTITUTE(SUBSTITUTE('Ingest Template'!AA525,"http:",""),"https:",""),"/","")</f>
        <v/>
      </c>
      <c r="Z525" s="35" t="str">
        <f t="array" ref="Z525">IF('Ingest Template'!A525="Standard",(IF(ISBLANK('Ingest Template'!AB525),"", 'Ingest Template'!AB525&amp;"|DAR")),(IF(ISBLANK('Ingest Template'!AB525),"", 'Ingest Template'!AB525&amp;"|TV Ops")))</f>
        <v/>
      </c>
      <c r="AA525" s="35"/>
      <c r="AB525" s="35" t="str">
        <f>'Ingest Template'!R525</f>
        <v/>
      </c>
      <c r="AC525" s="35" t="str">
        <f>'Ingest Template'!T525</f>
        <v/>
      </c>
      <c r="AD525" s="35" t="str">
        <f>'Ingest Template'!S525</f>
        <v/>
      </c>
      <c r="AE525" s="35" t="str">
        <f>'Ingest Template'!U525</f>
        <v/>
      </c>
      <c r="AF525" s="22"/>
      <c r="AG525" s="35" t="str">
        <f t="array" ref="AG525">IF('Ingest Template'!A525="Standard",(CONCATENATE(IF(ISBLANK('Ingest Template'!N525),"", 'Ingest Template'!N525&amp;"|DAR"),CHAR(10), IF(ISBLANK('Ingest Template'!O525),"", 'Ingest Template'!O525&amp;"|DAR"),CHAR(10), IF(ISBLANK('Ingest Template'!P525),"", 'Ingest Template'!P525&amp;"|DAR"))),(CONCATENATE(IF(ISBLANK('Ingest Template'!N525),"", 'Ingest Template'!N525&amp;"|TV Ops"),CHAR(10), IF(ISBLANK('Ingest Template'!O525),"", 'Ingest Template'!O525&amp;"|TV Ops"),CHAR(10), IF(ISBLANK('Ingest Template'!P525),"", 'Ingest Template'!P525&amp;"|TV Ops"))))</f>
        <v>
</v>
      </c>
      <c r="AH525" s="35"/>
      <c r="AI525" s="35"/>
      <c r="AJ525" s="117" t="str">
        <f>if('Ingest Template'!A525="Standard",(IF(OR('Ingest Template'!F525 = "Program Type - Special", 'Ingest Template'!F525 = "Program Type - Live Event"),'Ingest Template'!M525&amp; "|DAR|DAR|"&amp;TEXT('Ingest Template'!C525-3, "yyyy-mm-dd")&amp;"|"&amp;TEXT('Ingest Template'!C525+3, "yyyy-mm-dd"),'Ingest Template'!M525&amp; "|DAR|DAR|2021-01-01")),(IF(OR('Ingest Template'!F525 = "Program Type - Special", 'Ingest Template'!F525 = "Program Type - Live Event"),'Ingest Template'!M525&amp; "|Operations - Core Title|Operations - Core Title|"&amp;TEXT('Ingest Template'!C525-3, "yyyy-mm-dd")&amp;"|"&amp;TEXT('Ingest Template'!C525+3, "yyyy-mm-dd"),'Ingest Template'!M525&amp; "|Operations - Core Title|Operations - Core Title")))</f>
        <v>|Operations - Core Title|Operations - Core Title</v>
      </c>
      <c r="AK525" s="35"/>
      <c r="AL525" s="117" t="str">
        <f>if('Ingest Template'!A525="Standard",(IF(OR('Ingest Template'!F525 = "Program Type - Special", 'Ingest Template'!F525 = "Program Type - Live Event"),'Ingest Template'!Q525&amp;"|"&amp;TEXT('Ingest Template'!C525-3, "yyyy-mm-dd")&amp;"|"&amp;TEXT('Ingest Template'!C525+3, "yyyy-mm-dd"),'Ingest Template'!Q525&amp; "|2021-01-01")),(IF(OR('Ingest Template'!F525 = "Program Type - Special", 'Ingest Template'!F525 = "Program Type - Live Event"),'Ingest Template'!Q525&amp; "|"&amp;TEXT('Ingest Template'!C525-3, "yyyy-mm-dd")&amp;"|"&amp;TEXT('Ingest Template'!C525+3, "yyyy-mm-dd"),'Ingest Template'!Q525)))</f>
        <v/>
      </c>
      <c r="AM525" s="35" t="str">
        <f>'Ingest Template'!AC525</f>
        <v/>
      </c>
    </row>
    <row r="526">
      <c r="A526" s="15"/>
      <c r="B526" s="22" t="str">
        <f>'Ingest Template'!C526&amp;IF('Ingest Template'!A526 = "Standard", " - DAR","")</f>
        <v/>
      </c>
      <c r="C526" s="22" t="s">
        <v>83</v>
      </c>
      <c r="D526" s="22" t="str">
        <f t="array" ref="D526">CONCATENATE(INDEX(DropdownLists!$H$2:$H$11,MATCH(1,COUNTIF('Ingest Template'!E526,"*"&amp;DropdownLists!$I$2:$I$11&amp;"*"),0)),CHAR(10),'Ingest Template'!F526,CHAR(10),'Ingest Template'!G526,CHAR(10),VLOOKUP('Ingest Template'!D526,DropdownLists!C:D,2,FALSE))</f>
        <v>#N/A</v>
      </c>
      <c r="E526" s="22" t="str">
        <f>CONCATENATE('Ingest Template'!H526,CHAR(10),'Ingest Template'!I526,CHAR(10),'Ingest Template'!J526,CHAR(10))</f>
        <v>
</v>
      </c>
      <c r="F526" s="35" t="str">
        <f t="array" ref="F526">INDEX(DropdownLists!$O$2:$O$36,MATCH(1,COUNTIF(E526,"*"&amp;DropdownLists!$N$2:$N$36&amp;"*"),0))</f>
        <v/>
      </c>
      <c r="G526" s="35"/>
      <c r="H526" s="22" t="str">
        <f t="array" ref="H526">INDEX(DropdownLists!$E$2:$E$276,MATCH('Ingest Template'!D526,DropdownLists!$C$2:$C$276,0))</f>
        <v>#N/A</v>
      </c>
      <c r="I526" s="22"/>
      <c r="J526" s="22" t="str">
        <f t="array" ref="J526">iF('Ingest Template'!A526="Standard","Pristine Brand",INDEX(DropdownLists!$B$2:$B$246,MATCH('Ingest Template'!D526,DropdownLists!$C$2:$C$246,0)))</f>
        <v>#N/A</v>
      </c>
      <c r="K526" s="22" t="str">
        <f>iF('Ingest Template'!A526="Standard",'Ingest Template'!K526&amp;CHAR(10)&amp;'Ingest Template'!L526,"Competitive View")</f>
        <v>Competitive View</v>
      </c>
      <c r="L526" s="22" t="s">
        <v>95</v>
      </c>
      <c r="M526" s="45" t="str">
        <f>'Ingest Template'!B526</f>
        <v/>
      </c>
      <c r="N526" s="35"/>
      <c r="O526" s="35"/>
      <c r="P526" s="35"/>
      <c r="Q526" s="35"/>
      <c r="R526" s="35" t="str">
        <f>'Ingest Template'!D526</f>
        <v/>
      </c>
      <c r="S526" s="22" t="s">
        <v>101</v>
      </c>
      <c r="T526" s="35" t="str">
        <f>'Ingest Template'!V526</f>
        <v/>
      </c>
      <c r="U526" s="35" t="str">
        <f>'Ingest Template'!W526</f>
        <v/>
      </c>
      <c r="V526" s="35" t="str">
        <f>LOWER(SUBSTITUTE(SUBSTITUTE(SUBSTITUTE(SUBSTITUTE(SUBSTITUTE('Ingest Template'!X526,"https:",""),"www.",""),"/",""),"?hl=en",""),"instagram.com",""))</f>
        <v/>
      </c>
      <c r="W526" s="74" t="str">
        <f t="array" ref="W526">IF(
'Ingest Template'!Y526="",
SUBSTITUTE(
INDEX(DropdownLists!$F$2:$F$277,MATCH('Ingest Template'!D526,DropdownLists!$C$2:$C$277,0)),
CHAR(10),
"|"&amp;'Ingest Template'!C526&amp;CHAR(10)
)&amp;"|"&amp;'Ingest Template'!C526,
SUBSTITUTE(
INDEX(DropdownLists!$F$2:$F$277,MATCH('Ingest Template'!D526,DropdownLists!$C$2:$C$277,0)),
CHAR(10),
"|"&amp;'Ingest Template'!C526&amp;CHAR(10)
)&amp;"|"&amp;'Ingest Template'!C526&amp;CHAR(10)&amp;'Ingest Template'!Y526
)</f>
        <v>#N/A</v>
      </c>
      <c r="X526" s="74" t="str">
        <f>'Ingest Template'!Z526</f>
        <v/>
      </c>
      <c r="Y526" s="35" t="str">
        <f>SUBSTITUTE(SUBSTITUTE(SUBSTITUTE('Ingest Template'!AA526,"http:",""),"https:",""),"/","")</f>
        <v/>
      </c>
      <c r="Z526" s="35" t="str">
        <f t="array" ref="Z526">IF('Ingest Template'!A526="Standard",(IF(ISBLANK('Ingest Template'!AB526),"", 'Ingest Template'!AB526&amp;"|DAR")),(IF(ISBLANK('Ingest Template'!AB526),"", 'Ingest Template'!AB526&amp;"|TV Ops")))</f>
        <v/>
      </c>
      <c r="AA526" s="35"/>
      <c r="AB526" s="35" t="str">
        <f>'Ingest Template'!R526</f>
        <v/>
      </c>
      <c r="AC526" s="35" t="str">
        <f>'Ingest Template'!T526</f>
        <v/>
      </c>
      <c r="AD526" s="35" t="str">
        <f>'Ingest Template'!S526</f>
        <v/>
      </c>
      <c r="AE526" s="35" t="str">
        <f>'Ingest Template'!U526</f>
        <v/>
      </c>
      <c r="AF526" s="22"/>
      <c r="AG526" s="35" t="str">
        <f t="array" ref="AG526">IF('Ingest Template'!A526="Standard",(CONCATENATE(IF(ISBLANK('Ingest Template'!N526),"", 'Ingest Template'!N526&amp;"|DAR"),CHAR(10), IF(ISBLANK('Ingest Template'!O526),"", 'Ingest Template'!O526&amp;"|DAR"),CHAR(10), IF(ISBLANK('Ingest Template'!P526),"", 'Ingest Template'!P526&amp;"|DAR"))),(CONCATENATE(IF(ISBLANK('Ingest Template'!N526),"", 'Ingest Template'!N526&amp;"|TV Ops"),CHAR(10), IF(ISBLANK('Ingest Template'!O526),"", 'Ingest Template'!O526&amp;"|TV Ops"),CHAR(10), IF(ISBLANK('Ingest Template'!P526),"", 'Ingest Template'!P526&amp;"|TV Ops"))))</f>
        <v>
</v>
      </c>
      <c r="AH526" s="35"/>
      <c r="AI526" s="35"/>
      <c r="AJ526" s="117" t="str">
        <f>if('Ingest Template'!A526="Standard",(IF(OR('Ingest Template'!F526 = "Program Type - Special", 'Ingest Template'!F526 = "Program Type - Live Event"),'Ingest Template'!M526&amp; "|DAR|DAR|"&amp;TEXT('Ingest Template'!C526-3, "yyyy-mm-dd")&amp;"|"&amp;TEXT('Ingest Template'!C526+3, "yyyy-mm-dd"),'Ingest Template'!M526&amp; "|DAR|DAR|2021-01-01")),(IF(OR('Ingest Template'!F526 = "Program Type - Special", 'Ingest Template'!F526 = "Program Type - Live Event"),'Ingest Template'!M526&amp; "|Operations - Core Title|Operations - Core Title|"&amp;TEXT('Ingest Template'!C526-3, "yyyy-mm-dd")&amp;"|"&amp;TEXT('Ingest Template'!C526+3, "yyyy-mm-dd"),'Ingest Template'!M526&amp; "|Operations - Core Title|Operations - Core Title")))</f>
        <v>|Operations - Core Title|Operations - Core Title</v>
      </c>
      <c r="AK526" s="35"/>
      <c r="AL526" s="117" t="str">
        <f>if('Ingest Template'!A526="Standard",(IF(OR('Ingest Template'!F526 = "Program Type - Special", 'Ingest Template'!F526 = "Program Type - Live Event"),'Ingest Template'!Q526&amp;"|"&amp;TEXT('Ingest Template'!C526-3, "yyyy-mm-dd")&amp;"|"&amp;TEXT('Ingest Template'!C526+3, "yyyy-mm-dd"),'Ingest Template'!Q526&amp; "|2021-01-01")),(IF(OR('Ingest Template'!F526 = "Program Type - Special", 'Ingest Template'!F526 = "Program Type - Live Event"),'Ingest Template'!Q526&amp; "|"&amp;TEXT('Ingest Template'!C526-3, "yyyy-mm-dd")&amp;"|"&amp;TEXT('Ingest Template'!C526+3, "yyyy-mm-dd"),'Ingest Template'!Q526)))</f>
        <v/>
      </c>
      <c r="AM526" s="35" t="str">
        <f>'Ingest Template'!AC526</f>
        <v/>
      </c>
    </row>
    <row r="527">
      <c r="A527" s="15"/>
      <c r="B527" s="22" t="str">
        <f>'Ingest Template'!C527&amp;IF('Ingest Template'!A527 = "Standard", " - DAR","")</f>
        <v/>
      </c>
      <c r="C527" s="22" t="s">
        <v>83</v>
      </c>
      <c r="D527" s="22" t="str">
        <f t="array" ref="D527">CONCATENATE(INDEX(DropdownLists!$H$2:$H$11,MATCH(1,COUNTIF('Ingest Template'!E527,"*"&amp;DropdownLists!$I$2:$I$11&amp;"*"),0)),CHAR(10),'Ingest Template'!F527,CHAR(10),'Ingest Template'!G527,CHAR(10),VLOOKUP('Ingest Template'!D527,DropdownLists!C:D,2,FALSE))</f>
        <v>#N/A</v>
      </c>
      <c r="E527" s="22" t="str">
        <f>CONCATENATE('Ingest Template'!H527,CHAR(10),'Ingest Template'!I527,CHAR(10),'Ingest Template'!J527,CHAR(10))</f>
        <v>
</v>
      </c>
      <c r="F527" s="35" t="str">
        <f t="array" ref="F527">INDEX(DropdownLists!$O$2:$O$36,MATCH(1,COUNTIF(E527,"*"&amp;DropdownLists!$N$2:$N$36&amp;"*"),0))</f>
        <v/>
      </c>
      <c r="G527" s="35"/>
      <c r="H527" s="22" t="str">
        <f t="array" ref="H527">INDEX(DropdownLists!$E$2:$E$276,MATCH('Ingest Template'!D527,DropdownLists!$C$2:$C$276,0))</f>
        <v>#N/A</v>
      </c>
      <c r="I527" s="22"/>
      <c r="J527" s="22" t="str">
        <f t="array" ref="J527">iF('Ingest Template'!A527="Standard","Pristine Brand",INDEX(DropdownLists!$B$2:$B$246,MATCH('Ingest Template'!D527,DropdownLists!$C$2:$C$246,0)))</f>
        <v>#N/A</v>
      </c>
      <c r="K527" s="22" t="str">
        <f>iF('Ingest Template'!A527="Standard",'Ingest Template'!K527&amp;CHAR(10)&amp;'Ingest Template'!L527,"Competitive View")</f>
        <v>Competitive View</v>
      </c>
      <c r="L527" s="22" t="s">
        <v>95</v>
      </c>
      <c r="M527" s="45" t="str">
        <f>'Ingest Template'!B527</f>
        <v/>
      </c>
      <c r="N527" s="35"/>
      <c r="O527" s="35"/>
      <c r="P527" s="35"/>
      <c r="Q527" s="35"/>
      <c r="R527" s="35" t="str">
        <f>'Ingest Template'!D527</f>
        <v/>
      </c>
      <c r="S527" s="22" t="s">
        <v>101</v>
      </c>
      <c r="T527" s="35" t="str">
        <f>'Ingest Template'!V527</f>
        <v/>
      </c>
      <c r="U527" s="35" t="str">
        <f>'Ingest Template'!W527</f>
        <v/>
      </c>
      <c r="V527" s="35" t="str">
        <f>LOWER(SUBSTITUTE(SUBSTITUTE(SUBSTITUTE(SUBSTITUTE(SUBSTITUTE('Ingest Template'!X527,"https:",""),"www.",""),"/",""),"?hl=en",""),"instagram.com",""))</f>
        <v/>
      </c>
      <c r="W527" s="74" t="str">
        <f t="array" ref="W527">IF(
'Ingest Template'!Y527="",
SUBSTITUTE(
INDEX(DropdownLists!$F$2:$F$277,MATCH('Ingest Template'!D527,DropdownLists!$C$2:$C$277,0)),
CHAR(10),
"|"&amp;'Ingest Template'!C527&amp;CHAR(10)
)&amp;"|"&amp;'Ingest Template'!C527,
SUBSTITUTE(
INDEX(DropdownLists!$F$2:$F$277,MATCH('Ingest Template'!D527,DropdownLists!$C$2:$C$277,0)),
CHAR(10),
"|"&amp;'Ingest Template'!C527&amp;CHAR(10)
)&amp;"|"&amp;'Ingest Template'!C527&amp;CHAR(10)&amp;'Ingest Template'!Y527
)</f>
        <v>#N/A</v>
      </c>
      <c r="X527" s="74" t="str">
        <f>'Ingest Template'!Z527</f>
        <v/>
      </c>
      <c r="Y527" s="35" t="str">
        <f>SUBSTITUTE(SUBSTITUTE(SUBSTITUTE('Ingest Template'!AA527,"http:",""),"https:",""),"/","")</f>
        <v/>
      </c>
      <c r="Z527" s="35" t="str">
        <f t="array" ref="Z527">IF('Ingest Template'!A527="Standard",(IF(ISBLANK('Ingest Template'!AB527),"", 'Ingest Template'!AB527&amp;"|DAR")),(IF(ISBLANK('Ingest Template'!AB527),"", 'Ingest Template'!AB527&amp;"|TV Ops")))</f>
        <v/>
      </c>
      <c r="AA527" s="35"/>
      <c r="AB527" s="35" t="str">
        <f>'Ingest Template'!R527</f>
        <v/>
      </c>
      <c r="AC527" s="35" t="str">
        <f>'Ingest Template'!T527</f>
        <v/>
      </c>
      <c r="AD527" s="35" t="str">
        <f>'Ingest Template'!S527</f>
        <v/>
      </c>
      <c r="AE527" s="35" t="str">
        <f>'Ingest Template'!U527</f>
        <v/>
      </c>
      <c r="AF527" s="22"/>
      <c r="AG527" s="35" t="str">
        <f t="array" ref="AG527">IF('Ingest Template'!A527="Standard",(CONCATENATE(IF(ISBLANK('Ingest Template'!N527),"", 'Ingest Template'!N527&amp;"|DAR"),CHAR(10), IF(ISBLANK('Ingest Template'!O527),"", 'Ingest Template'!O527&amp;"|DAR"),CHAR(10), IF(ISBLANK('Ingest Template'!P527),"", 'Ingest Template'!P527&amp;"|DAR"))),(CONCATENATE(IF(ISBLANK('Ingest Template'!N527),"", 'Ingest Template'!N527&amp;"|TV Ops"),CHAR(10), IF(ISBLANK('Ingest Template'!O527),"", 'Ingest Template'!O527&amp;"|TV Ops"),CHAR(10), IF(ISBLANK('Ingest Template'!P527),"", 'Ingest Template'!P527&amp;"|TV Ops"))))</f>
        <v>
</v>
      </c>
      <c r="AH527" s="35"/>
      <c r="AI527" s="35"/>
      <c r="AJ527" s="117" t="str">
        <f>if('Ingest Template'!A527="Standard",(IF(OR('Ingest Template'!F527 = "Program Type - Special", 'Ingest Template'!F527 = "Program Type - Live Event"),'Ingest Template'!M527&amp; "|DAR|DAR|"&amp;TEXT('Ingest Template'!C527-3, "yyyy-mm-dd")&amp;"|"&amp;TEXT('Ingest Template'!C527+3, "yyyy-mm-dd"),'Ingest Template'!M527&amp; "|DAR|DAR|2021-01-01")),(IF(OR('Ingest Template'!F527 = "Program Type - Special", 'Ingest Template'!F527 = "Program Type - Live Event"),'Ingest Template'!M527&amp; "|Operations - Core Title|Operations - Core Title|"&amp;TEXT('Ingest Template'!C527-3, "yyyy-mm-dd")&amp;"|"&amp;TEXT('Ingest Template'!C527+3, "yyyy-mm-dd"),'Ingest Template'!M527&amp; "|Operations - Core Title|Operations - Core Title")))</f>
        <v>|Operations - Core Title|Operations - Core Title</v>
      </c>
      <c r="AK527" s="35"/>
      <c r="AL527" s="117" t="str">
        <f>if('Ingest Template'!A527="Standard",(IF(OR('Ingest Template'!F527 = "Program Type - Special", 'Ingest Template'!F527 = "Program Type - Live Event"),'Ingest Template'!Q527&amp;"|"&amp;TEXT('Ingest Template'!C527-3, "yyyy-mm-dd")&amp;"|"&amp;TEXT('Ingest Template'!C527+3, "yyyy-mm-dd"),'Ingest Template'!Q527&amp; "|2021-01-01")),(IF(OR('Ingest Template'!F527 = "Program Type - Special", 'Ingest Template'!F527 = "Program Type - Live Event"),'Ingest Template'!Q527&amp; "|"&amp;TEXT('Ingest Template'!C527-3, "yyyy-mm-dd")&amp;"|"&amp;TEXT('Ingest Template'!C527+3, "yyyy-mm-dd"),'Ingest Template'!Q527)))</f>
        <v/>
      </c>
      <c r="AM527" s="35" t="str">
        <f>'Ingest Template'!AC527</f>
        <v/>
      </c>
    </row>
    <row r="528">
      <c r="A528" s="15"/>
      <c r="B528" s="22" t="str">
        <f>'Ingest Template'!C528&amp;IF('Ingest Template'!A528 = "Standard", " - DAR","")</f>
        <v/>
      </c>
      <c r="C528" s="22" t="s">
        <v>83</v>
      </c>
      <c r="D528" s="22" t="str">
        <f t="array" ref="D528">CONCATENATE(INDEX(DropdownLists!$H$2:$H$11,MATCH(1,COUNTIF('Ingest Template'!E528,"*"&amp;DropdownLists!$I$2:$I$11&amp;"*"),0)),CHAR(10),'Ingest Template'!F528,CHAR(10),'Ingest Template'!G528,CHAR(10),VLOOKUP('Ingest Template'!D528,DropdownLists!C:D,2,FALSE))</f>
        <v>#N/A</v>
      </c>
      <c r="E528" s="22" t="str">
        <f>CONCATENATE('Ingest Template'!H528,CHAR(10),'Ingest Template'!I528,CHAR(10),'Ingest Template'!J528,CHAR(10))</f>
        <v>
</v>
      </c>
      <c r="F528" s="35" t="str">
        <f t="array" ref="F528">INDEX(DropdownLists!$O$2:$O$36,MATCH(1,COUNTIF(E528,"*"&amp;DropdownLists!$N$2:$N$36&amp;"*"),0))</f>
        <v/>
      </c>
      <c r="G528" s="35"/>
      <c r="H528" s="22" t="str">
        <f t="array" ref="H528">INDEX(DropdownLists!$E$2:$E$276,MATCH('Ingest Template'!D528,DropdownLists!$C$2:$C$276,0))</f>
        <v>#N/A</v>
      </c>
      <c r="I528" s="22"/>
      <c r="J528" s="22" t="str">
        <f t="array" ref="J528">iF('Ingest Template'!A528="Standard","Pristine Brand",INDEX(DropdownLists!$B$2:$B$246,MATCH('Ingest Template'!D528,DropdownLists!$C$2:$C$246,0)))</f>
        <v>#N/A</v>
      </c>
      <c r="K528" s="22" t="str">
        <f>iF('Ingest Template'!A528="Standard",'Ingest Template'!K528&amp;CHAR(10)&amp;'Ingest Template'!L528,"Competitive View")</f>
        <v>Competitive View</v>
      </c>
      <c r="L528" s="22" t="s">
        <v>95</v>
      </c>
      <c r="M528" s="45" t="str">
        <f>'Ingest Template'!B528</f>
        <v/>
      </c>
      <c r="N528" s="35"/>
      <c r="O528" s="35"/>
      <c r="P528" s="35"/>
      <c r="Q528" s="35"/>
      <c r="R528" s="35" t="str">
        <f>'Ingest Template'!D528</f>
        <v/>
      </c>
      <c r="S528" s="22" t="s">
        <v>101</v>
      </c>
      <c r="T528" s="35" t="str">
        <f>'Ingest Template'!V528</f>
        <v/>
      </c>
      <c r="U528" s="35" t="str">
        <f>'Ingest Template'!W528</f>
        <v/>
      </c>
      <c r="V528" s="35" t="str">
        <f>LOWER(SUBSTITUTE(SUBSTITUTE(SUBSTITUTE(SUBSTITUTE(SUBSTITUTE('Ingest Template'!X528,"https:",""),"www.",""),"/",""),"?hl=en",""),"instagram.com",""))</f>
        <v/>
      </c>
      <c r="W528" s="74" t="str">
        <f t="array" ref="W528">IF(
'Ingest Template'!Y528="",
SUBSTITUTE(
INDEX(DropdownLists!$F$2:$F$277,MATCH('Ingest Template'!D528,DropdownLists!$C$2:$C$277,0)),
CHAR(10),
"|"&amp;'Ingest Template'!C528&amp;CHAR(10)
)&amp;"|"&amp;'Ingest Template'!C528,
SUBSTITUTE(
INDEX(DropdownLists!$F$2:$F$277,MATCH('Ingest Template'!D528,DropdownLists!$C$2:$C$277,0)),
CHAR(10),
"|"&amp;'Ingest Template'!C528&amp;CHAR(10)
)&amp;"|"&amp;'Ingest Template'!C528&amp;CHAR(10)&amp;'Ingest Template'!Y528
)</f>
        <v>#N/A</v>
      </c>
      <c r="X528" s="74" t="str">
        <f>'Ingest Template'!Z528</f>
        <v/>
      </c>
      <c r="Y528" s="35" t="str">
        <f>SUBSTITUTE(SUBSTITUTE(SUBSTITUTE('Ingest Template'!AA528,"http:",""),"https:",""),"/","")</f>
        <v/>
      </c>
      <c r="Z528" s="35" t="str">
        <f t="array" ref="Z528">IF('Ingest Template'!A528="Standard",(IF(ISBLANK('Ingest Template'!AB528),"", 'Ingest Template'!AB528&amp;"|DAR")),(IF(ISBLANK('Ingest Template'!AB528),"", 'Ingest Template'!AB528&amp;"|TV Ops")))</f>
        <v/>
      </c>
      <c r="AA528" s="35"/>
      <c r="AB528" s="35" t="str">
        <f>'Ingest Template'!R528</f>
        <v/>
      </c>
      <c r="AC528" s="35" t="str">
        <f>'Ingest Template'!T528</f>
        <v/>
      </c>
      <c r="AD528" s="35" t="str">
        <f>'Ingest Template'!S528</f>
        <v/>
      </c>
      <c r="AE528" s="35" t="str">
        <f>'Ingest Template'!U528</f>
        <v/>
      </c>
      <c r="AF528" s="22"/>
      <c r="AG528" s="35" t="str">
        <f t="array" ref="AG528">IF('Ingest Template'!A528="Standard",(CONCATENATE(IF(ISBLANK('Ingest Template'!N528),"", 'Ingest Template'!N528&amp;"|DAR"),CHAR(10), IF(ISBLANK('Ingest Template'!O528),"", 'Ingest Template'!O528&amp;"|DAR"),CHAR(10), IF(ISBLANK('Ingest Template'!P528),"", 'Ingest Template'!P528&amp;"|DAR"))),(CONCATENATE(IF(ISBLANK('Ingest Template'!N528),"", 'Ingest Template'!N528&amp;"|TV Ops"),CHAR(10), IF(ISBLANK('Ingest Template'!O528),"", 'Ingest Template'!O528&amp;"|TV Ops"),CHAR(10), IF(ISBLANK('Ingest Template'!P528),"", 'Ingest Template'!P528&amp;"|TV Ops"))))</f>
        <v>
</v>
      </c>
      <c r="AH528" s="35"/>
      <c r="AI528" s="35"/>
      <c r="AJ528" s="117" t="str">
        <f>if('Ingest Template'!A528="Standard",(IF(OR('Ingest Template'!F528 = "Program Type - Special", 'Ingest Template'!F528 = "Program Type - Live Event"),'Ingest Template'!M528&amp; "|DAR|DAR|"&amp;TEXT('Ingest Template'!C528-3, "yyyy-mm-dd")&amp;"|"&amp;TEXT('Ingest Template'!C528+3, "yyyy-mm-dd"),'Ingest Template'!M528&amp; "|DAR|DAR|2021-01-01")),(IF(OR('Ingest Template'!F528 = "Program Type - Special", 'Ingest Template'!F528 = "Program Type - Live Event"),'Ingest Template'!M528&amp; "|Operations - Core Title|Operations - Core Title|"&amp;TEXT('Ingest Template'!C528-3, "yyyy-mm-dd")&amp;"|"&amp;TEXT('Ingest Template'!C528+3, "yyyy-mm-dd"),'Ingest Template'!M528&amp; "|Operations - Core Title|Operations - Core Title")))</f>
        <v>|Operations - Core Title|Operations - Core Title</v>
      </c>
      <c r="AK528" s="35"/>
      <c r="AL528" s="117" t="str">
        <f>if('Ingest Template'!A528="Standard",(IF(OR('Ingest Template'!F528 = "Program Type - Special", 'Ingest Template'!F528 = "Program Type - Live Event"),'Ingest Template'!Q528&amp;"|"&amp;TEXT('Ingest Template'!C528-3, "yyyy-mm-dd")&amp;"|"&amp;TEXT('Ingest Template'!C528+3, "yyyy-mm-dd"),'Ingest Template'!Q528&amp; "|2021-01-01")),(IF(OR('Ingest Template'!F528 = "Program Type - Special", 'Ingest Template'!F528 = "Program Type - Live Event"),'Ingest Template'!Q528&amp; "|"&amp;TEXT('Ingest Template'!C528-3, "yyyy-mm-dd")&amp;"|"&amp;TEXT('Ingest Template'!C528+3, "yyyy-mm-dd"),'Ingest Template'!Q528)))</f>
        <v/>
      </c>
      <c r="AM528" s="35" t="str">
        <f>'Ingest Template'!AC528</f>
        <v/>
      </c>
    </row>
    <row r="529">
      <c r="A529" s="15"/>
      <c r="B529" s="22" t="str">
        <f>'Ingest Template'!C529&amp;IF('Ingest Template'!A529 = "Standard", " - DAR","")</f>
        <v/>
      </c>
      <c r="C529" s="22" t="s">
        <v>83</v>
      </c>
      <c r="D529" s="22" t="str">
        <f t="array" ref="D529">CONCATENATE(INDEX(DropdownLists!$H$2:$H$11,MATCH(1,COUNTIF('Ingest Template'!E529,"*"&amp;DropdownLists!$I$2:$I$11&amp;"*"),0)),CHAR(10),'Ingest Template'!F529,CHAR(10),'Ingest Template'!G529,CHAR(10),VLOOKUP('Ingest Template'!D529,DropdownLists!C:D,2,FALSE))</f>
        <v>#N/A</v>
      </c>
      <c r="E529" s="22" t="str">
        <f>CONCATENATE('Ingest Template'!H529,CHAR(10),'Ingest Template'!I529,CHAR(10),'Ingest Template'!J529,CHAR(10))</f>
        <v>
</v>
      </c>
      <c r="F529" s="35" t="str">
        <f t="array" ref="F529">INDEX(DropdownLists!$O$2:$O$36,MATCH(1,COUNTIF(E529,"*"&amp;DropdownLists!$N$2:$N$36&amp;"*"),0))</f>
        <v/>
      </c>
      <c r="G529" s="35"/>
      <c r="H529" s="22" t="str">
        <f t="array" ref="H529">INDEX(DropdownLists!$E$2:$E$276,MATCH('Ingest Template'!D529,DropdownLists!$C$2:$C$276,0))</f>
        <v>#N/A</v>
      </c>
      <c r="I529" s="22"/>
      <c r="J529" s="22" t="str">
        <f t="array" ref="J529">iF('Ingest Template'!A529="Standard","Pristine Brand",INDEX(DropdownLists!$B$2:$B$246,MATCH('Ingest Template'!D529,DropdownLists!$C$2:$C$246,0)))</f>
        <v>#N/A</v>
      </c>
      <c r="K529" s="22" t="str">
        <f>iF('Ingest Template'!A529="Standard",'Ingest Template'!K529&amp;CHAR(10)&amp;'Ingest Template'!L529,"Competitive View")</f>
        <v>Competitive View</v>
      </c>
      <c r="L529" s="22" t="s">
        <v>95</v>
      </c>
      <c r="M529" s="45" t="str">
        <f>'Ingest Template'!B529</f>
        <v/>
      </c>
      <c r="N529" s="35"/>
      <c r="O529" s="35"/>
      <c r="P529" s="35"/>
      <c r="Q529" s="35"/>
      <c r="R529" s="35" t="str">
        <f>'Ingest Template'!D529</f>
        <v/>
      </c>
      <c r="S529" s="22" t="s">
        <v>101</v>
      </c>
      <c r="T529" s="35" t="str">
        <f>'Ingest Template'!V529</f>
        <v/>
      </c>
      <c r="U529" s="35" t="str">
        <f>'Ingest Template'!W529</f>
        <v/>
      </c>
      <c r="V529" s="35" t="str">
        <f>LOWER(SUBSTITUTE(SUBSTITUTE(SUBSTITUTE(SUBSTITUTE(SUBSTITUTE('Ingest Template'!X529,"https:",""),"www.",""),"/",""),"?hl=en",""),"instagram.com",""))</f>
        <v/>
      </c>
      <c r="W529" s="74" t="str">
        <f t="array" ref="W529">IF(
'Ingest Template'!Y529="",
SUBSTITUTE(
INDEX(DropdownLists!$F$2:$F$277,MATCH('Ingest Template'!D529,DropdownLists!$C$2:$C$277,0)),
CHAR(10),
"|"&amp;'Ingest Template'!C529&amp;CHAR(10)
)&amp;"|"&amp;'Ingest Template'!C529,
SUBSTITUTE(
INDEX(DropdownLists!$F$2:$F$277,MATCH('Ingest Template'!D529,DropdownLists!$C$2:$C$277,0)),
CHAR(10),
"|"&amp;'Ingest Template'!C529&amp;CHAR(10)
)&amp;"|"&amp;'Ingest Template'!C529&amp;CHAR(10)&amp;'Ingest Template'!Y529
)</f>
        <v>#N/A</v>
      </c>
      <c r="X529" s="74" t="str">
        <f>'Ingest Template'!Z529</f>
        <v/>
      </c>
      <c r="Y529" s="35" t="str">
        <f>SUBSTITUTE(SUBSTITUTE(SUBSTITUTE('Ingest Template'!AA529,"http:",""),"https:",""),"/","")</f>
        <v/>
      </c>
      <c r="Z529" s="35" t="str">
        <f t="array" ref="Z529">IF('Ingest Template'!A529="Standard",(IF(ISBLANK('Ingest Template'!AB529),"", 'Ingest Template'!AB529&amp;"|DAR")),(IF(ISBLANK('Ingest Template'!AB529),"", 'Ingest Template'!AB529&amp;"|TV Ops")))</f>
        <v/>
      </c>
      <c r="AA529" s="35"/>
      <c r="AB529" s="35" t="str">
        <f>'Ingest Template'!R529</f>
        <v/>
      </c>
      <c r="AC529" s="35" t="str">
        <f>'Ingest Template'!T529</f>
        <v/>
      </c>
      <c r="AD529" s="35" t="str">
        <f>'Ingest Template'!S529</f>
        <v/>
      </c>
      <c r="AE529" s="35" t="str">
        <f>'Ingest Template'!U529</f>
        <v/>
      </c>
      <c r="AF529" s="22"/>
      <c r="AG529" s="35" t="str">
        <f t="array" ref="AG529">IF('Ingest Template'!A529="Standard",(CONCATENATE(IF(ISBLANK('Ingest Template'!N529),"", 'Ingest Template'!N529&amp;"|DAR"),CHAR(10), IF(ISBLANK('Ingest Template'!O529),"", 'Ingest Template'!O529&amp;"|DAR"),CHAR(10), IF(ISBLANK('Ingest Template'!P529),"", 'Ingest Template'!P529&amp;"|DAR"))),(CONCATENATE(IF(ISBLANK('Ingest Template'!N529),"", 'Ingest Template'!N529&amp;"|TV Ops"),CHAR(10), IF(ISBLANK('Ingest Template'!O529),"", 'Ingest Template'!O529&amp;"|TV Ops"),CHAR(10), IF(ISBLANK('Ingest Template'!P529),"", 'Ingest Template'!P529&amp;"|TV Ops"))))</f>
        <v>
</v>
      </c>
      <c r="AH529" s="35"/>
      <c r="AI529" s="35"/>
      <c r="AJ529" s="117" t="str">
        <f>if('Ingest Template'!A529="Standard",(IF(OR('Ingest Template'!F529 = "Program Type - Special", 'Ingest Template'!F529 = "Program Type - Live Event"),'Ingest Template'!M529&amp; "|DAR|DAR|"&amp;TEXT('Ingest Template'!C529-3, "yyyy-mm-dd")&amp;"|"&amp;TEXT('Ingest Template'!C529+3, "yyyy-mm-dd"),'Ingest Template'!M529&amp; "|DAR|DAR|2021-01-01")),(IF(OR('Ingest Template'!F529 = "Program Type - Special", 'Ingest Template'!F529 = "Program Type - Live Event"),'Ingest Template'!M529&amp; "|Operations - Core Title|Operations - Core Title|"&amp;TEXT('Ingest Template'!C529-3, "yyyy-mm-dd")&amp;"|"&amp;TEXT('Ingest Template'!C529+3, "yyyy-mm-dd"),'Ingest Template'!M529&amp; "|Operations - Core Title|Operations - Core Title")))</f>
        <v>|Operations - Core Title|Operations - Core Title</v>
      </c>
      <c r="AK529" s="35"/>
      <c r="AL529" s="117" t="str">
        <f>if('Ingest Template'!A529="Standard",(IF(OR('Ingest Template'!F529 = "Program Type - Special", 'Ingest Template'!F529 = "Program Type - Live Event"),'Ingest Template'!Q529&amp;"|"&amp;TEXT('Ingest Template'!C529-3, "yyyy-mm-dd")&amp;"|"&amp;TEXT('Ingest Template'!C529+3, "yyyy-mm-dd"),'Ingest Template'!Q529&amp; "|2021-01-01")),(IF(OR('Ingest Template'!F529 = "Program Type - Special", 'Ingest Template'!F529 = "Program Type - Live Event"),'Ingest Template'!Q529&amp; "|"&amp;TEXT('Ingest Template'!C529-3, "yyyy-mm-dd")&amp;"|"&amp;TEXT('Ingest Template'!C529+3, "yyyy-mm-dd"),'Ingest Template'!Q529)))</f>
        <v/>
      </c>
      <c r="AM529" s="35" t="str">
        <f>'Ingest Template'!AC529</f>
        <v/>
      </c>
    </row>
    <row r="530">
      <c r="A530" s="15"/>
      <c r="B530" s="22" t="str">
        <f>'Ingest Template'!C530&amp;IF('Ingest Template'!A530 = "Standard", " - DAR","")</f>
        <v/>
      </c>
      <c r="C530" s="22" t="s">
        <v>83</v>
      </c>
      <c r="D530" s="22" t="str">
        <f t="array" ref="D530">CONCATENATE(INDEX(DropdownLists!$H$2:$H$11,MATCH(1,COUNTIF('Ingest Template'!E530,"*"&amp;DropdownLists!$I$2:$I$11&amp;"*"),0)),CHAR(10),'Ingest Template'!F530,CHAR(10),'Ingest Template'!G530,CHAR(10),VLOOKUP('Ingest Template'!D530,DropdownLists!C:D,2,FALSE))</f>
        <v>#N/A</v>
      </c>
      <c r="E530" s="22" t="str">
        <f>CONCATENATE('Ingest Template'!H530,CHAR(10),'Ingest Template'!I530,CHAR(10),'Ingest Template'!J530,CHAR(10))</f>
        <v>
</v>
      </c>
      <c r="F530" s="35" t="str">
        <f t="array" ref="F530">INDEX(DropdownLists!$O$2:$O$36,MATCH(1,COUNTIF(E530,"*"&amp;DropdownLists!$N$2:$N$36&amp;"*"),0))</f>
        <v/>
      </c>
      <c r="G530" s="35"/>
      <c r="H530" s="22" t="str">
        <f t="array" ref="H530">INDEX(DropdownLists!$E$2:$E$276,MATCH('Ingest Template'!D530,DropdownLists!$C$2:$C$276,0))</f>
        <v>#N/A</v>
      </c>
      <c r="I530" s="22"/>
      <c r="J530" s="22" t="str">
        <f t="array" ref="J530">iF('Ingest Template'!A530="Standard","Pristine Brand",INDEX(DropdownLists!$B$2:$B$246,MATCH('Ingest Template'!D530,DropdownLists!$C$2:$C$246,0)))</f>
        <v>#N/A</v>
      </c>
      <c r="K530" s="22" t="str">
        <f>iF('Ingest Template'!A530="Standard",'Ingest Template'!K530&amp;CHAR(10)&amp;'Ingest Template'!L530,"Competitive View")</f>
        <v>Competitive View</v>
      </c>
      <c r="L530" s="22" t="s">
        <v>95</v>
      </c>
      <c r="M530" s="45" t="str">
        <f>'Ingest Template'!B530</f>
        <v/>
      </c>
      <c r="N530" s="35"/>
      <c r="O530" s="35"/>
      <c r="P530" s="35"/>
      <c r="Q530" s="35"/>
      <c r="R530" s="35" t="str">
        <f>'Ingest Template'!D530</f>
        <v/>
      </c>
      <c r="S530" s="22" t="s">
        <v>101</v>
      </c>
      <c r="T530" s="35" t="str">
        <f>'Ingest Template'!V530</f>
        <v/>
      </c>
      <c r="U530" s="35" t="str">
        <f>'Ingest Template'!W530</f>
        <v/>
      </c>
      <c r="V530" s="35" t="str">
        <f>LOWER(SUBSTITUTE(SUBSTITUTE(SUBSTITUTE(SUBSTITUTE(SUBSTITUTE('Ingest Template'!X530,"https:",""),"www.",""),"/",""),"?hl=en",""),"instagram.com",""))</f>
        <v/>
      </c>
      <c r="W530" s="74" t="str">
        <f t="array" ref="W530">IF(
'Ingest Template'!Y530="",
SUBSTITUTE(
INDEX(DropdownLists!$F$2:$F$277,MATCH('Ingest Template'!D530,DropdownLists!$C$2:$C$277,0)),
CHAR(10),
"|"&amp;'Ingest Template'!C530&amp;CHAR(10)
)&amp;"|"&amp;'Ingest Template'!C530,
SUBSTITUTE(
INDEX(DropdownLists!$F$2:$F$277,MATCH('Ingest Template'!D530,DropdownLists!$C$2:$C$277,0)),
CHAR(10),
"|"&amp;'Ingest Template'!C530&amp;CHAR(10)
)&amp;"|"&amp;'Ingest Template'!C530&amp;CHAR(10)&amp;'Ingest Template'!Y530
)</f>
        <v>#N/A</v>
      </c>
      <c r="X530" s="74" t="str">
        <f>'Ingest Template'!Z530</f>
        <v/>
      </c>
      <c r="Y530" s="35" t="str">
        <f>SUBSTITUTE(SUBSTITUTE(SUBSTITUTE('Ingest Template'!AA530,"http:",""),"https:",""),"/","")</f>
        <v/>
      </c>
      <c r="Z530" s="35" t="str">
        <f t="array" ref="Z530">IF('Ingest Template'!A530="Standard",(IF(ISBLANK('Ingest Template'!AB530),"", 'Ingest Template'!AB530&amp;"|DAR")),(IF(ISBLANK('Ingest Template'!AB530),"", 'Ingest Template'!AB530&amp;"|TV Ops")))</f>
        <v/>
      </c>
      <c r="AA530" s="35"/>
      <c r="AB530" s="35" t="str">
        <f>'Ingest Template'!R530</f>
        <v/>
      </c>
      <c r="AC530" s="35" t="str">
        <f>'Ingest Template'!T530</f>
        <v/>
      </c>
      <c r="AD530" s="35" t="str">
        <f>'Ingest Template'!S530</f>
        <v/>
      </c>
      <c r="AE530" s="35" t="str">
        <f>'Ingest Template'!U530</f>
        <v/>
      </c>
      <c r="AF530" s="22"/>
      <c r="AG530" s="35" t="str">
        <f t="array" ref="AG530">IF('Ingest Template'!A530="Standard",(CONCATENATE(IF(ISBLANK('Ingest Template'!N530),"", 'Ingest Template'!N530&amp;"|DAR"),CHAR(10), IF(ISBLANK('Ingest Template'!O530),"", 'Ingest Template'!O530&amp;"|DAR"),CHAR(10), IF(ISBLANK('Ingest Template'!P530),"", 'Ingest Template'!P530&amp;"|DAR"))),(CONCATENATE(IF(ISBLANK('Ingest Template'!N530),"", 'Ingest Template'!N530&amp;"|TV Ops"),CHAR(10), IF(ISBLANK('Ingest Template'!O530),"", 'Ingest Template'!O530&amp;"|TV Ops"),CHAR(10), IF(ISBLANK('Ingest Template'!P530),"", 'Ingest Template'!P530&amp;"|TV Ops"))))</f>
        <v>
</v>
      </c>
      <c r="AH530" s="35"/>
      <c r="AI530" s="35"/>
      <c r="AJ530" s="117" t="str">
        <f>if('Ingest Template'!A530="Standard",(IF(OR('Ingest Template'!F530 = "Program Type - Special", 'Ingest Template'!F530 = "Program Type - Live Event"),'Ingest Template'!M530&amp; "|DAR|DAR|"&amp;TEXT('Ingest Template'!C530-3, "yyyy-mm-dd")&amp;"|"&amp;TEXT('Ingest Template'!C530+3, "yyyy-mm-dd"),'Ingest Template'!M530&amp; "|DAR|DAR|2021-01-01")),(IF(OR('Ingest Template'!F530 = "Program Type - Special", 'Ingest Template'!F530 = "Program Type - Live Event"),'Ingest Template'!M530&amp; "|Operations - Core Title|Operations - Core Title|"&amp;TEXT('Ingest Template'!C530-3, "yyyy-mm-dd")&amp;"|"&amp;TEXT('Ingest Template'!C530+3, "yyyy-mm-dd"),'Ingest Template'!M530&amp; "|Operations - Core Title|Operations - Core Title")))</f>
        <v>|Operations - Core Title|Operations - Core Title</v>
      </c>
      <c r="AK530" s="35"/>
      <c r="AL530" s="117" t="str">
        <f>if('Ingest Template'!A530="Standard",(IF(OR('Ingest Template'!F530 = "Program Type - Special", 'Ingest Template'!F530 = "Program Type - Live Event"),'Ingest Template'!Q530&amp;"|"&amp;TEXT('Ingest Template'!C530-3, "yyyy-mm-dd")&amp;"|"&amp;TEXT('Ingest Template'!C530+3, "yyyy-mm-dd"),'Ingest Template'!Q530&amp; "|2021-01-01")),(IF(OR('Ingest Template'!F530 = "Program Type - Special", 'Ingest Template'!F530 = "Program Type - Live Event"),'Ingest Template'!Q530&amp; "|"&amp;TEXT('Ingest Template'!C530-3, "yyyy-mm-dd")&amp;"|"&amp;TEXT('Ingest Template'!C530+3, "yyyy-mm-dd"),'Ingest Template'!Q530)))</f>
        <v/>
      </c>
      <c r="AM530" s="35" t="str">
        <f>'Ingest Template'!AC530</f>
        <v/>
      </c>
    </row>
    <row r="531">
      <c r="A531" s="15"/>
      <c r="B531" s="22" t="str">
        <f>'Ingest Template'!C531&amp;IF('Ingest Template'!A531 = "Standard", " - DAR","")</f>
        <v/>
      </c>
      <c r="C531" s="22" t="s">
        <v>83</v>
      </c>
      <c r="D531" s="22" t="str">
        <f t="array" ref="D531">CONCATENATE(INDEX(DropdownLists!$H$2:$H$11,MATCH(1,COUNTIF('Ingest Template'!E531,"*"&amp;DropdownLists!$I$2:$I$11&amp;"*"),0)),CHAR(10),'Ingest Template'!F531,CHAR(10),'Ingest Template'!G531,CHAR(10),VLOOKUP('Ingest Template'!D531,DropdownLists!C:D,2,FALSE))</f>
        <v>#N/A</v>
      </c>
      <c r="E531" s="22" t="str">
        <f>CONCATENATE('Ingest Template'!H531,CHAR(10),'Ingest Template'!I531,CHAR(10),'Ingest Template'!J531,CHAR(10))</f>
        <v>
</v>
      </c>
      <c r="F531" s="35" t="str">
        <f t="array" ref="F531">INDEX(DropdownLists!$O$2:$O$36,MATCH(1,COUNTIF(E531,"*"&amp;DropdownLists!$N$2:$N$36&amp;"*"),0))</f>
        <v/>
      </c>
      <c r="G531" s="35"/>
      <c r="H531" s="22" t="str">
        <f t="array" ref="H531">INDEX(DropdownLists!$E$2:$E$276,MATCH('Ingest Template'!D531,DropdownLists!$C$2:$C$276,0))</f>
        <v>#N/A</v>
      </c>
      <c r="I531" s="22"/>
      <c r="J531" s="22" t="str">
        <f t="array" ref="J531">iF('Ingest Template'!A531="Standard","Pristine Brand",INDEX(DropdownLists!$B$2:$B$246,MATCH('Ingest Template'!D531,DropdownLists!$C$2:$C$246,0)))</f>
        <v>#N/A</v>
      </c>
      <c r="K531" s="22" t="str">
        <f>iF('Ingest Template'!A531="Standard",'Ingest Template'!K531&amp;CHAR(10)&amp;'Ingest Template'!L531,"Competitive View")</f>
        <v>Competitive View</v>
      </c>
      <c r="L531" s="22" t="s">
        <v>95</v>
      </c>
      <c r="M531" s="45" t="str">
        <f>'Ingest Template'!B531</f>
        <v/>
      </c>
      <c r="N531" s="35"/>
      <c r="O531" s="35"/>
      <c r="P531" s="35"/>
      <c r="Q531" s="35"/>
      <c r="R531" s="35" t="str">
        <f>'Ingest Template'!D531</f>
        <v/>
      </c>
      <c r="S531" s="22" t="s">
        <v>101</v>
      </c>
      <c r="T531" s="35" t="str">
        <f>'Ingest Template'!V531</f>
        <v/>
      </c>
      <c r="U531" s="35" t="str">
        <f>'Ingest Template'!W531</f>
        <v/>
      </c>
      <c r="V531" s="35" t="str">
        <f>LOWER(SUBSTITUTE(SUBSTITUTE(SUBSTITUTE(SUBSTITUTE(SUBSTITUTE('Ingest Template'!X531,"https:",""),"www.",""),"/",""),"?hl=en",""),"instagram.com",""))</f>
        <v/>
      </c>
      <c r="W531" s="74" t="str">
        <f t="array" ref="W531">IF(
'Ingest Template'!Y531="",
SUBSTITUTE(
INDEX(DropdownLists!$F$2:$F$277,MATCH('Ingest Template'!D531,DropdownLists!$C$2:$C$277,0)),
CHAR(10),
"|"&amp;'Ingest Template'!C531&amp;CHAR(10)
)&amp;"|"&amp;'Ingest Template'!C531,
SUBSTITUTE(
INDEX(DropdownLists!$F$2:$F$277,MATCH('Ingest Template'!D531,DropdownLists!$C$2:$C$277,0)),
CHAR(10),
"|"&amp;'Ingest Template'!C531&amp;CHAR(10)
)&amp;"|"&amp;'Ingest Template'!C531&amp;CHAR(10)&amp;'Ingest Template'!Y531
)</f>
        <v>#N/A</v>
      </c>
      <c r="X531" s="74" t="str">
        <f>'Ingest Template'!Z531</f>
        <v/>
      </c>
      <c r="Y531" s="35" t="str">
        <f>SUBSTITUTE(SUBSTITUTE(SUBSTITUTE('Ingest Template'!AA531,"http:",""),"https:",""),"/","")</f>
        <v/>
      </c>
      <c r="Z531" s="35" t="str">
        <f t="array" ref="Z531">IF('Ingest Template'!A531="Standard",(IF(ISBLANK('Ingest Template'!AB531),"", 'Ingest Template'!AB531&amp;"|DAR")),(IF(ISBLANK('Ingest Template'!AB531),"", 'Ingest Template'!AB531&amp;"|TV Ops")))</f>
        <v/>
      </c>
      <c r="AA531" s="35"/>
      <c r="AB531" s="35" t="str">
        <f>'Ingest Template'!R531</f>
        <v/>
      </c>
      <c r="AC531" s="35" t="str">
        <f>'Ingest Template'!T531</f>
        <v/>
      </c>
      <c r="AD531" s="35" t="str">
        <f>'Ingest Template'!S531</f>
        <v/>
      </c>
      <c r="AE531" s="35" t="str">
        <f>'Ingest Template'!U531</f>
        <v/>
      </c>
      <c r="AF531" s="22"/>
      <c r="AG531" s="35" t="str">
        <f t="array" ref="AG531">IF('Ingest Template'!A531="Standard",(CONCATENATE(IF(ISBLANK('Ingest Template'!N531),"", 'Ingest Template'!N531&amp;"|DAR"),CHAR(10), IF(ISBLANK('Ingest Template'!O531),"", 'Ingest Template'!O531&amp;"|DAR"),CHAR(10), IF(ISBLANK('Ingest Template'!P531),"", 'Ingest Template'!P531&amp;"|DAR"))),(CONCATENATE(IF(ISBLANK('Ingest Template'!N531),"", 'Ingest Template'!N531&amp;"|TV Ops"),CHAR(10), IF(ISBLANK('Ingest Template'!O531),"", 'Ingest Template'!O531&amp;"|TV Ops"),CHAR(10), IF(ISBLANK('Ingest Template'!P531),"", 'Ingest Template'!P531&amp;"|TV Ops"))))</f>
        <v>
</v>
      </c>
      <c r="AH531" s="35"/>
      <c r="AI531" s="35"/>
      <c r="AJ531" s="117" t="str">
        <f>if('Ingest Template'!A531="Standard",(IF(OR('Ingest Template'!F531 = "Program Type - Special", 'Ingest Template'!F531 = "Program Type - Live Event"),'Ingest Template'!M531&amp; "|DAR|DAR|"&amp;TEXT('Ingest Template'!C531-3, "yyyy-mm-dd")&amp;"|"&amp;TEXT('Ingest Template'!C531+3, "yyyy-mm-dd"),'Ingest Template'!M531&amp; "|DAR|DAR|2021-01-01")),(IF(OR('Ingest Template'!F531 = "Program Type - Special", 'Ingest Template'!F531 = "Program Type - Live Event"),'Ingest Template'!M531&amp; "|Operations - Core Title|Operations - Core Title|"&amp;TEXT('Ingest Template'!C531-3, "yyyy-mm-dd")&amp;"|"&amp;TEXT('Ingest Template'!C531+3, "yyyy-mm-dd"),'Ingest Template'!M531&amp; "|Operations - Core Title|Operations - Core Title")))</f>
        <v>|Operations - Core Title|Operations - Core Title</v>
      </c>
      <c r="AK531" s="35"/>
      <c r="AL531" s="117" t="str">
        <f>if('Ingest Template'!A531="Standard",(IF(OR('Ingest Template'!F531 = "Program Type - Special", 'Ingest Template'!F531 = "Program Type - Live Event"),'Ingest Template'!Q531&amp;"|"&amp;TEXT('Ingest Template'!C531-3, "yyyy-mm-dd")&amp;"|"&amp;TEXT('Ingest Template'!C531+3, "yyyy-mm-dd"),'Ingest Template'!Q531&amp; "|2021-01-01")),(IF(OR('Ingest Template'!F531 = "Program Type - Special", 'Ingest Template'!F531 = "Program Type - Live Event"),'Ingest Template'!Q531&amp; "|"&amp;TEXT('Ingest Template'!C531-3, "yyyy-mm-dd")&amp;"|"&amp;TEXT('Ingest Template'!C531+3, "yyyy-mm-dd"),'Ingest Template'!Q531)))</f>
        <v/>
      </c>
      <c r="AM531" s="35" t="str">
        <f>'Ingest Template'!AC531</f>
        <v/>
      </c>
    </row>
    <row r="532">
      <c r="A532" s="15"/>
      <c r="B532" s="22" t="str">
        <f>'Ingest Template'!C532&amp;IF('Ingest Template'!A532 = "Standard", " - DAR","")</f>
        <v/>
      </c>
      <c r="C532" s="22" t="s">
        <v>83</v>
      </c>
      <c r="D532" s="22" t="str">
        <f t="array" ref="D532">CONCATENATE(INDEX(DropdownLists!$H$2:$H$11,MATCH(1,COUNTIF('Ingest Template'!E532,"*"&amp;DropdownLists!$I$2:$I$11&amp;"*"),0)),CHAR(10),'Ingest Template'!F532,CHAR(10),'Ingest Template'!G532,CHAR(10),VLOOKUP('Ingest Template'!D532,DropdownLists!C:D,2,FALSE))</f>
        <v>#N/A</v>
      </c>
      <c r="E532" s="22" t="str">
        <f>CONCATENATE('Ingest Template'!H532,CHAR(10),'Ingest Template'!I532,CHAR(10),'Ingest Template'!J532,CHAR(10))</f>
        <v>
</v>
      </c>
      <c r="F532" s="35" t="str">
        <f t="array" ref="F532">INDEX(DropdownLists!$O$2:$O$36,MATCH(1,COUNTIF(E532,"*"&amp;DropdownLists!$N$2:$N$36&amp;"*"),0))</f>
        <v/>
      </c>
      <c r="G532" s="35"/>
      <c r="H532" s="22" t="str">
        <f t="array" ref="H532">INDEX(DropdownLists!$E$2:$E$276,MATCH('Ingest Template'!D532,DropdownLists!$C$2:$C$276,0))</f>
        <v>#N/A</v>
      </c>
      <c r="I532" s="22"/>
      <c r="J532" s="22" t="str">
        <f t="array" ref="J532">iF('Ingest Template'!A532="Standard","Pristine Brand",INDEX(DropdownLists!$B$2:$B$246,MATCH('Ingest Template'!D532,DropdownLists!$C$2:$C$246,0)))</f>
        <v>#N/A</v>
      </c>
      <c r="K532" s="22" t="str">
        <f>iF('Ingest Template'!A532="Standard",'Ingest Template'!K532&amp;CHAR(10)&amp;'Ingest Template'!L532,"Competitive View")</f>
        <v>Competitive View</v>
      </c>
      <c r="L532" s="22" t="s">
        <v>95</v>
      </c>
      <c r="M532" s="45" t="str">
        <f>'Ingest Template'!B532</f>
        <v/>
      </c>
      <c r="N532" s="35"/>
      <c r="O532" s="35"/>
      <c r="P532" s="35"/>
      <c r="Q532" s="35"/>
      <c r="R532" s="35" t="str">
        <f>'Ingest Template'!D532</f>
        <v/>
      </c>
      <c r="S532" s="22" t="s">
        <v>101</v>
      </c>
      <c r="T532" s="35" t="str">
        <f>'Ingest Template'!V532</f>
        <v/>
      </c>
      <c r="U532" s="35" t="str">
        <f>'Ingest Template'!W532</f>
        <v/>
      </c>
      <c r="V532" s="35" t="str">
        <f>LOWER(SUBSTITUTE(SUBSTITUTE(SUBSTITUTE(SUBSTITUTE(SUBSTITUTE('Ingest Template'!X532,"https:",""),"www.",""),"/",""),"?hl=en",""),"instagram.com",""))</f>
        <v/>
      </c>
      <c r="W532" s="74" t="str">
        <f t="array" ref="W532">IF(
'Ingest Template'!Y532="",
SUBSTITUTE(
INDEX(DropdownLists!$F$2:$F$277,MATCH('Ingest Template'!D532,DropdownLists!$C$2:$C$277,0)),
CHAR(10),
"|"&amp;'Ingest Template'!C532&amp;CHAR(10)
)&amp;"|"&amp;'Ingest Template'!C532,
SUBSTITUTE(
INDEX(DropdownLists!$F$2:$F$277,MATCH('Ingest Template'!D532,DropdownLists!$C$2:$C$277,0)),
CHAR(10),
"|"&amp;'Ingest Template'!C532&amp;CHAR(10)
)&amp;"|"&amp;'Ingest Template'!C532&amp;CHAR(10)&amp;'Ingest Template'!Y532
)</f>
        <v>#N/A</v>
      </c>
      <c r="X532" s="74" t="str">
        <f>'Ingest Template'!Z532</f>
        <v/>
      </c>
      <c r="Y532" s="35" t="str">
        <f>SUBSTITUTE(SUBSTITUTE(SUBSTITUTE('Ingest Template'!AA532,"http:",""),"https:",""),"/","")</f>
        <v/>
      </c>
      <c r="Z532" s="35" t="str">
        <f t="array" ref="Z532">IF('Ingest Template'!A532="Standard",(IF(ISBLANK('Ingest Template'!AB532),"", 'Ingest Template'!AB532&amp;"|DAR")),(IF(ISBLANK('Ingest Template'!AB532),"", 'Ingest Template'!AB532&amp;"|TV Ops")))</f>
        <v/>
      </c>
      <c r="AA532" s="35"/>
      <c r="AB532" s="35" t="str">
        <f>'Ingest Template'!R532</f>
        <v/>
      </c>
      <c r="AC532" s="35" t="str">
        <f>'Ingest Template'!T532</f>
        <v/>
      </c>
      <c r="AD532" s="35" t="str">
        <f>'Ingest Template'!S532</f>
        <v/>
      </c>
      <c r="AE532" s="35" t="str">
        <f>'Ingest Template'!U532</f>
        <v/>
      </c>
      <c r="AF532" s="22"/>
      <c r="AG532" s="35" t="str">
        <f t="array" ref="AG532">IF('Ingest Template'!A532="Standard",(CONCATENATE(IF(ISBLANK('Ingest Template'!N532),"", 'Ingest Template'!N532&amp;"|DAR"),CHAR(10), IF(ISBLANK('Ingest Template'!O532),"", 'Ingest Template'!O532&amp;"|DAR"),CHAR(10), IF(ISBLANK('Ingest Template'!P532),"", 'Ingest Template'!P532&amp;"|DAR"))),(CONCATENATE(IF(ISBLANK('Ingest Template'!N532),"", 'Ingest Template'!N532&amp;"|TV Ops"),CHAR(10), IF(ISBLANK('Ingest Template'!O532),"", 'Ingest Template'!O532&amp;"|TV Ops"),CHAR(10), IF(ISBLANK('Ingest Template'!P532),"", 'Ingest Template'!P532&amp;"|TV Ops"))))</f>
        <v>
</v>
      </c>
      <c r="AH532" s="35"/>
      <c r="AI532" s="35"/>
      <c r="AJ532" s="117" t="str">
        <f>if('Ingest Template'!A532="Standard",(IF(OR('Ingest Template'!F532 = "Program Type - Special", 'Ingest Template'!F532 = "Program Type - Live Event"),'Ingest Template'!M532&amp; "|DAR|DAR|"&amp;TEXT('Ingest Template'!C532-3, "yyyy-mm-dd")&amp;"|"&amp;TEXT('Ingest Template'!C532+3, "yyyy-mm-dd"),'Ingest Template'!M532&amp; "|DAR|DAR|2021-01-01")),(IF(OR('Ingest Template'!F532 = "Program Type - Special", 'Ingest Template'!F532 = "Program Type - Live Event"),'Ingest Template'!M532&amp; "|Operations - Core Title|Operations - Core Title|"&amp;TEXT('Ingest Template'!C532-3, "yyyy-mm-dd")&amp;"|"&amp;TEXT('Ingest Template'!C532+3, "yyyy-mm-dd"),'Ingest Template'!M532&amp; "|Operations - Core Title|Operations - Core Title")))</f>
        <v>|Operations - Core Title|Operations - Core Title</v>
      </c>
      <c r="AK532" s="35"/>
      <c r="AL532" s="117" t="str">
        <f>if('Ingest Template'!A532="Standard",(IF(OR('Ingest Template'!F532 = "Program Type - Special", 'Ingest Template'!F532 = "Program Type - Live Event"),'Ingest Template'!Q532&amp;"|"&amp;TEXT('Ingest Template'!C532-3, "yyyy-mm-dd")&amp;"|"&amp;TEXT('Ingest Template'!C532+3, "yyyy-mm-dd"),'Ingest Template'!Q532&amp; "|2021-01-01")),(IF(OR('Ingest Template'!F532 = "Program Type - Special", 'Ingest Template'!F532 = "Program Type - Live Event"),'Ingest Template'!Q532&amp; "|"&amp;TEXT('Ingest Template'!C532-3, "yyyy-mm-dd")&amp;"|"&amp;TEXT('Ingest Template'!C532+3, "yyyy-mm-dd"),'Ingest Template'!Q532)))</f>
        <v/>
      </c>
      <c r="AM532" s="35" t="str">
        <f>'Ingest Template'!AC532</f>
        <v/>
      </c>
    </row>
    <row r="533">
      <c r="A533" s="15"/>
      <c r="B533" s="22" t="str">
        <f>'Ingest Template'!C533&amp;IF('Ingest Template'!A533 = "Standard", " - DAR","")</f>
        <v/>
      </c>
      <c r="C533" s="22" t="s">
        <v>83</v>
      </c>
      <c r="D533" s="22" t="str">
        <f t="array" ref="D533">CONCATENATE(INDEX(DropdownLists!$H$2:$H$11,MATCH(1,COUNTIF('Ingest Template'!E533,"*"&amp;DropdownLists!$I$2:$I$11&amp;"*"),0)),CHAR(10),'Ingest Template'!F533,CHAR(10),'Ingest Template'!G533,CHAR(10),VLOOKUP('Ingest Template'!D533,DropdownLists!C:D,2,FALSE))</f>
        <v>#N/A</v>
      </c>
      <c r="E533" s="22" t="str">
        <f>CONCATENATE('Ingest Template'!H533,CHAR(10),'Ingest Template'!I533,CHAR(10),'Ingest Template'!J533,CHAR(10))</f>
        <v>
</v>
      </c>
      <c r="F533" s="35" t="str">
        <f t="array" ref="F533">INDEX(DropdownLists!$O$2:$O$36,MATCH(1,COUNTIF(E533,"*"&amp;DropdownLists!$N$2:$N$36&amp;"*"),0))</f>
        <v/>
      </c>
      <c r="G533" s="35"/>
      <c r="H533" s="22" t="str">
        <f t="array" ref="H533">INDEX(DropdownLists!$E$2:$E$276,MATCH('Ingest Template'!D533,DropdownLists!$C$2:$C$276,0))</f>
        <v>#N/A</v>
      </c>
      <c r="I533" s="22"/>
      <c r="J533" s="22" t="str">
        <f t="array" ref="J533">iF('Ingest Template'!A533="Standard","Pristine Brand",INDEX(DropdownLists!$B$2:$B$246,MATCH('Ingest Template'!D533,DropdownLists!$C$2:$C$246,0)))</f>
        <v>#N/A</v>
      </c>
      <c r="K533" s="22" t="str">
        <f>iF('Ingest Template'!A533="Standard",'Ingest Template'!K533&amp;CHAR(10)&amp;'Ingest Template'!L533,"Competitive View")</f>
        <v>Competitive View</v>
      </c>
      <c r="L533" s="22" t="s">
        <v>95</v>
      </c>
      <c r="M533" s="45" t="str">
        <f>'Ingest Template'!B533</f>
        <v/>
      </c>
      <c r="N533" s="35"/>
      <c r="O533" s="35"/>
      <c r="P533" s="35"/>
      <c r="Q533" s="35"/>
      <c r="R533" s="35" t="str">
        <f>'Ingest Template'!D533</f>
        <v/>
      </c>
      <c r="S533" s="22" t="s">
        <v>101</v>
      </c>
      <c r="T533" s="35" t="str">
        <f>'Ingest Template'!V533</f>
        <v/>
      </c>
      <c r="U533" s="35" t="str">
        <f>'Ingest Template'!W533</f>
        <v/>
      </c>
      <c r="V533" s="35" t="str">
        <f>LOWER(SUBSTITUTE(SUBSTITUTE(SUBSTITUTE(SUBSTITUTE(SUBSTITUTE('Ingest Template'!X533,"https:",""),"www.",""),"/",""),"?hl=en",""),"instagram.com",""))</f>
        <v/>
      </c>
      <c r="W533" s="74" t="str">
        <f t="array" ref="W533">IF(
'Ingest Template'!Y533="",
SUBSTITUTE(
INDEX(DropdownLists!$F$2:$F$277,MATCH('Ingest Template'!D533,DropdownLists!$C$2:$C$277,0)),
CHAR(10),
"|"&amp;'Ingest Template'!C533&amp;CHAR(10)
)&amp;"|"&amp;'Ingest Template'!C533,
SUBSTITUTE(
INDEX(DropdownLists!$F$2:$F$277,MATCH('Ingest Template'!D533,DropdownLists!$C$2:$C$277,0)),
CHAR(10),
"|"&amp;'Ingest Template'!C533&amp;CHAR(10)
)&amp;"|"&amp;'Ingest Template'!C533&amp;CHAR(10)&amp;'Ingest Template'!Y533
)</f>
        <v>#N/A</v>
      </c>
      <c r="X533" s="74" t="str">
        <f>'Ingest Template'!Z533</f>
        <v/>
      </c>
      <c r="Y533" s="35" t="str">
        <f>SUBSTITUTE(SUBSTITUTE(SUBSTITUTE('Ingest Template'!AA533,"http:",""),"https:",""),"/","")</f>
        <v/>
      </c>
      <c r="Z533" s="35" t="str">
        <f t="array" ref="Z533">IF('Ingest Template'!A533="Standard",(IF(ISBLANK('Ingest Template'!AB533),"", 'Ingest Template'!AB533&amp;"|DAR")),(IF(ISBLANK('Ingest Template'!AB533),"", 'Ingest Template'!AB533&amp;"|TV Ops")))</f>
        <v/>
      </c>
      <c r="AA533" s="35"/>
      <c r="AB533" s="35" t="str">
        <f>'Ingest Template'!R533</f>
        <v/>
      </c>
      <c r="AC533" s="35" t="str">
        <f>'Ingest Template'!T533</f>
        <v/>
      </c>
      <c r="AD533" s="35" t="str">
        <f>'Ingest Template'!S533</f>
        <v/>
      </c>
      <c r="AE533" s="35" t="str">
        <f>'Ingest Template'!U533</f>
        <v/>
      </c>
      <c r="AF533" s="22"/>
      <c r="AG533" s="35" t="str">
        <f t="array" ref="AG533">IF('Ingest Template'!A533="Standard",(CONCATENATE(IF(ISBLANK('Ingest Template'!N533),"", 'Ingest Template'!N533&amp;"|DAR"),CHAR(10), IF(ISBLANK('Ingest Template'!O533),"", 'Ingest Template'!O533&amp;"|DAR"),CHAR(10), IF(ISBLANK('Ingest Template'!P533),"", 'Ingest Template'!P533&amp;"|DAR"))),(CONCATENATE(IF(ISBLANK('Ingest Template'!N533),"", 'Ingest Template'!N533&amp;"|TV Ops"),CHAR(10), IF(ISBLANK('Ingest Template'!O533),"", 'Ingest Template'!O533&amp;"|TV Ops"),CHAR(10), IF(ISBLANK('Ingest Template'!P533),"", 'Ingest Template'!P533&amp;"|TV Ops"))))</f>
        <v>
</v>
      </c>
      <c r="AH533" s="35"/>
      <c r="AI533" s="35"/>
      <c r="AJ533" s="117" t="str">
        <f>if('Ingest Template'!A533="Standard",(IF(OR('Ingest Template'!F533 = "Program Type - Special", 'Ingest Template'!F533 = "Program Type - Live Event"),'Ingest Template'!M533&amp; "|DAR|DAR|"&amp;TEXT('Ingest Template'!C533-3, "yyyy-mm-dd")&amp;"|"&amp;TEXT('Ingest Template'!C533+3, "yyyy-mm-dd"),'Ingest Template'!M533&amp; "|DAR|DAR|2021-01-01")),(IF(OR('Ingest Template'!F533 = "Program Type - Special", 'Ingest Template'!F533 = "Program Type - Live Event"),'Ingest Template'!M533&amp; "|Operations - Core Title|Operations - Core Title|"&amp;TEXT('Ingest Template'!C533-3, "yyyy-mm-dd")&amp;"|"&amp;TEXT('Ingest Template'!C533+3, "yyyy-mm-dd"),'Ingest Template'!M533&amp; "|Operations - Core Title|Operations - Core Title")))</f>
        <v>|Operations - Core Title|Operations - Core Title</v>
      </c>
      <c r="AK533" s="35"/>
      <c r="AL533" s="117" t="str">
        <f>if('Ingest Template'!A533="Standard",(IF(OR('Ingest Template'!F533 = "Program Type - Special", 'Ingest Template'!F533 = "Program Type - Live Event"),'Ingest Template'!Q533&amp;"|"&amp;TEXT('Ingest Template'!C533-3, "yyyy-mm-dd")&amp;"|"&amp;TEXT('Ingest Template'!C533+3, "yyyy-mm-dd"),'Ingest Template'!Q533&amp; "|2021-01-01")),(IF(OR('Ingest Template'!F533 = "Program Type - Special", 'Ingest Template'!F533 = "Program Type - Live Event"),'Ingest Template'!Q533&amp; "|"&amp;TEXT('Ingest Template'!C533-3, "yyyy-mm-dd")&amp;"|"&amp;TEXT('Ingest Template'!C533+3, "yyyy-mm-dd"),'Ingest Template'!Q533)))</f>
        <v/>
      </c>
      <c r="AM533" s="35" t="str">
        <f>'Ingest Template'!AC533</f>
        <v/>
      </c>
    </row>
    <row r="534">
      <c r="A534" s="15"/>
      <c r="B534" s="22" t="str">
        <f>'Ingest Template'!C534&amp;IF('Ingest Template'!A534 = "Standard", " - DAR","")</f>
        <v/>
      </c>
      <c r="C534" s="22" t="s">
        <v>83</v>
      </c>
      <c r="D534" s="22" t="str">
        <f t="array" ref="D534">CONCATENATE(INDEX(DropdownLists!$H$2:$H$11,MATCH(1,COUNTIF('Ingest Template'!E534,"*"&amp;DropdownLists!$I$2:$I$11&amp;"*"),0)),CHAR(10),'Ingest Template'!F534,CHAR(10),'Ingest Template'!G534,CHAR(10),VLOOKUP('Ingest Template'!D534,DropdownLists!C:D,2,FALSE))</f>
        <v>#N/A</v>
      </c>
      <c r="E534" s="22" t="str">
        <f>CONCATENATE('Ingest Template'!H534,CHAR(10),'Ingest Template'!I534,CHAR(10),'Ingest Template'!J534,CHAR(10))</f>
        <v>
</v>
      </c>
      <c r="F534" s="35" t="str">
        <f t="array" ref="F534">INDEX(DropdownLists!$O$2:$O$36,MATCH(1,COUNTIF(E534,"*"&amp;DropdownLists!$N$2:$N$36&amp;"*"),0))</f>
        <v/>
      </c>
      <c r="G534" s="35"/>
      <c r="H534" s="22" t="str">
        <f t="array" ref="H534">INDEX(DropdownLists!$E$2:$E$276,MATCH('Ingest Template'!D534,DropdownLists!$C$2:$C$276,0))</f>
        <v>#N/A</v>
      </c>
      <c r="I534" s="22"/>
      <c r="J534" s="22" t="str">
        <f t="array" ref="J534">iF('Ingest Template'!A534="Standard","Pristine Brand",INDEX(DropdownLists!$B$2:$B$246,MATCH('Ingest Template'!D534,DropdownLists!$C$2:$C$246,0)))</f>
        <v>#N/A</v>
      </c>
      <c r="K534" s="22" t="str">
        <f>iF('Ingest Template'!A534="Standard",'Ingest Template'!K534&amp;CHAR(10)&amp;'Ingest Template'!L534,"Competitive View")</f>
        <v>Competitive View</v>
      </c>
      <c r="L534" s="22" t="s">
        <v>95</v>
      </c>
      <c r="M534" s="45" t="str">
        <f>'Ingest Template'!B534</f>
        <v/>
      </c>
      <c r="N534" s="35"/>
      <c r="O534" s="35"/>
      <c r="P534" s="35"/>
      <c r="Q534" s="35"/>
      <c r="R534" s="35" t="str">
        <f>'Ingest Template'!D534</f>
        <v/>
      </c>
      <c r="S534" s="22" t="s">
        <v>101</v>
      </c>
      <c r="T534" s="35" t="str">
        <f>'Ingest Template'!V534</f>
        <v/>
      </c>
      <c r="U534" s="35" t="str">
        <f>'Ingest Template'!W534</f>
        <v/>
      </c>
      <c r="V534" s="35" t="str">
        <f>LOWER(SUBSTITUTE(SUBSTITUTE(SUBSTITUTE(SUBSTITUTE(SUBSTITUTE('Ingest Template'!X534,"https:",""),"www.",""),"/",""),"?hl=en",""),"instagram.com",""))</f>
        <v/>
      </c>
      <c r="W534" s="74" t="str">
        <f t="array" ref="W534">IF(
'Ingest Template'!Y534="",
SUBSTITUTE(
INDEX(DropdownLists!$F$2:$F$277,MATCH('Ingest Template'!D534,DropdownLists!$C$2:$C$277,0)),
CHAR(10),
"|"&amp;'Ingest Template'!C534&amp;CHAR(10)
)&amp;"|"&amp;'Ingest Template'!C534,
SUBSTITUTE(
INDEX(DropdownLists!$F$2:$F$277,MATCH('Ingest Template'!D534,DropdownLists!$C$2:$C$277,0)),
CHAR(10),
"|"&amp;'Ingest Template'!C534&amp;CHAR(10)
)&amp;"|"&amp;'Ingest Template'!C534&amp;CHAR(10)&amp;'Ingest Template'!Y534
)</f>
        <v>#N/A</v>
      </c>
      <c r="X534" s="74" t="str">
        <f>'Ingest Template'!Z534</f>
        <v/>
      </c>
      <c r="Y534" s="35" t="str">
        <f>SUBSTITUTE(SUBSTITUTE(SUBSTITUTE('Ingest Template'!AA534,"http:",""),"https:",""),"/","")</f>
        <v/>
      </c>
      <c r="Z534" s="35" t="str">
        <f t="array" ref="Z534">IF('Ingest Template'!A534="Standard",(IF(ISBLANK('Ingest Template'!AB534),"", 'Ingest Template'!AB534&amp;"|DAR")),(IF(ISBLANK('Ingest Template'!AB534),"", 'Ingest Template'!AB534&amp;"|TV Ops")))</f>
        <v/>
      </c>
      <c r="AA534" s="35"/>
      <c r="AB534" s="35" t="str">
        <f>'Ingest Template'!R534</f>
        <v/>
      </c>
      <c r="AC534" s="35" t="str">
        <f>'Ingest Template'!T534</f>
        <v/>
      </c>
      <c r="AD534" s="35" t="str">
        <f>'Ingest Template'!S534</f>
        <v/>
      </c>
      <c r="AE534" s="35" t="str">
        <f>'Ingest Template'!U534</f>
        <v/>
      </c>
      <c r="AF534" s="22"/>
      <c r="AG534" s="35" t="str">
        <f t="array" ref="AG534">IF('Ingest Template'!A534="Standard",(CONCATENATE(IF(ISBLANK('Ingest Template'!N534),"", 'Ingest Template'!N534&amp;"|DAR"),CHAR(10), IF(ISBLANK('Ingest Template'!O534),"", 'Ingest Template'!O534&amp;"|DAR"),CHAR(10), IF(ISBLANK('Ingest Template'!P534),"", 'Ingest Template'!P534&amp;"|DAR"))),(CONCATENATE(IF(ISBLANK('Ingest Template'!N534),"", 'Ingest Template'!N534&amp;"|TV Ops"),CHAR(10), IF(ISBLANK('Ingest Template'!O534),"", 'Ingest Template'!O534&amp;"|TV Ops"),CHAR(10), IF(ISBLANK('Ingest Template'!P534),"", 'Ingest Template'!P534&amp;"|TV Ops"))))</f>
        <v>
</v>
      </c>
      <c r="AH534" s="35"/>
      <c r="AI534" s="35"/>
      <c r="AJ534" s="117" t="str">
        <f>if('Ingest Template'!A534="Standard",(IF(OR('Ingest Template'!F534 = "Program Type - Special", 'Ingest Template'!F534 = "Program Type - Live Event"),'Ingest Template'!M534&amp; "|DAR|DAR|"&amp;TEXT('Ingest Template'!C534-3, "yyyy-mm-dd")&amp;"|"&amp;TEXT('Ingest Template'!C534+3, "yyyy-mm-dd"),'Ingest Template'!M534&amp; "|DAR|DAR|2021-01-01")),(IF(OR('Ingest Template'!F534 = "Program Type - Special", 'Ingest Template'!F534 = "Program Type - Live Event"),'Ingest Template'!M534&amp; "|Operations - Core Title|Operations - Core Title|"&amp;TEXT('Ingest Template'!C534-3, "yyyy-mm-dd")&amp;"|"&amp;TEXT('Ingest Template'!C534+3, "yyyy-mm-dd"),'Ingest Template'!M534&amp; "|Operations - Core Title|Operations - Core Title")))</f>
        <v>|Operations - Core Title|Operations - Core Title</v>
      </c>
      <c r="AK534" s="35"/>
      <c r="AL534" s="117" t="str">
        <f>if('Ingest Template'!A534="Standard",(IF(OR('Ingest Template'!F534 = "Program Type - Special", 'Ingest Template'!F534 = "Program Type - Live Event"),'Ingest Template'!Q534&amp;"|"&amp;TEXT('Ingest Template'!C534-3, "yyyy-mm-dd")&amp;"|"&amp;TEXT('Ingest Template'!C534+3, "yyyy-mm-dd"),'Ingest Template'!Q534&amp; "|2021-01-01")),(IF(OR('Ingest Template'!F534 = "Program Type - Special", 'Ingest Template'!F534 = "Program Type - Live Event"),'Ingest Template'!Q534&amp; "|"&amp;TEXT('Ingest Template'!C534-3, "yyyy-mm-dd")&amp;"|"&amp;TEXT('Ingest Template'!C534+3, "yyyy-mm-dd"),'Ingest Template'!Q534)))</f>
        <v/>
      </c>
      <c r="AM534" s="35" t="str">
        <f>'Ingest Template'!AC534</f>
        <v/>
      </c>
    </row>
    <row r="535">
      <c r="A535" s="15"/>
      <c r="B535" s="22" t="str">
        <f>'Ingest Template'!C535&amp;IF('Ingest Template'!A535 = "Standard", " - DAR","")</f>
        <v/>
      </c>
      <c r="C535" s="22" t="s">
        <v>83</v>
      </c>
      <c r="D535" s="22" t="str">
        <f t="array" ref="D535">CONCATENATE(INDEX(DropdownLists!$H$2:$H$11,MATCH(1,COUNTIF('Ingest Template'!E535,"*"&amp;DropdownLists!$I$2:$I$11&amp;"*"),0)),CHAR(10),'Ingest Template'!F535,CHAR(10),'Ingest Template'!G535,CHAR(10),VLOOKUP('Ingest Template'!D535,DropdownLists!C:D,2,FALSE))</f>
        <v>#N/A</v>
      </c>
      <c r="E535" s="22" t="str">
        <f>CONCATENATE('Ingest Template'!H535,CHAR(10),'Ingest Template'!I535,CHAR(10),'Ingest Template'!J535,CHAR(10))</f>
        <v>
</v>
      </c>
      <c r="F535" s="35" t="str">
        <f t="array" ref="F535">INDEX(DropdownLists!$O$2:$O$36,MATCH(1,COUNTIF(E535,"*"&amp;DropdownLists!$N$2:$N$36&amp;"*"),0))</f>
        <v/>
      </c>
      <c r="G535" s="35"/>
      <c r="H535" s="22" t="str">
        <f t="array" ref="H535">INDEX(DropdownLists!$E$2:$E$276,MATCH('Ingest Template'!D535,DropdownLists!$C$2:$C$276,0))</f>
        <v>#N/A</v>
      </c>
      <c r="I535" s="22"/>
      <c r="J535" s="22" t="str">
        <f t="array" ref="J535">iF('Ingest Template'!A535="Standard","Pristine Brand",INDEX(DropdownLists!$B$2:$B$246,MATCH('Ingest Template'!D535,DropdownLists!$C$2:$C$246,0)))</f>
        <v>#N/A</v>
      </c>
      <c r="K535" s="22" t="str">
        <f>iF('Ingest Template'!A535="Standard",'Ingest Template'!K535&amp;CHAR(10)&amp;'Ingest Template'!L535,"Competitive View")</f>
        <v>Competitive View</v>
      </c>
      <c r="L535" s="22" t="s">
        <v>95</v>
      </c>
      <c r="M535" s="45" t="str">
        <f>'Ingest Template'!B535</f>
        <v/>
      </c>
      <c r="N535" s="35"/>
      <c r="O535" s="35"/>
      <c r="P535" s="35"/>
      <c r="Q535" s="35"/>
      <c r="R535" s="35" t="str">
        <f>'Ingest Template'!D535</f>
        <v/>
      </c>
      <c r="S535" s="22" t="s">
        <v>101</v>
      </c>
      <c r="T535" s="35" t="str">
        <f>'Ingest Template'!V535</f>
        <v/>
      </c>
      <c r="U535" s="35" t="str">
        <f>'Ingest Template'!W535</f>
        <v/>
      </c>
      <c r="V535" s="35" t="str">
        <f>LOWER(SUBSTITUTE(SUBSTITUTE(SUBSTITUTE(SUBSTITUTE(SUBSTITUTE('Ingest Template'!X535,"https:",""),"www.",""),"/",""),"?hl=en",""),"instagram.com",""))</f>
        <v/>
      </c>
      <c r="W535" s="74" t="str">
        <f t="array" ref="W535">IF(
'Ingest Template'!Y535="",
SUBSTITUTE(
INDEX(DropdownLists!$F$2:$F$277,MATCH('Ingest Template'!D535,DropdownLists!$C$2:$C$277,0)),
CHAR(10),
"|"&amp;'Ingest Template'!C535&amp;CHAR(10)
)&amp;"|"&amp;'Ingest Template'!C535,
SUBSTITUTE(
INDEX(DropdownLists!$F$2:$F$277,MATCH('Ingest Template'!D535,DropdownLists!$C$2:$C$277,0)),
CHAR(10),
"|"&amp;'Ingest Template'!C535&amp;CHAR(10)
)&amp;"|"&amp;'Ingest Template'!C535&amp;CHAR(10)&amp;'Ingest Template'!Y535
)</f>
        <v>#N/A</v>
      </c>
      <c r="X535" s="74" t="str">
        <f>'Ingest Template'!Z535</f>
        <v/>
      </c>
      <c r="Y535" s="35" t="str">
        <f>SUBSTITUTE(SUBSTITUTE(SUBSTITUTE('Ingest Template'!AA535,"http:",""),"https:",""),"/","")</f>
        <v/>
      </c>
      <c r="Z535" s="35" t="str">
        <f t="array" ref="Z535">IF('Ingest Template'!A535="Standard",(IF(ISBLANK('Ingest Template'!AB535),"", 'Ingest Template'!AB535&amp;"|DAR")),(IF(ISBLANK('Ingest Template'!AB535),"", 'Ingest Template'!AB535&amp;"|TV Ops")))</f>
        <v/>
      </c>
      <c r="AA535" s="35"/>
      <c r="AB535" s="35" t="str">
        <f>'Ingest Template'!R535</f>
        <v/>
      </c>
      <c r="AC535" s="35" t="str">
        <f>'Ingest Template'!T535</f>
        <v/>
      </c>
      <c r="AD535" s="35" t="str">
        <f>'Ingest Template'!S535</f>
        <v/>
      </c>
      <c r="AE535" s="35" t="str">
        <f>'Ingest Template'!U535</f>
        <v/>
      </c>
      <c r="AF535" s="22"/>
      <c r="AG535" s="35" t="str">
        <f t="array" ref="AG535">IF('Ingest Template'!A535="Standard",(CONCATENATE(IF(ISBLANK('Ingest Template'!N535),"", 'Ingest Template'!N535&amp;"|DAR"),CHAR(10), IF(ISBLANK('Ingest Template'!O535),"", 'Ingest Template'!O535&amp;"|DAR"),CHAR(10), IF(ISBLANK('Ingest Template'!P535),"", 'Ingest Template'!P535&amp;"|DAR"))),(CONCATENATE(IF(ISBLANK('Ingest Template'!N535),"", 'Ingest Template'!N535&amp;"|TV Ops"),CHAR(10), IF(ISBLANK('Ingest Template'!O535),"", 'Ingest Template'!O535&amp;"|TV Ops"),CHAR(10), IF(ISBLANK('Ingest Template'!P535),"", 'Ingest Template'!P535&amp;"|TV Ops"))))</f>
        <v>
</v>
      </c>
      <c r="AH535" s="35"/>
      <c r="AI535" s="35"/>
      <c r="AJ535" s="117" t="str">
        <f>if('Ingest Template'!A535="Standard",(IF(OR('Ingest Template'!F535 = "Program Type - Special", 'Ingest Template'!F535 = "Program Type - Live Event"),'Ingest Template'!M535&amp; "|DAR|DAR|"&amp;TEXT('Ingest Template'!C535-3, "yyyy-mm-dd")&amp;"|"&amp;TEXT('Ingest Template'!C535+3, "yyyy-mm-dd"),'Ingest Template'!M535&amp; "|DAR|DAR|2021-01-01")),(IF(OR('Ingest Template'!F535 = "Program Type - Special", 'Ingest Template'!F535 = "Program Type - Live Event"),'Ingest Template'!M535&amp; "|Operations - Core Title|Operations - Core Title|"&amp;TEXT('Ingest Template'!C535-3, "yyyy-mm-dd")&amp;"|"&amp;TEXT('Ingest Template'!C535+3, "yyyy-mm-dd"),'Ingest Template'!M535&amp; "|Operations - Core Title|Operations - Core Title")))</f>
        <v>|Operations - Core Title|Operations - Core Title</v>
      </c>
      <c r="AK535" s="35"/>
      <c r="AL535" s="117" t="str">
        <f>if('Ingest Template'!A535="Standard",(IF(OR('Ingest Template'!F535 = "Program Type - Special", 'Ingest Template'!F535 = "Program Type - Live Event"),'Ingest Template'!Q535&amp;"|"&amp;TEXT('Ingest Template'!C535-3, "yyyy-mm-dd")&amp;"|"&amp;TEXT('Ingest Template'!C535+3, "yyyy-mm-dd"),'Ingest Template'!Q535&amp; "|2021-01-01")),(IF(OR('Ingest Template'!F535 = "Program Type - Special", 'Ingest Template'!F535 = "Program Type - Live Event"),'Ingest Template'!Q535&amp; "|"&amp;TEXT('Ingest Template'!C535-3, "yyyy-mm-dd")&amp;"|"&amp;TEXT('Ingest Template'!C535+3, "yyyy-mm-dd"),'Ingest Template'!Q535)))</f>
        <v/>
      </c>
      <c r="AM535" s="35" t="str">
        <f>'Ingest Template'!AC535</f>
        <v/>
      </c>
    </row>
    <row r="536">
      <c r="A536" s="15"/>
      <c r="B536" s="22" t="str">
        <f>'Ingest Template'!C536&amp;IF('Ingest Template'!A536 = "Standard", " - DAR","")</f>
        <v/>
      </c>
      <c r="C536" s="22" t="s">
        <v>83</v>
      </c>
      <c r="D536" s="22" t="str">
        <f t="array" ref="D536">CONCATENATE(INDEX(DropdownLists!$H$2:$H$11,MATCH(1,COUNTIF('Ingest Template'!E536,"*"&amp;DropdownLists!$I$2:$I$11&amp;"*"),0)),CHAR(10),'Ingest Template'!F536,CHAR(10),'Ingest Template'!G536,CHAR(10),VLOOKUP('Ingest Template'!D536,DropdownLists!C:D,2,FALSE))</f>
        <v>#N/A</v>
      </c>
      <c r="E536" s="22" t="str">
        <f>CONCATENATE('Ingest Template'!H536,CHAR(10),'Ingest Template'!I536,CHAR(10),'Ingest Template'!J536,CHAR(10))</f>
        <v>
</v>
      </c>
      <c r="F536" s="35" t="str">
        <f t="array" ref="F536">INDEX(DropdownLists!$O$2:$O$36,MATCH(1,COUNTIF(E536,"*"&amp;DropdownLists!$N$2:$N$36&amp;"*"),0))</f>
        <v/>
      </c>
      <c r="G536" s="35"/>
      <c r="H536" s="22" t="str">
        <f t="array" ref="H536">INDEX(DropdownLists!$E$2:$E$276,MATCH('Ingest Template'!D536,DropdownLists!$C$2:$C$276,0))</f>
        <v>#N/A</v>
      </c>
      <c r="I536" s="22"/>
      <c r="J536" s="22" t="str">
        <f t="array" ref="J536">iF('Ingest Template'!A536="Standard","Pristine Brand",INDEX(DropdownLists!$B$2:$B$246,MATCH('Ingest Template'!D536,DropdownLists!$C$2:$C$246,0)))</f>
        <v>#N/A</v>
      </c>
      <c r="K536" s="22" t="str">
        <f>iF('Ingest Template'!A536="Standard",'Ingest Template'!K536&amp;CHAR(10)&amp;'Ingest Template'!L536,"Competitive View")</f>
        <v>Competitive View</v>
      </c>
      <c r="L536" s="22" t="s">
        <v>95</v>
      </c>
      <c r="M536" s="45" t="str">
        <f>'Ingest Template'!B536</f>
        <v/>
      </c>
      <c r="N536" s="35"/>
      <c r="O536" s="35"/>
      <c r="P536" s="35"/>
      <c r="Q536" s="35"/>
      <c r="R536" s="35" t="str">
        <f>'Ingest Template'!D536</f>
        <v/>
      </c>
      <c r="S536" s="22" t="s">
        <v>101</v>
      </c>
      <c r="T536" s="35" t="str">
        <f>'Ingest Template'!V536</f>
        <v/>
      </c>
      <c r="U536" s="35" t="str">
        <f>'Ingest Template'!W536</f>
        <v/>
      </c>
      <c r="V536" s="35" t="str">
        <f>LOWER(SUBSTITUTE(SUBSTITUTE(SUBSTITUTE(SUBSTITUTE(SUBSTITUTE('Ingest Template'!X536,"https:",""),"www.",""),"/",""),"?hl=en",""),"instagram.com",""))</f>
        <v/>
      </c>
      <c r="W536" s="74" t="str">
        <f t="array" ref="W536">IF(
'Ingest Template'!Y536="",
SUBSTITUTE(
INDEX(DropdownLists!$F$2:$F$277,MATCH('Ingest Template'!D536,DropdownLists!$C$2:$C$277,0)),
CHAR(10),
"|"&amp;'Ingest Template'!C536&amp;CHAR(10)
)&amp;"|"&amp;'Ingest Template'!C536,
SUBSTITUTE(
INDEX(DropdownLists!$F$2:$F$277,MATCH('Ingest Template'!D536,DropdownLists!$C$2:$C$277,0)),
CHAR(10),
"|"&amp;'Ingest Template'!C536&amp;CHAR(10)
)&amp;"|"&amp;'Ingest Template'!C536&amp;CHAR(10)&amp;'Ingest Template'!Y536
)</f>
        <v>#N/A</v>
      </c>
      <c r="X536" s="74" t="str">
        <f>'Ingest Template'!Z536</f>
        <v/>
      </c>
      <c r="Y536" s="35" t="str">
        <f>SUBSTITUTE(SUBSTITUTE(SUBSTITUTE('Ingest Template'!AA536,"http:",""),"https:",""),"/","")</f>
        <v/>
      </c>
      <c r="Z536" s="35" t="str">
        <f t="array" ref="Z536">IF('Ingest Template'!A536="Standard",(IF(ISBLANK('Ingest Template'!AB536),"", 'Ingest Template'!AB536&amp;"|DAR")),(IF(ISBLANK('Ingest Template'!AB536),"", 'Ingest Template'!AB536&amp;"|TV Ops")))</f>
        <v/>
      </c>
      <c r="AA536" s="35"/>
      <c r="AB536" s="35" t="str">
        <f>'Ingest Template'!R536</f>
        <v/>
      </c>
      <c r="AC536" s="35" t="str">
        <f>'Ingest Template'!T536</f>
        <v/>
      </c>
      <c r="AD536" s="35" t="str">
        <f>'Ingest Template'!S536</f>
        <v/>
      </c>
      <c r="AE536" s="35" t="str">
        <f>'Ingest Template'!U536</f>
        <v/>
      </c>
      <c r="AF536" s="22"/>
      <c r="AG536" s="35" t="str">
        <f t="array" ref="AG536">IF('Ingest Template'!A536="Standard",(CONCATENATE(IF(ISBLANK('Ingest Template'!N536),"", 'Ingest Template'!N536&amp;"|DAR"),CHAR(10), IF(ISBLANK('Ingest Template'!O536),"", 'Ingest Template'!O536&amp;"|DAR"),CHAR(10), IF(ISBLANK('Ingest Template'!P536),"", 'Ingest Template'!P536&amp;"|DAR"))),(CONCATENATE(IF(ISBLANK('Ingest Template'!N536),"", 'Ingest Template'!N536&amp;"|TV Ops"),CHAR(10), IF(ISBLANK('Ingest Template'!O536),"", 'Ingest Template'!O536&amp;"|TV Ops"),CHAR(10), IF(ISBLANK('Ingest Template'!P536),"", 'Ingest Template'!P536&amp;"|TV Ops"))))</f>
        <v>
</v>
      </c>
      <c r="AH536" s="35"/>
      <c r="AI536" s="35"/>
      <c r="AJ536" s="117" t="str">
        <f>if('Ingest Template'!A536="Standard",(IF(OR('Ingest Template'!F536 = "Program Type - Special", 'Ingest Template'!F536 = "Program Type - Live Event"),'Ingest Template'!M536&amp; "|DAR|DAR|"&amp;TEXT('Ingest Template'!C536-3, "yyyy-mm-dd")&amp;"|"&amp;TEXT('Ingest Template'!C536+3, "yyyy-mm-dd"),'Ingest Template'!M536&amp; "|DAR|DAR|2021-01-01")),(IF(OR('Ingest Template'!F536 = "Program Type - Special", 'Ingest Template'!F536 = "Program Type - Live Event"),'Ingest Template'!M536&amp; "|Operations - Core Title|Operations - Core Title|"&amp;TEXT('Ingest Template'!C536-3, "yyyy-mm-dd")&amp;"|"&amp;TEXT('Ingest Template'!C536+3, "yyyy-mm-dd"),'Ingest Template'!M536&amp; "|Operations - Core Title|Operations - Core Title")))</f>
        <v>|Operations - Core Title|Operations - Core Title</v>
      </c>
      <c r="AK536" s="35"/>
      <c r="AL536" s="117" t="str">
        <f>if('Ingest Template'!A536="Standard",(IF(OR('Ingest Template'!F536 = "Program Type - Special", 'Ingest Template'!F536 = "Program Type - Live Event"),'Ingest Template'!Q536&amp;"|"&amp;TEXT('Ingest Template'!C536-3, "yyyy-mm-dd")&amp;"|"&amp;TEXT('Ingest Template'!C536+3, "yyyy-mm-dd"),'Ingest Template'!Q536&amp; "|2021-01-01")),(IF(OR('Ingest Template'!F536 = "Program Type - Special", 'Ingest Template'!F536 = "Program Type - Live Event"),'Ingest Template'!Q536&amp; "|"&amp;TEXT('Ingest Template'!C536-3, "yyyy-mm-dd")&amp;"|"&amp;TEXT('Ingest Template'!C536+3, "yyyy-mm-dd"),'Ingest Template'!Q536)))</f>
        <v/>
      </c>
      <c r="AM536" s="35" t="str">
        <f>'Ingest Template'!AC536</f>
        <v/>
      </c>
    </row>
    <row r="537">
      <c r="A537" s="15"/>
      <c r="B537" s="22" t="str">
        <f>'Ingest Template'!C537&amp;IF('Ingest Template'!A537 = "Standard", " - DAR","")</f>
        <v/>
      </c>
      <c r="C537" s="22" t="s">
        <v>83</v>
      </c>
      <c r="D537" s="22" t="str">
        <f t="array" ref="D537">CONCATENATE(INDEX(DropdownLists!$H$2:$H$11,MATCH(1,COUNTIF('Ingest Template'!E537,"*"&amp;DropdownLists!$I$2:$I$11&amp;"*"),0)),CHAR(10),'Ingest Template'!F537,CHAR(10),'Ingest Template'!G537,CHAR(10),VLOOKUP('Ingest Template'!D537,DropdownLists!C:D,2,FALSE))</f>
        <v>#N/A</v>
      </c>
      <c r="E537" s="22" t="str">
        <f>CONCATENATE('Ingest Template'!H537,CHAR(10),'Ingest Template'!I537,CHAR(10),'Ingest Template'!J537,CHAR(10))</f>
        <v>
</v>
      </c>
      <c r="F537" s="35" t="str">
        <f t="array" ref="F537">INDEX(DropdownLists!$O$2:$O$36,MATCH(1,COUNTIF(E537,"*"&amp;DropdownLists!$N$2:$N$36&amp;"*"),0))</f>
        <v/>
      </c>
      <c r="G537" s="35"/>
      <c r="H537" s="22" t="str">
        <f t="array" ref="H537">INDEX(DropdownLists!$E$2:$E$276,MATCH('Ingest Template'!D537,DropdownLists!$C$2:$C$276,0))</f>
        <v>#N/A</v>
      </c>
      <c r="I537" s="22"/>
      <c r="J537" s="22" t="str">
        <f t="array" ref="J537">iF('Ingest Template'!A537="Standard","Pristine Brand",INDEX(DropdownLists!$B$2:$B$246,MATCH('Ingest Template'!D537,DropdownLists!$C$2:$C$246,0)))</f>
        <v>#N/A</v>
      </c>
      <c r="K537" s="22" t="str">
        <f>iF('Ingest Template'!A537="Standard",'Ingest Template'!K537&amp;CHAR(10)&amp;'Ingest Template'!L537,"Competitive View")</f>
        <v>Competitive View</v>
      </c>
      <c r="L537" s="22" t="s">
        <v>95</v>
      </c>
      <c r="M537" s="45" t="str">
        <f>'Ingest Template'!B537</f>
        <v/>
      </c>
      <c r="N537" s="35"/>
      <c r="O537" s="35"/>
      <c r="P537" s="35"/>
      <c r="Q537" s="35"/>
      <c r="R537" s="35" t="str">
        <f>'Ingest Template'!D537</f>
        <v/>
      </c>
      <c r="S537" s="22" t="s">
        <v>101</v>
      </c>
      <c r="T537" s="35" t="str">
        <f>'Ingest Template'!V537</f>
        <v/>
      </c>
      <c r="U537" s="35" t="str">
        <f>'Ingest Template'!W537</f>
        <v/>
      </c>
      <c r="V537" s="35" t="str">
        <f>LOWER(SUBSTITUTE(SUBSTITUTE(SUBSTITUTE(SUBSTITUTE(SUBSTITUTE('Ingest Template'!X537,"https:",""),"www.",""),"/",""),"?hl=en",""),"instagram.com",""))</f>
        <v/>
      </c>
      <c r="W537" s="74" t="str">
        <f t="array" ref="W537">IF(
'Ingest Template'!Y537="",
SUBSTITUTE(
INDEX(DropdownLists!$F$2:$F$277,MATCH('Ingest Template'!D537,DropdownLists!$C$2:$C$277,0)),
CHAR(10),
"|"&amp;'Ingest Template'!C537&amp;CHAR(10)
)&amp;"|"&amp;'Ingest Template'!C537,
SUBSTITUTE(
INDEX(DropdownLists!$F$2:$F$277,MATCH('Ingest Template'!D537,DropdownLists!$C$2:$C$277,0)),
CHAR(10),
"|"&amp;'Ingest Template'!C537&amp;CHAR(10)
)&amp;"|"&amp;'Ingest Template'!C537&amp;CHAR(10)&amp;'Ingest Template'!Y537
)</f>
        <v>#N/A</v>
      </c>
      <c r="X537" s="74" t="str">
        <f>'Ingest Template'!Z537</f>
        <v/>
      </c>
      <c r="Y537" s="35" t="str">
        <f>SUBSTITUTE(SUBSTITUTE(SUBSTITUTE('Ingest Template'!AA537,"http:",""),"https:",""),"/","")</f>
        <v/>
      </c>
      <c r="Z537" s="35" t="str">
        <f t="array" ref="Z537">IF('Ingest Template'!A537="Standard",(IF(ISBLANK('Ingest Template'!AB537),"", 'Ingest Template'!AB537&amp;"|DAR")),(IF(ISBLANK('Ingest Template'!AB537),"", 'Ingest Template'!AB537&amp;"|TV Ops")))</f>
        <v/>
      </c>
      <c r="AA537" s="35"/>
      <c r="AB537" s="35" t="str">
        <f>'Ingest Template'!R537</f>
        <v/>
      </c>
      <c r="AC537" s="35" t="str">
        <f>'Ingest Template'!T537</f>
        <v/>
      </c>
      <c r="AD537" s="35" t="str">
        <f>'Ingest Template'!S537</f>
        <v/>
      </c>
      <c r="AE537" s="35" t="str">
        <f>'Ingest Template'!U537</f>
        <v/>
      </c>
      <c r="AF537" s="22"/>
      <c r="AG537" s="35" t="str">
        <f t="array" ref="AG537">IF('Ingest Template'!A537="Standard",(CONCATENATE(IF(ISBLANK('Ingest Template'!N537),"", 'Ingest Template'!N537&amp;"|DAR"),CHAR(10), IF(ISBLANK('Ingest Template'!O537),"", 'Ingest Template'!O537&amp;"|DAR"),CHAR(10), IF(ISBLANK('Ingest Template'!P537),"", 'Ingest Template'!P537&amp;"|DAR"))),(CONCATENATE(IF(ISBLANK('Ingest Template'!N537),"", 'Ingest Template'!N537&amp;"|TV Ops"),CHAR(10), IF(ISBLANK('Ingest Template'!O537),"", 'Ingest Template'!O537&amp;"|TV Ops"),CHAR(10), IF(ISBLANK('Ingest Template'!P537),"", 'Ingest Template'!P537&amp;"|TV Ops"))))</f>
        <v>
</v>
      </c>
      <c r="AH537" s="35"/>
      <c r="AI537" s="35"/>
      <c r="AJ537" s="117" t="str">
        <f>if('Ingest Template'!A537="Standard",(IF(OR('Ingest Template'!F537 = "Program Type - Special", 'Ingest Template'!F537 = "Program Type - Live Event"),'Ingest Template'!M537&amp; "|DAR|DAR|"&amp;TEXT('Ingest Template'!C537-3, "yyyy-mm-dd")&amp;"|"&amp;TEXT('Ingest Template'!C537+3, "yyyy-mm-dd"),'Ingest Template'!M537&amp; "|DAR|DAR|2021-01-01")),(IF(OR('Ingest Template'!F537 = "Program Type - Special", 'Ingest Template'!F537 = "Program Type - Live Event"),'Ingest Template'!M537&amp; "|Operations - Core Title|Operations - Core Title|"&amp;TEXT('Ingest Template'!C537-3, "yyyy-mm-dd")&amp;"|"&amp;TEXT('Ingest Template'!C537+3, "yyyy-mm-dd"),'Ingest Template'!M537&amp; "|Operations - Core Title|Operations - Core Title")))</f>
        <v>|Operations - Core Title|Operations - Core Title</v>
      </c>
      <c r="AK537" s="35"/>
      <c r="AL537" s="117" t="str">
        <f>if('Ingest Template'!A537="Standard",(IF(OR('Ingest Template'!F537 = "Program Type - Special", 'Ingest Template'!F537 = "Program Type - Live Event"),'Ingest Template'!Q537&amp;"|"&amp;TEXT('Ingest Template'!C537-3, "yyyy-mm-dd")&amp;"|"&amp;TEXT('Ingest Template'!C537+3, "yyyy-mm-dd"),'Ingest Template'!Q537&amp; "|2021-01-01")),(IF(OR('Ingest Template'!F537 = "Program Type - Special", 'Ingest Template'!F537 = "Program Type - Live Event"),'Ingest Template'!Q537&amp; "|"&amp;TEXT('Ingest Template'!C537-3, "yyyy-mm-dd")&amp;"|"&amp;TEXT('Ingest Template'!C537+3, "yyyy-mm-dd"),'Ingest Template'!Q537)))</f>
        <v/>
      </c>
      <c r="AM537" s="35" t="str">
        <f>'Ingest Template'!AC537</f>
        <v/>
      </c>
    </row>
    <row r="538">
      <c r="A538" s="15"/>
      <c r="B538" s="22" t="str">
        <f>'Ingest Template'!C538&amp;IF('Ingest Template'!A538 = "Standard", " - DAR","")</f>
        <v/>
      </c>
      <c r="C538" s="22" t="s">
        <v>83</v>
      </c>
      <c r="D538" s="22" t="str">
        <f t="array" ref="D538">CONCATENATE(INDEX(DropdownLists!$H$2:$H$11,MATCH(1,COUNTIF('Ingest Template'!E538,"*"&amp;DropdownLists!$I$2:$I$11&amp;"*"),0)),CHAR(10),'Ingest Template'!F538,CHAR(10),'Ingest Template'!G538,CHAR(10),VLOOKUP('Ingest Template'!D538,DropdownLists!C:D,2,FALSE))</f>
        <v>#N/A</v>
      </c>
      <c r="E538" s="22" t="str">
        <f>CONCATENATE('Ingest Template'!H538,CHAR(10),'Ingest Template'!I538,CHAR(10),'Ingest Template'!J538,CHAR(10))</f>
        <v>
</v>
      </c>
      <c r="F538" s="35" t="str">
        <f t="array" ref="F538">INDEX(DropdownLists!$O$2:$O$36,MATCH(1,COUNTIF(E538,"*"&amp;DropdownLists!$N$2:$N$36&amp;"*"),0))</f>
        <v/>
      </c>
      <c r="G538" s="35"/>
      <c r="H538" s="22" t="str">
        <f t="array" ref="H538">INDEX(DropdownLists!$E$2:$E$276,MATCH('Ingest Template'!D538,DropdownLists!$C$2:$C$276,0))</f>
        <v>#N/A</v>
      </c>
      <c r="I538" s="22"/>
      <c r="J538" s="22" t="str">
        <f t="array" ref="J538">iF('Ingest Template'!A538="Standard","Pristine Brand",INDEX(DropdownLists!$B$2:$B$246,MATCH('Ingest Template'!D538,DropdownLists!$C$2:$C$246,0)))</f>
        <v>#N/A</v>
      </c>
      <c r="K538" s="22" t="str">
        <f>iF('Ingest Template'!A538="Standard",'Ingest Template'!K538&amp;CHAR(10)&amp;'Ingest Template'!L538,"Competitive View")</f>
        <v>Competitive View</v>
      </c>
      <c r="L538" s="22" t="s">
        <v>95</v>
      </c>
      <c r="M538" s="45" t="str">
        <f>'Ingest Template'!B538</f>
        <v/>
      </c>
      <c r="N538" s="35"/>
      <c r="O538" s="35"/>
      <c r="P538" s="35"/>
      <c r="Q538" s="35"/>
      <c r="R538" s="35" t="str">
        <f>'Ingest Template'!D538</f>
        <v/>
      </c>
      <c r="S538" s="22" t="s">
        <v>101</v>
      </c>
      <c r="T538" s="35" t="str">
        <f>'Ingest Template'!V538</f>
        <v/>
      </c>
      <c r="U538" s="35" t="str">
        <f>'Ingest Template'!W538</f>
        <v/>
      </c>
      <c r="V538" s="35" t="str">
        <f>LOWER(SUBSTITUTE(SUBSTITUTE(SUBSTITUTE(SUBSTITUTE(SUBSTITUTE('Ingest Template'!X538,"https:",""),"www.",""),"/",""),"?hl=en",""),"instagram.com",""))</f>
        <v/>
      </c>
      <c r="W538" s="74" t="str">
        <f t="array" ref="W538">IF(
'Ingest Template'!Y538="",
SUBSTITUTE(
INDEX(DropdownLists!$F$2:$F$277,MATCH('Ingest Template'!D538,DropdownLists!$C$2:$C$277,0)),
CHAR(10),
"|"&amp;'Ingest Template'!C538&amp;CHAR(10)
)&amp;"|"&amp;'Ingest Template'!C538,
SUBSTITUTE(
INDEX(DropdownLists!$F$2:$F$277,MATCH('Ingest Template'!D538,DropdownLists!$C$2:$C$277,0)),
CHAR(10),
"|"&amp;'Ingest Template'!C538&amp;CHAR(10)
)&amp;"|"&amp;'Ingest Template'!C538&amp;CHAR(10)&amp;'Ingest Template'!Y538
)</f>
        <v>#N/A</v>
      </c>
      <c r="X538" s="74" t="str">
        <f>'Ingest Template'!Z538</f>
        <v/>
      </c>
      <c r="Y538" s="35" t="str">
        <f>SUBSTITUTE(SUBSTITUTE(SUBSTITUTE('Ingest Template'!AA538,"http:",""),"https:",""),"/","")</f>
        <v/>
      </c>
      <c r="Z538" s="35" t="str">
        <f t="array" ref="Z538">IF('Ingest Template'!A538="Standard",(IF(ISBLANK('Ingest Template'!AB538),"", 'Ingest Template'!AB538&amp;"|DAR")),(IF(ISBLANK('Ingest Template'!AB538),"", 'Ingest Template'!AB538&amp;"|TV Ops")))</f>
        <v/>
      </c>
      <c r="AA538" s="35"/>
      <c r="AB538" s="35" t="str">
        <f>'Ingest Template'!R538</f>
        <v/>
      </c>
      <c r="AC538" s="35" t="str">
        <f>'Ingest Template'!T538</f>
        <v/>
      </c>
      <c r="AD538" s="35" t="str">
        <f>'Ingest Template'!S538</f>
        <v/>
      </c>
      <c r="AE538" s="35" t="str">
        <f>'Ingest Template'!U538</f>
        <v/>
      </c>
      <c r="AF538" s="22"/>
      <c r="AG538" s="35" t="str">
        <f t="array" ref="AG538">IF('Ingest Template'!A538="Standard",(CONCATENATE(IF(ISBLANK('Ingest Template'!N538),"", 'Ingest Template'!N538&amp;"|DAR"),CHAR(10), IF(ISBLANK('Ingest Template'!O538),"", 'Ingest Template'!O538&amp;"|DAR"),CHAR(10), IF(ISBLANK('Ingest Template'!P538),"", 'Ingest Template'!P538&amp;"|DAR"))),(CONCATENATE(IF(ISBLANK('Ingest Template'!N538),"", 'Ingest Template'!N538&amp;"|TV Ops"),CHAR(10), IF(ISBLANK('Ingest Template'!O538),"", 'Ingest Template'!O538&amp;"|TV Ops"),CHAR(10), IF(ISBLANK('Ingest Template'!P538),"", 'Ingest Template'!P538&amp;"|TV Ops"))))</f>
        <v>
</v>
      </c>
      <c r="AH538" s="35"/>
      <c r="AI538" s="35"/>
      <c r="AJ538" s="117" t="str">
        <f>if('Ingest Template'!A538="Standard",(IF(OR('Ingest Template'!F538 = "Program Type - Special", 'Ingest Template'!F538 = "Program Type - Live Event"),'Ingest Template'!M538&amp; "|DAR|DAR|"&amp;TEXT('Ingest Template'!C538-3, "yyyy-mm-dd")&amp;"|"&amp;TEXT('Ingest Template'!C538+3, "yyyy-mm-dd"),'Ingest Template'!M538&amp; "|DAR|DAR|2021-01-01")),(IF(OR('Ingest Template'!F538 = "Program Type - Special", 'Ingest Template'!F538 = "Program Type - Live Event"),'Ingest Template'!M538&amp; "|Operations - Core Title|Operations - Core Title|"&amp;TEXT('Ingest Template'!C538-3, "yyyy-mm-dd")&amp;"|"&amp;TEXT('Ingest Template'!C538+3, "yyyy-mm-dd"),'Ingest Template'!M538&amp; "|Operations - Core Title|Operations - Core Title")))</f>
        <v>|Operations - Core Title|Operations - Core Title</v>
      </c>
      <c r="AK538" s="35"/>
      <c r="AL538" s="117" t="str">
        <f>if('Ingest Template'!A538="Standard",(IF(OR('Ingest Template'!F538 = "Program Type - Special", 'Ingest Template'!F538 = "Program Type - Live Event"),'Ingest Template'!Q538&amp;"|"&amp;TEXT('Ingest Template'!C538-3, "yyyy-mm-dd")&amp;"|"&amp;TEXT('Ingest Template'!C538+3, "yyyy-mm-dd"),'Ingest Template'!Q538&amp; "|2021-01-01")),(IF(OR('Ingest Template'!F538 = "Program Type - Special", 'Ingest Template'!F538 = "Program Type - Live Event"),'Ingest Template'!Q538&amp; "|"&amp;TEXT('Ingest Template'!C538-3, "yyyy-mm-dd")&amp;"|"&amp;TEXT('Ingest Template'!C538+3, "yyyy-mm-dd"),'Ingest Template'!Q538)))</f>
        <v/>
      </c>
      <c r="AM538" s="35" t="str">
        <f>'Ingest Template'!AC538</f>
        <v/>
      </c>
    </row>
    <row r="539">
      <c r="A539" s="15"/>
      <c r="B539" s="22" t="str">
        <f>'Ingest Template'!C539&amp;IF('Ingest Template'!A539 = "Standard", " - DAR","")</f>
        <v/>
      </c>
      <c r="C539" s="22" t="s">
        <v>83</v>
      </c>
      <c r="D539" s="22" t="str">
        <f t="array" ref="D539">CONCATENATE(INDEX(DropdownLists!$H$2:$H$11,MATCH(1,COUNTIF('Ingest Template'!E539,"*"&amp;DropdownLists!$I$2:$I$11&amp;"*"),0)),CHAR(10),'Ingest Template'!F539,CHAR(10),'Ingest Template'!G539,CHAR(10),VLOOKUP('Ingest Template'!D539,DropdownLists!C:D,2,FALSE))</f>
        <v>#N/A</v>
      </c>
      <c r="E539" s="22" t="str">
        <f>CONCATENATE('Ingest Template'!H539,CHAR(10),'Ingest Template'!I539,CHAR(10),'Ingest Template'!J539,CHAR(10))</f>
        <v>
</v>
      </c>
      <c r="F539" s="35" t="str">
        <f t="array" ref="F539">INDEX(DropdownLists!$O$2:$O$36,MATCH(1,COUNTIF(E539,"*"&amp;DropdownLists!$N$2:$N$36&amp;"*"),0))</f>
        <v/>
      </c>
      <c r="G539" s="35"/>
      <c r="H539" s="22" t="str">
        <f t="array" ref="H539">INDEX(DropdownLists!$E$2:$E$276,MATCH('Ingest Template'!D539,DropdownLists!$C$2:$C$276,0))</f>
        <v>#N/A</v>
      </c>
      <c r="I539" s="22"/>
      <c r="J539" s="22" t="str">
        <f t="array" ref="J539">iF('Ingest Template'!A539="Standard","Pristine Brand",INDEX(DropdownLists!$B$2:$B$246,MATCH('Ingest Template'!D539,DropdownLists!$C$2:$C$246,0)))</f>
        <v>#N/A</v>
      </c>
      <c r="K539" s="22" t="str">
        <f>iF('Ingest Template'!A539="Standard",'Ingest Template'!K539&amp;CHAR(10)&amp;'Ingest Template'!L539,"Competitive View")</f>
        <v>Competitive View</v>
      </c>
      <c r="L539" s="22" t="s">
        <v>95</v>
      </c>
      <c r="M539" s="45" t="str">
        <f>'Ingest Template'!B539</f>
        <v/>
      </c>
      <c r="N539" s="35"/>
      <c r="O539" s="35"/>
      <c r="P539" s="35"/>
      <c r="Q539" s="35"/>
      <c r="R539" s="35" t="str">
        <f>'Ingest Template'!D539</f>
        <v/>
      </c>
      <c r="S539" s="22" t="s">
        <v>101</v>
      </c>
      <c r="T539" s="35" t="str">
        <f>'Ingest Template'!V539</f>
        <v/>
      </c>
      <c r="U539" s="35" t="str">
        <f>'Ingest Template'!W539</f>
        <v/>
      </c>
      <c r="V539" s="35" t="str">
        <f>LOWER(SUBSTITUTE(SUBSTITUTE(SUBSTITUTE(SUBSTITUTE(SUBSTITUTE('Ingest Template'!X539,"https:",""),"www.",""),"/",""),"?hl=en",""),"instagram.com",""))</f>
        <v/>
      </c>
      <c r="W539" s="74" t="str">
        <f t="array" ref="W539">IF(
'Ingest Template'!Y539="",
SUBSTITUTE(
INDEX(DropdownLists!$F$2:$F$277,MATCH('Ingest Template'!D539,DropdownLists!$C$2:$C$277,0)),
CHAR(10),
"|"&amp;'Ingest Template'!C539&amp;CHAR(10)
)&amp;"|"&amp;'Ingest Template'!C539,
SUBSTITUTE(
INDEX(DropdownLists!$F$2:$F$277,MATCH('Ingest Template'!D539,DropdownLists!$C$2:$C$277,0)),
CHAR(10),
"|"&amp;'Ingest Template'!C539&amp;CHAR(10)
)&amp;"|"&amp;'Ingest Template'!C539&amp;CHAR(10)&amp;'Ingest Template'!Y539
)</f>
        <v>#N/A</v>
      </c>
      <c r="X539" s="74" t="str">
        <f>'Ingest Template'!Z539</f>
        <v/>
      </c>
      <c r="Y539" s="35" t="str">
        <f>SUBSTITUTE(SUBSTITUTE(SUBSTITUTE('Ingest Template'!AA539,"http:",""),"https:",""),"/","")</f>
        <v/>
      </c>
      <c r="Z539" s="35" t="str">
        <f t="array" ref="Z539">IF('Ingest Template'!A539="Standard",(IF(ISBLANK('Ingest Template'!AB539),"", 'Ingest Template'!AB539&amp;"|DAR")),(IF(ISBLANK('Ingest Template'!AB539),"", 'Ingest Template'!AB539&amp;"|TV Ops")))</f>
        <v/>
      </c>
      <c r="AA539" s="35"/>
      <c r="AB539" s="35" t="str">
        <f>'Ingest Template'!R539</f>
        <v/>
      </c>
      <c r="AC539" s="35" t="str">
        <f>'Ingest Template'!T539</f>
        <v/>
      </c>
      <c r="AD539" s="35" t="str">
        <f>'Ingest Template'!S539</f>
        <v/>
      </c>
      <c r="AE539" s="35" t="str">
        <f>'Ingest Template'!U539</f>
        <v/>
      </c>
      <c r="AF539" s="22"/>
      <c r="AG539" s="35" t="str">
        <f t="array" ref="AG539">IF('Ingest Template'!A539="Standard",(CONCATENATE(IF(ISBLANK('Ingest Template'!N539),"", 'Ingest Template'!N539&amp;"|DAR"),CHAR(10), IF(ISBLANK('Ingest Template'!O539),"", 'Ingest Template'!O539&amp;"|DAR"),CHAR(10), IF(ISBLANK('Ingest Template'!P539),"", 'Ingest Template'!P539&amp;"|DAR"))),(CONCATENATE(IF(ISBLANK('Ingest Template'!N539),"", 'Ingest Template'!N539&amp;"|TV Ops"),CHAR(10), IF(ISBLANK('Ingest Template'!O539),"", 'Ingest Template'!O539&amp;"|TV Ops"),CHAR(10), IF(ISBLANK('Ingest Template'!P539),"", 'Ingest Template'!P539&amp;"|TV Ops"))))</f>
        <v>
</v>
      </c>
      <c r="AH539" s="35"/>
      <c r="AI539" s="35"/>
      <c r="AJ539" s="117" t="str">
        <f>if('Ingest Template'!A539="Standard",(IF(OR('Ingest Template'!F539 = "Program Type - Special", 'Ingest Template'!F539 = "Program Type - Live Event"),'Ingest Template'!M539&amp; "|DAR|DAR|"&amp;TEXT('Ingest Template'!C539-3, "yyyy-mm-dd")&amp;"|"&amp;TEXT('Ingest Template'!C539+3, "yyyy-mm-dd"),'Ingest Template'!M539&amp; "|DAR|DAR|2021-01-01")),(IF(OR('Ingest Template'!F539 = "Program Type - Special", 'Ingest Template'!F539 = "Program Type - Live Event"),'Ingest Template'!M539&amp; "|Operations - Core Title|Operations - Core Title|"&amp;TEXT('Ingest Template'!C539-3, "yyyy-mm-dd")&amp;"|"&amp;TEXT('Ingest Template'!C539+3, "yyyy-mm-dd"),'Ingest Template'!M539&amp; "|Operations - Core Title|Operations - Core Title")))</f>
        <v>|Operations - Core Title|Operations - Core Title</v>
      </c>
      <c r="AK539" s="35"/>
      <c r="AL539" s="117" t="str">
        <f>if('Ingest Template'!A539="Standard",(IF(OR('Ingest Template'!F539 = "Program Type - Special", 'Ingest Template'!F539 = "Program Type - Live Event"),'Ingest Template'!Q539&amp;"|"&amp;TEXT('Ingest Template'!C539-3, "yyyy-mm-dd")&amp;"|"&amp;TEXT('Ingest Template'!C539+3, "yyyy-mm-dd"),'Ingest Template'!Q539&amp; "|2021-01-01")),(IF(OR('Ingest Template'!F539 = "Program Type - Special", 'Ingest Template'!F539 = "Program Type - Live Event"),'Ingest Template'!Q539&amp; "|"&amp;TEXT('Ingest Template'!C539-3, "yyyy-mm-dd")&amp;"|"&amp;TEXT('Ingest Template'!C539+3, "yyyy-mm-dd"),'Ingest Template'!Q539)))</f>
        <v/>
      </c>
      <c r="AM539" s="35" t="str">
        <f>'Ingest Template'!AC539</f>
        <v/>
      </c>
    </row>
    <row r="540">
      <c r="A540" s="15"/>
      <c r="B540" s="22" t="str">
        <f>'Ingest Template'!C540&amp;IF('Ingest Template'!A540 = "Standard", " - DAR","")</f>
        <v/>
      </c>
      <c r="C540" s="22" t="s">
        <v>83</v>
      </c>
      <c r="D540" s="22" t="str">
        <f t="array" ref="D540">CONCATENATE(INDEX(DropdownLists!$H$2:$H$11,MATCH(1,COUNTIF('Ingest Template'!E540,"*"&amp;DropdownLists!$I$2:$I$11&amp;"*"),0)),CHAR(10),'Ingest Template'!F540,CHAR(10),'Ingest Template'!G540,CHAR(10),VLOOKUP('Ingest Template'!D540,DropdownLists!C:D,2,FALSE))</f>
        <v>#N/A</v>
      </c>
      <c r="E540" s="22" t="str">
        <f>CONCATENATE('Ingest Template'!H540,CHAR(10),'Ingest Template'!I540,CHAR(10),'Ingest Template'!J540,CHAR(10))</f>
        <v>
</v>
      </c>
      <c r="F540" s="35" t="str">
        <f t="array" ref="F540">INDEX(DropdownLists!$O$2:$O$36,MATCH(1,COUNTIF(E540,"*"&amp;DropdownLists!$N$2:$N$36&amp;"*"),0))</f>
        <v/>
      </c>
      <c r="G540" s="35"/>
      <c r="H540" s="22" t="str">
        <f t="array" ref="H540">INDEX(DropdownLists!$E$2:$E$276,MATCH('Ingest Template'!D540,DropdownLists!$C$2:$C$276,0))</f>
        <v>#N/A</v>
      </c>
      <c r="I540" s="22"/>
      <c r="J540" s="22" t="str">
        <f t="array" ref="J540">iF('Ingest Template'!A540="Standard","Pristine Brand",INDEX(DropdownLists!$B$2:$B$246,MATCH('Ingest Template'!D540,DropdownLists!$C$2:$C$246,0)))</f>
        <v>#N/A</v>
      </c>
      <c r="K540" s="22" t="str">
        <f>iF('Ingest Template'!A540="Standard",'Ingest Template'!K540&amp;CHAR(10)&amp;'Ingest Template'!L540,"Competitive View")</f>
        <v>Competitive View</v>
      </c>
      <c r="L540" s="22" t="s">
        <v>95</v>
      </c>
      <c r="M540" s="45" t="str">
        <f>'Ingest Template'!B540</f>
        <v/>
      </c>
      <c r="N540" s="35"/>
      <c r="O540" s="35"/>
      <c r="P540" s="35"/>
      <c r="Q540" s="35"/>
      <c r="R540" s="35" t="str">
        <f>'Ingest Template'!D540</f>
        <v/>
      </c>
      <c r="S540" s="22" t="s">
        <v>101</v>
      </c>
      <c r="T540" s="35" t="str">
        <f>'Ingest Template'!V540</f>
        <v/>
      </c>
      <c r="U540" s="35" t="str">
        <f>'Ingest Template'!W540</f>
        <v/>
      </c>
      <c r="V540" s="35" t="str">
        <f>LOWER(SUBSTITUTE(SUBSTITUTE(SUBSTITUTE(SUBSTITUTE(SUBSTITUTE('Ingest Template'!X540,"https:",""),"www.",""),"/",""),"?hl=en",""),"instagram.com",""))</f>
        <v/>
      </c>
      <c r="W540" s="74" t="str">
        <f t="array" ref="W540">IF(
'Ingest Template'!Y540="",
SUBSTITUTE(
INDEX(DropdownLists!$F$2:$F$277,MATCH('Ingest Template'!D540,DropdownLists!$C$2:$C$277,0)),
CHAR(10),
"|"&amp;'Ingest Template'!C540&amp;CHAR(10)
)&amp;"|"&amp;'Ingest Template'!C540,
SUBSTITUTE(
INDEX(DropdownLists!$F$2:$F$277,MATCH('Ingest Template'!D540,DropdownLists!$C$2:$C$277,0)),
CHAR(10),
"|"&amp;'Ingest Template'!C540&amp;CHAR(10)
)&amp;"|"&amp;'Ingest Template'!C540&amp;CHAR(10)&amp;'Ingest Template'!Y540
)</f>
        <v>#N/A</v>
      </c>
      <c r="X540" s="74" t="str">
        <f>'Ingest Template'!Z540</f>
        <v/>
      </c>
      <c r="Y540" s="35" t="str">
        <f>SUBSTITUTE(SUBSTITUTE(SUBSTITUTE('Ingest Template'!AA540,"http:",""),"https:",""),"/","")</f>
        <v/>
      </c>
      <c r="Z540" s="35" t="str">
        <f t="array" ref="Z540">IF('Ingest Template'!A540="Standard",(IF(ISBLANK('Ingest Template'!AB540),"", 'Ingest Template'!AB540&amp;"|DAR")),(IF(ISBLANK('Ingest Template'!AB540),"", 'Ingest Template'!AB540&amp;"|TV Ops")))</f>
        <v/>
      </c>
      <c r="AA540" s="35"/>
      <c r="AB540" s="35" t="str">
        <f>'Ingest Template'!R540</f>
        <v/>
      </c>
      <c r="AC540" s="35" t="str">
        <f>'Ingest Template'!T540</f>
        <v/>
      </c>
      <c r="AD540" s="35" t="str">
        <f>'Ingest Template'!S540</f>
        <v/>
      </c>
      <c r="AE540" s="35" t="str">
        <f>'Ingest Template'!U540</f>
        <v/>
      </c>
      <c r="AF540" s="22"/>
      <c r="AG540" s="35" t="str">
        <f t="array" ref="AG540">IF('Ingest Template'!A540="Standard",(CONCATENATE(IF(ISBLANK('Ingest Template'!N540),"", 'Ingest Template'!N540&amp;"|DAR"),CHAR(10), IF(ISBLANK('Ingest Template'!O540),"", 'Ingest Template'!O540&amp;"|DAR"),CHAR(10), IF(ISBLANK('Ingest Template'!P540),"", 'Ingest Template'!P540&amp;"|DAR"))),(CONCATENATE(IF(ISBLANK('Ingest Template'!N540),"", 'Ingest Template'!N540&amp;"|TV Ops"),CHAR(10), IF(ISBLANK('Ingest Template'!O540),"", 'Ingest Template'!O540&amp;"|TV Ops"),CHAR(10), IF(ISBLANK('Ingest Template'!P540),"", 'Ingest Template'!P540&amp;"|TV Ops"))))</f>
        <v>
</v>
      </c>
      <c r="AH540" s="35"/>
      <c r="AI540" s="35"/>
      <c r="AJ540" s="117" t="str">
        <f>if('Ingest Template'!A540="Standard",(IF(OR('Ingest Template'!F540 = "Program Type - Special", 'Ingest Template'!F540 = "Program Type - Live Event"),'Ingest Template'!M540&amp; "|DAR|DAR|"&amp;TEXT('Ingest Template'!C540-3, "yyyy-mm-dd")&amp;"|"&amp;TEXT('Ingest Template'!C540+3, "yyyy-mm-dd"),'Ingest Template'!M540&amp; "|DAR|DAR|2021-01-01")),(IF(OR('Ingest Template'!F540 = "Program Type - Special", 'Ingest Template'!F540 = "Program Type - Live Event"),'Ingest Template'!M540&amp; "|Operations - Core Title|Operations - Core Title|"&amp;TEXT('Ingest Template'!C540-3, "yyyy-mm-dd")&amp;"|"&amp;TEXT('Ingest Template'!C540+3, "yyyy-mm-dd"),'Ingest Template'!M540&amp; "|Operations - Core Title|Operations - Core Title")))</f>
        <v>|Operations - Core Title|Operations - Core Title</v>
      </c>
      <c r="AK540" s="35"/>
      <c r="AL540" s="117" t="str">
        <f>if('Ingest Template'!A540="Standard",(IF(OR('Ingest Template'!F540 = "Program Type - Special", 'Ingest Template'!F540 = "Program Type - Live Event"),'Ingest Template'!Q540&amp;"|"&amp;TEXT('Ingest Template'!C540-3, "yyyy-mm-dd")&amp;"|"&amp;TEXT('Ingest Template'!C540+3, "yyyy-mm-dd"),'Ingest Template'!Q540&amp; "|2021-01-01")),(IF(OR('Ingest Template'!F540 = "Program Type - Special", 'Ingest Template'!F540 = "Program Type - Live Event"),'Ingest Template'!Q540&amp; "|"&amp;TEXT('Ingest Template'!C540-3, "yyyy-mm-dd")&amp;"|"&amp;TEXT('Ingest Template'!C540+3, "yyyy-mm-dd"),'Ingest Template'!Q540)))</f>
        <v/>
      </c>
      <c r="AM540" s="35" t="str">
        <f>'Ingest Template'!AC540</f>
        <v/>
      </c>
    </row>
    <row r="541">
      <c r="A541" s="15"/>
      <c r="B541" s="22" t="str">
        <f>'Ingest Template'!C541&amp;IF('Ingest Template'!A541 = "Standard", " - DAR","")</f>
        <v/>
      </c>
      <c r="C541" s="22" t="s">
        <v>83</v>
      </c>
      <c r="D541" s="22" t="str">
        <f t="array" ref="D541">CONCATENATE(INDEX(DropdownLists!$H$2:$H$11,MATCH(1,COUNTIF('Ingest Template'!E541,"*"&amp;DropdownLists!$I$2:$I$11&amp;"*"),0)),CHAR(10),'Ingest Template'!F541,CHAR(10),'Ingest Template'!G541,CHAR(10),VLOOKUP('Ingest Template'!D541,DropdownLists!C:D,2,FALSE))</f>
        <v>#N/A</v>
      </c>
      <c r="E541" s="22" t="str">
        <f>CONCATENATE('Ingest Template'!H541,CHAR(10),'Ingest Template'!I541,CHAR(10),'Ingest Template'!J541,CHAR(10))</f>
        <v>
</v>
      </c>
      <c r="F541" s="35" t="str">
        <f t="array" ref="F541">INDEX(DropdownLists!$O$2:$O$36,MATCH(1,COUNTIF(E541,"*"&amp;DropdownLists!$N$2:$N$36&amp;"*"),0))</f>
        <v/>
      </c>
      <c r="G541" s="35"/>
      <c r="H541" s="22" t="str">
        <f t="array" ref="H541">INDEX(DropdownLists!$E$2:$E$276,MATCH('Ingest Template'!D541,DropdownLists!$C$2:$C$276,0))</f>
        <v>#N/A</v>
      </c>
      <c r="I541" s="22"/>
      <c r="J541" s="22" t="str">
        <f t="array" ref="J541">iF('Ingest Template'!A541="Standard","Pristine Brand",INDEX(DropdownLists!$B$2:$B$246,MATCH('Ingest Template'!D541,DropdownLists!$C$2:$C$246,0)))</f>
        <v>#N/A</v>
      </c>
      <c r="K541" s="22" t="str">
        <f>iF('Ingest Template'!A541="Standard",'Ingest Template'!K541&amp;CHAR(10)&amp;'Ingest Template'!L541,"Competitive View")</f>
        <v>Competitive View</v>
      </c>
      <c r="L541" s="22" t="s">
        <v>95</v>
      </c>
      <c r="M541" s="45" t="str">
        <f>'Ingest Template'!B541</f>
        <v/>
      </c>
      <c r="N541" s="35"/>
      <c r="O541" s="35"/>
      <c r="P541" s="35"/>
      <c r="Q541" s="35"/>
      <c r="R541" s="35" t="str">
        <f>'Ingest Template'!D541</f>
        <v/>
      </c>
      <c r="S541" s="22" t="s">
        <v>101</v>
      </c>
      <c r="T541" s="35" t="str">
        <f>'Ingest Template'!V541</f>
        <v/>
      </c>
      <c r="U541" s="35" t="str">
        <f>'Ingest Template'!W541</f>
        <v/>
      </c>
      <c r="V541" s="35" t="str">
        <f>LOWER(SUBSTITUTE(SUBSTITUTE(SUBSTITUTE(SUBSTITUTE(SUBSTITUTE('Ingest Template'!X541,"https:",""),"www.",""),"/",""),"?hl=en",""),"instagram.com",""))</f>
        <v/>
      </c>
      <c r="W541" s="74" t="str">
        <f t="array" ref="W541">IF(
'Ingest Template'!Y541="",
SUBSTITUTE(
INDEX(DropdownLists!$F$2:$F$277,MATCH('Ingest Template'!D541,DropdownLists!$C$2:$C$277,0)),
CHAR(10),
"|"&amp;'Ingest Template'!C541&amp;CHAR(10)
)&amp;"|"&amp;'Ingest Template'!C541,
SUBSTITUTE(
INDEX(DropdownLists!$F$2:$F$277,MATCH('Ingest Template'!D541,DropdownLists!$C$2:$C$277,0)),
CHAR(10),
"|"&amp;'Ingest Template'!C541&amp;CHAR(10)
)&amp;"|"&amp;'Ingest Template'!C541&amp;CHAR(10)&amp;'Ingest Template'!Y541
)</f>
        <v>#N/A</v>
      </c>
      <c r="X541" s="74" t="str">
        <f>'Ingest Template'!Z541</f>
        <v/>
      </c>
      <c r="Y541" s="35" t="str">
        <f>SUBSTITUTE(SUBSTITUTE(SUBSTITUTE('Ingest Template'!AA541,"http:",""),"https:",""),"/","")</f>
        <v/>
      </c>
      <c r="Z541" s="35" t="str">
        <f t="array" ref="Z541">IF('Ingest Template'!A541="Standard",(IF(ISBLANK('Ingest Template'!AB541),"", 'Ingest Template'!AB541&amp;"|DAR")),(IF(ISBLANK('Ingest Template'!AB541),"", 'Ingest Template'!AB541&amp;"|TV Ops")))</f>
        <v/>
      </c>
      <c r="AA541" s="35"/>
      <c r="AB541" s="35" t="str">
        <f>'Ingest Template'!R541</f>
        <v/>
      </c>
      <c r="AC541" s="35" t="str">
        <f>'Ingest Template'!T541</f>
        <v/>
      </c>
      <c r="AD541" s="35" t="str">
        <f>'Ingest Template'!S541</f>
        <v/>
      </c>
      <c r="AE541" s="35" t="str">
        <f>'Ingest Template'!U541</f>
        <v/>
      </c>
      <c r="AF541" s="22"/>
      <c r="AG541" s="35" t="str">
        <f t="array" ref="AG541">IF('Ingest Template'!A541="Standard",(CONCATENATE(IF(ISBLANK('Ingest Template'!N541),"", 'Ingest Template'!N541&amp;"|DAR"),CHAR(10), IF(ISBLANK('Ingest Template'!O541),"", 'Ingest Template'!O541&amp;"|DAR"),CHAR(10), IF(ISBLANK('Ingest Template'!P541),"", 'Ingest Template'!P541&amp;"|DAR"))),(CONCATENATE(IF(ISBLANK('Ingest Template'!N541),"", 'Ingest Template'!N541&amp;"|TV Ops"),CHAR(10), IF(ISBLANK('Ingest Template'!O541),"", 'Ingest Template'!O541&amp;"|TV Ops"),CHAR(10), IF(ISBLANK('Ingest Template'!P541),"", 'Ingest Template'!P541&amp;"|TV Ops"))))</f>
        <v>
</v>
      </c>
      <c r="AH541" s="35"/>
      <c r="AI541" s="35"/>
      <c r="AJ541" s="117" t="str">
        <f>if('Ingest Template'!A541="Standard",(IF(OR('Ingest Template'!F541 = "Program Type - Special", 'Ingest Template'!F541 = "Program Type - Live Event"),'Ingest Template'!M541&amp; "|DAR|DAR|"&amp;TEXT('Ingest Template'!C541-3, "yyyy-mm-dd")&amp;"|"&amp;TEXT('Ingest Template'!C541+3, "yyyy-mm-dd"),'Ingest Template'!M541&amp; "|DAR|DAR|2021-01-01")),(IF(OR('Ingest Template'!F541 = "Program Type - Special", 'Ingest Template'!F541 = "Program Type - Live Event"),'Ingest Template'!M541&amp; "|Operations - Core Title|Operations - Core Title|"&amp;TEXT('Ingest Template'!C541-3, "yyyy-mm-dd")&amp;"|"&amp;TEXT('Ingest Template'!C541+3, "yyyy-mm-dd"),'Ingest Template'!M541&amp; "|Operations - Core Title|Operations - Core Title")))</f>
        <v>|Operations - Core Title|Operations - Core Title</v>
      </c>
      <c r="AK541" s="35"/>
      <c r="AL541" s="117" t="str">
        <f>if('Ingest Template'!A541="Standard",(IF(OR('Ingest Template'!F541 = "Program Type - Special", 'Ingest Template'!F541 = "Program Type - Live Event"),'Ingest Template'!Q541&amp;"|"&amp;TEXT('Ingest Template'!C541-3, "yyyy-mm-dd")&amp;"|"&amp;TEXT('Ingest Template'!C541+3, "yyyy-mm-dd"),'Ingest Template'!Q541&amp; "|2021-01-01")),(IF(OR('Ingest Template'!F541 = "Program Type - Special", 'Ingest Template'!F541 = "Program Type - Live Event"),'Ingest Template'!Q541&amp; "|"&amp;TEXT('Ingest Template'!C541-3, "yyyy-mm-dd")&amp;"|"&amp;TEXT('Ingest Template'!C541+3, "yyyy-mm-dd"),'Ingest Template'!Q541)))</f>
        <v/>
      </c>
      <c r="AM541" s="35" t="str">
        <f>'Ingest Template'!AC541</f>
        <v/>
      </c>
    </row>
    <row r="542">
      <c r="A542" s="15"/>
      <c r="B542" s="22" t="str">
        <f>'Ingest Template'!C542&amp;IF('Ingest Template'!A542 = "Standard", " - DAR","")</f>
        <v/>
      </c>
      <c r="C542" s="22" t="s">
        <v>83</v>
      </c>
      <c r="D542" s="22" t="str">
        <f t="array" ref="D542">CONCATENATE(INDEX(DropdownLists!$H$2:$H$11,MATCH(1,COUNTIF('Ingest Template'!E542,"*"&amp;DropdownLists!$I$2:$I$11&amp;"*"),0)),CHAR(10),'Ingest Template'!F542,CHAR(10),'Ingest Template'!G542,CHAR(10),VLOOKUP('Ingest Template'!D542,DropdownLists!C:D,2,FALSE))</f>
        <v>#N/A</v>
      </c>
      <c r="E542" s="22" t="str">
        <f>CONCATENATE('Ingest Template'!H542,CHAR(10),'Ingest Template'!I542,CHAR(10),'Ingest Template'!J542,CHAR(10))</f>
        <v>
</v>
      </c>
      <c r="F542" s="35" t="str">
        <f t="array" ref="F542">INDEX(DropdownLists!$O$2:$O$36,MATCH(1,COUNTIF(E542,"*"&amp;DropdownLists!$N$2:$N$36&amp;"*"),0))</f>
        <v/>
      </c>
      <c r="G542" s="35"/>
      <c r="H542" s="22" t="str">
        <f t="array" ref="H542">INDEX(DropdownLists!$E$2:$E$276,MATCH('Ingest Template'!D542,DropdownLists!$C$2:$C$276,0))</f>
        <v>#N/A</v>
      </c>
      <c r="I542" s="22"/>
      <c r="J542" s="22" t="str">
        <f t="array" ref="J542">iF('Ingest Template'!A542="Standard","Pristine Brand",INDEX(DropdownLists!$B$2:$B$246,MATCH('Ingest Template'!D542,DropdownLists!$C$2:$C$246,0)))</f>
        <v>#N/A</v>
      </c>
      <c r="K542" s="22" t="str">
        <f>iF('Ingest Template'!A542="Standard",'Ingest Template'!K542&amp;CHAR(10)&amp;'Ingest Template'!L542,"Competitive View")</f>
        <v>Competitive View</v>
      </c>
      <c r="L542" s="22" t="s">
        <v>95</v>
      </c>
      <c r="M542" s="45" t="str">
        <f>'Ingest Template'!B542</f>
        <v/>
      </c>
      <c r="N542" s="35"/>
      <c r="O542" s="35"/>
      <c r="P542" s="35"/>
      <c r="Q542" s="35"/>
      <c r="R542" s="35" t="str">
        <f>'Ingest Template'!D542</f>
        <v/>
      </c>
      <c r="S542" s="22" t="s">
        <v>101</v>
      </c>
      <c r="T542" s="35" t="str">
        <f>'Ingest Template'!V542</f>
        <v/>
      </c>
      <c r="U542" s="35" t="str">
        <f>'Ingest Template'!W542</f>
        <v/>
      </c>
      <c r="V542" s="35" t="str">
        <f>LOWER(SUBSTITUTE(SUBSTITUTE(SUBSTITUTE(SUBSTITUTE(SUBSTITUTE('Ingest Template'!X542,"https:",""),"www.",""),"/",""),"?hl=en",""),"instagram.com",""))</f>
        <v/>
      </c>
      <c r="W542" s="74" t="str">
        <f t="array" ref="W542">IF(
'Ingest Template'!Y542="",
SUBSTITUTE(
INDEX(DropdownLists!$F$2:$F$277,MATCH('Ingest Template'!D542,DropdownLists!$C$2:$C$277,0)),
CHAR(10),
"|"&amp;'Ingest Template'!C542&amp;CHAR(10)
)&amp;"|"&amp;'Ingest Template'!C542,
SUBSTITUTE(
INDEX(DropdownLists!$F$2:$F$277,MATCH('Ingest Template'!D542,DropdownLists!$C$2:$C$277,0)),
CHAR(10),
"|"&amp;'Ingest Template'!C542&amp;CHAR(10)
)&amp;"|"&amp;'Ingest Template'!C542&amp;CHAR(10)&amp;'Ingest Template'!Y542
)</f>
        <v>#N/A</v>
      </c>
      <c r="X542" s="74" t="str">
        <f>'Ingest Template'!Z542</f>
        <v/>
      </c>
      <c r="Y542" s="35" t="str">
        <f>SUBSTITUTE(SUBSTITUTE(SUBSTITUTE('Ingest Template'!AA542,"http:",""),"https:",""),"/","")</f>
        <v/>
      </c>
      <c r="Z542" s="35" t="str">
        <f t="array" ref="Z542">IF('Ingest Template'!A542="Standard",(IF(ISBLANK('Ingest Template'!AB542),"", 'Ingest Template'!AB542&amp;"|DAR")),(IF(ISBLANK('Ingest Template'!AB542),"", 'Ingest Template'!AB542&amp;"|TV Ops")))</f>
        <v/>
      </c>
      <c r="AA542" s="35"/>
      <c r="AB542" s="35" t="str">
        <f>'Ingest Template'!R542</f>
        <v/>
      </c>
      <c r="AC542" s="35" t="str">
        <f>'Ingest Template'!T542</f>
        <v/>
      </c>
      <c r="AD542" s="35" t="str">
        <f>'Ingest Template'!S542</f>
        <v/>
      </c>
      <c r="AE542" s="35" t="str">
        <f>'Ingest Template'!U542</f>
        <v/>
      </c>
      <c r="AF542" s="22"/>
      <c r="AG542" s="35" t="str">
        <f t="array" ref="AG542">IF('Ingest Template'!A542="Standard",(CONCATENATE(IF(ISBLANK('Ingest Template'!N542),"", 'Ingest Template'!N542&amp;"|DAR"),CHAR(10), IF(ISBLANK('Ingest Template'!O542),"", 'Ingest Template'!O542&amp;"|DAR"),CHAR(10), IF(ISBLANK('Ingest Template'!P542),"", 'Ingest Template'!P542&amp;"|DAR"))),(CONCATENATE(IF(ISBLANK('Ingest Template'!N542),"", 'Ingest Template'!N542&amp;"|TV Ops"),CHAR(10), IF(ISBLANK('Ingest Template'!O542),"", 'Ingest Template'!O542&amp;"|TV Ops"),CHAR(10), IF(ISBLANK('Ingest Template'!P542),"", 'Ingest Template'!P542&amp;"|TV Ops"))))</f>
        <v>
</v>
      </c>
      <c r="AH542" s="35"/>
      <c r="AI542" s="35"/>
      <c r="AJ542" s="117" t="str">
        <f>if('Ingest Template'!A542="Standard",(IF(OR('Ingest Template'!F542 = "Program Type - Special", 'Ingest Template'!F542 = "Program Type - Live Event"),'Ingest Template'!M542&amp; "|DAR|DAR|"&amp;TEXT('Ingest Template'!C542-3, "yyyy-mm-dd")&amp;"|"&amp;TEXT('Ingest Template'!C542+3, "yyyy-mm-dd"),'Ingest Template'!M542&amp; "|DAR|DAR|2021-01-01")),(IF(OR('Ingest Template'!F542 = "Program Type - Special", 'Ingest Template'!F542 = "Program Type - Live Event"),'Ingest Template'!M542&amp; "|Operations - Core Title|Operations - Core Title|"&amp;TEXT('Ingest Template'!C542-3, "yyyy-mm-dd")&amp;"|"&amp;TEXT('Ingest Template'!C542+3, "yyyy-mm-dd"),'Ingest Template'!M542&amp; "|Operations - Core Title|Operations - Core Title")))</f>
        <v>|Operations - Core Title|Operations - Core Title</v>
      </c>
      <c r="AK542" s="35"/>
      <c r="AL542" s="117" t="str">
        <f>if('Ingest Template'!A542="Standard",(IF(OR('Ingest Template'!F542 = "Program Type - Special", 'Ingest Template'!F542 = "Program Type - Live Event"),'Ingest Template'!Q542&amp;"|"&amp;TEXT('Ingest Template'!C542-3, "yyyy-mm-dd")&amp;"|"&amp;TEXT('Ingest Template'!C542+3, "yyyy-mm-dd"),'Ingest Template'!Q542&amp; "|2021-01-01")),(IF(OR('Ingest Template'!F542 = "Program Type - Special", 'Ingest Template'!F542 = "Program Type - Live Event"),'Ingest Template'!Q542&amp; "|"&amp;TEXT('Ingest Template'!C542-3, "yyyy-mm-dd")&amp;"|"&amp;TEXT('Ingest Template'!C542+3, "yyyy-mm-dd"),'Ingest Template'!Q542)))</f>
        <v/>
      </c>
      <c r="AM542" s="35" t="str">
        <f>'Ingest Template'!AC542</f>
        <v/>
      </c>
    </row>
    <row r="543">
      <c r="A543" s="15"/>
      <c r="B543" s="22" t="str">
        <f>'Ingest Template'!C543&amp;IF('Ingest Template'!A543 = "Standard", " - DAR","")</f>
        <v/>
      </c>
      <c r="C543" s="22" t="s">
        <v>83</v>
      </c>
      <c r="D543" s="22" t="str">
        <f t="array" ref="D543">CONCATENATE(INDEX(DropdownLists!$H$2:$H$11,MATCH(1,COUNTIF('Ingest Template'!E543,"*"&amp;DropdownLists!$I$2:$I$11&amp;"*"),0)),CHAR(10),'Ingest Template'!F543,CHAR(10),'Ingest Template'!G543,CHAR(10),VLOOKUP('Ingest Template'!D543,DropdownLists!C:D,2,FALSE))</f>
        <v>#N/A</v>
      </c>
      <c r="E543" s="22" t="str">
        <f>CONCATENATE('Ingest Template'!H543,CHAR(10),'Ingest Template'!I543,CHAR(10),'Ingest Template'!J543,CHAR(10))</f>
        <v>
</v>
      </c>
      <c r="F543" s="35" t="str">
        <f t="array" ref="F543">INDEX(DropdownLists!$O$2:$O$36,MATCH(1,COUNTIF(E543,"*"&amp;DropdownLists!$N$2:$N$36&amp;"*"),0))</f>
        <v/>
      </c>
      <c r="G543" s="35"/>
      <c r="H543" s="22" t="str">
        <f t="array" ref="H543">INDEX(DropdownLists!$E$2:$E$276,MATCH('Ingest Template'!D543,DropdownLists!$C$2:$C$276,0))</f>
        <v>#N/A</v>
      </c>
      <c r="I543" s="22"/>
      <c r="J543" s="22" t="str">
        <f t="array" ref="J543">iF('Ingest Template'!A543="Standard","Pristine Brand",INDEX(DropdownLists!$B$2:$B$246,MATCH('Ingest Template'!D543,DropdownLists!$C$2:$C$246,0)))</f>
        <v>#N/A</v>
      </c>
      <c r="K543" s="22" t="str">
        <f>iF('Ingest Template'!A543="Standard",'Ingest Template'!K543&amp;CHAR(10)&amp;'Ingest Template'!L543,"Competitive View")</f>
        <v>Competitive View</v>
      </c>
      <c r="L543" s="22" t="s">
        <v>95</v>
      </c>
      <c r="M543" s="45" t="str">
        <f>'Ingest Template'!B543</f>
        <v/>
      </c>
      <c r="N543" s="35"/>
      <c r="O543" s="35"/>
      <c r="P543" s="35"/>
      <c r="Q543" s="35"/>
      <c r="R543" s="35" t="str">
        <f>'Ingest Template'!D543</f>
        <v/>
      </c>
      <c r="S543" s="22" t="s">
        <v>101</v>
      </c>
      <c r="T543" s="35" t="str">
        <f>'Ingest Template'!V543</f>
        <v/>
      </c>
      <c r="U543" s="35" t="str">
        <f>'Ingest Template'!W543</f>
        <v/>
      </c>
      <c r="V543" s="35" t="str">
        <f>LOWER(SUBSTITUTE(SUBSTITUTE(SUBSTITUTE(SUBSTITUTE(SUBSTITUTE('Ingest Template'!X543,"https:",""),"www.",""),"/",""),"?hl=en",""),"instagram.com",""))</f>
        <v/>
      </c>
      <c r="W543" s="74" t="str">
        <f t="array" ref="W543">IF(
'Ingest Template'!Y543="",
SUBSTITUTE(
INDEX(DropdownLists!$F$2:$F$277,MATCH('Ingest Template'!D543,DropdownLists!$C$2:$C$277,0)),
CHAR(10),
"|"&amp;'Ingest Template'!C543&amp;CHAR(10)
)&amp;"|"&amp;'Ingest Template'!C543,
SUBSTITUTE(
INDEX(DropdownLists!$F$2:$F$277,MATCH('Ingest Template'!D543,DropdownLists!$C$2:$C$277,0)),
CHAR(10),
"|"&amp;'Ingest Template'!C543&amp;CHAR(10)
)&amp;"|"&amp;'Ingest Template'!C543&amp;CHAR(10)&amp;'Ingest Template'!Y543
)</f>
        <v>#N/A</v>
      </c>
      <c r="X543" s="74" t="str">
        <f>'Ingest Template'!Z543</f>
        <v/>
      </c>
      <c r="Y543" s="35" t="str">
        <f>SUBSTITUTE(SUBSTITUTE(SUBSTITUTE('Ingest Template'!AA543,"http:",""),"https:",""),"/","")</f>
        <v/>
      </c>
      <c r="Z543" s="35" t="str">
        <f t="array" ref="Z543">IF('Ingest Template'!A543="Standard",(IF(ISBLANK('Ingest Template'!AB543),"", 'Ingest Template'!AB543&amp;"|DAR")),(IF(ISBLANK('Ingest Template'!AB543),"", 'Ingest Template'!AB543&amp;"|TV Ops")))</f>
        <v/>
      </c>
      <c r="AA543" s="35"/>
      <c r="AB543" s="35" t="str">
        <f>'Ingest Template'!R543</f>
        <v/>
      </c>
      <c r="AC543" s="35" t="str">
        <f>'Ingest Template'!T543</f>
        <v/>
      </c>
      <c r="AD543" s="35" t="str">
        <f>'Ingest Template'!S543</f>
        <v/>
      </c>
      <c r="AE543" s="35" t="str">
        <f>'Ingest Template'!U543</f>
        <v/>
      </c>
      <c r="AF543" s="22"/>
      <c r="AG543" s="35" t="str">
        <f t="array" ref="AG543">IF('Ingest Template'!A543="Standard",(CONCATENATE(IF(ISBLANK('Ingest Template'!N543),"", 'Ingest Template'!N543&amp;"|DAR"),CHAR(10), IF(ISBLANK('Ingest Template'!O543),"", 'Ingest Template'!O543&amp;"|DAR"),CHAR(10), IF(ISBLANK('Ingest Template'!P543),"", 'Ingest Template'!P543&amp;"|DAR"))),(CONCATENATE(IF(ISBLANK('Ingest Template'!N543),"", 'Ingest Template'!N543&amp;"|TV Ops"),CHAR(10), IF(ISBLANK('Ingest Template'!O543),"", 'Ingest Template'!O543&amp;"|TV Ops"),CHAR(10), IF(ISBLANK('Ingest Template'!P543),"", 'Ingest Template'!P543&amp;"|TV Ops"))))</f>
        <v>
</v>
      </c>
      <c r="AH543" s="35"/>
      <c r="AI543" s="35"/>
      <c r="AJ543" s="117" t="str">
        <f>if('Ingest Template'!A543="Standard",(IF(OR('Ingest Template'!F543 = "Program Type - Special", 'Ingest Template'!F543 = "Program Type - Live Event"),'Ingest Template'!M543&amp; "|DAR|DAR|"&amp;TEXT('Ingest Template'!C543-3, "yyyy-mm-dd")&amp;"|"&amp;TEXT('Ingest Template'!C543+3, "yyyy-mm-dd"),'Ingest Template'!M543&amp; "|DAR|DAR|2021-01-01")),(IF(OR('Ingest Template'!F543 = "Program Type - Special", 'Ingest Template'!F543 = "Program Type - Live Event"),'Ingest Template'!M543&amp; "|Operations - Core Title|Operations - Core Title|"&amp;TEXT('Ingest Template'!C543-3, "yyyy-mm-dd")&amp;"|"&amp;TEXT('Ingest Template'!C543+3, "yyyy-mm-dd"),'Ingest Template'!M543&amp; "|Operations - Core Title|Operations - Core Title")))</f>
        <v>|Operations - Core Title|Operations - Core Title</v>
      </c>
      <c r="AK543" s="35"/>
      <c r="AL543" s="117" t="str">
        <f>if('Ingest Template'!A543="Standard",(IF(OR('Ingest Template'!F543 = "Program Type - Special", 'Ingest Template'!F543 = "Program Type - Live Event"),'Ingest Template'!Q543&amp;"|"&amp;TEXT('Ingest Template'!C543-3, "yyyy-mm-dd")&amp;"|"&amp;TEXT('Ingest Template'!C543+3, "yyyy-mm-dd"),'Ingest Template'!Q543&amp; "|2021-01-01")),(IF(OR('Ingest Template'!F543 = "Program Type - Special", 'Ingest Template'!F543 = "Program Type - Live Event"),'Ingest Template'!Q543&amp; "|"&amp;TEXT('Ingest Template'!C543-3, "yyyy-mm-dd")&amp;"|"&amp;TEXT('Ingest Template'!C543+3, "yyyy-mm-dd"),'Ingest Template'!Q543)))</f>
        <v/>
      </c>
      <c r="AM543" s="35" t="str">
        <f>'Ingest Template'!AC543</f>
        <v/>
      </c>
    </row>
    <row r="544">
      <c r="A544" s="15"/>
      <c r="B544" s="22" t="str">
        <f>'Ingest Template'!C544&amp;IF('Ingest Template'!A544 = "Standard", " - DAR","")</f>
        <v/>
      </c>
      <c r="C544" s="22" t="s">
        <v>83</v>
      </c>
      <c r="D544" s="22" t="str">
        <f t="array" ref="D544">CONCATENATE(INDEX(DropdownLists!$H$2:$H$11,MATCH(1,COUNTIF('Ingest Template'!E544,"*"&amp;DropdownLists!$I$2:$I$11&amp;"*"),0)),CHAR(10),'Ingest Template'!F544,CHAR(10),'Ingest Template'!G544,CHAR(10),VLOOKUP('Ingest Template'!D544,DropdownLists!C:D,2,FALSE))</f>
        <v>#N/A</v>
      </c>
      <c r="E544" s="22" t="str">
        <f>CONCATENATE('Ingest Template'!H544,CHAR(10),'Ingest Template'!I544,CHAR(10),'Ingest Template'!J544,CHAR(10))</f>
        <v>
</v>
      </c>
      <c r="F544" s="35" t="str">
        <f t="array" ref="F544">INDEX(DropdownLists!$O$2:$O$36,MATCH(1,COUNTIF(E544,"*"&amp;DropdownLists!$N$2:$N$36&amp;"*"),0))</f>
        <v/>
      </c>
      <c r="G544" s="35"/>
      <c r="H544" s="22" t="str">
        <f t="array" ref="H544">INDEX(DropdownLists!$E$2:$E$276,MATCH('Ingest Template'!D544,DropdownLists!$C$2:$C$276,0))</f>
        <v>#N/A</v>
      </c>
      <c r="I544" s="22"/>
      <c r="J544" s="22" t="str">
        <f t="array" ref="J544">iF('Ingest Template'!A544="Standard","Pristine Brand",INDEX(DropdownLists!$B$2:$B$246,MATCH('Ingest Template'!D544,DropdownLists!$C$2:$C$246,0)))</f>
        <v>#N/A</v>
      </c>
      <c r="K544" s="22" t="str">
        <f>iF('Ingest Template'!A544="Standard",'Ingest Template'!K544&amp;CHAR(10)&amp;'Ingest Template'!L544,"Competitive View")</f>
        <v>Competitive View</v>
      </c>
      <c r="L544" s="22" t="s">
        <v>95</v>
      </c>
      <c r="M544" s="45" t="str">
        <f>'Ingest Template'!B544</f>
        <v/>
      </c>
      <c r="N544" s="35"/>
      <c r="O544" s="35"/>
      <c r="P544" s="35"/>
      <c r="Q544" s="35"/>
      <c r="R544" s="35" t="str">
        <f>'Ingest Template'!D544</f>
        <v/>
      </c>
      <c r="S544" s="22" t="s">
        <v>101</v>
      </c>
      <c r="T544" s="35" t="str">
        <f>'Ingest Template'!V544</f>
        <v/>
      </c>
      <c r="U544" s="35" t="str">
        <f>'Ingest Template'!W544</f>
        <v/>
      </c>
      <c r="V544" s="35" t="str">
        <f>LOWER(SUBSTITUTE(SUBSTITUTE(SUBSTITUTE(SUBSTITUTE(SUBSTITUTE('Ingest Template'!X544,"https:",""),"www.",""),"/",""),"?hl=en",""),"instagram.com",""))</f>
        <v/>
      </c>
      <c r="W544" s="74" t="str">
        <f t="array" ref="W544">IF(
'Ingest Template'!Y544="",
SUBSTITUTE(
INDEX(DropdownLists!$F$2:$F$277,MATCH('Ingest Template'!D544,DropdownLists!$C$2:$C$277,0)),
CHAR(10),
"|"&amp;'Ingest Template'!C544&amp;CHAR(10)
)&amp;"|"&amp;'Ingest Template'!C544,
SUBSTITUTE(
INDEX(DropdownLists!$F$2:$F$277,MATCH('Ingest Template'!D544,DropdownLists!$C$2:$C$277,0)),
CHAR(10),
"|"&amp;'Ingest Template'!C544&amp;CHAR(10)
)&amp;"|"&amp;'Ingest Template'!C544&amp;CHAR(10)&amp;'Ingest Template'!Y544
)</f>
        <v>#N/A</v>
      </c>
      <c r="X544" s="74" t="str">
        <f>'Ingest Template'!Z544</f>
        <v/>
      </c>
      <c r="Y544" s="35" t="str">
        <f>SUBSTITUTE(SUBSTITUTE(SUBSTITUTE('Ingest Template'!AA544,"http:",""),"https:",""),"/","")</f>
        <v/>
      </c>
      <c r="Z544" s="35" t="str">
        <f t="array" ref="Z544">IF('Ingest Template'!A544="Standard",(IF(ISBLANK('Ingest Template'!AB544),"", 'Ingest Template'!AB544&amp;"|DAR")),(IF(ISBLANK('Ingest Template'!AB544),"", 'Ingest Template'!AB544&amp;"|TV Ops")))</f>
        <v/>
      </c>
      <c r="AA544" s="35"/>
      <c r="AB544" s="35" t="str">
        <f>'Ingest Template'!R544</f>
        <v/>
      </c>
      <c r="AC544" s="35" t="str">
        <f>'Ingest Template'!T544</f>
        <v/>
      </c>
      <c r="AD544" s="35" t="str">
        <f>'Ingest Template'!S544</f>
        <v/>
      </c>
      <c r="AE544" s="35" t="str">
        <f>'Ingest Template'!U544</f>
        <v/>
      </c>
      <c r="AF544" s="22"/>
      <c r="AG544" s="35" t="str">
        <f t="array" ref="AG544">IF('Ingest Template'!A544="Standard",(CONCATENATE(IF(ISBLANK('Ingest Template'!N544),"", 'Ingest Template'!N544&amp;"|DAR"),CHAR(10), IF(ISBLANK('Ingest Template'!O544),"", 'Ingest Template'!O544&amp;"|DAR"),CHAR(10), IF(ISBLANK('Ingest Template'!P544),"", 'Ingest Template'!P544&amp;"|DAR"))),(CONCATENATE(IF(ISBLANK('Ingest Template'!N544),"", 'Ingest Template'!N544&amp;"|TV Ops"),CHAR(10), IF(ISBLANK('Ingest Template'!O544),"", 'Ingest Template'!O544&amp;"|TV Ops"),CHAR(10), IF(ISBLANK('Ingest Template'!P544),"", 'Ingest Template'!P544&amp;"|TV Ops"))))</f>
        <v>
</v>
      </c>
      <c r="AH544" s="35"/>
      <c r="AI544" s="35"/>
      <c r="AJ544" s="117" t="str">
        <f>if('Ingest Template'!A544="Standard",(IF(OR('Ingest Template'!F544 = "Program Type - Special", 'Ingest Template'!F544 = "Program Type - Live Event"),'Ingest Template'!M544&amp; "|DAR|DAR|"&amp;TEXT('Ingest Template'!C544-3, "yyyy-mm-dd")&amp;"|"&amp;TEXT('Ingest Template'!C544+3, "yyyy-mm-dd"),'Ingest Template'!M544&amp; "|DAR|DAR|2021-01-01")),(IF(OR('Ingest Template'!F544 = "Program Type - Special", 'Ingest Template'!F544 = "Program Type - Live Event"),'Ingest Template'!M544&amp; "|Operations - Core Title|Operations - Core Title|"&amp;TEXT('Ingest Template'!C544-3, "yyyy-mm-dd")&amp;"|"&amp;TEXT('Ingest Template'!C544+3, "yyyy-mm-dd"),'Ingest Template'!M544&amp; "|Operations - Core Title|Operations - Core Title")))</f>
        <v>|Operations - Core Title|Operations - Core Title</v>
      </c>
      <c r="AK544" s="35"/>
      <c r="AL544" s="117" t="str">
        <f>if('Ingest Template'!A544="Standard",(IF(OR('Ingest Template'!F544 = "Program Type - Special", 'Ingest Template'!F544 = "Program Type - Live Event"),'Ingest Template'!Q544&amp;"|"&amp;TEXT('Ingest Template'!C544-3, "yyyy-mm-dd")&amp;"|"&amp;TEXT('Ingest Template'!C544+3, "yyyy-mm-dd"),'Ingest Template'!Q544&amp; "|2021-01-01")),(IF(OR('Ingest Template'!F544 = "Program Type - Special", 'Ingest Template'!F544 = "Program Type - Live Event"),'Ingest Template'!Q544&amp; "|"&amp;TEXT('Ingest Template'!C544-3, "yyyy-mm-dd")&amp;"|"&amp;TEXT('Ingest Template'!C544+3, "yyyy-mm-dd"),'Ingest Template'!Q544)))</f>
        <v/>
      </c>
      <c r="AM544" s="35" t="str">
        <f>'Ingest Template'!AC544</f>
        <v/>
      </c>
    </row>
    <row r="545">
      <c r="A545" s="15"/>
      <c r="B545" s="22" t="str">
        <f>'Ingest Template'!C545&amp;IF('Ingest Template'!A545 = "Standard", " - DAR","")</f>
        <v/>
      </c>
      <c r="C545" s="22" t="s">
        <v>83</v>
      </c>
      <c r="D545" s="22" t="str">
        <f t="array" ref="D545">CONCATENATE(INDEX(DropdownLists!$H$2:$H$11,MATCH(1,COUNTIF('Ingest Template'!E545,"*"&amp;DropdownLists!$I$2:$I$11&amp;"*"),0)),CHAR(10),'Ingest Template'!F545,CHAR(10),'Ingest Template'!G545,CHAR(10),VLOOKUP('Ingest Template'!D545,DropdownLists!C:D,2,FALSE))</f>
        <v>#N/A</v>
      </c>
      <c r="E545" s="22" t="str">
        <f>CONCATENATE('Ingest Template'!H545,CHAR(10),'Ingest Template'!I545,CHAR(10),'Ingest Template'!J545,CHAR(10))</f>
        <v>
</v>
      </c>
      <c r="F545" s="35" t="str">
        <f t="array" ref="F545">INDEX(DropdownLists!$O$2:$O$36,MATCH(1,COUNTIF(E545,"*"&amp;DropdownLists!$N$2:$N$36&amp;"*"),0))</f>
        <v/>
      </c>
      <c r="G545" s="35"/>
      <c r="H545" s="22" t="str">
        <f t="array" ref="H545">INDEX(DropdownLists!$E$2:$E$276,MATCH('Ingest Template'!D545,DropdownLists!$C$2:$C$276,0))</f>
        <v>#N/A</v>
      </c>
      <c r="I545" s="22"/>
      <c r="J545" s="22" t="str">
        <f t="array" ref="J545">iF('Ingest Template'!A545="Standard","Pristine Brand",INDEX(DropdownLists!$B$2:$B$246,MATCH('Ingest Template'!D545,DropdownLists!$C$2:$C$246,0)))</f>
        <v>#N/A</v>
      </c>
      <c r="K545" s="22" t="str">
        <f>iF('Ingest Template'!A545="Standard",'Ingest Template'!K545&amp;CHAR(10)&amp;'Ingest Template'!L545,"Competitive View")</f>
        <v>Competitive View</v>
      </c>
      <c r="L545" s="22" t="s">
        <v>95</v>
      </c>
      <c r="M545" s="45" t="str">
        <f>'Ingest Template'!B545</f>
        <v/>
      </c>
      <c r="N545" s="35"/>
      <c r="O545" s="35"/>
      <c r="P545" s="35"/>
      <c r="Q545" s="35"/>
      <c r="R545" s="35" t="str">
        <f>'Ingest Template'!D545</f>
        <v/>
      </c>
      <c r="S545" s="22" t="s">
        <v>101</v>
      </c>
      <c r="T545" s="35" t="str">
        <f>'Ingest Template'!V545</f>
        <v/>
      </c>
      <c r="U545" s="35" t="str">
        <f>'Ingest Template'!W545</f>
        <v/>
      </c>
      <c r="V545" s="35" t="str">
        <f>LOWER(SUBSTITUTE(SUBSTITUTE(SUBSTITUTE(SUBSTITUTE(SUBSTITUTE('Ingest Template'!X545,"https:",""),"www.",""),"/",""),"?hl=en",""),"instagram.com",""))</f>
        <v/>
      </c>
      <c r="W545" s="74" t="str">
        <f t="array" ref="W545">IF(
'Ingest Template'!Y545="",
SUBSTITUTE(
INDEX(DropdownLists!$F$2:$F$277,MATCH('Ingest Template'!D545,DropdownLists!$C$2:$C$277,0)),
CHAR(10),
"|"&amp;'Ingest Template'!C545&amp;CHAR(10)
)&amp;"|"&amp;'Ingest Template'!C545,
SUBSTITUTE(
INDEX(DropdownLists!$F$2:$F$277,MATCH('Ingest Template'!D545,DropdownLists!$C$2:$C$277,0)),
CHAR(10),
"|"&amp;'Ingest Template'!C545&amp;CHAR(10)
)&amp;"|"&amp;'Ingest Template'!C545&amp;CHAR(10)&amp;'Ingest Template'!Y545
)</f>
        <v>#N/A</v>
      </c>
      <c r="X545" s="74" t="str">
        <f>'Ingest Template'!Z545</f>
        <v/>
      </c>
      <c r="Y545" s="35" t="str">
        <f>SUBSTITUTE(SUBSTITUTE(SUBSTITUTE('Ingest Template'!AA545,"http:",""),"https:",""),"/","")</f>
        <v/>
      </c>
      <c r="Z545" s="35" t="str">
        <f t="array" ref="Z545">IF('Ingest Template'!A545="Standard",(IF(ISBLANK('Ingest Template'!AB545),"", 'Ingest Template'!AB545&amp;"|DAR")),(IF(ISBLANK('Ingest Template'!AB545),"", 'Ingest Template'!AB545&amp;"|TV Ops")))</f>
        <v/>
      </c>
      <c r="AA545" s="35"/>
      <c r="AB545" s="35" t="str">
        <f>'Ingest Template'!R545</f>
        <v/>
      </c>
      <c r="AC545" s="35" t="str">
        <f>'Ingest Template'!T545</f>
        <v/>
      </c>
      <c r="AD545" s="35" t="str">
        <f>'Ingest Template'!S545</f>
        <v/>
      </c>
      <c r="AE545" s="35" t="str">
        <f>'Ingest Template'!U545</f>
        <v/>
      </c>
      <c r="AF545" s="22"/>
      <c r="AG545" s="35" t="str">
        <f t="array" ref="AG545">IF('Ingest Template'!A545="Standard",(CONCATENATE(IF(ISBLANK('Ingest Template'!N545),"", 'Ingest Template'!N545&amp;"|DAR"),CHAR(10), IF(ISBLANK('Ingest Template'!O545),"", 'Ingest Template'!O545&amp;"|DAR"),CHAR(10), IF(ISBLANK('Ingest Template'!P545),"", 'Ingest Template'!P545&amp;"|DAR"))),(CONCATENATE(IF(ISBLANK('Ingest Template'!N545),"", 'Ingest Template'!N545&amp;"|TV Ops"),CHAR(10), IF(ISBLANK('Ingest Template'!O545),"", 'Ingest Template'!O545&amp;"|TV Ops"),CHAR(10), IF(ISBLANK('Ingest Template'!P545),"", 'Ingest Template'!P545&amp;"|TV Ops"))))</f>
        <v>
</v>
      </c>
      <c r="AH545" s="35"/>
      <c r="AI545" s="35"/>
      <c r="AJ545" s="117" t="str">
        <f>if('Ingest Template'!A545="Standard",(IF(OR('Ingest Template'!F545 = "Program Type - Special", 'Ingest Template'!F545 = "Program Type - Live Event"),'Ingest Template'!M545&amp; "|DAR|DAR|"&amp;TEXT('Ingest Template'!C545-3, "yyyy-mm-dd")&amp;"|"&amp;TEXT('Ingest Template'!C545+3, "yyyy-mm-dd"),'Ingest Template'!M545&amp; "|DAR|DAR|2021-01-01")),(IF(OR('Ingest Template'!F545 = "Program Type - Special", 'Ingest Template'!F545 = "Program Type - Live Event"),'Ingest Template'!M545&amp; "|Operations - Core Title|Operations - Core Title|"&amp;TEXT('Ingest Template'!C545-3, "yyyy-mm-dd")&amp;"|"&amp;TEXT('Ingest Template'!C545+3, "yyyy-mm-dd"),'Ingest Template'!M545&amp; "|Operations - Core Title|Operations - Core Title")))</f>
        <v>|Operations - Core Title|Operations - Core Title</v>
      </c>
      <c r="AK545" s="35"/>
      <c r="AL545" s="117" t="str">
        <f>if('Ingest Template'!A545="Standard",(IF(OR('Ingest Template'!F545 = "Program Type - Special", 'Ingest Template'!F545 = "Program Type - Live Event"),'Ingest Template'!Q545&amp;"|"&amp;TEXT('Ingest Template'!C545-3, "yyyy-mm-dd")&amp;"|"&amp;TEXT('Ingest Template'!C545+3, "yyyy-mm-dd"),'Ingest Template'!Q545&amp; "|2021-01-01")),(IF(OR('Ingest Template'!F545 = "Program Type - Special", 'Ingest Template'!F545 = "Program Type - Live Event"),'Ingest Template'!Q545&amp; "|"&amp;TEXT('Ingest Template'!C545-3, "yyyy-mm-dd")&amp;"|"&amp;TEXT('Ingest Template'!C545+3, "yyyy-mm-dd"),'Ingest Template'!Q545)))</f>
        <v/>
      </c>
      <c r="AM545" s="35" t="str">
        <f>'Ingest Template'!AC545</f>
        <v/>
      </c>
    </row>
    <row r="546">
      <c r="A546" s="15"/>
      <c r="B546" s="22" t="str">
        <f>'Ingest Template'!C546&amp;IF('Ingest Template'!A546 = "Standard", " - DAR","")</f>
        <v/>
      </c>
      <c r="C546" s="22" t="s">
        <v>83</v>
      </c>
      <c r="D546" s="22" t="str">
        <f t="array" ref="D546">CONCATENATE(INDEX(DropdownLists!$H$2:$H$11,MATCH(1,COUNTIF('Ingest Template'!E546,"*"&amp;DropdownLists!$I$2:$I$11&amp;"*"),0)),CHAR(10),'Ingest Template'!F546,CHAR(10),'Ingest Template'!G546,CHAR(10),VLOOKUP('Ingest Template'!D546,DropdownLists!C:D,2,FALSE))</f>
        <v>#N/A</v>
      </c>
      <c r="E546" s="22" t="str">
        <f>CONCATENATE('Ingest Template'!H546,CHAR(10),'Ingest Template'!I546,CHAR(10),'Ingest Template'!J546,CHAR(10))</f>
        <v>
</v>
      </c>
      <c r="F546" s="35" t="str">
        <f t="array" ref="F546">INDEX(DropdownLists!$O$2:$O$36,MATCH(1,COUNTIF(E546,"*"&amp;DropdownLists!$N$2:$N$36&amp;"*"),0))</f>
        <v/>
      </c>
      <c r="G546" s="35"/>
      <c r="H546" s="22" t="str">
        <f t="array" ref="H546">INDEX(DropdownLists!$E$2:$E$276,MATCH('Ingest Template'!D546,DropdownLists!$C$2:$C$276,0))</f>
        <v>#N/A</v>
      </c>
      <c r="I546" s="22"/>
      <c r="J546" s="22" t="str">
        <f t="array" ref="J546">iF('Ingest Template'!A546="Standard","Pristine Brand",INDEX(DropdownLists!$B$2:$B$246,MATCH('Ingest Template'!D546,DropdownLists!$C$2:$C$246,0)))</f>
        <v>#N/A</v>
      </c>
      <c r="K546" s="22" t="str">
        <f>iF('Ingest Template'!A546="Standard",'Ingest Template'!K546&amp;CHAR(10)&amp;'Ingest Template'!L546,"Competitive View")</f>
        <v>Competitive View</v>
      </c>
      <c r="L546" s="22" t="s">
        <v>95</v>
      </c>
      <c r="M546" s="45" t="str">
        <f>'Ingest Template'!B546</f>
        <v/>
      </c>
      <c r="N546" s="35"/>
      <c r="O546" s="35"/>
      <c r="P546" s="35"/>
      <c r="Q546" s="35"/>
      <c r="R546" s="35" t="str">
        <f>'Ingest Template'!D546</f>
        <v/>
      </c>
      <c r="S546" s="22" t="s">
        <v>101</v>
      </c>
      <c r="T546" s="35" t="str">
        <f>'Ingest Template'!V546</f>
        <v/>
      </c>
      <c r="U546" s="35" t="str">
        <f>'Ingest Template'!W546</f>
        <v/>
      </c>
      <c r="V546" s="35" t="str">
        <f>LOWER(SUBSTITUTE(SUBSTITUTE(SUBSTITUTE(SUBSTITUTE(SUBSTITUTE('Ingest Template'!X546,"https:",""),"www.",""),"/",""),"?hl=en",""),"instagram.com",""))</f>
        <v/>
      </c>
      <c r="W546" s="74" t="str">
        <f t="array" ref="W546">IF(
'Ingest Template'!Y546="",
SUBSTITUTE(
INDEX(DropdownLists!$F$2:$F$277,MATCH('Ingest Template'!D546,DropdownLists!$C$2:$C$277,0)),
CHAR(10),
"|"&amp;'Ingest Template'!C546&amp;CHAR(10)
)&amp;"|"&amp;'Ingest Template'!C546,
SUBSTITUTE(
INDEX(DropdownLists!$F$2:$F$277,MATCH('Ingest Template'!D546,DropdownLists!$C$2:$C$277,0)),
CHAR(10),
"|"&amp;'Ingest Template'!C546&amp;CHAR(10)
)&amp;"|"&amp;'Ingest Template'!C546&amp;CHAR(10)&amp;'Ingest Template'!Y546
)</f>
        <v>#N/A</v>
      </c>
      <c r="X546" s="74" t="str">
        <f>'Ingest Template'!Z546</f>
        <v/>
      </c>
      <c r="Y546" s="35" t="str">
        <f>SUBSTITUTE(SUBSTITUTE(SUBSTITUTE('Ingest Template'!AA546,"http:",""),"https:",""),"/","")</f>
        <v/>
      </c>
      <c r="Z546" s="35" t="str">
        <f t="array" ref="Z546">IF('Ingest Template'!A546="Standard",(IF(ISBLANK('Ingest Template'!AB546),"", 'Ingest Template'!AB546&amp;"|DAR")),(IF(ISBLANK('Ingest Template'!AB546),"", 'Ingest Template'!AB546&amp;"|TV Ops")))</f>
        <v/>
      </c>
      <c r="AA546" s="35"/>
      <c r="AB546" s="35" t="str">
        <f>'Ingest Template'!R546</f>
        <v/>
      </c>
      <c r="AC546" s="35" t="str">
        <f>'Ingest Template'!T546</f>
        <v/>
      </c>
      <c r="AD546" s="35" t="str">
        <f>'Ingest Template'!S546</f>
        <v/>
      </c>
      <c r="AE546" s="35" t="str">
        <f>'Ingest Template'!U546</f>
        <v/>
      </c>
      <c r="AF546" s="22"/>
      <c r="AG546" s="35" t="str">
        <f t="array" ref="AG546">IF('Ingest Template'!A546="Standard",(CONCATENATE(IF(ISBLANK('Ingest Template'!N546),"", 'Ingest Template'!N546&amp;"|DAR"),CHAR(10), IF(ISBLANK('Ingest Template'!O546),"", 'Ingest Template'!O546&amp;"|DAR"),CHAR(10), IF(ISBLANK('Ingest Template'!P546),"", 'Ingest Template'!P546&amp;"|DAR"))),(CONCATENATE(IF(ISBLANK('Ingest Template'!N546),"", 'Ingest Template'!N546&amp;"|TV Ops"),CHAR(10), IF(ISBLANK('Ingest Template'!O546),"", 'Ingest Template'!O546&amp;"|TV Ops"),CHAR(10), IF(ISBLANK('Ingest Template'!P546),"", 'Ingest Template'!P546&amp;"|TV Ops"))))</f>
        <v>
</v>
      </c>
      <c r="AH546" s="35"/>
      <c r="AI546" s="35"/>
      <c r="AJ546" s="117" t="str">
        <f>if('Ingest Template'!A546="Standard",(IF(OR('Ingest Template'!F546 = "Program Type - Special", 'Ingest Template'!F546 = "Program Type - Live Event"),'Ingest Template'!M546&amp; "|DAR|DAR|"&amp;TEXT('Ingest Template'!C546-3, "yyyy-mm-dd")&amp;"|"&amp;TEXT('Ingest Template'!C546+3, "yyyy-mm-dd"),'Ingest Template'!M546&amp; "|DAR|DAR|2021-01-01")),(IF(OR('Ingest Template'!F546 = "Program Type - Special", 'Ingest Template'!F546 = "Program Type - Live Event"),'Ingest Template'!M546&amp; "|Operations - Core Title|Operations - Core Title|"&amp;TEXT('Ingest Template'!C546-3, "yyyy-mm-dd")&amp;"|"&amp;TEXT('Ingest Template'!C546+3, "yyyy-mm-dd"),'Ingest Template'!M546&amp; "|Operations - Core Title|Operations - Core Title")))</f>
        <v>|Operations - Core Title|Operations - Core Title</v>
      </c>
      <c r="AK546" s="35"/>
      <c r="AL546" s="117" t="str">
        <f>if('Ingest Template'!A546="Standard",(IF(OR('Ingest Template'!F546 = "Program Type - Special", 'Ingest Template'!F546 = "Program Type - Live Event"),'Ingest Template'!Q546&amp;"|"&amp;TEXT('Ingest Template'!C546-3, "yyyy-mm-dd")&amp;"|"&amp;TEXT('Ingest Template'!C546+3, "yyyy-mm-dd"),'Ingest Template'!Q546&amp; "|2021-01-01")),(IF(OR('Ingest Template'!F546 = "Program Type - Special", 'Ingest Template'!F546 = "Program Type - Live Event"),'Ingest Template'!Q546&amp; "|"&amp;TEXT('Ingest Template'!C546-3, "yyyy-mm-dd")&amp;"|"&amp;TEXT('Ingest Template'!C546+3, "yyyy-mm-dd"),'Ingest Template'!Q546)))</f>
        <v/>
      </c>
      <c r="AM546" s="35" t="str">
        <f>'Ingest Template'!AC546</f>
        <v/>
      </c>
    </row>
    <row r="547">
      <c r="A547" s="15"/>
      <c r="B547" s="22" t="str">
        <f>'Ingest Template'!C547&amp;IF('Ingest Template'!A547 = "Standard", " - DAR","")</f>
        <v/>
      </c>
      <c r="C547" s="22" t="s">
        <v>83</v>
      </c>
      <c r="D547" s="22" t="str">
        <f t="array" ref="D547">CONCATENATE(INDEX(DropdownLists!$H$2:$H$11,MATCH(1,COUNTIF('Ingest Template'!E547,"*"&amp;DropdownLists!$I$2:$I$11&amp;"*"),0)),CHAR(10),'Ingest Template'!F547,CHAR(10),'Ingest Template'!G547,CHAR(10),VLOOKUP('Ingest Template'!D547,DropdownLists!C:D,2,FALSE))</f>
        <v>#N/A</v>
      </c>
      <c r="E547" s="22" t="str">
        <f>CONCATENATE('Ingest Template'!H547,CHAR(10),'Ingest Template'!I547,CHAR(10),'Ingest Template'!J547,CHAR(10))</f>
        <v>
</v>
      </c>
      <c r="F547" s="35" t="str">
        <f t="array" ref="F547">INDEX(DropdownLists!$O$2:$O$36,MATCH(1,COUNTIF(E547,"*"&amp;DropdownLists!$N$2:$N$36&amp;"*"),0))</f>
        <v/>
      </c>
      <c r="G547" s="35"/>
      <c r="H547" s="22" t="str">
        <f t="array" ref="H547">INDEX(DropdownLists!$E$2:$E$276,MATCH('Ingest Template'!D547,DropdownLists!$C$2:$C$276,0))</f>
        <v>#N/A</v>
      </c>
      <c r="I547" s="22"/>
      <c r="J547" s="22" t="str">
        <f t="array" ref="J547">iF('Ingest Template'!A547="Standard","Pristine Brand",INDEX(DropdownLists!$B$2:$B$246,MATCH('Ingest Template'!D547,DropdownLists!$C$2:$C$246,0)))</f>
        <v>#N/A</v>
      </c>
      <c r="K547" s="22" t="str">
        <f>iF('Ingest Template'!A547="Standard",'Ingest Template'!K547&amp;CHAR(10)&amp;'Ingest Template'!L547,"Competitive View")</f>
        <v>Competitive View</v>
      </c>
      <c r="L547" s="22" t="s">
        <v>95</v>
      </c>
      <c r="M547" s="45" t="str">
        <f>'Ingest Template'!B547</f>
        <v/>
      </c>
      <c r="N547" s="35"/>
      <c r="O547" s="35"/>
      <c r="P547" s="35"/>
      <c r="Q547" s="35"/>
      <c r="R547" s="35" t="str">
        <f>'Ingest Template'!D547</f>
        <v/>
      </c>
      <c r="S547" s="22" t="s">
        <v>101</v>
      </c>
      <c r="T547" s="35" t="str">
        <f>'Ingest Template'!V547</f>
        <v/>
      </c>
      <c r="U547" s="35" t="str">
        <f>'Ingest Template'!W547</f>
        <v/>
      </c>
      <c r="V547" s="35" t="str">
        <f>LOWER(SUBSTITUTE(SUBSTITUTE(SUBSTITUTE(SUBSTITUTE(SUBSTITUTE('Ingest Template'!X547,"https:",""),"www.",""),"/",""),"?hl=en",""),"instagram.com",""))</f>
        <v/>
      </c>
      <c r="W547" s="74" t="str">
        <f t="array" ref="W547">IF(
'Ingest Template'!Y547="",
SUBSTITUTE(
INDEX(DropdownLists!$F$2:$F$277,MATCH('Ingest Template'!D547,DropdownLists!$C$2:$C$277,0)),
CHAR(10),
"|"&amp;'Ingest Template'!C547&amp;CHAR(10)
)&amp;"|"&amp;'Ingest Template'!C547,
SUBSTITUTE(
INDEX(DropdownLists!$F$2:$F$277,MATCH('Ingest Template'!D547,DropdownLists!$C$2:$C$277,0)),
CHAR(10),
"|"&amp;'Ingest Template'!C547&amp;CHAR(10)
)&amp;"|"&amp;'Ingest Template'!C547&amp;CHAR(10)&amp;'Ingest Template'!Y547
)</f>
        <v>#N/A</v>
      </c>
      <c r="X547" s="74" t="str">
        <f>'Ingest Template'!Z547</f>
        <v/>
      </c>
      <c r="Y547" s="35" t="str">
        <f>SUBSTITUTE(SUBSTITUTE(SUBSTITUTE('Ingest Template'!AA547,"http:",""),"https:",""),"/","")</f>
        <v/>
      </c>
      <c r="Z547" s="35" t="str">
        <f t="array" ref="Z547">IF('Ingest Template'!A547="Standard",(IF(ISBLANK('Ingest Template'!AB547),"", 'Ingest Template'!AB547&amp;"|DAR")),(IF(ISBLANK('Ingest Template'!AB547),"", 'Ingest Template'!AB547&amp;"|TV Ops")))</f>
        <v/>
      </c>
      <c r="AA547" s="35"/>
      <c r="AB547" s="35" t="str">
        <f>'Ingest Template'!R547</f>
        <v/>
      </c>
      <c r="AC547" s="35" t="str">
        <f>'Ingest Template'!T547</f>
        <v/>
      </c>
      <c r="AD547" s="35" t="str">
        <f>'Ingest Template'!S547</f>
        <v/>
      </c>
      <c r="AE547" s="35" t="str">
        <f>'Ingest Template'!U547</f>
        <v/>
      </c>
      <c r="AF547" s="22"/>
      <c r="AG547" s="35" t="str">
        <f t="array" ref="AG547">IF('Ingest Template'!A547="Standard",(CONCATENATE(IF(ISBLANK('Ingest Template'!N547),"", 'Ingest Template'!N547&amp;"|DAR"),CHAR(10), IF(ISBLANK('Ingest Template'!O547),"", 'Ingest Template'!O547&amp;"|DAR"),CHAR(10), IF(ISBLANK('Ingest Template'!P547),"", 'Ingest Template'!P547&amp;"|DAR"))),(CONCATENATE(IF(ISBLANK('Ingest Template'!N547),"", 'Ingest Template'!N547&amp;"|TV Ops"),CHAR(10), IF(ISBLANK('Ingest Template'!O547),"", 'Ingest Template'!O547&amp;"|TV Ops"),CHAR(10), IF(ISBLANK('Ingest Template'!P547),"", 'Ingest Template'!P547&amp;"|TV Ops"))))</f>
        <v>
</v>
      </c>
      <c r="AH547" s="35"/>
      <c r="AI547" s="35"/>
      <c r="AJ547" s="117" t="str">
        <f>if('Ingest Template'!A547="Standard",(IF(OR('Ingest Template'!F547 = "Program Type - Special", 'Ingest Template'!F547 = "Program Type - Live Event"),'Ingest Template'!M547&amp; "|DAR|DAR|"&amp;TEXT('Ingest Template'!C547-3, "yyyy-mm-dd")&amp;"|"&amp;TEXT('Ingest Template'!C547+3, "yyyy-mm-dd"),'Ingest Template'!M547&amp; "|DAR|DAR|2021-01-01")),(IF(OR('Ingest Template'!F547 = "Program Type - Special", 'Ingest Template'!F547 = "Program Type - Live Event"),'Ingest Template'!M547&amp; "|Operations - Core Title|Operations - Core Title|"&amp;TEXT('Ingest Template'!C547-3, "yyyy-mm-dd")&amp;"|"&amp;TEXT('Ingest Template'!C547+3, "yyyy-mm-dd"),'Ingest Template'!M547&amp; "|Operations - Core Title|Operations - Core Title")))</f>
        <v>|Operations - Core Title|Operations - Core Title</v>
      </c>
      <c r="AK547" s="35"/>
      <c r="AL547" s="117" t="str">
        <f>if('Ingest Template'!A547="Standard",(IF(OR('Ingest Template'!F547 = "Program Type - Special", 'Ingest Template'!F547 = "Program Type - Live Event"),'Ingest Template'!Q547&amp;"|"&amp;TEXT('Ingest Template'!C547-3, "yyyy-mm-dd")&amp;"|"&amp;TEXT('Ingest Template'!C547+3, "yyyy-mm-dd"),'Ingest Template'!Q547&amp; "|2021-01-01")),(IF(OR('Ingest Template'!F547 = "Program Type - Special", 'Ingest Template'!F547 = "Program Type - Live Event"),'Ingest Template'!Q547&amp; "|"&amp;TEXT('Ingest Template'!C547-3, "yyyy-mm-dd")&amp;"|"&amp;TEXT('Ingest Template'!C547+3, "yyyy-mm-dd"),'Ingest Template'!Q547)))</f>
        <v/>
      </c>
      <c r="AM547" s="35" t="str">
        <f>'Ingest Template'!AC547</f>
        <v/>
      </c>
    </row>
    <row r="548">
      <c r="A548" s="15"/>
      <c r="B548" s="22" t="str">
        <f>'Ingest Template'!C548&amp;IF('Ingest Template'!A548 = "Standard", " - DAR","")</f>
        <v/>
      </c>
      <c r="C548" s="22" t="s">
        <v>83</v>
      </c>
      <c r="D548" s="22" t="str">
        <f t="array" ref="D548">CONCATENATE(INDEX(DropdownLists!$H$2:$H$11,MATCH(1,COUNTIF('Ingest Template'!E548,"*"&amp;DropdownLists!$I$2:$I$11&amp;"*"),0)),CHAR(10),'Ingest Template'!F548,CHAR(10),'Ingest Template'!G548,CHAR(10),VLOOKUP('Ingest Template'!D548,DropdownLists!C:D,2,FALSE))</f>
        <v>#N/A</v>
      </c>
      <c r="E548" s="22" t="str">
        <f>CONCATENATE('Ingest Template'!H548,CHAR(10),'Ingest Template'!I548,CHAR(10),'Ingest Template'!J548,CHAR(10))</f>
        <v>
</v>
      </c>
      <c r="F548" s="35" t="str">
        <f t="array" ref="F548">INDEX(DropdownLists!$O$2:$O$36,MATCH(1,COUNTIF(E548,"*"&amp;DropdownLists!$N$2:$N$36&amp;"*"),0))</f>
        <v/>
      </c>
      <c r="G548" s="35"/>
      <c r="H548" s="22" t="str">
        <f t="array" ref="H548">INDEX(DropdownLists!$E$2:$E$276,MATCH('Ingest Template'!D548,DropdownLists!$C$2:$C$276,0))</f>
        <v>#N/A</v>
      </c>
      <c r="I548" s="22"/>
      <c r="J548" s="22" t="str">
        <f t="array" ref="J548">iF('Ingest Template'!A548="Standard","Pristine Brand",INDEX(DropdownLists!$B$2:$B$246,MATCH('Ingest Template'!D548,DropdownLists!$C$2:$C$246,0)))</f>
        <v>#N/A</v>
      </c>
      <c r="K548" s="22" t="str">
        <f>iF('Ingest Template'!A548="Standard",'Ingest Template'!K548&amp;CHAR(10)&amp;'Ingest Template'!L548,"Competitive View")</f>
        <v>Competitive View</v>
      </c>
      <c r="L548" s="22" t="s">
        <v>95</v>
      </c>
      <c r="M548" s="45" t="str">
        <f>'Ingest Template'!B548</f>
        <v/>
      </c>
      <c r="N548" s="35"/>
      <c r="O548" s="35"/>
      <c r="P548" s="35"/>
      <c r="Q548" s="35"/>
      <c r="R548" s="35" t="str">
        <f>'Ingest Template'!D548</f>
        <v/>
      </c>
      <c r="S548" s="22" t="s">
        <v>101</v>
      </c>
      <c r="T548" s="35" t="str">
        <f>'Ingest Template'!V548</f>
        <v/>
      </c>
      <c r="U548" s="35" t="str">
        <f>'Ingest Template'!W548</f>
        <v/>
      </c>
      <c r="V548" s="35" t="str">
        <f>LOWER(SUBSTITUTE(SUBSTITUTE(SUBSTITUTE(SUBSTITUTE(SUBSTITUTE('Ingest Template'!X548,"https:",""),"www.",""),"/",""),"?hl=en",""),"instagram.com",""))</f>
        <v/>
      </c>
      <c r="W548" s="74" t="str">
        <f t="array" ref="W548">IF(
'Ingest Template'!Y548="",
SUBSTITUTE(
INDEX(DropdownLists!$F$2:$F$277,MATCH('Ingest Template'!D548,DropdownLists!$C$2:$C$277,0)),
CHAR(10),
"|"&amp;'Ingest Template'!C548&amp;CHAR(10)
)&amp;"|"&amp;'Ingest Template'!C548,
SUBSTITUTE(
INDEX(DropdownLists!$F$2:$F$277,MATCH('Ingest Template'!D548,DropdownLists!$C$2:$C$277,0)),
CHAR(10),
"|"&amp;'Ingest Template'!C548&amp;CHAR(10)
)&amp;"|"&amp;'Ingest Template'!C548&amp;CHAR(10)&amp;'Ingest Template'!Y548
)</f>
        <v>#N/A</v>
      </c>
      <c r="X548" s="74" t="str">
        <f>'Ingest Template'!Z548</f>
        <v/>
      </c>
      <c r="Y548" s="35" t="str">
        <f>SUBSTITUTE(SUBSTITUTE(SUBSTITUTE('Ingest Template'!AA548,"http:",""),"https:",""),"/","")</f>
        <v/>
      </c>
      <c r="Z548" s="35" t="str">
        <f t="array" ref="Z548">IF('Ingest Template'!A548="Standard",(IF(ISBLANK('Ingest Template'!AB548),"", 'Ingest Template'!AB548&amp;"|DAR")),(IF(ISBLANK('Ingest Template'!AB548),"", 'Ingest Template'!AB548&amp;"|TV Ops")))</f>
        <v/>
      </c>
      <c r="AA548" s="35"/>
      <c r="AB548" s="35" t="str">
        <f>'Ingest Template'!R548</f>
        <v/>
      </c>
      <c r="AC548" s="35" t="str">
        <f>'Ingest Template'!T548</f>
        <v/>
      </c>
      <c r="AD548" s="35" t="str">
        <f>'Ingest Template'!S548</f>
        <v/>
      </c>
      <c r="AE548" s="35" t="str">
        <f>'Ingest Template'!U548</f>
        <v/>
      </c>
      <c r="AF548" s="22"/>
      <c r="AG548" s="35" t="str">
        <f t="array" ref="AG548">IF('Ingest Template'!A548="Standard",(CONCATENATE(IF(ISBLANK('Ingest Template'!N548),"", 'Ingest Template'!N548&amp;"|DAR"),CHAR(10), IF(ISBLANK('Ingest Template'!O548),"", 'Ingest Template'!O548&amp;"|DAR"),CHAR(10), IF(ISBLANK('Ingest Template'!P548),"", 'Ingest Template'!P548&amp;"|DAR"))),(CONCATENATE(IF(ISBLANK('Ingest Template'!N548),"", 'Ingest Template'!N548&amp;"|TV Ops"),CHAR(10), IF(ISBLANK('Ingest Template'!O548),"", 'Ingest Template'!O548&amp;"|TV Ops"),CHAR(10), IF(ISBLANK('Ingest Template'!P548),"", 'Ingest Template'!P548&amp;"|TV Ops"))))</f>
        <v>
</v>
      </c>
      <c r="AH548" s="35"/>
      <c r="AI548" s="35"/>
      <c r="AJ548" s="117" t="str">
        <f>if('Ingest Template'!A548="Standard",(IF(OR('Ingest Template'!F548 = "Program Type - Special", 'Ingest Template'!F548 = "Program Type - Live Event"),'Ingest Template'!M548&amp; "|DAR|DAR|"&amp;TEXT('Ingest Template'!C548-3, "yyyy-mm-dd")&amp;"|"&amp;TEXT('Ingest Template'!C548+3, "yyyy-mm-dd"),'Ingest Template'!M548&amp; "|DAR|DAR|2021-01-01")),(IF(OR('Ingest Template'!F548 = "Program Type - Special", 'Ingest Template'!F548 = "Program Type - Live Event"),'Ingest Template'!M548&amp; "|Operations - Core Title|Operations - Core Title|"&amp;TEXT('Ingest Template'!C548-3, "yyyy-mm-dd")&amp;"|"&amp;TEXT('Ingest Template'!C548+3, "yyyy-mm-dd"),'Ingest Template'!M548&amp; "|Operations - Core Title|Operations - Core Title")))</f>
        <v>|Operations - Core Title|Operations - Core Title</v>
      </c>
      <c r="AK548" s="35"/>
      <c r="AL548" s="117" t="str">
        <f>if('Ingest Template'!A548="Standard",(IF(OR('Ingest Template'!F548 = "Program Type - Special", 'Ingest Template'!F548 = "Program Type - Live Event"),'Ingest Template'!Q548&amp;"|"&amp;TEXT('Ingest Template'!C548-3, "yyyy-mm-dd")&amp;"|"&amp;TEXT('Ingest Template'!C548+3, "yyyy-mm-dd"),'Ingest Template'!Q548&amp; "|2021-01-01")),(IF(OR('Ingest Template'!F548 = "Program Type - Special", 'Ingest Template'!F548 = "Program Type - Live Event"),'Ingest Template'!Q548&amp; "|"&amp;TEXT('Ingest Template'!C548-3, "yyyy-mm-dd")&amp;"|"&amp;TEXT('Ingest Template'!C548+3, "yyyy-mm-dd"),'Ingest Template'!Q548)))</f>
        <v/>
      </c>
      <c r="AM548" s="35" t="str">
        <f>'Ingest Template'!AC548</f>
        <v/>
      </c>
    </row>
    <row r="549">
      <c r="A549" s="15"/>
      <c r="B549" s="22" t="str">
        <f>'Ingest Template'!C549&amp;IF('Ingest Template'!A549 = "Standard", " - DAR","")</f>
        <v/>
      </c>
      <c r="C549" s="22" t="s">
        <v>83</v>
      </c>
      <c r="D549" s="22" t="str">
        <f t="array" ref="D549">CONCATENATE(INDEX(DropdownLists!$H$2:$H$11,MATCH(1,COUNTIF('Ingest Template'!E549,"*"&amp;DropdownLists!$I$2:$I$11&amp;"*"),0)),CHAR(10),'Ingest Template'!F549,CHAR(10),'Ingest Template'!G549,CHAR(10),VLOOKUP('Ingest Template'!D549,DropdownLists!C:D,2,FALSE))</f>
        <v>#N/A</v>
      </c>
      <c r="E549" s="22" t="str">
        <f>CONCATENATE('Ingest Template'!H549,CHAR(10),'Ingest Template'!I549,CHAR(10),'Ingest Template'!J549,CHAR(10))</f>
        <v>
</v>
      </c>
      <c r="F549" s="35" t="str">
        <f t="array" ref="F549">INDEX(DropdownLists!$O$2:$O$36,MATCH(1,COUNTIF(E549,"*"&amp;DropdownLists!$N$2:$N$36&amp;"*"),0))</f>
        <v/>
      </c>
      <c r="G549" s="35"/>
      <c r="H549" s="22" t="str">
        <f t="array" ref="H549">INDEX(DropdownLists!$E$2:$E$276,MATCH('Ingest Template'!D549,DropdownLists!$C$2:$C$276,0))</f>
        <v>#N/A</v>
      </c>
      <c r="I549" s="22"/>
      <c r="J549" s="22" t="str">
        <f t="array" ref="J549">iF('Ingest Template'!A549="Standard","Pristine Brand",INDEX(DropdownLists!$B$2:$B$246,MATCH('Ingest Template'!D549,DropdownLists!$C$2:$C$246,0)))</f>
        <v>#N/A</v>
      </c>
      <c r="K549" s="22" t="str">
        <f>iF('Ingest Template'!A549="Standard",'Ingest Template'!K549&amp;CHAR(10)&amp;'Ingest Template'!L549,"Competitive View")</f>
        <v>Competitive View</v>
      </c>
      <c r="L549" s="22" t="s">
        <v>95</v>
      </c>
      <c r="M549" s="45" t="str">
        <f>'Ingest Template'!B549</f>
        <v/>
      </c>
      <c r="N549" s="35"/>
      <c r="O549" s="35"/>
      <c r="P549" s="35"/>
      <c r="Q549" s="35"/>
      <c r="R549" s="35" t="str">
        <f>'Ingest Template'!D549</f>
        <v/>
      </c>
      <c r="S549" s="22" t="s">
        <v>101</v>
      </c>
      <c r="T549" s="35" t="str">
        <f>'Ingest Template'!V549</f>
        <v/>
      </c>
      <c r="U549" s="35" t="str">
        <f>'Ingest Template'!W549</f>
        <v/>
      </c>
      <c r="V549" s="35" t="str">
        <f>LOWER(SUBSTITUTE(SUBSTITUTE(SUBSTITUTE(SUBSTITUTE(SUBSTITUTE('Ingest Template'!X549,"https:",""),"www.",""),"/",""),"?hl=en",""),"instagram.com",""))</f>
        <v/>
      </c>
      <c r="W549" s="74" t="str">
        <f t="array" ref="W549">IF(
'Ingest Template'!Y549="",
SUBSTITUTE(
INDEX(DropdownLists!$F$2:$F$277,MATCH('Ingest Template'!D549,DropdownLists!$C$2:$C$277,0)),
CHAR(10),
"|"&amp;'Ingest Template'!C549&amp;CHAR(10)
)&amp;"|"&amp;'Ingest Template'!C549,
SUBSTITUTE(
INDEX(DropdownLists!$F$2:$F$277,MATCH('Ingest Template'!D549,DropdownLists!$C$2:$C$277,0)),
CHAR(10),
"|"&amp;'Ingest Template'!C549&amp;CHAR(10)
)&amp;"|"&amp;'Ingest Template'!C549&amp;CHAR(10)&amp;'Ingest Template'!Y549
)</f>
        <v>#N/A</v>
      </c>
      <c r="X549" s="74" t="str">
        <f>'Ingest Template'!Z549</f>
        <v/>
      </c>
      <c r="Y549" s="35" t="str">
        <f>SUBSTITUTE(SUBSTITUTE(SUBSTITUTE('Ingest Template'!AA549,"http:",""),"https:",""),"/","")</f>
        <v/>
      </c>
      <c r="Z549" s="35" t="str">
        <f t="array" ref="Z549">IF('Ingest Template'!A549="Standard",(IF(ISBLANK('Ingest Template'!AB549),"", 'Ingest Template'!AB549&amp;"|DAR")),(IF(ISBLANK('Ingest Template'!AB549),"", 'Ingest Template'!AB549&amp;"|TV Ops")))</f>
        <v/>
      </c>
      <c r="AA549" s="35"/>
      <c r="AB549" s="35" t="str">
        <f>'Ingest Template'!R549</f>
        <v/>
      </c>
      <c r="AC549" s="35" t="str">
        <f>'Ingest Template'!T549</f>
        <v/>
      </c>
      <c r="AD549" s="35" t="str">
        <f>'Ingest Template'!S549</f>
        <v/>
      </c>
      <c r="AE549" s="35" t="str">
        <f>'Ingest Template'!U549</f>
        <v/>
      </c>
      <c r="AF549" s="22"/>
      <c r="AG549" s="35" t="str">
        <f t="array" ref="AG549">IF('Ingest Template'!A549="Standard",(CONCATENATE(IF(ISBLANK('Ingest Template'!N549),"", 'Ingest Template'!N549&amp;"|DAR"),CHAR(10), IF(ISBLANK('Ingest Template'!O549),"", 'Ingest Template'!O549&amp;"|DAR"),CHAR(10), IF(ISBLANK('Ingest Template'!P549),"", 'Ingest Template'!P549&amp;"|DAR"))),(CONCATENATE(IF(ISBLANK('Ingest Template'!N549),"", 'Ingest Template'!N549&amp;"|TV Ops"),CHAR(10), IF(ISBLANK('Ingest Template'!O549),"", 'Ingest Template'!O549&amp;"|TV Ops"),CHAR(10), IF(ISBLANK('Ingest Template'!P549),"", 'Ingest Template'!P549&amp;"|TV Ops"))))</f>
        <v>
</v>
      </c>
      <c r="AH549" s="35"/>
      <c r="AI549" s="35"/>
      <c r="AJ549" s="117" t="str">
        <f>if('Ingest Template'!A549="Standard",(IF(OR('Ingest Template'!F549 = "Program Type - Special", 'Ingest Template'!F549 = "Program Type - Live Event"),'Ingest Template'!M549&amp; "|DAR|DAR|"&amp;TEXT('Ingest Template'!C549-3, "yyyy-mm-dd")&amp;"|"&amp;TEXT('Ingest Template'!C549+3, "yyyy-mm-dd"),'Ingest Template'!M549&amp; "|DAR|DAR|2021-01-01")),(IF(OR('Ingest Template'!F549 = "Program Type - Special", 'Ingest Template'!F549 = "Program Type - Live Event"),'Ingest Template'!M549&amp; "|Operations - Core Title|Operations - Core Title|"&amp;TEXT('Ingest Template'!C549-3, "yyyy-mm-dd")&amp;"|"&amp;TEXT('Ingest Template'!C549+3, "yyyy-mm-dd"),'Ingest Template'!M549&amp; "|Operations - Core Title|Operations - Core Title")))</f>
        <v>|Operations - Core Title|Operations - Core Title</v>
      </c>
      <c r="AK549" s="35"/>
      <c r="AL549" s="117" t="str">
        <f>if('Ingest Template'!A549="Standard",(IF(OR('Ingest Template'!F549 = "Program Type - Special", 'Ingest Template'!F549 = "Program Type - Live Event"),'Ingest Template'!Q549&amp;"|"&amp;TEXT('Ingest Template'!C549-3, "yyyy-mm-dd")&amp;"|"&amp;TEXT('Ingest Template'!C549+3, "yyyy-mm-dd"),'Ingest Template'!Q549&amp; "|2021-01-01")),(IF(OR('Ingest Template'!F549 = "Program Type - Special", 'Ingest Template'!F549 = "Program Type - Live Event"),'Ingest Template'!Q549&amp; "|"&amp;TEXT('Ingest Template'!C549-3, "yyyy-mm-dd")&amp;"|"&amp;TEXT('Ingest Template'!C549+3, "yyyy-mm-dd"),'Ingest Template'!Q549)))</f>
        <v/>
      </c>
      <c r="AM549" s="35" t="str">
        <f>'Ingest Template'!AC549</f>
        <v/>
      </c>
    </row>
    <row r="550">
      <c r="A550" s="15"/>
      <c r="B550" s="22" t="str">
        <f>'Ingest Template'!C550&amp;IF('Ingest Template'!A550 = "Standard", " - DAR","")</f>
        <v/>
      </c>
      <c r="C550" s="22" t="s">
        <v>83</v>
      </c>
      <c r="D550" s="22" t="str">
        <f t="array" ref="D550">CONCATENATE(INDEX(DropdownLists!$H$2:$H$11,MATCH(1,COUNTIF('Ingest Template'!E550,"*"&amp;DropdownLists!$I$2:$I$11&amp;"*"),0)),CHAR(10),'Ingest Template'!F550,CHAR(10),'Ingest Template'!G550,CHAR(10),VLOOKUP('Ingest Template'!D550,DropdownLists!C:D,2,FALSE))</f>
        <v>#N/A</v>
      </c>
      <c r="E550" s="22" t="str">
        <f>CONCATENATE('Ingest Template'!H550,CHAR(10),'Ingest Template'!I550,CHAR(10),'Ingest Template'!J550,CHAR(10))</f>
        <v>
</v>
      </c>
      <c r="F550" s="35" t="str">
        <f t="array" ref="F550">INDEX(DropdownLists!$O$2:$O$36,MATCH(1,COUNTIF(E550,"*"&amp;DropdownLists!$N$2:$N$36&amp;"*"),0))</f>
        <v/>
      </c>
      <c r="G550" s="35"/>
      <c r="H550" s="22" t="str">
        <f t="array" ref="H550">INDEX(DropdownLists!$E$2:$E$276,MATCH('Ingest Template'!D550,DropdownLists!$C$2:$C$276,0))</f>
        <v>#N/A</v>
      </c>
      <c r="I550" s="22"/>
      <c r="J550" s="22" t="str">
        <f t="array" ref="J550">iF('Ingest Template'!A550="Standard","Pristine Brand",INDEX(DropdownLists!$B$2:$B$246,MATCH('Ingest Template'!D550,DropdownLists!$C$2:$C$246,0)))</f>
        <v>#N/A</v>
      </c>
      <c r="K550" s="22" t="str">
        <f>iF('Ingest Template'!A550="Standard",'Ingest Template'!K550&amp;CHAR(10)&amp;'Ingest Template'!L550,"Competitive View")</f>
        <v>Competitive View</v>
      </c>
      <c r="L550" s="22" t="s">
        <v>95</v>
      </c>
      <c r="M550" s="45" t="str">
        <f>'Ingest Template'!B550</f>
        <v/>
      </c>
      <c r="N550" s="35"/>
      <c r="O550" s="35"/>
      <c r="P550" s="35"/>
      <c r="Q550" s="35"/>
      <c r="R550" s="35" t="str">
        <f>'Ingest Template'!D550</f>
        <v/>
      </c>
      <c r="S550" s="22" t="s">
        <v>101</v>
      </c>
      <c r="T550" s="35" t="str">
        <f>'Ingest Template'!V550</f>
        <v/>
      </c>
      <c r="U550" s="35" t="str">
        <f>'Ingest Template'!W550</f>
        <v/>
      </c>
      <c r="V550" s="35" t="str">
        <f>LOWER(SUBSTITUTE(SUBSTITUTE(SUBSTITUTE(SUBSTITUTE(SUBSTITUTE('Ingest Template'!X550,"https:",""),"www.",""),"/",""),"?hl=en",""),"instagram.com",""))</f>
        <v/>
      </c>
      <c r="W550" s="74" t="str">
        <f t="array" ref="W550">IF(
'Ingest Template'!Y550="",
SUBSTITUTE(
INDEX(DropdownLists!$F$2:$F$277,MATCH('Ingest Template'!D550,DropdownLists!$C$2:$C$277,0)),
CHAR(10),
"|"&amp;'Ingest Template'!C550&amp;CHAR(10)
)&amp;"|"&amp;'Ingest Template'!C550,
SUBSTITUTE(
INDEX(DropdownLists!$F$2:$F$277,MATCH('Ingest Template'!D550,DropdownLists!$C$2:$C$277,0)),
CHAR(10),
"|"&amp;'Ingest Template'!C550&amp;CHAR(10)
)&amp;"|"&amp;'Ingest Template'!C550&amp;CHAR(10)&amp;'Ingest Template'!Y550
)</f>
        <v>#N/A</v>
      </c>
      <c r="X550" s="74" t="str">
        <f>'Ingest Template'!Z550</f>
        <v/>
      </c>
      <c r="Y550" s="35" t="str">
        <f>SUBSTITUTE(SUBSTITUTE(SUBSTITUTE('Ingest Template'!AA550,"http:",""),"https:",""),"/","")</f>
        <v/>
      </c>
      <c r="Z550" s="35" t="str">
        <f t="array" ref="Z550">IF('Ingest Template'!A550="Standard",(IF(ISBLANK('Ingest Template'!AB550),"", 'Ingest Template'!AB550&amp;"|DAR")),(IF(ISBLANK('Ingest Template'!AB550),"", 'Ingest Template'!AB550&amp;"|TV Ops")))</f>
        <v/>
      </c>
      <c r="AA550" s="35"/>
      <c r="AB550" s="35" t="str">
        <f>'Ingest Template'!R550</f>
        <v/>
      </c>
      <c r="AC550" s="35" t="str">
        <f>'Ingest Template'!T550</f>
        <v/>
      </c>
      <c r="AD550" s="35" t="str">
        <f>'Ingest Template'!S550</f>
        <v/>
      </c>
      <c r="AE550" s="35" t="str">
        <f>'Ingest Template'!U550</f>
        <v/>
      </c>
      <c r="AF550" s="22"/>
      <c r="AG550" s="35" t="str">
        <f t="array" ref="AG550">IF('Ingest Template'!A550="Standard",(CONCATENATE(IF(ISBLANK('Ingest Template'!N550),"", 'Ingest Template'!N550&amp;"|DAR"),CHAR(10), IF(ISBLANK('Ingest Template'!O550),"", 'Ingest Template'!O550&amp;"|DAR"),CHAR(10), IF(ISBLANK('Ingest Template'!P550),"", 'Ingest Template'!P550&amp;"|DAR"))),(CONCATENATE(IF(ISBLANK('Ingest Template'!N550),"", 'Ingest Template'!N550&amp;"|TV Ops"),CHAR(10), IF(ISBLANK('Ingest Template'!O550),"", 'Ingest Template'!O550&amp;"|TV Ops"),CHAR(10), IF(ISBLANK('Ingest Template'!P550),"", 'Ingest Template'!P550&amp;"|TV Ops"))))</f>
        <v>
</v>
      </c>
      <c r="AH550" s="35"/>
      <c r="AI550" s="35"/>
      <c r="AJ550" s="117" t="str">
        <f>if('Ingest Template'!A550="Standard",(IF(OR('Ingest Template'!F550 = "Program Type - Special", 'Ingest Template'!F550 = "Program Type - Live Event"),'Ingest Template'!M550&amp; "|DAR|DAR|"&amp;TEXT('Ingest Template'!C550-3, "yyyy-mm-dd")&amp;"|"&amp;TEXT('Ingest Template'!C550+3, "yyyy-mm-dd"),'Ingest Template'!M550&amp; "|DAR|DAR|2021-01-01")),(IF(OR('Ingest Template'!F550 = "Program Type - Special", 'Ingest Template'!F550 = "Program Type - Live Event"),'Ingest Template'!M550&amp; "|Operations - Core Title|Operations - Core Title|"&amp;TEXT('Ingest Template'!C550-3, "yyyy-mm-dd")&amp;"|"&amp;TEXT('Ingest Template'!C550+3, "yyyy-mm-dd"),'Ingest Template'!M550&amp; "|Operations - Core Title|Operations - Core Title")))</f>
        <v>|Operations - Core Title|Operations - Core Title</v>
      </c>
      <c r="AK550" s="35"/>
      <c r="AL550" s="117" t="str">
        <f>if('Ingest Template'!A550="Standard",(IF(OR('Ingest Template'!F550 = "Program Type - Special", 'Ingest Template'!F550 = "Program Type - Live Event"),'Ingest Template'!Q550&amp;"|"&amp;TEXT('Ingest Template'!C550-3, "yyyy-mm-dd")&amp;"|"&amp;TEXT('Ingest Template'!C550+3, "yyyy-mm-dd"),'Ingest Template'!Q550&amp; "|2021-01-01")),(IF(OR('Ingest Template'!F550 = "Program Type - Special", 'Ingest Template'!F550 = "Program Type - Live Event"),'Ingest Template'!Q550&amp; "|"&amp;TEXT('Ingest Template'!C550-3, "yyyy-mm-dd")&amp;"|"&amp;TEXT('Ingest Template'!C550+3, "yyyy-mm-dd"),'Ingest Template'!Q550)))</f>
        <v/>
      </c>
      <c r="AM550" s="35" t="str">
        <f>'Ingest Template'!AC550</f>
        <v/>
      </c>
    </row>
    <row r="551">
      <c r="A551" s="15"/>
      <c r="B551" s="22" t="str">
        <f>'Ingest Template'!C551&amp;IF('Ingest Template'!A551 = "Standard", " - DAR","")</f>
        <v/>
      </c>
      <c r="C551" s="22" t="s">
        <v>83</v>
      </c>
      <c r="D551" s="22" t="str">
        <f t="array" ref="D551">CONCATENATE(INDEX(DropdownLists!$H$2:$H$11,MATCH(1,COUNTIF('Ingest Template'!E551,"*"&amp;DropdownLists!$I$2:$I$11&amp;"*"),0)),CHAR(10),'Ingest Template'!F551,CHAR(10),'Ingest Template'!G551,CHAR(10),VLOOKUP('Ingest Template'!D551,DropdownLists!C:D,2,FALSE))</f>
        <v>#N/A</v>
      </c>
      <c r="E551" s="22" t="str">
        <f>CONCATENATE('Ingest Template'!H551,CHAR(10),'Ingest Template'!I551,CHAR(10),'Ingest Template'!J551,CHAR(10))</f>
        <v>
</v>
      </c>
      <c r="F551" s="35" t="str">
        <f t="array" ref="F551">INDEX(DropdownLists!$O$2:$O$36,MATCH(1,COUNTIF(E551,"*"&amp;DropdownLists!$N$2:$N$36&amp;"*"),0))</f>
        <v/>
      </c>
      <c r="G551" s="35"/>
      <c r="H551" s="22" t="str">
        <f t="array" ref="H551">INDEX(DropdownLists!$E$2:$E$276,MATCH('Ingest Template'!D551,DropdownLists!$C$2:$C$276,0))</f>
        <v>#N/A</v>
      </c>
      <c r="I551" s="22"/>
      <c r="J551" s="22" t="str">
        <f t="array" ref="J551">iF('Ingest Template'!A551="Standard","Pristine Brand",INDEX(DropdownLists!$B$2:$B$246,MATCH('Ingest Template'!D551,DropdownLists!$C$2:$C$246,0)))</f>
        <v>#N/A</v>
      </c>
      <c r="K551" s="22" t="str">
        <f>iF('Ingest Template'!A551="Standard",'Ingest Template'!K551&amp;CHAR(10)&amp;'Ingest Template'!L551,"Competitive View")</f>
        <v>Competitive View</v>
      </c>
      <c r="L551" s="22" t="s">
        <v>95</v>
      </c>
      <c r="M551" s="45" t="str">
        <f>'Ingest Template'!B551</f>
        <v/>
      </c>
      <c r="N551" s="35"/>
      <c r="O551" s="35"/>
      <c r="P551" s="35"/>
      <c r="Q551" s="35"/>
      <c r="R551" s="35" t="str">
        <f>'Ingest Template'!D551</f>
        <v/>
      </c>
      <c r="S551" s="22" t="s">
        <v>101</v>
      </c>
      <c r="T551" s="35" t="str">
        <f>'Ingest Template'!V551</f>
        <v/>
      </c>
      <c r="U551" s="35" t="str">
        <f>'Ingest Template'!W551</f>
        <v/>
      </c>
      <c r="V551" s="35" t="str">
        <f>LOWER(SUBSTITUTE(SUBSTITUTE(SUBSTITUTE(SUBSTITUTE(SUBSTITUTE('Ingest Template'!X551,"https:",""),"www.",""),"/",""),"?hl=en",""),"instagram.com",""))</f>
        <v/>
      </c>
      <c r="W551" s="74" t="str">
        <f t="array" ref="W551">IF(
'Ingest Template'!Y551="",
SUBSTITUTE(
INDEX(DropdownLists!$F$2:$F$277,MATCH('Ingest Template'!D551,DropdownLists!$C$2:$C$277,0)),
CHAR(10),
"|"&amp;'Ingest Template'!C551&amp;CHAR(10)
)&amp;"|"&amp;'Ingest Template'!C551,
SUBSTITUTE(
INDEX(DropdownLists!$F$2:$F$277,MATCH('Ingest Template'!D551,DropdownLists!$C$2:$C$277,0)),
CHAR(10),
"|"&amp;'Ingest Template'!C551&amp;CHAR(10)
)&amp;"|"&amp;'Ingest Template'!C551&amp;CHAR(10)&amp;'Ingest Template'!Y551
)</f>
        <v>#N/A</v>
      </c>
      <c r="X551" s="74" t="str">
        <f>'Ingest Template'!Z551</f>
        <v/>
      </c>
      <c r="Y551" s="35" t="str">
        <f>SUBSTITUTE(SUBSTITUTE(SUBSTITUTE('Ingest Template'!AA551,"http:",""),"https:",""),"/","")</f>
        <v/>
      </c>
      <c r="Z551" s="35" t="str">
        <f t="array" ref="Z551">IF('Ingest Template'!A551="Standard",(IF(ISBLANK('Ingest Template'!AB551),"", 'Ingest Template'!AB551&amp;"|DAR")),(IF(ISBLANK('Ingest Template'!AB551),"", 'Ingest Template'!AB551&amp;"|TV Ops")))</f>
        <v/>
      </c>
      <c r="AA551" s="35"/>
      <c r="AB551" s="35" t="str">
        <f>'Ingest Template'!R551</f>
        <v/>
      </c>
      <c r="AC551" s="35" t="str">
        <f>'Ingest Template'!T551</f>
        <v/>
      </c>
      <c r="AD551" s="35" t="str">
        <f>'Ingest Template'!S551</f>
        <v/>
      </c>
      <c r="AE551" s="35" t="str">
        <f>'Ingest Template'!U551</f>
        <v/>
      </c>
      <c r="AF551" s="22"/>
      <c r="AG551" s="35" t="str">
        <f t="array" ref="AG551">IF('Ingest Template'!A551="Standard",(CONCATENATE(IF(ISBLANK('Ingest Template'!N551),"", 'Ingest Template'!N551&amp;"|DAR"),CHAR(10), IF(ISBLANK('Ingest Template'!O551),"", 'Ingest Template'!O551&amp;"|DAR"),CHAR(10), IF(ISBLANK('Ingest Template'!P551),"", 'Ingest Template'!P551&amp;"|DAR"))),(CONCATENATE(IF(ISBLANK('Ingest Template'!N551),"", 'Ingest Template'!N551&amp;"|TV Ops"),CHAR(10), IF(ISBLANK('Ingest Template'!O551),"", 'Ingest Template'!O551&amp;"|TV Ops"),CHAR(10), IF(ISBLANK('Ingest Template'!P551),"", 'Ingest Template'!P551&amp;"|TV Ops"))))</f>
        <v>
</v>
      </c>
      <c r="AH551" s="35"/>
      <c r="AI551" s="35"/>
      <c r="AJ551" s="117" t="str">
        <f>if('Ingest Template'!A551="Standard",(IF(OR('Ingest Template'!F551 = "Program Type - Special", 'Ingest Template'!F551 = "Program Type - Live Event"),'Ingest Template'!M551&amp; "|DAR|DAR|"&amp;TEXT('Ingest Template'!C551-3, "yyyy-mm-dd")&amp;"|"&amp;TEXT('Ingest Template'!C551+3, "yyyy-mm-dd"),'Ingest Template'!M551&amp; "|DAR|DAR|2021-01-01")),(IF(OR('Ingest Template'!F551 = "Program Type - Special", 'Ingest Template'!F551 = "Program Type - Live Event"),'Ingest Template'!M551&amp; "|Operations - Core Title|Operations - Core Title|"&amp;TEXT('Ingest Template'!C551-3, "yyyy-mm-dd")&amp;"|"&amp;TEXT('Ingest Template'!C551+3, "yyyy-mm-dd"),'Ingest Template'!M551&amp; "|Operations - Core Title|Operations - Core Title")))</f>
        <v>|Operations - Core Title|Operations - Core Title</v>
      </c>
      <c r="AK551" s="35"/>
      <c r="AL551" s="117" t="str">
        <f>if('Ingest Template'!A551="Standard",(IF(OR('Ingest Template'!F551 = "Program Type - Special", 'Ingest Template'!F551 = "Program Type - Live Event"),'Ingest Template'!Q551&amp;"|"&amp;TEXT('Ingest Template'!C551-3, "yyyy-mm-dd")&amp;"|"&amp;TEXT('Ingest Template'!C551+3, "yyyy-mm-dd"),'Ingest Template'!Q551&amp; "|2021-01-01")),(IF(OR('Ingest Template'!F551 = "Program Type - Special", 'Ingest Template'!F551 = "Program Type - Live Event"),'Ingest Template'!Q551&amp; "|"&amp;TEXT('Ingest Template'!C551-3, "yyyy-mm-dd")&amp;"|"&amp;TEXT('Ingest Template'!C551+3, "yyyy-mm-dd"),'Ingest Template'!Q551)))</f>
        <v/>
      </c>
      <c r="AM551" s="35" t="str">
        <f>'Ingest Template'!AC551</f>
        <v/>
      </c>
    </row>
    <row r="552">
      <c r="A552" s="15"/>
      <c r="B552" s="22" t="str">
        <f>'Ingest Template'!C552&amp;IF('Ingest Template'!A552 = "Standard", " - DAR","")</f>
        <v/>
      </c>
      <c r="C552" s="22" t="s">
        <v>83</v>
      </c>
      <c r="D552" s="22" t="str">
        <f t="array" ref="D552">CONCATENATE(INDEX(DropdownLists!$H$2:$H$11,MATCH(1,COUNTIF('Ingest Template'!E552,"*"&amp;DropdownLists!$I$2:$I$11&amp;"*"),0)),CHAR(10),'Ingest Template'!F552,CHAR(10),'Ingest Template'!G552,CHAR(10),VLOOKUP('Ingest Template'!D552,DropdownLists!C:D,2,FALSE))</f>
        <v>#N/A</v>
      </c>
      <c r="E552" s="22" t="str">
        <f>CONCATENATE('Ingest Template'!H552,CHAR(10),'Ingest Template'!I552,CHAR(10),'Ingest Template'!J552,CHAR(10))</f>
        <v>
</v>
      </c>
      <c r="F552" s="35" t="str">
        <f t="array" ref="F552">INDEX(DropdownLists!$O$2:$O$36,MATCH(1,COUNTIF(E552,"*"&amp;DropdownLists!$N$2:$N$36&amp;"*"),0))</f>
        <v/>
      </c>
      <c r="G552" s="35"/>
      <c r="H552" s="22" t="str">
        <f t="array" ref="H552">INDEX(DropdownLists!$E$2:$E$276,MATCH('Ingest Template'!D552,DropdownLists!$C$2:$C$276,0))</f>
        <v>#N/A</v>
      </c>
      <c r="I552" s="22"/>
      <c r="J552" s="22" t="str">
        <f t="array" ref="J552">iF('Ingest Template'!A552="Standard","Pristine Brand",INDEX(DropdownLists!$B$2:$B$246,MATCH('Ingest Template'!D552,DropdownLists!$C$2:$C$246,0)))</f>
        <v>#N/A</v>
      </c>
      <c r="K552" s="22" t="str">
        <f>iF('Ingest Template'!A552="Standard",'Ingest Template'!K552&amp;CHAR(10)&amp;'Ingest Template'!L552,"Competitive View")</f>
        <v>Competitive View</v>
      </c>
      <c r="L552" s="22" t="s">
        <v>95</v>
      </c>
      <c r="M552" s="45" t="str">
        <f>'Ingest Template'!B552</f>
        <v/>
      </c>
      <c r="N552" s="35"/>
      <c r="O552" s="35"/>
      <c r="P552" s="35"/>
      <c r="Q552" s="35"/>
      <c r="R552" s="35" t="str">
        <f>'Ingest Template'!D552</f>
        <v/>
      </c>
      <c r="S552" s="22" t="s">
        <v>101</v>
      </c>
      <c r="T552" s="35" t="str">
        <f>'Ingest Template'!V552</f>
        <v/>
      </c>
      <c r="U552" s="35" t="str">
        <f>'Ingest Template'!W552</f>
        <v/>
      </c>
      <c r="V552" s="35" t="str">
        <f>LOWER(SUBSTITUTE(SUBSTITUTE(SUBSTITUTE(SUBSTITUTE(SUBSTITUTE('Ingest Template'!X552,"https:",""),"www.",""),"/",""),"?hl=en",""),"instagram.com",""))</f>
        <v/>
      </c>
      <c r="W552" s="74" t="str">
        <f t="array" ref="W552">IF(
'Ingest Template'!Y552="",
SUBSTITUTE(
INDEX(DropdownLists!$F$2:$F$277,MATCH('Ingest Template'!D552,DropdownLists!$C$2:$C$277,0)),
CHAR(10),
"|"&amp;'Ingest Template'!C552&amp;CHAR(10)
)&amp;"|"&amp;'Ingest Template'!C552,
SUBSTITUTE(
INDEX(DropdownLists!$F$2:$F$277,MATCH('Ingest Template'!D552,DropdownLists!$C$2:$C$277,0)),
CHAR(10),
"|"&amp;'Ingest Template'!C552&amp;CHAR(10)
)&amp;"|"&amp;'Ingest Template'!C552&amp;CHAR(10)&amp;'Ingest Template'!Y552
)</f>
        <v>#N/A</v>
      </c>
      <c r="X552" s="74" t="str">
        <f>'Ingest Template'!Z552</f>
        <v/>
      </c>
      <c r="Y552" s="35" t="str">
        <f>SUBSTITUTE(SUBSTITUTE(SUBSTITUTE('Ingest Template'!AA552,"http:",""),"https:",""),"/","")</f>
        <v/>
      </c>
      <c r="Z552" s="35" t="str">
        <f t="array" ref="Z552">IF('Ingest Template'!A552="Standard",(IF(ISBLANK('Ingest Template'!AB552),"", 'Ingest Template'!AB552&amp;"|DAR")),(IF(ISBLANK('Ingest Template'!AB552),"", 'Ingest Template'!AB552&amp;"|TV Ops")))</f>
        <v/>
      </c>
      <c r="AA552" s="35"/>
      <c r="AB552" s="35" t="str">
        <f>'Ingest Template'!R552</f>
        <v/>
      </c>
      <c r="AC552" s="35" t="str">
        <f>'Ingest Template'!T552</f>
        <v/>
      </c>
      <c r="AD552" s="35" t="str">
        <f>'Ingest Template'!S552</f>
        <v/>
      </c>
      <c r="AE552" s="35" t="str">
        <f>'Ingest Template'!U552</f>
        <v/>
      </c>
      <c r="AF552" s="22"/>
      <c r="AG552" s="35" t="str">
        <f t="array" ref="AG552">IF('Ingest Template'!A552="Standard",(CONCATENATE(IF(ISBLANK('Ingest Template'!N552),"", 'Ingest Template'!N552&amp;"|DAR"),CHAR(10), IF(ISBLANK('Ingest Template'!O552),"", 'Ingest Template'!O552&amp;"|DAR"),CHAR(10), IF(ISBLANK('Ingest Template'!P552),"", 'Ingest Template'!P552&amp;"|DAR"))),(CONCATENATE(IF(ISBLANK('Ingest Template'!N552),"", 'Ingest Template'!N552&amp;"|TV Ops"),CHAR(10), IF(ISBLANK('Ingest Template'!O552),"", 'Ingest Template'!O552&amp;"|TV Ops"),CHAR(10), IF(ISBLANK('Ingest Template'!P552),"", 'Ingest Template'!P552&amp;"|TV Ops"))))</f>
        <v>
</v>
      </c>
      <c r="AH552" s="35"/>
      <c r="AI552" s="35"/>
      <c r="AJ552" s="117" t="str">
        <f>if('Ingest Template'!A552="Standard",(IF(OR('Ingest Template'!F552 = "Program Type - Special", 'Ingest Template'!F552 = "Program Type - Live Event"),'Ingest Template'!M552&amp; "|DAR|DAR|"&amp;TEXT('Ingest Template'!C552-3, "yyyy-mm-dd")&amp;"|"&amp;TEXT('Ingest Template'!C552+3, "yyyy-mm-dd"),'Ingest Template'!M552&amp; "|DAR|DAR|2021-01-01")),(IF(OR('Ingest Template'!F552 = "Program Type - Special", 'Ingest Template'!F552 = "Program Type - Live Event"),'Ingest Template'!M552&amp; "|Operations - Core Title|Operations - Core Title|"&amp;TEXT('Ingest Template'!C552-3, "yyyy-mm-dd")&amp;"|"&amp;TEXT('Ingest Template'!C552+3, "yyyy-mm-dd"),'Ingest Template'!M552&amp; "|Operations - Core Title|Operations - Core Title")))</f>
        <v>|Operations - Core Title|Operations - Core Title</v>
      </c>
      <c r="AK552" s="35"/>
      <c r="AL552" s="117" t="str">
        <f>if('Ingest Template'!A552="Standard",(IF(OR('Ingest Template'!F552 = "Program Type - Special", 'Ingest Template'!F552 = "Program Type - Live Event"),'Ingest Template'!Q552&amp;"|"&amp;TEXT('Ingest Template'!C552-3, "yyyy-mm-dd")&amp;"|"&amp;TEXT('Ingest Template'!C552+3, "yyyy-mm-dd"),'Ingest Template'!Q552&amp; "|2021-01-01")),(IF(OR('Ingest Template'!F552 = "Program Type - Special", 'Ingest Template'!F552 = "Program Type - Live Event"),'Ingest Template'!Q552&amp; "|"&amp;TEXT('Ingest Template'!C552-3, "yyyy-mm-dd")&amp;"|"&amp;TEXT('Ingest Template'!C552+3, "yyyy-mm-dd"),'Ingest Template'!Q552)))</f>
        <v/>
      </c>
      <c r="AM552" s="35" t="str">
        <f>'Ingest Template'!AC552</f>
        <v/>
      </c>
    </row>
    <row r="553">
      <c r="A553" s="15"/>
      <c r="B553" s="22" t="str">
        <f>'Ingest Template'!C553&amp;IF('Ingest Template'!A553 = "Standard", " - DAR","")</f>
        <v/>
      </c>
      <c r="C553" s="22" t="s">
        <v>83</v>
      </c>
      <c r="D553" s="22" t="str">
        <f t="array" ref="D553">CONCATENATE(INDEX(DropdownLists!$H$2:$H$11,MATCH(1,COUNTIF('Ingest Template'!E553,"*"&amp;DropdownLists!$I$2:$I$11&amp;"*"),0)),CHAR(10),'Ingest Template'!F553,CHAR(10),'Ingest Template'!G553,CHAR(10),VLOOKUP('Ingest Template'!D553,DropdownLists!C:D,2,FALSE))</f>
        <v>#N/A</v>
      </c>
      <c r="E553" s="22" t="str">
        <f>CONCATENATE('Ingest Template'!H553,CHAR(10),'Ingest Template'!I553,CHAR(10),'Ingest Template'!J553,CHAR(10))</f>
        <v>
</v>
      </c>
      <c r="F553" s="35" t="str">
        <f t="array" ref="F553">INDEX(DropdownLists!$O$2:$O$36,MATCH(1,COUNTIF(E553,"*"&amp;DropdownLists!$N$2:$N$36&amp;"*"),0))</f>
        <v/>
      </c>
      <c r="G553" s="35"/>
      <c r="H553" s="22" t="str">
        <f t="array" ref="H553">INDEX(DropdownLists!$E$2:$E$276,MATCH('Ingest Template'!D553,DropdownLists!$C$2:$C$276,0))</f>
        <v>#N/A</v>
      </c>
      <c r="I553" s="22"/>
      <c r="J553" s="22" t="str">
        <f t="array" ref="J553">iF('Ingest Template'!A553="Standard","Pristine Brand",INDEX(DropdownLists!$B$2:$B$246,MATCH('Ingest Template'!D553,DropdownLists!$C$2:$C$246,0)))</f>
        <v>#N/A</v>
      </c>
      <c r="K553" s="22" t="str">
        <f>iF('Ingest Template'!A553="Standard",'Ingest Template'!K553&amp;CHAR(10)&amp;'Ingest Template'!L553,"Competitive View")</f>
        <v>Competitive View</v>
      </c>
      <c r="L553" s="22" t="s">
        <v>95</v>
      </c>
      <c r="M553" s="45" t="str">
        <f>'Ingest Template'!B553</f>
        <v/>
      </c>
      <c r="N553" s="35"/>
      <c r="O553" s="35"/>
      <c r="P553" s="35"/>
      <c r="Q553" s="35"/>
      <c r="R553" s="35" t="str">
        <f>'Ingest Template'!D553</f>
        <v/>
      </c>
      <c r="S553" s="22" t="s">
        <v>101</v>
      </c>
      <c r="T553" s="35" t="str">
        <f>'Ingest Template'!V553</f>
        <v/>
      </c>
      <c r="U553" s="35" t="str">
        <f>'Ingest Template'!W553</f>
        <v/>
      </c>
      <c r="V553" s="35" t="str">
        <f>LOWER(SUBSTITUTE(SUBSTITUTE(SUBSTITUTE(SUBSTITUTE(SUBSTITUTE('Ingest Template'!X553,"https:",""),"www.",""),"/",""),"?hl=en",""),"instagram.com",""))</f>
        <v/>
      </c>
      <c r="W553" s="74" t="str">
        <f t="array" ref="W553">IF(
'Ingest Template'!Y553="",
SUBSTITUTE(
INDEX(DropdownLists!$F$2:$F$277,MATCH('Ingest Template'!D553,DropdownLists!$C$2:$C$277,0)),
CHAR(10),
"|"&amp;'Ingest Template'!C553&amp;CHAR(10)
)&amp;"|"&amp;'Ingest Template'!C553,
SUBSTITUTE(
INDEX(DropdownLists!$F$2:$F$277,MATCH('Ingest Template'!D553,DropdownLists!$C$2:$C$277,0)),
CHAR(10),
"|"&amp;'Ingest Template'!C553&amp;CHAR(10)
)&amp;"|"&amp;'Ingest Template'!C553&amp;CHAR(10)&amp;'Ingest Template'!Y553
)</f>
        <v>#N/A</v>
      </c>
      <c r="X553" s="74" t="str">
        <f>'Ingest Template'!Z553</f>
        <v/>
      </c>
      <c r="Y553" s="35" t="str">
        <f>SUBSTITUTE(SUBSTITUTE(SUBSTITUTE('Ingest Template'!AA553,"http:",""),"https:",""),"/","")</f>
        <v/>
      </c>
      <c r="Z553" s="35" t="str">
        <f t="array" ref="Z553">IF('Ingest Template'!A553="Standard",(IF(ISBLANK('Ingest Template'!AB553),"", 'Ingest Template'!AB553&amp;"|DAR")),(IF(ISBLANK('Ingest Template'!AB553),"", 'Ingest Template'!AB553&amp;"|TV Ops")))</f>
        <v/>
      </c>
      <c r="AA553" s="35"/>
      <c r="AB553" s="35" t="str">
        <f>'Ingest Template'!R553</f>
        <v/>
      </c>
      <c r="AC553" s="35" t="str">
        <f>'Ingest Template'!T553</f>
        <v/>
      </c>
      <c r="AD553" s="35" t="str">
        <f>'Ingest Template'!S553</f>
        <v/>
      </c>
      <c r="AE553" s="35" t="str">
        <f>'Ingest Template'!U553</f>
        <v/>
      </c>
      <c r="AF553" s="22"/>
      <c r="AG553" s="35" t="str">
        <f t="array" ref="AG553">IF('Ingest Template'!A553="Standard",(CONCATENATE(IF(ISBLANK('Ingest Template'!N553),"", 'Ingest Template'!N553&amp;"|DAR"),CHAR(10), IF(ISBLANK('Ingest Template'!O553),"", 'Ingest Template'!O553&amp;"|DAR"),CHAR(10), IF(ISBLANK('Ingest Template'!P553),"", 'Ingest Template'!P553&amp;"|DAR"))),(CONCATENATE(IF(ISBLANK('Ingest Template'!N553),"", 'Ingest Template'!N553&amp;"|TV Ops"),CHAR(10), IF(ISBLANK('Ingest Template'!O553),"", 'Ingest Template'!O553&amp;"|TV Ops"),CHAR(10), IF(ISBLANK('Ingest Template'!P553),"", 'Ingest Template'!P553&amp;"|TV Ops"))))</f>
        <v>
</v>
      </c>
      <c r="AH553" s="35"/>
      <c r="AI553" s="35"/>
      <c r="AJ553" s="117" t="str">
        <f>if('Ingest Template'!A553="Standard",(IF(OR('Ingest Template'!F553 = "Program Type - Special", 'Ingest Template'!F553 = "Program Type - Live Event"),'Ingest Template'!M553&amp; "|DAR|DAR|"&amp;TEXT('Ingest Template'!C553-3, "yyyy-mm-dd")&amp;"|"&amp;TEXT('Ingest Template'!C553+3, "yyyy-mm-dd"),'Ingest Template'!M553&amp; "|DAR|DAR|2021-01-01")),(IF(OR('Ingest Template'!F553 = "Program Type - Special", 'Ingest Template'!F553 = "Program Type - Live Event"),'Ingest Template'!M553&amp; "|Operations - Core Title|Operations - Core Title|"&amp;TEXT('Ingest Template'!C553-3, "yyyy-mm-dd")&amp;"|"&amp;TEXT('Ingest Template'!C553+3, "yyyy-mm-dd"),'Ingest Template'!M553&amp; "|Operations - Core Title|Operations - Core Title")))</f>
        <v>|Operations - Core Title|Operations - Core Title</v>
      </c>
      <c r="AK553" s="35"/>
      <c r="AL553" s="117" t="str">
        <f>if('Ingest Template'!A553="Standard",(IF(OR('Ingest Template'!F553 = "Program Type - Special", 'Ingest Template'!F553 = "Program Type - Live Event"),'Ingest Template'!Q553&amp;"|"&amp;TEXT('Ingest Template'!C553-3, "yyyy-mm-dd")&amp;"|"&amp;TEXT('Ingest Template'!C553+3, "yyyy-mm-dd"),'Ingest Template'!Q553&amp; "|2021-01-01")),(IF(OR('Ingest Template'!F553 = "Program Type - Special", 'Ingest Template'!F553 = "Program Type - Live Event"),'Ingest Template'!Q553&amp; "|"&amp;TEXT('Ingest Template'!C553-3, "yyyy-mm-dd")&amp;"|"&amp;TEXT('Ingest Template'!C553+3, "yyyy-mm-dd"),'Ingest Template'!Q553)))</f>
        <v/>
      </c>
      <c r="AM553" s="35" t="str">
        <f>'Ingest Template'!AC553</f>
        <v/>
      </c>
    </row>
    <row r="554">
      <c r="A554" s="15"/>
      <c r="B554" s="22" t="str">
        <f>'Ingest Template'!C554&amp;IF('Ingest Template'!A554 = "Standard", " - DAR","")</f>
        <v/>
      </c>
      <c r="C554" s="22" t="s">
        <v>83</v>
      </c>
      <c r="D554" s="22" t="str">
        <f t="array" ref="D554">CONCATENATE(INDEX(DropdownLists!$H$2:$H$11,MATCH(1,COUNTIF('Ingest Template'!E554,"*"&amp;DropdownLists!$I$2:$I$11&amp;"*"),0)),CHAR(10),'Ingest Template'!F554,CHAR(10),'Ingest Template'!G554,CHAR(10),VLOOKUP('Ingest Template'!D554,DropdownLists!C:D,2,FALSE))</f>
        <v>#N/A</v>
      </c>
      <c r="E554" s="22" t="str">
        <f>CONCATENATE('Ingest Template'!H554,CHAR(10),'Ingest Template'!I554,CHAR(10),'Ingest Template'!J554,CHAR(10))</f>
        <v>
</v>
      </c>
      <c r="F554" s="35" t="str">
        <f t="array" ref="F554">INDEX(DropdownLists!$O$2:$O$36,MATCH(1,COUNTIF(E554,"*"&amp;DropdownLists!$N$2:$N$36&amp;"*"),0))</f>
        <v/>
      </c>
      <c r="G554" s="35"/>
      <c r="H554" s="22" t="str">
        <f t="array" ref="H554">INDEX(DropdownLists!$E$2:$E$276,MATCH('Ingest Template'!D554,DropdownLists!$C$2:$C$276,0))</f>
        <v>#N/A</v>
      </c>
      <c r="I554" s="22"/>
      <c r="J554" s="22" t="str">
        <f t="array" ref="J554">iF('Ingest Template'!A554="Standard","Pristine Brand",INDEX(DropdownLists!$B$2:$B$246,MATCH('Ingest Template'!D554,DropdownLists!$C$2:$C$246,0)))</f>
        <v>#N/A</v>
      </c>
      <c r="K554" s="22" t="str">
        <f>iF('Ingest Template'!A554="Standard",'Ingest Template'!K554&amp;CHAR(10)&amp;'Ingest Template'!L554,"Competitive View")</f>
        <v>Competitive View</v>
      </c>
      <c r="L554" s="22" t="s">
        <v>95</v>
      </c>
      <c r="M554" s="45" t="str">
        <f>'Ingest Template'!B554</f>
        <v/>
      </c>
      <c r="N554" s="35"/>
      <c r="O554" s="35"/>
      <c r="P554" s="35"/>
      <c r="Q554" s="35"/>
      <c r="R554" s="35" t="str">
        <f>'Ingest Template'!D554</f>
        <v/>
      </c>
      <c r="S554" s="22" t="s">
        <v>101</v>
      </c>
      <c r="T554" s="35" t="str">
        <f>'Ingest Template'!V554</f>
        <v/>
      </c>
      <c r="U554" s="35" t="str">
        <f>'Ingest Template'!W554</f>
        <v/>
      </c>
      <c r="V554" s="35" t="str">
        <f>LOWER(SUBSTITUTE(SUBSTITUTE(SUBSTITUTE(SUBSTITUTE(SUBSTITUTE('Ingest Template'!X554,"https:",""),"www.",""),"/",""),"?hl=en",""),"instagram.com",""))</f>
        <v/>
      </c>
      <c r="W554" s="74" t="str">
        <f t="array" ref="W554">IF(
'Ingest Template'!Y554="",
SUBSTITUTE(
INDEX(DropdownLists!$F$2:$F$277,MATCH('Ingest Template'!D554,DropdownLists!$C$2:$C$277,0)),
CHAR(10),
"|"&amp;'Ingest Template'!C554&amp;CHAR(10)
)&amp;"|"&amp;'Ingest Template'!C554,
SUBSTITUTE(
INDEX(DropdownLists!$F$2:$F$277,MATCH('Ingest Template'!D554,DropdownLists!$C$2:$C$277,0)),
CHAR(10),
"|"&amp;'Ingest Template'!C554&amp;CHAR(10)
)&amp;"|"&amp;'Ingest Template'!C554&amp;CHAR(10)&amp;'Ingest Template'!Y554
)</f>
        <v>#N/A</v>
      </c>
      <c r="X554" s="74" t="str">
        <f>'Ingest Template'!Z554</f>
        <v/>
      </c>
      <c r="Y554" s="35" t="str">
        <f>SUBSTITUTE(SUBSTITUTE(SUBSTITUTE('Ingest Template'!AA554,"http:",""),"https:",""),"/","")</f>
        <v/>
      </c>
      <c r="Z554" s="35" t="str">
        <f t="array" ref="Z554">IF('Ingest Template'!A554="Standard",(IF(ISBLANK('Ingest Template'!AB554),"", 'Ingest Template'!AB554&amp;"|DAR")),(IF(ISBLANK('Ingest Template'!AB554),"", 'Ingest Template'!AB554&amp;"|TV Ops")))</f>
        <v/>
      </c>
      <c r="AA554" s="35"/>
      <c r="AB554" s="35" t="str">
        <f>'Ingest Template'!R554</f>
        <v/>
      </c>
      <c r="AC554" s="35" t="str">
        <f>'Ingest Template'!T554</f>
        <v/>
      </c>
      <c r="AD554" s="35" t="str">
        <f>'Ingest Template'!S554</f>
        <v/>
      </c>
      <c r="AE554" s="35" t="str">
        <f>'Ingest Template'!U554</f>
        <v/>
      </c>
      <c r="AF554" s="22"/>
      <c r="AG554" s="35" t="str">
        <f t="array" ref="AG554">IF('Ingest Template'!A554="Standard",(CONCATENATE(IF(ISBLANK('Ingest Template'!N554),"", 'Ingest Template'!N554&amp;"|DAR"),CHAR(10), IF(ISBLANK('Ingest Template'!O554),"", 'Ingest Template'!O554&amp;"|DAR"),CHAR(10), IF(ISBLANK('Ingest Template'!P554),"", 'Ingest Template'!P554&amp;"|DAR"))),(CONCATENATE(IF(ISBLANK('Ingest Template'!N554),"", 'Ingest Template'!N554&amp;"|TV Ops"),CHAR(10), IF(ISBLANK('Ingest Template'!O554),"", 'Ingest Template'!O554&amp;"|TV Ops"),CHAR(10), IF(ISBLANK('Ingest Template'!P554),"", 'Ingest Template'!P554&amp;"|TV Ops"))))</f>
        <v>
</v>
      </c>
      <c r="AH554" s="35"/>
      <c r="AI554" s="35"/>
      <c r="AJ554" s="117" t="str">
        <f>if('Ingest Template'!A554="Standard",(IF(OR('Ingest Template'!F554 = "Program Type - Special", 'Ingest Template'!F554 = "Program Type - Live Event"),'Ingest Template'!M554&amp; "|DAR|DAR|"&amp;TEXT('Ingest Template'!C554-3, "yyyy-mm-dd")&amp;"|"&amp;TEXT('Ingest Template'!C554+3, "yyyy-mm-dd"),'Ingest Template'!M554&amp; "|DAR|DAR|2021-01-01")),(IF(OR('Ingest Template'!F554 = "Program Type - Special", 'Ingest Template'!F554 = "Program Type - Live Event"),'Ingest Template'!M554&amp; "|Operations - Core Title|Operations - Core Title|"&amp;TEXT('Ingest Template'!C554-3, "yyyy-mm-dd")&amp;"|"&amp;TEXT('Ingest Template'!C554+3, "yyyy-mm-dd"),'Ingest Template'!M554&amp; "|Operations - Core Title|Operations - Core Title")))</f>
        <v>|Operations - Core Title|Operations - Core Title</v>
      </c>
      <c r="AK554" s="35"/>
      <c r="AL554" s="117" t="str">
        <f>if('Ingest Template'!A554="Standard",(IF(OR('Ingest Template'!F554 = "Program Type - Special", 'Ingest Template'!F554 = "Program Type - Live Event"),'Ingest Template'!Q554&amp;"|"&amp;TEXT('Ingest Template'!C554-3, "yyyy-mm-dd")&amp;"|"&amp;TEXT('Ingest Template'!C554+3, "yyyy-mm-dd"),'Ingest Template'!Q554&amp; "|2021-01-01")),(IF(OR('Ingest Template'!F554 = "Program Type - Special", 'Ingest Template'!F554 = "Program Type - Live Event"),'Ingest Template'!Q554&amp; "|"&amp;TEXT('Ingest Template'!C554-3, "yyyy-mm-dd")&amp;"|"&amp;TEXT('Ingest Template'!C554+3, "yyyy-mm-dd"),'Ingest Template'!Q554)))</f>
        <v/>
      </c>
      <c r="AM554" s="35" t="str">
        <f>'Ingest Template'!AC554</f>
        <v/>
      </c>
    </row>
    <row r="555">
      <c r="A555" s="15"/>
      <c r="B555" s="22" t="str">
        <f>'Ingest Template'!C555&amp;IF('Ingest Template'!A555 = "Standard", " - DAR","")</f>
        <v/>
      </c>
      <c r="C555" s="22" t="s">
        <v>83</v>
      </c>
      <c r="D555" s="22" t="str">
        <f t="array" ref="D555">CONCATENATE(INDEX(DropdownLists!$H$2:$H$11,MATCH(1,COUNTIF('Ingest Template'!E555,"*"&amp;DropdownLists!$I$2:$I$11&amp;"*"),0)),CHAR(10),'Ingest Template'!F555,CHAR(10),'Ingest Template'!G555,CHAR(10),VLOOKUP('Ingest Template'!D555,DropdownLists!C:D,2,FALSE))</f>
        <v>#N/A</v>
      </c>
      <c r="E555" s="22" t="str">
        <f>CONCATENATE('Ingest Template'!H555,CHAR(10),'Ingest Template'!I555,CHAR(10),'Ingest Template'!J555,CHAR(10))</f>
        <v>
</v>
      </c>
      <c r="F555" s="35" t="str">
        <f t="array" ref="F555">INDEX(DropdownLists!$O$2:$O$36,MATCH(1,COUNTIF(E555,"*"&amp;DropdownLists!$N$2:$N$36&amp;"*"),0))</f>
        <v/>
      </c>
      <c r="G555" s="35"/>
      <c r="H555" s="22" t="str">
        <f t="array" ref="H555">INDEX(DropdownLists!$E$2:$E$276,MATCH('Ingest Template'!D555,DropdownLists!$C$2:$C$276,0))</f>
        <v>#N/A</v>
      </c>
      <c r="I555" s="22"/>
      <c r="J555" s="22" t="str">
        <f t="array" ref="J555">iF('Ingest Template'!A555="Standard","Pristine Brand",INDEX(DropdownLists!$B$2:$B$246,MATCH('Ingest Template'!D555,DropdownLists!$C$2:$C$246,0)))</f>
        <v>#N/A</v>
      </c>
      <c r="K555" s="22" t="str">
        <f>iF('Ingest Template'!A555="Standard",'Ingest Template'!K555&amp;CHAR(10)&amp;'Ingest Template'!L555,"Competitive View")</f>
        <v>Competitive View</v>
      </c>
      <c r="L555" s="22" t="s">
        <v>95</v>
      </c>
      <c r="M555" s="45" t="str">
        <f>'Ingest Template'!B555</f>
        <v/>
      </c>
      <c r="N555" s="35"/>
      <c r="O555" s="35"/>
      <c r="P555" s="35"/>
      <c r="Q555" s="35"/>
      <c r="R555" s="35" t="str">
        <f>'Ingest Template'!D555</f>
        <v/>
      </c>
      <c r="S555" s="22" t="s">
        <v>101</v>
      </c>
      <c r="T555" s="35" t="str">
        <f>'Ingest Template'!V555</f>
        <v/>
      </c>
      <c r="U555" s="35" t="str">
        <f>'Ingest Template'!W555</f>
        <v/>
      </c>
      <c r="V555" s="35" t="str">
        <f>LOWER(SUBSTITUTE(SUBSTITUTE(SUBSTITUTE(SUBSTITUTE(SUBSTITUTE('Ingest Template'!X555,"https:",""),"www.",""),"/",""),"?hl=en",""),"instagram.com",""))</f>
        <v/>
      </c>
      <c r="W555" s="74" t="str">
        <f t="array" ref="W555">IF(
'Ingest Template'!Y555="",
SUBSTITUTE(
INDEX(DropdownLists!$F$2:$F$277,MATCH('Ingest Template'!D555,DropdownLists!$C$2:$C$277,0)),
CHAR(10),
"|"&amp;'Ingest Template'!C555&amp;CHAR(10)
)&amp;"|"&amp;'Ingest Template'!C555,
SUBSTITUTE(
INDEX(DropdownLists!$F$2:$F$277,MATCH('Ingest Template'!D555,DropdownLists!$C$2:$C$277,0)),
CHAR(10),
"|"&amp;'Ingest Template'!C555&amp;CHAR(10)
)&amp;"|"&amp;'Ingest Template'!C555&amp;CHAR(10)&amp;'Ingest Template'!Y555
)</f>
        <v>#N/A</v>
      </c>
      <c r="X555" s="74" t="str">
        <f>'Ingest Template'!Z555</f>
        <v/>
      </c>
      <c r="Y555" s="35" t="str">
        <f>SUBSTITUTE(SUBSTITUTE(SUBSTITUTE('Ingest Template'!AA555,"http:",""),"https:",""),"/","")</f>
        <v/>
      </c>
      <c r="Z555" s="35" t="str">
        <f t="array" ref="Z555">IF('Ingest Template'!A555="Standard",(IF(ISBLANK('Ingest Template'!AB555),"", 'Ingest Template'!AB555&amp;"|DAR")),(IF(ISBLANK('Ingest Template'!AB555),"", 'Ingest Template'!AB555&amp;"|TV Ops")))</f>
        <v/>
      </c>
      <c r="AA555" s="35"/>
      <c r="AB555" s="35" t="str">
        <f>'Ingest Template'!R555</f>
        <v/>
      </c>
      <c r="AC555" s="35" t="str">
        <f>'Ingest Template'!T555</f>
        <v/>
      </c>
      <c r="AD555" s="35" t="str">
        <f>'Ingest Template'!S555</f>
        <v/>
      </c>
      <c r="AE555" s="35" t="str">
        <f>'Ingest Template'!U555</f>
        <v/>
      </c>
      <c r="AF555" s="22"/>
      <c r="AG555" s="35" t="str">
        <f t="array" ref="AG555">IF('Ingest Template'!A555="Standard",(CONCATENATE(IF(ISBLANK('Ingest Template'!N555),"", 'Ingest Template'!N555&amp;"|DAR"),CHAR(10), IF(ISBLANK('Ingest Template'!O555),"", 'Ingest Template'!O555&amp;"|DAR"),CHAR(10), IF(ISBLANK('Ingest Template'!P555),"", 'Ingest Template'!P555&amp;"|DAR"))),(CONCATENATE(IF(ISBLANK('Ingest Template'!N555),"", 'Ingest Template'!N555&amp;"|TV Ops"),CHAR(10), IF(ISBLANK('Ingest Template'!O555),"", 'Ingest Template'!O555&amp;"|TV Ops"),CHAR(10), IF(ISBLANK('Ingest Template'!P555),"", 'Ingest Template'!P555&amp;"|TV Ops"))))</f>
        <v>
</v>
      </c>
      <c r="AH555" s="35"/>
      <c r="AI555" s="35"/>
      <c r="AJ555" s="117" t="str">
        <f>if('Ingest Template'!A555="Standard",(IF(OR('Ingest Template'!F555 = "Program Type - Special", 'Ingest Template'!F555 = "Program Type - Live Event"),'Ingest Template'!M555&amp; "|DAR|DAR|"&amp;TEXT('Ingest Template'!C555-3, "yyyy-mm-dd")&amp;"|"&amp;TEXT('Ingest Template'!C555+3, "yyyy-mm-dd"),'Ingest Template'!M555&amp; "|DAR|DAR|2021-01-01")),(IF(OR('Ingest Template'!F555 = "Program Type - Special", 'Ingest Template'!F555 = "Program Type - Live Event"),'Ingest Template'!M555&amp; "|Operations - Core Title|Operations - Core Title|"&amp;TEXT('Ingest Template'!C555-3, "yyyy-mm-dd")&amp;"|"&amp;TEXT('Ingest Template'!C555+3, "yyyy-mm-dd"),'Ingest Template'!M555&amp; "|Operations - Core Title|Operations - Core Title")))</f>
        <v>|Operations - Core Title|Operations - Core Title</v>
      </c>
      <c r="AK555" s="35"/>
      <c r="AL555" s="117" t="str">
        <f>if('Ingest Template'!A555="Standard",(IF(OR('Ingest Template'!F555 = "Program Type - Special", 'Ingest Template'!F555 = "Program Type - Live Event"),'Ingest Template'!Q555&amp;"|"&amp;TEXT('Ingest Template'!C555-3, "yyyy-mm-dd")&amp;"|"&amp;TEXT('Ingest Template'!C555+3, "yyyy-mm-dd"),'Ingest Template'!Q555&amp; "|2021-01-01")),(IF(OR('Ingest Template'!F555 = "Program Type - Special", 'Ingest Template'!F555 = "Program Type - Live Event"),'Ingest Template'!Q555&amp; "|"&amp;TEXT('Ingest Template'!C555-3, "yyyy-mm-dd")&amp;"|"&amp;TEXT('Ingest Template'!C555+3, "yyyy-mm-dd"),'Ingest Template'!Q555)))</f>
        <v/>
      </c>
      <c r="AM555" s="35" t="str">
        <f>'Ingest Template'!AC555</f>
        <v/>
      </c>
    </row>
    <row r="556">
      <c r="A556" s="15"/>
      <c r="B556" s="22" t="str">
        <f>'Ingest Template'!C556&amp;IF('Ingest Template'!A556 = "Standard", " - DAR","")</f>
        <v/>
      </c>
      <c r="C556" s="22" t="s">
        <v>83</v>
      </c>
      <c r="D556" s="22" t="str">
        <f t="array" ref="D556">CONCATENATE(INDEX(DropdownLists!$H$2:$H$11,MATCH(1,COUNTIF('Ingest Template'!E556,"*"&amp;DropdownLists!$I$2:$I$11&amp;"*"),0)),CHAR(10),'Ingest Template'!F556,CHAR(10),'Ingest Template'!G556,CHAR(10),VLOOKUP('Ingest Template'!D556,DropdownLists!C:D,2,FALSE))</f>
        <v>#N/A</v>
      </c>
      <c r="E556" s="22" t="str">
        <f>CONCATENATE('Ingest Template'!H556,CHAR(10),'Ingest Template'!I556,CHAR(10),'Ingest Template'!J556,CHAR(10))</f>
        <v>
</v>
      </c>
      <c r="F556" s="35" t="str">
        <f t="array" ref="F556">INDEX(DropdownLists!$O$2:$O$36,MATCH(1,COUNTIF(E556,"*"&amp;DropdownLists!$N$2:$N$36&amp;"*"),0))</f>
        <v/>
      </c>
      <c r="G556" s="35"/>
      <c r="H556" s="22" t="str">
        <f t="array" ref="H556">INDEX(DropdownLists!$E$2:$E$276,MATCH('Ingest Template'!D556,DropdownLists!$C$2:$C$276,0))</f>
        <v>#N/A</v>
      </c>
      <c r="I556" s="22"/>
      <c r="J556" s="22" t="str">
        <f t="array" ref="J556">iF('Ingest Template'!A556="Standard","Pristine Brand",INDEX(DropdownLists!$B$2:$B$246,MATCH('Ingest Template'!D556,DropdownLists!$C$2:$C$246,0)))</f>
        <v>#N/A</v>
      </c>
      <c r="K556" s="22" t="str">
        <f>iF('Ingest Template'!A556="Standard",'Ingest Template'!K556&amp;CHAR(10)&amp;'Ingest Template'!L556,"Competitive View")</f>
        <v>Competitive View</v>
      </c>
      <c r="L556" s="22" t="s">
        <v>95</v>
      </c>
      <c r="M556" s="45" t="str">
        <f>'Ingest Template'!B556</f>
        <v/>
      </c>
      <c r="N556" s="35"/>
      <c r="O556" s="35"/>
      <c r="P556" s="35"/>
      <c r="Q556" s="35"/>
      <c r="R556" s="35" t="str">
        <f>'Ingest Template'!D556</f>
        <v/>
      </c>
      <c r="S556" s="22" t="s">
        <v>101</v>
      </c>
      <c r="T556" s="35" t="str">
        <f>'Ingest Template'!V556</f>
        <v/>
      </c>
      <c r="U556" s="35" t="str">
        <f>'Ingest Template'!W556</f>
        <v/>
      </c>
      <c r="V556" s="35" t="str">
        <f>LOWER(SUBSTITUTE(SUBSTITUTE(SUBSTITUTE(SUBSTITUTE(SUBSTITUTE('Ingest Template'!X556,"https:",""),"www.",""),"/",""),"?hl=en",""),"instagram.com",""))</f>
        <v/>
      </c>
      <c r="W556" s="74" t="str">
        <f t="array" ref="W556">IF(
'Ingest Template'!Y556="",
SUBSTITUTE(
INDEX(DropdownLists!$F$2:$F$277,MATCH('Ingest Template'!D556,DropdownLists!$C$2:$C$277,0)),
CHAR(10),
"|"&amp;'Ingest Template'!C556&amp;CHAR(10)
)&amp;"|"&amp;'Ingest Template'!C556,
SUBSTITUTE(
INDEX(DropdownLists!$F$2:$F$277,MATCH('Ingest Template'!D556,DropdownLists!$C$2:$C$277,0)),
CHAR(10),
"|"&amp;'Ingest Template'!C556&amp;CHAR(10)
)&amp;"|"&amp;'Ingest Template'!C556&amp;CHAR(10)&amp;'Ingest Template'!Y556
)</f>
        <v>#N/A</v>
      </c>
      <c r="X556" s="74" t="str">
        <f>'Ingest Template'!Z556</f>
        <v/>
      </c>
      <c r="Y556" s="35" t="str">
        <f>SUBSTITUTE(SUBSTITUTE(SUBSTITUTE('Ingest Template'!AA556,"http:",""),"https:",""),"/","")</f>
        <v/>
      </c>
      <c r="Z556" s="35" t="str">
        <f t="array" ref="Z556">IF('Ingest Template'!A556="Standard",(IF(ISBLANK('Ingest Template'!AB556),"", 'Ingest Template'!AB556&amp;"|DAR")),(IF(ISBLANK('Ingest Template'!AB556),"", 'Ingest Template'!AB556&amp;"|TV Ops")))</f>
        <v/>
      </c>
      <c r="AA556" s="35"/>
      <c r="AB556" s="35" t="str">
        <f>'Ingest Template'!R556</f>
        <v/>
      </c>
      <c r="AC556" s="35" t="str">
        <f>'Ingest Template'!T556</f>
        <v/>
      </c>
      <c r="AD556" s="35" t="str">
        <f>'Ingest Template'!S556</f>
        <v/>
      </c>
      <c r="AE556" s="35" t="str">
        <f>'Ingest Template'!U556</f>
        <v/>
      </c>
      <c r="AF556" s="22"/>
      <c r="AG556" s="35" t="str">
        <f t="array" ref="AG556">IF('Ingest Template'!A556="Standard",(CONCATENATE(IF(ISBLANK('Ingest Template'!N556),"", 'Ingest Template'!N556&amp;"|DAR"),CHAR(10), IF(ISBLANK('Ingest Template'!O556),"", 'Ingest Template'!O556&amp;"|DAR"),CHAR(10), IF(ISBLANK('Ingest Template'!P556),"", 'Ingest Template'!P556&amp;"|DAR"))),(CONCATENATE(IF(ISBLANK('Ingest Template'!N556),"", 'Ingest Template'!N556&amp;"|TV Ops"),CHAR(10), IF(ISBLANK('Ingest Template'!O556),"", 'Ingest Template'!O556&amp;"|TV Ops"),CHAR(10), IF(ISBLANK('Ingest Template'!P556),"", 'Ingest Template'!P556&amp;"|TV Ops"))))</f>
        <v>
</v>
      </c>
      <c r="AH556" s="35"/>
      <c r="AI556" s="35"/>
      <c r="AJ556" s="117" t="str">
        <f>if('Ingest Template'!A556="Standard",(IF(OR('Ingest Template'!F556 = "Program Type - Special", 'Ingest Template'!F556 = "Program Type - Live Event"),'Ingest Template'!M556&amp; "|DAR|DAR|"&amp;TEXT('Ingest Template'!C556-3, "yyyy-mm-dd")&amp;"|"&amp;TEXT('Ingest Template'!C556+3, "yyyy-mm-dd"),'Ingest Template'!M556&amp; "|DAR|DAR|2021-01-01")),(IF(OR('Ingest Template'!F556 = "Program Type - Special", 'Ingest Template'!F556 = "Program Type - Live Event"),'Ingest Template'!M556&amp; "|Operations - Core Title|Operations - Core Title|"&amp;TEXT('Ingest Template'!C556-3, "yyyy-mm-dd")&amp;"|"&amp;TEXT('Ingest Template'!C556+3, "yyyy-mm-dd"),'Ingest Template'!M556&amp; "|Operations - Core Title|Operations - Core Title")))</f>
        <v>|Operations - Core Title|Operations - Core Title</v>
      </c>
      <c r="AK556" s="35"/>
      <c r="AL556" s="117" t="str">
        <f>if('Ingest Template'!A556="Standard",(IF(OR('Ingest Template'!F556 = "Program Type - Special", 'Ingest Template'!F556 = "Program Type - Live Event"),'Ingest Template'!Q556&amp;"|"&amp;TEXT('Ingest Template'!C556-3, "yyyy-mm-dd")&amp;"|"&amp;TEXT('Ingest Template'!C556+3, "yyyy-mm-dd"),'Ingest Template'!Q556&amp; "|2021-01-01")),(IF(OR('Ingest Template'!F556 = "Program Type - Special", 'Ingest Template'!F556 = "Program Type - Live Event"),'Ingest Template'!Q556&amp; "|"&amp;TEXT('Ingest Template'!C556-3, "yyyy-mm-dd")&amp;"|"&amp;TEXT('Ingest Template'!C556+3, "yyyy-mm-dd"),'Ingest Template'!Q556)))</f>
        <v/>
      </c>
      <c r="AM556" s="35" t="str">
        <f>'Ingest Template'!AC556</f>
        <v/>
      </c>
    </row>
    <row r="557">
      <c r="A557" s="15"/>
      <c r="B557" s="22" t="str">
        <f>'Ingest Template'!C557&amp;IF('Ingest Template'!A557 = "Standard", " - DAR","")</f>
        <v/>
      </c>
      <c r="C557" s="22" t="s">
        <v>83</v>
      </c>
      <c r="D557" s="22" t="str">
        <f t="array" ref="D557">CONCATENATE(INDEX(DropdownLists!$H$2:$H$11,MATCH(1,COUNTIF('Ingest Template'!E557,"*"&amp;DropdownLists!$I$2:$I$11&amp;"*"),0)),CHAR(10),'Ingest Template'!F557,CHAR(10),'Ingest Template'!G557,CHAR(10),VLOOKUP('Ingest Template'!D557,DropdownLists!C:D,2,FALSE))</f>
        <v>#N/A</v>
      </c>
      <c r="E557" s="22" t="str">
        <f>CONCATENATE('Ingest Template'!H557,CHAR(10),'Ingest Template'!I557,CHAR(10),'Ingest Template'!J557,CHAR(10))</f>
        <v>
</v>
      </c>
      <c r="F557" s="35" t="str">
        <f t="array" ref="F557">INDEX(DropdownLists!$O$2:$O$36,MATCH(1,COUNTIF(E557,"*"&amp;DropdownLists!$N$2:$N$36&amp;"*"),0))</f>
        <v/>
      </c>
      <c r="G557" s="35"/>
      <c r="H557" s="22" t="str">
        <f t="array" ref="H557">INDEX(DropdownLists!$E$2:$E$276,MATCH('Ingest Template'!D557,DropdownLists!$C$2:$C$276,0))</f>
        <v>#N/A</v>
      </c>
      <c r="I557" s="22"/>
      <c r="J557" s="22" t="str">
        <f t="array" ref="J557">iF('Ingest Template'!A557="Standard","Pristine Brand",INDEX(DropdownLists!$B$2:$B$246,MATCH('Ingest Template'!D557,DropdownLists!$C$2:$C$246,0)))</f>
        <v>#N/A</v>
      </c>
      <c r="K557" s="22" t="str">
        <f>iF('Ingest Template'!A557="Standard",'Ingest Template'!K557&amp;CHAR(10)&amp;'Ingest Template'!L557,"Competitive View")</f>
        <v>Competitive View</v>
      </c>
      <c r="L557" s="22" t="s">
        <v>95</v>
      </c>
      <c r="M557" s="45" t="str">
        <f>'Ingest Template'!B557</f>
        <v/>
      </c>
      <c r="N557" s="35"/>
      <c r="O557" s="35"/>
      <c r="P557" s="35"/>
      <c r="Q557" s="35"/>
      <c r="R557" s="35" t="str">
        <f>'Ingest Template'!D557</f>
        <v/>
      </c>
      <c r="S557" s="22" t="s">
        <v>101</v>
      </c>
      <c r="T557" s="35" t="str">
        <f>'Ingest Template'!V557</f>
        <v/>
      </c>
      <c r="U557" s="35" t="str">
        <f>'Ingest Template'!W557</f>
        <v/>
      </c>
      <c r="V557" s="35" t="str">
        <f>LOWER(SUBSTITUTE(SUBSTITUTE(SUBSTITUTE(SUBSTITUTE(SUBSTITUTE('Ingest Template'!X557,"https:",""),"www.",""),"/",""),"?hl=en",""),"instagram.com",""))</f>
        <v/>
      </c>
      <c r="W557" s="74" t="str">
        <f t="array" ref="W557">IF(
'Ingest Template'!Y557="",
SUBSTITUTE(
INDEX(DropdownLists!$F$2:$F$277,MATCH('Ingest Template'!D557,DropdownLists!$C$2:$C$277,0)),
CHAR(10),
"|"&amp;'Ingest Template'!C557&amp;CHAR(10)
)&amp;"|"&amp;'Ingest Template'!C557,
SUBSTITUTE(
INDEX(DropdownLists!$F$2:$F$277,MATCH('Ingest Template'!D557,DropdownLists!$C$2:$C$277,0)),
CHAR(10),
"|"&amp;'Ingest Template'!C557&amp;CHAR(10)
)&amp;"|"&amp;'Ingest Template'!C557&amp;CHAR(10)&amp;'Ingest Template'!Y557
)</f>
        <v>#N/A</v>
      </c>
      <c r="X557" s="74" t="str">
        <f>'Ingest Template'!Z557</f>
        <v/>
      </c>
      <c r="Y557" s="35" t="str">
        <f>SUBSTITUTE(SUBSTITUTE(SUBSTITUTE('Ingest Template'!AA557,"http:",""),"https:",""),"/","")</f>
        <v/>
      </c>
      <c r="Z557" s="35" t="str">
        <f t="array" ref="Z557">IF('Ingest Template'!A557="Standard",(IF(ISBLANK('Ingest Template'!AB557),"", 'Ingest Template'!AB557&amp;"|DAR")),(IF(ISBLANK('Ingest Template'!AB557),"", 'Ingest Template'!AB557&amp;"|TV Ops")))</f>
        <v/>
      </c>
      <c r="AA557" s="35"/>
      <c r="AB557" s="35" t="str">
        <f>'Ingest Template'!R557</f>
        <v/>
      </c>
      <c r="AC557" s="35" t="str">
        <f>'Ingest Template'!T557</f>
        <v/>
      </c>
      <c r="AD557" s="35" t="str">
        <f>'Ingest Template'!S557</f>
        <v/>
      </c>
      <c r="AE557" s="35" t="str">
        <f>'Ingest Template'!U557</f>
        <v/>
      </c>
      <c r="AF557" s="22"/>
      <c r="AG557" s="35" t="str">
        <f t="array" ref="AG557">IF('Ingest Template'!A557="Standard",(CONCATENATE(IF(ISBLANK('Ingest Template'!N557),"", 'Ingest Template'!N557&amp;"|DAR"),CHAR(10), IF(ISBLANK('Ingest Template'!O557),"", 'Ingest Template'!O557&amp;"|DAR"),CHAR(10), IF(ISBLANK('Ingest Template'!P557),"", 'Ingest Template'!P557&amp;"|DAR"))),(CONCATENATE(IF(ISBLANK('Ingest Template'!N557),"", 'Ingest Template'!N557&amp;"|TV Ops"),CHAR(10), IF(ISBLANK('Ingest Template'!O557),"", 'Ingest Template'!O557&amp;"|TV Ops"),CHAR(10), IF(ISBLANK('Ingest Template'!P557),"", 'Ingest Template'!P557&amp;"|TV Ops"))))</f>
        <v>
</v>
      </c>
      <c r="AH557" s="35"/>
      <c r="AI557" s="35"/>
      <c r="AJ557" s="117" t="str">
        <f>if('Ingest Template'!A557="Standard",(IF(OR('Ingest Template'!F557 = "Program Type - Special", 'Ingest Template'!F557 = "Program Type - Live Event"),'Ingest Template'!M557&amp; "|DAR|DAR|"&amp;TEXT('Ingest Template'!C557-3, "yyyy-mm-dd")&amp;"|"&amp;TEXT('Ingest Template'!C557+3, "yyyy-mm-dd"),'Ingest Template'!M557&amp; "|DAR|DAR|2021-01-01")),(IF(OR('Ingest Template'!F557 = "Program Type - Special", 'Ingest Template'!F557 = "Program Type - Live Event"),'Ingest Template'!M557&amp; "|Operations - Core Title|Operations - Core Title|"&amp;TEXT('Ingest Template'!C557-3, "yyyy-mm-dd")&amp;"|"&amp;TEXT('Ingest Template'!C557+3, "yyyy-mm-dd"),'Ingest Template'!M557&amp; "|Operations - Core Title|Operations - Core Title")))</f>
        <v>|Operations - Core Title|Operations - Core Title</v>
      </c>
      <c r="AK557" s="35"/>
      <c r="AL557" s="117" t="str">
        <f>if('Ingest Template'!A557="Standard",(IF(OR('Ingest Template'!F557 = "Program Type - Special", 'Ingest Template'!F557 = "Program Type - Live Event"),'Ingest Template'!Q557&amp;"|"&amp;TEXT('Ingest Template'!C557-3, "yyyy-mm-dd")&amp;"|"&amp;TEXT('Ingest Template'!C557+3, "yyyy-mm-dd"),'Ingest Template'!Q557&amp; "|2021-01-01")),(IF(OR('Ingest Template'!F557 = "Program Type - Special", 'Ingest Template'!F557 = "Program Type - Live Event"),'Ingest Template'!Q557&amp; "|"&amp;TEXT('Ingest Template'!C557-3, "yyyy-mm-dd")&amp;"|"&amp;TEXT('Ingest Template'!C557+3, "yyyy-mm-dd"),'Ingest Template'!Q557)))</f>
        <v/>
      </c>
      <c r="AM557" s="35" t="str">
        <f>'Ingest Template'!AC557</f>
        <v/>
      </c>
    </row>
    <row r="558">
      <c r="A558" s="15"/>
      <c r="B558" s="22" t="str">
        <f>'Ingest Template'!C558&amp;IF('Ingest Template'!A558 = "Standard", " - DAR","")</f>
        <v/>
      </c>
      <c r="C558" s="22" t="s">
        <v>83</v>
      </c>
      <c r="D558" s="22" t="str">
        <f t="array" ref="D558">CONCATENATE(INDEX(DropdownLists!$H$2:$H$11,MATCH(1,COUNTIF('Ingest Template'!E558,"*"&amp;DropdownLists!$I$2:$I$11&amp;"*"),0)),CHAR(10),'Ingest Template'!F558,CHAR(10),'Ingest Template'!G558,CHAR(10),VLOOKUP('Ingest Template'!D558,DropdownLists!C:D,2,FALSE))</f>
        <v>#N/A</v>
      </c>
      <c r="E558" s="22" t="str">
        <f>CONCATENATE('Ingest Template'!H558,CHAR(10),'Ingest Template'!I558,CHAR(10),'Ingest Template'!J558,CHAR(10))</f>
        <v>
</v>
      </c>
      <c r="F558" s="35" t="str">
        <f t="array" ref="F558">INDEX(DropdownLists!$O$2:$O$36,MATCH(1,COUNTIF(E558,"*"&amp;DropdownLists!$N$2:$N$36&amp;"*"),0))</f>
        <v/>
      </c>
      <c r="G558" s="35"/>
      <c r="H558" s="22" t="str">
        <f t="array" ref="H558">INDEX(DropdownLists!$E$2:$E$276,MATCH('Ingest Template'!D558,DropdownLists!$C$2:$C$276,0))</f>
        <v>#N/A</v>
      </c>
      <c r="I558" s="22"/>
      <c r="J558" s="22" t="str">
        <f t="array" ref="J558">iF('Ingest Template'!A558="Standard","Pristine Brand",INDEX(DropdownLists!$B$2:$B$246,MATCH('Ingest Template'!D558,DropdownLists!$C$2:$C$246,0)))</f>
        <v>#N/A</v>
      </c>
      <c r="K558" s="22" t="str">
        <f>iF('Ingest Template'!A558="Standard",'Ingest Template'!K558&amp;CHAR(10)&amp;'Ingest Template'!L558,"Competitive View")</f>
        <v>Competitive View</v>
      </c>
      <c r="L558" s="22" t="s">
        <v>95</v>
      </c>
      <c r="M558" s="45" t="str">
        <f>'Ingest Template'!B558</f>
        <v/>
      </c>
      <c r="N558" s="35"/>
      <c r="O558" s="35"/>
      <c r="P558" s="35"/>
      <c r="Q558" s="35"/>
      <c r="R558" s="35" t="str">
        <f>'Ingest Template'!D558</f>
        <v/>
      </c>
      <c r="S558" s="22" t="s">
        <v>101</v>
      </c>
      <c r="T558" s="35" t="str">
        <f>'Ingest Template'!V558</f>
        <v/>
      </c>
      <c r="U558" s="35" t="str">
        <f>'Ingest Template'!W558</f>
        <v/>
      </c>
      <c r="V558" s="35" t="str">
        <f>LOWER(SUBSTITUTE(SUBSTITUTE(SUBSTITUTE(SUBSTITUTE(SUBSTITUTE('Ingest Template'!X558,"https:",""),"www.",""),"/",""),"?hl=en",""),"instagram.com",""))</f>
        <v/>
      </c>
      <c r="W558" s="74" t="str">
        <f t="array" ref="W558">IF(
'Ingest Template'!Y558="",
SUBSTITUTE(
INDEX(DropdownLists!$F$2:$F$277,MATCH('Ingest Template'!D558,DropdownLists!$C$2:$C$277,0)),
CHAR(10),
"|"&amp;'Ingest Template'!C558&amp;CHAR(10)
)&amp;"|"&amp;'Ingest Template'!C558,
SUBSTITUTE(
INDEX(DropdownLists!$F$2:$F$277,MATCH('Ingest Template'!D558,DropdownLists!$C$2:$C$277,0)),
CHAR(10),
"|"&amp;'Ingest Template'!C558&amp;CHAR(10)
)&amp;"|"&amp;'Ingest Template'!C558&amp;CHAR(10)&amp;'Ingest Template'!Y558
)</f>
        <v>#N/A</v>
      </c>
      <c r="X558" s="74" t="str">
        <f>'Ingest Template'!Z558</f>
        <v/>
      </c>
      <c r="Y558" s="35" t="str">
        <f>SUBSTITUTE(SUBSTITUTE(SUBSTITUTE('Ingest Template'!AA558,"http:",""),"https:",""),"/","")</f>
        <v/>
      </c>
      <c r="Z558" s="35" t="str">
        <f t="array" ref="Z558">IF('Ingest Template'!A558="Standard",(IF(ISBLANK('Ingest Template'!AB558),"", 'Ingest Template'!AB558&amp;"|DAR")),(IF(ISBLANK('Ingest Template'!AB558),"", 'Ingest Template'!AB558&amp;"|TV Ops")))</f>
        <v/>
      </c>
      <c r="AA558" s="35"/>
      <c r="AB558" s="35" t="str">
        <f>'Ingest Template'!R558</f>
        <v/>
      </c>
      <c r="AC558" s="35" t="str">
        <f>'Ingest Template'!T558</f>
        <v/>
      </c>
      <c r="AD558" s="35" t="str">
        <f>'Ingest Template'!S558</f>
        <v/>
      </c>
      <c r="AE558" s="35" t="str">
        <f>'Ingest Template'!U558</f>
        <v/>
      </c>
      <c r="AF558" s="22"/>
      <c r="AG558" s="35" t="str">
        <f t="array" ref="AG558">IF('Ingest Template'!A558="Standard",(CONCATENATE(IF(ISBLANK('Ingest Template'!N558),"", 'Ingest Template'!N558&amp;"|DAR"),CHAR(10), IF(ISBLANK('Ingest Template'!O558),"", 'Ingest Template'!O558&amp;"|DAR"),CHAR(10), IF(ISBLANK('Ingest Template'!P558),"", 'Ingest Template'!P558&amp;"|DAR"))),(CONCATENATE(IF(ISBLANK('Ingest Template'!N558),"", 'Ingest Template'!N558&amp;"|TV Ops"),CHAR(10), IF(ISBLANK('Ingest Template'!O558),"", 'Ingest Template'!O558&amp;"|TV Ops"),CHAR(10), IF(ISBLANK('Ingest Template'!P558),"", 'Ingest Template'!P558&amp;"|TV Ops"))))</f>
        <v>
</v>
      </c>
      <c r="AH558" s="35"/>
      <c r="AI558" s="35"/>
      <c r="AJ558" s="117" t="str">
        <f>if('Ingest Template'!A558="Standard",(IF(OR('Ingest Template'!F558 = "Program Type - Special", 'Ingest Template'!F558 = "Program Type - Live Event"),'Ingest Template'!M558&amp; "|DAR|DAR|"&amp;TEXT('Ingest Template'!C558-3, "yyyy-mm-dd")&amp;"|"&amp;TEXT('Ingest Template'!C558+3, "yyyy-mm-dd"),'Ingest Template'!M558&amp; "|DAR|DAR|2021-01-01")),(IF(OR('Ingest Template'!F558 = "Program Type - Special", 'Ingest Template'!F558 = "Program Type - Live Event"),'Ingest Template'!M558&amp; "|Operations - Core Title|Operations - Core Title|"&amp;TEXT('Ingest Template'!C558-3, "yyyy-mm-dd")&amp;"|"&amp;TEXT('Ingest Template'!C558+3, "yyyy-mm-dd"),'Ingest Template'!M558&amp; "|Operations - Core Title|Operations - Core Title")))</f>
        <v>|Operations - Core Title|Operations - Core Title</v>
      </c>
      <c r="AK558" s="35"/>
      <c r="AL558" s="117" t="str">
        <f>if('Ingest Template'!A558="Standard",(IF(OR('Ingest Template'!F558 = "Program Type - Special", 'Ingest Template'!F558 = "Program Type - Live Event"),'Ingest Template'!Q558&amp;"|"&amp;TEXT('Ingest Template'!C558-3, "yyyy-mm-dd")&amp;"|"&amp;TEXT('Ingest Template'!C558+3, "yyyy-mm-dd"),'Ingest Template'!Q558&amp; "|2021-01-01")),(IF(OR('Ingest Template'!F558 = "Program Type - Special", 'Ingest Template'!F558 = "Program Type - Live Event"),'Ingest Template'!Q558&amp; "|"&amp;TEXT('Ingest Template'!C558-3, "yyyy-mm-dd")&amp;"|"&amp;TEXT('Ingest Template'!C558+3, "yyyy-mm-dd"),'Ingest Template'!Q558)))</f>
        <v/>
      </c>
      <c r="AM558" s="35" t="str">
        <f>'Ingest Template'!AC558</f>
        <v/>
      </c>
    </row>
    <row r="559">
      <c r="A559" s="15"/>
      <c r="B559" s="22" t="str">
        <f>'Ingest Template'!C559&amp;IF('Ingest Template'!A559 = "Standard", " - DAR","")</f>
        <v/>
      </c>
      <c r="C559" s="22" t="s">
        <v>83</v>
      </c>
      <c r="D559" s="22" t="str">
        <f t="array" ref="D559">CONCATENATE(INDEX(DropdownLists!$H$2:$H$11,MATCH(1,COUNTIF('Ingest Template'!E559,"*"&amp;DropdownLists!$I$2:$I$11&amp;"*"),0)),CHAR(10),'Ingest Template'!F559,CHAR(10),'Ingest Template'!G559,CHAR(10),VLOOKUP('Ingest Template'!D559,DropdownLists!C:D,2,FALSE))</f>
        <v>#N/A</v>
      </c>
      <c r="E559" s="22" t="str">
        <f>CONCATENATE('Ingest Template'!H559,CHAR(10),'Ingest Template'!I559,CHAR(10),'Ingest Template'!J559,CHAR(10))</f>
        <v>
</v>
      </c>
      <c r="F559" s="35" t="str">
        <f t="array" ref="F559">INDEX(DropdownLists!$O$2:$O$36,MATCH(1,COUNTIF(E559,"*"&amp;DropdownLists!$N$2:$N$36&amp;"*"),0))</f>
        <v/>
      </c>
      <c r="G559" s="35"/>
      <c r="H559" s="22" t="str">
        <f t="array" ref="H559">INDEX(DropdownLists!$E$2:$E$276,MATCH('Ingest Template'!D559,DropdownLists!$C$2:$C$276,0))</f>
        <v>#N/A</v>
      </c>
      <c r="I559" s="22"/>
      <c r="J559" s="22" t="str">
        <f t="array" ref="J559">iF('Ingest Template'!A559="Standard","Pristine Brand",INDEX(DropdownLists!$B$2:$B$246,MATCH('Ingest Template'!D559,DropdownLists!$C$2:$C$246,0)))</f>
        <v>#N/A</v>
      </c>
      <c r="K559" s="22" t="str">
        <f>iF('Ingest Template'!A559="Standard",'Ingest Template'!K559&amp;CHAR(10)&amp;'Ingest Template'!L559,"Competitive View")</f>
        <v>Competitive View</v>
      </c>
      <c r="L559" s="22" t="s">
        <v>95</v>
      </c>
      <c r="M559" s="45" t="str">
        <f>'Ingest Template'!B559</f>
        <v/>
      </c>
      <c r="N559" s="35"/>
      <c r="O559" s="35"/>
      <c r="P559" s="35"/>
      <c r="Q559" s="35"/>
      <c r="R559" s="35" t="str">
        <f>'Ingest Template'!D559</f>
        <v/>
      </c>
      <c r="S559" s="22" t="s">
        <v>101</v>
      </c>
      <c r="T559" s="35" t="str">
        <f>'Ingest Template'!V559</f>
        <v/>
      </c>
      <c r="U559" s="35" t="str">
        <f>'Ingest Template'!W559</f>
        <v/>
      </c>
      <c r="V559" s="35" t="str">
        <f>LOWER(SUBSTITUTE(SUBSTITUTE(SUBSTITUTE(SUBSTITUTE(SUBSTITUTE('Ingest Template'!X559,"https:",""),"www.",""),"/",""),"?hl=en",""),"instagram.com",""))</f>
        <v/>
      </c>
      <c r="W559" s="74" t="str">
        <f t="array" ref="W559">IF(
'Ingest Template'!Y559="",
SUBSTITUTE(
INDEX(DropdownLists!$F$2:$F$277,MATCH('Ingest Template'!D559,DropdownLists!$C$2:$C$277,0)),
CHAR(10),
"|"&amp;'Ingest Template'!C559&amp;CHAR(10)
)&amp;"|"&amp;'Ingest Template'!C559,
SUBSTITUTE(
INDEX(DropdownLists!$F$2:$F$277,MATCH('Ingest Template'!D559,DropdownLists!$C$2:$C$277,0)),
CHAR(10),
"|"&amp;'Ingest Template'!C559&amp;CHAR(10)
)&amp;"|"&amp;'Ingest Template'!C559&amp;CHAR(10)&amp;'Ingest Template'!Y559
)</f>
        <v>#N/A</v>
      </c>
      <c r="X559" s="74" t="str">
        <f>'Ingest Template'!Z559</f>
        <v/>
      </c>
      <c r="Y559" s="35" t="str">
        <f>SUBSTITUTE(SUBSTITUTE(SUBSTITUTE('Ingest Template'!AA559,"http:",""),"https:",""),"/","")</f>
        <v/>
      </c>
      <c r="Z559" s="35" t="str">
        <f t="array" ref="Z559">IF('Ingest Template'!A559="Standard",(IF(ISBLANK('Ingest Template'!AB559),"", 'Ingest Template'!AB559&amp;"|DAR")),(IF(ISBLANK('Ingest Template'!AB559),"", 'Ingest Template'!AB559&amp;"|TV Ops")))</f>
        <v/>
      </c>
      <c r="AA559" s="35"/>
      <c r="AB559" s="35" t="str">
        <f>'Ingest Template'!R559</f>
        <v/>
      </c>
      <c r="AC559" s="35" t="str">
        <f>'Ingest Template'!T559</f>
        <v/>
      </c>
      <c r="AD559" s="35" t="str">
        <f>'Ingest Template'!S559</f>
        <v/>
      </c>
      <c r="AE559" s="35" t="str">
        <f>'Ingest Template'!U559</f>
        <v/>
      </c>
      <c r="AF559" s="22"/>
      <c r="AG559" s="35" t="str">
        <f t="array" ref="AG559">IF('Ingest Template'!A559="Standard",(CONCATENATE(IF(ISBLANK('Ingest Template'!N559),"", 'Ingest Template'!N559&amp;"|DAR"),CHAR(10), IF(ISBLANK('Ingest Template'!O559),"", 'Ingest Template'!O559&amp;"|DAR"),CHAR(10), IF(ISBLANK('Ingest Template'!P559),"", 'Ingest Template'!P559&amp;"|DAR"))),(CONCATENATE(IF(ISBLANK('Ingest Template'!N559),"", 'Ingest Template'!N559&amp;"|TV Ops"),CHAR(10), IF(ISBLANK('Ingest Template'!O559),"", 'Ingest Template'!O559&amp;"|TV Ops"),CHAR(10), IF(ISBLANK('Ingest Template'!P559),"", 'Ingest Template'!P559&amp;"|TV Ops"))))</f>
        <v>
</v>
      </c>
      <c r="AH559" s="35"/>
      <c r="AI559" s="35"/>
      <c r="AJ559" s="117" t="str">
        <f>if('Ingest Template'!A559="Standard",(IF(OR('Ingest Template'!F559 = "Program Type - Special", 'Ingest Template'!F559 = "Program Type - Live Event"),'Ingest Template'!M559&amp; "|DAR|DAR|"&amp;TEXT('Ingest Template'!C559-3, "yyyy-mm-dd")&amp;"|"&amp;TEXT('Ingest Template'!C559+3, "yyyy-mm-dd"),'Ingest Template'!M559&amp; "|DAR|DAR|2021-01-01")),(IF(OR('Ingest Template'!F559 = "Program Type - Special", 'Ingest Template'!F559 = "Program Type - Live Event"),'Ingest Template'!M559&amp; "|Operations - Core Title|Operations - Core Title|"&amp;TEXT('Ingest Template'!C559-3, "yyyy-mm-dd")&amp;"|"&amp;TEXT('Ingest Template'!C559+3, "yyyy-mm-dd"),'Ingest Template'!M559&amp; "|Operations - Core Title|Operations - Core Title")))</f>
        <v>|Operations - Core Title|Operations - Core Title</v>
      </c>
      <c r="AK559" s="35"/>
      <c r="AL559" s="117" t="str">
        <f>if('Ingest Template'!A559="Standard",(IF(OR('Ingest Template'!F559 = "Program Type - Special", 'Ingest Template'!F559 = "Program Type - Live Event"),'Ingest Template'!Q559&amp;"|"&amp;TEXT('Ingest Template'!C559-3, "yyyy-mm-dd")&amp;"|"&amp;TEXT('Ingest Template'!C559+3, "yyyy-mm-dd"),'Ingest Template'!Q559&amp; "|2021-01-01")),(IF(OR('Ingest Template'!F559 = "Program Type - Special", 'Ingest Template'!F559 = "Program Type - Live Event"),'Ingest Template'!Q559&amp; "|"&amp;TEXT('Ingest Template'!C559-3, "yyyy-mm-dd")&amp;"|"&amp;TEXT('Ingest Template'!C559+3, "yyyy-mm-dd"),'Ingest Template'!Q559)))</f>
        <v/>
      </c>
      <c r="AM559" s="35" t="str">
        <f>'Ingest Template'!AC559</f>
        <v/>
      </c>
    </row>
    <row r="560">
      <c r="A560" s="15"/>
      <c r="B560" s="22" t="str">
        <f>'Ingest Template'!C560&amp;IF('Ingest Template'!A560 = "Standard", " - DAR","")</f>
        <v/>
      </c>
      <c r="C560" s="22" t="s">
        <v>83</v>
      </c>
      <c r="D560" s="22" t="str">
        <f t="array" ref="D560">CONCATENATE(INDEX(DropdownLists!$H$2:$H$11,MATCH(1,COUNTIF('Ingest Template'!E560,"*"&amp;DropdownLists!$I$2:$I$11&amp;"*"),0)),CHAR(10),'Ingest Template'!F560,CHAR(10),'Ingest Template'!G560,CHAR(10),VLOOKUP('Ingest Template'!D560,DropdownLists!C:D,2,FALSE))</f>
        <v>#N/A</v>
      </c>
      <c r="E560" s="22" t="str">
        <f>CONCATENATE('Ingest Template'!H560,CHAR(10),'Ingest Template'!I560,CHAR(10),'Ingest Template'!J560,CHAR(10))</f>
        <v>
</v>
      </c>
      <c r="F560" s="35" t="str">
        <f t="array" ref="F560">INDEX(DropdownLists!$O$2:$O$36,MATCH(1,COUNTIF(E560,"*"&amp;DropdownLists!$N$2:$N$36&amp;"*"),0))</f>
        <v/>
      </c>
      <c r="G560" s="35"/>
      <c r="H560" s="22" t="str">
        <f t="array" ref="H560">INDEX(DropdownLists!$E$2:$E$276,MATCH('Ingest Template'!D560,DropdownLists!$C$2:$C$276,0))</f>
        <v>#N/A</v>
      </c>
      <c r="I560" s="22"/>
      <c r="J560" s="22" t="str">
        <f t="array" ref="J560">iF('Ingest Template'!A560="Standard","Pristine Brand",INDEX(DropdownLists!$B$2:$B$246,MATCH('Ingest Template'!D560,DropdownLists!$C$2:$C$246,0)))</f>
        <v>#N/A</v>
      </c>
      <c r="K560" s="22" t="str">
        <f>iF('Ingest Template'!A560="Standard",'Ingest Template'!K560&amp;CHAR(10)&amp;'Ingest Template'!L560,"Competitive View")</f>
        <v>Competitive View</v>
      </c>
      <c r="L560" s="22" t="s">
        <v>95</v>
      </c>
      <c r="M560" s="45" t="str">
        <f>'Ingest Template'!B560</f>
        <v/>
      </c>
      <c r="N560" s="35"/>
      <c r="O560" s="35"/>
      <c r="P560" s="35"/>
      <c r="Q560" s="35"/>
      <c r="R560" s="35" t="str">
        <f>'Ingest Template'!D560</f>
        <v/>
      </c>
      <c r="S560" s="22" t="s">
        <v>101</v>
      </c>
      <c r="T560" s="35" t="str">
        <f>'Ingest Template'!V560</f>
        <v/>
      </c>
      <c r="U560" s="35" t="str">
        <f>'Ingest Template'!W560</f>
        <v/>
      </c>
      <c r="V560" s="35" t="str">
        <f>LOWER(SUBSTITUTE(SUBSTITUTE(SUBSTITUTE(SUBSTITUTE(SUBSTITUTE('Ingest Template'!X560,"https:",""),"www.",""),"/",""),"?hl=en",""),"instagram.com",""))</f>
        <v/>
      </c>
      <c r="W560" s="74" t="str">
        <f t="array" ref="W560">IF(
'Ingest Template'!Y560="",
SUBSTITUTE(
INDEX(DropdownLists!$F$2:$F$277,MATCH('Ingest Template'!D560,DropdownLists!$C$2:$C$277,0)),
CHAR(10),
"|"&amp;'Ingest Template'!C560&amp;CHAR(10)
)&amp;"|"&amp;'Ingest Template'!C560,
SUBSTITUTE(
INDEX(DropdownLists!$F$2:$F$277,MATCH('Ingest Template'!D560,DropdownLists!$C$2:$C$277,0)),
CHAR(10),
"|"&amp;'Ingest Template'!C560&amp;CHAR(10)
)&amp;"|"&amp;'Ingest Template'!C560&amp;CHAR(10)&amp;'Ingest Template'!Y560
)</f>
        <v>#N/A</v>
      </c>
      <c r="X560" s="74" t="str">
        <f>'Ingest Template'!Z560</f>
        <v/>
      </c>
      <c r="Y560" s="35" t="str">
        <f>SUBSTITUTE(SUBSTITUTE(SUBSTITUTE('Ingest Template'!AA560,"http:",""),"https:",""),"/","")</f>
        <v/>
      </c>
      <c r="Z560" s="35" t="str">
        <f t="array" ref="Z560">IF('Ingest Template'!A560="Standard",(IF(ISBLANK('Ingest Template'!AB560),"", 'Ingest Template'!AB560&amp;"|DAR")),(IF(ISBLANK('Ingest Template'!AB560),"", 'Ingest Template'!AB560&amp;"|TV Ops")))</f>
        <v/>
      </c>
      <c r="AA560" s="35"/>
      <c r="AB560" s="35" t="str">
        <f>'Ingest Template'!R560</f>
        <v/>
      </c>
      <c r="AC560" s="35" t="str">
        <f>'Ingest Template'!T560</f>
        <v/>
      </c>
      <c r="AD560" s="35" t="str">
        <f>'Ingest Template'!S560</f>
        <v/>
      </c>
      <c r="AE560" s="35" t="str">
        <f>'Ingest Template'!U560</f>
        <v/>
      </c>
      <c r="AF560" s="22"/>
      <c r="AG560" s="35" t="str">
        <f t="array" ref="AG560">IF('Ingest Template'!A560="Standard",(CONCATENATE(IF(ISBLANK('Ingest Template'!N560),"", 'Ingest Template'!N560&amp;"|DAR"),CHAR(10), IF(ISBLANK('Ingest Template'!O560),"", 'Ingest Template'!O560&amp;"|DAR"),CHAR(10), IF(ISBLANK('Ingest Template'!P560),"", 'Ingest Template'!P560&amp;"|DAR"))),(CONCATENATE(IF(ISBLANK('Ingest Template'!N560),"", 'Ingest Template'!N560&amp;"|TV Ops"),CHAR(10), IF(ISBLANK('Ingest Template'!O560),"", 'Ingest Template'!O560&amp;"|TV Ops"),CHAR(10), IF(ISBLANK('Ingest Template'!P560),"", 'Ingest Template'!P560&amp;"|TV Ops"))))</f>
        <v>
</v>
      </c>
      <c r="AH560" s="35"/>
      <c r="AI560" s="35"/>
      <c r="AJ560" s="117" t="str">
        <f>if('Ingest Template'!A560="Standard",(IF(OR('Ingest Template'!F560 = "Program Type - Special", 'Ingest Template'!F560 = "Program Type - Live Event"),'Ingest Template'!M560&amp; "|DAR|DAR|"&amp;TEXT('Ingest Template'!C560-3, "yyyy-mm-dd")&amp;"|"&amp;TEXT('Ingest Template'!C560+3, "yyyy-mm-dd"),'Ingest Template'!M560&amp; "|DAR|DAR|2021-01-01")),(IF(OR('Ingest Template'!F560 = "Program Type - Special", 'Ingest Template'!F560 = "Program Type - Live Event"),'Ingest Template'!M560&amp; "|Operations - Core Title|Operations - Core Title|"&amp;TEXT('Ingest Template'!C560-3, "yyyy-mm-dd")&amp;"|"&amp;TEXT('Ingest Template'!C560+3, "yyyy-mm-dd"),'Ingest Template'!M560&amp; "|Operations - Core Title|Operations - Core Title")))</f>
        <v>|Operations - Core Title|Operations - Core Title</v>
      </c>
      <c r="AK560" s="35"/>
      <c r="AL560" s="117" t="str">
        <f>if('Ingest Template'!A560="Standard",(IF(OR('Ingest Template'!F560 = "Program Type - Special", 'Ingest Template'!F560 = "Program Type - Live Event"),'Ingest Template'!Q560&amp;"|"&amp;TEXT('Ingest Template'!C560-3, "yyyy-mm-dd")&amp;"|"&amp;TEXT('Ingest Template'!C560+3, "yyyy-mm-dd"),'Ingest Template'!Q560&amp; "|2021-01-01")),(IF(OR('Ingest Template'!F560 = "Program Type - Special", 'Ingest Template'!F560 = "Program Type - Live Event"),'Ingest Template'!Q560&amp; "|"&amp;TEXT('Ingest Template'!C560-3, "yyyy-mm-dd")&amp;"|"&amp;TEXT('Ingest Template'!C560+3, "yyyy-mm-dd"),'Ingest Template'!Q560)))</f>
        <v/>
      </c>
      <c r="AM560" s="35" t="str">
        <f>'Ingest Template'!AC560</f>
        <v/>
      </c>
    </row>
    <row r="561">
      <c r="A561" s="15"/>
      <c r="B561" s="22" t="str">
        <f>'Ingest Template'!C561&amp;IF('Ingest Template'!A561 = "Standard", " - DAR","")</f>
        <v/>
      </c>
      <c r="C561" s="22" t="s">
        <v>83</v>
      </c>
      <c r="D561" s="22" t="str">
        <f t="array" ref="D561">CONCATENATE(INDEX(DropdownLists!$H$2:$H$11,MATCH(1,COUNTIF('Ingest Template'!E561,"*"&amp;DropdownLists!$I$2:$I$11&amp;"*"),0)),CHAR(10),'Ingest Template'!F561,CHAR(10),'Ingest Template'!G561,CHAR(10),VLOOKUP('Ingest Template'!D561,DropdownLists!C:D,2,FALSE))</f>
        <v>#N/A</v>
      </c>
      <c r="E561" s="22" t="str">
        <f>CONCATENATE('Ingest Template'!H561,CHAR(10),'Ingest Template'!I561,CHAR(10),'Ingest Template'!J561,CHAR(10))</f>
        <v>
</v>
      </c>
      <c r="F561" s="35" t="str">
        <f t="array" ref="F561">INDEX(DropdownLists!$O$2:$O$36,MATCH(1,COUNTIF(E561,"*"&amp;DropdownLists!$N$2:$N$36&amp;"*"),0))</f>
        <v/>
      </c>
      <c r="G561" s="35"/>
      <c r="H561" s="22" t="str">
        <f t="array" ref="H561">INDEX(DropdownLists!$E$2:$E$276,MATCH('Ingest Template'!D561,DropdownLists!$C$2:$C$276,0))</f>
        <v>#N/A</v>
      </c>
      <c r="I561" s="22"/>
      <c r="J561" s="22" t="str">
        <f t="array" ref="J561">iF('Ingest Template'!A561="Standard","Pristine Brand",INDEX(DropdownLists!$B$2:$B$246,MATCH('Ingest Template'!D561,DropdownLists!$C$2:$C$246,0)))</f>
        <v>#N/A</v>
      </c>
      <c r="K561" s="22" t="str">
        <f>iF('Ingest Template'!A561="Standard",'Ingest Template'!K561&amp;CHAR(10)&amp;'Ingest Template'!L561,"Competitive View")</f>
        <v>Competitive View</v>
      </c>
      <c r="L561" s="22" t="s">
        <v>95</v>
      </c>
      <c r="M561" s="45" t="str">
        <f>'Ingest Template'!B561</f>
        <v/>
      </c>
      <c r="N561" s="35"/>
      <c r="O561" s="35"/>
      <c r="P561" s="35"/>
      <c r="Q561" s="35"/>
      <c r="R561" s="35" t="str">
        <f>'Ingest Template'!D561</f>
        <v/>
      </c>
      <c r="S561" s="22" t="s">
        <v>101</v>
      </c>
      <c r="T561" s="35" t="str">
        <f>'Ingest Template'!V561</f>
        <v/>
      </c>
      <c r="U561" s="35" t="str">
        <f>'Ingest Template'!W561</f>
        <v/>
      </c>
      <c r="V561" s="35" t="str">
        <f>LOWER(SUBSTITUTE(SUBSTITUTE(SUBSTITUTE(SUBSTITUTE(SUBSTITUTE('Ingest Template'!X561,"https:",""),"www.",""),"/",""),"?hl=en",""),"instagram.com",""))</f>
        <v/>
      </c>
      <c r="W561" s="74" t="str">
        <f t="array" ref="W561">IF(
'Ingest Template'!Y561="",
SUBSTITUTE(
INDEX(DropdownLists!$F$2:$F$277,MATCH('Ingest Template'!D561,DropdownLists!$C$2:$C$277,0)),
CHAR(10),
"|"&amp;'Ingest Template'!C561&amp;CHAR(10)
)&amp;"|"&amp;'Ingest Template'!C561,
SUBSTITUTE(
INDEX(DropdownLists!$F$2:$F$277,MATCH('Ingest Template'!D561,DropdownLists!$C$2:$C$277,0)),
CHAR(10),
"|"&amp;'Ingest Template'!C561&amp;CHAR(10)
)&amp;"|"&amp;'Ingest Template'!C561&amp;CHAR(10)&amp;'Ingest Template'!Y561
)</f>
        <v>#N/A</v>
      </c>
      <c r="X561" s="74" t="str">
        <f>'Ingest Template'!Z561</f>
        <v/>
      </c>
      <c r="Y561" s="35" t="str">
        <f>SUBSTITUTE(SUBSTITUTE(SUBSTITUTE('Ingest Template'!AA561,"http:",""),"https:",""),"/","")</f>
        <v/>
      </c>
      <c r="Z561" s="35" t="str">
        <f t="array" ref="Z561">IF('Ingest Template'!A561="Standard",(IF(ISBLANK('Ingest Template'!AB561),"", 'Ingest Template'!AB561&amp;"|DAR")),(IF(ISBLANK('Ingest Template'!AB561),"", 'Ingest Template'!AB561&amp;"|TV Ops")))</f>
        <v/>
      </c>
      <c r="AA561" s="35"/>
      <c r="AB561" s="35" t="str">
        <f>'Ingest Template'!R561</f>
        <v/>
      </c>
      <c r="AC561" s="35" t="str">
        <f>'Ingest Template'!T561</f>
        <v/>
      </c>
      <c r="AD561" s="35" t="str">
        <f>'Ingest Template'!S561</f>
        <v/>
      </c>
      <c r="AE561" s="35" t="str">
        <f>'Ingest Template'!U561</f>
        <v/>
      </c>
      <c r="AF561" s="22"/>
      <c r="AG561" s="35" t="str">
        <f t="array" ref="AG561">IF('Ingest Template'!A561="Standard",(CONCATENATE(IF(ISBLANK('Ingest Template'!N561),"", 'Ingest Template'!N561&amp;"|DAR"),CHAR(10), IF(ISBLANK('Ingest Template'!O561),"", 'Ingest Template'!O561&amp;"|DAR"),CHAR(10), IF(ISBLANK('Ingest Template'!P561),"", 'Ingest Template'!P561&amp;"|DAR"))),(CONCATENATE(IF(ISBLANK('Ingest Template'!N561),"", 'Ingest Template'!N561&amp;"|TV Ops"),CHAR(10), IF(ISBLANK('Ingest Template'!O561),"", 'Ingest Template'!O561&amp;"|TV Ops"),CHAR(10), IF(ISBLANK('Ingest Template'!P561),"", 'Ingest Template'!P561&amp;"|TV Ops"))))</f>
        <v>
</v>
      </c>
      <c r="AH561" s="35"/>
      <c r="AI561" s="35"/>
      <c r="AJ561" s="117" t="str">
        <f>if('Ingest Template'!A561="Standard",(IF(OR('Ingest Template'!F561 = "Program Type - Special", 'Ingest Template'!F561 = "Program Type - Live Event"),'Ingest Template'!M561&amp; "|DAR|DAR|"&amp;TEXT('Ingest Template'!C561-3, "yyyy-mm-dd")&amp;"|"&amp;TEXT('Ingest Template'!C561+3, "yyyy-mm-dd"),'Ingest Template'!M561&amp; "|DAR|DAR|2021-01-01")),(IF(OR('Ingest Template'!F561 = "Program Type - Special", 'Ingest Template'!F561 = "Program Type - Live Event"),'Ingest Template'!M561&amp; "|Operations - Core Title|Operations - Core Title|"&amp;TEXT('Ingest Template'!C561-3, "yyyy-mm-dd")&amp;"|"&amp;TEXT('Ingest Template'!C561+3, "yyyy-mm-dd"),'Ingest Template'!M561&amp; "|Operations - Core Title|Operations - Core Title")))</f>
        <v>|Operations - Core Title|Operations - Core Title</v>
      </c>
      <c r="AK561" s="35"/>
      <c r="AL561" s="117" t="str">
        <f>if('Ingest Template'!A561="Standard",(IF(OR('Ingest Template'!F561 = "Program Type - Special", 'Ingest Template'!F561 = "Program Type - Live Event"),'Ingest Template'!Q561&amp;"|"&amp;TEXT('Ingest Template'!C561-3, "yyyy-mm-dd")&amp;"|"&amp;TEXT('Ingest Template'!C561+3, "yyyy-mm-dd"),'Ingest Template'!Q561&amp; "|2021-01-01")),(IF(OR('Ingest Template'!F561 = "Program Type - Special", 'Ingest Template'!F561 = "Program Type - Live Event"),'Ingest Template'!Q561&amp; "|"&amp;TEXT('Ingest Template'!C561-3, "yyyy-mm-dd")&amp;"|"&amp;TEXT('Ingest Template'!C561+3, "yyyy-mm-dd"),'Ingest Template'!Q561)))</f>
        <v/>
      </c>
      <c r="AM561" s="35" t="str">
        <f>'Ingest Template'!AC561</f>
        <v/>
      </c>
    </row>
    <row r="562">
      <c r="A562" s="15"/>
      <c r="B562" s="22" t="str">
        <f>'Ingest Template'!C562&amp;IF('Ingest Template'!A562 = "Standard", " - DAR","")</f>
        <v/>
      </c>
      <c r="C562" s="22" t="s">
        <v>83</v>
      </c>
      <c r="D562" s="22" t="str">
        <f t="array" ref="D562">CONCATENATE(INDEX(DropdownLists!$H$2:$H$11,MATCH(1,COUNTIF('Ingest Template'!E562,"*"&amp;DropdownLists!$I$2:$I$11&amp;"*"),0)),CHAR(10),'Ingest Template'!F562,CHAR(10),'Ingest Template'!G562,CHAR(10),VLOOKUP('Ingest Template'!D562,DropdownLists!C:D,2,FALSE))</f>
        <v>#N/A</v>
      </c>
      <c r="E562" s="22" t="str">
        <f>CONCATENATE('Ingest Template'!H562,CHAR(10),'Ingest Template'!I562,CHAR(10),'Ingest Template'!J562,CHAR(10))</f>
        <v>
</v>
      </c>
      <c r="F562" s="35" t="str">
        <f t="array" ref="F562">INDEX(DropdownLists!$O$2:$O$36,MATCH(1,COUNTIF(E562,"*"&amp;DropdownLists!$N$2:$N$36&amp;"*"),0))</f>
        <v/>
      </c>
      <c r="G562" s="35"/>
      <c r="H562" s="22" t="str">
        <f t="array" ref="H562">INDEX(DropdownLists!$E$2:$E$276,MATCH('Ingest Template'!D562,DropdownLists!$C$2:$C$276,0))</f>
        <v>#N/A</v>
      </c>
      <c r="I562" s="22"/>
      <c r="J562" s="22" t="str">
        <f t="array" ref="J562">iF('Ingest Template'!A562="Standard","Pristine Brand",INDEX(DropdownLists!$B$2:$B$246,MATCH('Ingest Template'!D562,DropdownLists!$C$2:$C$246,0)))</f>
        <v>#N/A</v>
      </c>
      <c r="K562" s="22" t="str">
        <f>iF('Ingest Template'!A562="Standard",'Ingest Template'!K562&amp;CHAR(10)&amp;'Ingest Template'!L562,"Competitive View")</f>
        <v>Competitive View</v>
      </c>
      <c r="L562" s="22" t="s">
        <v>95</v>
      </c>
      <c r="M562" s="45" t="str">
        <f>'Ingest Template'!B562</f>
        <v/>
      </c>
      <c r="N562" s="35"/>
      <c r="O562" s="35"/>
      <c r="P562" s="35"/>
      <c r="Q562" s="35"/>
      <c r="R562" s="35" t="str">
        <f>'Ingest Template'!D562</f>
        <v/>
      </c>
      <c r="S562" s="22" t="s">
        <v>101</v>
      </c>
      <c r="T562" s="35" t="str">
        <f>'Ingest Template'!V562</f>
        <v/>
      </c>
      <c r="U562" s="35" t="str">
        <f>'Ingest Template'!W562</f>
        <v/>
      </c>
      <c r="V562" s="35" t="str">
        <f>LOWER(SUBSTITUTE(SUBSTITUTE(SUBSTITUTE(SUBSTITUTE(SUBSTITUTE('Ingest Template'!X562,"https:",""),"www.",""),"/",""),"?hl=en",""),"instagram.com",""))</f>
        <v/>
      </c>
      <c r="W562" s="74" t="str">
        <f t="array" ref="W562">IF(
'Ingest Template'!Y562="",
SUBSTITUTE(
INDEX(DropdownLists!$F$2:$F$277,MATCH('Ingest Template'!D562,DropdownLists!$C$2:$C$277,0)),
CHAR(10),
"|"&amp;'Ingest Template'!C562&amp;CHAR(10)
)&amp;"|"&amp;'Ingest Template'!C562,
SUBSTITUTE(
INDEX(DropdownLists!$F$2:$F$277,MATCH('Ingest Template'!D562,DropdownLists!$C$2:$C$277,0)),
CHAR(10),
"|"&amp;'Ingest Template'!C562&amp;CHAR(10)
)&amp;"|"&amp;'Ingest Template'!C562&amp;CHAR(10)&amp;'Ingest Template'!Y562
)</f>
        <v>#N/A</v>
      </c>
      <c r="X562" s="74" t="str">
        <f>'Ingest Template'!Z562</f>
        <v/>
      </c>
      <c r="Y562" s="35" t="str">
        <f>SUBSTITUTE(SUBSTITUTE(SUBSTITUTE('Ingest Template'!AA562,"http:",""),"https:",""),"/","")</f>
        <v/>
      </c>
      <c r="Z562" s="35" t="str">
        <f t="array" ref="Z562">IF('Ingest Template'!A562="Standard",(IF(ISBLANK('Ingest Template'!AB562),"", 'Ingest Template'!AB562&amp;"|DAR")),(IF(ISBLANK('Ingest Template'!AB562),"", 'Ingest Template'!AB562&amp;"|TV Ops")))</f>
        <v/>
      </c>
      <c r="AA562" s="35"/>
      <c r="AB562" s="35" t="str">
        <f>'Ingest Template'!R562</f>
        <v/>
      </c>
      <c r="AC562" s="35" t="str">
        <f>'Ingest Template'!T562</f>
        <v/>
      </c>
      <c r="AD562" s="35" t="str">
        <f>'Ingest Template'!S562</f>
        <v/>
      </c>
      <c r="AE562" s="35" t="str">
        <f>'Ingest Template'!U562</f>
        <v/>
      </c>
      <c r="AF562" s="22"/>
      <c r="AG562" s="35" t="str">
        <f t="array" ref="AG562">IF('Ingest Template'!A562="Standard",(CONCATENATE(IF(ISBLANK('Ingest Template'!N562),"", 'Ingest Template'!N562&amp;"|DAR"),CHAR(10), IF(ISBLANK('Ingest Template'!O562),"", 'Ingest Template'!O562&amp;"|DAR"),CHAR(10), IF(ISBLANK('Ingest Template'!P562),"", 'Ingest Template'!P562&amp;"|DAR"))),(CONCATENATE(IF(ISBLANK('Ingest Template'!N562),"", 'Ingest Template'!N562&amp;"|TV Ops"),CHAR(10), IF(ISBLANK('Ingest Template'!O562),"", 'Ingest Template'!O562&amp;"|TV Ops"),CHAR(10), IF(ISBLANK('Ingest Template'!P562),"", 'Ingest Template'!P562&amp;"|TV Ops"))))</f>
        <v>
</v>
      </c>
      <c r="AH562" s="35"/>
      <c r="AI562" s="35"/>
      <c r="AJ562" s="117" t="str">
        <f>if('Ingest Template'!A562="Standard",(IF(OR('Ingest Template'!F562 = "Program Type - Special", 'Ingest Template'!F562 = "Program Type - Live Event"),'Ingest Template'!M562&amp; "|DAR|DAR|"&amp;TEXT('Ingest Template'!C562-3, "yyyy-mm-dd")&amp;"|"&amp;TEXT('Ingest Template'!C562+3, "yyyy-mm-dd"),'Ingest Template'!M562&amp; "|DAR|DAR|2021-01-01")),(IF(OR('Ingest Template'!F562 = "Program Type - Special", 'Ingest Template'!F562 = "Program Type - Live Event"),'Ingest Template'!M562&amp; "|Operations - Core Title|Operations - Core Title|"&amp;TEXT('Ingest Template'!C562-3, "yyyy-mm-dd")&amp;"|"&amp;TEXT('Ingest Template'!C562+3, "yyyy-mm-dd"),'Ingest Template'!M562&amp; "|Operations - Core Title|Operations - Core Title")))</f>
        <v>|Operations - Core Title|Operations - Core Title</v>
      </c>
      <c r="AK562" s="35"/>
      <c r="AL562" s="117" t="str">
        <f>if('Ingest Template'!A562="Standard",(IF(OR('Ingest Template'!F562 = "Program Type - Special", 'Ingest Template'!F562 = "Program Type - Live Event"),'Ingest Template'!Q562&amp;"|"&amp;TEXT('Ingest Template'!C562-3, "yyyy-mm-dd")&amp;"|"&amp;TEXT('Ingest Template'!C562+3, "yyyy-mm-dd"),'Ingest Template'!Q562&amp; "|2021-01-01")),(IF(OR('Ingest Template'!F562 = "Program Type - Special", 'Ingest Template'!F562 = "Program Type - Live Event"),'Ingest Template'!Q562&amp; "|"&amp;TEXT('Ingest Template'!C562-3, "yyyy-mm-dd")&amp;"|"&amp;TEXT('Ingest Template'!C562+3, "yyyy-mm-dd"),'Ingest Template'!Q562)))</f>
        <v/>
      </c>
      <c r="AM562" s="35" t="str">
        <f>'Ingest Template'!AC562</f>
        <v/>
      </c>
    </row>
    <row r="563">
      <c r="A563" s="15"/>
      <c r="B563" s="22" t="str">
        <f>'Ingest Template'!C563&amp;IF('Ingest Template'!A563 = "Standard", " - DAR","")</f>
        <v/>
      </c>
      <c r="C563" s="22" t="s">
        <v>83</v>
      </c>
      <c r="D563" s="22" t="str">
        <f t="array" ref="D563">CONCATENATE(INDEX(DropdownLists!$H$2:$H$11,MATCH(1,COUNTIF('Ingest Template'!E563,"*"&amp;DropdownLists!$I$2:$I$11&amp;"*"),0)),CHAR(10),'Ingest Template'!F563,CHAR(10),'Ingest Template'!G563,CHAR(10),VLOOKUP('Ingest Template'!D563,DropdownLists!C:D,2,FALSE))</f>
        <v>#N/A</v>
      </c>
      <c r="E563" s="22" t="str">
        <f>CONCATENATE('Ingest Template'!H563,CHAR(10),'Ingest Template'!I563,CHAR(10),'Ingest Template'!J563,CHAR(10))</f>
        <v>
</v>
      </c>
      <c r="F563" s="35" t="str">
        <f t="array" ref="F563">INDEX(DropdownLists!$O$2:$O$36,MATCH(1,COUNTIF(E563,"*"&amp;DropdownLists!$N$2:$N$36&amp;"*"),0))</f>
        <v/>
      </c>
      <c r="G563" s="35"/>
      <c r="H563" s="22" t="str">
        <f t="array" ref="H563">INDEX(DropdownLists!$E$2:$E$276,MATCH('Ingest Template'!D563,DropdownLists!$C$2:$C$276,0))</f>
        <v>#N/A</v>
      </c>
      <c r="I563" s="22"/>
      <c r="J563" s="22" t="str">
        <f t="array" ref="J563">iF('Ingest Template'!A563="Standard","Pristine Brand",INDEX(DropdownLists!$B$2:$B$246,MATCH('Ingest Template'!D563,DropdownLists!$C$2:$C$246,0)))</f>
        <v>#N/A</v>
      </c>
      <c r="K563" s="22" t="str">
        <f>iF('Ingest Template'!A563="Standard",'Ingest Template'!K563&amp;CHAR(10)&amp;'Ingest Template'!L563,"Competitive View")</f>
        <v>Competitive View</v>
      </c>
      <c r="L563" s="22" t="s">
        <v>95</v>
      </c>
      <c r="M563" s="45" t="str">
        <f>'Ingest Template'!B563</f>
        <v/>
      </c>
      <c r="N563" s="35"/>
      <c r="O563" s="35"/>
      <c r="P563" s="35"/>
      <c r="Q563" s="35"/>
      <c r="R563" s="35" t="str">
        <f>'Ingest Template'!D563</f>
        <v/>
      </c>
      <c r="S563" s="22" t="s">
        <v>101</v>
      </c>
      <c r="T563" s="35" t="str">
        <f>'Ingest Template'!V563</f>
        <v/>
      </c>
      <c r="U563" s="35" t="str">
        <f>'Ingest Template'!W563</f>
        <v/>
      </c>
      <c r="V563" s="35" t="str">
        <f>LOWER(SUBSTITUTE(SUBSTITUTE(SUBSTITUTE(SUBSTITUTE(SUBSTITUTE('Ingest Template'!X563,"https:",""),"www.",""),"/",""),"?hl=en",""),"instagram.com",""))</f>
        <v/>
      </c>
      <c r="W563" s="74" t="str">
        <f t="array" ref="W563">IF(
'Ingest Template'!Y563="",
SUBSTITUTE(
INDEX(DropdownLists!$F$2:$F$277,MATCH('Ingest Template'!D563,DropdownLists!$C$2:$C$277,0)),
CHAR(10),
"|"&amp;'Ingest Template'!C563&amp;CHAR(10)
)&amp;"|"&amp;'Ingest Template'!C563,
SUBSTITUTE(
INDEX(DropdownLists!$F$2:$F$277,MATCH('Ingest Template'!D563,DropdownLists!$C$2:$C$277,0)),
CHAR(10),
"|"&amp;'Ingest Template'!C563&amp;CHAR(10)
)&amp;"|"&amp;'Ingest Template'!C563&amp;CHAR(10)&amp;'Ingest Template'!Y563
)</f>
        <v>#N/A</v>
      </c>
      <c r="X563" s="74" t="str">
        <f>'Ingest Template'!Z563</f>
        <v/>
      </c>
      <c r="Y563" s="35" t="str">
        <f>SUBSTITUTE(SUBSTITUTE(SUBSTITUTE('Ingest Template'!AA563,"http:",""),"https:",""),"/","")</f>
        <v/>
      </c>
      <c r="Z563" s="35" t="str">
        <f t="array" ref="Z563">IF('Ingest Template'!A563="Standard",(IF(ISBLANK('Ingest Template'!AB563),"", 'Ingest Template'!AB563&amp;"|DAR")),(IF(ISBLANK('Ingest Template'!AB563),"", 'Ingest Template'!AB563&amp;"|TV Ops")))</f>
        <v/>
      </c>
      <c r="AA563" s="35"/>
      <c r="AB563" s="35" t="str">
        <f>'Ingest Template'!R563</f>
        <v/>
      </c>
      <c r="AC563" s="35" t="str">
        <f>'Ingest Template'!T563</f>
        <v/>
      </c>
      <c r="AD563" s="35" t="str">
        <f>'Ingest Template'!S563</f>
        <v/>
      </c>
      <c r="AE563" s="35" t="str">
        <f>'Ingest Template'!U563</f>
        <v/>
      </c>
      <c r="AF563" s="22"/>
      <c r="AG563" s="35" t="str">
        <f t="array" ref="AG563">IF('Ingest Template'!A563="Standard",(CONCATENATE(IF(ISBLANK('Ingest Template'!N563),"", 'Ingest Template'!N563&amp;"|DAR"),CHAR(10), IF(ISBLANK('Ingest Template'!O563),"", 'Ingest Template'!O563&amp;"|DAR"),CHAR(10), IF(ISBLANK('Ingest Template'!P563),"", 'Ingest Template'!P563&amp;"|DAR"))),(CONCATENATE(IF(ISBLANK('Ingest Template'!N563),"", 'Ingest Template'!N563&amp;"|TV Ops"),CHAR(10), IF(ISBLANK('Ingest Template'!O563),"", 'Ingest Template'!O563&amp;"|TV Ops"),CHAR(10), IF(ISBLANK('Ingest Template'!P563),"", 'Ingest Template'!P563&amp;"|TV Ops"))))</f>
        <v>
</v>
      </c>
      <c r="AH563" s="35"/>
      <c r="AI563" s="35"/>
      <c r="AJ563" s="117" t="str">
        <f>if('Ingest Template'!A563="Standard",(IF(OR('Ingest Template'!F563 = "Program Type - Special", 'Ingest Template'!F563 = "Program Type - Live Event"),'Ingest Template'!M563&amp; "|DAR|DAR|"&amp;TEXT('Ingest Template'!C563-3, "yyyy-mm-dd")&amp;"|"&amp;TEXT('Ingest Template'!C563+3, "yyyy-mm-dd"),'Ingest Template'!M563&amp; "|DAR|DAR|2021-01-01")),(IF(OR('Ingest Template'!F563 = "Program Type - Special", 'Ingest Template'!F563 = "Program Type - Live Event"),'Ingest Template'!M563&amp; "|Operations - Core Title|Operations - Core Title|"&amp;TEXT('Ingest Template'!C563-3, "yyyy-mm-dd")&amp;"|"&amp;TEXT('Ingest Template'!C563+3, "yyyy-mm-dd"),'Ingest Template'!M563&amp; "|Operations - Core Title|Operations - Core Title")))</f>
        <v>|Operations - Core Title|Operations - Core Title</v>
      </c>
      <c r="AK563" s="35"/>
      <c r="AL563" s="117" t="str">
        <f>if('Ingest Template'!A563="Standard",(IF(OR('Ingest Template'!F563 = "Program Type - Special", 'Ingest Template'!F563 = "Program Type - Live Event"),'Ingest Template'!Q563&amp;"|"&amp;TEXT('Ingest Template'!C563-3, "yyyy-mm-dd")&amp;"|"&amp;TEXT('Ingest Template'!C563+3, "yyyy-mm-dd"),'Ingest Template'!Q563&amp; "|2021-01-01")),(IF(OR('Ingest Template'!F563 = "Program Type - Special", 'Ingest Template'!F563 = "Program Type - Live Event"),'Ingest Template'!Q563&amp; "|"&amp;TEXT('Ingest Template'!C563-3, "yyyy-mm-dd")&amp;"|"&amp;TEXT('Ingest Template'!C563+3, "yyyy-mm-dd"),'Ingest Template'!Q563)))</f>
        <v/>
      </c>
      <c r="AM563" s="35" t="str">
        <f>'Ingest Template'!AC563</f>
        <v/>
      </c>
    </row>
    <row r="564">
      <c r="A564" s="15"/>
      <c r="B564" s="22" t="str">
        <f>'Ingest Template'!C564&amp;IF('Ingest Template'!A564 = "Standard", " - DAR","")</f>
        <v/>
      </c>
      <c r="C564" s="22" t="s">
        <v>83</v>
      </c>
      <c r="D564" s="22" t="str">
        <f t="array" ref="D564">CONCATENATE(INDEX(DropdownLists!$H$2:$H$11,MATCH(1,COUNTIF('Ingest Template'!E564,"*"&amp;DropdownLists!$I$2:$I$11&amp;"*"),0)),CHAR(10),'Ingest Template'!F564,CHAR(10),'Ingest Template'!G564,CHAR(10),VLOOKUP('Ingest Template'!D564,DropdownLists!C:D,2,FALSE))</f>
        <v>#N/A</v>
      </c>
      <c r="E564" s="22" t="str">
        <f>CONCATENATE('Ingest Template'!H564,CHAR(10),'Ingest Template'!I564,CHAR(10),'Ingest Template'!J564,CHAR(10))</f>
        <v>
</v>
      </c>
      <c r="F564" s="35" t="str">
        <f t="array" ref="F564">INDEX(DropdownLists!$O$2:$O$36,MATCH(1,COUNTIF(E564,"*"&amp;DropdownLists!$N$2:$N$36&amp;"*"),0))</f>
        <v/>
      </c>
      <c r="G564" s="35"/>
      <c r="H564" s="22" t="str">
        <f t="array" ref="H564">INDEX(DropdownLists!$E$2:$E$276,MATCH('Ingest Template'!D564,DropdownLists!$C$2:$C$276,0))</f>
        <v>#N/A</v>
      </c>
      <c r="I564" s="22"/>
      <c r="J564" s="22" t="str">
        <f t="array" ref="J564">iF('Ingest Template'!A564="Standard","Pristine Brand",INDEX(DropdownLists!$B$2:$B$246,MATCH('Ingest Template'!D564,DropdownLists!$C$2:$C$246,0)))</f>
        <v>#N/A</v>
      </c>
      <c r="K564" s="22" t="str">
        <f>iF('Ingest Template'!A564="Standard",'Ingest Template'!K564&amp;CHAR(10)&amp;'Ingest Template'!L564,"Competitive View")</f>
        <v>Competitive View</v>
      </c>
      <c r="L564" s="22" t="s">
        <v>95</v>
      </c>
      <c r="M564" s="45" t="str">
        <f>'Ingest Template'!B564</f>
        <v/>
      </c>
      <c r="N564" s="35"/>
      <c r="O564" s="35"/>
      <c r="P564" s="35"/>
      <c r="Q564" s="35"/>
      <c r="R564" s="35" t="str">
        <f>'Ingest Template'!D564</f>
        <v/>
      </c>
      <c r="S564" s="22" t="s">
        <v>101</v>
      </c>
      <c r="T564" s="35" t="str">
        <f>'Ingest Template'!V564</f>
        <v/>
      </c>
      <c r="U564" s="35" t="str">
        <f>'Ingest Template'!W564</f>
        <v/>
      </c>
      <c r="V564" s="35" t="str">
        <f>LOWER(SUBSTITUTE(SUBSTITUTE(SUBSTITUTE(SUBSTITUTE(SUBSTITUTE('Ingest Template'!X564,"https:",""),"www.",""),"/",""),"?hl=en",""),"instagram.com",""))</f>
        <v/>
      </c>
      <c r="W564" s="74" t="str">
        <f t="array" ref="W564">IF(
'Ingest Template'!Y564="",
SUBSTITUTE(
INDEX(DropdownLists!$F$2:$F$277,MATCH('Ingest Template'!D564,DropdownLists!$C$2:$C$277,0)),
CHAR(10),
"|"&amp;'Ingest Template'!C564&amp;CHAR(10)
)&amp;"|"&amp;'Ingest Template'!C564,
SUBSTITUTE(
INDEX(DropdownLists!$F$2:$F$277,MATCH('Ingest Template'!D564,DropdownLists!$C$2:$C$277,0)),
CHAR(10),
"|"&amp;'Ingest Template'!C564&amp;CHAR(10)
)&amp;"|"&amp;'Ingest Template'!C564&amp;CHAR(10)&amp;'Ingest Template'!Y564
)</f>
        <v>#N/A</v>
      </c>
      <c r="X564" s="74" t="str">
        <f>'Ingest Template'!Z564</f>
        <v/>
      </c>
      <c r="Y564" s="35" t="str">
        <f>SUBSTITUTE(SUBSTITUTE(SUBSTITUTE('Ingest Template'!AA564,"http:",""),"https:",""),"/","")</f>
        <v/>
      </c>
      <c r="Z564" s="35" t="str">
        <f t="array" ref="Z564">IF('Ingest Template'!A564="Standard",(IF(ISBLANK('Ingest Template'!AB564),"", 'Ingest Template'!AB564&amp;"|DAR")),(IF(ISBLANK('Ingest Template'!AB564),"", 'Ingest Template'!AB564&amp;"|TV Ops")))</f>
        <v/>
      </c>
      <c r="AA564" s="35"/>
      <c r="AB564" s="35" t="str">
        <f>'Ingest Template'!R564</f>
        <v/>
      </c>
      <c r="AC564" s="35" t="str">
        <f>'Ingest Template'!T564</f>
        <v/>
      </c>
      <c r="AD564" s="35" t="str">
        <f>'Ingest Template'!S564</f>
        <v/>
      </c>
      <c r="AE564" s="35" t="str">
        <f>'Ingest Template'!U564</f>
        <v/>
      </c>
      <c r="AF564" s="22"/>
      <c r="AG564" s="35" t="str">
        <f t="array" ref="AG564">IF('Ingest Template'!A564="Standard",(CONCATENATE(IF(ISBLANK('Ingest Template'!N564),"", 'Ingest Template'!N564&amp;"|DAR"),CHAR(10), IF(ISBLANK('Ingest Template'!O564),"", 'Ingest Template'!O564&amp;"|DAR"),CHAR(10), IF(ISBLANK('Ingest Template'!P564),"", 'Ingest Template'!P564&amp;"|DAR"))),(CONCATENATE(IF(ISBLANK('Ingest Template'!N564),"", 'Ingest Template'!N564&amp;"|TV Ops"),CHAR(10), IF(ISBLANK('Ingest Template'!O564),"", 'Ingest Template'!O564&amp;"|TV Ops"),CHAR(10), IF(ISBLANK('Ingest Template'!P564),"", 'Ingest Template'!P564&amp;"|TV Ops"))))</f>
        <v>
</v>
      </c>
      <c r="AH564" s="35"/>
      <c r="AI564" s="35"/>
      <c r="AJ564" s="117" t="str">
        <f>if('Ingest Template'!A564="Standard",(IF(OR('Ingest Template'!F564 = "Program Type - Special", 'Ingest Template'!F564 = "Program Type - Live Event"),'Ingest Template'!M564&amp; "|DAR|DAR|"&amp;TEXT('Ingest Template'!C564-3, "yyyy-mm-dd")&amp;"|"&amp;TEXT('Ingest Template'!C564+3, "yyyy-mm-dd"),'Ingest Template'!M564&amp; "|DAR|DAR|2021-01-01")),(IF(OR('Ingest Template'!F564 = "Program Type - Special", 'Ingest Template'!F564 = "Program Type - Live Event"),'Ingest Template'!M564&amp; "|Operations - Core Title|Operations - Core Title|"&amp;TEXT('Ingest Template'!C564-3, "yyyy-mm-dd")&amp;"|"&amp;TEXT('Ingest Template'!C564+3, "yyyy-mm-dd"),'Ingest Template'!M564&amp; "|Operations - Core Title|Operations - Core Title")))</f>
        <v>|Operations - Core Title|Operations - Core Title</v>
      </c>
      <c r="AK564" s="35"/>
      <c r="AL564" s="117" t="str">
        <f>if('Ingest Template'!A564="Standard",(IF(OR('Ingest Template'!F564 = "Program Type - Special", 'Ingest Template'!F564 = "Program Type - Live Event"),'Ingest Template'!Q564&amp;"|"&amp;TEXT('Ingest Template'!C564-3, "yyyy-mm-dd")&amp;"|"&amp;TEXT('Ingest Template'!C564+3, "yyyy-mm-dd"),'Ingest Template'!Q564&amp; "|2021-01-01")),(IF(OR('Ingest Template'!F564 = "Program Type - Special", 'Ingest Template'!F564 = "Program Type - Live Event"),'Ingest Template'!Q564&amp; "|"&amp;TEXT('Ingest Template'!C564-3, "yyyy-mm-dd")&amp;"|"&amp;TEXT('Ingest Template'!C564+3, "yyyy-mm-dd"),'Ingest Template'!Q564)))</f>
        <v/>
      </c>
      <c r="AM564" s="35" t="str">
        <f>'Ingest Template'!AC564</f>
        <v/>
      </c>
    </row>
    <row r="565">
      <c r="A565" s="15"/>
      <c r="B565" s="22" t="str">
        <f>'Ingest Template'!C565&amp;IF('Ingest Template'!A565 = "Standard", " - DAR","")</f>
        <v/>
      </c>
      <c r="C565" s="22" t="s">
        <v>83</v>
      </c>
      <c r="D565" s="22" t="str">
        <f t="array" ref="D565">CONCATENATE(INDEX(DropdownLists!$H$2:$H$11,MATCH(1,COUNTIF('Ingest Template'!E565,"*"&amp;DropdownLists!$I$2:$I$11&amp;"*"),0)),CHAR(10),'Ingest Template'!F565,CHAR(10),'Ingest Template'!G565,CHAR(10),VLOOKUP('Ingest Template'!D565,DropdownLists!C:D,2,FALSE))</f>
        <v>#N/A</v>
      </c>
      <c r="E565" s="22" t="str">
        <f>CONCATENATE('Ingest Template'!H565,CHAR(10),'Ingest Template'!I565,CHAR(10),'Ingest Template'!J565,CHAR(10))</f>
        <v>
</v>
      </c>
      <c r="F565" s="35" t="str">
        <f t="array" ref="F565">INDEX(DropdownLists!$O$2:$O$36,MATCH(1,COUNTIF(E565,"*"&amp;DropdownLists!$N$2:$N$36&amp;"*"),0))</f>
        <v/>
      </c>
      <c r="G565" s="35"/>
      <c r="H565" s="22" t="str">
        <f t="array" ref="H565">INDEX(DropdownLists!$E$2:$E$276,MATCH('Ingest Template'!D565,DropdownLists!$C$2:$C$276,0))</f>
        <v>#N/A</v>
      </c>
      <c r="I565" s="22"/>
      <c r="J565" s="22" t="str">
        <f t="array" ref="J565">iF('Ingest Template'!A565="Standard","Pristine Brand",INDEX(DropdownLists!$B$2:$B$246,MATCH('Ingest Template'!D565,DropdownLists!$C$2:$C$246,0)))</f>
        <v>#N/A</v>
      </c>
      <c r="K565" s="22" t="str">
        <f>iF('Ingest Template'!A565="Standard",'Ingest Template'!K565&amp;CHAR(10)&amp;'Ingest Template'!L565,"Competitive View")</f>
        <v>Competitive View</v>
      </c>
      <c r="L565" s="22" t="s">
        <v>95</v>
      </c>
      <c r="M565" s="45" t="str">
        <f>'Ingest Template'!B565</f>
        <v/>
      </c>
      <c r="N565" s="35"/>
      <c r="O565" s="35"/>
      <c r="P565" s="35"/>
      <c r="Q565" s="35"/>
      <c r="R565" s="35" t="str">
        <f>'Ingest Template'!D565</f>
        <v/>
      </c>
      <c r="S565" s="22" t="s">
        <v>101</v>
      </c>
      <c r="T565" s="35" t="str">
        <f>'Ingest Template'!V565</f>
        <v/>
      </c>
      <c r="U565" s="35" t="str">
        <f>'Ingest Template'!W565</f>
        <v/>
      </c>
      <c r="V565" s="35" t="str">
        <f>LOWER(SUBSTITUTE(SUBSTITUTE(SUBSTITUTE(SUBSTITUTE(SUBSTITUTE('Ingest Template'!X565,"https:",""),"www.",""),"/",""),"?hl=en",""),"instagram.com",""))</f>
        <v/>
      </c>
      <c r="W565" s="74" t="str">
        <f t="array" ref="W565">IF(
'Ingest Template'!Y565="",
SUBSTITUTE(
INDEX(DropdownLists!$F$2:$F$277,MATCH('Ingest Template'!D565,DropdownLists!$C$2:$C$277,0)),
CHAR(10),
"|"&amp;'Ingest Template'!C565&amp;CHAR(10)
)&amp;"|"&amp;'Ingest Template'!C565,
SUBSTITUTE(
INDEX(DropdownLists!$F$2:$F$277,MATCH('Ingest Template'!D565,DropdownLists!$C$2:$C$277,0)),
CHAR(10),
"|"&amp;'Ingest Template'!C565&amp;CHAR(10)
)&amp;"|"&amp;'Ingest Template'!C565&amp;CHAR(10)&amp;'Ingest Template'!Y565
)</f>
        <v>#N/A</v>
      </c>
      <c r="X565" s="74" t="str">
        <f>'Ingest Template'!Z565</f>
        <v/>
      </c>
      <c r="Y565" s="35" t="str">
        <f>SUBSTITUTE(SUBSTITUTE(SUBSTITUTE('Ingest Template'!AA565,"http:",""),"https:",""),"/","")</f>
        <v/>
      </c>
      <c r="Z565" s="35" t="str">
        <f t="array" ref="Z565">IF('Ingest Template'!A565="Standard",(IF(ISBLANK('Ingest Template'!AB565),"", 'Ingest Template'!AB565&amp;"|DAR")),(IF(ISBLANK('Ingest Template'!AB565),"", 'Ingest Template'!AB565&amp;"|TV Ops")))</f>
        <v/>
      </c>
      <c r="AA565" s="35"/>
      <c r="AB565" s="35" t="str">
        <f>'Ingest Template'!R565</f>
        <v/>
      </c>
      <c r="AC565" s="35" t="str">
        <f>'Ingest Template'!T565</f>
        <v/>
      </c>
      <c r="AD565" s="35" t="str">
        <f>'Ingest Template'!S565</f>
        <v/>
      </c>
      <c r="AE565" s="35" t="str">
        <f>'Ingest Template'!U565</f>
        <v/>
      </c>
      <c r="AF565" s="22"/>
      <c r="AG565" s="35" t="str">
        <f t="array" ref="AG565">IF('Ingest Template'!A565="Standard",(CONCATENATE(IF(ISBLANK('Ingest Template'!N565),"", 'Ingest Template'!N565&amp;"|DAR"),CHAR(10), IF(ISBLANK('Ingest Template'!O565),"", 'Ingest Template'!O565&amp;"|DAR"),CHAR(10), IF(ISBLANK('Ingest Template'!P565),"", 'Ingest Template'!P565&amp;"|DAR"))),(CONCATENATE(IF(ISBLANK('Ingest Template'!N565),"", 'Ingest Template'!N565&amp;"|TV Ops"),CHAR(10), IF(ISBLANK('Ingest Template'!O565),"", 'Ingest Template'!O565&amp;"|TV Ops"),CHAR(10), IF(ISBLANK('Ingest Template'!P565),"", 'Ingest Template'!P565&amp;"|TV Ops"))))</f>
        <v>
</v>
      </c>
      <c r="AH565" s="35"/>
      <c r="AI565" s="35"/>
      <c r="AJ565" s="117" t="str">
        <f>if('Ingest Template'!A565="Standard",(IF(OR('Ingest Template'!F565 = "Program Type - Special", 'Ingest Template'!F565 = "Program Type - Live Event"),'Ingest Template'!M565&amp; "|DAR|DAR|"&amp;TEXT('Ingest Template'!C565-3, "yyyy-mm-dd")&amp;"|"&amp;TEXT('Ingest Template'!C565+3, "yyyy-mm-dd"),'Ingest Template'!M565&amp; "|DAR|DAR|2021-01-01")),(IF(OR('Ingest Template'!F565 = "Program Type - Special", 'Ingest Template'!F565 = "Program Type - Live Event"),'Ingest Template'!M565&amp; "|Operations - Core Title|Operations - Core Title|"&amp;TEXT('Ingest Template'!C565-3, "yyyy-mm-dd")&amp;"|"&amp;TEXT('Ingest Template'!C565+3, "yyyy-mm-dd"),'Ingest Template'!M565&amp; "|Operations - Core Title|Operations - Core Title")))</f>
        <v>|Operations - Core Title|Operations - Core Title</v>
      </c>
      <c r="AK565" s="35"/>
      <c r="AL565" s="117" t="str">
        <f>if('Ingest Template'!A565="Standard",(IF(OR('Ingest Template'!F565 = "Program Type - Special", 'Ingest Template'!F565 = "Program Type - Live Event"),'Ingest Template'!Q565&amp;"|"&amp;TEXT('Ingest Template'!C565-3, "yyyy-mm-dd")&amp;"|"&amp;TEXT('Ingest Template'!C565+3, "yyyy-mm-dd"),'Ingest Template'!Q565&amp; "|2021-01-01")),(IF(OR('Ingest Template'!F565 = "Program Type - Special", 'Ingest Template'!F565 = "Program Type - Live Event"),'Ingest Template'!Q565&amp; "|"&amp;TEXT('Ingest Template'!C565-3, "yyyy-mm-dd")&amp;"|"&amp;TEXT('Ingest Template'!C565+3, "yyyy-mm-dd"),'Ingest Template'!Q565)))</f>
        <v/>
      </c>
      <c r="AM565" s="35" t="str">
        <f>'Ingest Template'!AC565</f>
        <v/>
      </c>
    </row>
    <row r="566">
      <c r="A566" s="15"/>
      <c r="B566" s="22" t="str">
        <f>'Ingest Template'!C566&amp;IF('Ingest Template'!A566 = "Standard", " - DAR","")</f>
        <v/>
      </c>
      <c r="C566" s="22" t="s">
        <v>83</v>
      </c>
      <c r="D566" s="22" t="str">
        <f t="array" ref="D566">CONCATENATE(INDEX(DropdownLists!$H$2:$H$11,MATCH(1,COUNTIF('Ingest Template'!E566,"*"&amp;DropdownLists!$I$2:$I$11&amp;"*"),0)),CHAR(10),'Ingest Template'!F566,CHAR(10),'Ingest Template'!G566,CHAR(10),VLOOKUP('Ingest Template'!D566,DropdownLists!C:D,2,FALSE))</f>
        <v>#N/A</v>
      </c>
      <c r="E566" s="22" t="str">
        <f>CONCATENATE('Ingest Template'!H566,CHAR(10),'Ingest Template'!I566,CHAR(10),'Ingest Template'!J566,CHAR(10))</f>
        <v>
</v>
      </c>
      <c r="F566" s="35" t="str">
        <f t="array" ref="F566">INDEX(DropdownLists!$O$2:$O$36,MATCH(1,COUNTIF(E566,"*"&amp;DropdownLists!$N$2:$N$36&amp;"*"),0))</f>
        <v/>
      </c>
      <c r="G566" s="35"/>
      <c r="H566" s="22" t="str">
        <f t="array" ref="H566">INDEX(DropdownLists!$E$2:$E$276,MATCH('Ingest Template'!D566,DropdownLists!$C$2:$C$276,0))</f>
        <v>#N/A</v>
      </c>
      <c r="I566" s="22"/>
      <c r="J566" s="22" t="str">
        <f t="array" ref="J566">iF('Ingest Template'!A566="Standard","Pristine Brand",INDEX(DropdownLists!$B$2:$B$246,MATCH('Ingest Template'!D566,DropdownLists!$C$2:$C$246,0)))</f>
        <v>#N/A</v>
      </c>
      <c r="K566" s="22" t="str">
        <f>iF('Ingest Template'!A566="Standard",'Ingest Template'!K566&amp;CHAR(10)&amp;'Ingest Template'!L566,"Competitive View")</f>
        <v>Competitive View</v>
      </c>
      <c r="L566" s="22" t="s">
        <v>95</v>
      </c>
      <c r="M566" s="45" t="str">
        <f>'Ingest Template'!B566</f>
        <v/>
      </c>
      <c r="N566" s="35"/>
      <c r="O566" s="35"/>
      <c r="P566" s="35"/>
      <c r="Q566" s="35"/>
      <c r="R566" s="35" t="str">
        <f>'Ingest Template'!D566</f>
        <v/>
      </c>
      <c r="S566" s="22" t="s">
        <v>101</v>
      </c>
      <c r="T566" s="35" t="str">
        <f>'Ingest Template'!V566</f>
        <v/>
      </c>
      <c r="U566" s="35" t="str">
        <f>'Ingest Template'!W566</f>
        <v/>
      </c>
      <c r="V566" s="35" t="str">
        <f>LOWER(SUBSTITUTE(SUBSTITUTE(SUBSTITUTE(SUBSTITUTE(SUBSTITUTE('Ingest Template'!X566,"https:",""),"www.",""),"/",""),"?hl=en",""),"instagram.com",""))</f>
        <v/>
      </c>
      <c r="W566" s="74" t="str">
        <f t="array" ref="W566">IF(
'Ingest Template'!Y566="",
SUBSTITUTE(
INDEX(DropdownLists!$F$2:$F$277,MATCH('Ingest Template'!D566,DropdownLists!$C$2:$C$277,0)),
CHAR(10),
"|"&amp;'Ingest Template'!C566&amp;CHAR(10)
)&amp;"|"&amp;'Ingest Template'!C566,
SUBSTITUTE(
INDEX(DropdownLists!$F$2:$F$277,MATCH('Ingest Template'!D566,DropdownLists!$C$2:$C$277,0)),
CHAR(10),
"|"&amp;'Ingest Template'!C566&amp;CHAR(10)
)&amp;"|"&amp;'Ingest Template'!C566&amp;CHAR(10)&amp;'Ingest Template'!Y566
)</f>
        <v>#N/A</v>
      </c>
      <c r="X566" s="74" t="str">
        <f>'Ingest Template'!Z566</f>
        <v/>
      </c>
      <c r="Y566" s="35" t="str">
        <f>SUBSTITUTE(SUBSTITUTE(SUBSTITUTE('Ingest Template'!AA566,"http:",""),"https:",""),"/","")</f>
        <v/>
      </c>
      <c r="Z566" s="35" t="str">
        <f t="array" ref="Z566">IF('Ingest Template'!A566="Standard",(IF(ISBLANK('Ingest Template'!AB566),"", 'Ingest Template'!AB566&amp;"|DAR")),(IF(ISBLANK('Ingest Template'!AB566),"", 'Ingest Template'!AB566&amp;"|TV Ops")))</f>
        <v/>
      </c>
      <c r="AA566" s="35"/>
      <c r="AB566" s="35" t="str">
        <f>'Ingest Template'!R566</f>
        <v/>
      </c>
      <c r="AC566" s="35" t="str">
        <f>'Ingest Template'!T566</f>
        <v/>
      </c>
      <c r="AD566" s="35" t="str">
        <f>'Ingest Template'!S566</f>
        <v/>
      </c>
      <c r="AE566" s="35" t="str">
        <f>'Ingest Template'!U566</f>
        <v/>
      </c>
      <c r="AF566" s="22"/>
      <c r="AG566" s="35" t="str">
        <f t="array" ref="AG566">IF('Ingest Template'!A566="Standard",(CONCATENATE(IF(ISBLANK('Ingest Template'!N566),"", 'Ingest Template'!N566&amp;"|DAR"),CHAR(10), IF(ISBLANK('Ingest Template'!O566),"", 'Ingest Template'!O566&amp;"|DAR"),CHAR(10), IF(ISBLANK('Ingest Template'!P566),"", 'Ingest Template'!P566&amp;"|DAR"))),(CONCATENATE(IF(ISBLANK('Ingest Template'!N566),"", 'Ingest Template'!N566&amp;"|TV Ops"),CHAR(10), IF(ISBLANK('Ingest Template'!O566),"", 'Ingest Template'!O566&amp;"|TV Ops"),CHAR(10), IF(ISBLANK('Ingest Template'!P566),"", 'Ingest Template'!P566&amp;"|TV Ops"))))</f>
        <v>
</v>
      </c>
      <c r="AH566" s="35"/>
      <c r="AI566" s="35"/>
      <c r="AJ566" s="117" t="str">
        <f>if('Ingest Template'!A566="Standard",(IF(OR('Ingest Template'!F566 = "Program Type - Special", 'Ingest Template'!F566 = "Program Type - Live Event"),'Ingest Template'!M566&amp; "|DAR|DAR|"&amp;TEXT('Ingest Template'!C566-3, "yyyy-mm-dd")&amp;"|"&amp;TEXT('Ingest Template'!C566+3, "yyyy-mm-dd"),'Ingest Template'!M566&amp; "|DAR|DAR|2021-01-01")),(IF(OR('Ingest Template'!F566 = "Program Type - Special", 'Ingest Template'!F566 = "Program Type - Live Event"),'Ingest Template'!M566&amp; "|Operations - Core Title|Operations - Core Title|"&amp;TEXT('Ingest Template'!C566-3, "yyyy-mm-dd")&amp;"|"&amp;TEXT('Ingest Template'!C566+3, "yyyy-mm-dd"),'Ingest Template'!M566&amp; "|Operations - Core Title|Operations - Core Title")))</f>
        <v>|Operations - Core Title|Operations - Core Title</v>
      </c>
      <c r="AK566" s="35"/>
      <c r="AL566" s="117" t="str">
        <f>if('Ingest Template'!A566="Standard",(IF(OR('Ingest Template'!F566 = "Program Type - Special", 'Ingest Template'!F566 = "Program Type - Live Event"),'Ingest Template'!Q566&amp;"|"&amp;TEXT('Ingest Template'!C566-3, "yyyy-mm-dd")&amp;"|"&amp;TEXT('Ingest Template'!C566+3, "yyyy-mm-dd"),'Ingest Template'!Q566&amp; "|2021-01-01")),(IF(OR('Ingest Template'!F566 = "Program Type - Special", 'Ingest Template'!F566 = "Program Type - Live Event"),'Ingest Template'!Q566&amp; "|"&amp;TEXT('Ingest Template'!C566-3, "yyyy-mm-dd")&amp;"|"&amp;TEXT('Ingest Template'!C566+3, "yyyy-mm-dd"),'Ingest Template'!Q566)))</f>
        <v/>
      </c>
      <c r="AM566" s="35" t="str">
        <f>'Ingest Template'!AC566</f>
        <v/>
      </c>
    </row>
    <row r="567">
      <c r="A567" s="15"/>
      <c r="B567" s="22" t="str">
        <f>'Ingest Template'!C567&amp;IF('Ingest Template'!A567 = "Standard", " - DAR","")</f>
        <v/>
      </c>
      <c r="C567" s="22" t="s">
        <v>83</v>
      </c>
      <c r="D567" s="22" t="str">
        <f t="array" ref="D567">CONCATENATE(INDEX(DropdownLists!$H$2:$H$11,MATCH(1,COUNTIF('Ingest Template'!E567,"*"&amp;DropdownLists!$I$2:$I$11&amp;"*"),0)),CHAR(10),'Ingest Template'!F567,CHAR(10),'Ingest Template'!G567,CHAR(10),VLOOKUP('Ingest Template'!D567,DropdownLists!C:D,2,FALSE))</f>
        <v>#N/A</v>
      </c>
      <c r="E567" s="22" t="str">
        <f>CONCATENATE('Ingest Template'!H567,CHAR(10),'Ingest Template'!I567,CHAR(10),'Ingest Template'!J567,CHAR(10))</f>
        <v>
</v>
      </c>
      <c r="F567" s="35" t="str">
        <f t="array" ref="F567">INDEX(DropdownLists!$O$2:$O$36,MATCH(1,COUNTIF(E567,"*"&amp;DropdownLists!$N$2:$N$36&amp;"*"),0))</f>
        <v/>
      </c>
      <c r="G567" s="35"/>
      <c r="H567" s="22" t="str">
        <f t="array" ref="H567">INDEX(DropdownLists!$E$2:$E$276,MATCH('Ingest Template'!D567,DropdownLists!$C$2:$C$276,0))</f>
        <v>#N/A</v>
      </c>
      <c r="I567" s="22"/>
      <c r="J567" s="22" t="str">
        <f t="array" ref="J567">iF('Ingest Template'!A567="Standard","Pristine Brand",INDEX(DropdownLists!$B$2:$B$246,MATCH('Ingest Template'!D567,DropdownLists!$C$2:$C$246,0)))</f>
        <v>#N/A</v>
      </c>
      <c r="K567" s="22" t="str">
        <f>iF('Ingest Template'!A567="Standard",'Ingest Template'!K567&amp;CHAR(10)&amp;'Ingest Template'!L567,"Competitive View")</f>
        <v>Competitive View</v>
      </c>
      <c r="L567" s="22" t="s">
        <v>95</v>
      </c>
      <c r="M567" s="45" t="str">
        <f>'Ingest Template'!B567</f>
        <v/>
      </c>
      <c r="N567" s="35"/>
      <c r="O567" s="35"/>
      <c r="P567" s="35"/>
      <c r="Q567" s="35"/>
      <c r="R567" s="35" t="str">
        <f>'Ingest Template'!D567</f>
        <v/>
      </c>
      <c r="S567" s="22" t="s">
        <v>101</v>
      </c>
      <c r="T567" s="35" t="str">
        <f>'Ingest Template'!V567</f>
        <v/>
      </c>
      <c r="U567" s="35" t="str">
        <f>'Ingest Template'!W567</f>
        <v/>
      </c>
      <c r="V567" s="35" t="str">
        <f>LOWER(SUBSTITUTE(SUBSTITUTE(SUBSTITUTE(SUBSTITUTE(SUBSTITUTE('Ingest Template'!X567,"https:",""),"www.",""),"/",""),"?hl=en",""),"instagram.com",""))</f>
        <v/>
      </c>
      <c r="W567" s="74" t="str">
        <f t="array" ref="W567">IF(
'Ingest Template'!Y567="",
SUBSTITUTE(
INDEX(DropdownLists!$F$2:$F$277,MATCH('Ingest Template'!D567,DropdownLists!$C$2:$C$277,0)),
CHAR(10),
"|"&amp;'Ingest Template'!C567&amp;CHAR(10)
)&amp;"|"&amp;'Ingest Template'!C567,
SUBSTITUTE(
INDEX(DropdownLists!$F$2:$F$277,MATCH('Ingest Template'!D567,DropdownLists!$C$2:$C$277,0)),
CHAR(10),
"|"&amp;'Ingest Template'!C567&amp;CHAR(10)
)&amp;"|"&amp;'Ingest Template'!C567&amp;CHAR(10)&amp;'Ingest Template'!Y567
)</f>
        <v>#N/A</v>
      </c>
      <c r="X567" s="74" t="str">
        <f>'Ingest Template'!Z567</f>
        <v/>
      </c>
      <c r="Y567" s="35" t="str">
        <f>SUBSTITUTE(SUBSTITUTE(SUBSTITUTE('Ingest Template'!AA567,"http:",""),"https:",""),"/","")</f>
        <v/>
      </c>
      <c r="Z567" s="35" t="str">
        <f t="array" ref="Z567">IF('Ingest Template'!A567="Standard",(IF(ISBLANK('Ingest Template'!AB567),"", 'Ingest Template'!AB567&amp;"|DAR")),(IF(ISBLANK('Ingest Template'!AB567),"", 'Ingest Template'!AB567&amp;"|TV Ops")))</f>
        <v/>
      </c>
      <c r="AA567" s="35"/>
      <c r="AB567" s="35" t="str">
        <f>'Ingest Template'!R567</f>
        <v/>
      </c>
      <c r="AC567" s="35" t="str">
        <f>'Ingest Template'!T567</f>
        <v/>
      </c>
      <c r="AD567" s="35" t="str">
        <f>'Ingest Template'!S567</f>
        <v/>
      </c>
      <c r="AE567" s="35" t="str">
        <f>'Ingest Template'!U567</f>
        <v/>
      </c>
      <c r="AF567" s="22"/>
      <c r="AG567" s="35" t="str">
        <f t="array" ref="AG567">IF('Ingest Template'!A567="Standard",(CONCATENATE(IF(ISBLANK('Ingest Template'!N567),"", 'Ingest Template'!N567&amp;"|DAR"),CHAR(10), IF(ISBLANK('Ingest Template'!O567),"", 'Ingest Template'!O567&amp;"|DAR"),CHAR(10), IF(ISBLANK('Ingest Template'!P567),"", 'Ingest Template'!P567&amp;"|DAR"))),(CONCATENATE(IF(ISBLANK('Ingest Template'!N567),"", 'Ingest Template'!N567&amp;"|TV Ops"),CHAR(10), IF(ISBLANK('Ingest Template'!O567),"", 'Ingest Template'!O567&amp;"|TV Ops"),CHAR(10), IF(ISBLANK('Ingest Template'!P567),"", 'Ingest Template'!P567&amp;"|TV Ops"))))</f>
        <v>
</v>
      </c>
      <c r="AH567" s="35"/>
      <c r="AI567" s="35"/>
      <c r="AJ567" s="117" t="str">
        <f>if('Ingest Template'!A567="Standard",(IF(OR('Ingest Template'!F567 = "Program Type - Special", 'Ingest Template'!F567 = "Program Type - Live Event"),'Ingest Template'!M567&amp; "|DAR|DAR|"&amp;TEXT('Ingest Template'!C567-3, "yyyy-mm-dd")&amp;"|"&amp;TEXT('Ingest Template'!C567+3, "yyyy-mm-dd"),'Ingest Template'!M567&amp; "|DAR|DAR|2021-01-01")),(IF(OR('Ingest Template'!F567 = "Program Type - Special", 'Ingest Template'!F567 = "Program Type - Live Event"),'Ingest Template'!M567&amp; "|Operations - Core Title|Operations - Core Title|"&amp;TEXT('Ingest Template'!C567-3, "yyyy-mm-dd")&amp;"|"&amp;TEXT('Ingest Template'!C567+3, "yyyy-mm-dd"),'Ingest Template'!M567&amp; "|Operations - Core Title|Operations - Core Title")))</f>
        <v>|Operations - Core Title|Operations - Core Title</v>
      </c>
      <c r="AK567" s="35"/>
      <c r="AL567" s="117" t="str">
        <f>if('Ingest Template'!A567="Standard",(IF(OR('Ingest Template'!F567 = "Program Type - Special", 'Ingest Template'!F567 = "Program Type - Live Event"),'Ingest Template'!Q567&amp;"|"&amp;TEXT('Ingest Template'!C567-3, "yyyy-mm-dd")&amp;"|"&amp;TEXT('Ingest Template'!C567+3, "yyyy-mm-dd"),'Ingest Template'!Q567&amp; "|2021-01-01")),(IF(OR('Ingest Template'!F567 = "Program Type - Special", 'Ingest Template'!F567 = "Program Type - Live Event"),'Ingest Template'!Q567&amp; "|"&amp;TEXT('Ingest Template'!C567-3, "yyyy-mm-dd")&amp;"|"&amp;TEXT('Ingest Template'!C567+3, "yyyy-mm-dd"),'Ingest Template'!Q567)))</f>
        <v/>
      </c>
      <c r="AM567" s="35" t="str">
        <f>'Ingest Template'!AC567</f>
        <v/>
      </c>
    </row>
    <row r="568">
      <c r="A568" s="15"/>
      <c r="B568" s="22" t="str">
        <f>'Ingest Template'!C568&amp;IF('Ingest Template'!A568 = "Standard", " - DAR","")</f>
        <v/>
      </c>
      <c r="C568" s="22" t="s">
        <v>83</v>
      </c>
      <c r="D568" s="22" t="str">
        <f t="array" ref="D568">CONCATENATE(INDEX(DropdownLists!$H$2:$H$11,MATCH(1,COUNTIF('Ingest Template'!E568,"*"&amp;DropdownLists!$I$2:$I$11&amp;"*"),0)),CHAR(10),'Ingest Template'!F568,CHAR(10),'Ingest Template'!G568,CHAR(10),VLOOKUP('Ingest Template'!D568,DropdownLists!C:D,2,FALSE))</f>
        <v>#N/A</v>
      </c>
      <c r="E568" s="22" t="str">
        <f>CONCATENATE('Ingest Template'!H568,CHAR(10),'Ingest Template'!I568,CHAR(10),'Ingest Template'!J568,CHAR(10))</f>
        <v>
</v>
      </c>
      <c r="F568" s="35" t="str">
        <f t="array" ref="F568">INDEX(DropdownLists!$O$2:$O$36,MATCH(1,COUNTIF(E568,"*"&amp;DropdownLists!$N$2:$N$36&amp;"*"),0))</f>
        <v/>
      </c>
      <c r="G568" s="35"/>
      <c r="H568" s="22" t="str">
        <f t="array" ref="H568">INDEX(DropdownLists!$E$2:$E$276,MATCH('Ingest Template'!D568,DropdownLists!$C$2:$C$276,0))</f>
        <v>#N/A</v>
      </c>
      <c r="I568" s="22"/>
      <c r="J568" s="22" t="str">
        <f t="array" ref="J568">iF('Ingest Template'!A568="Standard","Pristine Brand",INDEX(DropdownLists!$B$2:$B$246,MATCH('Ingest Template'!D568,DropdownLists!$C$2:$C$246,0)))</f>
        <v>#N/A</v>
      </c>
      <c r="K568" s="22" t="str">
        <f>iF('Ingest Template'!A568="Standard",'Ingest Template'!K568&amp;CHAR(10)&amp;'Ingest Template'!L568,"Competitive View")</f>
        <v>Competitive View</v>
      </c>
      <c r="L568" s="22" t="s">
        <v>95</v>
      </c>
      <c r="M568" s="45" t="str">
        <f>'Ingest Template'!B568</f>
        <v/>
      </c>
      <c r="N568" s="35"/>
      <c r="O568" s="35"/>
      <c r="P568" s="35"/>
      <c r="Q568" s="35"/>
      <c r="R568" s="35" t="str">
        <f>'Ingest Template'!D568</f>
        <v/>
      </c>
      <c r="S568" s="22" t="s">
        <v>101</v>
      </c>
      <c r="T568" s="35" t="str">
        <f>'Ingest Template'!V568</f>
        <v/>
      </c>
      <c r="U568" s="35" t="str">
        <f>'Ingest Template'!W568</f>
        <v/>
      </c>
      <c r="V568" s="35" t="str">
        <f>LOWER(SUBSTITUTE(SUBSTITUTE(SUBSTITUTE(SUBSTITUTE(SUBSTITUTE('Ingest Template'!X568,"https:",""),"www.",""),"/",""),"?hl=en",""),"instagram.com",""))</f>
        <v/>
      </c>
      <c r="W568" s="74" t="str">
        <f t="array" ref="W568">IF(
'Ingest Template'!Y568="",
SUBSTITUTE(
INDEX(DropdownLists!$F$2:$F$277,MATCH('Ingest Template'!D568,DropdownLists!$C$2:$C$277,0)),
CHAR(10),
"|"&amp;'Ingest Template'!C568&amp;CHAR(10)
)&amp;"|"&amp;'Ingest Template'!C568,
SUBSTITUTE(
INDEX(DropdownLists!$F$2:$F$277,MATCH('Ingest Template'!D568,DropdownLists!$C$2:$C$277,0)),
CHAR(10),
"|"&amp;'Ingest Template'!C568&amp;CHAR(10)
)&amp;"|"&amp;'Ingest Template'!C568&amp;CHAR(10)&amp;'Ingest Template'!Y568
)</f>
        <v>#N/A</v>
      </c>
      <c r="X568" s="74" t="str">
        <f>'Ingest Template'!Z568</f>
        <v/>
      </c>
      <c r="Y568" s="35" t="str">
        <f>SUBSTITUTE(SUBSTITUTE(SUBSTITUTE('Ingest Template'!AA568,"http:",""),"https:",""),"/","")</f>
        <v/>
      </c>
      <c r="Z568" s="35" t="str">
        <f t="array" ref="Z568">IF('Ingest Template'!A568="Standard",(IF(ISBLANK('Ingest Template'!AB568),"", 'Ingest Template'!AB568&amp;"|DAR")),(IF(ISBLANK('Ingest Template'!AB568),"", 'Ingest Template'!AB568&amp;"|TV Ops")))</f>
        <v/>
      </c>
      <c r="AA568" s="35"/>
      <c r="AB568" s="35" t="str">
        <f>'Ingest Template'!R568</f>
        <v/>
      </c>
      <c r="AC568" s="35" t="str">
        <f>'Ingest Template'!T568</f>
        <v/>
      </c>
      <c r="AD568" s="35" t="str">
        <f>'Ingest Template'!S568</f>
        <v/>
      </c>
      <c r="AE568" s="35" t="str">
        <f>'Ingest Template'!U568</f>
        <v/>
      </c>
      <c r="AF568" s="22"/>
      <c r="AG568" s="35" t="str">
        <f t="array" ref="AG568">IF('Ingest Template'!A568="Standard",(CONCATENATE(IF(ISBLANK('Ingest Template'!N568),"", 'Ingest Template'!N568&amp;"|DAR"),CHAR(10), IF(ISBLANK('Ingest Template'!O568),"", 'Ingest Template'!O568&amp;"|DAR"),CHAR(10), IF(ISBLANK('Ingest Template'!P568),"", 'Ingest Template'!P568&amp;"|DAR"))),(CONCATENATE(IF(ISBLANK('Ingest Template'!N568),"", 'Ingest Template'!N568&amp;"|TV Ops"),CHAR(10), IF(ISBLANK('Ingest Template'!O568),"", 'Ingest Template'!O568&amp;"|TV Ops"),CHAR(10), IF(ISBLANK('Ingest Template'!P568),"", 'Ingest Template'!P568&amp;"|TV Ops"))))</f>
        <v>
</v>
      </c>
      <c r="AH568" s="35"/>
      <c r="AI568" s="35"/>
      <c r="AJ568" s="117" t="str">
        <f>if('Ingest Template'!A568="Standard",(IF(OR('Ingest Template'!F568 = "Program Type - Special", 'Ingest Template'!F568 = "Program Type - Live Event"),'Ingest Template'!M568&amp; "|DAR|DAR|"&amp;TEXT('Ingest Template'!C568-3, "yyyy-mm-dd")&amp;"|"&amp;TEXT('Ingest Template'!C568+3, "yyyy-mm-dd"),'Ingest Template'!M568&amp; "|DAR|DAR|2021-01-01")),(IF(OR('Ingest Template'!F568 = "Program Type - Special", 'Ingest Template'!F568 = "Program Type - Live Event"),'Ingest Template'!M568&amp; "|Operations - Core Title|Operations - Core Title|"&amp;TEXT('Ingest Template'!C568-3, "yyyy-mm-dd")&amp;"|"&amp;TEXT('Ingest Template'!C568+3, "yyyy-mm-dd"),'Ingest Template'!M568&amp; "|Operations - Core Title|Operations - Core Title")))</f>
        <v>|Operations - Core Title|Operations - Core Title</v>
      </c>
      <c r="AK568" s="35"/>
      <c r="AL568" s="117" t="str">
        <f>if('Ingest Template'!A568="Standard",(IF(OR('Ingest Template'!F568 = "Program Type - Special", 'Ingest Template'!F568 = "Program Type - Live Event"),'Ingest Template'!Q568&amp;"|"&amp;TEXT('Ingest Template'!C568-3, "yyyy-mm-dd")&amp;"|"&amp;TEXT('Ingest Template'!C568+3, "yyyy-mm-dd"),'Ingest Template'!Q568&amp; "|2021-01-01")),(IF(OR('Ingest Template'!F568 = "Program Type - Special", 'Ingest Template'!F568 = "Program Type - Live Event"),'Ingest Template'!Q568&amp; "|"&amp;TEXT('Ingest Template'!C568-3, "yyyy-mm-dd")&amp;"|"&amp;TEXT('Ingest Template'!C568+3, "yyyy-mm-dd"),'Ingest Template'!Q568)))</f>
        <v/>
      </c>
      <c r="AM568" s="35" t="str">
        <f>'Ingest Template'!AC568</f>
        <v/>
      </c>
    </row>
    <row r="569">
      <c r="A569" s="15"/>
      <c r="B569" s="22" t="str">
        <f>'Ingest Template'!C569&amp;IF('Ingest Template'!A569 = "Standard", " - DAR","")</f>
        <v/>
      </c>
      <c r="C569" s="22" t="s">
        <v>83</v>
      </c>
      <c r="D569" s="22" t="str">
        <f t="array" ref="D569">CONCATENATE(INDEX(DropdownLists!$H$2:$H$11,MATCH(1,COUNTIF('Ingest Template'!E569,"*"&amp;DropdownLists!$I$2:$I$11&amp;"*"),0)),CHAR(10),'Ingest Template'!F569,CHAR(10),'Ingest Template'!G569,CHAR(10),VLOOKUP('Ingest Template'!D569,DropdownLists!C:D,2,FALSE))</f>
        <v>#N/A</v>
      </c>
      <c r="E569" s="22" t="str">
        <f>CONCATENATE('Ingest Template'!H569,CHAR(10),'Ingest Template'!I569,CHAR(10),'Ingest Template'!J569,CHAR(10))</f>
        <v>
</v>
      </c>
      <c r="F569" s="35" t="str">
        <f t="array" ref="F569">INDEX(DropdownLists!$O$2:$O$36,MATCH(1,COUNTIF(E569,"*"&amp;DropdownLists!$N$2:$N$36&amp;"*"),0))</f>
        <v/>
      </c>
      <c r="G569" s="35"/>
      <c r="H569" s="22" t="str">
        <f t="array" ref="H569">INDEX(DropdownLists!$E$2:$E$276,MATCH('Ingest Template'!D569,DropdownLists!$C$2:$C$276,0))</f>
        <v>#N/A</v>
      </c>
      <c r="I569" s="22"/>
      <c r="J569" s="22" t="str">
        <f t="array" ref="J569">iF('Ingest Template'!A569="Standard","Pristine Brand",INDEX(DropdownLists!$B$2:$B$246,MATCH('Ingest Template'!D569,DropdownLists!$C$2:$C$246,0)))</f>
        <v>#N/A</v>
      </c>
      <c r="K569" s="22" t="str">
        <f>iF('Ingest Template'!A569="Standard",'Ingest Template'!K569&amp;CHAR(10)&amp;'Ingest Template'!L569,"Competitive View")</f>
        <v>Competitive View</v>
      </c>
      <c r="L569" s="22" t="s">
        <v>95</v>
      </c>
      <c r="M569" s="45" t="str">
        <f>'Ingest Template'!B569</f>
        <v/>
      </c>
      <c r="N569" s="35"/>
      <c r="O569" s="35"/>
      <c r="P569" s="35"/>
      <c r="Q569" s="35"/>
      <c r="R569" s="35" t="str">
        <f>'Ingest Template'!D569</f>
        <v/>
      </c>
      <c r="S569" s="22" t="s">
        <v>101</v>
      </c>
      <c r="T569" s="35" t="str">
        <f>'Ingest Template'!V569</f>
        <v/>
      </c>
      <c r="U569" s="35" t="str">
        <f>'Ingest Template'!W569</f>
        <v/>
      </c>
      <c r="V569" s="35" t="str">
        <f>LOWER(SUBSTITUTE(SUBSTITUTE(SUBSTITUTE(SUBSTITUTE(SUBSTITUTE('Ingest Template'!X569,"https:",""),"www.",""),"/",""),"?hl=en",""),"instagram.com",""))</f>
        <v/>
      </c>
      <c r="W569" s="74" t="str">
        <f t="array" ref="W569">IF(
'Ingest Template'!Y569="",
SUBSTITUTE(
INDEX(DropdownLists!$F$2:$F$277,MATCH('Ingest Template'!D569,DropdownLists!$C$2:$C$277,0)),
CHAR(10),
"|"&amp;'Ingest Template'!C569&amp;CHAR(10)
)&amp;"|"&amp;'Ingest Template'!C569,
SUBSTITUTE(
INDEX(DropdownLists!$F$2:$F$277,MATCH('Ingest Template'!D569,DropdownLists!$C$2:$C$277,0)),
CHAR(10),
"|"&amp;'Ingest Template'!C569&amp;CHAR(10)
)&amp;"|"&amp;'Ingest Template'!C569&amp;CHAR(10)&amp;'Ingest Template'!Y569
)</f>
        <v>#N/A</v>
      </c>
      <c r="X569" s="74" t="str">
        <f>'Ingest Template'!Z569</f>
        <v/>
      </c>
      <c r="Y569" s="35" t="str">
        <f>SUBSTITUTE(SUBSTITUTE(SUBSTITUTE('Ingest Template'!AA569,"http:",""),"https:",""),"/","")</f>
        <v/>
      </c>
      <c r="Z569" s="35" t="str">
        <f t="array" ref="Z569">IF('Ingest Template'!A569="Standard",(IF(ISBLANK('Ingest Template'!AB569),"", 'Ingest Template'!AB569&amp;"|DAR")),(IF(ISBLANK('Ingest Template'!AB569),"", 'Ingest Template'!AB569&amp;"|TV Ops")))</f>
        <v/>
      </c>
      <c r="AA569" s="35"/>
      <c r="AB569" s="35" t="str">
        <f>'Ingest Template'!R569</f>
        <v/>
      </c>
      <c r="AC569" s="35" t="str">
        <f>'Ingest Template'!T569</f>
        <v/>
      </c>
      <c r="AD569" s="35" t="str">
        <f>'Ingest Template'!S569</f>
        <v/>
      </c>
      <c r="AE569" s="35" t="str">
        <f>'Ingest Template'!U569</f>
        <v/>
      </c>
      <c r="AF569" s="22"/>
      <c r="AG569" s="35" t="str">
        <f t="array" ref="AG569">IF('Ingest Template'!A569="Standard",(CONCATENATE(IF(ISBLANK('Ingest Template'!N569),"", 'Ingest Template'!N569&amp;"|DAR"),CHAR(10), IF(ISBLANK('Ingest Template'!O569),"", 'Ingest Template'!O569&amp;"|DAR"),CHAR(10), IF(ISBLANK('Ingest Template'!P569),"", 'Ingest Template'!P569&amp;"|DAR"))),(CONCATENATE(IF(ISBLANK('Ingest Template'!N569),"", 'Ingest Template'!N569&amp;"|TV Ops"),CHAR(10), IF(ISBLANK('Ingest Template'!O569),"", 'Ingest Template'!O569&amp;"|TV Ops"),CHAR(10), IF(ISBLANK('Ingest Template'!P569),"", 'Ingest Template'!P569&amp;"|TV Ops"))))</f>
        <v>
</v>
      </c>
      <c r="AH569" s="35"/>
      <c r="AI569" s="35"/>
      <c r="AJ569" s="117" t="str">
        <f>if('Ingest Template'!A569="Standard",(IF(OR('Ingest Template'!F569 = "Program Type - Special", 'Ingest Template'!F569 = "Program Type - Live Event"),'Ingest Template'!M569&amp; "|DAR|DAR|"&amp;TEXT('Ingest Template'!C569-3, "yyyy-mm-dd")&amp;"|"&amp;TEXT('Ingest Template'!C569+3, "yyyy-mm-dd"),'Ingest Template'!M569&amp; "|DAR|DAR|2021-01-01")),(IF(OR('Ingest Template'!F569 = "Program Type - Special", 'Ingest Template'!F569 = "Program Type - Live Event"),'Ingest Template'!M569&amp; "|Operations - Core Title|Operations - Core Title|"&amp;TEXT('Ingest Template'!C569-3, "yyyy-mm-dd")&amp;"|"&amp;TEXT('Ingest Template'!C569+3, "yyyy-mm-dd"),'Ingest Template'!M569&amp; "|Operations - Core Title|Operations - Core Title")))</f>
        <v>|Operations - Core Title|Operations - Core Title</v>
      </c>
      <c r="AK569" s="35"/>
      <c r="AL569" s="117" t="str">
        <f>if('Ingest Template'!A569="Standard",(IF(OR('Ingest Template'!F569 = "Program Type - Special", 'Ingest Template'!F569 = "Program Type - Live Event"),'Ingest Template'!Q569&amp;"|"&amp;TEXT('Ingest Template'!C569-3, "yyyy-mm-dd")&amp;"|"&amp;TEXT('Ingest Template'!C569+3, "yyyy-mm-dd"),'Ingest Template'!Q569&amp; "|2021-01-01")),(IF(OR('Ingest Template'!F569 = "Program Type - Special", 'Ingest Template'!F569 = "Program Type - Live Event"),'Ingest Template'!Q569&amp; "|"&amp;TEXT('Ingest Template'!C569-3, "yyyy-mm-dd")&amp;"|"&amp;TEXT('Ingest Template'!C569+3, "yyyy-mm-dd"),'Ingest Template'!Q569)))</f>
        <v/>
      </c>
      <c r="AM569" s="35" t="str">
        <f>'Ingest Template'!AC569</f>
        <v/>
      </c>
    </row>
    <row r="570">
      <c r="A570" s="15"/>
      <c r="B570" s="22" t="str">
        <f>'Ingest Template'!C570&amp;IF('Ingest Template'!A570 = "Standard", " - DAR","")</f>
        <v/>
      </c>
      <c r="C570" s="22" t="s">
        <v>83</v>
      </c>
      <c r="D570" s="22" t="str">
        <f t="array" ref="D570">CONCATENATE(INDEX(DropdownLists!$H$2:$H$11,MATCH(1,COUNTIF('Ingest Template'!E570,"*"&amp;DropdownLists!$I$2:$I$11&amp;"*"),0)),CHAR(10),'Ingest Template'!F570,CHAR(10),'Ingest Template'!G570,CHAR(10),VLOOKUP('Ingest Template'!D570,DropdownLists!C:D,2,FALSE))</f>
        <v>#N/A</v>
      </c>
      <c r="E570" s="22" t="str">
        <f>CONCATENATE('Ingest Template'!H570,CHAR(10),'Ingest Template'!I570,CHAR(10),'Ingest Template'!J570,CHAR(10))</f>
        <v>
</v>
      </c>
      <c r="F570" s="35" t="str">
        <f t="array" ref="F570">INDEX(DropdownLists!$O$2:$O$36,MATCH(1,COUNTIF(E570,"*"&amp;DropdownLists!$N$2:$N$36&amp;"*"),0))</f>
        <v/>
      </c>
      <c r="G570" s="35"/>
      <c r="H570" s="22" t="str">
        <f t="array" ref="H570">INDEX(DropdownLists!$E$2:$E$276,MATCH('Ingest Template'!D570,DropdownLists!$C$2:$C$276,0))</f>
        <v>#N/A</v>
      </c>
      <c r="I570" s="22"/>
      <c r="J570" s="22" t="str">
        <f t="array" ref="J570">iF('Ingest Template'!A570="Standard","Pristine Brand",INDEX(DropdownLists!$B$2:$B$246,MATCH('Ingest Template'!D570,DropdownLists!$C$2:$C$246,0)))</f>
        <v>#N/A</v>
      </c>
      <c r="K570" s="22" t="str">
        <f>iF('Ingest Template'!A570="Standard",'Ingest Template'!K570&amp;CHAR(10)&amp;'Ingest Template'!L570,"Competitive View")</f>
        <v>Competitive View</v>
      </c>
      <c r="L570" s="22" t="s">
        <v>95</v>
      </c>
      <c r="M570" s="45" t="str">
        <f>'Ingest Template'!B570</f>
        <v/>
      </c>
      <c r="N570" s="35"/>
      <c r="O570" s="35"/>
      <c r="P570" s="35"/>
      <c r="Q570" s="35"/>
      <c r="R570" s="35" t="str">
        <f>'Ingest Template'!D570</f>
        <v/>
      </c>
      <c r="S570" s="22" t="s">
        <v>101</v>
      </c>
      <c r="T570" s="35" t="str">
        <f>'Ingest Template'!V570</f>
        <v/>
      </c>
      <c r="U570" s="35" t="str">
        <f>'Ingest Template'!W570</f>
        <v/>
      </c>
      <c r="V570" s="35" t="str">
        <f>LOWER(SUBSTITUTE(SUBSTITUTE(SUBSTITUTE(SUBSTITUTE(SUBSTITUTE('Ingest Template'!X570,"https:",""),"www.",""),"/",""),"?hl=en",""),"instagram.com",""))</f>
        <v/>
      </c>
      <c r="W570" s="74" t="str">
        <f t="array" ref="W570">IF(
'Ingest Template'!Y570="",
SUBSTITUTE(
INDEX(DropdownLists!$F$2:$F$277,MATCH('Ingest Template'!D570,DropdownLists!$C$2:$C$277,0)),
CHAR(10),
"|"&amp;'Ingest Template'!C570&amp;CHAR(10)
)&amp;"|"&amp;'Ingest Template'!C570,
SUBSTITUTE(
INDEX(DropdownLists!$F$2:$F$277,MATCH('Ingest Template'!D570,DropdownLists!$C$2:$C$277,0)),
CHAR(10),
"|"&amp;'Ingest Template'!C570&amp;CHAR(10)
)&amp;"|"&amp;'Ingest Template'!C570&amp;CHAR(10)&amp;'Ingest Template'!Y570
)</f>
        <v>#N/A</v>
      </c>
      <c r="X570" s="74" t="str">
        <f>'Ingest Template'!Z570</f>
        <v/>
      </c>
      <c r="Y570" s="35" t="str">
        <f>SUBSTITUTE(SUBSTITUTE(SUBSTITUTE('Ingest Template'!AA570,"http:",""),"https:",""),"/","")</f>
        <v/>
      </c>
      <c r="Z570" s="35" t="str">
        <f t="array" ref="Z570">IF('Ingest Template'!A570="Standard",(IF(ISBLANK('Ingest Template'!AB570),"", 'Ingest Template'!AB570&amp;"|DAR")),(IF(ISBLANK('Ingest Template'!AB570),"", 'Ingest Template'!AB570&amp;"|TV Ops")))</f>
        <v/>
      </c>
      <c r="AA570" s="35"/>
      <c r="AB570" s="35" t="str">
        <f>'Ingest Template'!R570</f>
        <v/>
      </c>
      <c r="AC570" s="35" t="str">
        <f>'Ingest Template'!T570</f>
        <v/>
      </c>
      <c r="AD570" s="35" t="str">
        <f>'Ingest Template'!S570</f>
        <v/>
      </c>
      <c r="AE570" s="35" t="str">
        <f>'Ingest Template'!U570</f>
        <v/>
      </c>
      <c r="AF570" s="22"/>
      <c r="AG570" s="35" t="str">
        <f t="array" ref="AG570">IF('Ingest Template'!A570="Standard",(CONCATENATE(IF(ISBLANK('Ingest Template'!N570),"", 'Ingest Template'!N570&amp;"|DAR"),CHAR(10), IF(ISBLANK('Ingest Template'!O570),"", 'Ingest Template'!O570&amp;"|DAR"),CHAR(10), IF(ISBLANK('Ingest Template'!P570),"", 'Ingest Template'!P570&amp;"|DAR"))),(CONCATENATE(IF(ISBLANK('Ingest Template'!N570),"", 'Ingest Template'!N570&amp;"|TV Ops"),CHAR(10), IF(ISBLANK('Ingest Template'!O570),"", 'Ingest Template'!O570&amp;"|TV Ops"),CHAR(10), IF(ISBLANK('Ingest Template'!P570),"", 'Ingest Template'!P570&amp;"|TV Ops"))))</f>
        <v>
</v>
      </c>
      <c r="AH570" s="35"/>
      <c r="AI570" s="35"/>
      <c r="AJ570" s="117" t="str">
        <f>if('Ingest Template'!A570="Standard",(IF(OR('Ingest Template'!F570 = "Program Type - Special", 'Ingest Template'!F570 = "Program Type - Live Event"),'Ingest Template'!M570&amp; "|DAR|DAR|"&amp;TEXT('Ingest Template'!C570-3, "yyyy-mm-dd")&amp;"|"&amp;TEXT('Ingest Template'!C570+3, "yyyy-mm-dd"),'Ingest Template'!M570&amp; "|DAR|DAR|2021-01-01")),(IF(OR('Ingest Template'!F570 = "Program Type - Special", 'Ingest Template'!F570 = "Program Type - Live Event"),'Ingest Template'!M570&amp; "|Operations - Core Title|Operations - Core Title|"&amp;TEXT('Ingest Template'!C570-3, "yyyy-mm-dd")&amp;"|"&amp;TEXT('Ingest Template'!C570+3, "yyyy-mm-dd"),'Ingest Template'!M570&amp; "|Operations - Core Title|Operations - Core Title")))</f>
        <v>|Operations - Core Title|Operations - Core Title</v>
      </c>
      <c r="AK570" s="35"/>
      <c r="AL570" s="117" t="str">
        <f>if('Ingest Template'!A570="Standard",(IF(OR('Ingest Template'!F570 = "Program Type - Special", 'Ingest Template'!F570 = "Program Type - Live Event"),'Ingest Template'!Q570&amp;"|"&amp;TEXT('Ingest Template'!C570-3, "yyyy-mm-dd")&amp;"|"&amp;TEXT('Ingest Template'!C570+3, "yyyy-mm-dd"),'Ingest Template'!Q570&amp; "|2021-01-01")),(IF(OR('Ingest Template'!F570 = "Program Type - Special", 'Ingest Template'!F570 = "Program Type - Live Event"),'Ingest Template'!Q570&amp; "|"&amp;TEXT('Ingest Template'!C570-3, "yyyy-mm-dd")&amp;"|"&amp;TEXT('Ingest Template'!C570+3, "yyyy-mm-dd"),'Ingest Template'!Q570)))</f>
        <v/>
      </c>
      <c r="AM570" s="35" t="str">
        <f>'Ingest Template'!AC570</f>
        <v/>
      </c>
    </row>
    <row r="571">
      <c r="A571" s="15"/>
      <c r="B571" s="22" t="str">
        <f>'Ingest Template'!C571&amp;IF('Ingest Template'!A571 = "Standard", " - DAR","")</f>
        <v/>
      </c>
      <c r="C571" s="22" t="s">
        <v>83</v>
      </c>
      <c r="D571" s="22" t="str">
        <f t="array" ref="D571">CONCATENATE(INDEX(DropdownLists!$H$2:$H$11,MATCH(1,COUNTIF('Ingest Template'!E571,"*"&amp;DropdownLists!$I$2:$I$11&amp;"*"),0)),CHAR(10),'Ingest Template'!F571,CHAR(10),'Ingest Template'!G571,CHAR(10),VLOOKUP('Ingest Template'!D571,DropdownLists!C:D,2,FALSE))</f>
        <v>#N/A</v>
      </c>
      <c r="E571" s="22" t="str">
        <f>CONCATENATE('Ingest Template'!H571,CHAR(10),'Ingest Template'!I571,CHAR(10),'Ingest Template'!J571,CHAR(10))</f>
        <v>
</v>
      </c>
      <c r="F571" s="35" t="str">
        <f t="array" ref="F571">INDEX(DropdownLists!$O$2:$O$36,MATCH(1,COUNTIF(E571,"*"&amp;DropdownLists!$N$2:$N$36&amp;"*"),0))</f>
        <v/>
      </c>
      <c r="G571" s="35"/>
      <c r="H571" s="22" t="str">
        <f t="array" ref="H571">INDEX(DropdownLists!$E$2:$E$276,MATCH('Ingest Template'!D571,DropdownLists!$C$2:$C$276,0))</f>
        <v>#N/A</v>
      </c>
      <c r="I571" s="22"/>
      <c r="J571" s="22" t="str">
        <f t="array" ref="J571">iF('Ingest Template'!A571="Standard","Pristine Brand",INDEX(DropdownLists!$B$2:$B$246,MATCH('Ingest Template'!D571,DropdownLists!$C$2:$C$246,0)))</f>
        <v>#N/A</v>
      </c>
      <c r="K571" s="22" t="str">
        <f>iF('Ingest Template'!A571="Standard",'Ingest Template'!K571&amp;CHAR(10)&amp;'Ingest Template'!L571,"Competitive View")</f>
        <v>Competitive View</v>
      </c>
      <c r="L571" s="22" t="s">
        <v>95</v>
      </c>
      <c r="M571" s="45" t="str">
        <f>'Ingest Template'!B571</f>
        <v/>
      </c>
      <c r="N571" s="35"/>
      <c r="O571" s="35"/>
      <c r="P571" s="35"/>
      <c r="Q571" s="35"/>
      <c r="R571" s="35" t="str">
        <f>'Ingest Template'!D571</f>
        <v/>
      </c>
      <c r="S571" s="22" t="s">
        <v>101</v>
      </c>
      <c r="T571" s="35" t="str">
        <f>'Ingest Template'!V571</f>
        <v/>
      </c>
      <c r="U571" s="35" t="str">
        <f>'Ingest Template'!W571</f>
        <v/>
      </c>
      <c r="V571" s="35" t="str">
        <f>LOWER(SUBSTITUTE(SUBSTITUTE(SUBSTITUTE(SUBSTITUTE(SUBSTITUTE('Ingest Template'!X571,"https:",""),"www.",""),"/",""),"?hl=en",""),"instagram.com",""))</f>
        <v/>
      </c>
      <c r="W571" s="74" t="str">
        <f t="array" ref="W571">IF(
'Ingest Template'!Y571="",
SUBSTITUTE(
INDEX(DropdownLists!$F$2:$F$277,MATCH('Ingest Template'!D571,DropdownLists!$C$2:$C$277,0)),
CHAR(10),
"|"&amp;'Ingest Template'!C571&amp;CHAR(10)
)&amp;"|"&amp;'Ingest Template'!C571,
SUBSTITUTE(
INDEX(DropdownLists!$F$2:$F$277,MATCH('Ingest Template'!D571,DropdownLists!$C$2:$C$277,0)),
CHAR(10),
"|"&amp;'Ingest Template'!C571&amp;CHAR(10)
)&amp;"|"&amp;'Ingest Template'!C571&amp;CHAR(10)&amp;'Ingest Template'!Y571
)</f>
        <v>#N/A</v>
      </c>
      <c r="X571" s="74" t="str">
        <f>'Ingest Template'!Z571</f>
        <v/>
      </c>
      <c r="Y571" s="35" t="str">
        <f>SUBSTITUTE(SUBSTITUTE(SUBSTITUTE('Ingest Template'!AA571,"http:",""),"https:",""),"/","")</f>
        <v/>
      </c>
      <c r="Z571" s="35" t="str">
        <f t="array" ref="Z571">IF('Ingest Template'!A571="Standard",(IF(ISBLANK('Ingest Template'!AB571),"", 'Ingest Template'!AB571&amp;"|DAR")),(IF(ISBLANK('Ingest Template'!AB571),"", 'Ingest Template'!AB571&amp;"|TV Ops")))</f>
        <v/>
      </c>
      <c r="AA571" s="35"/>
      <c r="AB571" s="35" t="str">
        <f>'Ingest Template'!R571</f>
        <v/>
      </c>
      <c r="AC571" s="35" t="str">
        <f>'Ingest Template'!T571</f>
        <v/>
      </c>
      <c r="AD571" s="35" t="str">
        <f>'Ingest Template'!S571</f>
        <v/>
      </c>
      <c r="AE571" s="35" t="str">
        <f>'Ingest Template'!U571</f>
        <v/>
      </c>
      <c r="AF571" s="22"/>
      <c r="AG571" s="35" t="str">
        <f t="array" ref="AG571">IF('Ingest Template'!A571="Standard",(CONCATENATE(IF(ISBLANK('Ingest Template'!N571),"", 'Ingest Template'!N571&amp;"|DAR"),CHAR(10), IF(ISBLANK('Ingest Template'!O571),"", 'Ingest Template'!O571&amp;"|DAR"),CHAR(10), IF(ISBLANK('Ingest Template'!P571),"", 'Ingest Template'!P571&amp;"|DAR"))),(CONCATENATE(IF(ISBLANK('Ingest Template'!N571),"", 'Ingest Template'!N571&amp;"|TV Ops"),CHAR(10), IF(ISBLANK('Ingest Template'!O571),"", 'Ingest Template'!O571&amp;"|TV Ops"),CHAR(10), IF(ISBLANK('Ingest Template'!P571),"", 'Ingest Template'!P571&amp;"|TV Ops"))))</f>
        <v>
</v>
      </c>
      <c r="AH571" s="35"/>
      <c r="AI571" s="35"/>
      <c r="AJ571" s="117" t="str">
        <f>if('Ingest Template'!A571="Standard",(IF(OR('Ingest Template'!F571 = "Program Type - Special", 'Ingest Template'!F571 = "Program Type - Live Event"),'Ingest Template'!M571&amp; "|DAR|DAR|"&amp;TEXT('Ingest Template'!C571-3, "yyyy-mm-dd")&amp;"|"&amp;TEXT('Ingest Template'!C571+3, "yyyy-mm-dd"),'Ingest Template'!M571&amp; "|DAR|DAR|2021-01-01")),(IF(OR('Ingest Template'!F571 = "Program Type - Special", 'Ingest Template'!F571 = "Program Type - Live Event"),'Ingest Template'!M571&amp; "|Operations - Core Title|Operations - Core Title|"&amp;TEXT('Ingest Template'!C571-3, "yyyy-mm-dd")&amp;"|"&amp;TEXT('Ingest Template'!C571+3, "yyyy-mm-dd"),'Ingest Template'!M571&amp; "|Operations - Core Title|Operations - Core Title")))</f>
        <v>|Operations - Core Title|Operations - Core Title</v>
      </c>
      <c r="AK571" s="35"/>
      <c r="AL571" s="117" t="str">
        <f>if('Ingest Template'!A571="Standard",(IF(OR('Ingest Template'!F571 = "Program Type - Special", 'Ingest Template'!F571 = "Program Type - Live Event"),'Ingest Template'!Q571&amp;"|"&amp;TEXT('Ingest Template'!C571-3, "yyyy-mm-dd")&amp;"|"&amp;TEXT('Ingest Template'!C571+3, "yyyy-mm-dd"),'Ingest Template'!Q571&amp; "|2021-01-01")),(IF(OR('Ingest Template'!F571 = "Program Type - Special", 'Ingest Template'!F571 = "Program Type - Live Event"),'Ingest Template'!Q571&amp; "|"&amp;TEXT('Ingest Template'!C571-3, "yyyy-mm-dd")&amp;"|"&amp;TEXT('Ingest Template'!C571+3, "yyyy-mm-dd"),'Ingest Template'!Q571)))</f>
        <v/>
      </c>
      <c r="AM571" s="35" t="str">
        <f>'Ingest Template'!AC571</f>
        <v/>
      </c>
    </row>
    <row r="572">
      <c r="A572" s="15"/>
      <c r="B572" s="22" t="str">
        <f>'Ingest Template'!C572&amp;IF('Ingest Template'!A572 = "Standard", " - DAR","")</f>
        <v/>
      </c>
      <c r="C572" s="22" t="s">
        <v>83</v>
      </c>
      <c r="D572" s="22" t="str">
        <f t="array" ref="D572">CONCATENATE(INDEX(DropdownLists!$H$2:$H$11,MATCH(1,COUNTIF('Ingest Template'!E572,"*"&amp;DropdownLists!$I$2:$I$11&amp;"*"),0)),CHAR(10),'Ingest Template'!F572,CHAR(10),'Ingest Template'!G572,CHAR(10),VLOOKUP('Ingest Template'!D572,DropdownLists!C:D,2,FALSE))</f>
        <v>#N/A</v>
      </c>
      <c r="E572" s="22" t="str">
        <f>CONCATENATE('Ingest Template'!H572,CHAR(10),'Ingest Template'!I572,CHAR(10),'Ingest Template'!J572,CHAR(10))</f>
        <v>
</v>
      </c>
      <c r="F572" s="35" t="str">
        <f t="array" ref="F572">INDEX(DropdownLists!$O$2:$O$36,MATCH(1,COUNTIF(E572,"*"&amp;DropdownLists!$N$2:$N$36&amp;"*"),0))</f>
        <v/>
      </c>
      <c r="G572" s="35"/>
      <c r="H572" s="22" t="str">
        <f t="array" ref="H572">INDEX(DropdownLists!$E$2:$E$276,MATCH('Ingest Template'!D572,DropdownLists!$C$2:$C$276,0))</f>
        <v>#N/A</v>
      </c>
      <c r="I572" s="22"/>
      <c r="J572" s="22" t="str">
        <f t="array" ref="J572">iF('Ingest Template'!A572="Standard","Pristine Brand",INDEX(DropdownLists!$B$2:$B$246,MATCH('Ingest Template'!D572,DropdownLists!$C$2:$C$246,0)))</f>
        <v>#N/A</v>
      </c>
      <c r="K572" s="22" t="str">
        <f>iF('Ingest Template'!A572="Standard",'Ingest Template'!K572&amp;CHAR(10)&amp;'Ingest Template'!L572,"Competitive View")</f>
        <v>Competitive View</v>
      </c>
      <c r="L572" s="22" t="s">
        <v>95</v>
      </c>
      <c r="M572" s="45" t="str">
        <f>'Ingest Template'!B572</f>
        <v/>
      </c>
      <c r="N572" s="35"/>
      <c r="O572" s="35"/>
      <c r="P572" s="35"/>
      <c r="Q572" s="35"/>
      <c r="R572" s="35" t="str">
        <f>'Ingest Template'!D572</f>
        <v/>
      </c>
      <c r="S572" s="22" t="s">
        <v>101</v>
      </c>
      <c r="T572" s="35" t="str">
        <f>'Ingest Template'!V572</f>
        <v/>
      </c>
      <c r="U572" s="35" t="str">
        <f>'Ingest Template'!W572</f>
        <v/>
      </c>
      <c r="V572" s="35" t="str">
        <f>LOWER(SUBSTITUTE(SUBSTITUTE(SUBSTITUTE(SUBSTITUTE(SUBSTITUTE('Ingest Template'!X572,"https:",""),"www.",""),"/",""),"?hl=en",""),"instagram.com",""))</f>
        <v/>
      </c>
      <c r="W572" s="74" t="str">
        <f t="array" ref="W572">IF(
'Ingest Template'!Y572="",
SUBSTITUTE(
INDEX(DropdownLists!$F$2:$F$277,MATCH('Ingest Template'!D572,DropdownLists!$C$2:$C$277,0)),
CHAR(10),
"|"&amp;'Ingest Template'!C572&amp;CHAR(10)
)&amp;"|"&amp;'Ingest Template'!C572,
SUBSTITUTE(
INDEX(DropdownLists!$F$2:$F$277,MATCH('Ingest Template'!D572,DropdownLists!$C$2:$C$277,0)),
CHAR(10),
"|"&amp;'Ingest Template'!C572&amp;CHAR(10)
)&amp;"|"&amp;'Ingest Template'!C572&amp;CHAR(10)&amp;'Ingest Template'!Y572
)</f>
        <v>#N/A</v>
      </c>
      <c r="X572" s="74" t="str">
        <f>'Ingest Template'!Z572</f>
        <v/>
      </c>
      <c r="Y572" s="35" t="str">
        <f>SUBSTITUTE(SUBSTITUTE(SUBSTITUTE('Ingest Template'!AA572,"http:",""),"https:",""),"/","")</f>
        <v/>
      </c>
      <c r="Z572" s="35" t="str">
        <f t="array" ref="Z572">IF('Ingest Template'!A572="Standard",(IF(ISBLANK('Ingest Template'!AB572),"", 'Ingest Template'!AB572&amp;"|DAR")),(IF(ISBLANK('Ingest Template'!AB572),"", 'Ingest Template'!AB572&amp;"|TV Ops")))</f>
        <v/>
      </c>
      <c r="AA572" s="35"/>
      <c r="AB572" s="35" t="str">
        <f>'Ingest Template'!R572</f>
        <v/>
      </c>
      <c r="AC572" s="35" t="str">
        <f>'Ingest Template'!T572</f>
        <v/>
      </c>
      <c r="AD572" s="35" t="str">
        <f>'Ingest Template'!S572</f>
        <v/>
      </c>
      <c r="AE572" s="35" t="str">
        <f>'Ingest Template'!U572</f>
        <v/>
      </c>
      <c r="AF572" s="22"/>
      <c r="AG572" s="35" t="str">
        <f t="array" ref="AG572">IF('Ingest Template'!A572="Standard",(CONCATENATE(IF(ISBLANK('Ingest Template'!N572),"", 'Ingest Template'!N572&amp;"|DAR"),CHAR(10), IF(ISBLANK('Ingest Template'!O572),"", 'Ingest Template'!O572&amp;"|DAR"),CHAR(10), IF(ISBLANK('Ingest Template'!P572),"", 'Ingest Template'!P572&amp;"|DAR"))),(CONCATENATE(IF(ISBLANK('Ingest Template'!N572),"", 'Ingest Template'!N572&amp;"|TV Ops"),CHAR(10), IF(ISBLANK('Ingest Template'!O572),"", 'Ingest Template'!O572&amp;"|TV Ops"),CHAR(10), IF(ISBLANK('Ingest Template'!P572),"", 'Ingest Template'!P572&amp;"|TV Ops"))))</f>
        <v>
</v>
      </c>
      <c r="AH572" s="35"/>
      <c r="AI572" s="35"/>
      <c r="AJ572" s="117" t="str">
        <f>if('Ingest Template'!A572="Standard",(IF(OR('Ingest Template'!F572 = "Program Type - Special", 'Ingest Template'!F572 = "Program Type - Live Event"),'Ingest Template'!M572&amp; "|DAR|DAR|"&amp;TEXT('Ingest Template'!C572-3, "yyyy-mm-dd")&amp;"|"&amp;TEXT('Ingest Template'!C572+3, "yyyy-mm-dd"),'Ingest Template'!M572&amp; "|DAR|DAR|2021-01-01")),(IF(OR('Ingest Template'!F572 = "Program Type - Special", 'Ingest Template'!F572 = "Program Type - Live Event"),'Ingest Template'!M572&amp; "|Operations - Core Title|Operations - Core Title|"&amp;TEXT('Ingest Template'!C572-3, "yyyy-mm-dd")&amp;"|"&amp;TEXT('Ingest Template'!C572+3, "yyyy-mm-dd"),'Ingest Template'!M572&amp; "|Operations - Core Title|Operations - Core Title")))</f>
        <v>|Operations - Core Title|Operations - Core Title</v>
      </c>
      <c r="AK572" s="35"/>
      <c r="AL572" s="117" t="str">
        <f>if('Ingest Template'!A572="Standard",(IF(OR('Ingest Template'!F572 = "Program Type - Special", 'Ingest Template'!F572 = "Program Type - Live Event"),'Ingest Template'!Q572&amp;"|"&amp;TEXT('Ingest Template'!C572-3, "yyyy-mm-dd")&amp;"|"&amp;TEXT('Ingest Template'!C572+3, "yyyy-mm-dd"),'Ingest Template'!Q572&amp; "|2021-01-01")),(IF(OR('Ingest Template'!F572 = "Program Type - Special", 'Ingest Template'!F572 = "Program Type - Live Event"),'Ingest Template'!Q572&amp; "|"&amp;TEXT('Ingest Template'!C572-3, "yyyy-mm-dd")&amp;"|"&amp;TEXT('Ingest Template'!C572+3, "yyyy-mm-dd"),'Ingest Template'!Q572)))</f>
        <v/>
      </c>
      <c r="AM572" s="35" t="str">
        <f>'Ingest Template'!AC572</f>
        <v/>
      </c>
    </row>
    <row r="573">
      <c r="A573" s="15"/>
      <c r="B573" s="22" t="str">
        <f>'Ingest Template'!C573&amp;IF('Ingest Template'!A573 = "Standard", " - DAR","")</f>
        <v/>
      </c>
      <c r="C573" s="22" t="s">
        <v>83</v>
      </c>
      <c r="D573" s="22" t="str">
        <f t="array" ref="D573">CONCATENATE(INDEX(DropdownLists!$H$2:$H$11,MATCH(1,COUNTIF('Ingest Template'!E573,"*"&amp;DropdownLists!$I$2:$I$11&amp;"*"),0)),CHAR(10),'Ingest Template'!F573,CHAR(10),'Ingest Template'!G573,CHAR(10),VLOOKUP('Ingest Template'!D573,DropdownLists!C:D,2,FALSE))</f>
        <v>#N/A</v>
      </c>
      <c r="E573" s="22" t="str">
        <f>CONCATENATE('Ingest Template'!H573,CHAR(10),'Ingest Template'!I573,CHAR(10),'Ingest Template'!J573,CHAR(10))</f>
        <v>
</v>
      </c>
      <c r="F573" s="35" t="str">
        <f t="array" ref="F573">INDEX(DropdownLists!$O$2:$O$36,MATCH(1,COUNTIF(E573,"*"&amp;DropdownLists!$N$2:$N$36&amp;"*"),0))</f>
        <v/>
      </c>
      <c r="G573" s="35"/>
      <c r="H573" s="22" t="str">
        <f t="array" ref="H573">INDEX(DropdownLists!$E$2:$E$276,MATCH('Ingest Template'!D573,DropdownLists!$C$2:$C$276,0))</f>
        <v>#N/A</v>
      </c>
      <c r="I573" s="22"/>
      <c r="J573" s="22" t="str">
        <f t="array" ref="J573">iF('Ingest Template'!A573="Standard","Pristine Brand",INDEX(DropdownLists!$B$2:$B$246,MATCH('Ingest Template'!D573,DropdownLists!$C$2:$C$246,0)))</f>
        <v>#N/A</v>
      </c>
      <c r="K573" s="22" t="str">
        <f>iF('Ingest Template'!A573="Standard",'Ingest Template'!K573&amp;CHAR(10)&amp;'Ingest Template'!L573,"Competitive View")</f>
        <v>Competitive View</v>
      </c>
      <c r="L573" s="22" t="s">
        <v>95</v>
      </c>
      <c r="M573" s="45" t="str">
        <f>'Ingest Template'!B573</f>
        <v/>
      </c>
      <c r="N573" s="35"/>
      <c r="O573" s="35"/>
      <c r="P573" s="35"/>
      <c r="Q573" s="35"/>
      <c r="R573" s="35" t="str">
        <f>'Ingest Template'!D573</f>
        <v/>
      </c>
      <c r="S573" s="22" t="s">
        <v>101</v>
      </c>
      <c r="T573" s="35" t="str">
        <f>'Ingest Template'!V573</f>
        <v/>
      </c>
      <c r="U573" s="35" t="str">
        <f>'Ingest Template'!W573</f>
        <v/>
      </c>
      <c r="V573" s="35" t="str">
        <f>LOWER(SUBSTITUTE(SUBSTITUTE(SUBSTITUTE(SUBSTITUTE(SUBSTITUTE('Ingest Template'!X573,"https:",""),"www.",""),"/",""),"?hl=en",""),"instagram.com",""))</f>
        <v/>
      </c>
      <c r="W573" s="74" t="str">
        <f t="array" ref="W573">IF(
'Ingest Template'!Y573="",
SUBSTITUTE(
INDEX(DropdownLists!$F$2:$F$277,MATCH('Ingest Template'!D573,DropdownLists!$C$2:$C$277,0)),
CHAR(10),
"|"&amp;'Ingest Template'!C573&amp;CHAR(10)
)&amp;"|"&amp;'Ingest Template'!C573,
SUBSTITUTE(
INDEX(DropdownLists!$F$2:$F$277,MATCH('Ingest Template'!D573,DropdownLists!$C$2:$C$277,0)),
CHAR(10),
"|"&amp;'Ingest Template'!C573&amp;CHAR(10)
)&amp;"|"&amp;'Ingest Template'!C573&amp;CHAR(10)&amp;'Ingest Template'!Y573
)</f>
        <v>#N/A</v>
      </c>
      <c r="X573" s="74" t="str">
        <f>'Ingest Template'!Z573</f>
        <v/>
      </c>
      <c r="Y573" s="35" t="str">
        <f>SUBSTITUTE(SUBSTITUTE(SUBSTITUTE('Ingest Template'!AA573,"http:",""),"https:",""),"/","")</f>
        <v/>
      </c>
      <c r="Z573" s="35" t="str">
        <f t="array" ref="Z573">IF('Ingest Template'!A573="Standard",(IF(ISBLANK('Ingest Template'!AB573),"", 'Ingest Template'!AB573&amp;"|DAR")),(IF(ISBLANK('Ingest Template'!AB573),"", 'Ingest Template'!AB573&amp;"|TV Ops")))</f>
        <v/>
      </c>
      <c r="AA573" s="35"/>
      <c r="AB573" s="35" t="str">
        <f>'Ingest Template'!R573</f>
        <v/>
      </c>
      <c r="AC573" s="35" t="str">
        <f>'Ingest Template'!T573</f>
        <v/>
      </c>
      <c r="AD573" s="35" t="str">
        <f>'Ingest Template'!S573</f>
        <v/>
      </c>
      <c r="AE573" s="35" t="str">
        <f>'Ingest Template'!U573</f>
        <v/>
      </c>
      <c r="AF573" s="22"/>
      <c r="AG573" s="35" t="str">
        <f t="array" ref="AG573">IF('Ingest Template'!A573="Standard",(CONCATENATE(IF(ISBLANK('Ingest Template'!N573),"", 'Ingest Template'!N573&amp;"|DAR"),CHAR(10), IF(ISBLANK('Ingest Template'!O573),"", 'Ingest Template'!O573&amp;"|DAR"),CHAR(10), IF(ISBLANK('Ingest Template'!P573),"", 'Ingest Template'!P573&amp;"|DAR"))),(CONCATENATE(IF(ISBLANK('Ingest Template'!N573),"", 'Ingest Template'!N573&amp;"|TV Ops"),CHAR(10), IF(ISBLANK('Ingest Template'!O573),"", 'Ingest Template'!O573&amp;"|TV Ops"),CHAR(10), IF(ISBLANK('Ingest Template'!P573),"", 'Ingest Template'!P573&amp;"|TV Ops"))))</f>
        <v>
</v>
      </c>
      <c r="AH573" s="35"/>
      <c r="AI573" s="35"/>
      <c r="AJ573" s="117" t="str">
        <f>if('Ingest Template'!A573="Standard",(IF(OR('Ingest Template'!F573 = "Program Type - Special", 'Ingest Template'!F573 = "Program Type - Live Event"),'Ingest Template'!M573&amp; "|DAR|DAR|"&amp;TEXT('Ingest Template'!C573-3, "yyyy-mm-dd")&amp;"|"&amp;TEXT('Ingest Template'!C573+3, "yyyy-mm-dd"),'Ingest Template'!M573&amp; "|DAR|DAR|2021-01-01")),(IF(OR('Ingest Template'!F573 = "Program Type - Special", 'Ingest Template'!F573 = "Program Type - Live Event"),'Ingest Template'!M573&amp; "|Operations - Core Title|Operations - Core Title|"&amp;TEXT('Ingest Template'!C573-3, "yyyy-mm-dd")&amp;"|"&amp;TEXT('Ingest Template'!C573+3, "yyyy-mm-dd"),'Ingest Template'!M573&amp; "|Operations - Core Title|Operations - Core Title")))</f>
        <v>|Operations - Core Title|Operations - Core Title</v>
      </c>
      <c r="AK573" s="35"/>
      <c r="AL573" s="117" t="str">
        <f>if('Ingest Template'!A573="Standard",(IF(OR('Ingest Template'!F573 = "Program Type - Special", 'Ingest Template'!F573 = "Program Type - Live Event"),'Ingest Template'!Q573&amp;"|"&amp;TEXT('Ingest Template'!C573-3, "yyyy-mm-dd")&amp;"|"&amp;TEXT('Ingest Template'!C573+3, "yyyy-mm-dd"),'Ingest Template'!Q573&amp; "|2021-01-01")),(IF(OR('Ingest Template'!F573 = "Program Type - Special", 'Ingest Template'!F573 = "Program Type - Live Event"),'Ingest Template'!Q573&amp; "|"&amp;TEXT('Ingest Template'!C573-3, "yyyy-mm-dd")&amp;"|"&amp;TEXT('Ingest Template'!C573+3, "yyyy-mm-dd"),'Ingest Template'!Q573)))</f>
        <v/>
      </c>
      <c r="AM573" s="35" t="str">
        <f>'Ingest Template'!AC573</f>
        <v/>
      </c>
    </row>
    <row r="574">
      <c r="A574" s="15"/>
      <c r="B574" s="22" t="str">
        <f>'Ingest Template'!C574&amp;IF('Ingest Template'!A574 = "Standard", " - DAR","")</f>
        <v/>
      </c>
      <c r="C574" s="22" t="s">
        <v>83</v>
      </c>
      <c r="D574" s="22" t="str">
        <f t="array" ref="D574">CONCATENATE(INDEX(DropdownLists!$H$2:$H$11,MATCH(1,COUNTIF('Ingest Template'!E574,"*"&amp;DropdownLists!$I$2:$I$11&amp;"*"),0)),CHAR(10),'Ingest Template'!F574,CHAR(10),'Ingest Template'!G574,CHAR(10),VLOOKUP('Ingest Template'!D574,DropdownLists!C:D,2,FALSE))</f>
        <v>#N/A</v>
      </c>
      <c r="E574" s="22" t="str">
        <f>CONCATENATE('Ingest Template'!H574,CHAR(10),'Ingest Template'!I574,CHAR(10),'Ingest Template'!J574,CHAR(10))</f>
        <v>
</v>
      </c>
      <c r="F574" s="35" t="str">
        <f t="array" ref="F574">INDEX(DropdownLists!$O$2:$O$36,MATCH(1,COUNTIF(E574,"*"&amp;DropdownLists!$N$2:$N$36&amp;"*"),0))</f>
        <v/>
      </c>
      <c r="G574" s="35"/>
      <c r="H574" s="22" t="str">
        <f t="array" ref="H574">INDEX(DropdownLists!$E$2:$E$276,MATCH('Ingest Template'!D574,DropdownLists!$C$2:$C$276,0))</f>
        <v>#N/A</v>
      </c>
      <c r="I574" s="22"/>
      <c r="J574" s="22" t="str">
        <f t="array" ref="J574">iF('Ingest Template'!A574="Standard","Pristine Brand",INDEX(DropdownLists!$B$2:$B$246,MATCH('Ingest Template'!D574,DropdownLists!$C$2:$C$246,0)))</f>
        <v>#N/A</v>
      </c>
      <c r="K574" s="22" t="str">
        <f>iF('Ingest Template'!A574="Standard",'Ingest Template'!K574&amp;CHAR(10)&amp;'Ingest Template'!L574,"Competitive View")</f>
        <v>Competitive View</v>
      </c>
      <c r="L574" s="22" t="s">
        <v>95</v>
      </c>
      <c r="M574" s="45" t="str">
        <f>'Ingest Template'!B574</f>
        <v/>
      </c>
      <c r="N574" s="35"/>
      <c r="O574" s="35"/>
      <c r="P574" s="35"/>
      <c r="Q574" s="35"/>
      <c r="R574" s="35" t="str">
        <f>'Ingest Template'!D574</f>
        <v/>
      </c>
      <c r="S574" s="22" t="s">
        <v>101</v>
      </c>
      <c r="T574" s="35" t="str">
        <f>'Ingest Template'!V574</f>
        <v/>
      </c>
      <c r="U574" s="35" t="str">
        <f>'Ingest Template'!W574</f>
        <v/>
      </c>
      <c r="V574" s="35" t="str">
        <f>LOWER(SUBSTITUTE(SUBSTITUTE(SUBSTITUTE(SUBSTITUTE(SUBSTITUTE('Ingest Template'!X574,"https:",""),"www.",""),"/",""),"?hl=en",""),"instagram.com",""))</f>
        <v/>
      </c>
      <c r="W574" s="74" t="str">
        <f t="array" ref="W574">IF(
'Ingest Template'!Y574="",
SUBSTITUTE(
INDEX(DropdownLists!$F$2:$F$277,MATCH('Ingest Template'!D574,DropdownLists!$C$2:$C$277,0)),
CHAR(10),
"|"&amp;'Ingest Template'!C574&amp;CHAR(10)
)&amp;"|"&amp;'Ingest Template'!C574,
SUBSTITUTE(
INDEX(DropdownLists!$F$2:$F$277,MATCH('Ingest Template'!D574,DropdownLists!$C$2:$C$277,0)),
CHAR(10),
"|"&amp;'Ingest Template'!C574&amp;CHAR(10)
)&amp;"|"&amp;'Ingest Template'!C574&amp;CHAR(10)&amp;'Ingest Template'!Y574
)</f>
        <v>#N/A</v>
      </c>
      <c r="X574" s="74" t="str">
        <f>'Ingest Template'!Z574</f>
        <v/>
      </c>
      <c r="Y574" s="35" t="str">
        <f>SUBSTITUTE(SUBSTITUTE(SUBSTITUTE('Ingest Template'!AA574,"http:",""),"https:",""),"/","")</f>
        <v/>
      </c>
      <c r="Z574" s="35" t="str">
        <f t="array" ref="Z574">IF('Ingest Template'!A574="Standard",(IF(ISBLANK('Ingest Template'!AB574),"", 'Ingest Template'!AB574&amp;"|DAR")),(IF(ISBLANK('Ingest Template'!AB574),"", 'Ingest Template'!AB574&amp;"|TV Ops")))</f>
        <v/>
      </c>
      <c r="AA574" s="35"/>
      <c r="AB574" s="35" t="str">
        <f>'Ingest Template'!R574</f>
        <v/>
      </c>
      <c r="AC574" s="35" t="str">
        <f>'Ingest Template'!T574</f>
        <v/>
      </c>
      <c r="AD574" s="35" t="str">
        <f>'Ingest Template'!S574</f>
        <v/>
      </c>
      <c r="AE574" s="35" t="str">
        <f>'Ingest Template'!U574</f>
        <v/>
      </c>
      <c r="AF574" s="22"/>
      <c r="AG574" s="35" t="str">
        <f t="array" ref="AG574">IF('Ingest Template'!A574="Standard",(CONCATENATE(IF(ISBLANK('Ingest Template'!N574),"", 'Ingest Template'!N574&amp;"|DAR"),CHAR(10), IF(ISBLANK('Ingest Template'!O574),"", 'Ingest Template'!O574&amp;"|DAR"),CHAR(10), IF(ISBLANK('Ingest Template'!P574),"", 'Ingest Template'!P574&amp;"|DAR"))),(CONCATENATE(IF(ISBLANK('Ingest Template'!N574),"", 'Ingest Template'!N574&amp;"|TV Ops"),CHAR(10), IF(ISBLANK('Ingest Template'!O574),"", 'Ingest Template'!O574&amp;"|TV Ops"),CHAR(10), IF(ISBLANK('Ingest Template'!P574),"", 'Ingest Template'!P574&amp;"|TV Ops"))))</f>
        <v>
</v>
      </c>
      <c r="AH574" s="35"/>
      <c r="AI574" s="35"/>
      <c r="AJ574" s="117" t="str">
        <f>if('Ingest Template'!A574="Standard",(IF(OR('Ingest Template'!F574 = "Program Type - Special", 'Ingest Template'!F574 = "Program Type - Live Event"),'Ingest Template'!M574&amp; "|DAR|DAR|"&amp;TEXT('Ingest Template'!C574-3, "yyyy-mm-dd")&amp;"|"&amp;TEXT('Ingest Template'!C574+3, "yyyy-mm-dd"),'Ingest Template'!M574&amp; "|DAR|DAR|2021-01-01")),(IF(OR('Ingest Template'!F574 = "Program Type - Special", 'Ingest Template'!F574 = "Program Type - Live Event"),'Ingest Template'!M574&amp; "|Operations - Core Title|Operations - Core Title|"&amp;TEXT('Ingest Template'!C574-3, "yyyy-mm-dd")&amp;"|"&amp;TEXT('Ingest Template'!C574+3, "yyyy-mm-dd"),'Ingest Template'!M574&amp; "|Operations - Core Title|Operations - Core Title")))</f>
        <v>|Operations - Core Title|Operations - Core Title</v>
      </c>
      <c r="AK574" s="35"/>
      <c r="AL574" s="117" t="str">
        <f>if('Ingest Template'!A574="Standard",(IF(OR('Ingest Template'!F574 = "Program Type - Special", 'Ingest Template'!F574 = "Program Type - Live Event"),'Ingest Template'!Q574&amp;"|"&amp;TEXT('Ingest Template'!C574-3, "yyyy-mm-dd")&amp;"|"&amp;TEXT('Ingest Template'!C574+3, "yyyy-mm-dd"),'Ingest Template'!Q574&amp; "|2021-01-01")),(IF(OR('Ingest Template'!F574 = "Program Type - Special", 'Ingest Template'!F574 = "Program Type - Live Event"),'Ingest Template'!Q574&amp; "|"&amp;TEXT('Ingest Template'!C574-3, "yyyy-mm-dd")&amp;"|"&amp;TEXT('Ingest Template'!C574+3, "yyyy-mm-dd"),'Ingest Template'!Q574)))</f>
        <v/>
      </c>
      <c r="AM574" s="35" t="str">
        <f>'Ingest Template'!AC574</f>
        <v/>
      </c>
    </row>
    <row r="575">
      <c r="A575" s="15"/>
      <c r="B575" s="22" t="str">
        <f>'Ingest Template'!C575&amp;IF('Ingest Template'!A575 = "Standard", " - DAR","")</f>
        <v/>
      </c>
      <c r="C575" s="22" t="s">
        <v>83</v>
      </c>
      <c r="D575" s="22" t="str">
        <f t="array" ref="D575">CONCATENATE(INDEX(DropdownLists!$H$2:$H$11,MATCH(1,COUNTIF('Ingest Template'!E575,"*"&amp;DropdownLists!$I$2:$I$11&amp;"*"),0)),CHAR(10),'Ingest Template'!F575,CHAR(10),'Ingest Template'!G575,CHAR(10),VLOOKUP('Ingest Template'!D575,DropdownLists!C:D,2,FALSE))</f>
        <v>#N/A</v>
      </c>
      <c r="E575" s="22" t="str">
        <f>CONCATENATE('Ingest Template'!H575,CHAR(10),'Ingest Template'!I575,CHAR(10),'Ingest Template'!J575,CHAR(10))</f>
        <v>
</v>
      </c>
      <c r="F575" s="35" t="str">
        <f t="array" ref="F575">INDEX(DropdownLists!$O$2:$O$36,MATCH(1,COUNTIF(E575,"*"&amp;DropdownLists!$N$2:$N$36&amp;"*"),0))</f>
        <v/>
      </c>
      <c r="G575" s="35"/>
      <c r="H575" s="22" t="str">
        <f t="array" ref="H575">INDEX(DropdownLists!$E$2:$E$276,MATCH('Ingest Template'!D575,DropdownLists!$C$2:$C$276,0))</f>
        <v>#N/A</v>
      </c>
      <c r="I575" s="22"/>
      <c r="J575" s="22" t="str">
        <f t="array" ref="J575">iF('Ingest Template'!A575="Standard","Pristine Brand",INDEX(DropdownLists!$B$2:$B$246,MATCH('Ingest Template'!D575,DropdownLists!$C$2:$C$246,0)))</f>
        <v>#N/A</v>
      </c>
      <c r="K575" s="22" t="str">
        <f>iF('Ingest Template'!A575="Standard",'Ingest Template'!K575&amp;CHAR(10)&amp;'Ingest Template'!L575,"Competitive View")</f>
        <v>Competitive View</v>
      </c>
      <c r="L575" s="22" t="s">
        <v>95</v>
      </c>
      <c r="M575" s="45" t="str">
        <f>'Ingest Template'!B575</f>
        <v/>
      </c>
      <c r="N575" s="35"/>
      <c r="O575" s="35"/>
      <c r="P575" s="35"/>
      <c r="Q575" s="35"/>
      <c r="R575" s="35" t="str">
        <f>'Ingest Template'!D575</f>
        <v/>
      </c>
      <c r="S575" s="22" t="s">
        <v>101</v>
      </c>
      <c r="T575" s="35" t="str">
        <f>'Ingest Template'!V575</f>
        <v/>
      </c>
      <c r="U575" s="35" t="str">
        <f>'Ingest Template'!W575</f>
        <v/>
      </c>
      <c r="V575" s="35" t="str">
        <f>LOWER(SUBSTITUTE(SUBSTITUTE(SUBSTITUTE(SUBSTITUTE(SUBSTITUTE('Ingest Template'!X575,"https:",""),"www.",""),"/",""),"?hl=en",""),"instagram.com",""))</f>
        <v/>
      </c>
      <c r="W575" s="74" t="str">
        <f t="array" ref="W575">IF(
'Ingest Template'!Y575="",
SUBSTITUTE(
INDEX(DropdownLists!$F$2:$F$277,MATCH('Ingest Template'!D575,DropdownLists!$C$2:$C$277,0)),
CHAR(10),
"|"&amp;'Ingest Template'!C575&amp;CHAR(10)
)&amp;"|"&amp;'Ingest Template'!C575,
SUBSTITUTE(
INDEX(DropdownLists!$F$2:$F$277,MATCH('Ingest Template'!D575,DropdownLists!$C$2:$C$277,0)),
CHAR(10),
"|"&amp;'Ingest Template'!C575&amp;CHAR(10)
)&amp;"|"&amp;'Ingest Template'!C575&amp;CHAR(10)&amp;'Ingest Template'!Y575
)</f>
        <v>#N/A</v>
      </c>
      <c r="X575" s="74" t="str">
        <f>'Ingest Template'!Z575</f>
        <v/>
      </c>
      <c r="Y575" s="35" t="str">
        <f>SUBSTITUTE(SUBSTITUTE(SUBSTITUTE('Ingest Template'!AA575,"http:",""),"https:",""),"/","")</f>
        <v/>
      </c>
      <c r="Z575" s="35" t="str">
        <f t="array" ref="Z575">IF('Ingest Template'!A575="Standard",(IF(ISBLANK('Ingest Template'!AB575),"", 'Ingest Template'!AB575&amp;"|DAR")),(IF(ISBLANK('Ingest Template'!AB575),"", 'Ingest Template'!AB575&amp;"|TV Ops")))</f>
        <v/>
      </c>
      <c r="AA575" s="35"/>
      <c r="AB575" s="35" t="str">
        <f>'Ingest Template'!R575</f>
        <v/>
      </c>
      <c r="AC575" s="35" t="str">
        <f>'Ingest Template'!T575</f>
        <v/>
      </c>
      <c r="AD575" s="35" t="str">
        <f>'Ingest Template'!S575</f>
        <v/>
      </c>
      <c r="AE575" s="35" t="str">
        <f>'Ingest Template'!U575</f>
        <v/>
      </c>
      <c r="AF575" s="22"/>
      <c r="AG575" s="35" t="str">
        <f t="array" ref="AG575">IF('Ingest Template'!A575="Standard",(CONCATENATE(IF(ISBLANK('Ingest Template'!N575),"", 'Ingest Template'!N575&amp;"|DAR"),CHAR(10), IF(ISBLANK('Ingest Template'!O575),"", 'Ingest Template'!O575&amp;"|DAR"),CHAR(10), IF(ISBLANK('Ingest Template'!P575),"", 'Ingest Template'!P575&amp;"|DAR"))),(CONCATENATE(IF(ISBLANK('Ingest Template'!N575),"", 'Ingest Template'!N575&amp;"|TV Ops"),CHAR(10), IF(ISBLANK('Ingest Template'!O575),"", 'Ingest Template'!O575&amp;"|TV Ops"),CHAR(10), IF(ISBLANK('Ingest Template'!P575),"", 'Ingest Template'!P575&amp;"|TV Ops"))))</f>
        <v>
</v>
      </c>
      <c r="AH575" s="35"/>
      <c r="AI575" s="35"/>
      <c r="AJ575" s="117" t="str">
        <f>if('Ingest Template'!A575="Standard",(IF(OR('Ingest Template'!F575 = "Program Type - Special", 'Ingest Template'!F575 = "Program Type - Live Event"),'Ingest Template'!M575&amp; "|DAR|DAR|"&amp;TEXT('Ingest Template'!C575-3, "yyyy-mm-dd")&amp;"|"&amp;TEXT('Ingest Template'!C575+3, "yyyy-mm-dd"),'Ingest Template'!M575&amp; "|DAR|DAR|2021-01-01")),(IF(OR('Ingest Template'!F575 = "Program Type - Special", 'Ingest Template'!F575 = "Program Type - Live Event"),'Ingest Template'!M575&amp; "|Operations - Core Title|Operations - Core Title|"&amp;TEXT('Ingest Template'!C575-3, "yyyy-mm-dd")&amp;"|"&amp;TEXT('Ingest Template'!C575+3, "yyyy-mm-dd"),'Ingest Template'!M575&amp; "|Operations - Core Title|Operations - Core Title")))</f>
        <v>|Operations - Core Title|Operations - Core Title</v>
      </c>
      <c r="AK575" s="35"/>
      <c r="AL575" s="117" t="str">
        <f>if('Ingest Template'!A575="Standard",(IF(OR('Ingest Template'!F575 = "Program Type - Special", 'Ingest Template'!F575 = "Program Type - Live Event"),'Ingest Template'!Q575&amp;"|"&amp;TEXT('Ingest Template'!C575-3, "yyyy-mm-dd")&amp;"|"&amp;TEXT('Ingest Template'!C575+3, "yyyy-mm-dd"),'Ingest Template'!Q575&amp; "|2021-01-01")),(IF(OR('Ingest Template'!F575 = "Program Type - Special", 'Ingest Template'!F575 = "Program Type - Live Event"),'Ingest Template'!Q575&amp; "|"&amp;TEXT('Ingest Template'!C575-3, "yyyy-mm-dd")&amp;"|"&amp;TEXT('Ingest Template'!C575+3, "yyyy-mm-dd"),'Ingest Template'!Q575)))</f>
        <v/>
      </c>
      <c r="AM575" s="35" t="str">
        <f>'Ingest Template'!AC575</f>
        <v/>
      </c>
    </row>
    <row r="576">
      <c r="A576" s="15"/>
      <c r="B576" s="22" t="str">
        <f>'Ingest Template'!C576&amp;IF('Ingest Template'!A576 = "Standard", " - DAR","")</f>
        <v/>
      </c>
      <c r="C576" s="22" t="s">
        <v>83</v>
      </c>
      <c r="D576" s="22" t="str">
        <f t="array" ref="D576">CONCATENATE(INDEX(DropdownLists!$H$2:$H$11,MATCH(1,COUNTIF('Ingest Template'!E576,"*"&amp;DropdownLists!$I$2:$I$11&amp;"*"),0)),CHAR(10),'Ingest Template'!F576,CHAR(10),'Ingest Template'!G576,CHAR(10),VLOOKUP('Ingest Template'!D576,DropdownLists!C:D,2,FALSE))</f>
        <v>#N/A</v>
      </c>
      <c r="E576" s="22" t="str">
        <f>CONCATENATE('Ingest Template'!H576,CHAR(10),'Ingest Template'!I576,CHAR(10),'Ingest Template'!J576,CHAR(10))</f>
        <v>
</v>
      </c>
      <c r="F576" s="35" t="str">
        <f t="array" ref="F576">INDEX(DropdownLists!$O$2:$O$36,MATCH(1,COUNTIF(E576,"*"&amp;DropdownLists!$N$2:$N$36&amp;"*"),0))</f>
        <v/>
      </c>
      <c r="G576" s="35"/>
      <c r="H576" s="22" t="str">
        <f t="array" ref="H576">INDEX(DropdownLists!$E$2:$E$276,MATCH('Ingest Template'!D576,DropdownLists!$C$2:$C$276,0))</f>
        <v>#N/A</v>
      </c>
      <c r="I576" s="22"/>
      <c r="J576" s="22" t="str">
        <f t="array" ref="J576">iF('Ingest Template'!A576="Standard","Pristine Brand",INDEX(DropdownLists!$B$2:$B$246,MATCH('Ingest Template'!D576,DropdownLists!$C$2:$C$246,0)))</f>
        <v>#N/A</v>
      </c>
      <c r="K576" s="22" t="str">
        <f>iF('Ingest Template'!A576="Standard",'Ingest Template'!K576&amp;CHAR(10)&amp;'Ingest Template'!L576,"Competitive View")</f>
        <v>Competitive View</v>
      </c>
      <c r="L576" s="22" t="s">
        <v>95</v>
      </c>
      <c r="M576" s="45" t="str">
        <f>'Ingest Template'!B576</f>
        <v/>
      </c>
      <c r="N576" s="35"/>
      <c r="O576" s="35"/>
      <c r="P576" s="35"/>
      <c r="Q576" s="35"/>
      <c r="R576" s="35" t="str">
        <f>'Ingest Template'!D576</f>
        <v/>
      </c>
      <c r="S576" s="22" t="s">
        <v>101</v>
      </c>
      <c r="T576" s="35" t="str">
        <f>'Ingest Template'!V576</f>
        <v/>
      </c>
      <c r="U576" s="35" t="str">
        <f>'Ingest Template'!W576</f>
        <v/>
      </c>
      <c r="V576" s="35" t="str">
        <f>LOWER(SUBSTITUTE(SUBSTITUTE(SUBSTITUTE(SUBSTITUTE(SUBSTITUTE('Ingest Template'!X576,"https:",""),"www.",""),"/",""),"?hl=en",""),"instagram.com",""))</f>
        <v/>
      </c>
      <c r="W576" s="74" t="str">
        <f t="array" ref="W576">IF(
'Ingest Template'!Y576="",
SUBSTITUTE(
INDEX(DropdownLists!$F$2:$F$277,MATCH('Ingest Template'!D576,DropdownLists!$C$2:$C$277,0)),
CHAR(10),
"|"&amp;'Ingest Template'!C576&amp;CHAR(10)
)&amp;"|"&amp;'Ingest Template'!C576,
SUBSTITUTE(
INDEX(DropdownLists!$F$2:$F$277,MATCH('Ingest Template'!D576,DropdownLists!$C$2:$C$277,0)),
CHAR(10),
"|"&amp;'Ingest Template'!C576&amp;CHAR(10)
)&amp;"|"&amp;'Ingest Template'!C576&amp;CHAR(10)&amp;'Ingest Template'!Y576
)</f>
        <v>#N/A</v>
      </c>
      <c r="X576" s="74" t="str">
        <f>'Ingest Template'!Z576</f>
        <v/>
      </c>
      <c r="Y576" s="35" t="str">
        <f>SUBSTITUTE(SUBSTITUTE(SUBSTITUTE('Ingest Template'!AA576,"http:",""),"https:",""),"/","")</f>
        <v/>
      </c>
      <c r="Z576" s="35" t="str">
        <f t="array" ref="Z576">IF('Ingest Template'!A576="Standard",(IF(ISBLANK('Ingest Template'!AB576),"", 'Ingest Template'!AB576&amp;"|DAR")),(IF(ISBLANK('Ingest Template'!AB576),"", 'Ingest Template'!AB576&amp;"|TV Ops")))</f>
        <v/>
      </c>
      <c r="AA576" s="35"/>
      <c r="AB576" s="35" t="str">
        <f>'Ingest Template'!R576</f>
        <v/>
      </c>
      <c r="AC576" s="35" t="str">
        <f>'Ingest Template'!T576</f>
        <v/>
      </c>
      <c r="AD576" s="35" t="str">
        <f>'Ingest Template'!S576</f>
        <v/>
      </c>
      <c r="AE576" s="35" t="str">
        <f>'Ingest Template'!U576</f>
        <v/>
      </c>
      <c r="AF576" s="22"/>
      <c r="AG576" s="35" t="str">
        <f t="array" ref="AG576">IF('Ingest Template'!A576="Standard",(CONCATENATE(IF(ISBLANK('Ingest Template'!N576),"", 'Ingest Template'!N576&amp;"|DAR"),CHAR(10), IF(ISBLANK('Ingest Template'!O576),"", 'Ingest Template'!O576&amp;"|DAR"),CHAR(10), IF(ISBLANK('Ingest Template'!P576),"", 'Ingest Template'!P576&amp;"|DAR"))),(CONCATENATE(IF(ISBLANK('Ingest Template'!N576),"", 'Ingest Template'!N576&amp;"|TV Ops"),CHAR(10), IF(ISBLANK('Ingest Template'!O576),"", 'Ingest Template'!O576&amp;"|TV Ops"),CHAR(10), IF(ISBLANK('Ingest Template'!P576),"", 'Ingest Template'!P576&amp;"|TV Ops"))))</f>
        <v>
</v>
      </c>
      <c r="AH576" s="35"/>
      <c r="AI576" s="35"/>
      <c r="AJ576" s="117" t="str">
        <f>if('Ingest Template'!A576="Standard",(IF(OR('Ingest Template'!F576 = "Program Type - Special", 'Ingest Template'!F576 = "Program Type - Live Event"),'Ingest Template'!M576&amp; "|DAR|DAR|"&amp;TEXT('Ingest Template'!C576-3, "yyyy-mm-dd")&amp;"|"&amp;TEXT('Ingest Template'!C576+3, "yyyy-mm-dd"),'Ingest Template'!M576&amp; "|DAR|DAR|2021-01-01")),(IF(OR('Ingest Template'!F576 = "Program Type - Special", 'Ingest Template'!F576 = "Program Type - Live Event"),'Ingest Template'!M576&amp; "|Operations - Core Title|Operations - Core Title|"&amp;TEXT('Ingest Template'!C576-3, "yyyy-mm-dd")&amp;"|"&amp;TEXT('Ingest Template'!C576+3, "yyyy-mm-dd"),'Ingest Template'!M576&amp; "|Operations - Core Title|Operations - Core Title")))</f>
        <v>|Operations - Core Title|Operations - Core Title</v>
      </c>
      <c r="AK576" s="35"/>
      <c r="AL576" s="117" t="str">
        <f>if('Ingest Template'!A576="Standard",(IF(OR('Ingest Template'!F576 = "Program Type - Special", 'Ingest Template'!F576 = "Program Type - Live Event"),'Ingest Template'!Q576&amp;"|"&amp;TEXT('Ingest Template'!C576-3, "yyyy-mm-dd")&amp;"|"&amp;TEXT('Ingest Template'!C576+3, "yyyy-mm-dd"),'Ingest Template'!Q576&amp; "|2021-01-01")),(IF(OR('Ingest Template'!F576 = "Program Type - Special", 'Ingest Template'!F576 = "Program Type - Live Event"),'Ingest Template'!Q576&amp; "|"&amp;TEXT('Ingest Template'!C576-3, "yyyy-mm-dd")&amp;"|"&amp;TEXT('Ingest Template'!C576+3, "yyyy-mm-dd"),'Ingest Template'!Q576)))</f>
        <v/>
      </c>
      <c r="AM576" s="35" t="str">
        <f>'Ingest Template'!AC576</f>
        <v/>
      </c>
    </row>
    <row r="577">
      <c r="A577" s="15"/>
      <c r="B577" s="22" t="str">
        <f>'Ingest Template'!C577&amp;IF('Ingest Template'!A577 = "Standard", " - DAR","")</f>
        <v/>
      </c>
      <c r="C577" s="22" t="s">
        <v>83</v>
      </c>
      <c r="D577" s="22" t="str">
        <f t="array" ref="D577">CONCATENATE(INDEX(DropdownLists!$H$2:$H$11,MATCH(1,COUNTIF('Ingest Template'!E577,"*"&amp;DropdownLists!$I$2:$I$11&amp;"*"),0)),CHAR(10),'Ingest Template'!F577,CHAR(10),'Ingest Template'!G577,CHAR(10),VLOOKUP('Ingest Template'!D577,DropdownLists!C:D,2,FALSE))</f>
        <v>#N/A</v>
      </c>
      <c r="E577" s="22" t="str">
        <f>CONCATENATE('Ingest Template'!H577,CHAR(10),'Ingest Template'!I577,CHAR(10),'Ingest Template'!J577,CHAR(10))</f>
        <v>
</v>
      </c>
      <c r="F577" s="35" t="str">
        <f t="array" ref="F577">INDEX(DropdownLists!$O$2:$O$36,MATCH(1,COUNTIF(E577,"*"&amp;DropdownLists!$N$2:$N$36&amp;"*"),0))</f>
        <v/>
      </c>
      <c r="G577" s="35"/>
      <c r="H577" s="22" t="str">
        <f t="array" ref="H577">INDEX(DropdownLists!$E$2:$E$276,MATCH('Ingest Template'!D577,DropdownLists!$C$2:$C$276,0))</f>
        <v>#N/A</v>
      </c>
      <c r="I577" s="22"/>
      <c r="J577" s="22" t="str">
        <f t="array" ref="J577">iF('Ingest Template'!A577="Standard","Pristine Brand",INDEX(DropdownLists!$B$2:$B$246,MATCH('Ingest Template'!D577,DropdownLists!$C$2:$C$246,0)))</f>
        <v>#N/A</v>
      </c>
      <c r="K577" s="22" t="str">
        <f>iF('Ingest Template'!A577="Standard",'Ingest Template'!K577&amp;CHAR(10)&amp;'Ingest Template'!L577,"Competitive View")</f>
        <v>Competitive View</v>
      </c>
      <c r="L577" s="22" t="s">
        <v>95</v>
      </c>
      <c r="M577" s="45" t="str">
        <f>'Ingest Template'!B577</f>
        <v/>
      </c>
      <c r="N577" s="35"/>
      <c r="O577" s="35"/>
      <c r="P577" s="35"/>
      <c r="Q577" s="35"/>
      <c r="R577" s="35" t="str">
        <f>'Ingest Template'!D577</f>
        <v/>
      </c>
      <c r="S577" s="22" t="s">
        <v>101</v>
      </c>
      <c r="T577" s="35" t="str">
        <f>'Ingest Template'!V577</f>
        <v/>
      </c>
      <c r="U577" s="35" t="str">
        <f>'Ingest Template'!W577</f>
        <v/>
      </c>
      <c r="V577" s="35" t="str">
        <f>LOWER(SUBSTITUTE(SUBSTITUTE(SUBSTITUTE(SUBSTITUTE(SUBSTITUTE('Ingest Template'!X577,"https:",""),"www.",""),"/",""),"?hl=en",""),"instagram.com",""))</f>
        <v/>
      </c>
      <c r="W577" s="74" t="str">
        <f t="array" ref="W577">IF(
'Ingest Template'!Y577="",
SUBSTITUTE(
INDEX(DropdownLists!$F$2:$F$277,MATCH('Ingest Template'!D577,DropdownLists!$C$2:$C$277,0)),
CHAR(10),
"|"&amp;'Ingest Template'!C577&amp;CHAR(10)
)&amp;"|"&amp;'Ingest Template'!C577,
SUBSTITUTE(
INDEX(DropdownLists!$F$2:$F$277,MATCH('Ingest Template'!D577,DropdownLists!$C$2:$C$277,0)),
CHAR(10),
"|"&amp;'Ingest Template'!C577&amp;CHAR(10)
)&amp;"|"&amp;'Ingest Template'!C577&amp;CHAR(10)&amp;'Ingest Template'!Y577
)</f>
        <v>#N/A</v>
      </c>
      <c r="X577" s="74" t="str">
        <f>'Ingest Template'!Z577</f>
        <v/>
      </c>
      <c r="Y577" s="35" t="str">
        <f>SUBSTITUTE(SUBSTITUTE(SUBSTITUTE('Ingest Template'!AA577,"http:",""),"https:",""),"/","")</f>
        <v/>
      </c>
      <c r="Z577" s="35" t="str">
        <f t="array" ref="Z577">IF('Ingest Template'!A577="Standard",(IF(ISBLANK('Ingest Template'!AB577),"", 'Ingest Template'!AB577&amp;"|DAR")),(IF(ISBLANK('Ingest Template'!AB577),"", 'Ingest Template'!AB577&amp;"|TV Ops")))</f>
        <v/>
      </c>
      <c r="AA577" s="35"/>
      <c r="AB577" s="35" t="str">
        <f>'Ingest Template'!R577</f>
        <v/>
      </c>
      <c r="AC577" s="35" t="str">
        <f>'Ingest Template'!T577</f>
        <v/>
      </c>
      <c r="AD577" s="35" t="str">
        <f>'Ingest Template'!S577</f>
        <v/>
      </c>
      <c r="AE577" s="35" t="str">
        <f>'Ingest Template'!U577</f>
        <v/>
      </c>
      <c r="AF577" s="22"/>
      <c r="AG577" s="35" t="str">
        <f t="array" ref="AG577">IF('Ingest Template'!A577="Standard",(CONCATENATE(IF(ISBLANK('Ingest Template'!N577),"", 'Ingest Template'!N577&amp;"|DAR"),CHAR(10), IF(ISBLANK('Ingest Template'!O577),"", 'Ingest Template'!O577&amp;"|DAR"),CHAR(10), IF(ISBLANK('Ingest Template'!P577),"", 'Ingest Template'!P577&amp;"|DAR"))),(CONCATENATE(IF(ISBLANK('Ingest Template'!N577),"", 'Ingest Template'!N577&amp;"|TV Ops"),CHAR(10), IF(ISBLANK('Ingest Template'!O577),"", 'Ingest Template'!O577&amp;"|TV Ops"),CHAR(10), IF(ISBLANK('Ingest Template'!P577),"", 'Ingest Template'!P577&amp;"|TV Ops"))))</f>
        <v>
</v>
      </c>
      <c r="AH577" s="35"/>
      <c r="AI577" s="35"/>
      <c r="AJ577" s="117" t="str">
        <f>if('Ingest Template'!A577="Standard",(IF(OR('Ingest Template'!F577 = "Program Type - Special", 'Ingest Template'!F577 = "Program Type - Live Event"),'Ingest Template'!M577&amp; "|DAR|DAR|"&amp;TEXT('Ingest Template'!C577-3, "yyyy-mm-dd")&amp;"|"&amp;TEXT('Ingest Template'!C577+3, "yyyy-mm-dd"),'Ingest Template'!M577&amp; "|DAR|DAR|2021-01-01")),(IF(OR('Ingest Template'!F577 = "Program Type - Special", 'Ingest Template'!F577 = "Program Type - Live Event"),'Ingest Template'!M577&amp; "|Operations - Core Title|Operations - Core Title|"&amp;TEXT('Ingest Template'!C577-3, "yyyy-mm-dd")&amp;"|"&amp;TEXT('Ingest Template'!C577+3, "yyyy-mm-dd"),'Ingest Template'!M577&amp; "|Operations - Core Title|Operations - Core Title")))</f>
        <v>|Operations - Core Title|Operations - Core Title</v>
      </c>
      <c r="AK577" s="35"/>
      <c r="AL577" s="117" t="str">
        <f>if('Ingest Template'!A577="Standard",(IF(OR('Ingest Template'!F577 = "Program Type - Special", 'Ingest Template'!F577 = "Program Type - Live Event"),'Ingest Template'!Q577&amp;"|"&amp;TEXT('Ingest Template'!C577-3, "yyyy-mm-dd")&amp;"|"&amp;TEXT('Ingest Template'!C577+3, "yyyy-mm-dd"),'Ingest Template'!Q577&amp; "|2021-01-01")),(IF(OR('Ingest Template'!F577 = "Program Type - Special", 'Ingest Template'!F577 = "Program Type - Live Event"),'Ingest Template'!Q577&amp; "|"&amp;TEXT('Ingest Template'!C577-3, "yyyy-mm-dd")&amp;"|"&amp;TEXT('Ingest Template'!C577+3, "yyyy-mm-dd"),'Ingest Template'!Q577)))</f>
        <v/>
      </c>
      <c r="AM577" s="35" t="str">
        <f>'Ingest Template'!AC577</f>
        <v/>
      </c>
    </row>
    <row r="578">
      <c r="A578" s="15"/>
      <c r="B578" s="22" t="str">
        <f>'Ingest Template'!C578&amp;IF('Ingest Template'!A578 = "Standard", " - DAR","")</f>
        <v/>
      </c>
      <c r="C578" s="22" t="s">
        <v>83</v>
      </c>
      <c r="D578" s="22" t="str">
        <f t="array" ref="D578">CONCATENATE(INDEX(DropdownLists!$H$2:$H$11,MATCH(1,COUNTIF('Ingest Template'!E578,"*"&amp;DropdownLists!$I$2:$I$11&amp;"*"),0)),CHAR(10),'Ingest Template'!F578,CHAR(10),'Ingest Template'!G578,CHAR(10),VLOOKUP('Ingest Template'!D578,DropdownLists!C:D,2,FALSE))</f>
        <v>#N/A</v>
      </c>
      <c r="E578" s="22" t="str">
        <f>CONCATENATE('Ingest Template'!H578,CHAR(10),'Ingest Template'!I578,CHAR(10),'Ingest Template'!J578,CHAR(10))</f>
        <v>
</v>
      </c>
      <c r="F578" s="35" t="str">
        <f t="array" ref="F578">INDEX(DropdownLists!$O$2:$O$36,MATCH(1,COUNTIF(E578,"*"&amp;DropdownLists!$N$2:$N$36&amp;"*"),0))</f>
        <v/>
      </c>
      <c r="G578" s="35"/>
      <c r="H578" s="22" t="str">
        <f t="array" ref="H578">INDEX(DropdownLists!$E$2:$E$276,MATCH('Ingest Template'!D578,DropdownLists!$C$2:$C$276,0))</f>
        <v>#N/A</v>
      </c>
      <c r="I578" s="22"/>
      <c r="J578" s="22" t="str">
        <f t="array" ref="J578">iF('Ingest Template'!A578="Standard","Pristine Brand",INDEX(DropdownLists!$B$2:$B$246,MATCH('Ingest Template'!D578,DropdownLists!$C$2:$C$246,0)))</f>
        <v>#N/A</v>
      </c>
      <c r="K578" s="22" t="str">
        <f>iF('Ingest Template'!A578="Standard",'Ingest Template'!K578&amp;CHAR(10)&amp;'Ingest Template'!L578,"Competitive View")</f>
        <v>Competitive View</v>
      </c>
      <c r="L578" s="22" t="s">
        <v>95</v>
      </c>
      <c r="M578" s="45" t="str">
        <f>'Ingest Template'!B578</f>
        <v/>
      </c>
      <c r="N578" s="35"/>
      <c r="O578" s="35"/>
      <c r="P578" s="35"/>
      <c r="Q578" s="35"/>
      <c r="R578" s="35" t="str">
        <f>'Ingest Template'!D578</f>
        <v/>
      </c>
      <c r="S578" s="22" t="s">
        <v>101</v>
      </c>
      <c r="T578" s="35" t="str">
        <f>'Ingest Template'!V578</f>
        <v/>
      </c>
      <c r="U578" s="35" t="str">
        <f>'Ingest Template'!W578</f>
        <v/>
      </c>
      <c r="V578" s="35" t="str">
        <f>LOWER(SUBSTITUTE(SUBSTITUTE(SUBSTITUTE(SUBSTITUTE(SUBSTITUTE('Ingest Template'!X578,"https:",""),"www.",""),"/",""),"?hl=en",""),"instagram.com",""))</f>
        <v/>
      </c>
      <c r="W578" s="74" t="str">
        <f t="array" ref="W578">IF(
'Ingest Template'!Y578="",
SUBSTITUTE(
INDEX(DropdownLists!$F$2:$F$277,MATCH('Ingest Template'!D578,DropdownLists!$C$2:$C$277,0)),
CHAR(10),
"|"&amp;'Ingest Template'!C578&amp;CHAR(10)
)&amp;"|"&amp;'Ingest Template'!C578,
SUBSTITUTE(
INDEX(DropdownLists!$F$2:$F$277,MATCH('Ingest Template'!D578,DropdownLists!$C$2:$C$277,0)),
CHAR(10),
"|"&amp;'Ingest Template'!C578&amp;CHAR(10)
)&amp;"|"&amp;'Ingest Template'!C578&amp;CHAR(10)&amp;'Ingest Template'!Y578
)</f>
        <v>#N/A</v>
      </c>
      <c r="X578" s="74" t="str">
        <f>'Ingest Template'!Z578</f>
        <v/>
      </c>
      <c r="Y578" s="35" t="str">
        <f>SUBSTITUTE(SUBSTITUTE(SUBSTITUTE('Ingest Template'!AA578,"http:",""),"https:",""),"/","")</f>
        <v/>
      </c>
      <c r="Z578" s="35" t="str">
        <f t="array" ref="Z578">IF('Ingest Template'!A578="Standard",(IF(ISBLANK('Ingest Template'!AB578),"", 'Ingest Template'!AB578&amp;"|DAR")),(IF(ISBLANK('Ingest Template'!AB578),"", 'Ingest Template'!AB578&amp;"|TV Ops")))</f>
        <v/>
      </c>
      <c r="AA578" s="35"/>
      <c r="AB578" s="35" t="str">
        <f>'Ingest Template'!R578</f>
        <v/>
      </c>
      <c r="AC578" s="35" t="str">
        <f>'Ingest Template'!T578</f>
        <v/>
      </c>
      <c r="AD578" s="35" t="str">
        <f>'Ingest Template'!S578</f>
        <v/>
      </c>
      <c r="AE578" s="35" t="str">
        <f>'Ingest Template'!U578</f>
        <v/>
      </c>
      <c r="AF578" s="22"/>
      <c r="AG578" s="35" t="str">
        <f t="array" ref="AG578">IF('Ingest Template'!A578="Standard",(CONCATENATE(IF(ISBLANK('Ingest Template'!N578),"", 'Ingest Template'!N578&amp;"|DAR"),CHAR(10), IF(ISBLANK('Ingest Template'!O578),"", 'Ingest Template'!O578&amp;"|DAR"),CHAR(10), IF(ISBLANK('Ingest Template'!P578),"", 'Ingest Template'!P578&amp;"|DAR"))),(CONCATENATE(IF(ISBLANK('Ingest Template'!N578),"", 'Ingest Template'!N578&amp;"|TV Ops"),CHAR(10), IF(ISBLANK('Ingest Template'!O578),"", 'Ingest Template'!O578&amp;"|TV Ops"),CHAR(10), IF(ISBLANK('Ingest Template'!P578),"", 'Ingest Template'!P578&amp;"|TV Ops"))))</f>
        <v>
</v>
      </c>
      <c r="AH578" s="35"/>
      <c r="AI578" s="35"/>
      <c r="AJ578" s="117" t="str">
        <f>if('Ingest Template'!A578="Standard",(IF(OR('Ingest Template'!F578 = "Program Type - Special", 'Ingest Template'!F578 = "Program Type - Live Event"),'Ingest Template'!M578&amp; "|DAR|DAR|"&amp;TEXT('Ingest Template'!C578-3, "yyyy-mm-dd")&amp;"|"&amp;TEXT('Ingest Template'!C578+3, "yyyy-mm-dd"),'Ingest Template'!M578&amp; "|DAR|DAR|2021-01-01")),(IF(OR('Ingest Template'!F578 = "Program Type - Special", 'Ingest Template'!F578 = "Program Type - Live Event"),'Ingest Template'!M578&amp; "|Operations - Core Title|Operations - Core Title|"&amp;TEXT('Ingest Template'!C578-3, "yyyy-mm-dd")&amp;"|"&amp;TEXT('Ingest Template'!C578+3, "yyyy-mm-dd"),'Ingest Template'!M578&amp; "|Operations - Core Title|Operations - Core Title")))</f>
        <v>|Operations - Core Title|Operations - Core Title</v>
      </c>
      <c r="AK578" s="35"/>
      <c r="AL578" s="117" t="str">
        <f>if('Ingest Template'!A578="Standard",(IF(OR('Ingest Template'!F578 = "Program Type - Special", 'Ingest Template'!F578 = "Program Type - Live Event"),'Ingest Template'!Q578&amp;"|"&amp;TEXT('Ingest Template'!C578-3, "yyyy-mm-dd")&amp;"|"&amp;TEXT('Ingest Template'!C578+3, "yyyy-mm-dd"),'Ingest Template'!Q578&amp; "|2021-01-01")),(IF(OR('Ingest Template'!F578 = "Program Type - Special", 'Ingest Template'!F578 = "Program Type - Live Event"),'Ingest Template'!Q578&amp; "|"&amp;TEXT('Ingest Template'!C578-3, "yyyy-mm-dd")&amp;"|"&amp;TEXT('Ingest Template'!C578+3, "yyyy-mm-dd"),'Ingest Template'!Q578)))</f>
        <v/>
      </c>
      <c r="AM578" s="35" t="str">
        <f>'Ingest Template'!AC578</f>
        <v/>
      </c>
    </row>
    <row r="579">
      <c r="A579" s="15"/>
      <c r="B579" s="22" t="str">
        <f>'Ingest Template'!C579&amp;IF('Ingest Template'!A579 = "Standard", " - DAR","")</f>
        <v/>
      </c>
      <c r="C579" s="22" t="s">
        <v>83</v>
      </c>
      <c r="D579" s="22" t="str">
        <f t="array" ref="D579">CONCATENATE(INDEX(DropdownLists!$H$2:$H$11,MATCH(1,COUNTIF('Ingest Template'!E579,"*"&amp;DropdownLists!$I$2:$I$11&amp;"*"),0)),CHAR(10),'Ingest Template'!F579,CHAR(10),'Ingest Template'!G579,CHAR(10),VLOOKUP('Ingest Template'!D579,DropdownLists!C:D,2,FALSE))</f>
        <v>#N/A</v>
      </c>
      <c r="E579" s="22" t="str">
        <f>CONCATENATE('Ingest Template'!H579,CHAR(10),'Ingest Template'!I579,CHAR(10),'Ingest Template'!J579,CHAR(10))</f>
        <v>
</v>
      </c>
      <c r="F579" s="35" t="str">
        <f t="array" ref="F579">INDEX(DropdownLists!$O$2:$O$36,MATCH(1,COUNTIF(E579,"*"&amp;DropdownLists!$N$2:$N$36&amp;"*"),0))</f>
        <v/>
      </c>
      <c r="G579" s="35"/>
      <c r="H579" s="22" t="str">
        <f t="array" ref="H579">INDEX(DropdownLists!$E$2:$E$276,MATCH('Ingest Template'!D579,DropdownLists!$C$2:$C$276,0))</f>
        <v>#N/A</v>
      </c>
      <c r="I579" s="22"/>
      <c r="J579" s="22" t="str">
        <f t="array" ref="J579">iF('Ingest Template'!A579="Standard","Pristine Brand",INDEX(DropdownLists!$B$2:$B$246,MATCH('Ingest Template'!D579,DropdownLists!$C$2:$C$246,0)))</f>
        <v>#N/A</v>
      </c>
      <c r="K579" s="22" t="str">
        <f>iF('Ingest Template'!A579="Standard",'Ingest Template'!K579&amp;CHAR(10)&amp;'Ingest Template'!L579,"Competitive View")</f>
        <v>Competitive View</v>
      </c>
      <c r="L579" s="22" t="s">
        <v>95</v>
      </c>
      <c r="M579" s="45" t="str">
        <f>'Ingest Template'!B579</f>
        <v/>
      </c>
      <c r="N579" s="35"/>
      <c r="O579" s="35"/>
      <c r="P579" s="35"/>
      <c r="Q579" s="35"/>
      <c r="R579" s="35" t="str">
        <f>'Ingest Template'!D579</f>
        <v/>
      </c>
      <c r="S579" s="22" t="s">
        <v>101</v>
      </c>
      <c r="T579" s="35" t="str">
        <f>'Ingest Template'!V579</f>
        <v/>
      </c>
      <c r="U579" s="35" t="str">
        <f>'Ingest Template'!W579</f>
        <v/>
      </c>
      <c r="V579" s="35" t="str">
        <f>LOWER(SUBSTITUTE(SUBSTITUTE(SUBSTITUTE(SUBSTITUTE(SUBSTITUTE('Ingest Template'!X579,"https:",""),"www.",""),"/",""),"?hl=en",""),"instagram.com",""))</f>
        <v/>
      </c>
      <c r="W579" s="74" t="str">
        <f t="array" ref="W579">IF(
'Ingest Template'!Y579="",
SUBSTITUTE(
INDEX(DropdownLists!$F$2:$F$277,MATCH('Ingest Template'!D579,DropdownLists!$C$2:$C$277,0)),
CHAR(10),
"|"&amp;'Ingest Template'!C579&amp;CHAR(10)
)&amp;"|"&amp;'Ingest Template'!C579,
SUBSTITUTE(
INDEX(DropdownLists!$F$2:$F$277,MATCH('Ingest Template'!D579,DropdownLists!$C$2:$C$277,0)),
CHAR(10),
"|"&amp;'Ingest Template'!C579&amp;CHAR(10)
)&amp;"|"&amp;'Ingest Template'!C579&amp;CHAR(10)&amp;'Ingest Template'!Y579
)</f>
        <v>#N/A</v>
      </c>
      <c r="X579" s="74" t="str">
        <f>'Ingest Template'!Z579</f>
        <v/>
      </c>
      <c r="Y579" s="35" t="str">
        <f>SUBSTITUTE(SUBSTITUTE(SUBSTITUTE('Ingest Template'!AA579,"http:",""),"https:",""),"/","")</f>
        <v/>
      </c>
      <c r="Z579" s="35" t="str">
        <f t="array" ref="Z579">IF('Ingest Template'!A579="Standard",(IF(ISBLANK('Ingest Template'!AB579),"", 'Ingest Template'!AB579&amp;"|DAR")),(IF(ISBLANK('Ingest Template'!AB579),"", 'Ingest Template'!AB579&amp;"|TV Ops")))</f>
        <v/>
      </c>
      <c r="AA579" s="35"/>
      <c r="AB579" s="35" t="str">
        <f>'Ingest Template'!R579</f>
        <v/>
      </c>
      <c r="AC579" s="35" t="str">
        <f>'Ingest Template'!T579</f>
        <v/>
      </c>
      <c r="AD579" s="35" t="str">
        <f>'Ingest Template'!S579</f>
        <v/>
      </c>
      <c r="AE579" s="35" t="str">
        <f>'Ingest Template'!U579</f>
        <v/>
      </c>
      <c r="AF579" s="22"/>
      <c r="AG579" s="35" t="str">
        <f t="array" ref="AG579">IF('Ingest Template'!A579="Standard",(CONCATENATE(IF(ISBLANK('Ingest Template'!N579),"", 'Ingest Template'!N579&amp;"|DAR"),CHAR(10), IF(ISBLANK('Ingest Template'!O579),"", 'Ingest Template'!O579&amp;"|DAR"),CHAR(10), IF(ISBLANK('Ingest Template'!P579),"", 'Ingest Template'!P579&amp;"|DAR"))),(CONCATENATE(IF(ISBLANK('Ingest Template'!N579),"", 'Ingest Template'!N579&amp;"|TV Ops"),CHAR(10), IF(ISBLANK('Ingest Template'!O579),"", 'Ingest Template'!O579&amp;"|TV Ops"),CHAR(10), IF(ISBLANK('Ingest Template'!P579),"", 'Ingest Template'!P579&amp;"|TV Ops"))))</f>
        <v>
</v>
      </c>
      <c r="AH579" s="35"/>
      <c r="AI579" s="35"/>
      <c r="AJ579" s="117" t="str">
        <f>if('Ingest Template'!A579="Standard",(IF(OR('Ingest Template'!F579 = "Program Type - Special", 'Ingest Template'!F579 = "Program Type - Live Event"),'Ingest Template'!M579&amp; "|DAR|DAR|"&amp;TEXT('Ingest Template'!C579-3, "yyyy-mm-dd")&amp;"|"&amp;TEXT('Ingest Template'!C579+3, "yyyy-mm-dd"),'Ingest Template'!M579&amp; "|DAR|DAR|2021-01-01")),(IF(OR('Ingest Template'!F579 = "Program Type - Special", 'Ingest Template'!F579 = "Program Type - Live Event"),'Ingest Template'!M579&amp; "|Operations - Core Title|Operations - Core Title|"&amp;TEXT('Ingest Template'!C579-3, "yyyy-mm-dd")&amp;"|"&amp;TEXT('Ingest Template'!C579+3, "yyyy-mm-dd"),'Ingest Template'!M579&amp; "|Operations - Core Title|Operations - Core Title")))</f>
        <v>|Operations - Core Title|Operations - Core Title</v>
      </c>
      <c r="AK579" s="35"/>
      <c r="AL579" s="117" t="str">
        <f>if('Ingest Template'!A579="Standard",(IF(OR('Ingest Template'!F579 = "Program Type - Special", 'Ingest Template'!F579 = "Program Type - Live Event"),'Ingest Template'!Q579&amp;"|"&amp;TEXT('Ingest Template'!C579-3, "yyyy-mm-dd")&amp;"|"&amp;TEXT('Ingest Template'!C579+3, "yyyy-mm-dd"),'Ingest Template'!Q579&amp; "|2021-01-01")),(IF(OR('Ingest Template'!F579 = "Program Type - Special", 'Ingest Template'!F579 = "Program Type - Live Event"),'Ingest Template'!Q579&amp; "|"&amp;TEXT('Ingest Template'!C579-3, "yyyy-mm-dd")&amp;"|"&amp;TEXT('Ingest Template'!C579+3, "yyyy-mm-dd"),'Ingest Template'!Q579)))</f>
        <v/>
      </c>
      <c r="AM579" s="35" t="str">
        <f>'Ingest Template'!AC579</f>
        <v/>
      </c>
    </row>
    <row r="580">
      <c r="A580" s="15"/>
      <c r="B580" s="22" t="str">
        <f>'Ingest Template'!C580&amp;IF('Ingest Template'!A580 = "Standard", " - DAR","")</f>
        <v/>
      </c>
      <c r="C580" s="22" t="s">
        <v>83</v>
      </c>
      <c r="D580" s="22" t="str">
        <f t="array" ref="D580">CONCATENATE(INDEX(DropdownLists!$H$2:$H$11,MATCH(1,COUNTIF('Ingest Template'!E580,"*"&amp;DropdownLists!$I$2:$I$11&amp;"*"),0)),CHAR(10),'Ingest Template'!F580,CHAR(10),'Ingest Template'!G580,CHAR(10),VLOOKUP('Ingest Template'!D580,DropdownLists!C:D,2,FALSE))</f>
        <v>#N/A</v>
      </c>
      <c r="E580" s="22" t="str">
        <f>CONCATENATE('Ingest Template'!H580,CHAR(10),'Ingest Template'!I580,CHAR(10),'Ingest Template'!J580,CHAR(10))</f>
        <v>
</v>
      </c>
      <c r="F580" s="35" t="str">
        <f t="array" ref="F580">INDEX(DropdownLists!$O$2:$O$36,MATCH(1,COUNTIF(E580,"*"&amp;DropdownLists!$N$2:$N$36&amp;"*"),0))</f>
        <v/>
      </c>
      <c r="G580" s="35"/>
      <c r="H580" s="22" t="str">
        <f t="array" ref="H580">INDEX(DropdownLists!$E$2:$E$276,MATCH('Ingest Template'!D580,DropdownLists!$C$2:$C$276,0))</f>
        <v>#N/A</v>
      </c>
      <c r="I580" s="22"/>
      <c r="J580" s="22" t="str">
        <f t="array" ref="J580">iF('Ingest Template'!A580="Standard","Pristine Brand",INDEX(DropdownLists!$B$2:$B$246,MATCH('Ingest Template'!D580,DropdownLists!$C$2:$C$246,0)))</f>
        <v>#N/A</v>
      </c>
      <c r="K580" s="22" t="str">
        <f>iF('Ingest Template'!A580="Standard",'Ingest Template'!K580&amp;CHAR(10)&amp;'Ingest Template'!L580,"Competitive View")</f>
        <v>Competitive View</v>
      </c>
      <c r="L580" s="22" t="s">
        <v>95</v>
      </c>
      <c r="M580" s="45" t="str">
        <f>'Ingest Template'!B580</f>
        <v/>
      </c>
      <c r="N580" s="35"/>
      <c r="O580" s="35"/>
      <c r="P580" s="35"/>
      <c r="Q580" s="35"/>
      <c r="R580" s="35" t="str">
        <f>'Ingest Template'!D580</f>
        <v/>
      </c>
      <c r="S580" s="22" t="s">
        <v>101</v>
      </c>
      <c r="T580" s="35" t="str">
        <f>'Ingest Template'!V580</f>
        <v/>
      </c>
      <c r="U580" s="35" t="str">
        <f>'Ingest Template'!W580</f>
        <v/>
      </c>
      <c r="V580" s="35" t="str">
        <f>LOWER(SUBSTITUTE(SUBSTITUTE(SUBSTITUTE(SUBSTITUTE(SUBSTITUTE('Ingest Template'!X580,"https:",""),"www.",""),"/",""),"?hl=en",""),"instagram.com",""))</f>
        <v/>
      </c>
      <c r="W580" s="74" t="str">
        <f t="array" ref="W580">IF(
'Ingest Template'!Y580="",
SUBSTITUTE(
INDEX(DropdownLists!$F$2:$F$277,MATCH('Ingest Template'!D580,DropdownLists!$C$2:$C$277,0)),
CHAR(10),
"|"&amp;'Ingest Template'!C580&amp;CHAR(10)
)&amp;"|"&amp;'Ingest Template'!C580,
SUBSTITUTE(
INDEX(DropdownLists!$F$2:$F$277,MATCH('Ingest Template'!D580,DropdownLists!$C$2:$C$277,0)),
CHAR(10),
"|"&amp;'Ingest Template'!C580&amp;CHAR(10)
)&amp;"|"&amp;'Ingest Template'!C580&amp;CHAR(10)&amp;'Ingest Template'!Y580
)</f>
        <v>#N/A</v>
      </c>
      <c r="X580" s="74" t="str">
        <f>'Ingest Template'!Z580</f>
        <v/>
      </c>
      <c r="Y580" s="35" t="str">
        <f>SUBSTITUTE(SUBSTITUTE(SUBSTITUTE('Ingest Template'!AA580,"http:",""),"https:",""),"/","")</f>
        <v/>
      </c>
      <c r="Z580" s="35" t="str">
        <f t="array" ref="Z580">IF('Ingest Template'!A580="Standard",(IF(ISBLANK('Ingest Template'!AB580),"", 'Ingest Template'!AB580&amp;"|DAR")),(IF(ISBLANK('Ingest Template'!AB580),"", 'Ingest Template'!AB580&amp;"|TV Ops")))</f>
        <v/>
      </c>
      <c r="AA580" s="35"/>
      <c r="AB580" s="35" t="str">
        <f>'Ingest Template'!R580</f>
        <v/>
      </c>
      <c r="AC580" s="35" t="str">
        <f>'Ingest Template'!T580</f>
        <v/>
      </c>
      <c r="AD580" s="35" t="str">
        <f>'Ingest Template'!S580</f>
        <v/>
      </c>
      <c r="AE580" s="35" t="str">
        <f>'Ingest Template'!U580</f>
        <v/>
      </c>
      <c r="AF580" s="22"/>
      <c r="AG580" s="35" t="str">
        <f t="array" ref="AG580">IF('Ingest Template'!A580="Standard",(CONCATENATE(IF(ISBLANK('Ingest Template'!N580),"", 'Ingest Template'!N580&amp;"|DAR"),CHAR(10), IF(ISBLANK('Ingest Template'!O580),"", 'Ingest Template'!O580&amp;"|DAR"),CHAR(10), IF(ISBLANK('Ingest Template'!P580),"", 'Ingest Template'!P580&amp;"|DAR"))),(CONCATENATE(IF(ISBLANK('Ingest Template'!N580),"", 'Ingest Template'!N580&amp;"|TV Ops"),CHAR(10), IF(ISBLANK('Ingest Template'!O580),"", 'Ingest Template'!O580&amp;"|TV Ops"),CHAR(10), IF(ISBLANK('Ingest Template'!P580),"", 'Ingest Template'!P580&amp;"|TV Ops"))))</f>
        <v>
</v>
      </c>
      <c r="AH580" s="35"/>
      <c r="AI580" s="35"/>
      <c r="AJ580" s="117" t="str">
        <f>if('Ingest Template'!A580="Standard",(IF(OR('Ingest Template'!F580 = "Program Type - Special", 'Ingest Template'!F580 = "Program Type - Live Event"),'Ingest Template'!M580&amp; "|DAR|DAR|"&amp;TEXT('Ingest Template'!C580-3, "yyyy-mm-dd")&amp;"|"&amp;TEXT('Ingest Template'!C580+3, "yyyy-mm-dd"),'Ingest Template'!M580&amp; "|DAR|DAR|2021-01-01")),(IF(OR('Ingest Template'!F580 = "Program Type - Special", 'Ingest Template'!F580 = "Program Type - Live Event"),'Ingest Template'!M580&amp; "|Operations - Core Title|Operations - Core Title|"&amp;TEXT('Ingest Template'!C580-3, "yyyy-mm-dd")&amp;"|"&amp;TEXT('Ingest Template'!C580+3, "yyyy-mm-dd"),'Ingest Template'!M580&amp; "|Operations - Core Title|Operations - Core Title")))</f>
        <v>|Operations - Core Title|Operations - Core Title</v>
      </c>
      <c r="AK580" s="35"/>
      <c r="AL580" s="117" t="str">
        <f>if('Ingest Template'!A580="Standard",(IF(OR('Ingest Template'!F580 = "Program Type - Special", 'Ingest Template'!F580 = "Program Type - Live Event"),'Ingest Template'!Q580&amp;"|"&amp;TEXT('Ingest Template'!C580-3, "yyyy-mm-dd")&amp;"|"&amp;TEXT('Ingest Template'!C580+3, "yyyy-mm-dd"),'Ingest Template'!Q580&amp; "|2021-01-01")),(IF(OR('Ingest Template'!F580 = "Program Type - Special", 'Ingest Template'!F580 = "Program Type - Live Event"),'Ingest Template'!Q580&amp; "|"&amp;TEXT('Ingest Template'!C580-3, "yyyy-mm-dd")&amp;"|"&amp;TEXT('Ingest Template'!C580+3, "yyyy-mm-dd"),'Ingest Template'!Q580)))</f>
        <v/>
      </c>
      <c r="AM580" s="35" t="str">
        <f>'Ingest Template'!AC580</f>
        <v/>
      </c>
    </row>
    <row r="581">
      <c r="A581" s="15"/>
      <c r="B581" s="22" t="str">
        <f>'Ingest Template'!C581&amp;IF('Ingest Template'!A581 = "Standard", " - DAR","")</f>
        <v/>
      </c>
      <c r="C581" s="22" t="s">
        <v>83</v>
      </c>
      <c r="D581" s="22" t="str">
        <f t="array" ref="D581">CONCATENATE(INDEX(DropdownLists!$H$2:$H$11,MATCH(1,COUNTIF('Ingest Template'!E581,"*"&amp;DropdownLists!$I$2:$I$11&amp;"*"),0)),CHAR(10),'Ingest Template'!F581,CHAR(10),'Ingest Template'!G581,CHAR(10),VLOOKUP('Ingest Template'!D581,DropdownLists!C:D,2,FALSE))</f>
        <v>#N/A</v>
      </c>
      <c r="E581" s="22" t="str">
        <f>CONCATENATE('Ingest Template'!H581,CHAR(10),'Ingest Template'!I581,CHAR(10),'Ingest Template'!J581,CHAR(10))</f>
        <v>
</v>
      </c>
      <c r="F581" s="35" t="str">
        <f t="array" ref="F581">INDEX(DropdownLists!$O$2:$O$36,MATCH(1,COUNTIF(E581,"*"&amp;DropdownLists!$N$2:$N$36&amp;"*"),0))</f>
        <v/>
      </c>
      <c r="G581" s="35"/>
      <c r="H581" s="22" t="str">
        <f t="array" ref="H581">INDEX(DropdownLists!$E$2:$E$276,MATCH('Ingest Template'!D581,DropdownLists!$C$2:$C$276,0))</f>
        <v>#N/A</v>
      </c>
      <c r="I581" s="22"/>
      <c r="J581" s="22" t="str">
        <f t="array" ref="J581">iF('Ingest Template'!A581="Standard","Pristine Brand",INDEX(DropdownLists!$B$2:$B$246,MATCH('Ingest Template'!D581,DropdownLists!$C$2:$C$246,0)))</f>
        <v>#N/A</v>
      </c>
      <c r="K581" s="22" t="str">
        <f>iF('Ingest Template'!A581="Standard",'Ingest Template'!K581&amp;CHAR(10)&amp;'Ingest Template'!L581,"Competitive View")</f>
        <v>Competitive View</v>
      </c>
      <c r="L581" s="22" t="s">
        <v>95</v>
      </c>
      <c r="M581" s="45" t="str">
        <f>'Ingest Template'!B581</f>
        <v/>
      </c>
      <c r="N581" s="35"/>
      <c r="O581" s="35"/>
      <c r="P581" s="35"/>
      <c r="Q581" s="35"/>
      <c r="R581" s="35" t="str">
        <f>'Ingest Template'!D581</f>
        <v/>
      </c>
      <c r="S581" s="22" t="s">
        <v>101</v>
      </c>
      <c r="T581" s="35" t="str">
        <f>'Ingest Template'!V581</f>
        <v/>
      </c>
      <c r="U581" s="35" t="str">
        <f>'Ingest Template'!W581</f>
        <v/>
      </c>
      <c r="V581" s="35" t="str">
        <f>LOWER(SUBSTITUTE(SUBSTITUTE(SUBSTITUTE(SUBSTITUTE(SUBSTITUTE('Ingest Template'!X581,"https:",""),"www.",""),"/",""),"?hl=en",""),"instagram.com",""))</f>
        <v/>
      </c>
      <c r="W581" s="74" t="str">
        <f t="array" ref="W581">IF(
'Ingest Template'!Y581="",
SUBSTITUTE(
INDEX(DropdownLists!$F$2:$F$277,MATCH('Ingest Template'!D581,DropdownLists!$C$2:$C$277,0)),
CHAR(10),
"|"&amp;'Ingest Template'!C581&amp;CHAR(10)
)&amp;"|"&amp;'Ingest Template'!C581,
SUBSTITUTE(
INDEX(DropdownLists!$F$2:$F$277,MATCH('Ingest Template'!D581,DropdownLists!$C$2:$C$277,0)),
CHAR(10),
"|"&amp;'Ingest Template'!C581&amp;CHAR(10)
)&amp;"|"&amp;'Ingest Template'!C581&amp;CHAR(10)&amp;'Ingest Template'!Y581
)</f>
        <v>#N/A</v>
      </c>
      <c r="X581" s="74" t="str">
        <f>'Ingest Template'!Z581</f>
        <v/>
      </c>
      <c r="Y581" s="35" t="str">
        <f>SUBSTITUTE(SUBSTITUTE(SUBSTITUTE('Ingest Template'!AA581,"http:",""),"https:",""),"/","")</f>
        <v/>
      </c>
      <c r="Z581" s="35" t="str">
        <f t="array" ref="Z581">IF('Ingest Template'!A581="Standard",(IF(ISBLANK('Ingest Template'!AB581),"", 'Ingest Template'!AB581&amp;"|DAR")),(IF(ISBLANK('Ingest Template'!AB581),"", 'Ingest Template'!AB581&amp;"|TV Ops")))</f>
        <v/>
      </c>
      <c r="AA581" s="35"/>
      <c r="AB581" s="35" t="str">
        <f>'Ingest Template'!R581</f>
        <v/>
      </c>
      <c r="AC581" s="35" t="str">
        <f>'Ingest Template'!T581</f>
        <v/>
      </c>
      <c r="AD581" s="35" t="str">
        <f>'Ingest Template'!S581</f>
        <v/>
      </c>
      <c r="AE581" s="35" t="str">
        <f>'Ingest Template'!U581</f>
        <v/>
      </c>
      <c r="AF581" s="22"/>
      <c r="AG581" s="35" t="str">
        <f t="array" ref="AG581">IF('Ingest Template'!A581="Standard",(CONCATENATE(IF(ISBLANK('Ingest Template'!N581),"", 'Ingest Template'!N581&amp;"|DAR"),CHAR(10), IF(ISBLANK('Ingest Template'!O581),"", 'Ingest Template'!O581&amp;"|DAR"),CHAR(10), IF(ISBLANK('Ingest Template'!P581),"", 'Ingest Template'!P581&amp;"|DAR"))),(CONCATENATE(IF(ISBLANK('Ingest Template'!N581),"", 'Ingest Template'!N581&amp;"|TV Ops"),CHAR(10), IF(ISBLANK('Ingest Template'!O581),"", 'Ingest Template'!O581&amp;"|TV Ops"),CHAR(10), IF(ISBLANK('Ingest Template'!P581),"", 'Ingest Template'!P581&amp;"|TV Ops"))))</f>
        <v>
</v>
      </c>
      <c r="AH581" s="35"/>
      <c r="AI581" s="35"/>
      <c r="AJ581" s="117" t="str">
        <f>if('Ingest Template'!A581="Standard",(IF(OR('Ingest Template'!F581 = "Program Type - Special", 'Ingest Template'!F581 = "Program Type - Live Event"),'Ingest Template'!M581&amp; "|DAR|DAR|"&amp;TEXT('Ingest Template'!C581-3, "yyyy-mm-dd")&amp;"|"&amp;TEXT('Ingest Template'!C581+3, "yyyy-mm-dd"),'Ingest Template'!M581&amp; "|DAR|DAR|2021-01-01")),(IF(OR('Ingest Template'!F581 = "Program Type - Special", 'Ingest Template'!F581 = "Program Type - Live Event"),'Ingest Template'!M581&amp; "|Operations - Core Title|Operations - Core Title|"&amp;TEXT('Ingest Template'!C581-3, "yyyy-mm-dd")&amp;"|"&amp;TEXT('Ingest Template'!C581+3, "yyyy-mm-dd"),'Ingest Template'!M581&amp; "|Operations - Core Title|Operations - Core Title")))</f>
        <v>|Operations - Core Title|Operations - Core Title</v>
      </c>
      <c r="AK581" s="35"/>
      <c r="AL581" s="117" t="str">
        <f>if('Ingest Template'!A581="Standard",(IF(OR('Ingest Template'!F581 = "Program Type - Special", 'Ingest Template'!F581 = "Program Type - Live Event"),'Ingest Template'!Q581&amp;"|"&amp;TEXT('Ingest Template'!C581-3, "yyyy-mm-dd")&amp;"|"&amp;TEXT('Ingest Template'!C581+3, "yyyy-mm-dd"),'Ingest Template'!Q581&amp; "|2021-01-01")),(IF(OR('Ingest Template'!F581 = "Program Type - Special", 'Ingest Template'!F581 = "Program Type - Live Event"),'Ingest Template'!Q581&amp; "|"&amp;TEXT('Ingest Template'!C581-3, "yyyy-mm-dd")&amp;"|"&amp;TEXT('Ingest Template'!C581+3, "yyyy-mm-dd"),'Ingest Template'!Q581)))</f>
        <v/>
      </c>
      <c r="AM581" s="35" t="str">
        <f>'Ingest Template'!AC581</f>
        <v/>
      </c>
    </row>
    <row r="582">
      <c r="A582" s="15"/>
      <c r="B582" s="22" t="str">
        <f>'Ingest Template'!C582&amp;IF('Ingest Template'!A582 = "Standard", " - DAR","")</f>
        <v/>
      </c>
      <c r="C582" s="22" t="s">
        <v>83</v>
      </c>
      <c r="D582" s="22" t="str">
        <f t="array" ref="D582">CONCATENATE(INDEX(DropdownLists!$H$2:$H$11,MATCH(1,COUNTIF('Ingest Template'!E582,"*"&amp;DropdownLists!$I$2:$I$11&amp;"*"),0)),CHAR(10),'Ingest Template'!F582,CHAR(10),'Ingest Template'!G582,CHAR(10),VLOOKUP('Ingest Template'!D582,DropdownLists!C:D,2,FALSE))</f>
        <v>#N/A</v>
      </c>
      <c r="E582" s="22" t="str">
        <f>CONCATENATE('Ingest Template'!H582,CHAR(10),'Ingest Template'!I582,CHAR(10),'Ingest Template'!J582,CHAR(10))</f>
        <v>
</v>
      </c>
      <c r="F582" s="35" t="str">
        <f t="array" ref="F582">INDEX(DropdownLists!$O$2:$O$36,MATCH(1,COUNTIF(E582,"*"&amp;DropdownLists!$N$2:$N$36&amp;"*"),0))</f>
        <v/>
      </c>
      <c r="G582" s="35"/>
      <c r="H582" s="22" t="str">
        <f t="array" ref="H582">INDEX(DropdownLists!$E$2:$E$276,MATCH('Ingest Template'!D582,DropdownLists!$C$2:$C$276,0))</f>
        <v>#N/A</v>
      </c>
      <c r="I582" s="22"/>
      <c r="J582" s="22" t="str">
        <f t="array" ref="J582">iF('Ingest Template'!A582="Standard","Pristine Brand",INDEX(DropdownLists!$B$2:$B$246,MATCH('Ingest Template'!D582,DropdownLists!$C$2:$C$246,0)))</f>
        <v>#N/A</v>
      </c>
      <c r="K582" s="22" t="str">
        <f>iF('Ingest Template'!A582="Standard",'Ingest Template'!K582&amp;CHAR(10)&amp;'Ingest Template'!L582,"Competitive View")</f>
        <v>Competitive View</v>
      </c>
      <c r="L582" s="22" t="s">
        <v>95</v>
      </c>
      <c r="M582" s="45" t="str">
        <f>'Ingest Template'!B582</f>
        <v/>
      </c>
      <c r="N582" s="35"/>
      <c r="O582" s="35"/>
      <c r="P582" s="35"/>
      <c r="Q582" s="35"/>
      <c r="R582" s="35" t="str">
        <f>'Ingest Template'!D582</f>
        <v/>
      </c>
      <c r="S582" s="22" t="s">
        <v>101</v>
      </c>
      <c r="T582" s="35" t="str">
        <f>'Ingest Template'!V582</f>
        <v/>
      </c>
      <c r="U582" s="35" t="str">
        <f>'Ingest Template'!W582</f>
        <v/>
      </c>
      <c r="V582" s="35" t="str">
        <f>LOWER(SUBSTITUTE(SUBSTITUTE(SUBSTITUTE(SUBSTITUTE(SUBSTITUTE('Ingest Template'!X582,"https:",""),"www.",""),"/",""),"?hl=en",""),"instagram.com",""))</f>
        <v/>
      </c>
      <c r="W582" s="74" t="str">
        <f t="array" ref="W582">IF(
'Ingest Template'!Y582="",
SUBSTITUTE(
INDEX(DropdownLists!$F$2:$F$277,MATCH('Ingest Template'!D582,DropdownLists!$C$2:$C$277,0)),
CHAR(10),
"|"&amp;'Ingest Template'!C582&amp;CHAR(10)
)&amp;"|"&amp;'Ingest Template'!C582,
SUBSTITUTE(
INDEX(DropdownLists!$F$2:$F$277,MATCH('Ingest Template'!D582,DropdownLists!$C$2:$C$277,0)),
CHAR(10),
"|"&amp;'Ingest Template'!C582&amp;CHAR(10)
)&amp;"|"&amp;'Ingest Template'!C582&amp;CHAR(10)&amp;'Ingest Template'!Y582
)</f>
        <v>#N/A</v>
      </c>
      <c r="X582" s="74" t="str">
        <f>'Ingest Template'!Z582</f>
        <v/>
      </c>
      <c r="Y582" s="35" t="str">
        <f>SUBSTITUTE(SUBSTITUTE(SUBSTITUTE('Ingest Template'!AA582,"http:",""),"https:",""),"/","")</f>
        <v/>
      </c>
      <c r="Z582" s="35" t="str">
        <f t="array" ref="Z582">IF('Ingest Template'!A582="Standard",(IF(ISBLANK('Ingest Template'!AB582),"", 'Ingest Template'!AB582&amp;"|DAR")),(IF(ISBLANK('Ingest Template'!AB582),"", 'Ingest Template'!AB582&amp;"|TV Ops")))</f>
        <v/>
      </c>
      <c r="AA582" s="35"/>
      <c r="AB582" s="35" t="str">
        <f>'Ingest Template'!R582</f>
        <v/>
      </c>
      <c r="AC582" s="35" t="str">
        <f>'Ingest Template'!T582</f>
        <v/>
      </c>
      <c r="AD582" s="35" t="str">
        <f>'Ingest Template'!S582</f>
        <v/>
      </c>
      <c r="AE582" s="35" t="str">
        <f>'Ingest Template'!U582</f>
        <v/>
      </c>
      <c r="AF582" s="22"/>
      <c r="AG582" s="35" t="str">
        <f t="array" ref="AG582">IF('Ingest Template'!A582="Standard",(CONCATENATE(IF(ISBLANK('Ingest Template'!N582),"", 'Ingest Template'!N582&amp;"|DAR"),CHAR(10), IF(ISBLANK('Ingest Template'!O582),"", 'Ingest Template'!O582&amp;"|DAR"),CHAR(10), IF(ISBLANK('Ingest Template'!P582),"", 'Ingest Template'!P582&amp;"|DAR"))),(CONCATENATE(IF(ISBLANK('Ingest Template'!N582),"", 'Ingest Template'!N582&amp;"|TV Ops"),CHAR(10), IF(ISBLANK('Ingest Template'!O582),"", 'Ingest Template'!O582&amp;"|TV Ops"),CHAR(10), IF(ISBLANK('Ingest Template'!P582),"", 'Ingest Template'!P582&amp;"|TV Ops"))))</f>
        <v>
</v>
      </c>
      <c r="AH582" s="35"/>
      <c r="AI582" s="35"/>
      <c r="AJ582" s="117" t="str">
        <f>if('Ingest Template'!A582="Standard",(IF(OR('Ingest Template'!F582 = "Program Type - Special", 'Ingest Template'!F582 = "Program Type - Live Event"),'Ingest Template'!M582&amp; "|DAR|DAR|"&amp;TEXT('Ingest Template'!C582-3, "yyyy-mm-dd")&amp;"|"&amp;TEXT('Ingest Template'!C582+3, "yyyy-mm-dd"),'Ingest Template'!M582&amp; "|DAR|DAR|2021-01-01")),(IF(OR('Ingest Template'!F582 = "Program Type - Special", 'Ingest Template'!F582 = "Program Type - Live Event"),'Ingest Template'!M582&amp; "|Operations - Core Title|Operations - Core Title|"&amp;TEXT('Ingest Template'!C582-3, "yyyy-mm-dd")&amp;"|"&amp;TEXT('Ingest Template'!C582+3, "yyyy-mm-dd"),'Ingest Template'!M582&amp; "|Operations - Core Title|Operations - Core Title")))</f>
        <v>|Operations - Core Title|Operations - Core Title</v>
      </c>
      <c r="AK582" s="35"/>
      <c r="AL582" s="117" t="str">
        <f>if('Ingest Template'!A582="Standard",(IF(OR('Ingest Template'!F582 = "Program Type - Special", 'Ingest Template'!F582 = "Program Type - Live Event"),'Ingest Template'!Q582&amp;"|"&amp;TEXT('Ingest Template'!C582-3, "yyyy-mm-dd")&amp;"|"&amp;TEXT('Ingest Template'!C582+3, "yyyy-mm-dd"),'Ingest Template'!Q582&amp; "|2021-01-01")),(IF(OR('Ingest Template'!F582 = "Program Type - Special", 'Ingest Template'!F582 = "Program Type - Live Event"),'Ingest Template'!Q582&amp; "|"&amp;TEXT('Ingest Template'!C582-3, "yyyy-mm-dd")&amp;"|"&amp;TEXT('Ingest Template'!C582+3, "yyyy-mm-dd"),'Ingest Template'!Q582)))</f>
        <v/>
      </c>
      <c r="AM582" s="35" t="str">
        <f>'Ingest Template'!AC582</f>
        <v/>
      </c>
    </row>
    <row r="583">
      <c r="A583" s="15"/>
      <c r="B583" s="22" t="str">
        <f>'Ingest Template'!C583&amp;IF('Ingest Template'!A583 = "Standard", " - DAR","")</f>
        <v/>
      </c>
      <c r="C583" s="22" t="s">
        <v>83</v>
      </c>
      <c r="D583" s="22" t="str">
        <f t="array" ref="D583">CONCATENATE(INDEX(DropdownLists!$H$2:$H$11,MATCH(1,COUNTIF('Ingest Template'!E583,"*"&amp;DropdownLists!$I$2:$I$11&amp;"*"),0)),CHAR(10),'Ingest Template'!F583,CHAR(10),'Ingest Template'!G583,CHAR(10),VLOOKUP('Ingest Template'!D583,DropdownLists!C:D,2,FALSE))</f>
        <v>#N/A</v>
      </c>
      <c r="E583" s="22" t="str">
        <f>CONCATENATE('Ingest Template'!H583,CHAR(10),'Ingest Template'!I583,CHAR(10),'Ingest Template'!J583,CHAR(10))</f>
        <v>
</v>
      </c>
      <c r="F583" s="35" t="str">
        <f t="array" ref="F583">INDEX(DropdownLists!$O$2:$O$36,MATCH(1,COUNTIF(E583,"*"&amp;DropdownLists!$N$2:$N$36&amp;"*"),0))</f>
        <v/>
      </c>
      <c r="G583" s="35"/>
      <c r="H583" s="22" t="str">
        <f t="array" ref="H583">INDEX(DropdownLists!$E$2:$E$276,MATCH('Ingest Template'!D583,DropdownLists!$C$2:$C$276,0))</f>
        <v>#N/A</v>
      </c>
      <c r="I583" s="22"/>
      <c r="J583" s="22" t="str">
        <f t="array" ref="J583">iF('Ingest Template'!A583="Standard","Pristine Brand",INDEX(DropdownLists!$B$2:$B$246,MATCH('Ingest Template'!D583,DropdownLists!$C$2:$C$246,0)))</f>
        <v>#N/A</v>
      </c>
      <c r="K583" s="22" t="str">
        <f>iF('Ingest Template'!A583="Standard",'Ingest Template'!K583&amp;CHAR(10)&amp;'Ingest Template'!L583,"Competitive View")</f>
        <v>Competitive View</v>
      </c>
      <c r="L583" s="22" t="s">
        <v>95</v>
      </c>
      <c r="M583" s="45" t="str">
        <f>'Ingest Template'!B583</f>
        <v/>
      </c>
      <c r="N583" s="35"/>
      <c r="O583" s="35"/>
      <c r="P583" s="35"/>
      <c r="Q583" s="35"/>
      <c r="R583" s="35" t="str">
        <f>'Ingest Template'!D583</f>
        <v/>
      </c>
      <c r="S583" s="22" t="s">
        <v>101</v>
      </c>
      <c r="T583" s="35" t="str">
        <f>'Ingest Template'!V583</f>
        <v/>
      </c>
      <c r="U583" s="35" t="str">
        <f>'Ingest Template'!W583</f>
        <v/>
      </c>
      <c r="V583" s="35" t="str">
        <f>LOWER(SUBSTITUTE(SUBSTITUTE(SUBSTITUTE(SUBSTITUTE(SUBSTITUTE('Ingest Template'!X583,"https:",""),"www.",""),"/",""),"?hl=en",""),"instagram.com",""))</f>
        <v/>
      </c>
      <c r="W583" s="74" t="str">
        <f t="array" ref="W583">IF(
'Ingest Template'!Y583="",
SUBSTITUTE(
INDEX(DropdownLists!$F$2:$F$277,MATCH('Ingest Template'!D583,DropdownLists!$C$2:$C$277,0)),
CHAR(10),
"|"&amp;'Ingest Template'!C583&amp;CHAR(10)
)&amp;"|"&amp;'Ingest Template'!C583,
SUBSTITUTE(
INDEX(DropdownLists!$F$2:$F$277,MATCH('Ingest Template'!D583,DropdownLists!$C$2:$C$277,0)),
CHAR(10),
"|"&amp;'Ingest Template'!C583&amp;CHAR(10)
)&amp;"|"&amp;'Ingest Template'!C583&amp;CHAR(10)&amp;'Ingest Template'!Y583
)</f>
        <v>#N/A</v>
      </c>
      <c r="X583" s="74" t="str">
        <f>'Ingest Template'!Z583</f>
        <v/>
      </c>
      <c r="Y583" s="35" t="str">
        <f>SUBSTITUTE(SUBSTITUTE(SUBSTITUTE('Ingest Template'!AA583,"http:",""),"https:",""),"/","")</f>
        <v/>
      </c>
      <c r="Z583" s="35" t="str">
        <f t="array" ref="Z583">IF('Ingest Template'!A583="Standard",(IF(ISBLANK('Ingest Template'!AB583),"", 'Ingest Template'!AB583&amp;"|DAR")),(IF(ISBLANK('Ingest Template'!AB583),"", 'Ingest Template'!AB583&amp;"|TV Ops")))</f>
        <v/>
      </c>
      <c r="AA583" s="35"/>
      <c r="AB583" s="35" t="str">
        <f>'Ingest Template'!R583</f>
        <v/>
      </c>
      <c r="AC583" s="35" t="str">
        <f>'Ingest Template'!T583</f>
        <v/>
      </c>
      <c r="AD583" s="35" t="str">
        <f>'Ingest Template'!S583</f>
        <v/>
      </c>
      <c r="AE583" s="35" t="str">
        <f>'Ingest Template'!U583</f>
        <v/>
      </c>
      <c r="AF583" s="22"/>
      <c r="AG583" s="35" t="str">
        <f t="array" ref="AG583">IF('Ingest Template'!A583="Standard",(CONCATENATE(IF(ISBLANK('Ingest Template'!N583),"", 'Ingest Template'!N583&amp;"|DAR"),CHAR(10), IF(ISBLANK('Ingest Template'!O583),"", 'Ingest Template'!O583&amp;"|DAR"),CHAR(10), IF(ISBLANK('Ingest Template'!P583),"", 'Ingest Template'!P583&amp;"|DAR"))),(CONCATENATE(IF(ISBLANK('Ingest Template'!N583),"", 'Ingest Template'!N583&amp;"|TV Ops"),CHAR(10), IF(ISBLANK('Ingest Template'!O583),"", 'Ingest Template'!O583&amp;"|TV Ops"),CHAR(10), IF(ISBLANK('Ingest Template'!P583),"", 'Ingest Template'!P583&amp;"|TV Ops"))))</f>
        <v>
</v>
      </c>
      <c r="AH583" s="35"/>
      <c r="AI583" s="35"/>
      <c r="AJ583" s="117" t="str">
        <f>if('Ingest Template'!A583="Standard",(IF(OR('Ingest Template'!F583 = "Program Type - Special", 'Ingest Template'!F583 = "Program Type - Live Event"),'Ingest Template'!M583&amp; "|DAR|DAR|"&amp;TEXT('Ingest Template'!C583-3, "yyyy-mm-dd")&amp;"|"&amp;TEXT('Ingest Template'!C583+3, "yyyy-mm-dd"),'Ingest Template'!M583&amp; "|DAR|DAR|2021-01-01")),(IF(OR('Ingest Template'!F583 = "Program Type - Special", 'Ingest Template'!F583 = "Program Type - Live Event"),'Ingest Template'!M583&amp; "|Operations - Core Title|Operations - Core Title|"&amp;TEXT('Ingest Template'!C583-3, "yyyy-mm-dd")&amp;"|"&amp;TEXT('Ingest Template'!C583+3, "yyyy-mm-dd"),'Ingest Template'!M583&amp; "|Operations - Core Title|Operations - Core Title")))</f>
        <v>|Operations - Core Title|Operations - Core Title</v>
      </c>
      <c r="AK583" s="35"/>
      <c r="AL583" s="117" t="str">
        <f>if('Ingest Template'!A583="Standard",(IF(OR('Ingest Template'!F583 = "Program Type - Special", 'Ingest Template'!F583 = "Program Type - Live Event"),'Ingest Template'!Q583&amp;"|"&amp;TEXT('Ingest Template'!C583-3, "yyyy-mm-dd")&amp;"|"&amp;TEXT('Ingest Template'!C583+3, "yyyy-mm-dd"),'Ingest Template'!Q583&amp; "|2021-01-01")),(IF(OR('Ingest Template'!F583 = "Program Type - Special", 'Ingest Template'!F583 = "Program Type - Live Event"),'Ingest Template'!Q583&amp; "|"&amp;TEXT('Ingest Template'!C583-3, "yyyy-mm-dd")&amp;"|"&amp;TEXT('Ingest Template'!C583+3, "yyyy-mm-dd"),'Ingest Template'!Q583)))</f>
        <v/>
      </c>
      <c r="AM583" s="35" t="str">
        <f>'Ingest Template'!AC583</f>
        <v/>
      </c>
    </row>
    <row r="584">
      <c r="A584" s="15"/>
      <c r="B584" s="22" t="str">
        <f>'Ingest Template'!C584&amp;IF('Ingest Template'!A584 = "Standard", " - DAR","")</f>
        <v/>
      </c>
      <c r="C584" s="22" t="s">
        <v>83</v>
      </c>
      <c r="D584" s="22" t="str">
        <f t="array" ref="D584">CONCATENATE(INDEX(DropdownLists!$H$2:$H$11,MATCH(1,COUNTIF('Ingest Template'!E584,"*"&amp;DropdownLists!$I$2:$I$11&amp;"*"),0)),CHAR(10),'Ingest Template'!F584,CHAR(10),'Ingest Template'!G584,CHAR(10),VLOOKUP('Ingest Template'!D584,DropdownLists!C:D,2,FALSE))</f>
        <v>#N/A</v>
      </c>
      <c r="E584" s="22" t="str">
        <f>CONCATENATE('Ingest Template'!H584,CHAR(10),'Ingest Template'!I584,CHAR(10),'Ingest Template'!J584,CHAR(10))</f>
        <v>
</v>
      </c>
      <c r="F584" s="35" t="str">
        <f t="array" ref="F584">INDEX(DropdownLists!$O$2:$O$36,MATCH(1,COUNTIF(E584,"*"&amp;DropdownLists!$N$2:$N$36&amp;"*"),0))</f>
        <v/>
      </c>
      <c r="G584" s="35"/>
      <c r="H584" s="22" t="str">
        <f t="array" ref="H584">INDEX(DropdownLists!$E$2:$E$276,MATCH('Ingest Template'!D584,DropdownLists!$C$2:$C$276,0))</f>
        <v>#N/A</v>
      </c>
      <c r="I584" s="22"/>
      <c r="J584" s="22" t="str">
        <f t="array" ref="J584">iF('Ingest Template'!A584="Standard","Pristine Brand",INDEX(DropdownLists!$B$2:$B$246,MATCH('Ingest Template'!D584,DropdownLists!$C$2:$C$246,0)))</f>
        <v>#N/A</v>
      </c>
      <c r="K584" s="22" t="str">
        <f>iF('Ingest Template'!A584="Standard",'Ingest Template'!K584&amp;CHAR(10)&amp;'Ingest Template'!L584,"Competitive View")</f>
        <v>Competitive View</v>
      </c>
      <c r="L584" s="22" t="s">
        <v>95</v>
      </c>
      <c r="M584" s="45" t="str">
        <f>'Ingest Template'!B584</f>
        <v/>
      </c>
      <c r="N584" s="35"/>
      <c r="O584" s="35"/>
      <c r="P584" s="35"/>
      <c r="Q584" s="35"/>
      <c r="R584" s="35" t="str">
        <f>'Ingest Template'!D584</f>
        <v/>
      </c>
      <c r="S584" s="22" t="s">
        <v>101</v>
      </c>
      <c r="T584" s="35" t="str">
        <f>'Ingest Template'!V584</f>
        <v/>
      </c>
      <c r="U584" s="35" t="str">
        <f>'Ingest Template'!W584</f>
        <v/>
      </c>
      <c r="V584" s="35" t="str">
        <f>LOWER(SUBSTITUTE(SUBSTITUTE(SUBSTITUTE(SUBSTITUTE(SUBSTITUTE('Ingest Template'!X584,"https:",""),"www.",""),"/",""),"?hl=en",""),"instagram.com",""))</f>
        <v/>
      </c>
      <c r="W584" s="74" t="str">
        <f t="array" ref="W584">IF(
'Ingest Template'!Y584="",
SUBSTITUTE(
INDEX(DropdownLists!$F$2:$F$277,MATCH('Ingest Template'!D584,DropdownLists!$C$2:$C$277,0)),
CHAR(10),
"|"&amp;'Ingest Template'!C584&amp;CHAR(10)
)&amp;"|"&amp;'Ingest Template'!C584,
SUBSTITUTE(
INDEX(DropdownLists!$F$2:$F$277,MATCH('Ingest Template'!D584,DropdownLists!$C$2:$C$277,0)),
CHAR(10),
"|"&amp;'Ingest Template'!C584&amp;CHAR(10)
)&amp;"|"&amp;'Ingest Template'!C584&amp;CHAR(10)&amp;'Ingest Template'!Y584
)</f>
        <v>#N/A</v>
      </c>
      <c r="X584" s="74" t="str">
        <f>'Ingest Template'!Z584</f>
        <v/>
      </c>
      <c r="Y584" s="35" t="str">
        <f>SUBSTITUTE(SUBSTITUTE(SUBSTITUTE('Ingest Template'!AA584,"http:",""),"https:",""),"/","")</f>
        <v/>
      </c>
      <c r="Z584" s="35" t="str">
        <f t="array" ref="Z584">IF('Ingest Template'!A584="Standard",(IF(ISBLANK('Ingest Template'!AB584),"", 'Ingest Template'!AB584&amp;"|DAR")),(IF(ISBLANK('Ingest Template'!AB584),"", 'Ingest Template'!AB584&amp;"|TV Ops")))</f>
        <v/>
      </c>
      <c r="AA584" s="35"/>
      <c r="AB584" s="35" t="str">
        <f>'Ingest Template'!R584</f>
        <v/>
      </c>
      <c r="AC584" s="35" t="str">
        <f>'Ingest Template'!T584</f>
        <v/>
      </c>
      <c r="AD584" s="35" t="str">
        <f>'Ingest Template'!S584</f>
        <v/>
      </c>
      <c r="AE584" s="35" t="str">
        <f>'Ingest Template'!U584</f>
        <v/>
      </c>
      <c r="AF584" s="22"/>
      <c r="AG584" s="35" t="str">
        <f t="array" ref="AG584">IF('Ingest Template'!A584="Standard",(CONCATENATE(IF(ISBLANK('Ingest Template'!N584),"", 'Ingest Template'!N584&amp;"|DAR"),CHAR(10), IF(ISBLANK('Ingest Template'!O584),"", 'Ingest Template'!O584&amp;"|DAR"),CHAR(10), IF(ISBLANK('Ingest Template'!P584),"", 'Ingest Template'!P584&amp;"|DAR"))),(CONCATENATE(IF(ISBLANK('Ingest Template'!N584),"", 'Ingest Template'!N584&amp;"|TV Ops"),CHAR(10), IF(ISBLANK('Ingest Template'!O584),"", 'Ingest Template'!O584&amp;"|TV Ops"),CHAR(10), IF(ISBLANK('Ingest Template'!P584),"", 'Ingest Template'!P584&amp;"|TV Ops"))))</f>
        <v>
</v>
      </c>
      <c r="AH584" s="35"/>
      <c r="AI584" s="35"/>
      <c r="AJ584" s="117" t="str">
        <f>if('Ingest Template'!A584="Standard",(IF(OR('Ingest Template'!F584 = "Program Type - Special", 'Ingest Template'!F584 = "Program Type - Live Event"),'Ingest Template'!M584&amp; "|DAR|DAR|"&amp;TEXT('Ingest Template'!C584-3, "yyyy-mm-dd")&amp;"|"&amp;TEXT('Ingest Template'!C584+3, "yyyy-mm-dd"),'Ingest Template'!M584&amp; "|DAR|DAR|2021-01-01")),(IF(OR('Ingest Template'!F584 = "Program Type - Special", 'Ingest Template'!F584 = "Program Type - Live Event"),'Ingest Template'!M584&amp; "|Operations - Core Title|Operations - Core Title|"&amp;TEXT('Ingest Template'!C584-3, "yyyy-mm-dd")&amp;"|"&amp;TEXT('Ingest Template'!C584+3, "yyyy-mm-dd"),'Ingest Template'!M584&amp; "|Operations - Core Title|Operations - Core Title")))</f>
        <v>|Operations - Core Title|Operations - Core Title</v>
      </c>
      <c r="AK584" s="35"/>
      <c r="AL584" s="117" t="str">
        <f>if('Ingest Template'!A584="Standard",(IF(OR('Ingest Template'!F584 = "Program Type - Special", 'Ingest Template'!F584 = "Program Type - Live Event"),'Ingest Template'!Q584&amp;"|"&amp;TEXT('Ingest Template'!C584-3, "yyyy-mm-dd")&amp;"|"&amp;TEXT('Ingest Template'!C584+3, "yyyy-mm-dd"),'Ingest Template'!Q584&amp; "|2021-01-01")),(IF(OR('Ingest Template'!F584 = "Program Type - Special", 'Ingest Template'!F584 = "Program Type - Live Event"),'Ingest Template'!Q584&amp; "|"&amp;TEXT('Ingest Template'!C584-3, "yyyy-mm-dd")&amp;"|"&amp;TEXT('Ingest Template'!C584+3, "yyyy-mm-dd"),'Ingest Template'!Q584)))</f>
        <v/>
      </c>
      <c r="AM584" s="35" t="str">
        <f>'Ingest Template'!AC584</f>
        <v/>
      </c>
    </row>
    <row r="585">
      <c r="A585" s="15"/>
      <c r="B585" s="22" t="str">
        <f>'Ingest Template'!C585&amp;IF('Ingest Template'!A585 = "Standard", " - DAR","")</f>
        <v/>
      </c>
      <c r="C585" s="22" t="s">
        <v>83</v>
      </c>
      <c r="D585" s="22" t="str">
        <f t="array" ref="D585">CONCATENATE(INDEX(DropdownLists!$H$2:$H$11,MATCH(1,COUNTIF('Ingest Template'!E585,"*"&amp;DropdownLists!$I$2:$I$11&amp;"*"),0)),CHAR(10),'Ingest Template'!F585,CHAR(10),'Ingest Template'!G585,CHAR(10),VLOOKUP('Ingest Template'!D585,DropdownLists!C:D,2,FALSE))</f>
        <v>#N/A</v>
      </c>
      <c r="E585" s="22" t="str">
        <f>CONCATENATE('Ingest Template'!H585,CHAR(10),'Ingest Template'!I585,CHAR(10),'Ingest Template'!J585,CHAR(10))</f>
        <v>
</v>
      </c>
      <c r="F585" s="35" t="str">
        <f t="array" ref="F585">INDEX(DropdownLists!$O$2:$O$36,MATCH(1,COUNTIF(E585,"*"&amp;DropdownLists!$N$2:$N$36&amp;"*"),0))</f>
        <v/>
      </c>
      <c r="G585" s="35"/>
      <c r="H585" s="22" t="str">
        <f t="array" ref="H585">INDEX(DropdownLists!$E$2:$E$276,MATCH('Ingest Template'!D585,DropdownLists!$C$2:$C$276,0))</f>
        <v>#N/A</v>
      </c>
      <c r="I585" s="22"/>
      <c r="J585" s="22" t="str">
        <f t="array" ref="J585">iF('Ingest Template'!A585="Standard","Pristine Brand",INDEX(DropdownLists!$B$2:$B$246,MATCH('Ingest Template'!D585,DropdownLists!$C$2:$C$246,0)))</f>
        <v>#N/A</v>
      </c>
      <c r="K585" s="22" t="str">
        <f>iF('Ingest Template'!A585="Standard",'Ingest Template'!K585&amp;CHAR(10)&amp;'Ingest Template'!L585,"Competitive View")</f>
        <v>Competitive View</v>
      </c>
      <c r="L585" s="22" t="s">
        <v>95</v>
      </c>
      <c r="M585" s="45" t="str">
        <f>'Ingest Template'!B585</f>
        <v/>
      </c>
      <c r="N585" s="35"/>
      <c r="O585" s="35"/>
      <c r="P585" s="35"/>
      <c r="Q585" s="35"/>
      <c r="R585" s="35" t="str">
        <f>'Ingest Template'!D585</f>
        <v/>
      </c>
      <c r="S585" s="22" t="s">
        <v>101</v>
      </c>
      <c r="T585" s="35" t="str">
        <f>'Ingest Template'!V585</f>
        <v/>
      </c>
      <c r="U585" s="35" t="str">
        <f>'Ingest Template'!W585</f>
        <v/>
      </c>
      <c r="V585" s="35" t="str">
        <f>LOWER(SUBSTITUTE(SUBSTITUTE(SUBSTITUTE(SUBSTITUTE(SUBSTITUTE('Ingest Template'!X585,"https:",""),"www.",""),"/",""),"?hl=en",""),"instagram.com",""))</f>
        <v/>
      </c>
      <c r="W585" s="74" t="str">
        <f t="array" ref="W585">IF(
'Ingest Template'!Y585="",
SUBSTITUTE(
INDEX(DropdownLists!$F$2:$F$277,MATCH('Ingest Template'!D585,DropdownLists!$C$2:$C$277,0)),
CHAR(10),
"|"&amp;'Ingest Template'!C585&amp;CHAR(10)
)&amp;"|"&amp;'Ingest Template'!C585,
SUBSTITUTE(
INDEX(DropdownLists!$F$2:$F$277,MATCH('Ingest Template'!D585,DropdownLists!$C$2:$C$277,0)),
CHAR(10),
"|"&amp;'Ingest Template'!C585&amp;CHAR(10)
)&amp;"|"&amp;'Ingest Template'!C585&amp;CHAR(10)&amp;'Ingest Template'!Y585
)</f>
        <v>#N/A</v>
      </c>
      <c r="X585" s="74" t="str">
        <f>'Ingest Template'!Z585</f>
        <v/>
      </c>
      <c r="Y585" s="35" t="str">
        <f>SUBSTITUTE(SUBSTITUTE(SUBSTITUTE('Ingest Template'!AA585,"http:",""),"https:",""),"/","")</f>
        <v/>
      </c>
      <c r="Z585" s="35" t="str">
        <f t="array" ref="Z585">IF('Ingest Template'!A585="Standard",(IF(ISBLANK('Ingest Template'!AB585),"", 'Ingest Template'!AB585&amp;"|DAR")),(IF(ISBLANK('Ingest Template'!AB585),"", 'Ingest Template'!AB585&amp;"|TV Ops")))</f>
        <v/>
      </c>
      <c r="AA585" s="35"/>
      <c r="AB585" s="35" t="str">
        <f>'Ingest Template'!R585</f>
        <v/>
      </c>
      <c r="AC585" s="35" t="str">
        <f>'Ingest Template'!T585</f>
        <v/>
      </c>
      <c r="AD585" s="35" t="str">
        <f>'Ingest Template'!S585</f>
        <v/>
      </c>
      <c r="AE585" s="35" t="str">
        <f>'Ingest Template'!U585</f>
        <v/>
      </c>
      <c r="AF585" s="22"/>
      <c r="AG585" s="35" t="str">
        <f t="array" ref="AG585">IF('Ingest Template'!A585="Standard",(CONCATENATE(IF(ISBLANK('Ingest Template'!N585),"", 'Ingest Template'!N585&amp;"|DAR"),CHAR(10), IF(ISBLANK('Ingest Template'!O585),"", 'Ingest Template'!O585&amp;"|DAR"),CHAR(10), IF(ISBLANK('Ingest Template'!P585),"", 'Ingest Template'!P585&amp;"|DAR"))),(CONCATENATE(IF(ISBLANK('Ingest Template'!N585),"", 'Ingest Template'!N585&amp;"|TV Ops"),CHAR(10), IF(ISBLANK('Ingest Template'!O585),"", 'Ingest Template'!O585&amp;"|TV Ops"),CHAR(10), IF(ISBLANK('Ingest Template'!P585),"", 'Ingest Template'!P585&amp;"|TV Ops"))))</f>
        <v>
</v>
      </c>
      <c r="AH585" s="35"/>
      <c r="AI585" s="35"/>
      <c r="AJ585" s="117" t="str">
        <f>if('Ingest Template'!A585="Standard",(IF(OR('Ingest Template'!F585 = "Program Type - Special", 'Ingest Template'!F585 = "Program Type - Live Event"),'Ingest Template'!M585&amp; "|DAR|DAR|"&amp;TEXT('Ingest Template'!C585-3, "yyyy-mm-dd")&amp;"|"&amp;TEXT('Ingest Template'!C585+3, "yyyy-mm-dd"),'Ingest Template'!M585&amp; "|DAR|DAR|2021-01-01")),(IF(OR('Ingest Template'!F585 = "Program Type - Special", 'Ingest Template'!F585 = "Program Type - Live Event"),'Ingest Template'!M585&amp; "|Operations - Core Title|Operations - Core Title|"&amp;TEXT('Ingest Template'!C585-3, "yyyy-mm-dd")&amp;"|"&amp;TEXT('Ingest Template'!C585+3, "yyyy-mm-dd"),'Ingest Template'!M585&amp; "|Operations - Core Title|Operations - Core Title")))</f>
        <v>|Operations - Core Title|Operations - Core Title</v>
      </c>
      <c r="AK585" s="35"/>
      <c r="AL585" s="117" t="str">
        <f>if('Ingest Template'!A585="Standard",(IF(OR('Ingest Template'!F585 = "Program Type - Special", 'Ingest Template'!F585 = "Program Type - Live Event"),'Ingest Template'!Q585&amp;"|"&amp;TEXT('Ingest Template'!C585-3, "yyyy-mm-dd")&amp;"|"&amp;TEXT('Ingest Template'!C585+3, "yyyy-mm-dd"),'Ingest Template'!Q585&amp; "|2021-01-01")),(IF(OR('Ingest Template'!F585 = "Program Type - Special", 'Ingest Template'!F585 = "Program Type - Live Event"),'Ingest Template'!Q585&amp; "|"&amp;TEXT('Ingest Template'!C585-3, "yyyy-mm-dd")&amp;"|"&amp;TEXT('Ingest Template'!C585+3, "yyyy-mm-dd"),'Ingest Template'!Q585)))</f>
        <v/>
      </c>
      <c r="AM585" s="35" t="str">
        <f>'Ingest Template'!AC585</f>
        <v/>
      </c>
    </row>
    <row r="586">
      <c r="A586" s="15"/>
      <c r="B586" s="22" t="str">
        <f>'Ingest Template'!C586&amp;IF('Ingest Template'!A586 = "Standard", " - DAR","")</f>
        <v/>
      </c>
      <c r="C586" s="22" t="s">
        <v>83</v>
      </c>
      <c r="D586" s="22" t="str">
        <f t="array" ref="D586">CONCATENATE(INDEX(DropdownLists!$H$2:$H$11,MATCH(1,COUNTIF('Ingest Template'!E586,"*"&amp;DropdownLists!$I$2:$I$11&amp;"*"),0)),CHAR(10),'Ingest Template'!F586,CHAR(10),'Ingest Template'!G586,CHAR(10),VLOOKUP('Ingest Template'!D586,DropdownLists!C:D,2,FALSE))</f>
        <v>#N/A</v>
      </c>
      <c r="E586" s="22" t="str">
        <f>CONCATENATE('Ingest Template'!H586,CHAR(10),'Ingest Template'!I586,CHAR(10),'Ingest Template'!J586,CHAR(10))</f>
        <v>
</v>
      </c>
      <c r="F586" s="35" t="str">
        <f t="array" ref="F586">INDEX(DropdownLists!$O$2:$O$36,MATCH(1,COUNTIF(E586,"*"&amp;DropdownLists!$N$2:$N$36&amp;"*"),0))</f>
        <v/>
      </c>
      <c r="G586" s="35"/>
      <c r="H586" s="22" t="str">
        <f t="array" ref="H586">INDEX(DropdownLists!$E$2:$E$276,MATCH('Ingest Template'!D586,DropdownLists!$C$2:$C$276,0))</f>
        <v>#N/A</v>
      </c>
      <c r="I586" s="22"/>
      <c r="J586" s="22" t="str">
        <f t="array" ref="J586">iF('Ingest Template'!A586="Standard","Pristine Brand",INDEX(DropdownLists!$B$2:$B$246,MATCH('Ingest Template'!D586,DropdownLists!$C$2:$C$246,0)))</f>
        <v>#N/A</v>
      </c>
      <c r="K586" s="22" t="str">
        <f>iF('Ingest Template'!A586="Standard",'Ingest Template'!K586&amp;CHAR(10)&amp;'Ingest Template'!L586,"Competitive View")</f>
        <v>Competitive View</v>
      </c>
      <c r="L586" s="22" t="s">
        <v>95</v>
      </c>
      <c r="M586" s="45" t="str">
        <f>'Ingest Template'!B586</f>
        <v/>
      </c>
      <c r="N586" s="35"/>
      <c r="O586" s="35"/>
      <c r="P586" s="35"/>
      <c r="Q586" s="35"/>
      <c r="R586" s="35" t="str">
        <f>'Ingest Template'!D586</f>
        <v/>
      </c>
      <c r="S586" s="22" t="s">
        <v>101</v>
      </c>
      <c r="T586" s="35" t="str">
        <f>'Ingest Template'!V586</f>
        <v/>
      </c>
      <c r="U586" s="35" t="str">
        <f>'Ingest Template'!W586</f>
        <v/>
      </c>
      <c r="V586" s="35" t="str">
        <f>LOWER(SUBSTITUTE(SUBSTITUTE(SUBSTITUTE(SUBSTITUTE(SUBSTITUTE('Ingest Template'!X586,"https:",""),"www.",""),"/",""),"?hl=en",""),"instagram.com",""))</f>
        <v/>
      </c>
      <c r="W586" s="74" t="str">
        <f t="array" ref="W586">IF(
'Ingest Template'!Y586="",
SUBSTITUTE(
INDEX(DropdownLists!$F$2:$F$277,MATCH('Ingest Template'!D586,DropdownLists!$C$2:$C$277,0)),
CHAR(10),
"|"&amp;'Ingest Template'!C586&amp;CHAR(10)
)&amp;"|"&amp;'Ingest Template'!C586,
SUBSTITUTE(
INDEX(DropdownLists!$F$2:$F$277,MATCH('Ingest Template'!D586,DropdownLists!$C$2:$C$277,0)),
CHAR(10),
"|"&amp;'Ingest Template'!C586&amp;CHAR(10)
)&amp;"|"&amp;'Ingest Template'!C586&amp;CHAR(10)&amp;'Ingest Template'!Y586
)</f>
        <v>#N/A</v>
      </c>
      <c r="X586" s="74" t="str">
        <f>'Ingest Template'!Z586</f>
        <v/>
      </c>
      <c r="Y586" s="35" t="str">
        <f>SUBSTITUTE(SUBSTITUTE(SUBSTITUTE('Ingest Template'!AA586,"http:",""),"https:",""),"/","")</f>
        <v/>
      </c>
      <c r="Z586" s="35" t="str">
        <f t="array" ref="Z586">IF('Ingest Template'!A586="Standard",(IF(ISBLANK('Ingest Template'!AB586),"", 'Ingest Template'!AB586&amp;"|DAR")),(IF(ISBLANK('Ingest Template'!AB586),"", 'Ingest Template'!AB586&amp;"|TV Ops")))</f>
        <v/>
      </c>
      <c r="AA586" s="35"/>
      <c r="AB586" s="35" t="str">
        <f>'Ingest Template'!R586</f>
        <v/>
      </c>
      <c r="AC586" s="35" t="str">
        <f>'Ingest Template'!T586</f>
        <v/>
      </c>
      <c r="AD586" s="35" t="str">
        <f>'Ingest Template'!S586</f>
        <v/>
      </c>
      <c r="AE586" s="35" t="str">
        <f>'Ingest Template'!U586</f>
        <v/>
      </c>
      <c r="AF586" s="22"/>
      <c r="AG586" s="35" t="str">
        <f t="array" ref="AG586">IF('Ingest Template'!A586="Standard",(CONCATENATE(IF(ISBLANK('Ingest Template'!N586),"", 'Ingest Template'!N586&amp;"|DAR"),CHAR(10), IF(ISBLANK('Ingest Template'!O586),"", 'Ingest Template'!O586&amp;"|DAR"),CHAR(10), IF(ISBLANK('Ingest Template'!P586),"", 'Ingest Template'!P586&amp;"|DAR"))),(CONCATENATE(IF(ISBLANK('Ingest Template'!N586),"", 'Ingest Template'!N586&amp;"|TV Ops"),CHAR(10), IF(ISBLANK('Ingest Template'!O586),"", 'Ingest Template'!O586&amp;"|TV Ops"),CHAR(10), IF(ISBLANK('Ingest Template'!P586),"", 'Ingest Template'!P586&amp;"|TV Ops"))))</f>
        <v>
</v>
      </c>
      <c r="AH586" s="35"/>
      <c r="AI586" s="35"/>
      <c r="AJ586" s="117" t="str">
        <f>if('Ingest Template'!A586="Standard",(IF(OR('Ingest Template'!F586 = "Program Type - Special", 'Ingest Template'!F586 = "Program Type - Live Event"),'Ingest Template'!M586&amp; "|DAR|DAR|"&amp;TEXT('Ingest Template'!C586-3, "yyyy-mm-dd")&amp;"|"&amp;TEXT('Ingest Template'!C586+3, "yyyy-mm-dd"),'Ingest Template'!M586&amp; "|DAR|DAR|2021-01-01")),(IF(OR('Ingest Template'!F586 = "Program Type - Special", 'Ingest Template'!F586 = "Program Type - Live Event"),'Ingest Template'!M586&amp; "|Operations - Core Title|Operations - Core Title|"&amp;TEXT('Ingest Template'!C586-3, "yyyy-mm-dd")&amp;"|"&amp;TEXT('Ingest Template'!C586+3, "yyyy-mm-dd"),'Ingest Template'!M586&amp; "|Operations - Core Title|Operations - Core Title")))</f>
        <v>|Operations - Core Title|Operations - Core Title</v>
      </c>
      <c r="AK586" s="35"/>
      <c r="AL586" s="117" t="str">
        <f>if('Ingest Template'!A586="Standard",(IF(OR('Ingest Template'!F586 = "Program Type - Special", 'Ingest Template'!F586 = "Program Type - Live Event"),'Ingest Template'!Q586&amp;"|"&amp;TEXT('Ingest Template'!C586-3, "yyyy-mm-dd")&amp;"|"&amp;TEXT('Ingest Template'!C586+3, "yyyy-mm-dd"),'Ingest Template'!Q586&amp; "|2021-01-01")),(IF(OR('Ingest Template'!F586 = "Program Type - Special", 'Ingest Template'!F586 = "Program Type - Live Event"),'Ingest Template'!Q586&amp; "|"&amp;TEXT('Ingest Template'!C586-3, "yyyy-mm-dd")&amp;"|"&amp;TEXT('Ingest Template'!C586+3, "yyyy-mm-dd"),'Ingest Template'!Q586)))</f>
        <v/>
      </c>
      <c r="AM586" s="35" t="str">
        <f>'Ingest Template'!AC586</f>
        <v/>
      </c>
    </row>
    <row r="587">
      <c r="A587" s="15"/>
      <c r="B587" s="22" t="str">
        <f>'Ingest Template'!C587&amp;IF('Ingest Template'!A587 = "Standard", " - DAR","")</f>
        <v/>
      </c>
      <c r="C587" s="22" t="s">
        <v>83</v>
      </c>
      <c r="D587" s="22" t="str">
        <f t="array" ref="D587">CONCATENATE(INDEX(DropdownLists!$H$2:$H$11,MATCH(1,COUNTIF('Ingest Template'!E587,"*"&amp;DropdownLists!$I$2:$I$11&amp;"*"),0)),CHAR(10),'Ingest Template'!F587,CHAR(10),'Ingest Template'!G587,CHAR(10),VLOOKUP('Ingest Template'!D587,DropdownLists!C:D,2,FALSE))</f>
        <v>#N/A</v>
      </c>
      <c r="E587" s="22" t="str">
        <f>CONCATENATE('Ingest Template'!H587,CHAR(10),'Ingest Template'!I587,CHAR(10),'Ingest Template'!J587,CHAR(10))</f>
        <v>
</v>
      </c>
      <c r="F587" s="35" t="str">
        <f t="array" ref="F587">INDEX(DropdownLists!$O$2:$O$36,MATCH(1,COUNTIF(E587,"*"&amp;DropdownLists!$N$2:$N$36&amp;"*"),0))</f>
        <v/>
      </c>
      <c r="G587" s="35"/>
      <c r="H587" s="22" t="str">
        <f t="array" ref="H587">INDEX(DropdownLists!$E$2:$E$276,MATCH('Ingest Template'!D587,DropdownLists!$C$2:$C$276,0))</f>
        <v>#N/A</v>
      </c>
      <c r="I587" s="22"/>
      <c r="J587" s="22" t="str">
        <f t="array" ref="J587">iF('Ingest Template'!A587="Standard","Pristine Brand",INDEX(DropdownLists!$B$2:$B$246,MATCH('Ingest Template'!D587,DropdownLists!$C$2:$C$246,0)))</f>
        <v>#N/A</v>
      </c>
      <c r="K587" s="22" t="str">
        <f>iF('Ingest Template'!A587="Standard",'Ingest Template'!K587&amp;CHAR(10)&amp;'Ingest Template'!L587,"Competitive View")</f>
        <v>Competitive View</v>
      </c>
      <c r="L587" s="22" t="s">
        <v>95</v>
      </c>
      <c r="M587" s="45" t="str">
        <f>'Ingest Template'!B587</f>
        <v/>
      </c>
      <c r="N587" s="35"/>
      <c r="O587" s="35"/>
      <c r="P587" s="35"/>
      <c r="Q587" s="35"/>
      <c r="R587" s="35" t="str">
        <f>'Ingest Template'!D587</f>
        <v/>
      </c>
      <c r="S587" s="22" t="s">
        <v>101</v>
      </c>
      <c r="T587" s="35" t="str">
        <f>'Ingest Template'!V587</f>
        <v/>
      </c>
      <c r="U587" s="35" t="str">
        <f>'Ingest Template'!W587</f>
        <v/>
      </c>
      <c r="V587" s="35" t="str">
        <f>LOWER(SUBSTITUTE(SUBSTITUTE(SUBSTITUTE(SUBSTITUTE(SUBSTITUTE('Ingest Template'!X587,"https:",""),"www.",""),"/",""),"?hl=en",""),"instagram.com",""))</f>
        <v/>
      </c>
      <c r="W587" s="74" t="str">
        <f t="array" ref="W587">IF(
'Ingest Template'!Y587="",
SUBSTITUTE(
INDEX(DropdownLists!$F$2:$F$277,MATCH('Ingest Template'!D587,DropdownLists!$C$2:$C$277,0)),
CHAR(10),
"|"&amp;'Ingest Template'!C587&amp;CHAR(10)
)&amp;"|"&amp;'Ingest Template'!C587,
SUBSTITUTE(
INDEX(DropdownLists!$F$2:$F$277,MATCH('Ingest Template'!D587,DropdownLists!$C$2:$C$277,0)),
CHAR(10),
"|"&amp;'Ingest Template'!C587&amp;CHAR(10)
)&amp;"|"&amp;'Ingest Template'!C587&amp;CHAR(10)&amp;'Ingest Template'!Y587
)</f>
        <v>#N/A</v>
      </c>
      <c r="X587" s="74" t="str">
        <f>'Ingest Template'!Z587</f>
        <v/>
      </c>
      <c r="Y587" s="35" t="str">
        <f>SUBSTITUTE(SUBSTITUTE(SUBSTITUTE('Ingest Template'!AA587,"http:",""),"https:",""),"/","")</f>
        <v/>
      </c>
      <c r="Z587" s="35" t="str">
        <f t="array" ref="Z587">IF('Ingest Template'!A587="Standard",(IF(ISBLANK('Ingest Template'!AB587),"", 'Ingest Template'!AB587&amp;"|DAR")),(IF(ISBLANK('Ingest Template'!AB587),"", 'Ingest Template'!AB587&amp;"|TV Ops")))</f>
        <v/>
      </c>
      <c r="AA587" s="35"/>
      <c r="AB587" s="35" t="str">
        <f>'Ingest Template'!R587</f>
        <v/>
      </c>
      <c r="AC587" s="35" t="str">
        <f>'Ingest Template'!T587</f>
        <v/>
      </c>
      <c r="AD587" s="35" t="str">
        <f>'Ingest Template'!S587</f>
        <v/>
      </c>
      <c r="AE587" s="35" t="str">
        <f>'Ingest Template'!U587</f>
        <v/>
      </c>
      <c r="AF587" s="22"/>
      <c r="AG587" s="35" t="str">
        <f t="array" ref="AG587">IF('Ingest Template'!A587="Standard",(CONCATENATE(IF(ISBLANK('Ingest Template'!N587),"", 'Ingest Template'!N587&amp;"|DAR"),CHAR(10), IF(ISBLANK('Ingest Template'!O587),"", 'Ingest Template'!O587&amp;"|DAR"),CHAR(10), IF(ISBLANK('Ingest Template'!P587),"", 'Ingest Template'!P587&amp;"|DAR"))),(CONCATENATE(IF(ISBLANK('Ingest Template'!N587),"", 'Ingest Template'!N587&amp;"|TV Ops"),CHAR(10), IF(ISBLANK('Ingest Template'!O587),"", 'Ingest Template'!O587&amp;"|TV Ops"),CHAR(10), IF(ISBLANK('Ingest Template'!P587),"", 'Ingest Template'!P587&amp;"|TV Ops"))))</f>
        <v>
</v>
      </c>
      <c r="AH587" s="35"/>
      <c r="AI587" s="35"/>
      <c r="AJ587" s="117" t="str">
        <f>if('Ingest Template'!A587="Standard",(IF(OR('Ingest Template'!F587 = "Program Type - Special", 'Ingest Template'!F587 = "Program Type - Live Event"),'Ingest Template'!M587&amp; "|DAR|DAR|"&amp;TEXT('Ingest Template'!C587-3, "yyyy-mm-dd")&amp;"|"&amp;TEXT('Ingest Template'!C587+3, "yyyy-mm-dd"),'Ingest Template'!M587&amp; "|DAR|DAR|2021-01-01")),(IF(OR('Ingest Template'!F587 = "Program Type - Special", 'Ingest Template'!F587 = "Program Type - Live Event"),'Ingest Template'!M587&amp; "|Operations - Core Title|Operations - Core Title|"&amp;TEXT('Ingest Template'!C587-3, "yyyy-mm-dd")&amp;"|"&amp;TEXT('Ingest Template'!C587+3, "yyyy-mm-dd"),'Ingest Template'!M587&amp; "|Operations - Core Title|Operations - Core Title")))</f>
        <v>|Operations - Core Title|Operations - Core Title</v>
      </c>
      <c r="AK587" s="35"/>
      <c r="AL587" s="117" t="str">
        <f>if('Ingest Template'!A587="Standard",(IF(OR('Ingest Template'!F587 = "Program Type - Special", 'Ingest Template'!F587 = "Program Type - Live Event"),'Ingest Template'!Q587&amp;"|"&amp;TEXT('Ingest Template'!C587-3, "yyyy-mm-dd")&amp;"|"&amp;TEXT('Ingest Template'!C587+3, "yyyy-mm-dd"),'Ingest Template'!Q587&amp; "|2021-01-01")),(IF(OR('Ingest Template'!F587 = "Program Type - Special", 'Ingest Template'!F587 = "Program Type - Live Event"),'Ingest Template'!Q587&amp; "|"&amp;TEXT('Ingest Template'!C587-3, "yyyy-mm-dd")&amp;"|"&amp;TEXT('Ingest Template'!C587+3, "yyyy-mm-dd"),'Ingest Template'!Q587)))</f>
        <v/>
      </c>
      <c r="AM587" s="35" t="str">
        <f>'Ingest Template'!AC587</f>
        <v/>
      </c>
    </row>
    <row r="588">
      <c r="A588" s="15"/>
      <c r="B588" s="22" t="str">
        <f>'Ingest Template'!C588&amp;IF('Ingest Template'!A588 = "Standard", " - DAR","")</f>
        <v/>
      </c>
      <c r="C588" s="22" t="s">
        <v>83</v>
      </c>
      <c r="D588" s="22" t="str">
        <f t="array" ref="D588">CONCATENATE(INDEX(DropdownLists!$H$2:$H$11,MATCH(1,COUNTIF('Ingest Template'!E588,"*"&amp;DropdownLists!$I$2:$I$11&amp;"*"),0)),CHAR(10),'Ingest Template'!F588,CHAR(10),'Ingest Template'!G588,CHAR(10),VLOOKUP('Ingest Template'!D588,DropdownLists!C:D,2,FALSE))</f>
        <v>#N/A</v>
      </c>
      <c r="E588" s="22" t="str">
        <f>CONCATENATE('Ingest Template'!H588,CHAR(10),'Ingest Template'!I588,CHAR(10),'Ingest Template'!J588,CHAR(10))</f>
        <v>
</v>
      </c>
      <c r="F588" s="35" t="str">
        <f t="array" ref="F588">INDEX(DropdownLists!$O$2:$O$36,MATCH(1,COUNTIF(E588,"*"&amp;DropdownLists!$N$2:$N$36&amp;"*"),0))</f>
        <v/>
      </c>
      <c r="G588" s="35"/>
      <c r="H588" s="22" t="str">
        <f t="array" ref="H588">INDEX(DropdownLists!$E$2:$E$276,MATCH('Ingest Template'!D588,DropdownLists!$C$2:$C$276,0))</f>
        <v>#N/A</v>
      </c>
      <c r="I588" s="22"/>
      <c r="J588" s="22" t="str">
        <f t="array" ref="J588">iF('Ingest Template'!A588="Standard","Pristine Brand",INDEX(DropdownLists!$B$2:$B$246,MATCH('Ingest Template'!D588,DropdownLists!$C$2:$C$246,0)))</f>
        <v>#N/A</v>
      </c>
      <c r="K588" s="22" t="str">
        <f>iF('Ingest Template'!A588="Standard",'Ingest Template'!K588&amp;CHAR(10)&amp;'Ingest Template'!L588,"Competitive View")</f>
        <v>Competitive View</v>
      </c>
      <c r="L588" s="22" t="s">
        <v>95</v>
      </c>
      <c r="M588" s="45" t="str">
        <f>'Ingest Template'!B588</f>
        <v/>
      </c>
      <c r="N588" s="35"/>
      <c r="O588" s="35"/>
      <c r="P588" s="35"/>
      <c r="Q588" s="35"/>
      <c r="R588" s="35" t="str">
        <f>'Ingest Template'!D588</f>
        <v/>
      </c>
      <c r="S588" s="22" t="s">
        <v>101</v>
      </c>
      <c r="T588" s="35" t="str">
        <f>'Ingest Template'!V588</f>
        <v/>
      </c>
      <c r="U588" s="35" t="str">
        <f>'Ingest Template'!W588</f>
        <v/>
      </c>
      <c r="V588" s="35" t="str">
        <f>LOWER(SUBSTITUTE(SUBSTITUTE(SUBSTITUTE(SUBSTITUTE(SUBSTITUTE('Ingest Template'!X588,"https:",""),"www.",""),"/",""),"?hl=en",""),"instagram.com",""))</f>
        <v/>
      </c>
      <c r="W588" s="74" t="str">
        <f t="array" ref="W588">IF(
'Ingest Template'!Y588="",
SUBSTITUTE(
INDEX(DropdownLists!$F$2:$F$277,MATCH('Ingest Template'!D588,DropdownLists!$C$2:$C$277,0)),
CHAR(10),
"|"&amp;'Ingest Template'!C588&amp;CHAR(10)
)&amp;"|"&amp;'Ingest Template'!C588,
SUBSTITUTE(
INDEX(DropdownLists!$F$2:$F$277,MATCH('Ingest Template'!D588,DropdownLists!$C$2:$C$277,0)),
CHAR(10),
"|"&amp;'Ingest Template'!C588&amp;CHAR(10)
)&amp;"|"&amp;'Ingest Template'!C588&amp;CHAR(10)&amp;'Ingest Template'!Y588
)</f>
        <v>#N/A</v>
      </c>
      <c r="X588" s="74" t="str">
        <f>'Ingest Template'!Z588</f>
        <v/>
      </c>
      <c r="Y588" s="35" t="str">
        <f>SUBSTITUTE(SUBSTITUTE(SUBSTITUTE('Ingest Template'!AA588,"http:",""),"https:",""),"/","")</f>
        <v/>
      </c>
      <c r="Z588" s="35" t="str">
        <f t="array" ref="Z588">IF('Ingest Template'!A588="Standard",(IF(ISBLANK('Ingest Template'!AB588),"", 'Ingest Template'!AB588&amp;"|DAR")),(IF(ISBLANK('Ingest Template'!AB588),"", 'Ingest Template'!AB588&amp;"|TV Ops")))</f>
        <v/>
      </c>
      <c r="AA588" s="35"/>
      <c r="AB588" s="35" t="str">
        <f>'Ingest Template'!R588</f>
        <v/>
      </c>
      <c r="AC588" s="35" t="str">
        <f>'Ingest Template'!T588</f>
        <v/>
      </c>
      <c r="AD588" s="35" t="str">
        <f>'Ingest Template'!S588</f>
        <v/>
      </c>
      <c r="AE588" s="35" t="str">
        <f>'Ingest Template'!U588</f>
        <v/>
      </c>
      <c r="AF588" s="22"/>
      <c r="AG588" s="35" t="str">
        <f t="array" ref="AG588">IF('Ingest Template'!A588="Standard",(CONCATENATE(IF(ISBLANK('Ingest Template'!N588),"", 'Ingest Template'!N588&amp;"|DAR"),CHAR(10), IF(ISBLANK('Ingest Template'!O588),"", 'Ingest Template'!O588&amp;"|DAR"),CHAR(10), IF(ISBLANK('Ingest Template'!P588),"", 'Ingest Template'!P588&amp;"|DAR"))),(CONCATENATE(IF(ISBLANK('Ingest Template'!N588),"", 'Ingest Template'!N588&amp;"|TV Ops"),CHAR(10), IF(ISBLANK('Ingest Template'!O588),"", 'Ingest Template'!O588&amp;"|TV Ops"),CHAR(10), IF(ISBLANK('Ingest Template'!P588),"", 'Ingest Template'!P588&amp;"|TV Ops"))))</f>
        <v>
</v>
      </c>
      <c r="AH588" s="35"/>
      <c r="AI588" s="35"/>
      <c r="AJ588" s="117" t="str">
        <f>if('Ingest Template'!A588="Standard",(IF(OR('Ingest Template'!F588 = "Program Type - Special", 'Ingest Template'!F588 = "Program Type - Live Event"),'Ingest Template'!M588&amp; "|DAR|DAR|"&amp;TEXT('Ingest Template'!C588-3, "yyyy-mm-dd")&amp;"|"&amp;TEXT('Ingest Template'!C588+3, "yyyy-mm-dd"),'Ingest Template'!M588&amp; "|DAR|DAR|2021-01-01")),(IF(OR('Ingest Template'!F588 = "Program Type - Special", 'Ingest Template'!F588 = "Program Type - Live Event"),'Ingest Template'!M588&amp; "|Operations - Core Title|Operations - Core Title|"&amp;TEXT('Ingest Template'!C588-3, "yyyy-mm-dd")&amp;"|"&amp;TEXT('Ingest Template'!C588+3, "yyyy-mm-dd"),'Ingest Template'!M588&amp; "|Operations - Core Title|Operations - Core Title")))</f>
        <v>|Operations - Core Title|Operations - Core Title</v>
      </c>
      <c r="AK588" s="35"/>
      <c r="AL588" s="117" t="str">
        <f>if('Ingest Template'!A588="Standard",(IF(OR('Ingest Template'!F588 = "Program Type - Special", 'Ingest Template'!F588 = "Program Type - Live Event"),'Ingest Template'!Q588&amp;"|"&amp;TEXT('Ingest Template'!C588-3, "yyyy-mm-dd")&amp;"|"&amp;TEXT('Ingest Template'!C588+3, "yyyy-mm-dd"),'Ingest Template'!Q588&amp; "|2021-01-01")),(IF(OR('Ingest Template'!F588 = "Program Type - Special", 'Ingest Template'!F588 = "Program Type - Live Event"),'Ingest Template'!Q588&amp; "|"&amp;TEXT('Ingest Template'!C588-3, "yyyy-mm-dd")&amp;"|"&amp;TEXT('Ingest Template'!C588+3, "yyyy-mm-dd"),'Ingest Template'!Q588)))</f>
        <v/>
      </c>
      <c r="AM588" s="35" t="str">
        <f>'Ingest Template'!AC588</f>
        <v/>
      </c>
    </row>
    <row r="589">
      <c r="A589" s="15"/>
      <c r="B589" s="22" t="str">
        <f>'Ingest Template'!C589&amp;IF('Ingest Template'!A589 = "Standard", " - DAR","")</f>
        <v/>
      </c>
      <c r="C589" s="22" t="s">
        <v>83</v>
      </c>
      <c r="D589" s="22" t="str">
        <f t="array" ref="D589">CONCATENATE(INDEX(DropdownLists!$H$2:$H$11,MATCH(1,COUNTIF('Ingest Template'!E589,"*"&amp;DropdownLists!$I$2:$I$11&amp;"*"),0)),CHAR(10),'Ingest Template'!F589,CHAR(10),'Ingest Template'!G589,CHAR(10),VLOOKUP('Ingest Template'!D589,DropdownLists!C:D,2,FALSE))</f>
        <v>#N/A</v>
      </c>
      <c r="E589" s="22" t="str">
        <f>CONCATENATE('Ingest Template'!H589,CHAR(10),'Ingest Template'!I589,CHAR(10),'Ingest Template'!J589,CHAR(10))</f>
        <v>
</v>
      </c>
      <c r="F589" s="35" t="str">
        <f t="array" ref="F589">INDEX(DropdownLists!$O$2:$O$36,MATCH(1,COUNTIF(E589,"*"&amp;DropdownLists!$N$2:$N$36&amp;"*"),0))</f>
        <v/>
      </c>
      <c r="G589" s="35"/>
      <c r="H589" s="22" t="str">
        <f t="array" ref="H589">INDEX(DropdownLists!$E$2:$E$276,MATCH('Ingest Template'!D589,DropdownLists!$C$2:$C$276,0))</f>
        <v>#N/A</v>
      </c>
      <c r="I589" s="22"/>
      <c r="J589" s="22" t="str">
        <f t="array" ref="J589">iF('Ingest Template'!A589="Standard","Pristine Brand",INDEX(DropdownLists!$B$2:$B$246,MATCH('Ingest Template'!D589,DropdownLists!$C$2:$C$246,0)))</f>
        <v>#N/A</v>
      </c>
      <c r="K589" s="22" t="str">
        <f>iF('Ingest Template'!A589="Standard",'Ingest Template'!K589&amp;CHAR(10)&amp;'Ingest Template'!L589,"Competitive View")</f>
        <v>Competitive View</v>
      </c>
      <c r="L589" s="22" t="s">
        <v>95</v>
      </c>
      <c r="M589" s="45" t="str">
        <f>'Ingest Template'!B589</f>
        <v/>
      </c>
      <c r="N589" s="35"/>
      <c r="O589" s="35"/>
      <c r="P589" s="35"/>
      <c r="Q589" s="35"/>
      <c r="R589" s="35" t="str">
        <f>'Ingest Template'!D589</f>
        <v/>
      </c>
      <c r="S589" s="22" t="s">
        <v>101</v>
      </c>
      <c r="T589" s="35" t="str">
        <f>'Ingest Template'!V589</f>
        <v/>
      </c>
      <c r="U589" s="35" t="str">
        <f>'Ingest Template'!W589</f>
        <v/>
      </c>
      <c r="V589" s="35" t="str">
        <f>LOWER(SUBSTITUTE(SUBSTITUTE(SUBSTITUTE(SUBSTITUTE(SUBSTITUTE('Ingest Template'!X589,"https:",""),"www.",""),"/",""),"?hl=en",""),"instagram.com",""))</f>
        <v/>
      </c>
      <c r="W589" s="74" t="str">
        <f t="array" ref="W589">IF(
'Ingest Template'!Y589="",
SUBSTITUTE(
INDEX(DropdownLists!$F$2:$F$277,MATCH('Ingest Template'!D589,DropdownLists!$C$2:$C$277,0)),
CHAR(10),
"|"&amp;'Ingest Template'!C589&amp;CHAR(10)
)&amp;"|"&amp;'Ingest Template'!C589,
SUBSTITUTE(
INDEX(DropdownLists!$F$2:$F$277,MATCH('Ingest Template'!D589,DropdownLists!$C$2:$C$277,0)),
CHAR(10),
"|"&amp;'Ingest Template'!C589&amp;CHAR(10)
)&amp;"|"&amp;'Ingest Template'!C589&amp;CHAR(10)&amp;'Ingest Template'!Y589
)</f>
        <v>#N/A</v>
      </c>
      <c r="X589" s="74" t="str">
        <f>'Ingest Template'!Z589</f>
        <v/>
      </c>
      <c r="Y589" s="35" t="str">
        <f>SUBSTITUTE(SUBSTITUTE(SUBSTITUTE('Ingest Template'!AA589,"http:",""),"https:",""),"/","")</f>
        <v/>
      </c>
      <c r="Z589" s="35" t="str">
        <f t="array" ref="Z589">IF('Ingest Template'!A589="Standard",(IF(ISBLANK('Ingest Template'!AB589),"", 'Ingest Template'!AB589&amp;"|DAR")),(IF(ISBLANK('Ingest Template'!AB589),"", 'Ingest Template'!AB589&amp;"|TV Ops")))</f>
        <v/>
      </c>
      <c r="AA589" s="35"/>
      <c r="AB589" s="35" t="str">
        <f>'Ingest Template'!R589</f>
        <v/>
      </c>
      <c r="AC589" s="35" t="str">
        <f>'Ingest Template'!T589</f>
        <v/>
      </c>
      <c r="AD589" s="35" t="str">
        <f>'Ingest Template'!S589</f>
        <v/>
      </c>
      <c r="AE589" s="35" t="str">
        <f>'Ingest Template'!U589</f>
        <v/>
      </c>
      <c r="AF589" s="22"/>
      <c r="AG589" s="35" t="str">
        <f t="array" ref="AG589">IF('Ingest Template'!A589="Standard",(CONCATENATE(IF(ISBLANK('Ingest Template'!N589),"", 'Ingest Template'!N589&amp;"|DAR"),CHAR(10), IF(ISBLANK('Ingest Template'!O589),"", 'Ingest Template'!O589&amp;"|DAR"),CHAR(10), IF(ISBLANK('Ingest Template'!P589),"", 'Ingest Template'!P589&amp;"|DAR"))),(CONCATENATE(IF(ISBLANK('Ingest Template'!N589),"", 'Ingest Template'!N589&amp;"|TV Ops"),CHAR(10), IF(ISBLANK('Ingest Template'!O589),"", 'Ingest Template'!O589&amp;"|TV Ops"),CHAR(10), IF(ISBLANK('Ingest Template'!P589),"", 'Ingest Template'!P589&amp;"|TV Ops"))))</f>
        <v>
</v>
      </c>
      <c r="AH589" s="35"/>
      <c r="AI589" s="35"/>
      <c r="AJ589" s="117" t="str">
        <f>if('Ingest Template'!A589="Standard",(IF(OR('Ingest Template'!F589 = "Program Type - Special", 'Ingest Template'!F589 = "Program Type - Live Event"),'Ingest Template'!M589&amp; "|DAR|DAR|"&amp;TEXT('Ingest Template'!C589-3, "yyyy-mm-dd")&amp;"|"&amp;TEXT('Ingest Template'!C589+3, "yyyy-mm-dd"),'Ingest Template'!M589&amp; "|DAR|DAR|2021-01-01")),(IF(OR('Ingest Template'!F589 = "Program Type - Special", 'Ingest Template'!F589 = "Program Type - Live Event"),'Ingest Template'!M589&amp; "|Operations - Core Title|Operations - Core Title|"&amp;TEXT('Ingest Template'!C589-3, "yyyy-mm-dd")&amp;"|"&amp;TEXT('Ingest Template'!C589+3, "yyyy-mm-dd"),'Ingest Template'!M589&amp; "|Operations - Core Title|Operations - Core Title")))</f>
        <v>|Operations - Core Title|Operations - Core Title</v>
      </c>
      <c r="AK589" s="35"/>
      <c r="AL589" s="117" t="str">
        <f>if('Ingest Template'!A589="Standard",(IF(OR('Ingest Template'!F589 = "Program Type - Special", 'Ingest Template'!F589 = "Program Type - Live Event"),'Ingest Template'!Q589&amp;"|"&amp;TEXT('Ingest Template'!C589-3, "yyyy-mm-dd")&amp;"|"&amp;TEXT('Ingest Template'!C589+3, "yyyy-mm-dd"),'Ingest Template'!Q589&amp; "|2021-01-01")),(IF(OR('Ingest Template'!F589 = "Program Type - Special", 'Ingest Template'!F589 = "Program Type - Live Event"),'Ingest Template'!Q589&amp; "|"&amp;TEXT('Ingest Template'!C589-3, "yyyy-mm-dd")&amp;"|"&amp;TEXT('Ingest Template'!C589+3, "yyyy-mm-dd"),'Ingest Template'!Q589)))</f>
        <v/>
      </c>
      <c r="AM589" s="35" t="str">
        <f>'Ingest Template'!AC589</f>
        <v/>
      </c>
    </row>
    <row r="590">
      <c r="A590" s="15"/>
      <c r="B590" s="22" t="str">
        <f>'Ingest Template'!C590&amp;IF('Ingest Template'!A590 = "Standard", " - DAR","")</f>
        <v/>
      </c>
      <c r="C590" s="22" t="s">
        <v>83</v>
      </c>
      <c r="D590" s="22" t="str">
        <f t="array" ref="D590">CONCATENATE(INDEX(DropdownLists!$H$2:$H$11,MATCH(1,COUNTIF('Ingest Template'!E590,"*"&amp;DropdownLists!$I$2:$I$11&amp;"*"),0)),CHAR(10),'Ingest Template'!F590,CHAR(10),'Ingest Template'!G590,CHAR(10),VLOOKUP('Ingest Template'!D590,DropdownLists!C:D,2,FALSE))</f>
        <v>#N/A</v>
      </c>
      <c r="E590" s="22" t="str">
        <f>CONCATENATE('Ingest Template'!H590,CHAR(10),'Ingest Template'!I590,CHAR(10),'Ingest Template'!J590,CHAR(10))</f>
        <v>
</v>
      </c>
      <c r="F590" s="35" t="str">
        <f t="array" ref="F590">INDEX(DropdownLists!$O$2:$O$36,MATCH(1,COUNTIF(E590,"*"&amp;DropdownLists!$N$2:$N$36&amp;"*"),0))</f>
        <v/>
      </c>
      <c r="G590" s="35"/>
      <c r="H590" s="22" t="str">
        <f t="array" ref="H590">INDEX(DropdownLists!$E$2:$E$276,MATCH('Ingest Template'!D590,DropdownLists!$C$2:$C$276,0))</f>
        <v>#N/A</v>
      </c>
      <c r="I590" s="22"/>
      <c r="J590" s="22" t="str">
        <f t="array" ref="J590">iF('Ingest Template'!A590="Standard","Pristine Brand",INDEX(DropdownLists!$B$2:$B$246,MATCH('Ingest Template'!D590,DropdownLists!$C$2:$C$246,0)))</f>
        <v>#N/A</v>
      </c>
      <c r="K590" s="22" t="str">
        <f>iF('Ingest Template'!A590="Standard",'Ingest Template'!K590&amp;CHAR(10)&amp;'Ingest Template'!L590,"Competitive View")</f>
        <v>Competitive View</v>
      </c>
      <c r="L590" s="22" t="s">
        <v>95</v>
      </c>
      <c r="M590" s="45" t="str">
        <f>'Ingest Template'!B590</f>
        <v/>
      </c>
      <c r="N590" s="35"/>
      <c r="O590" s="35"/>
      <c r="P590" s="35"/>
      <c r="Q590" s="35"/>
      <c r="R590" s="35" t="str">
        <f>'Ingest Template'!D590</f>
        <v/>
      </c>
      <c r="S590" s="22" t="s">
        <v>101</v>
      </c>
      <c r="T590" s="35" t="str">
        <f>'Ingest Template'!V590</f>
        <v/>
      </c>
      <c r="U590" s="35" t="str">
        <f>'Ingest Template'!W590</f>
        <v/>
      </c>
      <c r="V590" s="35" t="str">
        <f>LOWER(SUBSTITUTE(SUBSTITUTE(SUBSTITUTE(SUBSTITUTE(SUBSTITUTE('Ingest Template'!X590,"https:",""),"www.",""),"/",""),"?hl=en",""),"instagram.com",""))</f>
        <v/>
      </c>
      <c r="W590" s="74" t="str">
        <f t="array" ref="W590">IF(
'Ingest Template'!Y590="",
SUBSTITUTE(
INDEX(DropdownLists!$F$2:$F$277,MATCH('Ingest Template'!D590,DropdownLists!$C$2:$C$277,0)),
CHAR(10),
"|"&amp;'Ingest Template'!C590&amp;CHAR(10)
)&amp;"|"&amp;'Ingest Template'!C590,
SUBSTITUTE(
INDEX(DropdownLists!$F$2:$F$277,MATCH('Ingest Template'!D590,DropdownLists!$C$2:$C$277,0)),
CHAR(10),
"|"&amp;'Ingest Template'!C590&amp;CHAR(10)
)&amp;"|"&amp;'Ingest Template'!C590&amp;CHAR(10)&amp;'Ingest Template'!Y590
)</f>
        <v>#N/A</v>
      </c>
      <c r="X590" s="74" t="str">
        <f>'Ingest Template'!Z590</f>
        <v/>
      </c>
      <c r="Y590" s="35" t="str">
        <f>SUBSTITUTE(SUBSTITUTE(SUBSTITUTE('Ingest Template'!AA590,"http:",""),"https:",""),"/","")</f>
        <v/>
      </c>
      <c r="Z590" s="35" t="str">
        <f t="array" ref="Z590">IF('Ingest Template'!A590="Standard",(IF(ISBLANK('Ingest Template'!AB590),"", 'Ingest Template'!AB590&amp;"|DAR")),(IF(ISBLANK('Ingest Template'!AB590),"", 'Ingest Template'!AB590&amp;"|TV Ops")))</f>
        <v/>
      </c>
      <c r="AA590" s="35"/>
      <c r="AB590" s="35" t="str">
        <f>'Ingest Template'!R590</f>
        <v/>
      </c>
      <c r="AC590" s="35" t="str">
        <f>'Ingest Template'!T590</f>
        <v/>
      </c>
      <c r="AD590" s="35" t="str">
        <f>'Ingest Template'!S590</f>
        <v/>
      </c>
      <c r="AE590" s="35" t="str">
        <f>'Ingest Template'!U590</f>
        <v/>
      </c>
      <c r="AF590" s="22"/>
      <c r="AG590" s="35" t="str">
        <f t="array" ref="AG590">IF('Ingest Template'!A590="Standard",(CONCATENATE(IF(ISBLANK('Ingest Template'!N590),"", 'Ingest Template'!N590&amp;"|DAR"),CHAR(10), IF(ISBLANK('Ingest Template'!O590),"", 'Ingest Template'!O590&amp;"|DAR"),CHAR(10), IF(ISBLANK('Ingest Template'!P590),"", 'Ingest Template'!P590&amp;"|DAR"))),(CONCATENATE(IF(ISBLANK('Ingest Template'!N590),"", 'Ingest Template'!N590&amp;"|TV Ops"),CHAR(10), IF(ISBLANK('Ingest Template'!O590),"", 'Ingest Template'!O590&amp;"|TV Ops"),CHAR(10), IF(ISBLANK('Ingest Template'!P590),"", 'Ingest Template'!P590&amp;"|TV Ops"))))</f>
        <v>
</v>
      </c>
      <c r="AH590" s="35"/>
      <c r="AI590" s="35"/>
      <c r="AJ590" s="117" t="str">
        <f>if('Ingest Template'!A590="Standard",(IF(OR('Ingest Template'!F590 = "Program Type - Special", 'Ingest Template'!F590 = "Program Type - Live Event"),'Ingest Template'!M590&amp; "|DAR|DAR|"&amp;TEXT('Ingest Template'!C590-3, "yyyy-mm-dd")&amp;"|"&amp;TEXT('Ingest Template'!C590+3, "yyyy-mm-dd"),'Ingest Template'!M590&amp; "|DAR|DAR|2021-01-01")),(IF(OR('Ingest Template'!F590 = "Program Type - Special", 'Ingest Template'!F590 = "Program Type - Live Event"),'Ingest Template'!M590&amp; "|Operations - Core Title|Operations - Core Title|"&amp;TEXT('Ingest Template'!C590-3, "yyyy-mm-dd")&amp;"|"&amp;TEXT('Ingest Template'!C590+3, "yyyy-mm-dd"),'Ingest Template'!M590&amp; "|Operations - Core Title|Operations - Core Title")))</f>
        <v>|Operations - Core Title|Operations - Core Title</v>
      </c>
      <c r="AK590" s="35"/>
      <c r="AL590" s="117" t="str">
        <f>if('Ingest Template'!A590="Standard",(IF(OR('Ingest Template'!F590 = "Program Type - Special", 'Ingest Template'!F590 = "Program Type - Live Event"),'Ingest Template'!Q590&amp;"|"&amp;TEXT('Ingest Template'!C590-3, "yyyy-mm-dd")&amp;"|"&amp;TEXT('Ingest Template'!C590+3, "yyyy-mm-dd"),'Ingest Template'!Q590&amp; "|2021-01-01")),(IF(OR('Ingest Template'!F590 = "Program Type - Special", 'Ingest Template'!F590 = "Program Type - Live Event"),'Ingest Template'!Q590&amp; "|"&amp;TEXT('Ingest Template'!C590-3, "yyyy-mm-dd")&amp;"|"&amp;TEXT('Ingest Template'!C590+3, "yyyy-mm-dd"),'Ingest Template'!Q590)))</f>
        <v/>
      </c>
      <c r="AM590" s="35" t="str">
        <f>'Ingest Template'!AC590</f>
        <v/>
      </c>
    </row>
    <row r="591">
      <c r="A591" s="15"/>
      <c r="B591" s="22" t="str">
        <f>'Ingest Template'!C591&amp;IF('Ingest Template'!A591 = "Standard", " - DAR","")</f>
        <v/>
      </c>
      <c r="C591" s="22" t="s">
        <v>83</v>
      </c>
      <c r="D591" s="22" t="str">
        <f t="array" ref="D591">CONCATENATE(INDEX(DropdownLists!$H$2:$H$11,MATCH(1,COUNTIF('Ingest Template'!E591,"*"&amp;DropdownLists!$I$2:$I$11&amp;"*"),0)),CHAR(10),'Ingest Template'!F591,CHAR(10),'Ingest Template'!G591,CHAR(10),VLOOKUP('Ingest Template'!D591,DropdownLists!C:D,2,FALSE))</f>
        <v>#N/A</v>
      </c>
      <c r="E591" s="22" t="str">
        <f>CONCATENATE('Ingest Template'!H591,CHAR(10),'Ingest Template'!I591,CHAR(10),'Ingest Template'!J591,CHAR(10))</f>
        <v>
</v>
      </c>
      <c r="F591" s="35" t="str">
        <f t="array" ref="F591">INDEX(DropdownLists!$O$2:$O$36,MATCH(1,COUNTIF(E591,"*"&amp;DropdownLists!$N$2:$N$36&amp;"*"),0))</f>
        <v/>
      </c>
      <c r="G591" s="35"/>
      <c r="H591" s="22" t="str">
        <f t="array" ref="H591">INDEX(DropdownLists!$E$2:$E$276,MATCH('Ingest Template'!D591,DropdownLists!$C$2:$C$276,0))</f>
        <v>#N/A</v>
      </c>
      <c r="I591" s="22"/>
      <c r="J591" s="22" t="str">
        <f t="array" ref="J591">iF('Ingest Template'!A591="Standard","Pristine Brand",INDEX(DropdownLists!$B$2:$B$246,MATCH('Ingest Template'!D591,DropdownLists!$C$2:$C$246,0)))</f>
        <v>#N/A</v>
      </c>
      <c r="K591" s="22" t="str">
        <f>iF('Ingest Template'!A591="Standard",'Ingest Template'!K591&amp;CHAR(10)&amp;'Ingest Template'!L591,"Competitive View")</f>
        <v>Competitive View</v>
      </c>
      <c r="L591" s="22" t="s">
        <v>95</v>
      </c>
      <c r="M591" s="45" t="str">
        <f>'Ingest Template'!B591</f>
        <v/>
      </c>
      <c r="N591" s="35"/>
      <c r="O591" s="35"/>
      <c r="P591" s="35"/>
      <c r="Q591" s="35"/>
      <c r="R591" s="35" t="str">
        <f>'Ingest Template'!D591</f>
        <v/>
      </c>
      <c r="S591" s="22" t="s">
        <v>101</v>
      </c>
      <c r="T591" s="35" t="str">
        <f>'Ingest Template'!V591</f>
        <v/>
      </c>
      <c r="U591" s="35" t="str">
        <f>'Ingest Template'!W591</f>
        <v/>
      </c>
      <c r="V591" s="35" t="str">
        <f>LOWER(SUBSTITUTE(SUBSTITUTE(SUBSTITUTE(SUBSTITUTE(SUBSTITUTE('Ingest Template'!X591,"https:",""),"www.",""),"/",""),"?hl=en",""),"instagram.com",""))</f>
        <v/>
      </c>
      <c r="W591" s="74" t="str">
        <f t="array" ref="W591">IF(
'Ingest Template'!Y591="",
SUBSTITUTE(
INDEX(DropdownLists!$F$2:$F$277,MATCH('Ingest Template'!D591,DropdownLists!$C$2:$C$277,0)),
CHAR(10),
"|"&amp;'Ingest Template'!C591&amp;CHAR(10)
)&amp;"|"&amp;'Ingest Template'!C591,
SUBSTITUTE(
INDEX(DropdownLists!$F$2:$F$277,MATCH('Ingest Template'!D591,DropdownLists!$C$2:$C$277,0)),
CHAR(10),
"|"&amp;'Ingest Template'!C591&amp;CHAR(10)
)&amp;"|"&amp;'Ingest Template'!C591&amp;CHAR(10)&amp;'Ingest Template'!Y591
)</f>
        <v>#N/A</v>
      </c>
      <c r="X591" s="74" t="str">
        <f>'Ingest Template'!Z591</f>
        <v/>
      </c>
      <c r="Y591" s="35" t="str">
        <f>SUBSTITUTE(SUBSTITUTE(SUBSTITUTE('Ingest Template'!AA591,"http:",""),"https:",""),"/","")</f>
        <v/>
      </c>
      <c r="Z591" s="35" t="str">
        <f t="array" ref="Z591">IF('Ingest Template'!A591="Standard",(IF(ISBLANK('Ingest Template'!AB591),"", 'Ingest Template'!AB591&amp;"|DAR")),(IF(ISBLANK('Ingest Template'!AB591),"", 'Ingest Template'!AB591&amp;"|TV Ops")))</f>
        <v/>
      </c>
      <c r="AA591" s="35"/>
      <c r="AB591" s="35" t="str">
        <f>'Ingest Template'!R591</f>
        <v/>
      </c>
      <c r="AC591" s="35" t="str">
        <f>'Ingest Template'!T591</f>
        <v/>
      </c>
      <c r="AD591" s="35" t="str">
        <f>'Ingest Template'!S591</f>
        <v/>
      </c>
      <c r="AE591" s="35" t="str">
        <f>'Ingest Template'!U591</f>
        <v/>
      </c>
      <c r="AF591" s="22"/>
      <c r="AG591" s="35" t="str">
        <f t="array" ref="AG591">IF('Ingest Template'!A591="Standard",(CONCATENATE(IF(ISBLANK('Ingest Template'!N591),"", 'Ingest Template'!N591&amp;"|DAR"),CHAR(10), IF(ISBLANK('Ingest Template'!O591),"", 'Ingest Template'!O591&amp;"|DAR"),CHAR(10), IF(ISBLANK('Ingest Template'!P591),"", 'Ingest Template'!P591&amp;"|DAR"))),(CONCATENATE(IF(ISBLANK('Ingest Template'!N591),"", 'Ingest Template'!N591&amp;"|TV Ops"),CHAR(10), IF(ISBLANK('Ingest Template'!O591),"", 'Ingest Template'!O591&amp;"|TV Ops"),CHAR(10), IF(ISBLANK('Ingest Template'!P591),"", 'Ingest Template'!P591&amp;"|TV Ops"))))</f>
        <v>
</v>
      </c>
      <c r="AH591" s="35"/>
      <c r="AI591" s="35"/>
      <c r="AJ591" s="117" t="str">
        <f>if('Ingest Template'!A591="Standard",(IF(OR('Ingest Template'!F591 = "Program Type - Special", 'Ingest Template'!F591 = "Program Type - Live Event"),'Ingest Template'!M591&amp; "|DAR|DAR|"&amp;TEXT('Ingest Template'!C591-3, "yyyy-mm-dd")&amp;"|"&amp;TEXT('Ingest Template'!C591+3, "yyyy-mm-dd"),'Ingest Template'!M591&amp; "|DAR|DAR|2021-01-01")),(IF(OR('Ingest Template'!F591 = "Program Type - Special", 'Ingest Template'!F591 = "Program Type - Live Event"),'Ingest Template'!M591&amp; "|Operations - Core Title|Operations - Core Title|"&amp;TEXT('Ingest Template'!C591-3, "yyyy-mm-dd")&amp;"|"&amp;TEXT('Ingest Template'!C591+3, "yyyy-mm-dd"),'Ingest Template'!M591&amp; "|Operations - Core Title|Operations - Core Title")))</f>
        <v>|Operations - Core Title|Operations - Core Title</v>
      </c>
      <c r="AK591" s="35"/>
      <c r="AL591" s="117" t="str">
        <f>if('Ingest Template'!A591="Standard",(IF(OR('Ingest Template'!F591 = "Program Type - Special", 'Ingest Template'!F591 = "Program Type - Live Event"),'Ingest Template'!Q591&amp;"|"&amp;TEXT('Ingest Template'!C591-3, "yyyy-mm-dd")&amp;"|"&amp;TEXT('Ingest Template'!C591+3, "yyyy-mm-dd"),'Ingest Template'!Q591&amp; "|2021-01-01")),(IF(OR('Ingest Template'!F591 = "Program Type - Special", 'Ingest Template'!F591 = "Program Type - Live Event"),'Ingest Template'!Q591&amp; "|"&amp;TEXT('Ingest Template'!C591-3, "yyyy-mm-dd")&amp;"|"&amp;TEXT('Ingest Template'!C591+3, "yyyy-mm-dd"),'Ingest Template'!Q591)))</f>
        <v/>
      </c>
      <c r="AM591" s="35" t="str">
        <f>'Ingest Template'!AC591</f>
        <v/>
      </c>
    </row>
    <row r="592">
      <c r="A592" s="15"/>
      <c r="B592" s="22" t="str">
        <f>'Ingest Template'!C592&amp;IF('Ingest Template'!A592 = "Standard", " - DAR","")</f>
        <v/>
      </c>
      <c r="C592" s="22" t="s">
        <v>83</v>
      </c>
      <c r="D592" s="22" t="str">
        <f t="array" ref="D592">CONCATENATE(INDEX(DropdownLists!$H$2:$H$11,MATCH(1,COUNTIF('Ingest Template'!E592,"*"&amp;DropdownLists!$I$2:$I$11&amp;"*"),0)),CHAR(10),'Ingest Template'!F592,CHAR(10),'Ingest Template'!G592,CHAR(10),VLOOKUP('Ingest Template'!D592,DropdownLists!C:D,2,FALSE))</f>
        <v>#N/A</v>
      </c>
      <c r="E592" s="22" t="str">
        <f>CONCATENATE('Ingest Template'!H592,CHAR(10),'Ingest Template'!I592,CHAR(10),'Ingest Template'!J592,CHAR(10))</f>
        <v>
</v>
      </c>
      <c r="F592" s="35" t="str">
        <f t="array" ref="F592">INDEX(DropdownLists!$O$2:$O$36,MATCH(1,COUNTIF(E592,"*"&amp;DropdownLists!$N$2:$N$36&amp;"*"),0))</f>
        <v/>
      </c>
      <c r="G592" s="35"/>
      <c r="H592" s="22" t="str">
        <f t="array" ref="H592">INDEX(DropdownLists!$E$2:$E$276,MATCH('Ingest Template'!D592,DropdownLists!$C$2:$C$276,0))</f>
        <v>#N/A</v>
      </c>
      <c r="I592" s="22"/>
      <c r="J592" s="22" t="str">
        <f t="array" ref="J592">iF('Ingest Template'!A592="Standard","Pristine Brand",INDEX(DropdownLists!$B$2:$B$246,MATCH('Ingest Template'!D592,DropdownLists!$C$2:$C$246,0)))</f>
        <v>#N/A</v>
      </c>
      <c r="K592" s="22" t="str">
        <f>iF('Ingest Template'!A592="Standard",'Ingest Template'!K592&amp;CHAR(10)&amp;'Ingest Template'!L592,"Competitive View")</f>
        <v>Competitive View</v>
      </c>
      <c r="L592" s="22" t="s">
        <v>95</v>
      </c>
      <c r="M592" s="45" t="str">
        <f>'Ingest Template'!B592</f>
        <v/>
      </c>
      <c r="N592" s="35"/>
      <c r="O592" s="35"/>
      <c r="P592" s="35"/>
      <c r="Q592" s="35"/>
      <c r="R592" s="35" t="str">
        <f>'Ingest Template'!D592</f>
        <v/>
      </c>
      <c r="S592" s="22" t="s">
        <v>101</v>
      </c>
      <c r="T592" s="35" t="str">
        <f>'Ingest Template'!V592</f>
        <v/>
      </c>
      <c r="U592" s="35" t="str">
        <f>'Ingest Template'!W592</f>
        <v/>
      </c>
      <c r="V592" s="35" t="str">
        <f>LOWER(SUBSTITUTE(SUBSTITUTE(SUBSTITUTE(SUBSTITUTE(SUBSTITUTE('Ingest Template'!X592,"https:",""),"www.",""),"/",""),"?hl=en",""),"instagram.com",""))</f>
        <v/>
      </c>
      <c r="W592" s="74" t="str">
        <f t="array" ref="W592">IF(
'Ingest Template'!Y592="",
SUBSTITUTE(
INDEX(DropdownLists!$F$2:$F$277,MATCH('Ingest Template'!D592,DropdownLists!$C$2:$C$277,0)),
CHAR(10),
"|"&amp;'Ingest Template'!C592&amp;CHAR(10)
)&amp;"|"&amp;'Ingest Template'!C592,
SUBSTITUTE(
INDEX(DropdownLists!$F$2:$F$277,MATCH('Ingest Template'!D592,DropdownLists!$C$2:$C$277,0)),
CHAR(10),
"|"&amp;'Ingest Template'!C592&amp;CHAR(10)
)&amp;"|"&amp;'Ingest Template'!C592&amp;CHAR(10)&amp;'Ingest Template'!Y592
)</f>
        <v>#N/A</v>
      </c>
      <c r="X592" s="74" t="str">
        <f>'Ingest Template'!Z592</f>
        <v/>
      </c>
      <c r="Y592" s="35" t="str">
        <f>SUBSTITUTE(SUBSTITUTE(SUBSTITUTE('Ingest Template'!AA592,"http:",""),"https:",""),"/","")</f>
        <v/>
      </c>
      <c r="Z592" s="35" t="str">
        <f t="array" ref="Z592">IF('Ingest Template'!A592="Standard",(IF(ISBLANK('Ingest Template'!AB592),"", 'Ingest Template'!AB592&amp;"|DAR")),(IF(ISBLANK('Ingest Template'!AB592),"", 'Ingest Template'!AB592&amp;"|TV Ops")))</f>
        <v/>
      </c>
      <c r="AA592" s="35"/>
      <c r="AB592" s="35" t="str">
        <f>'Ingest Template'!R592</f>
        <v/>
      </c>
      <c r="AC592" s="35" t="str">
        <f>'Ingest Template'!T592</f>
        <v/>
      </c>
      <c r="AD592" s="35" t="str">
        <f>'Ingest Template'!S592</f>
        <v/>
      </c>
      <c r="AE592" s="35" t="str">
        <f>'Ingest Template'!U592</f>
        <v/>
      </c>
      <c r="AF592" s="22"/>
      <c r="AG592" s="35" t="str">
        <f t="array" ref="AG592">IF('Ingest Template'!A592="Standard",(CONCATENATE(IF(ISBLANK('Ingest Template'!N592),"", 'Ingest Template'!N592&amp;"|DAR"),CHAR(10), IF(ISBLANK('Ingest Template'!O592),"", 'Ingest Template'!O592&amp;"|DAR"),CHAR(10), IF(ISBLANK('Ingest Template'!P592),"", 'Ingest Template'!P592&amp;"|DAR"))),(CONCATENATE(IF(ISBLANK('Ingest Template'!N592),"", 'Ingest Template'!N592&amp;"|TV Ops"),CHAR(10), IF(ISBLANK('Ingest Template'!O592),"", 'Ingest Template'!O592&amp;"|TV Ops"),CHAR(10), IF(ISBLANK('Ingest Template'!P592),"", 'Ingest Template'!P592&amp;"|TV Ops"))))</f>
        <v>
</v>
      </c>
      <c r="AH592" s="35"/>
      <c r="AI592" s="35"/>
      <c r="AJ592" s="117" t="str">
        <f>if('Ingest Template'!A592="Standard",(IF(OR('Ingest Template'!F592 = "Program Type - Special", 'Ingest Template'!F592 = "Program Type - Live Event"),'Ingest Template'!M592&amp; "|DAR|DAR|"&amp;TEXT('Ingest Template'!C592-3, "yyyy-mm-dd")&amp;"|"&amp;TEXT('Ingest Template'!C592+3, "yyyy-mm-dd"),'Ingest Template'!M592&amp; "|DAR|DAR|2021-01-01")),(IF(OR('Ingest Template'!F592 = "Program Type - Special", 'Ingest Template'!F592 = "Program Type - Live Event"),'Ingest Template'!M592&amp; "|Operations - Core Title|Operations - Core Title|"&amp;TEXT('Ingest Template'!C592-3, "yyyy-mm-dd")&amp;"|"&amp;TEXT('Ingest Template'!C592+3, "yyyy-mm-dd"),'Ingest Template'!M592&amp; "|Operations - Core Title|Operations - Core Title")))</f>
        <v>|Operations - Core Title|Operations - Core Title</v>
      </c>
      <c r="AK592" s="35"/>
      <c r="AL592" s="117" t="str">
        <f>if('Ingest Template'!A592="Standard",(IF(OR('Ingest Template'!F592 = "Program Type - Special", 'Ingest Template'!F592 = "Program Type - Live Event"),'Ingest Template'!Q592&amp;"|"&amp;TEXT('Ingest Template'!C592-3, "yyyy-mm-dd")&amp;"|"&amp;TEXT('Ingest Template'!C592+3, "yyyy-mm-dd"),'Ingest Template'!Q592&amp; "|2021-01-01")),(IF(OR('Ingest Template'!F592 = "Program Type - Special", 'Ingest Template'!F592 = "Program Type - Live Event"),'Ingest Template'!Q592&amp; "|"&amp;TEXT('Ingest Template'!C592-3, "yyyy-mm-dd")&amp;"|"&amp;TEXT('Ingest Template'!C592+3, "yyyy-mm-dd"),'Ingest Template'!Q592)))</f>
        <v/>
      </c>
      <c r="AM592" s="35" t="str">
        <f>'Ingest Template'!AC592</f>
        <v/>
      </c>
    </row>
    <row r="593">
      <c r="A593" s="15"/>
      <c r="B593" s="22" t="str">
        <f>'Ingest Template'!C593&amp;IF('Ingest Template'!A593 = "Standard", " - DAR","")</f>
        <v/>
      </c>
      <c r="C593" s="22" t="s">
        <v>83</v>
      </c>
      <c r="D593" s="22" t="str">
        <f t="array" ref="D593">CONCATENATE(INDEX(DropdownLists!$H$2:$H$11,MATCH(1,COUNTIF('Ingest Template'!E593,"*"&amp;DropdownLists!$I$2:$I$11&amp;"*"),0)),CHAR(10),'Ingest Template'!F593,CHAR(10),'Ingest Template'!G593,CHAR(10),VLOOKUP('Ingest Template'!D593,DropdownLists!C:D,2,FALSE))</f>
        <v>#N/A</v>
      </c>
      <c r="E593" s="22" t="str">
        <f>CONCATENATE('Ingest Template'!H593,CHAR(10),'Ingest Template'!I593,CHAR(10),'Ingest Template'!J593,CHAR(10))</f>
        <v>
</v>
      </c>
      <c r="F593" s="35" t="str">
        <f t="array" ref="F593">INDEX(DropdownLists!$O$2:$O$36,MATCH(1,COUNTIF(E593,"*"&amp;DropdownLists!$N$2:$N$36&amp;"*"),0))</f>
        <v/>
      </c>
      <c r="G593" s="35"/>
      <c r="H593" s="22" t="str">
        <f t="array" ref="H593">INDEX(DropdownLists!$E$2:$E$276,MATCH('Ingest Template'!D593,DropdownLists!$C$2:$C$276,0))</f>
        <v>#N/A</v>
      </c>
      <c r="I593" s="22"/>
      <c r="J593" s="22" t="str">
        <f t="array" ref="J593">iF('Ingest Template'!A593="Standard","Pristine Brand",INDEX(DropdownLists!$B$2:$B$246,MATCH('Ingest Template'!D593,DropdownLists!$C$2:$C$246,0)))</f>
        <v>#N/A</v>
      </c>
      <c r="K593" s="22" t="str">
        <f>iF('Ingest Template'!A593="Standard",'Ingest Template'!K593&amp;CHAR(10)&amp;'Ingest Template'!L593,"Competitive View")</f>
        <v>Competitive View</v>
      </c>
      <c r="L593" s="22" t="s">
        <v>95</v>
      </c>
      <c r="M593" s="45" t="str">
        <f>'Ingest Template'!B593</f>
        <v/>
      </c>
      <c r="N593" s="35"/>
      <c r="O593" s="35"/>
      <c r="P593" s="35"/>
      <c r="Q593" s="35"/>
      <c r="R593" s="35" t="str">
        <f>'Ingest Template'!D593</f>
        <v/>
      </c>
      <c r="S593" s="22" t="s">
        <v>101</v>
      </c>
      <c r="T593" s="35" t="str">
        <f>'Ingest Template'!V593</f>
        <v/>
      </c>
      <c r="U593" s="35" t="str">
        <f>'Ingest Template'!W593</f>
        <v/>
      </c>
      <c r="V593" s="35" t="str">
        <f>LOWER(SUBSTITUTE(SUBSTITUTE(SUBSTITUTE(SUBSTITUTE(SUBSTITUTE('Ingest Template'!X593,"https:",""),"www.",""),"/",""),"?hl=en",""),"instagram.com",""))</f>
        <v/>
      </c>
      <c r="W593" s="74" t="str">
        <f t="array" ref="W593">IF(
'Ingest Template'!Y593="",
SUBSTITUTE(
INDEX(DropdownLists!$F$2:$F$277,MATCH('Ingest Template'!D593,DropdownLists!$C$2:$C$277,0)),
CHAR(10),
"|"&amp;'Ingest Template'!C593&amp;CHAR(10)
)&amp;"|"&amp;'Ingest Template'!C593,
SUBSTITUTE(
INDEX(DropdownLists!$F$2:$F$277,MATCH('Ingest Template'!D593,DropdownLists!$C$2:$C$277,0)),
CHAR(10),
"|"&amp;'Ingest Template'!C593&amp;CHAR(10)
)&amp;"|"&amp;'Ingest Template'!C593&amp;CHAR(10)&amp;'Ingest Template'!Y593
)</f>
        <v>#N/A</v>
      </c>
      <c r="X593" s="74" t="str">
        <f>'Ingest Template'!Z593</f>
        <v/>
      </c>
      <c r="Y593" s="35" t="str">
        <f>SUBSTITUTE(SUBSTITUTE(SUBSTITUTE('Ingest Template'!AA593,"http:",""),"https:",""),"/","")</f>
        <v/>
      </c>
      <c r="Z593" s="35" t="str">
        <f t="array" ref="Z593">IF('Ingest Template'!A593="Standard",(IF(ISBLANK('Ingest Template'!AB593),"", 'Ingest Template'!AB593&amp;"|DAR")),(IF(ISBLANK('Ingest Template'!AB593),"", 'Ingest Template'!AB593&amp;"|TV Ops")))</f>
        <v/>
      </c>
      <c r="AA593" s="35"/>
      <c r="AB593" s="35" t="str">
        <f>'Ingest Template'!R593</f>
        <v/>
      </c>
      <c r="AC593" s="35" t="str">
        <f>'Ingest Template'!T593</f>
        <v/>
      </c>
      <c r="AD593" s="35" t="str">
        <f>'Ingest Template'!S593</f>
        <v/>
      </c>
      <c r="AE593" s="35" t="str">
        <f>'Ingest Template'!U593</f>
        <v/>
      </c>
      <c r="AF593" s="22"/>
      <c r="AG593" s="35" t="str">
        <f t="array" ref="AG593">IF('Ingest Template'!A593="Standard",(CONCATENATE(IF(ISBLANK('Ingest Template'!N593),"", 'Ingest Template'!N593&amp;"|DAR"),CHAR(10), IF(ISBLANK('Ingest Template'!O593),"", 'Ingest Template'!O593&amp;"|DAR"),CHAR(10), IF(ISBLANK('Ingest Template'!P593),"", 'Ingest Template'!P593&amp;"|DAR"))),(CONCATENATE(IF(ISBLANK('Ingest Template'!N593),"", 'Ingest Template'!N593&amp;"|TV Ops"),CHAR(10), IF(ISBLANK('Ingest Template'!O593),"", 'Ingest Template'!O593&amp;"|TV Ops"),CHAR(10), IF(ISBLANK('Ingest Template'!P593),"", 'Ingest Template'!P593&amp;"|TV Ops"))))</f>
        <v>
</v>
      </c>
      <c r="AH593" s="35"/>
      <c r="AI593" s="35"/>
      <c r="AJ593" s="117" t="str">
        <f>if('Ingest Template'!A593="Standard",(IF(OR('Ingest Template'!F593 = "Program Type - Special", 'Ingest Template'!F593 = "Program Type - Live Event"),'Ingest Template'!M593&amp; "|DAR|DAR|"&amp;TEXT('Ingest Template'!C593-3, "yyyy-mm-dd")&amp;"|"&amp;TEXT('Ingest Template'!C593+3, "yyyy-mm-dd"),'Ingest Template'!M593&amp; "|DAR|DAR|2021-01-01")),(IF(OR('Ingest Template'!F593 = "Program Type - Special", 'Ingest Template'!F593 = "Program Type - Live Event"),'Ingest Template'!M593&amp; "|Operations - Core Title|Operations - Core Title|"&amp;TEXT('Ingest Template'!C593-3, "yyyy-mm-dd")&amp;"|"&amp;TEXT('Ingest Template'!C593+3, "yyyy-mm-dd"),'Ingest Template'!M593&amp; "|Operations - Core Title|Operations - Core Title")))</f>
        <v>|Operations - Core Title|Operations - Core Title</v>
      </c>
      <c r="AK593" s="35"/>
      <c r="AL593" s="117" t="str">
        <f>if('Ingest Template'!A593="Standard",(IF(OR('Ingest Template'!F593 = "Program Type - Special", 'Ingest Template'!F593 = "Program Type - Live Event"),'Ingest Template'!Q593&amp;"|"&amp;TEXT('Ingest Template'!C593-3, "yyyy-mm-dd")&amp;"|"&amp;TEXT('Ingest Template'!C593+3, "yyyy-mm-dd"),'Ingest Template'!Q593&amp; "|2021-01-01")),(IF(OR('Ingest Template'!F593 = "Program Type - Special", 'Ingest Template'!F593 = "Program Type - Live Event"),'Ingest Template'!Q593&amp; "|"&amp;TEXT('Ingest Template'!C593-3, "yyyy-mm-dd")&amp;"|"&amp;TEXT('Ingest Template'!C593+3, "yyyy-mm-dd"),'Ingest Template'!Q593)))</f>
        <v/>
      </c>
      <c r="AM593" s="35" t="str">
        <f>'Ingest Template'!AC593</f>
        <v/>
      </c>
    </row>
    <row r="594">
      <c r="A594" s="15"/>
      <c r="B594" s="22" t="str">
        <f>'Ingest Template'!C594&amp;IF('Ingest Template'!A594 = "Standard", " - DAR","")</f>
        <v/>
      </c>
      <c r="C594" s="22" t="s">
        <v>83</v>
      </c>
      <c r="D594" s="22" t="str">
        <f t="array" ref="D594">CONCATENATE(INDEX(DropdownLists!$H$2:$H$11,MATCH(1,COUNTIF('Ingest Template'!E594,"*"&amp;DropdownLists!$I$2:$I$11&amp;"*"),0)),CHAR(10),'Ingest Template'!F594,CHAR(10),'Ingest Template'!G594,CHAR(10),VLOOKUP('Ingest Template'!D594,DropdownLists!C:D,2,FALSE))</f>
        <v>#N/A</v>
      </c>
      <c r="E594" s="22" t="str">
        <f>CONCATENATE('Ingest Template'!H594,CHAR(10),'Ingest Template'!I594,CHAR(10),'Ingest Template'!J594,CHAR(10))</f>
        <v>
</v>
      </c>
      <c r="F594" s="35" t="str">
        <f t="array" ref="F594">INDEX(DropdownLists!$O$2:$O$36,MATCH(1,COUNTIF(E594,"*"&amp;DropdownLists!$N$2:$N$36&amp;"*"),0))</f>
        <v/>
      </c>
      <c r="G594" s="35"/>
      <c r="H594" s="22" t="str">
        <f t="array" ref="H594">INDEX(DropdownLists!$E$2:$E$276,MATCH('Ingest Template'!D594,DropdownLists!$C$2:$C$276,0))</f>
        <v>#N/A</v>
      </c>
      <c r="I594" s="22"/>
      <c r="J594" s="22" t="str">
        <f t="array" ref="J594">iF('Ingest Template'!A594="Standard","Pristine Brand",INDEX(DropdownLists!$B$2:$B$246,MATCH('Ingest Template'!D594,DropdownLists!$C$2:$C$246,0)))</f>
        <v>#N/A</v>
      </c>
      <c r="K594" s="22" t="str">
        <f>iF('Ingest Template'!A594="Standard",'Ingest Template'!K594&amp;CHAR(10)&amp;'Ingest Template'!L594,"Competitive View")</f>
        <v>Competitive View</v>
      </c>
      <c r="L594" s="22" t="s">
        <v>95</v>
      </c>
      <c r="M594" s="45" t="str">
        <f>'Ingest Template'!B594</f>
        <v/>
      </c>
      <c r="N594" s="35"/>
      <c r="O594" s="35"/>
      <c r="P594" s="35"/>
      <c r="Q594" s="35"/>
      <c r="R594" s="35" t="str">
        <f>'Ingest Template'!D594</f>
        <v/>
      </c>
      <c r="S594" s="22" t="s">
        <v>101</v>
      </c>
      <c r="T594" s="35" t="str">
        <f>'Ingest Template'!V594</f>
        <v/>
      </c>
      <c r="U594" s="35" t="str">
        <f>'Ingest Template'!W594</f>
        <v/>
      </c>
      <c r="V594" s="35" t="str">
        <f>LOWER(SUBSTITUTE(SUBSTITUTE(SUBSTITUTE(SUBSTITUTE(SUBSTITUTE('Ingest Template'!X594,"https:",""),"www.",""),"/",""),"?hl=en",""),"instagram.com",""))</f>
        <v/>
      </c>
      <c r="W594" s="74" t="str">
        <f t="array" ref="W594">IF(
'Ingest Template'!Y594="",
SUBSTITUTE(
INDEX(DropdownLists!$F$2:$F$277,MATCH('Ingest Template'!D594,DropdownLists!$C$2:$C$277,0)),
CHAR(10),
"|"&amp;'Ingest Template'!C594&amp;CHAR(10)
)&amp;"|"&amp;'Ingest Template'!C594,
SUBSTITUTE(
INDEX(DropdownLists!$F$2:$F$277,MATCH('Ingest Template'!D594,DropdownLists!$C$2:$C$277,0)),
CHAR(10),
"|"&amp;'Ingest Template'!C594&amp;CHAR(10)
)&amp;"|"&amp;'Ingest Template'!C594&amp;CHAR(10)&amp;'Ingest Template'!Y594
)</f>
        <v>#N/A</v>
      </c>
      <c r="X594" s="74" t="str">
        <f>'Ingest Template'!Z594</f>
        <v/>
      </c>
      <c r="Y594" s="35" t="str">
        <f>SUBSTITUTE(SUBSTITUTE(SUBSTITUTE('Ingest Template'!AA594,"http:",""),"https:",""),"/","")</f>
        <v/>
      </c>
      <c r="Z594" s="35" t="str">
        <f t="array" ref="Z594">IF('Ingest Template'!A594="Standard",(IF(ISBLANK('Ingest Template'!AB594),"", 'Ingest Template'!AB594&amp;"|DAR")),(IF(ISBLANK('Ingest Template'!AB594),"", 'Ingest Template'!AB594&amp;"|TV Ops")))</f>
        <v/>
      </c>
      <c r="AA594" s="35"/>
      <c r="AB594" s="35" t="str">
        <f>'Ingest Template'!R594</f>
        <v/>
      </c>
      <c r="AC594" s="35" t="str">
        <f>'Ingest Template'!T594</f>
        <v/>
      </c>
      <c r="AD594" s="35" t="str">
        <f>'Ingest Template'!S594</f>
        <v/>
      </c>
      <c r="AE594" s="35" t="str">
        <f>'Ingest Template'!U594</f>
        <v/>
      </c>
      <c r="AF594" s="22"/>
      <c r="AG594" s="35" t="str">
        <f t="array" ref="AG594">IF('Ingest Template'!A594="Standard",(CONCATENATE(IF(ISBLANK('Ingest Template'!N594),"", 'Ingest Template'!N594&amp;"|DAR"),CHAR(10), IF(ISBLANK('Ingest Template'!O594),"", 'Ingest Template'!O594&amp;"|DAR"),CHAR(10), IF(ISBLANK('Ingest Template'!P594),"", 'Ingest Template'!P594&amp;"|DAR"))),(CONCATENATE(IF(ISBLANK('Ingest Template'!N594),"", 'Ingest Template'!N594&amp;"|TV Ops"),CHAR(10), IF(ISBLANK('Ingest Template'!O594),"", 'Ingest Template'!O594&amp;"|TV Ops"),CHAR(10), IF(ISBLANK('Ingest Template'!P594),"", 'Ingest Template'!P594&amp;"|TV Ops"))))</f>
        <v>
</v>
      </c>
      <c r="AH594" s="35"/>
      <c r="AI594" s="35"/>
      <c r="AJ594" s="117" t="str">
        <f>if('Ingest Template'!A594="Standard",(IF(OR('Ingest Template'!F594 = "Program Type - Special", 'Ingest Template'!F594 = "Program Type - Live Event"),'Ingest Template'!M594&amp; "|DAR|DAR|"&amp;TEXT('Ingest Template'!C594-3, "yyyy-mm-dd")&amp;"|"&amp;TEXT('Ingest Template'!C594+3, "yyyy-mm-dd"),'Ingest Template'!M594&amp; "|DAR|DAR|2021-01-01")),(IF(OR('Ingest Template'!F594 = "Program Type - Special", 'Ingest Template'!F594 = "Program Type - Live Event"),'Ingest Template'!M594&amp; "|Operations - Core Title|Operations - Core Title|"&amp;TEXT('Ingest Template'!C594-3, "yyyy-mm-dd")&amp;"|"&amp;TEXT('Ingest Template'!C594+3, "yyyy-mm-dd"),'Ingest Template'!M594&amp; "|Operations - Core Title|Operations - Core Title")))</f>
        <v>|Operations - Core Title|Operations - Core Title</v>
      </c>
      <c r="AK594" s="35"/>
      <c r="AL594" s="117" t="str">
        <f>if('Ingest Template'!A594="Standard",(IF(OR('Ingest Template'!F594 = "Program Type - Special", 'Ingest Template'!F594 = "Program Type - Live Event"),'Ingest Template'!Q594&amp;"|"&amp;TEXT('Ingest Template'!C594-3, "yyyy-mm-dd")&amp;"|"&amp;TEXT('Ingest Template'!C594+3, "yyyy-mm-dd"),'Ingest Template'!Q594&amp; "|2021-01-01")),(IF(OR('Ingest Template'!F594 = "Program Type - Special", 'Ingest Template'!F594 = "Program Type - Live Event"),'Ingest Template'!Q594&amp; "|"&amp;TEXT('Ingest Template'!C594-3, "yyyy-mm-dd")&amp;"|"&amp;TEXT('Ingest Template'!C594+3, "yyyy-mm-dd"),'Ingest Template'!Q594)))</f>
        <v/>
      </c>
      <c r="AM594" s="35" t="str">
        <f>'Ingest Template'!AC594</f>
        <v/>
      </c>
    </row>
    <row r="595">
      <c r="A595" s="15"/>
      <c r="B595" s="22" t="str">
        <f>'Ingest Template'!C595&amp;IF('Ingest Template'!A595 = "Standard", " - DAR","")</f>
        <v/>
      </c>
      <c r="C595" s="22" t="s">
        <v>83</v>
      </c>
      <c r="D595" s="22" t="str">
        <f t="array" ref="D595">CONCATENATE(INDEX(DropdownLists!$H$2:$H$11,MATCH(1,COUNTIF('Ingest Template'!E595,"*"&amp;DropdownLists!$I$2:$I$11&amp;"*"),0)),CHAR(10),'Ingest Template'!F595,CHAR(10),'Ingest Template'!G595,CHAR(10),VLOOKUP('Ingest Template'!D595,DropdownLists!C:D,2,FALSE))</f>
        <v>#N/A</v>
      </c>
      <c r="E595" s="22" t="str">
        <f>CONCATENATE('Ingest Template'!H595,CHAR(10),'Ingest Template'!I595,CHAR(10),'Ingest Template'!J595,CHAR(10))</f>
        <v>
</v>
      </c>
      <c r="F595" s="35" t="str">
        <f t="array" ref="F595">INDEX(DropdownLists!$O$2:$O$36,MATCH(1,COUNTIF(E595,"*"&amp;DropdownLists!$N$2:$N$36&amp;"*"),0))</f>
        <v/>
      </c>
      <c r="G595" s="35"/>
      <c r="H595" s="22" t="str">
        <f t="array" ref="H595">INDEX(DropdownLists!$E$2:$E$276,MATCH('Ingest Template'!D595,DropdownLists!$C$2:$C$276,0))</f>
        <v>#N/A</v>
      </c>
      <c r="I595" s="22"/>
      <c r="J595" s="22" t="str">
        <f t="array" ref="J595">iF('Ingest Template'!A595="Standard","Pristine Brand",INDEX(DropdownLists!$B$2:$B$246,MATCH('Ingest Template'!D595,DropdownLists!$C$2:$C$246,0)))</f>
        <v>#N/A</v>
      </c>
      <c r="K595" s="22" t="str">
        <f>iF('Ingest Template'!A595="Standard",'Ingest Template'!K595&amp;CHAR(10)&amp;'Ingest Template'!L595,"Competitive View")</f>
        <v>Competitive View</v>
      </c>
      <c r="L595" s="22" t="s">
        <v>95</v>
      </c>
      <c r="M595" s="45" t="str">
        <f>'Ingest Template'!B595</f>
        <v/>
      </c>
      <c r="N595" s="35"/>
      <c r="O595" s="35"/>
      <c r="P595" s="35"/>
      <c r="Q595" s="35"/>
      <c r="R595" s="35" t="str">
        <f>'Ingest Template'!D595</f>
        <v/>
      </c>
      <c r="S595" s="22" t="s">
        <v>101</v>
      </c>
      <c r="T595" s="35" t="str">
        <f>'Ingest Template'!V595</f>
        <v/>
      </c>
      <c r="U595" s="35" t="str">
        <f>'Ingest Template'!W595</f>
        <v/>
      </c>
      <c r="V595" s="35" t="str">
        <f>LOWER(SUBSTITUTE(SUBSTITUTE(SUBSTITUTE(SUBSTITUTE(SUBSTITUTE('Ingest Template'!X595,"https:",""),"www.",""),"/",""),"?hl=en",""),"instagram.com",""))</f>
        <v/>
      </c>
      <c r="W595" s="74" t="str">
        <f t="array" ref="W595">IF(
'Ingest Template'!Y595="",
SUBSTITUTE(
INDEX(DropdownLists!$F$2:$F$277,MATCH('Ingest Template'!D595,DropdownLists!$C$2:$C$277,0)),
CHAR(10),
"|"&amp;'Ingest Template'!C595&amp;CHAR(10)
)&amp;"|"&amp;'Ingest Template'!C595,
SUBSTITUTE(
INDEX(DropdownLists!$F$2:$F$277,MATCH('Ingest Template'!D595,DropdownLists!$C$2:$C$277,0)),
CHAR(10),
"|"&amp;'Ingest Template'!C595&amp;CHAR(10)
)&amp;"|"&amp;'Ingest Template'!C595&amp;CHAR(10)&amp;'Ingest Template'!Y595
)</f>
        <v>#N/A</v>
      </c>
      <c r="X595" s="74" t="str">
        <f>'Ingest Template'!Z595</f>
        <v/>
      </c>
      <c r="Y595" s="35" t="str">
        <f>SUBSTITUTE(SUBSTITUTE(SUBSTITUTE('Ingest Template'!AA595,"http:",""),"https:",""),"/","")</f>
        <v/>
      </c>
      <c r="Z595" s="35" t="str">
        <f t="array" ref="Z595">IF('Ingest Template'!A595="Standard",(IF(ISBLANK('Ingest Template'!AB595),"", 'Ingest Template'!AB595&amp;"|DAR")),(IF(ISBLANK('Ingest Template'!AB595),"", 'Ingest Template'!AB595&amp;"|TV Ops")))</f>
        <v/>
      </c>
      <c r="AA595" s="35"/>
      <c r="AB595" s="35" t="str">
        <f>'Ingest Template'!R595</f>
        <v/>
      </c>
      <c r="AC595" s="35" t="str">
        <f>'Ingest Template'!T595</f>
        <v/>
      </c>
      <c r="AD595" s="35" t="str">
        <f>'Ingest Template'!S595</f>
        <v/>
      </c>
      <c r="AE595" s="35" t="str">
        <f>'Ingest Template'!U595</f>
        <v/>
      </c>
      <c r="AF595" s="22"/>
      <c r="AG595" s="35" t="str">
        <f t="array" ref="AG595">IF('Ingest Template'!A595="Standard",(CONCATENATE(IF(ISBLANK('Ingest Template'!N595),"", 'Ingest Template'!N595&amp;"|DAR"),CHAR(10), IF(ISBLANK('Ingest Template'!O595),"", 'Ingest Template'!O595&amp;"|DAR"),CHAR(10), IF(ISBLANK('Ingest Template'!P595),"", 'Ingest Template'!P595&amp;"|DAR"))),(CONCATENATE(IF(ISBLANK('Ingest Template'!N595),"", 'Ingest Template'!N595&amp;"|TV Ops"),CHAR(10), IF(ISBLANK('Ingest Template'!O595),"", 'Ingest Template'!O595&amp;"|TV Ops"),CHAR(10), IF(ISBLANK('Ingest Template'!P595),"", 'Ingest Template'!P595&amp;"|TV Ops"))))</f>
        <v>
</v>
      </c>
      <c r="AH595" s="35"/>
      <c r="AI595" s="35"/>
      <c r="AJ595" s="117" t="str">
        <f>if('Ingest Template'!A595="Standard",(IF(OR('Ingest Template'!F595 = "Program Type - Special", 'Ingest Template'!F595 = "Program Type - Live Event"),'Ingest Template'!M595&amp; "|DAR|DAR|"&amp;TEXT('Ingest Template'!C595-3, "yyyy-mm-dd")&amp;"|"&amp;TEXT('Ingest Template'!C595+3, "yyyy-mm-dd"),'Ingest Template'!M595&amp; "|DAR|DAR|2021-01-01")),(IF(OR('Ingest Template'!F595 = "Program Type - Special", 'Ingest Template'!F595 = "Program Type - Live Event"),'Ingest Template'!M595&amp; "|Operations - Core Title|Operations - Core Title|"&amp;TEXT('Ingest Template'!C595-3, "yyyy-mm-dd")&amp;"|"&amp;TEXT('Ingest Template'!C595+3, "yyyy-mm-dd"),'Ingest Template'!M595&amp; "|Operations - Core Title|Operations - Core Title")))</f>
        <v>|Operations - Core Title|Operations - Core Title</v>
      </c>
      <c r="AK595" s="35"/>
      <c r="AL595" s="117" t="str">
        <f>if('Ingest Template'!A595="Standard",(IF(OR('Ingest Template'!F595 = "Program Type - Special", 'Ingest Template'!F595 = "Program Type - Live Event"),'Ingest Template'!Q595&amp;"|"&amp;TEXT('Ingest Template'!C595-3, "yyyy-mm-dd")&amp;"|"&amp;TEXT('Ingest Template'!C595+3, "yyyy-mm-dd"),'Ingest Template'!Q595&amp; "|2021-01-01")),(IF(OR('Ingest Template'!F595 = "Program Type - Special", 'Ingest Template'!F595 = "Program Type - Live Event"),'Ingest Template'!Q595&amp; "|"&amp;TEXT('Ingest Template'!C595-3, "yyyy-mm-dd")&amp;"|"&amp;TEXT('Ingest Template'!C595+3, "yyyy-mm-dd"),'Ingest Template'!Q595)))</f>
        <v/>
      </c>
      <c r="AM595" s="35" t="str">
        <f>'Ingest Template'!AC595</f>
        <v/>
      </c>
    </row>
    <row r="596">
      <c r="A596" s="15"/>
      <c r="B596" s="22" t="str">
        <f>'Ingest Template'!C596&amp;IF('Ingest Template'!A596 = "Standard", " - DAR","")</f>
        <v/>
      </c>
      <c r="C596" s="22" t="s">
        <v>83</v>
      </c>
      <c r="D596" s="22" t="str">
        <f t="array" ref="D596">CONCATENATE(INDEX(DropdownLists!$H$2:$H$11,MATCH(1,COUNTIF('Ingest Template'!E596,"*"&amp;DropdownLists!$I$2:$I$11&amp;"*"),0)),CHAR(10),'Ingest Template'!F596,CHAR(10),'Ingest Template'!G596,CHAR(10),VLOOKUP('Ingest Template'!D596,DropdownLists!C:D,2,FALSE))</f>
        <v>#N/A</v>
      </c>
      <c r="E596" s="22" t="str">
        <f>CONCATENATE('Ingest Template'!H596,CHAR(10),'Ingest Template'!I596,CHAR(10),'Ingest Template'!J596,CHAR(10))</f>
        <v>
</v>
      </c>
      <c r="F596" s="35" t="str">
        <f t="array" ref="F596">INDEX(DropdownLists!$O$2:$O$36,MATCH(1,COUNTIF(E596,"*"&amp;DropdownLists!$N$2:$N$36&amp;"*"),0))</f>
        <v/>
      </c>
      <c r="G596" s="35"/>
      <c r="H596" s="22" t="str">
        <f t="array" ref="H596">INDEX(DropdownLists!$E$2:$E$276,MATCH('Ingest Template'!D596,DropdownLists!$C$2:$C$276,0))</f>
        <v>#N/A</v>
      </c>
      <c r="I596" s="22"/>
      <c r="J596" s="22" t="str">
        <f t="array" ref="J596">iF('Ingest Template'!A596="Standard","Pristine Brand",INDEX(DropdownLists!$B$2:$B$246,MATCH('Ingest Template'!D596,DropdownLists!$C$2:$C$246,0)))</f>
        <v>#N/A</v>
      </c>
      <c r="K596" s="22" t="str">
        <f>iF('Ingest Template'!A596="Standard",'Ingest Template'!K596&amp;CHAR(10)&amp;'Ingest Template'!L596,"Competitive View")</f>
        <v>Competitive View</v>
      </c>
      <c r="L596" s="22" t="s">
        <v>95</v>
      </c>
      <c r="M596" s="45" t="str">
        <f>'Ingest Template'!B596</f>
        <v/>
      </c>
      <c r="N596" s="35"/>
      <c r="O596" s="35"/>
      <c r="P596" s="35"/>
      <c r="Q596" s="35"/>
      <c r="R596" s="35" t="str">
        <f>'Ingest Template'!D596</f>
        <v/>
      </c>
      <c r="S596" s="22" t="s">
        <v>101</v>
      </c>
      <c r="T596" s="35" t="str">
        <f>'Ingest Template'!V596</f>
        <v/>
      </c>
      <c r="U596" s="35" t="str">
        <f>'Ingest Template'!W596</f>
        <v/>
      </c>
      <c r="V596" s="35" t="str">
        <f>LOWER(SUBSTITUTE(SUBSTITUTE(SUBSTITUTE(SUBSTITUTE(SUBSTITUTE('Ingest Template'!X596,"https:",""),"www.",""),"/",""),"?hl=en",""),"instagram.com",""))</f>
        <v/>
      </c>
      <c r="W596" s="74" t="str">
        <f t="array" ref="W596">IF(
'Ingest Template'!Y596="",
SUBSTITUTE(
INDEX(DropdownLists!$F$2:$F$277,MATCH('Ingest Template'!D596,DropdownLists!$C$2:$C$277,0)),
CHAR(10),
"|"&amp;'Ingest Template'!C596&amp;CHAR(10)
)&amp;"|"&amp;'Ingest Template'!C596,
SUBSTITUTE(
INDEX(DropdownLists!$F$2:$F$277,MATCH('Ingest Template'!D596,DropdownLists!$C$2:$C$277,0)),
CHAR(10),
"|"&amp;'Ingest Template'!C596&amp;CHAR(10)
)&amp;"|"&amp;'Ingest Template'!C596&amp;CHAR(10)&amp;'Ingest Template'!Y596
)</f>
        <v>#N/A</v>
      </c>
      <c r="X596" s="74" t="str">
        <f>'Ingest Template'!Z596</f>
        <v/>
      </c>
      <c r="Y596" s="35" t="str">
        <f>SUBSTITUTE(SUBSTITUTE(SUBSTITUTE('Ingest Template'!AA596,"http:",""),"https:",""),"/","")</f>
        <v/>
      </c>
      <c r="Z596" s="35" t="str">
        <f t="array" ref="Z596">IF('Ingest Template'!A596="Standard",(IF(ISBLANK('Ingest Template'!AB596),"", 'Ingest Template'!AB596&amp;"|DAR")),(IF(ISBLANK('Ingest Template'!AB596),"", 'Ingest Template'!AB596&amp;"|TV Ops")))</f>
        <v/>
      </c>
      <c r="AA596" s="35"/>
      <c r="AB596" s="35" t="str">
        <f>'Ingest Template'!R596</f>
        <v/>
      </c>
      <c r="AC596" s="35" t="str">
        <f>'Ingest Template'!T596</f>
        <v/>
      </c>
      <c r="AD596" s="35" t="str">
        <f>'Ingest Template'!S596</f>
        <v/>
      </c>
      <c r="AE596" s="35" t="str">
        <f>'Ingest Template'!U596</f>
        <v/>
      </c>
      <c r="AF596" s="22"/>
      <c r="AG596" s="35" t="str">
        <f t="array" ref="AG596">IF('Ingest Template'!A596="Standard",(CONCATENATE(IF(ISBLANK('Ingest Template'!N596),"", 'Ingest Template'!N596&amp;"|DAR"),CHAR(10), IF(ISBLANK('Ingest Template'!O596),"", 'Ingest Template'!O596&amp;"|DAR"),CHAR(10), IF(ISBLANK('Ingest Template'!P596),"", 'Ingest Template'!P596&amp;"|DAR"))),(CONCATENATE(IF(ISBLANK('Ingest Template'!N596),"", 'Ingest Template'!N596&amp;"|TV Ops"),CHAR(10), IF(ISBLANK('Ingest Template'!O596),"", 'Ingest Template'!O596&amp;"|TV Ops"),CHAR(10), IF(ISBLANK('Ingest Template'!P596),"", 'Ingest Template'!P596&amp;"|TV Ops"))))</f>
        <v>
</v>
      </c>
      <c r="AH596" s="35"/>
      <c r="AI596" s="35"/>
      <c r="AJ596" s="117" t="str">
        <f>if('Ingest Template'!A596="Standard",(IF(OR('Ingest Template'!F596 = "Program Type - Special", 'Ingest Template'!F596 = "Program Type - Live Event"),'Ingest Template'!M596&amp; "|DAR|DAR|"&amp;TEXT('Ingest Template'!C596-3, "yyyy-mm-dd")&amp;"|"&amp;TEXT('Ingest Template'!C596+3, "yyyy-mm-dd"),'Ingest Template'!M596&amp; "|DAR|DAR|2021-01-01")),(IF(OR('Ingest Template'!F596 = "Program Type - Special", 'Ingest Template'!F596 = "Program Type - Live Event"),'Ingest Template'!M596&amp; "|Operations - Core Title|Operations - Core Title|"&amp;TEXT('Ingest Template'!C596-3, "yyyy-mm-dd")&amp;"|"&amp;TEXT('Ingest Template'!C596+3, "yyyy-mm-dd"),'Ingest Template'!M596&amp; "|Operations - Core Title|Operations - Core Title")))</f>
        <v>|Operations - Core Title|Operations - Core Title</v>
      </c>
      <c r="AK596" s="35"/>
      <c r="AL596" s="117" t="str">
        <f>if('Ingest Template'!A596="Standard",(IF(OR('Ingest Template'!F596 = "Program Type - Special", 'Ingest Template'!F596 = "Program Type - Live Event"),'Ingest Template'!Q596&amp;"|"&amp;TEXT('Ingest Template'!C596-3, "yyyy-mm-dd")&amp;"|"&amp;TEXT('Ingest Template'!C596+3, "yyyy-mm-dd"),'Ingest Template'!Q596&amp; "|2021-01-01")),(IF(OR('Ingest Template'!F596 = "Program Type - Special", 'Ingest Template'!F596 = "Program Type - Live Event"),'Ingest Template'!Q596&amp; "|"&amp;TEXT('Ingest Template'!C596-3, "yyyy-mm-dd")&amp;"|"&amp;TEXT('Ingest Template'!C596+3, "yyyy-mm-dd"),'Ingest Template'!Q596)))</f>
        <v/>
      </c>
      <c r="AM596" s="35" t="str">
        <f>'Ingest Template'!AC596</f>
        <v/>
      </c>
    </row>
    <row r="597">
      <c r="A597" s="15"/>
      <c r="B597" s="22" t="str">
        <f>'Ingest Template'!C597&amp;IF('Ingest Template'!A597 = "Standard", " - DAR","")</f>
        <v/>
      </c>
      <c r="C597" s="22" t="s">
        <v>83</v>
      </c>
      <c r="D597" s="22" t="str">
        <f t="array" ref="D597">CONCATENATE(INDEX(DropdownLists!$H$2:$H$11,MATCH(1,COUNTIF('Ingest Template'!E597,"*"&amp;DropdownLists!$I$2:$I$11&amp;"*"),0)),CHAR(10),'Ingest Template'!F597,CHAR(10),'Ingest Template'!G597,CHAR(10),VLOOKUP('Ingest Template'!D597,DropdownLists!C:D,2,FALSE))</f>
        <v>#N/A</v>
      </c>
      <c r="E597" s="22" t="str">
        <f>CONCATENATE('Ingest Template'!H597,CHAR(10),'Ingest Template'!I597,CHAR(10),'Ingest Template'!J597,CHAR(10))</f>
        <v>
</v>
      </c>
      <c r="F597" s="35" t="str">
        <f t="array" ref="F597">INDEX(DropdownLists!$O$2:$O$36,MATCH(1,COUNTIF(E597,"*"&amp;DropdownLists!$N$2:$N$36&amp;"*"),0))</f>
        <v/>
      </c>
      <c r="G597" s="35"/>
      <c r="H597" s="22" t="str">
        <f t="array" ref="H597">INDEX(DropdownLists!$E$2:$E$276,MATCH('Ingest Template'!D597,DropdownLists!$C$2:$C$276,0))</f>
        <v>#N/A</v>
      </c>
      <c r="I597" s="22"/>
      <c r="J597" s="22" t="str">
        <f t="array" ref="J597">iF('Ingest Template'!A597="Standard","Pristine Brand",INDEX(DropdownLists!$B$2:$B$246,MATCH('Ingest Template'!D597,DropdownLists!$C$2:$C$246,0)))</f>
        <v>#N/A</v>
      </c>
      <c r="K597" s="22" t="str">
        <f>iF('Ingest Template'!A597="Standard",'Ingest Template'!K597&amp;CHAR(10)&amp;'Ingest Template'!L597,"Competitive View")</f>
        <v>Competitive View</v>
      </c>
      <c r="L597" s="22" t="s">
        <v>95</v>
      </c>
      <c r="M597" s="45" t="str">
        <f>'Ingest Template'!B597</f>
        <v/>
      </c>
      <c r="N597" s="35"/>
      <c r="O597" s="35"/>
      <c r="P597" s="35"/>
      <c r="Q597" s="35"/>
      <c r="R597" s="35" t="str">
        <f>'Ingest Template'!D597</f>
        <v/>
      </c>
      <c r="S597" s="22" t="s">
        <v>101</v>
      </c>
      <c r="T597" s="35" t="str">
        <f>'Ingest Template'!V597</f>
        <v/>
      </c>
      <c r="U597" s="35" t="str">
        <f>'Ingest Template'!W597</f>
        <v/>
      </c>
      <c r="V597" s="35" t="str">
        <f>LOWER(SUBSTITUTE(SUBSTITUTE(SUBSTITUTE(SUBSTITUTE(SUBSTITUTE('Ingest Template'!X597,"https:",""),"www.",""),"/",""),"?hl=en",""),"instagram.com",""))</f>
        <v/>
      </c>
      <c r="W597" s="74" t="str">
        <f t="array" ref="W597">IF(
'Ingest Template'!Y597="",
SUBSTITUTE(
INDEX(DropdownLists!$F$2:$F$277,MATCH('Ingest Template'!D597,DropdownLists!$C$2:$C$277,0)),
CHAR(10),
"|"&amp;'Ingest Template'!C597&amp;CHAR(10)
)&amp;"|"&amp;'Ingest Template'!C597,
SUBSTITUTE(
INDEX(DropdownLists!$F$2:$F$277,MATCH('Ingest Template'!D597,DropdownLists!$C$2:$C$277,0)),
CHAR(10),
"|"&amp;'Ingest Template'!C597&amp;CHAR(10)
)&amp;"|"&amp;'Ingest Template'!C597&amp;CHAR(10)&amp;'Ingest Template'!Y597
)</f>
        <v>#N/A</v>
      </c>
      <c r="X597" s="74" t="str">
        <f>'Ingest Template'!Z597</f>
        <v/>
      </c>
      <c r="Y597" s="35" t="str">
        <f>SUBSTITUTE(SUBSTITUTE(SUBSTITUTE('Ingest Template'!AA597,"http:",""),"https:",""),"/","")</f>
        <v/>
      </c>
      <c r="Z597" s="35" t="str">
        <f t="array" ref="Z597">IF('Ingest Template'!A597="Standard",(IF(ISBLANK('Ingest Template'!AB597),"", 'Ingest Template'!AB597&amp;"|DAR")),(IF(ISBLANK('Ingest Template'!AB597),"", 'Ingest Template'!AB597&amp;"|TV Ops")))</f>
        <v/>
      </c>
      <c r="AA597" s="35"/>
      <c r="AB597" s="35" t="str">
        <f>'Ingest Template'!R597</f>
        <v/>
      </c>
      <c r="AC597" s="35" t="str">
        <f>'Ingest Template'!T597</f>
        <v/>
      </c>
      <c r="AD597" s="35" t="str">
        <f>'Ingest Template'!S597</f>
        <v/>
      </c>
      <c r="AE597" s="35" t="str">
        <f>'Ingest Template'!U597</f>
        <v/>
      </c>
      <c r="AF597" s="22"/>
      <c r="AG597" s="35" t="str">
        <f t="array" ref="AG597">IF('Ingest Template'!A597="Standard",(CONCATENATE(IF(ISBLANK('Ingest Template'!N597),"", 'Ingest Template'!N597&amp;"|DAR"),CHAR(10), IF(ISBLANK('Ingest Template'!O597),"", 'Ingest Template'!O597&amp;"|DAR"),CHAR(10), IF(ISBLANK('Ingest Template'!P597),"", 'Ingest Template'!P597&amp;"|DAR"))),(CONCATENATE(IF(ISBLANK('Ingest Template'!N597),"", 'Ingest Template'!N597&amp;"|TV Ops"),CHAR(10), IF(ISBLANK('Ingest Template'!O597),"", 'Ingest Template'!O597&amp;"|TV Ops"),CHAR(10), IF(ISBLANK('Ingest Template'!P597),"", 'Ingest Template'!P597&amp;"|TV Ops"))))</f>
        <v>
</v>
      </c>
      <c r="AH597" s="35"/>
      <c r="AI597" s="35"/>
      <c r="AJ597" s="117" t="str">
        <f>if('Ingest Template'!A597="Standard",(IF(OR('Ingest Template'!F597 = "Program Type - Special", 'Ingest Template'!F597 = "Program Type - Live Event"),'Ingest Template'!M597&amp; "|DAR|DAR|"&amp;TEXT('Ingest Template'!C597-3, "yyyy-mm-dd")&amp;"|"&amp;TEXT('Ingest Template'!C597+3, "yyyy-mm-dd"),'Ingest Template'!M597&amp; "|DAR|DAR|2021-01-01")),(IF(OR('Ingest Template'!F597 = "Program Type - Special", 'Ingest Template'!F597 = "Program Type - Live Event"),'Ingest Template'!M597&amp; "|Operations - Core Title|Operations - Core Title|"&amp;TEXT('Ingest Template'!C597-3, "yyyy-mm-dd")&amp;"|"&amp;TEXT('Ingest Template'!C597+3, "yyyy-mm-dd"),'Ingest Template'!M597&amp; "|Operations - Core Title|Operations - Core Title")))</f>
        <v>|Operations - Core Title|Operations - Core Title</v>
      </c>
      <c r="AK597" s="35"/>
      <c r="AL597" s="117" t="str">
        <f>if('Ingest Template'!A597="Standard",(IF(OR('Ingest Template'!F597 = "Program Type - Special", 'Ingest Template'!F597 = "Program Type - Live Event"),'Ingest Template'!Q597&amp;"|"&amp;TEXT('Ingest Template'!C597-3, "yyyy-mm-dd")&amp;"|"&amp;TEXT('Ingest Template'!C597+3, "yyyy-mm-dd"),'Ingest Template'!Q597&amp; "|2021-01-01")),(IF(OR('Ingest Template'!F597 = "Program Type - Special", 'Ingest Template'!F597 = "Program Type - Live Event"),'Ingest Template'!Q597&amp; "|"&amp;TEXT('Ingest Template'!C597-3, "yyyy-mm-dd")&amp;"|"&amp;TEXT('Ingest Template'!C597+3, "yyyy-mm-dd"),'Ingest Template'!Q597)))</f>
        <v/>
      </c>
      <c r="AM597" s="35" t="str">
        <f>'Ingest Template'!AC597</f>
        <v/>
      </c>
    </row>
    <row r="598">
      <c r="A598" s="15"/>
      <c r="B598" s="22" t="str">
        <f>'Ingest Template'!C598&amp;IF('Ingest Template'!A598 = "Standard", " - DAR","")</f>
        <v/>
      </c>
      <c r="C598" s="22" t="s">
        <v>83</v>
      </c>
      <c r="D598" s="22" t="str">
        <f t="array" ref="D598">CONCATENATE(INDEX(DropdownLists!$H$2:$H$11,MATCH(1,COUNTIF('Ingest Template'!E598,"*"&amp;DropdownLists!$I$2:$I$11&amp;"*"),0)),CHAR(10),'Ingest Template'!F598,CHAR(10),'Ingest Template'!G598,CHAR(10),VLOOKUP('Ingest Template'!D598,DropdownLists!C:D,2,FALSE))</f>
        <v>#N/A</v>
      </c>
      <c r="E598" s="22" t="str">
        <f>CONCATENATE('Ingest Template'!H598,CHAR(10),'Ingest Template'!I598,CHAR(10),'Ingest Template'!J598,CHAR(10))</f>
        <v>
</v>
      </c>
      <c r="F598" s="35" t="str">
        <f t="array" ref="F598">INDEX(DropdownLists!$O$2:$O$36,MATCH(1,COUNTIF(E598,"*"&amp;DropdownLists!$N$2:$N$36&amp;"*"),0))</f>
        <v/>
      </c>
      <c r="G598" s="35"/>
      <c r="H598" s="22" t="str">
        <f t="array" ref="H598">INDEX(DropdownLists!$E$2:$E$276,MATCH('Ingest Template'!D598,DropdownLists!$C$2:$C$276,0))</f>
        <v>#N/A</v>
      </c>
      <c r="I598" s="22"/>
      <c r="J598" s="22" t="str">
        <f t="array" ref="J598">iF('Ingest Template'!A598="Standard","Pristine Brand",INDEX(DropdownLists!$B$2:$B$246,MATCH('Ingest Template'!D598,DropdownLists!$C$2:$C$246,0)))</f>
        <v>#N/A</v>
      </c>
      <c r="K598" s="22" t="str">
        <f>iF('Ingest Template'!A598="Standard",'Ingest Template'!K598&amp;CHAR(10)&amp;'Ingest Template'!L598,"Competitive View")</f>
        <v>Competitive View</v>
      </c>
      <c r="L598" s="22" t="s">
        <v>95</v>
      </c>
      <c r="M598" s="45" t="str">
        <f>'Ingest Template'!B598</f>
        <v/>
      </c>
      <c r="N598" s="35"/>
      <c r="O598" s="35"/>
      <c r="P598" s="35"/>
      <c r="Q598" s="35"/>
      <c r="R598" s="35" t="str">
        <f>'Ingest Template'!D598</f>
        <v/>
      </c>
      <c r="S598" s="22" t="s">
        <v>101</v>
      </c>
      <c r="T598" s="35" t="str">
        <f>'Ingest Template'!V598</f>
        <v/>
      </c>
      <c r="U598" s="35" t="str">
        <f>'Ingest Template'!W598</f>
        <v/>
      </c>
      <c r="V598" s="35" t="str">
        <f>LOWER(SUBSTITUTE(SUBSTITUTE(SUBSTITUTE(SUBSTITUTE(SUBSTITUTE('Ingest Template'!X598,"https:",""),"www.",""),"/",""),"?hl=en",""),"instagram.com",""))</f>
        <v/>
      </c>
      <c r="W598" s="74" t="str">
        <f t="array" ref="W598">IF(
'Ingest Template'!Y598="",
SUBSTITUTE(
INDEX(DropdownLists!$F$2:$F$277,MATCH('Ingest Template'!D598,DropdownLists!$C$2:$C$277,0)),
CHAR(10),
"|"&amp;'Ingest Template'!C598&amp;CHAR(10)
)&amp;"|"&amp;'Ingest Template'!C598,
SUBSTITUTE(
INDEX(DropdownLists!$F$2:$F$277,MATCH('Ingest Template'!D598,DropdownLists!$C$2:$C$277,0)),
CHAR(10),
"|"&amp;'Ingest Template'!C598&amp;CHAR(10)
)&amp;"|"&amp;'Ingest Template'!C598&amp;CHAR(10)&amp;'Ingest Template'!Y598
)</f>
        <v>#N/A</v>
      </c>
      <c r="X598" s="74" t="str">
        <f>'Ingest Template'!Z598</f>
        <v/>
      </c>
      <c r="Y598" s="35" t="str">
        <f>SUBSTITUTE(SUBSTITUTE(SUBSTITUTE('Ingest Template'!AA598,"http:",""),"https:",""),"/","")</f>
        <v/>
      </c>
      <c r="Z598" s="35" t="str">
        <f t="array" ref="Z598">IF('Ingest Template'!A598="Standard",(IF(ISBLANK('Ingest Template'!AB598),"", 'Ingest Template'!AB598&amp;"|DAR")),(IF(ISBLANK('Ingest Template'!AB598),"", 'Ingest Template'!AB598&amp;"|TV Ops")))</f>
        <v/>
      </c>
      <c r="AA598" s="35"/>
      <c r="AB598" s="35" t="str">
        <f>'Ingest Template'!R598</f>
        <v/>
      </c>
      <c r="AC598" s="35" t="str">
        <f>'Ingest Template'!T598</f>
        <v/>
      </c>
      <c r="AD598" s="35" t="str">
        <f>'Ingest Template'!S598</f>
        <v/>
      </c>
      <c r="AE598" s="35" t="str">
        <f>'Ingest Template'!U598</f>
        <v/>
      </c>
      <c r="AF598" s="22"/>
      <c r="AG598" s="35" t="str">
        <f t="array" ref="AG598">IF('Ingest Template'!A598="Standard",(CONCATENATE(IF(ISBLANK('Ingest Template'!N598),"", 'Ingest Template'!N598&amp;"|DAR"),CHAR(10), IF(ISBLANK('Ingest Template'!O598),"", 'Ingest Template'!O598&amp;"|DAR"),CHAR(10), IF(ISBLANK('Ingest Template'!P598),"", 'Ingest Template'!P598&amp;"|DAR"))),(CONCATENATE(IF(ISBLANK('Ingest Template'!N598),"", 'Ingest Template'!N598&amp;"|TV Ops"),CHAR(10), IF(ISBLANK('Ingest Template'!O598),"", 'Ingest Template'!O598&amp;"|TV Ops"),CHAR(10), IF(ISBLANK('Ingest Template'!P598),"", 'Ingest Template'!P598&amp;"|TV Ops"))))</f>
        <v>
</v>
      </c>
      <c r="AH598" s="35"/>
      <c r="AI598" s="35"/>
      <c r="AJ598" s="117" t="str">
        <f>if('Ingest Template'!A598="Standard",(IF(OR('Ingest Template'!F598 = "Program Type - Special", 'Ingest Template'!F598 = "Program Type - Live Event"),'Ingest Template'!M598&amp; "|DAR|DAR|"&amp;TEXT('Ingest Template'!C598-3, "yyyy-mm-dd")&amp;"|"&amp;TEXT('Ingest Template'!C598+3, "yyyy-mm-dd"),'Ingest Template'!M598&amp; "|DAR|DAR|2021-01-01")),(IF(OR('Ingest Template'!F598 = "Program Type - Special", 'Ingest Template'!F598 = "Program Type - Live Event"),'Ingest Template'!M598&amp; "|Operations - Core Title|Operations - Core Title|"&amp;TEXT('Ingest Template'!C598-3, "yyyy-mm-dd")&amp;"|"&amp;TEXT('Ingest Template'!C598+3, "yyyy-mm-dd"),'Ingest Template'!M598&amp; "|Operations - Core Title|Operations - Core Title")))</f>
        <v>|Operations - Core Title|Operations - Core Title</v>
      </c>
      <c r="AK598" s="35"/>
      <c r="AL598" s="117" t="str">
        <f>if('Ingest Template'!A598="Standard",(IF(OR('Ingest Template'!F598 = "Program Type - Special", 'Ingest Template'!F598 = "Program Type - Live Event"),'Ingest Template'!Q598&amp;"|"&amp;TEXT('Ingest Template'!C598-3, "yyyy-mm-dd")&amp;"|"&amp;TEXT('Ingest Template'!C598+3, "yyyy-mm-dd"),'Ingest Template'!Q598&amp; "|2021-01-01")),(IF(OR('Ingest Template'!F598 = "Program Type - Special", 'Ingest Template'!F598 = "Program Type - Live Event"),'Ingest Template'!Q598&amp; "|"&amp;TEXT('Ingest Template'!C598-3, "yyyy-mm-dd")&amp;"|"&amp;TEXT('Ingest Template'!C598+3, "yyyy-mm-dd"),'Ingest Template'!Q598)))</f>
        <v/>
      </c>
      <c r="AM598" s="35" t="str">
        <f>'Ingest Template'!AC598</f>
        <v/>
      </c>
    </row>
    <row r="599">
      <c r="A599" s="15"/>
      <c r="B599" s="22" t="str">
        <f>'Ingest Template'!C599&amp;IF('Ingest Template'!A599 = "Standard", " - DAR","")</f>
        <v/>
      </c>
      <c r="C599" s="22" t="s">
        <v>83</v>
      </c>
      <c r="D599" s="22" t="str">
        <f t="array" ref="D599">CONCATENATE(INDEX(DropdownLists!$H$2:$H$11,MATCH(1,COUNTIF('Ingest Template'!E599,"*"&amp;DropdownLists!$I$2:$I$11&amp;"*"),0)),CHAR(10),'Ingest Template'!F599,CHAR(10),'Ingest Template'!G599,CHAR(10),VLOOKUP('Ingest Template'!D599,DropdownLists!C:D,2,FALSE))</f>
        <v>#N/A</v>
      </c>
      <c r="E599" s="22" t="str">
        <f>CONCATENATE('Ingest Template'!H599,CHAR(10),'Ingest Template'!I599,CHAR(10),'Ingest Template'!J599,CHAR(10))</f>
        <v>
</v>
      </c>
      <c r="F599" s="35" t="str">
        <f t="array" ref="F599">INDEX(DropdownLists!$O$2:$O$36,MATCH(1,COUNTIF(E599,"*"&amp;DropdownLists!$N$2:$N$36&amp;"*"),0))</f>
        <v/>
      </c>
      <c r="G599" s="35"/>
      <c r="H599" s="22" t="str">
        <f t="array" ref="H599">INDEX(DropdownLists!$E$2:$E$276,MATCH('Ingest Template'!D599,DropdownLists!$C$2:$C$276,0))</f>
        <v>#N/A</v>
      </c>
      <c r="I599" s="22"/>
      <c r="J599" s="22" t="str">
        <f t="array" ref="J599">iF('Ingest Template'!A599="Standard","Pristine Brand",INDEX(DropdownLists!$B$2:$B$246,MATCH('Ingest Template'!D599,DropdownLists!$C$2:$C$246,0)))</f>
        <v>#N/A</v>
      </c>
      <c r="K599" s="22" t="str">
        <f>iF('Ingest Template'!A599="Standard",'Ingest Template'!K599&amp;CHAR(10)&amp;'Ingest Template'!L599,"Competitive View")</f>
        <v>Competitive View</v>
      </c>
      <c r="L599" s="22" t="s">
        <v>95</v>
      </c>
      <c r="M599" s="45" t="str">
        <f>'Ingest Template'!B599</f>
        <v/>
      </c>
      <c r="N599" s="35"/>
      <c r="O599" s="35"/>
      <c r="P599" s="35"/>
      <c r="Q599" s="35"/>
      <c r="R599" s="35" t="str">
        <f>'Ingest Template'!D599</f>
        <v/>
      </c>
      <c r="S599" s="22" t="s">
        <v>101</v>
      </c>
      <c r="T599" s="35" t="str">
        <f>'Ingest Template'!V599</f>
        <v/>
      </c>
      <c r="U599" s="35" t="str">
        <f>'Ingest Template'!W599</f>
        <v/>
      </c>
      <c r="V599" s="35" t="str">
        <f>LOWER(SUBSTITUTE(SUBSTITUTE(SUBSTITUTE(SUBSTITUTE(SUBSTITUTE('Ingest Template'!X599,"https:",""),"www.",""),"/",""),"?hl=en",""),"instagram.com",""))</f>
        <v/>
      </c>
      <c r="W599" s="74" t="str">
        <f t="array" ref="W599">IF(
'Ingest Template'!Y599="",
SUBSTITUTE(
INDEX(DropdownLists!$F$2:$F$277,MATCH('Ingest Template'!D599,DropdownLists!$C$2:$C$277,0)),
CHAR(10),
"|"&amp;'Ingest Template'!C599&amp;CHAR(10)
)&amp;"|"&amp;'Ingest Template'!C599,
SUBSTITUTE(
INDEX(DropdownLists!$F$2:$F$277,MATCH('Ingest Template'!D599,DropdownLists!$C$2:$C$277,0)),
CHAR(10),
"|"&amp;'Ingest Template'!C599&amp;CHAR(10)
)&amp;"|"&amp;'Ingest Template'!C599&amp;CHAR(10)&amp;'Ingest Template'!Y599
)</f>
        <v>#N/A</v>
      </c>
      <c r="X599" s="74" t="str">
        <f>'Ingest Template'!Z599</f>
        <v/>
      </c>
      <c r="Y599" s="35" t="str">
        <f>SUBSTITUTE(SUBSTITUTE(SUBSTITUTE('Ingest Template'!AA599,"http:",""),"https:",""),"/","")</f>
        <v/>
      </c>
      <c r="Z599" s="35" t="str">
        <f t="array" ref="Z599">IF('Ingest Template'!A599="Standard",(IF(ISBLANK('Ingest Template'!AB599),"", 'Ingest Template'!AB599&amp;"|DAR")),(IF(ISBLANK('Ingest Template'!AB599),"", 'Ingest Template'!AB599&amp;"|TV Ops")))</f>
        <v/>
      </c>
      <c r="AA599" s="35"/>
      <c r="AB599" s="35" t="str">
        <f>'Ingest Template'!R599</f>
        <v/>
      </c>
      <c r="AC599" s="35" t="str">
        <f>'Ingest Template'!T599</f>
        <v/>
      </c>
      <c r="AD599" s="35" t="str">
        <f>'Ingest Template'!S599</f>
        <v/>
      </c>
      <c r="AE599" s="35" t="str">
        <f>'Ingest Template'!U599</f>
        <v/>
      </c>
      <c r="AF599" s="22"/>
      <c r="AG599" s="35" t="str">
        <f t="array" ref="AG599">IF('Ingest Template'!A599="Standard",(CONCATENATE(IF(ISBLANK('Ingest Template'!N599),"", 'Ingest Template'!N599&amp;"|DAR"),CHAR(10), IF(ISBLANK('Ingest Template'!O599),"", 'Ingest Template'!O599&amp;"|DAR"),CHAR(10), IF(ISBLANK('Ingest Template'!P599),"", 'Ingest Template'!P599&amp;"|DAR"))),(CONCATENATE(IF(ISBLANK('Ingest Template'!N599),"", 'Ingest Template'!N599&amp;"|TV Ops"),CHAR(10), IF(ISBLANK('Ingest Template'!O599),"", 'Ingest Template'!O599&amp;"|TV Ops"),CHAR(10), IF(ISBLANK('Ingest Template'!P599),"", 'Ingest Template'!P599&amp;"|TV Ops"))))</f>
        <v>
</v>
      </c>
      <c r="AH599" s="35"/>
      <c r="AI599" s="35"/>
      <c r="AJ599" s="117" t="str">
        <f>if('Ingest Template'!A599="Standard",(IF(OR('Ingest Template'!F599 = "Program Type - Special", 'Ingest Template'!F599 = "Program Type - Live Event"),'Ingest Template'!M599&amp; "|DAR|DAR|"&amp;TEXT('Ingest Template'!C599-3, "yyyy-mm-dd")&amp;"|"&amp;TEXT('Ingest Template'!C599+3, "yyyy-mm-dd"),'Ingest Template'!M599&amp; "|DAR|DAR|2021-01-01")),(IF(OR('Ingest Template'!F599 = "Program Type - Special", 'Ingest Template'!F599 = "Program Type - Live Event"),'Ingest Template'!M599&amp; "|Operations - Core Title|Operations - Core Title|"&amp;TEXT('Ingest Template'!C599-3, "yyyy-mm-dd")&amp;"|"&amp;TEXT('Ingest Template'!C599+3, "yyyy-mm-dd"),'Ingest Template'!M599&amp; "|Operations - Core Title|Operations - Core Title")))</f>
        <v>|Operations - Core Title|Operations - Core Title</v>
      </c>
      <c r="AK599" s="35"/>
      <c r="AL599" s="117" t="str">
        <f>if('Ingest Template'!A599="Standard",(IF(OR('Ingest Template'!F599 = "Program Type - Special", 'Ingest Template'!F599 = "Program Type - Live Event"),'Ingest Template'!Q599&amp;"|"&amp;TEXT('Ingest Template'!C599-3, "yyyy-mm-dd")&amp;"|"&amp;TEXT('Ingest Template'!C599+3, "yyyy-mm-dd"),'Ingest Template'!Q599&amp; "|2021-01-01")),(IF(OR('Ingest Template'!F599 = "Program Type - Special", 'Ingest Template'!F599 = "Program Type - Live Event"),'Ingest Template'!Q599&amp; "|"&amp;TEXT('Ingest Template'!C599-3, "yyyy-mm-dd")&amp;"|"&amp;TEXT('Ingest Template'!C599+3, "yyyy-mm-dd"),'Ingest Template'!Q599)))</f>
        <v/>
      </c>
      <c r="AM599" s="35" t="str">
        <f>'Ingest Template'!AC599</f>
        <v/>
      </c>
    </row>
    <row r="600">
      <c r="A600" s="15"/>
      <c r="B600" s="22" t="str">
        <f>'Ingest Template'!C600&amp;IF('Ingest Template'!A600 = "Standard", " - DAR","")</f>
        <v/>
      </c>
      <c r="C600" s="22" t="s">
        <v>83</v>
      </c>
      <c r="D600" s="22" t="str">
        <f t="array" ref="D600">CONCATENATE(INDEX(DropdownLists!$H$2:$H$11,MATCH(1,COUNTIF('Ingest Template'!E600,"*"&amp;DropdownLists!$I$2:$I$11&amp;"*"),0)),CHAR(10),'Ingest Template'!F600,CHAR(10),'Ingest Template'!G600,CHAR(10),VLOOKUP('Ingest Template'!D600,DropdownLists!C:D,2,FALSE))</f>
        <v>#N/A</v>
      </c>
      <c r="E600" s="22" t="str">
        <f>CONCATENATE('Ingest Template'!H600,CHAR(10),'Ingest Template'!I600,CHAR(10),'Ingest Template'!J600,CHAR(10))</f>
        <v>
</v>
      </c>
      <c r="F600" s="35" t="str">
        <f t="array" ref="F600">INDEX(DropdownLists!$O$2:$O$36,MATCH(1,COUNTIF(E600,"*"&amp;DropdownLists!$N$2:$N$36&amp;"*"),0))</f>
        <v/>
      </c>
      <c r="G600" s="35"/>
      <c r="H600" s="22" t="str">
        <f t="array" ref="H600">INDEX(DropdownLists!$E$2:$E$276,MATCH('Ingest Template'!D600,DropdownLists!$C$2:$C$276,0))</f>
        <v>#N/A</v>
      </c>
      <c r="I600" s="22"/>
      <c r="J600" s="22" t="str">
        <f t="array" ref="J600">iF('Ingest Template'!A600="Standard","Pristine Brand",INDEX(DropdownLists!$B$2:$B$246,MATCH('Ingest Template'!D600,DropdownLists!$C$2:$C$246,0)))</f>
        <v>#N/A</v>
      </c>
      <c r="K600" s="22" t="str">
        <f>iF('Ingest Template'!A600="Standard",'Ingest Template'!K600&amp;CHAR(10)&amp;'Ingest Template'!L600,"Competitive View")</f>
        <v>Competitive View</v>
      </c>
      <c r="L600" s="22" t="s">
        <v>95</v>
      </c>
      <c r="M600" s="45" t="str">
        <f>'Ingest Template'!B600</f>
        <v/>
      </c>
      <c r="N600" s="35"/>
      <c r="O600" s="35"/>
      <c r="P600" s="35"/>
      <c r="Q600" s="35"/>
      <c r="R600" s="35" t="str">
        <f>'Ingest Template'!D600</f>
        <v/>
      </c>
      <c r="S600" s="22" t="s">
        <v>101</v>
      </c>
      <c r="T600" s="35" t="str">
        <f>'Ingest Template'!V600</f>
        <v/>
      </c>
      <c r="U600" s="35" t="str">
        <f>'Ingest Template'!W600</f>
        <v/>
      </c>
      <c r="V600" s="35" t="str">
        <f>LOWER(SUBSTITUTE(SUBSTITUTE(SUBSTITUTE(SUBSTITUTE(SUBSTITUTE('Ingest Template'!X600,"https:",""),"www.",""),"/",""),"?hl=en",""),"instagram.com",""))</f>
        <v/>
      </c>
      <c r="W600" s="74" t="str">
        <f t="array" ref="W600">IF(
'Ingest Template'!Y600="",
SUBSTITUTE(
INDEX(DropdownLists!$F$2:$F$277,MATCH('Ingest Template'!D600,DropdownLists!$C$2:$C$277,0)),
CHAR(10),
"|"&amp;'Ingest Template'!C600&amp;CHAR(10)
)&amp;"|"&amp;'Ingest Template'!C600,
SUBSTITUTE(
INDEX(DropdownLists!$F$2:$F$277,MATCH('Ingest Template'!D600,DropdownLists!$C$2:$C$277,0)),
CHAR(10),
"|"&amp;'Ingest Template'!C600&amp;CHAR(10)
)&amp;"|"&amp;'Ingest Template'!C600&amp;CHAR(10)&amp;'Ingest Template'!Y600
)</f>
        <v>#N/A</v>
      </c>
      <c r="X600" s="74" t="str">
        <f>'Ingest Template'!Z600</f>
        <v/>
      </c>
      <c r="Y600" s="35" t="str">
        <f>SUBSTITUTE(SUBSTITUTE(SUBSTITUTE('Ingest Template'!AA600,"http:",""),"https:",""),"/","")</f>
        <v/>
      </c>
      <c r="Z600" s="35" t="str">
        <f t="array" ref="Z600">IF('Ingest Template'!A600="Standard",(IF(ISBLANK('Ingest Template'!AB600),"", 'Ingest Template'!AB600&amp;"|DAR")),(IF(ISBLANK('Ingest Template'!AB600),"", 'Ingest Template'!AB600&amp;"|TV Ops")))</f>
        <v/>
      </c>
      <c r="AA600" s="35"/>
      <c r="AB600" s="35" t="str">
        <f>'Ingest Template'!R600</f>
        <v/>
      </c>
      <c r="AC600" s="35" t="str">
        <f>'Ingest Template'!T600</f>
        <v/>
      </c>
      <c r="AD600" s="35" t="str">
        <f>'Ingest Template'!S600</f>
        <v/>
      </c>
      <c r="AE600" s="35" t="str">
        <f>'Ingest Template'!U600</f>
        <v/>
      </c>
      <c r="AF600" s="22"/>
      <c r="AG600" s="35" t="str">
        <f t="array" ref="AG600">IF('Ingest Template'!A600="Standard",(CONCATENATE(IF(ISBLANK('Ingest Template'!N600),"", 'Ingest Template'!N600&amp;"|DAR"),CHAR(10), IF(ISBLANK('Ingest Template'!O600),"", 'Ingest Template'!O600&amp;"|DAR"),CHAR(10), IF(ISBLANK('Ingest Template'!P600),"", 'Ingest Template'!P600&amp;"|DAR"))),(CONCATENATE(IF(ISBLANK('Ingest Template'!N600),"", 'Ingest Template'!N600&amp;"|TV Ops"),CHAR(10), IF(ISBLANK('Ingest Template'!O600),"", 'Ingest Template'!O600&amp;"|TV Ops"),CHAR(10), IF(ISBLANK('Ingest Template'!P600),"", 'Ingest Template'!P600&amp;"|TV Ops"))))</f>
        <v>
</v>
      </c>
      <c r="AH600" s="35"/>
      <c r="AI600" s="35"/>
      <c r="AJ600" s="117" t="str">
        <f>if('Ingest Template'!A600="Standard",(IF(OR('Ingest Template'!F600 = "Program Type - Special", 'Ingest Template'!F600 = "Program Type - Live Event"),'Ingest Template'!M600&amp; "|DAR|DAR|"&amp;TEXT('Ingest Template'!C600-3, "yyyy-mm-dd")&amp;"|"&amp;TEXT('Ingest Template'!C600+3, "yyyy-mm-dd"),'Ingest Template'!M600&amp; "|DAR|DAR|2021-01-01")),(IF(OR('Ingest Template'!F600 = "Program Type - Special", 'Ingest Template'!F600 = "Program Type - Live Event"),'Ingest Template'!M600&amp; "|Operations - Core Title|Operations - Core Title|"&amp;TEXT('Ingest Template'!C600-3, "yyyy-mm-dd")&amp;"|"&amp;TEXT('Ingest Template'!C600+3, "yyyy-mm-dd"),'Ingest Template'!M600&amp; "|Operations - Core Title|Operations - Core Title")))</f>
        <v>|Operations - Core Title|Operations - Core Title</v>
      </c>
      <c r="AK600" s="35"/>
      <c r="AL600" s="117" t="str">
        <f>if('Ingest Template'!A600="Standard",(IF(OR('Ingest Template'!F600 = "Program Type - Special", 'Ingest Template'!F600 = "Program Type - Live Event"),'Ingest Template'!Q600&amp;"|"&amp;TEXT('Ingest Template'!C600-3, "yyyy-mm-dd")&amp;"|"&amp;TEXT('Ingest Template'!C600+3, "yyyy-mm-dd"),'Ingest Template'!Q600&amp; "|2021-01-01")),(IF(OR('Ingest Template'!F600 = "Program Type - Special", 'Ingest Template'!F600 = "Program Type - Live Event"),'Ingest Template'!Q600&amp; "|"&amp;TEXT('Ingest Template'!C600-3, "yyyy-mm-dd")&amp;"|"&amp;TEXT('Ingest Template'!C600+3, "yyyy-mm-dd"),'Ingest Template'!Q600)))</f>
        <v/>
      </c>
      <c r="AM600" s="35" t="str">
        <f>'Ingest Template'!AC600</f>
        <v/>
      </c>
    </row>
    <row r="601">
      <c r="A601" s="15"/>
      <c r="B601" s="22" t="str">
        <f>'Ingest Template'!C601&amp;IF('Ingest Template'!A601 = "Standard", " - DAR","")</f>
        <v/>
      </c>
      <c r="C601" s="22" t="s">
        <v>83</v>
      </c>
      <c r="D601" s="22" t="str">
        <f t="array" ref="D601">CONCATENATE(INDEX(DropdownLists!$H$2:$H$11,MATCH(1,COUNTIF('Ingest Template'!E601,"*"&amp;DropdownLists!$I$2:$I$11&amp;"*"),0)),CHAR(10),'Ingest Template'!F601,CHAR(10),'Ingest Template'!G601,CHAR(10),VLOOKUP('Ingest Template'!D601,DropdownLists!C:D,2,FALSE))</f>
        <v>#N/A</v>
      </c>
      <c r="E601" s="22" t="str">
        <f>CONCATENATE('Ingest Template'!H601,CHAR(10),'Ingest Template'!I601,CHAR(10),'Ingest Template'!J601,CHAR(10))</f>
        <v>
</v>
      </c>
      <c r="F601" s="35" t="str">
        <f t="array" ref="F601">INDEX(DropdownLists!$O$2:$O$36,MATCH(1,COUNTIF(E601,"*"&amp;DropdownLists!$N$2:$N$36&amp;"*"),0))</f>
        <v/>
      </c>
      <c r="G601" s="35"/>
      <c r="H601" s="22" t="str">
        <f t="array" ref="H601">INDEX(DropdownLists!$E$2:$E$276,MATCH('Ingest Template'!D601,DropdownLists!$C$2:$C$276,0))</f>
        <v>#N/A</v>
      </c>
      <c r="I601" s="22"/>
      <c r="J601" s="22" t="str">
        <f t="array" ref="J601">iF('Ingest Template'!A601="Standard","Pristine Brand",INDEX(DropdownLists!$B$2:$B$246,MATCH('Ingest Template'!D601,DropdownLists!$C$2:$C$246,0)))</f>
        <v>#N/A</v>
      </c>
      <c r="K601" s="22" t="str">
        <f>iF('Ingest Template'!A601="Standard",'Ingest Template'!K601&amp;CHAR(10)&amp;'Ingest Template'!L601,"Competitive View")</f>
        <v>Competitive View</v>
      </c>
      <c r="L601" s="22" t="s">
        <v>95</v>
      </c>
      <c r="M601" s="45" t="str">
        <f>'Ingest Template'!B601</f>
        <v/>
      </c>
      <c r="N601" s="35"/>
      <c r="O601" s="35"/>
      <c r="P601" s="35"/>
      <c r="Q601" s="35"/>
      <c r="R601" s="35" t="str">
        <f>'Ingest Template'!D601</f>
        <v/>
      </c>
      <c r="S601" s="22" t="s">
        <v>101</v>
      </c>
      <c r="T601" s="35" t="str">
        <f>'Ingest Template'!V601</f>
        <v/>
      </c>
      <c r="U601" s="35" t="str">
        <f>'Ingest Template'!W601</f>
        <v/>
      </c>
      <c r="V601" s="35" t="str">
        <f>LOWER(SUBSTITUTE(SUBSTITUTE(SUBSTITUTE(SUBSTITUTE(SUBSTITUTE('Ingest Template'!X601,"https:",""),"www.",""),"/",""),"?hl=en",""),"instagram.com",""))</f>
        <v/>
      </c>
      <c r="W601" s="74" t="str">
        <f t="array" ref="W601">IF(
'Ingest Template'!Y601="",
SUBSTITUTE(
INDEX(DropdownLists!$F$2:$F$277,MATCH('Ingest Template'!D601,DropdownLists!$C$2:$C$277,0)),
CHAR(10),
"|"&amp;'Ingest Template'!C601&amp;CHAR(10)
)&amp;"|"&amp;'Ingest Template'!C601,
SUBSTITUTE(
INDEX(DropdownLists!$F$2:$F$277,MATCH('Ingest Template'!D601,DropdownLists!$C$2:$C$277,0)),
CHAR(10),
"|"&amp;'Ingest Template'!C601&amp;CHAR(10)
)&amp;"|"&amp;'Ingest Template'!C601&amp;CHAR(10)&amp;'Ingest Template'!Y601
)</f>
        <v>#N/A</v>
      </c>
      <c r="X601" s="74" t="str">
        <f>'Ingest Template'!Z601</f>
        <v/>
      </c>
      <c r="Y601" s="35" t="str">
        <f>SUBSTITUTE(SUBSTITUTE(SUBSTITUTE('Ingest Template'!AA601,"http:",""),"https:",""),"/","")</f>
        <v/>
      </c>
      <c r="Z601" s="35" t="str">
        <f t="array" ref="Z601">IF('Ingest Template'!A601="Standard",(IF(ISBLANK('Ingest Template'!AB601),"", 'Ingest Template'!AB601&amp;"|DAR")),(IF(ISBLANK('Ingest Template'!AB601),"", 'Ingest Template'!AB601&amp;"|TV Ops")))</f>
        <v/>
      </c>
      <c r="AA601" s="35"/>
      <c r="AB601" s="35" t="str">
        <f>'Ingest Template'!R601</f>
        <v/>
      </c>
      <c r="AC601" s="35" t="str">
        <f>'Ingest Template'!T601</f>
        <v/>
      </c>
      <c r="AD601" s="35" t="str">
        <f>'Ingest Template'!S601</f>
        <v/>
      </c>
      <c r="AE601" s="35" t="str">
        <f>'Ingest Template'!U601</f>
        <v/>
      </c>
      <c r="AF601" s="22"/>
      <c r="AG601" s="35" t="str">
        <f t="array" ref="AG601">IF('Ingest Template'!A601="Standard",(CONCATENATE(IF(ISBLANK('Ingest Template'!N601),"", 'Ingest Template'!N601&amp;"|DAR"),CHAR(10), IF(ISBLANK('Ingest Template'!O601),"", 'Ingest Template'!O601&amp;"|DAR"),CHAR(10), IF(ISBLANK('Ingest Template'!P601),"", 'Ingest Template'!P601&amp;"|DAR"))),(CONCATENATE(IF(ISBLANK('Ingest Template'!N601),"", 'Ingest Template'!N601&amp;"|TV Ops"),CHAR(10), IF(ISBLANK('Ingest Template'!O601),"", 'Ingest Template'!O601&amp;"|TV Ops"),CHAR(10), IF(ISBLANK('Ingest Template'!P601),"", 'Ingest Template'!P601&amp;"|TV Ops"))))</f>
        <v>
</v>
      </c>
      <c r="AH601" s="35"/>
      <c r="AI601" s="35"/>
      <c r="AJ601" s="117" t="str">
        <f>if('Ingest Template'!A601="Standard",(IF(OR('Ingest Template'!F601 = "Program Type - Special", 'Ingest Template'!F601 = "Program Type - Live Event"),'Ingest Template'!M601&amp; "|DAR|DAR|"&amp;TEXT('Ingest Template'!C601-3, "yyyy-mm-dd")&amp;"|"&amp;TEXT('Ingest Template'!C601+3, "yyyy-mm-dd"),'Ingest Template'!M601&amp; "|DAR|DAR|2021-01-01")),(IF(OR('Ingest Template'!F601 = "Program Type - Special", 'Ingest Template'!F601 = "Program Type - Live Event"),'Ingest Template'!M601&amp; "|Operations - Core Title|Operations - Core Title|"&amp;TEXT('Ingest Template'!C601-3, "yyyy-mm-dd")&amp;"|"&amp;TEXT('Ingest Template'!C601+3, "yyyy-mm-dd"),'Ingest Template'!M601&amp; "|Operations - Core Title|Operations - Core Title")))</f>
        <v>|Operations - Core Title|Operations - Core Title</v>
      </c>
      <c r="AK601" s="35"/>
      <c r="AL601" s="117" t="str">
        <f>if('Ingest Template'!A601="Standard",(IF(OR('Ingest Template'!F601 = "Program Type - Special", 'Ingest Template'!F601 = "Program Type - Live Event"),'Ingest Template'!Q601&amp;"|"&amp;TEXT('Ingest Template'!C601-3, "yyyy-mm-dd")&amp;"|"&amp;TEXT('Ingest Template'!C601+3, "yyyy-mm-dd"),'Ingest Template'!Q601&amp; "|2021-01-01")),(IF(OR('Ingest Template'!F601 = "Program Type - Special", 'Ingest Template'!F601 = "Program Type - Live Event"),'Ingest Template'!Q601&amp; "|"&amp;TEXT('Ingest Template'!C601-3, "yyyy-mm-dd")&amp;"|"&amp;TEXT('Ingest Template'!C601+3, "yyyy-mm-dd"),'Ingest Template'!Q601)))</f>
        <v/>
      </c>
      <c r="AM601" s="35" t="str">
        <f>'Ingest Template'!AC601</f>
        <v/>
      </c>
    </row>
    <row r="602">
      <c r="A602" s="15"/>
      <c r="B602" s="22" t="str">
        <f>'Ingest Template'!C602&amp;IF('Ingest Template'!A602 = "Standard", " - DAR","")</f>
        <v/>
      </c>
      <c r="C602" s="22" t="s">
        <v>83</v>
      </c>
      <c r="D602" s="22" t="str">
        <f t="array" ref="D602">CONCATENATE(INDEX(DropdownLists!$H$2:$H$11,MATCH(1,COUNTIF('Ingest Template'!E602,"*"&amp;DropdownLists!$I$2:$I$11&amp;"*"),0)),CHAR(10),'Ingest Template'!F602,CHAR(10),'Ingest Template'!G602,CHAR(10),VLOOKUP('Ingest Template'!D602,DropdownLists!C:D,2,FALSE))</f>
        <v>#N/A</v>
      </c>
      <c r="E602" s="22" t="str">
        <f>CONCATENATE('Ingest Template'!H602,CHAR(10),'Ingest Template'!I602,CHAR(10),'Ingest Template'!J602,CHAR(10))</f>
        <v>
</v>
      </c>
      <c r="F602" s="35" t="str">
        <f t="array" ref="F602">INDEX(DropdownLists!$O$2:$O$36,MATCH(1,COUNTIF(E602,"*"&amp;DropdownLists!$N$2:$N$36&amp;"*"),0))</f>
        <v/>
      </c>
      <c r="G602" s="35"/>
      <c r="H602" s="22" t="str">
        <f t="array" ref="H602">INDEX(DropdownLists!$E$2:$E$276,MATCH('Ingest Template'!D602,DropdownLists!$C$2:$C$276,0))</f>
        <v>#N/A</v>
      </c>
      <c r="I602" s="22"/>
      <c r="J602" s="22" t="str">
        <f t="array" ref="J602">iF('Ingest Template'!A602="Standard","Pristine Brand",INDEX(DropdownLists!$B$2:$B$246,MATCH('Ingest Template'!D602,DropdownLists!$C$2:$C$246,0)))</f>
        <v>#N/A</v>
      </c>
      <c r="K602" s="22" t="str">
        <f>iF('Ingest Template'!A602="Standard",'Ingest Template'!K602&amp;CHAR(10)&amp;'Ingest Template'!L602,"Competitive View")</f>
        <v>Competitive View</v>
      </c>
      <c r="L602" s="22" t="s">
        <v>95</v>
      </c>
      <c r="M602" s="45" t="str">
        <f>'Ingest Template'!B602</f>
        <v/>
      </c>
      <c r="N602" s="35"/>
      <c r="O602" s="35"/>
      <c r="P602" s="35"/>
      <c r="Q602" s="35"/>
      <c r="R602" s="35" t="str">
        <f>'Ingest Template'!D602</f>
        <v/>
      </c>
      <c r="S602" s="22" t="s">
        <v>101</v>
      </c>
      <c r="T602" s="35" t="str">
        <f>'Ingest Template'!V602</f>
        <v/>
      </c>
      <c r="U602" s="35" t="str">
        <f>'Ingest Template'!W602</f>
        <v/>
      </c>
      <c r="V602" s="35" t="str">
        <f>LOWER(SUBSTITUTE(SUBSTITUTE(SUBSTITUTE(SUBSTITUTE(SUBSTITUTE('Ingest Template'!X602,"https:",""),"www.",""),"/",""),"?hl=en",""),"instagram.com",""))</f>
        <v/>
      </c>
      <c r="W602" s="74" t="str">
        <f t="array" ref="W602">IF(
'Ingest Template'!Y602="",
SUBSTITUTE(
INDEX(DropdownLists!$F$2:$F$277,MATCH('Ingest Template'!D602,DropdownLists!$C$2:$C$277,0)),
CHAR(10),
"|"&amp;'Ingest Template'!C602&amp;CHAR(10)
)&amp;"|"&amp;'Ingest Template'!C602,
SUBSTITUTE(
INDEX(DropdownLists!$F$2:$F$277,MATCH('Ingest Template'!D602,DropdownLists!$C$2:$C$277,0)),
CHAR(10),
"|"&amp;'Ingest Template'!C602&amp;CHAR(10)
)&amp;"|"&amp;'Ingest Template'!C602&amp;CHAR(10)&amp;'Ingest Template'!Y602
)</f>
        <v>#N/A</v>
      </c>
      <c r="X602" s="74" t="str">
        <f>'Ingest Template'!Z602</f>
        <v/>
      </c>
      <c r="Y602" s="35" t="str">
        <f>SUBSTITUTE(SUBSTITUTE(SUBSTITUTE('Ingest Template'!AA602,"http:",""),"https:",""),"/","")</f>
        <v/>
      </c>
      <c r="Z602" s="35" t="str">
        <f t="array" ref="Z602">IF('Ingest Template'!A602="Standard",(IF(ISBLANK('Ingest Template'!AB602),"", 'Ingest Template'!AB602&amp;"|DAR")),(IF(ISBLANK('Ingest Template'!AB602),"", 'Ingest Template'!AB602&amp;"|TV Ops")))</f>
        <v/>
      </c>
      <c r="AA602" s="35"/>
      <c r="AB602" s="35" t="str">
        <f>'Ingest Template'!R602</f>
        <v/>
      </c>
      <c r="AC602" s="35" t="str">
        <f>'Ingest Template'!T602</f>
        <v/>
      </c>
      <c r="AD602" s="35" t="str">
        <f>'Ingest Template'!S602</f>
        <v/>
      </c>
      <c r="AE602" s="35" t="str">
        <f>'Ingest Template'!U602</f>
        <v/>
      </c>
      <c r="AF602" s="22"/>
      <c r="AG602" s="35" t="str">
        <f t="array" ref="AG602">IF('Ingest Template'!A602="Standard",(CONCATENATE(IF(ISBLANK('Ingest Template'!N602),"", 'Ingest Template'!N602&amp;"|DAR"),CHAR(10), IF(ISBLANK('Ingest Template'!O602),"", 'Ingest Template'!O602&amp;"|DAR"),CHAR(10), IF(ISBLANK('Ingest Template'!P602),"", 'Ingest Template'!P602&amp;"|DAR"))),(CONCATENATE(IF(ISBLANK('Ingest Template'!N602),"", 'Ingest Template'!N602&amp;"|TV Ops"),CHAR(10), IF(ISBLANK('Ingest Template'!O602),"", 'Ingest Template'!O602&amp;"|TV Ops"),CHAR(10), IF(ISBLANK('Ingest Template'!P602),"", 'Ingest Template'!P602&amp;"|TV Ops"))))</f>
        <v>
</v>
      </c>
      <c r="AH602" s="35"/>
      <c r="AI602" s="35"/>
      <c r="AJ602" s="117" t="str">
        <f>if('Ingest Template'!A602="Standard",(IF(OR('Ingest Template'!F602 = "Program Type - Special", 'Ingest Template'!F602 = "Program Type - Live Event"),'Ingest Template'!M602&amp; "|DAR|DAR|"&amp;TEXT('Ingest Template'!C602-3, "yyyy-mm-dd")&amp;"|"&amp;TEXT('Ingest Template'!C602+3, "yyyy-mm-dd"),'Ingest Template'!M602&amp; "|DAR|DAR|2021-01-01")),(IF(OR('Ingest Template'!F602 = "Program Type - Special", 'Ingest Template'!F602 = "Program Type - Live Event"),'Ingest Template'!M602&amp; "|Operations - Core Title|Operations - Core Title|"&amp;TEXT('Ingest Template'!C602-3, "yyyy-mm-dd")&amp;"|"&amp;TEXT('Ingest Template'!C602+3, "yyyy-mm-dd"),'Ingest Template'!M602&amp; "|Operations - Core Title|Operations - Core Title")))</f>
        <v>|Operations - Core Title|Operations - Core Title</v>
      </c>
      <c r="AK602" s="35"/>
      <c r="AL602" s="117" t="str">
        <f>if('Ingest Template'!A602="Standard",(IF(OR('Ingest Template'!F602 = "Program Type - Special", 'Ingest Template'!F602 = "Program Type - Live Event"),'Ingest Template'!Q602&amp;"|"&amp;TEXT('Ingest Template'!C602-3, "yyyy-mm-dd")&amp;"|"&amp;TEXT('Ingest Template'!C602+3, "yyyy-mm-dd"),'Ingest Template'!Q602&amp; "|2021-01-01")),(IF(OR('Ingest Template'!F602 = "Program Type - Special", 'Ingest Template'!F602 = "Program Type - Live Event"),'Ingest Template'!Q602&amp; "|"&amp;TEXT('Ingest Template'!C602-3, "yyyy-mm-dd")&amp;"|"&amp;TEXT('Ingest Template'!C602+3, "yyyy-mm-dd"),'Ingest Template'!Q602)))</f>
        <v/>
      </c>
      <c r="AM602" s="35" t="str">
        <f>'Ingest Template'!AC602</f>
        <v/>
      </c>
    </row>
    <row r="603">
      <c r="A603" s="15"/>
      <c r="B603" s="22" t="str">
        <f>'Ingest Template'!C603&amp;IF('Ingest Template'!A603 = "Standard", " - DAR","")</f>
        <v/>
      </c>
      <c r="C603" s="22" t="s">
        <v>83</v>
      </c>
      <c r="D603" s="22" t="str">
        <f t="array" ref="D603">CONCATENATE(INDEX(DropdownLists!$H$2:$H$11,MATCH(1,COUNTIF('Ingest Template'!E603,"*"&amp;DropdownLists!$I$2:$I$11&amp;"*"),0)),CHAR(10),'Ingest Template'!F603,CHAR(10),'Ingest Template'!G603,CHAR(10),VLOOKUP('Ingest Template'!D603,DropdownLists!C:D,2,FALSE))</f>
        <v>#N/A</v>
      </c>
      <c r="E603" s="22" t="str">
        <f>CONCATENATE('Ingest Template'!H603,CHAR(10),'Ingest Template'!I603,CHAR(10),'Ingest Template'!J603,CHAR(10))</f>
        <v>
</v>
      </c>
      <c r="F603" s="35" t="str">
        <f t="array" ref="F603">INDEX(DropdownLists!$O$2:$O$36,MATCH(1,COUNTIF(E603,"*"&amp;DropdownLists!$N$2:$N$36&amp;"*"),0))</f>
        <v/>
      </c>
      <c r="G603" s="35"/>
      <c r="H603" s="22" t="str">
        <f t="array" ref="H603">INDEX(DropdownLists!$E$2:$E$276,MATCH('Ingest Template'!D603,DropdownLists!$C$2:$C$276,0))</f>
        <v>#N/A</v>
      </c>
      <c r="I603" s="22"/>
      <c r="J603" s="22" t="str">
        <f t="array" ref="J603">iF('Ingest Template'!A603="Standard","Pristine Brand",INDEX(DropdownLists!$B$2:$B$246,MATCH('Ingest Template'!D603,DropdownLists!$C$2:$C$246,0)))</f>
        <v>#N/A</v>
      </c>
      <c r="K603" s="22" t="str">
        <f>iF('Ingest Template'!A603="Standard",'Ingest Template'!K603&amp;CHAR(10)&amp;'Ingest Template'!L603,"Competitive View")</f>
        <v>Competitive View</v>
      </c>
      <c r="L603" s="22" t="s">
        <v>95</v>
      </c>
      <c r="M603" s="45" t="str">
        <f>'Ingest Template'!B603</f>
        <v/>
      </c>
      <c r="N603" s="35"/>
      <c r="O603" s="35"/>
      <c r="P603" s="35"/>
      <c r="Q603" s="35"/>
      <c r="R603" s="35" t="str">
        <f>'Ingest Template'!D603</f>
        <v/>
      </c>
      <c r="S603" s="22" t="s">
        <v>101</v>
      </c>
      <c r="T603" s="35" t="str">
        <f>'Ingest Template'!V603</f>
        <v/>
      </c>
      <c r="U603" s="35" t="str">
        <f>'Ingest Template'!W603</f>
        <v/>
      </c>
      <c r="V603" s="35" t="str">
        <f>LOWER(SUBSTITUTE(SUBSTITUTE(SUBSTITUTE(SUBSTITUTE(SUBSTITUTE('Ingest Template'!X603,"https:",""),"www.",""),"/",""),"?hl=en",""),"instagram.com",""))</f>
        <v/>
      </c>
      <c r="W603" s="74" t="str">
        <f t="array" ref="W603">IF(
'Ingest Template'!Y603="",
SUBSTITUTE(
INDEX(DropdownLists!$F$2:$F$277,MATCH('Ingest Template'!D603,DropdownLists!$C$2:$C$277,0)),
CHAR(10),
"|"&amp;'Ingest Template'!C603&amp;CHAR(10)
)&amp;"|"&amp;'Ingest Template'!C603,
SUBSTITUTE(
INDEX(DropdownLists!$F$2:$F$277,MATCH('Ingest Template'!D603,DropdownLists!$C$2:$C$277,0)),
CHAR(10),
"|"&amp;'Ingest Template'!C603&amp;CHAR(10)
)&amp;"|"&amp;'Ingest Template'!C603&amp;CHAR(10)&amp;'Ingest Template'!Y603
)</f>
        <v>#N/A</v>
      </c>
      <c r="X603" s="74" t="str">
        <f>'Ingest Template'!Z603</f>
        <v/>
      </c>
      <c r="Y603" s="35" t="str">
        <f>SUBSTITUTE(SUBSTITUTE(SUBSTITUTE('Ingest Template'!AA603,"http:",""),"https:",""),"/","")</f>
        <v/>
      </c>
      <c r="Z603" s="35" t="str">
        <f t="array" ref="Z603">IF('Ingest Template'!A603="Standard",(IF(ISBLANK('Ingest Template'!AB603),"", 'Ingest Template'!AB603&amp;"|DAR")),(IF(ISBLANK('Ingest Template'!AB603),"", 'Ingest Template'!AB603&amp;"|TV Ops")))</f>
        <v/>
      </c>
      <c r="AA603" s="35"/>
      <c r="AB603" s="35" t="str">
        <f>'Ingest Template'!R603</f>
        <v/>
      </c>
      <c r="AC603" s="35" t="str">
        <f>'Ingest Template'!T603</f>
        <v/>
      </c>
      <c r="AD603" s="35" t="str">
        <f>'Ingest Template'!S603</f>
        <v/>
      </c>
      <c r="AE603" s="35" t="str">
        <f>'Ingest Template'!U603</f>
        <v/>
      </c>
      <c r="AF603" s="22"/>
      <c r="AG603" s="35" t="str">
        <f t="array" ref="AG603">IF('Ingest Template'!A603="Standard",(CONCATENATE(IF(ISBLANK('Ingest Template'!N603),"", 'Ingest Template'!N603&amp;"|DAR"),CHAR(10), IF(ISBLANK('Ingest Template'!O603),"", 'Ingest Template'!O603&amp;"|DAR"),CHAR(10), IF(ISBLANK('Ingest Template'!P603),"", 'Ingest Template'!P603&amp;"|DAR"))),(CONCATENATE(IF(ISBLANK('Ingest Template'!N603),"", 'Ingest Template'!N603&amp;"|TV Ops"),CHAR(10), IF(ISBLANK('Ingest Template'!O603),"", 'Ingest Template'!O603&amp;"|TV Ops"),CHAR(10), IF(ISBLANK('Ingest Template'!P603),"", 'Ingest Template'!P603&amp;"|TV Ops"))))</f>
        <v>
</v>
      </c>
      <c r="AH603" s="35"/>
      <c r="AI603" s="35"/>
      <c r="AJ603" s="117" t="str">
        <f>if('Ingest Template'!A603="Standard",(IF(OR('Ingest Template'!F603 = "Program Type - Special", 'Ingest Template'!F603 = "Program Type - Live Event"),'Ingest Template'!M603&amp; "|DAR|DAR|"&amp;TEXT('Ingest Template'!C603-3, "yyyy-mm-dd")&amp;"|"&amp;TEXT('Ingest Template'!C603+3, "yyyy-mm-dd"),'Ingest Template'!M603&amp; "|DAR|DAR|2021-01-01")),(IF(OR('Ingest Template'!F603 = "Program Type - Special", 'Ingest Template'!F603 = "Program Type - Live Event"),'Ingest Template'!M603&amp; "|Operations - Core Title|Operations - Core Title|"&amp;TEXT('Ingest Template'!C603-3, "yyyy-mm-dd")&amp;"|"&amp;TEXT('Ingest Template'!C603+3, "yyyy-mm-dd"),'Ingest Template'!M603&amp; "|Operations - Core Title|Operations - Core Title")))</f>
        <v>|Operations - Core Title|Operations - Core Title</v>
      </c>
      <c r="AK603" s="35"/>
      <c r="AL603" s="117" t="str">
        <f>if('Ingest Template'!A603="Standard",(IF(OR('Ingest Template'!F603 = "Program Type - Special", 'Ingest Template'!F603 = "Program Type - Live Event"),'Ingest Template'!Q603&amp;"|"&amp;TEXT('Ingest Template'!C603-3, "yyyy-mm-dd")&amp;"|"&amp;TEXT('Ingest Template'!C603+3, "yyyy-mm-dd"),'Ingest Template'!Q603&amp; "|2021-01-01")),(IF(OR('Ingest Template'!F603 = "Program Type - Special", 'Ingest Template'!F603 = "Program Type - Live Event"),'Ingest Template'!Q603&amp; "|"&amp;TEXT('Ingest Template'!C603-3, "yyyy-mm-dd")&amp;"|"&amp;TEXT('Ingest Template'!C603+3, "yyyy-mm-dd"),'Ingest Template'!Q603)))</f>
        <v/>
      </c>
      <c r="AM603" s="35" t="str">
        <f>'Ingest Template'!AC603</f>
        <v/>
      </c>
    </row>
    <row r="604">
      <c r="A604" s="15"/>
      <c r="B604" s="22" t="str">
        <f>'Ingest Template'!C604&amp;IF('Ingest Template'!A604 = "Standard", " - DAR","")</f>
        <v/>
      </c>
      <c r="C604" s="22" t="s">
        <v>83</v>
      </c>
      <c r="D604" s="22" t="str">
        <f t="array" ref="D604">CONCATENATE(INDEX(DropdownLists!$H$2:$H$11,MATCH(1,COUNTIF('Ingest Template'!E604,"*"&amp;DropdownLists!$I$2:$I$11&amp;"*"),0)),CHAR(10),'Ingest Template'!F604,CHAR(10),'Ingest Template'!G604,CHAR(10),VLOOKUP('Ingest Template'!D604,DropdownLists!C:D,2,FALSE))</f>
        <v>#N/A</v>
      </c>
      <c r="E604" s="22" t="str">
        <f>CONCATENATE('Ingest Template'!H604,CHAR(10),'Ingest Template'!I604,CHAR(10),'Ingest Template'!J604,CHAR(10))</f>
        <v>
</v>
      </c>
      <c r="F604" s="35" t="str">
        <f t="array" ref="F604">INDEX(DropdownLists!$O$2:$O$36,MATCH(1,COUNTIF(E604,"*"&amp;DropdownLists!$N$2:$N$36&amp;"*"),0))</f>
        <v/>
      </c>
      <c r="G604" s="35"/>
      <c r="H604" s="22" t="str">
        <f t="array" ref="H604">INDEX(DropdownLists!$E$2:$E$276,MATCH('Ingest Template'!D604,DropdownLists!$C$2:$C$276,0))</f>
        <v>#N/A</v>
      </c>
      <c r="I604" s="22"/>
      <c r="J604" s="22" t="str">
        <f t="array" ref="J604">iF('Ingest Template'!A604="Standard","Pristine Brand",INDEX(DropdownLists!$B$2:$B$246,MATCH('Ingest Template'!D604,DropdownLists!$C$2:$C$246,0)))</f>
        <v>#N/A</v>
      </c>
      <c r="K604" s="22" t="str">
        <f>iF('Ingest Template'!A604="Standard",'Ingest Template'!K604&amp;CHAR(10)&amp;'Ingest Template'!L604,"Competitive View")</f>
        <v>Competitive View</v>
      </c>
      <c r="L604" s="22" t="s">
        <v>95</v>
      </c>
      <c r="M604" s="45" t="str">
        <f>'Ingest Template'!B604</f>
        <v/>
      </c>
      <c r="N604" s="35"/>
      <c r="O604" s="35"/>
      <c r="P604" s="35"/>
      <c r="Q604" s="35"/>
      <c r="R604" s="35" t="str">
        <f>'Ingest Template'!D604</f>
        <v/>
      </c>
      <c r="S604" s="22" t="s">
        <v>101</v>
      </c>
      <c r="T604" s="35" t="str">
        <f>'Ingest Template'!V604</f>
        <v/>
      </c>
      <c r="U604" s="35" t="str">
        <f>'Ingest Template'!W604</f>
        <v/>
      </c>
      <c r="V604" s="35" t="str">
        <f>LOWER(SUBSTITUTE(SUBSTITUTE(SUBSTITUTE(SUBSTITUTE(SUBSTITUTE('Ingest Template'!X604,"https:",""),"www.",""),"/",""),"?hl=en",""),"instagram.com",""))</f>
        <v/>
      </c>
      <c r="W604" s="74" t="str">
        <f t="array" ref="W604">IF(
'Ingest Template'!Y604="",
SUBSTITUTE(
INDEX(DropdownLists!$F$2:$F$277,MATCH('Ingest Template'!D604,DropdownLists!$C$2:$C$277,0)),
CHAR(10),
"|"&amp;'Ingest Template'!C604&amp;CHAR(10)
)&amp;"|"&amp;'Ingest Template'!C604,
SUBSTITUTE(
INDEX(DropdownLists!$F$2:$F$277,MATCH('Ingest Template'!D604,DropdownLists!$C$2:$C$277,0)),
CHAR(10),
"|"&amp;'Ingest Template'!C604&amp;CHAR(10)
)&amp;"|"&amp;'Ingest Template'!C604&amp;CHAR(10)&amp;'Ingest Template'!Y604
)</f>
        <v>#N/A</v>
      </c>
      <c r="X604" s="74" t="str">
        <f>'Ingest Template'!Z604</f>
        <v/>
      </c>
      <c r="Y604" s="35" t="str">
        <f>SUBSTITUTE(SUBSTITUTE(SUBSTITUTE('Ingest Template'!AA604,"http:",""),"https:",""),"/","")</f>
        <v/>
      </c>
      <c r="Z604" s="35" t="str">
        <f t="array" ref="Z604">IF('Ingest Template'!A604="Standard",(IF(ISBLANK('Ingest Template'!AB604),"", 'Ingest Template'!AB604&amp;"|DAR")),(IF(ISBLANK('Ingest Template'!AB604),"", 'Ingest Template'!AB604&amp;"|TV Ops")))</f>
        <v/>
      </c>
      <c r="AA604" s="35"/>
      <c r="AB604" s="35" t="str">
        <f>'Ingest Template'!R604</f>
        <v/>
      </c>
      <c r="AC604" s="35" t="str">
        <f>'Ingest Template'!T604</f>
        <v/>
      </c>
      <c r="AD604" s="35" t="str">
        <f>'Ingest Template'!S604</f>
        <v/>
      </c>
      <c r="AE604" s="35" t="str">
        <f>'Ingest Template'!U604</f>
        <v/>
      </c>
      <c r="AF604" s="22"/>
      <c r="AG604" s="35" t="str">
        <f t="array" ref="AG604">IF('Ingest Template'!A604="Standard",(CONCATENATE(IF(ISBLANK('Ingest Template'!N604),"", 'Ingest Template'!N604&amp;"|DAR"),CHAR(10), IF(ISBLANK('Ingest Template'!O604),"", 'Ingest Template'!O604&amp;"|DAR"),CHAR(10), IF(ISBLANK('Ingest Template'!P604),"", 'Ingest Template'!P604&amp;"|DAR"))),(CONCATENATE(IF(ISBLANK('Ingest Template'!N604),"", 'Ingest Template'!N604&amp;"|TV Ops"),CHAR(10), IF(ISBLANK('Ingest Template'!O604),"", 'Ingest Template'!O604&amp;"|TV Ops"),CHAR(10), IF(ISBLANK('Ingest Template'!P604),"", 'Ingest Template'!P604&amp;"|TV Ops"))))</f>
        <v>
</v>
      </c>
      <c r="AH604" s="35"/>
      <c r="AI604" s="35"/>
      <c r="AJ604" s="117" t="str">
        <f>if('Ingest Template'!A604="Standard",(IF(OR('Ingest Template'!F604 = "Program Type - Special", 'Ingest Template'!F604 = "Program Type - Live Event"),'Ingest Template'!M604&amp; "|DAR|DAR|"&amp;TEXT('Ingest Template'!C604-3, "yyyy-mm-dd")&amp;"|"&amp;TEXT('Ingest Template'!C604+3, "yyyy-mm-dd"),'Ingest Template'!M604&amp; "|DAR|DAR|2021-01-01")),(IF(OR('Ingest Template'!F604 = "Program Type - Special", 'Ingest Template'!F604 = "Program Type - Live Event"),'Ingest Template'!M604&amp; "|Operations - Core Title|Operations - Core Title|"&amp;TEXT('Ingest Template'!C604-3, "yyyy-mm-dd")&amp;"|"&amp;TEXT('Ingest Template'!C604+3, "yyyy-mm-dd"),'Ingest Template'!M604&amp; "|Operations - Core Title|Operations - Core Title")))</f>
        <v>|Operations - Core Title|Operations - Core Title</v>
      </c>
      <c r="AK604" s="35"/>
      <c r="AL604" s="117" t="str">
        <f>if('Ingest Template'!A604="Standard",(IF(OR('Ingest Template'!F604 = "Program Type - Special", 'Ingest Template'!F604 = "Program Type - Live Event"),'Ingest Template'!Q604&amp;"|"&amp;TEXT('Ingest Template'!C604-3, "yyyy-mm-dd")&amp;"|"&amp;TEXT('Ingest Template'!C604+3, "yyyy-mm-dd"),'Ingest Template'!Q604&amp; "|2021-01-01")),(IF(OR('Ingest Template'!F604 = "Program Type - Special", 'Ingest Template'!F604 = "Program Type - Live Event"),'Ingest Template'!Q604&amp; "|"&amp;TEXT('Ingest Template'!C604-3, "yyyy-mm-dd")&amp;"|"&amp;TEXT('Ingest Template'!C604+3, "yyyy-mm-dd"),'Ingest Template'!Q604)))</f>
        <v/>
      </c>
      <c r="AM604" s="35" t="str">
        <f>'Ingest Template'!AC604</f>
        <v/>
      </c>
    </row>
    <row r="605">
      <c r="A605" s="15"/>
      <c r="B605" s="22" t="str">
        <f>'Ingest Template'!C605&amp;IF('Ingest Template'!A605 = "Standard", " - DAR","")</f>
        <v/>
      </c>
      <c r="C605" s="22" t="s">
        <v>83</v>
      </c>
      <c r="D605" s="22" t="str">
        <f t="array" ref="D605">CONCATENATE(INDEX(DropdownLists!$H$2:$H$11,MATCH(1,COUNTIF('Ingest Template'!E605,"*"&amp;DropdownLists!$I$2:$I$11&amp;"*"),0)),CHAR(10),'Ingest Template'!F605,CHAR(10),'Ingest Template'!G605,CHAR(10),VLOOKUP('Ingest Template'!D605,DropdownLists!C:D,2,FALSE))</f>
        <v>#N/A</v>
      </c>
      <c r="E605" s="22" t="str">
        <f>CONCATENATE('Ingest Template'!H605,CHAR(10),'Ingest Template'!I605,CHAR(10),'Ingest Template'!J605,CHAR(10))</f>
        <v>
</v>
      </c>
      <c r="F605" s="35" t="str">
        <f t="array" ref="F605">INDEX(DropdownLists!$O$2:$O$36,MATCH(1,COUNTIF(E605,"*"&amp;DropdownLists!$N$2:$N$36&amp;"*"),0))</f>
        <v/>
      </c>
      <c r="G605" s="35"/>
      <c r="H605" s="22" t="str">
        <f t="array" ref="H605">INDEX(DropdownLists!$E$2:$E$276,MATCH('Ingest Template'!D605,DropdownLists!$C$2:$C$276,0))</f>
        <v>#N/A</v>
      </c>
      <c r="I605" s="22"/>
      <c r="J605" s="22" t="str">
        <f t="array" ref="J605">iF('Ingest Template'!A605="Standard","Pristine Brand",INDEX(DropdownLists!$B$2:$B$246,MATCH('Ingest Template'!D605,DropdownLists!$C$2:$C$246,0)))</f>
        <v>#N/A</v>
      </c>
      <c r="K605" s="22" t="str">
        <f>iF('Ingest Template'!A605="Standard",'Ingest Template'!K605&amp;CHAR(10)&amp;'Ingest Template'!L605,"Competitive View")</f>
        <v>Competitive View</v>
      </c>
      <c r="L605" s="22" t="s">
        <v>95</v>
      </c>
      <c r="M605" s="45" t="str">
        <f>'Ingest Template'!B605</f>
        <v/>
      </c>
      <c r="N605" s="35"/>
      <c r="O605" s="35"/>
      <c r="P605" s="35"/>
      <c r="Q605" s="35"/>
      <c r="R605" s="35" t="str">
        <f>'Ingest Template'!D605</f>
        <v/>
      </c>
      <c r="S605" s="22" t="s">
        <v>101</v>
      </c>
      <c r="T605" s="35" t="str">
        <f>'Ingest Template'!V605</f>
        <v/>
      </c>
      <c r="U605" s="35" t="str">
        <f>'Ingest Template'!W605</f>
        <v/>
      </c>
      <c r="V605" s="35" t="str">
        <f>LOWER(SUBSTITUTE(SUBSTITUTE(SUBSTITUTE(SUBSTITUTE(SUBSTITUTE('Ingest Template'!X605,"https:",""),"www.",""),"/",""),"?hl=en",""),"instagram.com",""))</f>
        <v/>
      </c>
      <c r="W605" s="74" t="str">
        <f t="array" ref="W605">IF(
'Ingest Template'!Y605="",
SUBSTITUTE(
INDEX(DropdownLists!$F$2:$F$277,MATCH('Ingest Template'!D605,DropdownLists!$C$2:$C$277,0)),
CHAR(10),
"|"&amp;'Ingest Template'!C605&amp;CHAR(10)
)&amp;"|"&amp;'Ingest Template'!C605,
SUBSTITUTE(
INDEX(DropdownLists!$F$2:$F$277,MATCH('Ingest Template'!D605,DropdownLists!$C$2:$C$277,0)),
CHAR(10),
"|"&amp;'Ingest Template'!C605&amp;CHAR(10)
)&amp;"|"&amp;'Ingest Template'!C605&amp;CHAR(10)&amp;'Ingest Template'!Y605
)</f>
        <v>#N/A</v>
      </c>
      <c r="X605" s="74" t="str">
        <f>'Ingest Template'!Z605</f>
        <v/>
      </c>
      <c r="Y605" s="35" t="str">
        <f>SUBSTITUTE(SUBSTITUTE(SUBSTITUTE('Ingest Template'!AA605,"http:",""),"https:",""),"/","")</f>
        <v/>
      </c>
      <c r="Z605" s="35" t="str">
        <f t="array" ref="Z605">IF('Ingest Template'!A605="Standard",(IF(ISBLANK('Ingest Template'!AB605),"", 'Ingest Template'!AB605&amp;"|DAR")),(IF(ISBLANK('Ingest Template'!AB605),"", 'Ingest Template'!AB605&amp;"|TV Ops")))</f>
        <v/>
      </c>
      <c r="AA605" s="35"/>
      <c r="AB605" s="35" t="str">
        <f>'Ingest Template'!R605</f>
        <v/>
      </c>
      <c r="AC605" s="35" t="str">
        <f>'Ingest Template'!T605</f>
        <v/>
      </c>
      <c r="AD605" s="35" t="str">
        <f>'Ingest Template'!S605</f>
        <v/>
      </c>
      <c r="AE605" s="35" t="str">
        <f>'Ingest Template'!U605</f>
        <v/>
      </c>
      <c r="AF605" s="22"/>
      <c r="AG605" s="35" t="str">
        <f t="array" ref="AG605">IF('Ingest Template'!A605="Standard",(CONCATENATE(IF(ISBLANK('Ingest Template'!N605),"", 'Ingest Template'!N605&amp;"|DAR"),CHAR(10), IF(ISBLANK('Ingest Template'!O605),"", 'Ingest Template'!O605&amp;"|DAR"),CHAR(10), IF(ISBLANK('Ingest Template'!P605),"", 'Ingest Template'!P605&amp;"|DAR"))),(CONCATENATE(IF(ISBLANK('Ingest Template'!N605),"", 'Ingest Template'!N605&amp;"|TV Ops"),CHAR(10), IF(ISBLANK('Ingest Template'!O605),"", 'Ingest Template'!O605&amp;"|TV Ops"),CHAR(10), IF(ISBLANK('Ingest Template'!P605),"", 'Ingest Template'!P605&amp;"|TV Ops"))))</f>
        <v>
</v>
      </c>
      <c r="AH605" s="35"/>
      <c r="AI605" s="35"/>
      <c r="AJ605" s="117" t="str">
        <f>if('Ingest Template'!A605="Standard",(IF(OR('Ingest Template'!F605 = "Program Type - Special", 'Ingest Template'!F605 = "Program Type - Live Event"),'Ingest Template'!M605&amp; "|DAR|DAR|"&amp;TEXT('Ingest Template'!C605-3, "yyyy-mm-dd")&amp;"|"&amp;TEXT('Ingest Template'!C605+3, "yyyy-mm-dd"),'Ingest Template'!M605&amp; "|DAR|DAR|2021-01-01")),(IF(OR('Ingest Template'!F605 = "Program Type - Special", 'Ingest Template'!F605 = "Program Type - Live Event"),'Ingest Template'!M605&amp; "|Operations - Core Title|Operations - Core Title|"&amp;TEXT('Ingest Template'!C605-3, "yyyy-mm-dd")&amp;"|"&amp;TEXT('Ingest Template'!C605+3, "yyyy-mm-dd"),'Ingest Template'!M605&amp; "|Operations - Core Title|Operations - Core Title")))</f>
        <v>|Operations - Core Title|Operations - Core Title</v>
      </c>
      <c r="AK605" s="35"/>
      <c r="AL605" s="117" t="str">
        <f>if('Ingest Template'!A605="Standard",(IF(OR('Ingest Template'!F605 = "Program Type - Special", 'Ingest Template'!F605 = "Program Type - Live Event"),'Ingest Template'!Q605&amp;"|"&amp;TEXT('Ingest Template'!C605-3, "yyyy-mm-dd")&amp;"|"&amp;TEXT('Ingest Template'!C605+3, "yyyy-mm-dd"),'Ingest Template'!Q605&amp; "|2021-01-01")),(IF(OR('Ingest Template'!F605 = "Program Type - Special", 'Ingest Template'!F605 = "Program Type - Live Event"),'Ingest Template'!Q605&amp; "|"&amp;TEXT('Ingest Template'!C605-3, "yyyy-mm-dd")&amp;"|"&amp;TEXT('Ingest Template'!C605+3, "yyyy-mm-dd"),'Ingest Template'!Q605)))</f>
        <v/>
      </c>
      <c r="AM605" s="35" t="str">
        <f>'Ingest Template'!AC605</f>
        <v/>
      </c>
    </row>
    <row r="606">
      <c r="A606" s="15"/>
      <c r="B606" s="22" t="str">
        <f>'Ingest Template'!C606&amp;IF('Ingest Template'!A606 = "Standard", " - DAR","")</f>
        <v/>
      </c>
      <c r="C606" s="22" t="s">
        <v>83</v>
      </c>
      <c r="D606" s="22" t="str">
        <f t="array" ref="D606">CONCATENATE(INDEX(DropdownLists!$H$2:$H$11,MATCH(1,COUNTIF('Ingest Template'!E606,"*"&amp;DropdownLists!$I$2:$I$11&amp;"*"),0)),CHAR(10),'Ingest Template'!F606,CHAR(10),'Ingest Template'!G606,CHAR(10),VLOOKUP('Ingest Template'!D606,DropdownLists!C:D,2,FALSE))</f>
        <v>#N/A</v>
      </c>
      <c r="E606" s="22" t="str">
        <f>CONCATENATE('Ingest Template'!H606,CHAR(10),'Ingest Template'!I606,CHAR(10),'Ingest Template'!J606,CHAR(10))</f>
        <v>
</v>
      </c>
      <c r="F606" s="35" t="str">
        <f t="array" ref="F606">INDEX(DropdownLists!$O$2:$O$36,MATCH(1,COUNTIF(E606,"*"&amp;DropdownLists!$N$2:$N$36&amp;"*"),0))</f>
        <v/>
      </c>
      <c r="G606" s="35"/>
      <c r="H606" s="22" t="str">
        <f t="array" ref="H606">INDEX(DropdownLists!$E$2:$E$276,MATCH('Ingest Template'!D606,DropdownLists!$C$2:$C$276,0))</f>
        <v>#N/A</v>
      </c>
      <c r="I606" s="22"/>
      <c r="J606" s="22" t="str">
        <f t="array" ref="J606">iF('Ingest Template'!A606="Standard","Pristine Brand",INDEX(DropdownLists!$B$2:$B$246,MATCH('Ingest Template'!D606,DropdownLists!$C$2:$C$246,0)))</f>
        <v>#N/A</v>
      </c>
      <c r="K606" s="22" t="str">
        <f>iF('Ingest Template'!A606="Standard",'Ingest Template'!K606&amp;CHAR(10)&amp;'Ingest Template'!L606,"Competitive View")</f>
        <v>Competitive View</v>
      </c>
      <c r="L606" s="22" t="s">
        <v>95</v>
      </c>
      <c r="M606" s="45" t="str">
        <f>'Ingest Template'!B606</f>
        <v/>
      </c>
      <c r="N606" s="35"/>
      <c r="O606" s="35"/>
      <c r="P606" s="35"/>
      <c r="Q606" s="35"/>
      <c r="R606" s="35" t="str">
        <f>'Ingest Template'!D606</f>
        <v/>
      </c>
      <c r="S606" s="22" t="s">
        <v>101</v>
      </c>
      <c r="T606" s="35" t="str">
        <f>'Ingest Template'!V606</f>
        <v/>
      </c>
      <c r="U606" s="35" t="str">
        <f>'Ingest Template'!W606</f>
        <v/>
      </c>
      <c r="V606" s="35" t="str">
        <f>LOWER(SUBSTITUTE(SUBSTITUTE(SUBSTITUTE(SUBSTITUTE(SUBSTITUTE('Ingest Template'!X606,"https:",""),"www.",""),"/",""),"?hl=en",""),"instagram.com",""))</f>
        <v/>
      </c>
      <c r="W606" s="74" t="str">
        <f t="array" ref="W606">IF(
'Ingest Template'!Y606="",
SUBSTITUTE(
INDEX(DropdownLists!$F$2:$F$277,MATCH('Ingest Template'!D606,DropdownLists!$C$2:$C$277,0)),
CHAR(10),
"|"&amp;'Ingest Template'!C606&amp;CHAR(10)
)&amp;"|"&amp;'Ingest Template'!C606,
SUBSTITUTE(
INDEX(DropdownLists!$F$2:$F$277,MATCH('Ingest Template'!D606,DropdownLists!$C$2:$C$277,0)),
CHAR(10),
"|"&amp;'Ingest Template'!C606&amp;CHAR(10)
)&amp;"|"&amp;'Ingest Template'!C606&amp;CHAR(10)&amp;'Ingest Template'!Y606
)</f>
        <v>#N/A</v>
      </c>
      <c r="X606" s="74" t="str">
        <f>'Ingest Template'!Z606</f>
        <v/>
      </c>
      <c r="Y606" s="35" t="str">
        <f>SUBSTITUTE(SUBSTITUTE(SUBSTITUTE('Ingest Template'!AA606,"http:",""),"https:",""),"/","")</f>
        <v/>
      </c>
      <c r="Z606" s="35" t="str">
        <f t="array" ref="Z606">IF('Ingest Template'!A606="Standard",(IF(ISBLANK('Ingest Template'!AB606),"", 'Ingest Template'!AB606&amp;"|DAR")),(IF(ISBLANK('Ingest Template'!AB606),"", 'Ingest Template'!AB606&amp;"|TV Ops")))</f>
        <v/>
      </c>
      <c r="AA606" s="35"/>
      <c r="AB606" s="35" t="str">
        <f>'Ingest Template'!R606</f>
        <v/>
      </c>
      <c r="AC606" s="35" t="str">
        <f>'Ingest Template'!T606</f>
        <v/>
      </c>
      <c r="AD606" s="35" t="str">
        <f>'Ingest Template'!S606</f>
        <v/>
      </c>
      <c r="AE606" s="35" t="str">
        <f>'Ingest Template'!U606</f>
        <v/>
      </c>
      <c r="AF606" s="22"/>
      <c r="AG606" s="35" t="str">
        <f t="array" ref="AG606">IF('Ingest Template'!A606="Standard",(CONCATENATE(IF(ISBLANK('Ingest Template'!N606),"", 'Ingest Template'!N606&amp;"|DAR"),CHAR(10), IF(ISBLANK('Ingest Template'!O606),"", 'Ingest Template'!O606&amp;"|DAR"),CHAR(10), IF(ISBLANK('Ingest Template'!P606),"", 'Ingest Template'!P606&amp;"|DAR"))),(CONCATENATE(IF(ISBLANK('Ingest Template'!N606),"", 'Ingest Template'!N606&amp;"|TV Ops"),CHAR(10), IF(ISBLANK('Ingest Template'!O606),"", 'Ingest Template'!O606&amp;"|TV Ops"),CHAR(10), IF(ISBLANK('Ingest Template'!P606),"", 'Ingest Template'!P606&amp;"|TV Ops"))))</f>
        <v>
</v>
      </c>
      <c r="AH606" s="35"/>
      <c r="AI606" s="35"/>
      <c r="AJ606" s="117" t="str">
        <f>if('Ingest Template'!A606="Standard",(IF(OR('Ingest Template'!F606 = "Program Type - Special", 'Ingest Template'!F606 = "Program Type - Live Event"),'Ingest Template'!M606&amp; "|DAR|DAR|"&amp;TEXT('Ingest Template'!C606-3, "yyyy-mm-dd")&amp;"|"&amp;TEXT('Ingest Template'!C606+3, "yyyy-mm-dd"),'Ingest Template'!M606&amp; "|DAR|DAR|2021-01-01")),(IF(OR('Ingest Template'!F606 = "Program Type - Special", 'Ingest Template'!F606 = "Program Type - Live Event"),'Ingest Template'!M606&amp; "|Operations - Core Title|Operations - Core Title|"&amp;TEXT('Ingest Template'!C606-3, "yyyy-mm-dd")&amp;"|"&amp;TEXT('Ingest Template'!C606+3, "yyyy-mm-dd"),'Ingest Template'!M606&amp; "|Operations - Core Title|Operations - Core Title")))</f>
        <v>|Operations - Core Title|Operations - Core Title</v>
      </c>
      <c r="AK606" s="35"/>
      <c r="AL606" s="117" t="str">
        <f>if('Ingest Template'!A606="Standard",(IF(OR('Ingest Template'!F606 = "Program Type - Special", 'Ingest Template'!F606 = "Program Type - Live Event"),'Ingest Template'!Q606&amp;"|"&amp;TEXT('Ingest Template'!C606-3, "yyyy-mm-dd")&amp;"|"&amp;TEXT('Ingest Template'!C606+3, "yyyy-mm-dd"),'Ingest Template'!Q606&amp; "|2021-01-01")),(IF(OR('Ingest Template'!F606 = "Program Type - Special", 'Ingest Template'!F606 = "Program Type - Live Event"),'Ingest Template'!Q606&amp; "|"&amp;TEXT('Ingest Template'!C606-3, "yyyy-mm-dd")&amp;"|"&amp;TEXT('Ingest Template'!C606+3, "yyyy-mm-dd"),'Ingest Template'!Q606)))</f>
        <v/>
      </c>
      <c r="AM606" s="35" t="str">
        <f>'Ingest Template'!AC606</f>
        <v/>
      </c>
    </row>
    <row r="607">
      <c r="A607" s="15"/>
      <c r="B607" s="22" t="str">
        <f>'Ingest Template'!C607&amp;IF('Ingest Template'!A607 = "Standard", " - DAR","")</f>
        <v/>
      </c>
      <c r="C607" s="22" t="s">
        <v>83</v>
      </c>
      <c r="D607" s="22" t="str">
        <f t="array" ref="D607">CONCATENATE(INDEX(DropdownLists!$H$2:$H$11,MATCH(1,COUNTIF('Ingest Template'!E607,"*"&amp;DropdownLists!$I$2:$I$11&amp;"*"),0)),CHAR(10),'Ingest Template'!F607,CHAR(10),'Ingest Template'!G607,CHAR(10),VLOOKUP('Ingest Template'!D607,DropdownLists!C:D,2,FALSE))</f>
        <v>#N/A</v>
      </c>
      <c r="E607" s="22" t="str">
        <f>CONCATENATE('Ingest Template'!H607,CHAR(10),'Ingest Template'!I607,CHAR(10),'Ingest Template'!J607,CHAR(10))</f>
        <v>
</v>
      </c>
      <c r="F607" s="35" t="str">
        <f t="array" ref="F607">INDEX(DropdownLists!$O$2:$O$36,MATCH(1,COUNTIF(E607,"*"&amp;DropdownLists!$N$2:$N$36&amp;"*"),0))</f>
        <v/>
      </c>
      <c r="G607" s="35"/>
      <c r="H607" s="22" t="str">
        <f t="array" ref="H607">INDEX(DropdownLists!$E$2:$E$276,MATCH('Ingest Template'!D607,DropdownLists!$C$2:$C$276,0))</f>
        <v>#N/A</v>
      </c>
      <c r="I607" s="22"/>
      <c r="J607" s="22" t="str">
        <f t="array" ref="J607">iF('Ingest Template'!A607="Standard","Pristine Brand",INDEX(DropdownLists!$B$2:$B$246,MATCH('Ingest Template'!D607,DropdownLists!$C$2:$C$246,0)))</f>
        <v>#N/A</v>
      </c>
      <c r="K607" s="22" t="str">
        <f>iF('Ingest Template'!A607="Standard",'Ingest Template'!K607&amp;CHAR(10)&amp;'Ingest Template'!L607,"Competitive View")</f>
        <v>Competitive View</v>
      </c>
      <c r="L607" s="22" t="s">
        <v>95</v>
      </c>
      <c r="M607" s="45" t="str">
        <f>'Ingest Template'!B607</f>
        <v/>
      </c>
      <c r="N607" s="35"/>
      <c r="O607" s="35"/>
      <c r="P607" s="35"/>
      <c r="Q607" s="35"/>
      <c r="R607" s="35" t="str">
        <f>'Ingest Template'!D607</f>
        <v/>
      </c>
      <c r="S607" s="22" t="s">
        <v>101</v>
      </c>
      <c r="T607" s="35" t="str">
        <f>'Ingest Template'!V607</f>
        <v/>
      </c>
      <c r="U607" s="35" t="str">
        <f>'Ingest Template'!W607</f>
        <v/>
      </c>
      <c r="V607" s="35" t="str">
        <f>LOWER(SUBSTITUTE(SUBSTITUTE(SUBSTITUTE(SUBSTITUTE(SUBSTITUTE('Ingest Template'!X607,"https:",""),"www.",""),"/",""),"?hl=en",""),"instagram.com",""))</f>
        <v/>
      </c>
      <c r="W607" s="74" t="str">
        <f t="array" ref="W607">IF(
'Ingest Template'!Y607="",
SUBSTITUTE(
INDEX(DropdownLists!$F$2:$F$277,MATCH('Ingest Template'!D607,DropdownLists!$C$2:$C$277,0)),
CHAR(10),
"|"&amp;'Ingest Template'!C607&amp;CHAR(10)
)&amp;"|"&amp;'Ingest Template'!C607,
SUBSTITUTE(
INDEX(DropdownLists!$F$2:$F$277,MATCH('Ingest Template'!D607,DropdownLists!$C$2:$C$277,0)),
CHAR(10),
"|"&amp;'Ingest Template'!C607&amp;CHAR(10)
)&amp;"|"&amp;'Ingest Template'!C607&amp;CHAR(10)&amp;'Ingest Template'!Y607
)</f>
        <v>#N/A</v>
      </c>
      <c r="X607" s="74" t="str">
        <f>'Ingest Template'!Z607</f>
        <v/>
      </c>
      <c r="Y607" s="35" t="str">
        <f>SUBSTITUTE(SUBSTITUTE(SUBSTITUTE('Ingest Template'!AA607,"http:",""),"https:",""),"/","")</f>
        <v/>
      </c>
      <c r="Z607" s="35" t="str">
        <f t="array" ref="Z607">IF('Ingest Template'!A607="Standard",(IF(ISBLANK('Ingest Template'!AB607),"", 'Ingest Template'!AB607&amp;"|DAR")),(IF(ISBLANK('Ingest Template'!AB607),"", 'Ingest Template'!AB607&amp;"|TV Ops")))</f>
        <v/>
      </c>
      <c r="AA607" s="35"/>
      <c r="AB607" s="35" t="str">
        <f>'Ingest Template'!R607</f>
        <v/>
      </c>
      <c r="AC607" s="35" t="str">
        <f>'Ingest Template'!T607</f>
        <v/>
      </c>
      <c r="AD607" s="35" t="str">
        <f>'Ingest Template'!S607</f>
        <v/>
      </c>
      <c r="AE607" s="35" t="str">
        <f>'Ingest Template'!U607</f>
        <v/>
      </c>
      <c r="AF607" s="22"/>
      <c r="AG607" s="35" t="str">
        <f t="array" ref="AG607">IF('Ingest Template'!A607="Standard",(CONCATENATE(IF(ISBLANK('Ingest Template'!N607),"", 'Ingest Template'!N607&amp;"|DAR"),CHAR(10), IF(ISBLANK('Ingest Template'!O607),"", 'Ingest Template'!O607&amp;"|DAR"),CHAR(10), IF(ISBLANK('Ingest Template'!P607),"", 'Ingest Template'!P607&amp;"|DAR"))),(CONCATENATE(IF(ISBLANK('Ingest Template'!N607),"", 'Ingest Template'!N607&amp;"|TV Ops"),CHAR(10), IF(ISBLANK('Ingest Template'!O607),"", 'Ingest Template'!O607&amp;"|TV Ops"),CHAR(10), IF(ISBLANK('Ingest Template'!P607),"", 'Ingest Template'!P607&amp;"|TV Ops"))))</f>
        <v>
</v>
      </c>
      <c r="AH607" s="35"/>
      <c r="AI607" s="35"/>
      <c r="AJ607" s="117" t="str">
        <f>if('Ingest Template'!A607="Standard",(IF(OR('Ingest Template'!F607 = "Program Type - Special", 'Ingest Template'!F607 = "Program Type - Live Event"),'Ingest Template'!M607&amp; "|DAR|DAR|"&amp;TEXT('Ingest Template'!C607-3, "yyyy-mm-dd")&amp;"|"&amp;TEXT('Ingest Template'!C607+3, "yyyy-mm-dd"),'Ingest Template'!M607&amp; "|DAR|DAR|2021-01-01")),(IF(OR('Ingest Template'!F607 = "Program Type - Special", 'Ingest Template'!F607 = "Program Type - Live Event"),'Ingest Template'!M607&amp; "|Operations - Core Title|Operations - Core Title|"&amp;TEXT('Ingest Template'!C607-3, "yyyy-mm-dd")&amp;"|"&amp;TEXT('Ingest Template'!C607+3, "yyyy-mm-dd"),'Ingest Template'!M607&amp; "|Operations - Core Title|Operations - Core Title")))</f>
        <v>|Operations - Core Title|Operations - Core Title</v>
      </c>
      <c r="AK607" s="35"/>
      <c r="AL607" s="117" t="str">
        <f>if('Ingest Template'!A607="Standard",(IF(OR('Ingest Template'!F607 = "Program Type - Special", 'Ingest Template'!F607 = "Program Type - Live Event"),'Ingest Template'!Q607&amp;"|"&amp;TEXT('Ingest Template'!C607-3, "yyyy-mm-dd")&amp;"|"&amp;TEXT('Ingest Template'!C607+3, "yyyy-mm-dd"),'Ingest Template'!Q607&amp; "|2021-01-01")),(IF(OR('Ingest Template'!F607 = "Program Type - Special", 'Ingest Template'!F607 = "Program Type - Live Event"),'Ingest Template'!Q607&amp; "|"&amp;TEXT('Ingest Template'!C607-3, "yyyy-mm-dd")&amp;"|"&amp;TEXT('Ingest Template'!C607+3, "yyyy-mm-dd"),'Ingest Template'!Q607)))</f>
        <v/>
      </c>
      <c r="AM607" s="35" t="str">
        <f>'Ingest Template'!AC607</f>
        <v/>
      </c>
    </row>
    <row r="608">
      <c r="A608" s="15"/>
      <c r="B608" s="22" t="str">
        <f>'Ingest Template'!C608&amp;IF('Ingest Template'!A608 = "Standard", " - DAR","")</f>
        <v/>
      </c>
      <c r="C608" s="22" t="s">
        <v>83</v>
      </c>
      <c r="D608" s="22" t="str">
        <f t="array" ref="D608">CONCATENATE(INDEX(DropdownLists!$H$2:$H$11,MATCH(1,COUNTIF('Ingest Template'!E608,"*"&amp;DropdownLists!$I$2:$I$11&amp;"*"),0)),CHAR(10),'Ingest Template'!F608,CHAR(10),'Ingest Template'!G608,CHAR(10),VLOOKUP('Ingest Template'!D608,DropdownLists!C:D,2,FALSE))</f>
        <v>#N/A</v>
      </c>
      <c r="E608" s="22" t="str">
        <f>CONCATENATE('Ingest Template'!H608,CHAR(10),'Ingest Template'!I608,CHAR(10),'Ingest Template'!J608,CHAR(10))</f>
        <v>
</v>
      </c>
      <c r="F608" s="35" t="str">
        <f t="array" ref="F608">INDEX(DropdownLists!$O$2:$O$36,MATCH(1,COUNTIF(E608,"*"&amp;DropdownLists!$N$2:$N$36&amp;"*"),0))</f>
        <v/>
      </c>
      <c r="G608" s="35"/>
      <c r="H608" s="22" t="str">
        <f t="array" ref="H608">INDEX(DropdownLists!$E$2:$E$276,MATCH('Ingest Template'!D608,DropdownLists!$C$2:$C$276,0))</f>
        <v>#N/A</v>
      </c>
      <c r="I608" s="22"/>
      <c r="J608" s="22" t="str">
        <f t="array" ref="J608">iF('Ingest Template'!A608="Standard","Pristine Brand",INDEX(DropdownLists!$B$2:$B$246,MATCH('Ingest Template'!D608,DropdownLists!$C$2:$C$246,0)))</f>
        <v>#N/A</v>
      </c>
      <c r="K608" s="22" t="str">
        <f>iF('Ingest Template'!A608="Standard",'Ingest Template'!K608&amp;CHAR(10)&amp;'Ingest Template'!L608,"Competitive View")</f>
        <v>Competitive View</v>
      </c>
      <c r="L608" s="22" t="s">
        <v>95</v>
      </c>
      <c r="M608" s="45" t="str">
        <f>'Ingest Template'!B608</f>
        <v/>
      </c>
      <c r="N608" s="35"/>
      <c r="O608" s="35"/>
      <c r="P608" s="35"/>
      <c r="Q608" s="35"/>
      <c r="R608" s="35" t="str">
        <f>'Ingest Template'!D608</f>
        <v/>
      </c>
      <c r="S608" s="22" t="s">
        <v>101</v>
      </c>
      <c r="T608" s="35" t="str">
        <f>'Ingest Template'!V608</f>
        <v/>
      </c>
      <c r="U608" s="35" t="str">
        <f>'Ingest Template'!W608</f>
        <v/>
      </c>
      <c r="V608" s="35" t="str">
        <f>LOWER(SUBSTITUTE(SUBSTITUTE(SUBSTITUTE(SUBSTITUTE(SUBSTITUTE('Ingest Template'!X608,"https:",""),"www.",""),"/",""),"?hl=en",""),"instagram.com",""))</f>
        <v/>
      </c>
      <c r="W608" s="74" t="str">
        <f t="array" ref="W608">IF(
'Ingest Template'!Y608="",
SUBSTITUTE(
INDEX(DropdownLists!$F$2:$F$277,MATCH('Ingest Template'!D608,DropdownLists!$C$2:$C$277,0)),
CHAR(10),
"|"&amp;'Ingest Template'!C608&amp;CHAR(10)
)&amp;"|"&amp;'Ingest Template'!C608,
SUBSTITUTE(
INDEX(DropdownLists!$F$2:$F$277,MATCH('Ingest Template'!D608,DropdownLists!$C$2:$C$277,0)),
CHAR(10),
"|"&amp;'Ingest Template'!C608&amp;CHAR(10)
)&amp;"|"&amp;'Ingest Template'!C608&amp;CHAR(10)&amp;'Ingest Template'!Y608
)</f>
        <v>#N/A</v>
      </c>
      <c r="X608" s="74" t="str">
        <f>'Ingest Template'!Z608</f>
        <v/>
      </c>
      <c r="Y608" s="35" t="str">
        <f>SUBSTITUTE(SUBSTITUTE(SUBSTITUTE('Ingest Template'!AA608,"http:",""),"https:",""),"/","")</f>
        <v/>
      </c>
      <c r="Z608" s="35" t="str">
        <f t="array" ref="Z608">IF('Ingest Template'!A608="Standard",(IF(ISBLANK('Ingest Template'!AB608),"", 'Ingest Template'!AB608&amp;"|DAR")),(IF(ISBLANK('Ingest Template'!AB608),"", 'Ingest Template'!AB608&amp;"|TV Ops")))</f>
        <v/>
      </c>
      <c r="AA608" s="35"/>
      <c r="AB608" s="35" t="str">
        <f>'Ingest Template'!R608</f>
        <v/>
      </c>
      <c r="AC608" s="35" t="str">
        <f>'Ingest Template'!T608</f>
        <v/>
      </c>
      <c r="AD608" s="35" t="str">
        <f>'Ingest Template'!S608</f>
        <v/>
      </c>
      <c r="AE608" s="35" t="str">
        <f>'Ingest Template'!U608</f>
        <v/>
      </c>
      <c r="AF608" s="22"/>
      <c r="AG608" s="35" t="str">
        <f t="array" ref="AG608">IF('Ingest Template'!A608="Standard",(CONCATENATE(IF(ISBLANK('Ingest Template'!N608),"", 'Ingest Template'!N608&amp;"|DAR"),CHAR(10), IF(ISBLANK('Ingest Template'!O608),"", 'Ingest Template'!O608&amp;"|DAR"),CHAR(10), IF(ISBLANK('Ingest Template'!P608),"", 'Ingest Template'!P608&amp;"|DAR"))),(CONCATENATE(IF(ISBLANK('Ingest Template'!N608),"", 'Ingest Template'!N608&amp;"|TV Ops"),CHAR(10), IF(ISBLANK('Ingest Template'!O608),"", 'Ingest Template'!O608&amp;"|TV Ops"),CHAR(10), IF(ISBLANK('Ingest Template'!P608),"", 'Ingest Template'!P608&amp;"|TV Ops"))))</f>
        <v>
</v>
      </c>
      <c r="AH608" s="35"/>
      <c r="AI608" s="35"/>
      <c r="AJ608" s="117" t="str">
        <f>if('Ingest Template'!A608="Standard",(IF(OR('Ingest Template'!F608 = "Program Type - Special", 'Ingest Template'!F608 = "Program Type - Live Event"),'Ingest Template'!M608&amp; "|DAR|DAR|"&amp;TEXT('Ingest Template'!C608-3, "yyyy-mm-dd")&amp;"|"&amp;TEXT('Ingest Template'!C608+3, "yyyy-mm-dd"),'Ingest Template'!M608&amp; "|DAR|DAR|2021-01-01")),(IF(OR('Ingest Template'!F608 = "Program Type - Special", 'Ingest Template'!F608 = "Program Type - Live Event"),'Ingest Template'!M608&amp; "|Operations - Core Title|Operations - Core Title|"&amp;TEXT('Ingest Template'!C608-3, "yyyy-mm-dd")&amp;"|"&amp;TEXT('Ingest Template'!C608+3, "yyyy-mm-dd"),'Ingest Template'!M608&amp; "|Operations - Core Title|Operations - Core Title")))</f>
        <v>|Operations - Core Title|Operations - Core Title</v>
      </c>
      <c r="AK608" s="35"/>
      <c r="AL608" s="117" t="str">
        <f>if('Ingest Template'!A608="Standard",(IF(OR('Ingest Template'!F608 = "Program Type - Special", 'Ingest Template'!F608 = "Program Type - Live Event"),'Ingest Template'!Q608&amp;"|"&amp;TEXT('Ingest Template'!C608-3, "yyyy-mm-dd")&amp;"|"&amp;TEXT('Ingest Template'!C608+3, "yyyy-mm-dd"),'Ingest Template'!Q608&amp; "|2021-01-01")),(IF(OR('Ingest Template'!F608 = "Program Type - Special", 'Ingest Template'!F608 = "Program Type - Live Event"),'Ingest Template'!Q608&amp; "|"&amp;TEXT('Ingest Template'!C608-3, "yyyy-mm-dd")&amp;"|"&amp;TEXT('Ingest Template'!C608+3, "yyyy-mm-dd"),'Ingest Template'!Q608)))</f>
        <v/>
      </c>
      <c r="AM608" s="35" t="str">
        <f>'Ingest Template'!AC608</f>
        <v/>
      </c>
    </row>
    <row r="609">
      <c r="A609" s="15"/>
      <c r="B609" s="22" t="str">
        <f>'Ingest Template'!C609&amp;IF('Ingest Template'!A609 = "Standard", " - DAR","")</f>
        <v/>
      </c>
      <c r="C609" s="22" t="s">
        <v>83</v>
      </c>
      <c r="D609" s="22" t="str">
        <f t="array" ref="D609">CONCATENATE(INDEX(DropdownLists!$H$2:$H$11,MATCH(1,COUNTIF('Ingest Template'!E609,"*"&amp;DropdownLists!$I$2:$I$11&amp;"*"),0)),CHAR(10),'Ingest Template'!F609,CHAR(10),'Ingest Template'!G609,CHAR(10),VLOOKUP('Ingest Template'!D609,DropdownLists!C:D,2,FALSE))</f>
        <v>#N/A</v>
      </c>
      <c r="E609" s="22" t="str">
        <f>CONCATENATE('Ingest Template'!H609,CHAR(10),'Ingest Template'!I609,CHAR(10),'Ingest Template'!J609,CHAR(10))</f>
        <v>
</v>
      </c>
      <c r="F609" s="35" t="str">
        <f t="array" ref="F609">INDEX(DropdownLists!$O$2:$O$36,MATCH(1,COUNTIF(E609,"*"&amp;DropdownLists!$N$2:$N$36&amp;"*"),0))</f>
        <v/>
      </c>
      <c r="G609" s="35"/>
      <c r="H609" s="22" t="str">
        <f t="array" ref="H609">INDEX(DropdownLists!$E$2:$E$276,MATCH('Ingest Template'!D609,DropdownLists!$C$2:$C$276,0))</f>
        <v>#N/A</v>
      </c>
      <c r="I609" s="22"/>
      <c r="J609" s="22" t="str">
        <f t="array" ref="J609">iF('Ingest Template'!A609="Standard","Pristine Brand",INDEX(DropdownLists!$B$2:$B$246,MATCH('Ingest Template'!D609,DropdownLists!$C$2:$C$246,0)))</f>
        <v>#N/A</v>
      </c>
      <c r="K609" s="22" t="str">
        <f>iF('Ingest Template'!A609="Standard",'Ingest Template'!K609&amp;CHAR(10)&amp;'Ingest Template'!L609,"Competitive View")</f>
        <v>Competitive View</v>
      </c>
      <c r="L609" s="22" t="s">
        <v>95</v>
      </c>
      <c r="M609" s="45" t="str">
        <f>'Ingest Template'!B609</f>
        <v/>
      </c>
      <c r="N609" s="35"/>
      <c r="O609" s="35"/>
      <c r="P609" s="35"/>
      <c r="Q609" s="35"/>
      <c r="R609" s="35" t="str">
        <f>'Ingest Template'!D609</f>
        <v/>
      </c>
      <c r="S609" s="22" t="s">
        <v>101</v>
      </c>
      <c r="T609" s="35" t="str">
        <f>'Ingest Template'!V609</f>
        <v/>
      </c>
      <c r="U609" s="35" t="str">
        <f>'Ingest Template'!W609</f>
        <v/>
      </c>
      <c r="V609" s="35" t="str">
        <f>LOWER(SUBSTITUTE(SUBSTITUTE(SUBSTITUTE(SUBSTITUTE(SUBSTITUTE('Ingest Template'!X609,"https:",""),"www.",""),"/",""),"?hl=en",""),"instagram.com",""))</f>
        <v/>
      </c>
      <c r="W609" s="74" t="str">
        <f t="array" ref="W609">IF(
'Ingest Template'!Y609="",
SUBSTITUTE(
INDEX(DropdownLists!$F$2:$F$277,MATCH('Ingest Template'!D609,DropdownLists!$C$2:$C$277,0)),
CHAR(10),
"|"&amp;'Ingest Template'!C609&amp;CHAR(10)
)&amp;"|"&amp;'Ingest Template'!C609,
SUBSTITUTE(
INDEX(DropdownLists!$F$2:$F$277,MATCH('Ingest Template'!D609,DropdownLists!$C$2:$C$277,0)),
CHAR(10),
"|"&amp;'Ingest Template'!C609&amp;CHAR(10)
)&amp;"|"&amp;'Ingest Template'!C609&amp;CHAR(10)&amp;'Ingest Template'!Y609
)</f>
        <v>#N/A</v>
      </c>
      <c r="X609" s="74" t="str">
        <f>'Ingest Template'!Z609</f>
        <v/>
      </c>
      <c r="Y609" s="35" t="str">
        <f>SUBSTITUTE(SUBSTITUTE(SUBSTITUTE('Ingest Template'!AA609,"http:",""),"https:",""),"/","")</f>
        <v/>
      </c>
      <c r="Z609" s="35" t="str">
        <f t="array" ref="Z609">IF('Ingest Template'!A609="Standard",(IF(ISBLANK('Ingest Template'!AB609),"", 'Ingest Template'!AB609&amp;"|DAR")),(IF(ISBLANK('Ingest Template'!AB609),"", 'Ingest Template'!AB609&amp;"|TV Ops")))</f>
        <v/>
      </c>
      <c r="AA609" s="35"/>
      <c r="AB609" s="35" t="str">
        <f>'Ingest Template'!R609</f>
        <v/>
      </c>
      <c r="AC609" s="35" t="str">
        <f>'Ingest Template'!T609</f>
        <v/>
      </c>
      <c r="AD609" s="35" t="str">
        <f>'Ingest Template'!S609</f>
        <v/>
      </c>
      <c r="AE609" s="35" t="str">
        <f>'Ingest Template'!U609</f>
        <v/>
      </c>
      <c r="AF609" s="22"/>
      <c r="AG609" s="35" t="str">
        <f t="array" ref="AG609">IF('Ingest Template'!A609="Standard",(CONCATENATE(IF(ISBLANK('Ingest Template'!N609),"", 'Ingest Template'!N609&amp;"|DAR"),CHAR(10), IF(ISBLANK('Ingest Template'!O609),"", 'Ingest Template'!O609&amp;"|DAR"),CHAR(10), IF(ISBLANK('Ingest Template'!P609),"", 'Ingest Template'!P609&amp;"|DAR"))),(CONCATENATE(IF(ISBLANK('Ingest Template'!N609),"", 'Ingest Template'!N609&amp;"|TV Ops"),CHAR(10), IF(ISBLANK('Ingest Template'!O609),"", 'Ingest Template'!O609&amp;"|TV Ops"),CHAR(10), IF(ISBLANK('Ingest Template'!P609),"", 'Ingest Template'!P609&amp;"|TV Ops"))))</f>
        <v>
</v>
      </c>
      <c r="AH609" s="35"/>
      <c r="AI609" s="35"/>
      <c r="AJ609" s="117" t="str">
        <f>if('Ingest Template'!A609="Standard",(IF(OR('Ingest Template'!F609 = "Program Type - Special", 'Ingest Template'!F609 = "Program Type - Live Event"),'Ingest Template'!M609&amp; "|DAR|DAR|"&amp;TEXT('Ingest Template'!C609-3, "yyyy-mm-dd")&amp;"|"&amp;TEXT('Ingest Template'!C609+3, "yyyy-mm-dd"),'Ingest Template'!M609&amp; "|DAR|DAR|2021-01-01")),(IF(OR('Ingest Template'!F609 = "Program Type - Special", 'Ingest Template'!F609 = "Program Type - Live Event"),'Ingest Template'!M609&amp; "|Operations - Core Title|Operations - Core Title|"&amp;TEXT('Ingest Template'!C609-3, "yyyy-mm-dd")&amp;"|"&amp;TEXT('Ingest Template'!C609+3, "yyyy-mm-dd"),'Ingest Template'!M609&amp; "|Operations - Core Title|Operations - Core Title")))</f>
        <v>|Operations - Core Title|Operations - Core Title</v>
      </c>
      <c r="AK609" s="35"/>
      <c r="AL609" s="117" t="str">
        <f>if('Ingest Template'!A609="Standard",(IF(OR('Ingest Template'!F609 = "Program Type - Special", 'Ingest Template'!F609 = "Program Type - Live Event"),'Ingest Template'!Q609&amp;"|"&amp;TEXT('Ingest Template'!C609-3, "yyyy-mm-dd")&amp;"|"&amp;TEXT('Ingest Template'!C609+3, "yyyy-mm-dd"),'Ingest Template'!Q609&amp; "|2021-01-01")),(IF(OR('Ingest Template'!F609 = "Program Type - Special", 'Ingest Template'!F609 = "Program Type - Live Event"),'Ingest Template'!Q609&amp; "|"&amp;TEXT('Ingest Template'!C609-3, "yyyy-mm-dd")&amp;"|"&amp;TEXT('Ingest Template'!C609+3, "yyyy-mm-dd"),'Ingest Template'!Q609)))</f>
        <v/>
      </c>
      <c r="AM609" s="35" t="str">
        <f>'Ingest Template'!AC609</f>
        <v/>
      </c>
    </row>
    <row r="610">
      <c r="A610" s="15"/>
      <c r="B610" s="22" t="str">
        <f>'Ingest Template'!C610&amp;IF('Ingest Template'!A610 = "Standard", " - DAR","")</f>
        <v/>
      </c>
      <c r="C610" s="22" t="s">
        <v>83</v>
      </c>
      <c r="D610" s="22" t="str">
        <f t="array" ref="D610">CONCATENATE(INDEX(DropdownLists!$H$2:$H$11,MATCH(1,COUNTIF('Ingest Template'!E610,"*"&amp;DropdownLists!$I$2:$I$11&amp;"*"),0)),CHAR(10),'Ingest Template'!F610,CHAR(10),'Ingest Template'!G610,CHAR(10),VLOOKUP('Ingest Template'!D610,DropdownLists!C:D,2,FALSE))</f>
        <v>#N/A</v>
      </c>
      <c r="E610" s="22" t="str">
        <f>CONCATENATE('Ingest Template'!H610,CHAR(10),'Ingest Template'!I610,CHAR(10),'Ingest Template'!J610,CHAR(10))</f>
        <v>
</v>
      </c>
      <c r="F610" s="35" t="str">
        <f t="array" ref="F610">INDEX(DropdownLists!$O$2:$O$36,MATCH(1,COUNTIF(E610,"*"&amp;DropdownLists!$N$2:$N$36&amp;"*"),0))</f>
        <v/>
      </c>
      <c r="G610" s="35"/>
      <c r="H610" s="22" t="str">
        <f t="array" ref="H610">INDEX(DropdownLists!$E$2:$E$276,MATCH('Ingest Template'!D610,DropdownLists!$C$2:$C$276,0))</f>
        <v>#N/A</v>
      </c>
      <c r="I610" s="22"/>
      <c r="J610" s="22" t="str">
        <f t="array" ref="J610">iF('Ingest Template'!A610="Standard","Pristine Brand",INDEX(DropdownLists!$B$2:$B$246,MATCH('Ingest Template'!D610,DropdownLists!$C$2:$C$246,0)))</f>
        <v>#N/A</v>
      </c>
      <c r="K610" s="22" t="str">
        <f>iF('Ingest Template'!A610="Standard",'Ingest Template'!K610&amp;CHAR(10)&amp;'Ingest Template'!L610,"Competitive View")</f>
        <v>Competitive View</v>
      </c>
      <c r="L610" s="22" t="s">
        <v>95</v>
      </c>
      <c r="M610" s="45" t="str">
        <f>'Ingest Template'!B610</f>
        <v/>
      </c>
      <c r="N610" s="35"/>
      <c r="O610" s="35"/>
      <c r="P610" s="35"/>
      <c r="Q610" s="35"/>
      <c r="R610" s="35" t="str">
        <f>'Ingest Template'!D610</f>
        <v/>
      </c>
      <c r="S610" s="22" t="s">
        <v>101</v>
      </c>
      <c r="T610" s="35" t="str">
        <f>'Ingest Template'!V610</f>
        <v/>
      </c>
      <c r="U610" s="35" t="str">
        <f>'Ingest Template'!W610</f>
        <v/>
      </c>
      <c r="V610" s="35" t="str">
        <f>LOWER(SUBSTITUTE(SUBSTITUTE(SUBSTITUTE(SUBSTITUTE(SUBSTITUTE('Ingest Template'!X610,"https:",""),"www.",""),"/",""),"?hl=en",""),"instagram.com",""))</f>
        <v/>
      </c>
      <c r="W610" s="74" t="str">
        <f t="array" ref="W610">IF(
'Ingest Template'!Y610="",
SUBSTITUTE(
INDEX(DropdownLists!$F$2:$F$277,MATCH('Ingest Template'!D610,DropdownLists!$C$2:$C$277,0)),
CHAR(10),
"|"&amp;'Ingest Template'!C610&amp;CHAR(10)
)&amp;"|"&amp;'Ingest Template'!C610,
SUBSTITUTE(
INDEX(DropdownLists!$F$2:$F$277,MATCH('Ingest Template'!D610,DropdownLists!$C$2:$C$277,0)),
CHAR(10),
"|"&amp;'Ingest Template'!C610&amp;CHAR(10)
)&amp;"|"&amp;'Ingest Template'!C610&amp;CHAR(10)&amp;'Ingest Template'!Y610
)</f>
        <v>#N/A</v>
      </c>
      <c r="X610" s="74" t="str">
        <f>'Ingest Template'!Z610</f>
        <v/>
      </c>
      <c r="Y610" s="35" t="str">
        <f>SUBSTITUTE(SUBSTITUTE(SUBSTITUTE('Ingest Template'!AA610,"http:",""),"https:",""),"/","")</f>
        <v/>
      </c>
      <c r="Z610" s="35" t="str">
        <f t="array" ref="Z610">IF('Ingest Template'!A610="Standard",(IF(ISBLANK('Ingest Template'!AB610),"", 'Ingest Template'!AB610&amp;"|DAR")),(IF(ISBLANK('Ingest Template'!AB610),"", 'Ingest Template'!AB610&amp;"|TV Ops")))</f>
        <v/>
      </c>
      <c r="AA610" s="35"/>
      <c r="AB610" s="35" t="str">
        <f>'Ingest Template'!R610</f>
        <v/>
      </c>
      <c r="AC610" s="35" t="str">
        <f>'Ingest Template'!T610</f>
        <v/>
      </c>
      <c r="AD610" s="35" t="str">
        <f>'Ingest Template'!S610</f>
        <v/>
      </c>
      <c r="AE610" s="35" t="str">
        <f>'Ingest Template'!U610</f>
        <v/>
      </c>
      <c r="AF610" s="22"/>
      <c r="AG610" s="35" t="str">
        <f t="array" ref="AG610">IF('Ingest Template'!A610="Standard",(CONCATENATE(IF(ISBLANK('Ingest Template'!N610),"", 'Ingest Template'!N610&amp;"|DAR"),CHAR(10), IF(ISBLANK('Ingest Template'!O610),"", 'Ingest Template'!O610&amp;"|DAR"),CHAR(10), IF(ISBLANK('Ingest Template'!P610),"", 'Ingest Template'!P610&amp;"|DAR"))),(CONCATENATE(IF(ISBLANK('Ingest Template'!N610),"", 'Ingest Template'!N610&amp;"|TV Ops"),CHAR(10), IF(ISBLANK('Ingest Template'!O610),"", 'Ingest Template'!O610&amp;"|TV Ops"),CHAR(10), IF(ISBLANK('Ingest Template'!P610),"", 'Ingest Template'!P610&amp;"|TV Ops"))))</f>
        <v>
</v>
      </c>
      <c r="AH610" s="35"/>
      <c r="AI610" s="35"/>
      <c r="AJ610" s="117" t="str">
        <f>if('Ingest Template'!A610="Standard",(IF(OR('Ingest Template'!F610 = "Program Type - Special", 'Ingest Template'!F610 = "Program Type - Live Event"),'Ingest Template'!M610&amp; "|DAR|DAR|"&amp;TEXT('Ingest Template'!C610-3, "yyyy-mm-dd")&amp;"|"&amp;TEXT('Ingest Template'!C610+3, "yyyy-mm-dd"),'Ingest Template'!M610&amp; "|DAR|DAR|2021-01-01")),(IF(OR('Ingest Template'!F610 = "Program Type - Special", 'Ingest Template'!F610 = "Program Type - Live Event"),'Ingest Template'!M610&amp; "|Operations - Core Title|Operations - Core Title|"&amp;TEXT('Ingest Template'!C610-3, "yyyy-mm-dd")&amp;"|"&amp;TEXT('Ingest Template'!C610+3, "yyyy-mm-dd"),'Ingest Template'!M610&amp; "|Operations - Core Title|Operations - Core Title")))</f>
        <v>|Operations - Core Title|Operations - Core Title</v>
      </c>
      <c r="AK610" s="35"/>
      <c r="AL610" s="117" t="str">
        <f>if('Ingest Template'!A610="Standard",(IF(OR('Ingest Template'!F610 = "Program Type - Special", 'Ingest Template'!F610 = "Program Type - Live Event"),'Ingest Template'!Q610&amp;"|"&amp;TEXT('Ingest Template'!C610-3, "yyyy-mm-dd")&amp;"|"&amp;TEXT('Ingest Template'!C610+3, "yyyy-mm-dd"),'Ingest Template'!Q610&amp; "|2021-01-01")),(IF(OR('Ingest Template'!F610 = "Program Type - Special", 'Ingest Template'!F610 = "Program Type - Live Event"),'Ingest Template'!Q610&amp; "|"&amp;TEXT('Ingest Template'!C610-3, "yyyy-mm-dd")&amp;"|"&amp;TEXT('Ingest Template'!C610+3, "yyyy-mm-dd"),'Ingest Template'!Q610)))</f>
        <v/>
      </c>
      <c r="AM610" s="35" t="str">
        <f>'Ingest Template'!AC610</f>
        <v/>
      </c>
    </row>
    <row r="611">
      <c r="A611" s="15"/>
      <c r="B611" s="22" t="str">
        <f>'Ingest Template'!C611&amp;IF('Ingest Template'!A611 = "Standard", " - DAR","")</f>
        <v/>
      </c>
      <c r="C611" s="22" t="s">
        <v>83</v>
      </c>
      <c r="D611" s="22" t="str">
        <f t="array" ref="D611">CONCATENATE(INDEX(DropdownLists!$H$2:$H$11,MATCH(1,COUNTIF('Ingest Template'!E611,"*"&amp;DropdownLists!$I$2:$I$11&amp;"*"),0)),CHAR(10),'Ingest Template'!F611,CHAR(10),'Ingest Template'!G611,CHAR(10),VLOOKUP('Ingest Template'!D611,DropdownLists!C:D,2,FALSE))</f>
        <v>#N/A</v>
      </c>
      <c r="E611" s="22" t="str">
        <f>CONCATENATE('Ingest Template'!H611,CHAR(10),'Ingest Template'!I611,CHAR(10),'Ingest Template'!J611,CHAR(10))</f>
        <v>
</v>
      </c>
      <c r="F611" s="35" t="str">
        <f t="array" ref="F611">INDEX(DropdownLists!$O$2:$O$36,MATCH(1,COUNTIF(E611,"*"&amp;DropdownLists!$N$2:$N$36&amp;"*"),0))</f>
        <v/>
      </c>
      <c r="G611" s="35"/>
      <c r="H611" s="22" t="str">
        <f t="array" ref="H611">INDEX(DropdownLists!$E$2:$E$276,MATCH('Ingest Template'!D611,DropdownLists!$C$2:$C$276,0))</f>
        <v>#N/A</v>
      </c>
      <c r="I611" s="22"/>
      <c r="J611" s="22" t="str">
        <f t="array" ref="J611">iF('Ingest Template'!A611="Standard","Pristine Brand",INDEX(DropdownLists!$B$2:$B$246,MATCH('Ingest Template'!D611,DropdownLists!$C$2:$C$246,0)))</f>
        <v>#N/A</v>
      </c>
      <c r="K611" s="22" t="str">
        <f>iF('Ingest Template'!A611="Standard",'Ingest Template'!K611&amp;CHAR(10)&amp;'Ingest Template'!L611,"Competitive View")</f>
        <v>Competitive View</v>
      </c>
      <c r="L611" s="22" t="s">
        <v>95</v>
      </c>
      <c r="M611" s="45" t="str">
        <f>'Ingest Template'!B611</f>
        <v/>
      </c>
      <c r="N611" s="35"/>
      <c r="O611" s="35"/>
      <c r="P611" s="35"/>
      <c r="Q611" s="35"/>
      <c r="R611" s="35" t="str">
        <f>'Ingest Template'!D611</f>
        <v/>
      </c>
      <c r="S611" s="22" t="s">
        <v>101</v>
      </c>
      <c r="T611" s="35" t="str">
        <f>'Ingest Template'!V611</f>
        <v/>
      </c>
      <c r="U611" s="35" t="str">
        <f>'Ingest Template'!W611</f>
        <v/>
      </c>
      <c r="V611" s="35" t="str">
        <f>LOWER(SUBSTITUTE(SUBSTITUTE(SUBSTITUTE(SUBSTITUTE(SUBSTITUTE('Ingest Template'!X611,"https:",""),"www.",""),"/",""),"?hl=en",""),"instagram.com",""))</f>
        <v/>
      </c>
      <c r="W611" s="74" t="str">
        <f t="array" ref="W611">IF(
'Ingest Template'!Y611="",
SUBSTITUTE(
INDEX(DropdownLists!$F$2:$F$277,MATCH('Ingest Template'!D611,DropdownLists!$C$2:$C$277,0)),
CHAR(10),
"|"&amp;'Ingest Template'!C611&amp;CHAR(10)
)&amp;"|"&amp;'Ingest Template'!C611,
SUBSTITUTE(
INDEX(DropdownLists!$F$2:$F$277,MATCH('Ingest Template'!D611,DropdownLists!$C$2:$C$277,0)),
CHAR(10),
"|"&amp;'Ingest Template'!C611&amp;CHAR(10)
)&amp;"|"&amp;'Ingest Template'!C611&amp;CHAR(10)&amp;'Ingest Template'!Y611
)</f>
        <v>#N/A</v>
      </c>
      <c r="X611" s="74" t="str">
        <f>'Ingest Template'!Z611</f>
        <v/>
      </c>
      <c r="Y611" s="35" t="str">
        <f>SUBSTITUTE(SUBSTITUTE(SUBSTITUTE('Ingest Template'!AA611,"http:",""),"https:",""),"/","")</f>
        <v/>
      </c>
      <c r="Z611" s="35" t="str">
        <f t="array" ref="Z611">IF('Ingest Template'!A611="Standard",(IF(ISBLANK('Ingest Template'!AB611),"", 'Ingest Template'!AB611&amp;"|DAR")),(IF(ISBLANK('Ingest Template'!AB611),"", 'Ingest Template'!AB611&amp;"|TV Ops")))</f>
        <v/>
      </c>
      <c r="AA611" s="35"/>
      <c r="AB611" s="35" t="str">
        <f>'Ingest Template'!R611</f>
        <v/>
      </c>
      <c r="AC611" s="35" t="str">
        <f>'Ingest Template'!T611</f>
        <v/>
      </c>
      <c r="AD611" s="35" t="str">
        <f>'Ingest Template'!S611</f>
        <v/>
      </c>
      <c r="AE611" s="35" t="str">
        <f>'Ingest Template'!U611</f>
        <v/>
      </c>
      <c r="AF611" s="22"/>
      <c r="AG611" s="35" t="str">
        <f t="array" ref="AG611">IF('Ingest Template'!A611="Standard",(CONCATENATE(IF(ISBLANK('Ingest Template'!N611),"", 'Ingest Template'!N611&amp;"|DAR"),CHAR(10), IF(ISBLANK('Ingest Template'!O611),"", 'Ingest Template'!O611&amp;"|DAR"),CHAR(10), IF(ISBLANK('Ingest Template'!P611),"", 'Ingest Template'!P611&amp;"|DAR"))),(CONCATENATE(IF(ISBLANK('Ingest Template'!N611),"", 'Ingest Template'!N611&amp;"|TV Ops"),CHAR(10), IF(ISBLANK('Ingest Template'!O611),"", 'Ingest Template'!O611&amp;"|TV Ops"),CHAR(10), IF(ISBLANK('Ingest Template'!P611),"", 'Ingest Template'!P611&amp;"|TV Ops"))))</f>
        <v>
</v>
      </c>
      <c r="AH611" s="35"/>
      <c r="AI611" s="35"/>
      <c r="AJ611" s="117" t="str">
        <f>if('Ingest Template'!A611="Standard",(IF(OR('Ingest Template'!F611 = "Program Type - Special", 'Ingest Template'!F611 = "Program Type - Live Event"),'Ingest Template'!M611&amp; "|DAR|DAR|"&amp;TEXT('Ingest Template'!C611-3, "yyyy-mm-dd")&amp;"|"&amp;TEXT('Ingest Template'!C611+3, "yyyy-mm-dd"),'Ingest Template'!M611&amp; "|DAR|DAR|2021-01-01")),(IF(OR('Ingest Template'!F611 = "Program Type - Special", 'Ingest Template'!F611 = "Program Type - Live Event"),'Ingest Template'!M611&amp; "|Operations - Core Title|Operations - Core Title|"&amp;TEXT('Ingest Template'!C611-3, "yyyy-mm-dd")&amp;"|"&amp;TEXT('Ingest Template'!C611+3, "yyyy-mm-dd"),'Ingest Template'!M611&amp; "|Operations - Core Title|Operations - Core Title")))</f>
        <v>|Operations - Core Title|Operations - Core Title</v>
      </c>
      <c r="AK611" s="35"/>
      <c r="AL611" s="117" t="str">
        <f>if('Ingest Template'!A611="Standard",(IF(OR('Ingest Template'!F611 = "Program Type - Special", 'Ingest Template'!F611 = "Program Type - Live Event"),'Ingest Template'!Q611&amp;"|"&amp;TEXT('Ingest Template'!C611-3, "yyyy-mm-dd")&amp;"|"&amp;TEXT('Ingest Template'!C611+3, "yyyy-mm-dd"),'Ingest Template'!Q611&amp; "|2021-01-01")),(IF(OR('Ingest Template'!F611 = "Program Type - Special", 'Ingest Template'!F611 = "Program Type - Live Event"),'Ingest Template'!Q611&amp; "|"&amp;TEXT('Ingest Template'!C611-3, "yyyy-mm-dd")&amp;"|"&amp;TEXT('Ingest Template'!C611+3, "yyyy-mm-dd"),'Ingest Template'!Q611)))</f>
        <v/>
      </c>
      <c r="AM611" s="35" t="str">
        <f>'Ingest Template'!AC611</f>
        <v/>
      </c>
    </row>
    <row r="612">
      <c r="A612" s="15"/>
      <c r="B612" s="22" t="str">
        <f>'Ingest Template'!C612&amp;IF('Ingest Template'!A612 = "Standard", " - DAR","")</f>
        <v/>
      </c>
      <c r="C612" s="22" t="s">
        <v>83</v>
      </c>
      <c r="D612" s="22" t="str">
        <f t="array" ref="D612">CONCATENATE(INDEX(DropdownLists!$H$2:$H$11,MATCH(1,COUNTIF('Ingest Template'!E612,"*"&amp;DropdownLists!$I$2:$I$11&amp;"*"),0)),CHAR(10),'Ingest Template'!F612,CHAR(10),'Ingest Template'!G612,CHAR(10),VLOOKUP('Ingest Template'!D612,DropdownLists!C:D,2,FALSE))</f>
        <v>#N/A</v>
      </c>
      <c r="E612" s="22" t="str">
        <f>CONCATENATE('Ingest Template'!H612,CHAR(10),'Ingest Template'!I612,CHAR(10),'Ingest Template'!J612,CHAR(10))</f>
        <v>
</v>
      </c>
      <c r="F612" s="35" t="str">
        <f t="array" ref="F612">INDEX(DropdownLists!$O$2:$O$36,MATCH(1,COUNTIF(E612,"*"&amp;DropdownLists!$N$2:$N$36&amp;"*"),0))</f>
        <v/>
      </c>
      <c r="G612" s="35"/>
      <c r="H612" s="22" t="str">
        <f t="array" ref="H612">INDEX(DropdownLists!$E$2:$E$276,MATCH('Ingest Template'!D612,DropdownLists!$C$2:$C$276,0))</f>
        <v>#N/A</v>
      </c>
      <c r="I612" s="22"/>
      <c r="J612" s="22" t="str">
        <f t="array" ref="J612">iF('Ingest Template'!A612="Standard","Pristine Brand",INDEX(DropdownLists!$B$2:$B$246,MATCH('Ingest Template'!D612,DropdownLists!$C$2:$C$246,0)))</f>
        <v>#N/A</v>
      </c>
      <c r="K612" s="22" t="str">
        <f>iF('Ingest Template'!A612="Standard",'Ingest Template'!K612&amp;CHAR(10)&amp;'Ingest Template'!L612,"Competitive View")</f>
        <v>Competitive View</v>
      </c>
      <c r="L612" s="22" t="s">
        <v>95</v>
      </c>
      <c r="M612" s="45" t="str">
        <f>'Ingest Template'!B612</f>
        <v/>
      </c>
      <c r="N612" s="35"/>
      <c r="O612" s="35"/>
      <c r="P612" s="35"/>
      <c r="Q612" s="35"/>
      <c r="R612" s="35" t="str">
        <f>'Ingest Template'!D612</f>
        <v/>
      </c>
      <c r="S612" s="22" t="s">
        <v>101</v>
      </c>
      <c r="T612" s="35" t="str">
        <f>'Ingest Template'!V612</f>
        <v/>
      </c>
      <c r="U612" s="35" t="str">
        <f>'Ingest Template'!W612</f>
        <v/>
      </c>
      <c r="V612" s="35" t="str">
        <f>LOWER(SUBSTITUTE(SUBSTITUTE(SUBSTITUTE(SUBSTITUTE(SUBSTITUTE('Ingest Template'!X612,"https:",""),"www.",""),"/",""),"?hl=en",""),"instagram.com",""))</f>
        <v/>
      </c>
      <c r="W612" s="74" t="str">
        <f t="array" ref="W612">IF(
'Ingest Template'!Y612="",
SUBSTITUTE(
INDEX(DropdownLists!$F$2:$F$277,MATCH('Ingest Template'!D612,DropdownLists!$C$2:$C$277,0)),
CHAR(10),
"|"&amp;'Ingest Template'!C612&amp;CHAR(10)
)&amp;"|"&amp;'Ingest Template'!C612,
SUBSTITUTE(
INDEX(DropdownLists!$F$2:$F$277,MATCH('Ingest Template'!D612,DropdownLists!$C$2:$C$277,0)),
CHAR(10),
"|"&amp;'Ingest Template'!C612&amp;CHAR(10)
)&amp;"|"&amp;'Ingest Template'!C612&amp;CHAR(10)&amp;'Ingest Template'!Y612
)</f>
        <v>#N/A</v>
      </c>
      <c r="X612" s="74" t="str">
        <f>'Ingest Template'!Z612</f>
        <v/>
      </c>
      <c r="Y612" s="35" t="str">
        <f>SUBSTITUTE(SUBSTITUTE(SUBSTITUTE('Ingest Template'!AA612,"http:",""),"https:",""),"/","")</f>
        <v/>
      </c>
      <c r="Z612" s="35" t="str">
        <f t="array" ref="Z612">IF('Ingest Template'!A612="Standard",(IF(ISBLANK('Ingest Template'!AB612),"", 'Ingest Template'!AB612&amp;"|DAR")),(IF(ISBLANK('Ingest Template'!AB612),"", 'Ingest Template'!AB612&amp;"|TV Ops")))</f>
        <v/>
      </c>
      <c r="AA612" s="35"/>
      <c r="AB612" s="35" t="str">
        <f>'Ingest Template'!R612</f>
        <v/>
      </c>
      <c r="AC612" s="35" t="str">
        <f>'Ingest Template'!T612</f>
        <v/>
      </c>
      <c r="AD612" s="35" t="str">
        <f>'Ingest Template'!S612</f>
        <v/>
      </c>
      <c r="AE612" s="35" t="str">
        <f>'Ingest Template'!U612</f>
        <v/>
      </c>
      <c r="AF612" s="22"/>
      <c r="AG612" s="35" t="str">
        <f t="array" ref="AG612">IF('Ingest Template'!A612="Standard",(CONCATENATE(IF(ISBLANK('Ingest Template'!N612),"", 'Ingest Template'!N612&amp;"|DAR"),CHAR(10), IF(ISBLANK('Ingest Template'!O612),"", 'Ingest Template'!O612&amp;"|DAR"),CHAR(10), IF(ISBLANK('Ingest Template'!P612),"", 'Ingest Template'!P612&amp;"|DAR"))),(CONCATENATE(IF(ISBLANK('Ingest Template'!N612),"", 'Ingest Template'!N612&amp;"|TV Ops"),CHAR(10), IF(ISBLANK('Ingest Template'!O612),"", 'Ingest Template'!O612&amp;"|TV Ops"),CHAR(10), IF(ISBLANK('Ingest Template'!P612),"", 'Ingest Template'!P612&amp;"|TV Ops"))))</f>
        <v>
</v>
      </c>
      <c r="AH612" s="35"/>
      <c r="AI612" s="35"/>
      <c r="AJ612" s="117" t="str">
        <f>if('Ingest Template'!A612="Standard",(IF(OR('Ingest Template'!F612 = "Program Type - Special", 'Ingest Template'!F612 = "Program Type - Live Event"),'Ingest Template'!M612&amp; "|DAR|DAR|"&amp;TEXT('Ingest Template'!C612-3, "yyyy-mm-dd")&amp;"|"&amp;TEXT('Ingest Template'!C612+3, "yyyy-mm-dd"),'Ingest Template'!M612&amp; "|DAR|DAR|2021-01-01")),(IF(OR('Ingest Template'!F612 = "Program Type - Special", 'Ingest Template'!F612 = "Program Type - Live Event"),'Ingest Template'!M612&amp; "|Operations - Core Title|Operations - Core Title|"&amp;TEXT('Ingest Template'!C612-3, "yyyy-mm-dd")&amp;"|"&amp;TEXT('Ingest Template'!C612+3, "yyyy-mm-dd"),'Ingest Template'!M612&amp; "|Operations - Core Title|Operations - Core Title")))</f>
        <v>|Operations - Core Title|Operations - Core Title</v>
      </c>
      <c r="AK612" s="35"/>
      <c r="AL612" s="117" t="str">
        <f>if('Ingest Template'!A612="Standard",(IF(OR('Ingest Template'!F612 = "Program Type - Special", 'Ingest Template'!F612 = "Program Type - Live Event"),'Ingest Template'!Q612&amp;"|"&amp;TEXT('Ingest Template'!C612-3, "yyyy-mm-dd")&amp;"|"&amp;TEXT('Ingest Template'!C612+3, "yyyy-mm-dd"),'Ingest Template'!Q612&amp; "|2021-01-01")),(IF(OR('Ingest Template'!F612 = "Program Type - Special", 'Ingest Template'!F612 = "Program Type - Live Event"),'Ingest Template'!Q612&amp; "|"&amp;TEXT('Ingest Template'!C612-3, "yyyy-mm-dd")&amp;"|"&amp;TEXT('Ingest Template'!C612+3, "yyyy-mm-dd"),'Ingest Template'!Q612)))</f>
        <v/>
      </c>
      <c r="AM612" s="35" t="str">
        <f>'Ingest Template'!AC612</f>
        <v/>
      </c>
    </row>
    <row r="613">
      <c r="A613" s="15"/>
      <c r="B613" s="22" t="str">
        <f>'Ingest Template'!C613&amp;IF('Ingest Template'!A613 = "Standard", " - DAR","")</f>
        <v/>
      </c>
      <c r="C613" s="22" t="s">
        <v>83</v>
      </c>
      <c r="D613" s="22" t="str">
        <f t="array" ref="D613">CONCATENATE(INDEX(DropdownLists!$H$2:$H$11,MATCH(1,COUNTIF('Ingest Template'!E613,"*"&amp;DropdownLists!$I$2:$I$11&amp;"*"),0)),CHAR(10),'Ingest Template'!F613,CHAR(10),'Ingest Template'!G613,CHAR(10),VLOOKUP('Ingest Template'!D613,DropdownLists!C:D,2,FALSE))</f>
        <v>#N/A</v>
      </c>
      <c r="E613" s="22" t="str">
        <f>CONCATENATE('Ingest Template'!H613,CHAR(10),'Ingest Template'!I613,CHAR(10),'Ingest Template'!J613,CHAR(10))</f>
        <v>
</v>
      </c>
      <c r="F613" s="35" t="str">
        <f t="array" ref="F613">INDEX(DropdownLists!$O$2:$O$36,MATCH(1,COUNTIF(E613,"*"&amp;DropdownLists!$N$2:$N$36&amp;"*"),0))</f>
        <v/>
      </c>
      <c r="G613" s="35"/>
      <c r="H613" s="22" t="str">
        <f t="array" ref="H613">INDEX(DropdownLists!$E$2:$E$276,MATCH('Ingest Template'!D613,DropdownLists!$C$2:$C$276,0))</f>
        <v>#N/A</v>
      </c>
      <c r="I613" s="22"/>
      <c r="J613" s="22" t="str">
        <f t="array" ref="J613">iF('Ingest Template'!A613="Standard","Pristine Brand",INDEX(DropdownLists!$B$2:$B$246,MATCH('Ingest Template'!D613,DropdownLists!$C$2:$C$246,0)))</f>
        <v>#N/A</v>
      </c>
      <c r="K613" s="22" t="str">
        <f>iF('Ingest Template'!A613="Standard",'Ingest Template'!K613&amp;CHAR(10)&amp;'Ingest Template'!L613,"Competitive View")</f>
        <v>Competitive View</v>
      </c>
      <c r="L613" s="22" t="s">
        <v>95</v>
      </c>
      <c r="M613" s="45" t="str">
        <f>'Ingest Template'!B613</f>
        <v/>
      </c>
      <c r="N613" s="35"/>
      <c r="O613" s="35"/>
      <c r="P613" s="35"/>
      <c r="Q613" s="35"/>
      <c r="R613" s="35" t="str">
        <f>'Ingest Template'!D613</f>
        <v/>
      </c>
      <c r="S613" s="22" t="s">
        <v>101</v>
      </c>
      <c r="T613" s="35" t="str">
        <f>'Ingest Template'!V613</f>
        <v/>
      </c>
      <c r="U613" s="35" t="str">
        <f>'Ingest Template'!W613</f>
        <v/>
      </c>
      <c r="V613" s="35" t="str">
        <f>LOWER(SUBSTITUTE(SUBSTITUTE(SUBSTITUTE(SUBSTITUTE(SUBSTITUTE('Ingest Template'!X613,"https:",""),"www.",""),"/",""),"?hl=en",""),"instagram.com",""))</f>
        <v/>
      </c>
      <c r="W613" s="74" t="str">
        <f t="array" ref="W613">IF(
'Ingest Template'!Y613="",
SUBSTITUTE(
INDEX(DropdownLists!$F$2:$F$277,MATCH('Ingest Template'!D613,DropdownLists!$C$2:$C$277,0)),
CHAR(10),
"|"&amp;'Ingest Template'!C613&amp;CHAR(10)
)&amp;"|"&amp;'Ingest Template'!C613,
SUBSTITUTE(
INDEX(DropdownLists!$F$2:$F$277,MATCH('Ingest Template'!D613,DropdownLists!$C$2:$C$277,0)),
CHAR(10),
"|"&amp;'Ingest Template'!C613&amp;CHAR(10)
)&amp;"|"&amp;'Ingest Template'!C613&amp;CHAR(10)&amp;'Ingest Template'!Y613
)</f>
        <v>#N/A</v>
      </c>
      <c r="X613" s="74" t="str">
        <f>'Ingest Template'!Z613</f>
        <v/>
      </c>
      <c r="Y613" s="35" t="str">
        <f>SUBSTITUTE(SUBSTITUTE(SUBSTITUTE('Ingest Template'!AA613,"http:",""),"https:",""),"/","")</f>
        <v/>
      </c>
      <c r="Z613" s="35" t="str">
        <f t="array" ref="Z613">IF('Ingest Template'!A613="Standard",(IF(ISBLANK('Ingest Template'!AB613),"", 'Ingest Template'!AB613&amp;"|DAR")),(IF(ISBLANK('Ingest Template'!AB613),"", 'Ingest Template'!AB613&amp;"|TV Ops")))</f>
        <v/>
      </c>
      <c r="AA613" s="35"/>
      <c r="AB613" s="35" t="str">
        <f>'Ingest Template'!R613</f>
        <v/>
      </c>
      <c r="AC613" s="35" t="str">
        <f>'Ingest Template'!T613</f>
        <v/>
      </c>
      <c r="AD613" s="35" t="str">
        <f>'Ingest Template'!S613</f>
        <v/>
      </c>
      <c r="AE613" s="35" t="str">
        <f>'Ingest Template'!U613</f>
        <v/>
      </c>
      <c r="AF613" s="22"/>
      <c r="AG613" s="35" t="str">
        <f t="array" ref="AG613">IF('Ingest Template'!A613="Standard",(CONCATENATE(IF(ISBLANK('Ingest Template'!N613),"", 'Ingest Template'!N613&amp;"|DAR"),CHAR(10), IF(ISBLANK('Ingest Template'!O613),"", 'Ingest Template'!O613&amp;"|DAR"),CHAR(10), IF(ISBLANK('Ingest Template'!P613),"", 'Ingest Template'!P613&amp;"|DAR"))),(CONCATENATE(IF(ISBLANK('Ingest Template'!N613),"", 'Ingest Template'!N613&amp;"|TV Ops"),CHAR(10), IF(ISBLANK('Ingest Template'!O613),"", 'Ingest Template'!O613&amp;"|TV Ops"),CHAR(10), IF(ISBLANK('Ingest Template'!P613),"", 'Ingest Template'!P613&amp;"|TV Ops"))))</f>
        <v>
</v>
      </c>
      <c r="AH613" s="35"/>
      <c r="AI613" s="35"/>
      <c r="AJ613" s="117" t="str">
        <f>if('Ingest Template'!A613="Standard",(IF(OR('Ingest Template'!F613 = "Program Type - Special", 'Ingest Template'!F613 = "Program Type - Live Event"),'Ingest Template'!M613&amp; "|DAR|DAR|"&amp;TEXT('Ingest Template'!C613-3, "yyyy-mm-dd")&amp;"|"&amp;TEXT('Ingest Template'!C613+3, "yyyy-mm-dd"),'Ingest Template'!M613&amp; "|DAR|DAR|2021-01-01")),(IF(OR('Ingest Template'!F613 = "Program Type - Special", 'Ingest Template'!F613 = "Program Type - Live Event"),'Ingest Template'!M613&amp; "|Operations - Core Title|Operations - Core Title|"&amp;TEXT('Ingest Template'!C613-3, "yyyy-mm-dd")&amp;"|"&amp;TEXT('Ingest Template'!C613+3, "yyyy-mm-dd"),'Ingest Template'!M613&amp; "|Operations - Core Title|Operations - Core Title")))</f>
        <v>|Operations - Core Title|Operations - Core Title</v>
      </c>
      <c r="AK613" s="35"/>
      <c r="AL613" s="117" t="str">
        <f>if('Ingest Template'!A613="Standard",(IF(OR('Ingest Template'!F613 = "Program Type - Special", 'Ingest Template'!F613 = "Program Type - Live Event"),'Ingest Template'!Q613&amp;"|"&amp;TEXT('Ingest Template'!C613-3, "yyyy-mm-dd")&amp;"|"&amp;TEXT('Ingest Template'!C613+3, "yyyy-mm-dd"),'Ingest Template'!Q613&amp; "|2021-01-01")),(IF(OR('Ingest Template'!F613 = "Program Type - Special", 'Ingest Template'!F613 = "Program Type - Live Event"),'Ingest Template'!Q613&amp; "|"&amp;TEXT('Ingest Template'!C613-3, "yyyy-mm-dd")&amp;"|"&amp;TEXT('Ingest Template'!C613+3, "yyyy-mm-dd"),'Ingest Template'!Q613)))</f>
        <v/>
      </c>
      <c r="AM613" s="35" t="str">
        <f>'Ingest Template'!AC613</f>
        <v/>
      </c>
    </row>
    <row r="614">
      <c r="A614" s="15"/>
      <c r="B614" s="22" t="str">
        <f>'Ingest Template'!C614&amp;IF('Ingest Template'!A614 = "Standard", " - DAR","")</f>
        <v/>
      </c>
      <c r="C614" s="22" t="s">
        <v>83</v>
      </c>
      <c r="D614" s="22" t="str">
        <f t="array" ref="D614">CONCATENATE(INDEX(DropdownLists!$H$2:$H$11,MATCH(1,COUNTIF('Ingest Template'!E614,"*"&amp;DropdownLists!$I$2:$I$11&amp;"*"),0)),CHAR(10),'Ingest Template'!F614,CHAR(10),'Ingest Template'!G614,CHAR(10),VLOOKUP('Ingest Template'!D614,DropdownLists!C:D,2,FALSE))</f>
        <v>#N/A</v>
      </c>
      <c r="E614" s="22" t="str">
        <f>CONCATENATE('Ingest Template'!H614,CHAR(10),'Ingest Template'!I614,CHAR(10),'Ingest Template'!J614,CHAR(10))</f>
        <v>
</v>
      </c>
      <c r="F614" s="35" t="str">
        <f t="array" ref="F614">INDEX(DropdownLists!$O$2:$O$36,MATCH(1,COUNTIF(E614,"*"&amp;DropdownLists!$N$2:$N$36&amp;"*"),0))</f>
        <v/>
      </c>
      <c r="G614" s="35"/>
      <c r="H614" s="22" t="str">
        <f t="array" ref="H614">INDEX(DropdownLists!$E$2:$E$276,MATCH('Ingest Template'!D614,DropdownLists!$C$2:$C$276,0))</f>
        <v>#N/A</v>
      </c>
      <c r="I614" s="22"/>
      <c r="J614" s="22" t="str">
        <f t="array" ref="J614">iF('Ingest Template'!A614="Standard","Pristine Brand",INDEX(DropdownLists!$B$2:$B$246,MATCH('Ingest Template'!D614,DropdownLists!$C$2:$C$246,0)))</f>
        <v>#N/A</v>
      </c>
      <c r="K614" s="22" t="str">
        <f>iF('Ingest Template'!A614="Standard",'Ingest Template'!K614&amp;CHAR(10)&amp;'Ingest Template'!L614,"Competitive View")</f>
        <v>Competitive View</v>
      </c>
      <c r="L614" s="22" t="s">
        <v>95</v>
      </c>
      <c r="M614" s="45" t="str">
        <f>'Ingest Template'!B614</f>
        <v/>
      </c>
      <c r="N614" s="35"/>
      <c r="O614" s="35"/>
      <c r="P614" s="35"/>
      <c r="Q614" s="35"/>
      <c r="R614" s="35" t="str">
        <f>'Ingest Template'!D614</f>
        <v/>
      </c>
      <c r="S614" s="22" t="s">
        <v>101</v>
      </c>
      <c r="T614" s="35" t="str">
        <f>'Ingest Template'!V614</f>
        <v/>
      </c>
      <c r="U614" s="35" t="str">
        <f>'Ingest Template'!W614</f>
        <v/>
      </c>
      <c r="V614" s="35" t="str">
        <f>LOWER(SUBSTITUTE(SUBSTITUTE(SUBSTITUTE(SUBSTITUTE(SUBSTITUTE('Ingest Template'!X614,"https:",""),"www.",""),"/",""),"?hl=en",""),"instagram.com",""))</f>
        <v/>
      </c>
      <c r="W614" s="74" t="str">
        <f t="array" ref="W614">IF(
'Ingest Template'!Y614="",
SUBSTITUTE(
INDEX(DropdownLists!$F$2:$F$277,MATCH('Ingest Template'!D614,DropdownLists!$C$2:$C$277,0)),
CHAR(10),
"|"&amp;'Ingest Template'!C614&amp;CHAR(10)
)&amp;"|"&amp;'Ingest Template'!C614,
SUBSTITUTE(
INDEX(DropdownLists!$F$2:$F$277,MATCH('Ingest Template'!D614,DropdownLists!$C$2:$C$277,0)),
CHAR(10),
"|"&amp;'Ingest Template'!C614&amp;CHAR(10)
)&amp;"|"&amp;'Ingest Template'!C614&amp;CHAR(10)&amp;'Ingest Template'!Y614
)</f>
        <v>#N/A</v>
      </c>
      <c r="X614" s="74" t="str">
        <f>'Ingest Template'!Z614</f>
        <v/>
      </c>
      <c r="Y614" s="35" t="str">
        <f>SUBSTITUTE(SUBSTITUTE(SUBSTITUTE('Ingest Template'!AA614,"http:",""),"https:",""),"/","")</f>
        <v/>
      </c>
      <c r="Z614" s="35" t="str">
        <f t="array" ref="Z614">IF('Ingest Template'!A614="Standard",(IF(ISBLANK('Ingest Template'!AB614),"", 'Ingest Template'!AB614&amp;"|DAR")),(IF(ISBLANK('Ingest Template'!AB614),"", 'Ingest Template'!AB614&amp;"|TV Ops")))</f>
        <v/>
      </c>
      <c r="AA614" s="35"/>
      <c r="AB614" s="35" t="str">
        <f>'Ingest Template'!R614</f>
        <v/>
      </c>
      <c r="AC614" s="35" t="str">
        <f>'Ingest Template'!T614</f>
        <v/>
      </c>
      <c r="AD614" s="35" t="str">
        <f>'Ingest Template'!S614</f>
        <v/>
      </c>
      <c r="AE614" s="35" t="str">
        <f>'Ingest Template'!U614</f>
        <v/>
      </c>
      <c r="AF614" s="22"/>
      <c r="AG614" s="35" t="str">
        <f t="array" ref="AG614">IF('Ingest Template'!A614="Standard",(CONCATENATE(IF(ISBLANK('Ingest Template'!N614),"", 'Ingest Template'!N614&amp;"|DAR"),CHAR(10), IF(ISBLANK('Ingest Template'!O614),"", 'Ingest Template'!O614&amp;"|DAR"),CHAR(10), IF(ISBLANK('Ingest Template'!P614),"", 'Ingest Template'!P614&amp;"|DAR"))),(CONCATENATE(IF(ISBLANK('Ingest Template'!N614),"", 'Ingest Template'!N614&amp;"|TV Ops"),CHAR(10), IF(ISBLANK('Ingest Template'!O614),"", 'Ingest Template'!O614&amp;"|TV Ops"),CHAR(10), IF(ISBLANK('Ingest Template'!P614),"", 'Ingest Template'!P614&amp;"|TV Ops"))))</f>
        <v>
</v>
      </c>
      <c r="AH614" s="35"/>
      <c r="AI614" s="35"/>
      <c r="AJ614" s="117" t="str">
        <f>if('Ingest Template'!A614="Standard",(IF(OR('Ingest Template'!F614 = "Program Type - Special", 'Ingest Template'!F614 = "Program Type - Live Event"),'Ingest Template'!M614&amp; "|DAR|DAR|"&amp;TEXT('Ingest Template'!C614-3, "yyyy-mm-dd")&amp;"|"&amp;TEXT('Ingest Template'!C614+3, "yyyy-mm-dd"),'Ingest Template'!M614&amp; "|DAR|DAR|2021-01-01")),(IF(OR('Ingest Template'!F614 = "Program Type - Special", 'Ingest Template'!F614 = "Program Type - Live Event"),'Ingest Template'!M614&amp; "|Operations - Core Title|Operations - Core Title|"&amp;TEXT('Ingest Template'!C614-3, "yyyy-mm-dd")&amp;"|"&amp;TEXT('Ingest Template'!C614+3, "yyyy-mm-dd"),'Ingest Template'!M614&amp; "|Operations - Core Title|Operations - Core Title")))</f>
        <v>|Operations - Core Title|Operations - Core Title</v>
      </c>
      <c r="AK614" s="35"/>
      <c r="AL614" s="117" t="str">
        <f>if('Ingest Template'!A614="Standard",(IF(OR('Ingest Template'!F614 = "Program Type - Special", 'Ingest Template'!F614 = "Program Type - Live Event"),'Ingest Template'!Q614&amp;"|"&amp;TEXT('Ingest Template'!C614-3, "yyyy-mm-dd")&amp;"|"&amp;TEXT('Ingest Template'!C614+3, "yyyy-mm-dd"),'Ingest Template'!Q614&amp; "|2021-01-01")),(IF(OR('Ingest Template'!F614 = "Program Type - Special", 'Ingest Template'!F614 = "Program Type - Live Event"),'Ingest Template'!Q614&amp; "|"&amp;TEXT('Ingest Template'!C614-3, "yyyy-mm-dd")&amp;"|"&amp;TEXT('Ingest Template'!C614+3, "yyyy-mm-dd"),'Ingest Template'!Q614)))</f>
        <v/>
      </c>
      <c r="AM614" s="35" t="str">
        <f>'Ingest Template'!AC614</f>
        <v/>
      </c>
    </row>
    <row r="615">
      <c r="A615" s="15"/>
      <c r="B615" s="22" t="str">
        <f>'Ingest Template'!C615&amp;IF('Ingest Template'!A615 = "Standard", " - DAR","")</f>
        <v/>
      </c>
      <c r="C615" s="22" t="s">
        <v>83</v>
      </c>
      <c r="D615" s="22" t="str">
        <f t="array" ref="D615">CONCATENATE(INDEX(DropdownLists!$H$2:$H$11,MATCH(1,COUNTIF('Ingest Template'!E615,"*"&amp;DropdownLists!$I$2:$I$11&amp;"*"),0)),CHAR(10),'Ingest Template'!F615,CHAR(10),'Ingest Template'!G615,CHAR(10),VLOOKUP('Ingest Template'!D615,DropdownLists!C:D,2,FALSE))</f>
        <v>#N/A</v>
      </c>
      <c r="E615" s="22" t="str">
        <f>CONCATENATE('Ingest Template'!H615,CHAR(10),'Ingest Template'!I615,CHAR(10),'Ingest Template'!J615,CHAR(10))</f>
        <v>
</v>
      </c>
      <c r="F615" s="35" t="str">
        <f t="array" ref="F615">INDEX(DropdownLists!$O$2:$O$36,MATCH(1,COUNTIF(E615,"*"&amp;DropdownLists!$N$2:$N$36&amp;"*"),0))</f>
        <v/>
      </c>
      <c r="G615" s="35"/>
      <c r="H615" s="22" t="str">
        <f t="array" ref="H615">INDEX(DropdownLists!$E$2:$E$276,MATCH('Ingest Template'!D615,DropdownLists!$C$2:$C$276,0))</f>
        <v>#N/A</v>
      </c>
      <c r="I615" s="22"/>
      <c r="J615" s="22" t="str">
        <f t="array" ref="J615">iF('Ingest Template'!A615="Standard","Pristine Brand",INDEX(DropdownLists!$B$2:$B$246,MATCH('Ingest Template'!D615,DropdownLists!$C$2:$C$246,0)))</f>
        <v>#N/A</v>
      </c>
      <c r="K615" s="22" t="str">
        <f>iF('Ingest Template'!A615="Standard",'Ingest Template'!K615&amp;CHAR(10)&amp;'Ingest Template'!L615,"Competitive View")</f>
        <v>Competitive View</v>
      </c>
      <c r="L615" s="22" t="s">
        <v>95</v>
      </c>
      <c r="M615" s="45" t="str">
        <f>'Ingest Template'!B615</f>
        <v/>
      </c>
      <c r="N615" s="35"/>
      <c r="O615" s="35"/>
      <c r="P615" s="35"/>
      <c r="Q615" s="35"/>
      <c r="R615" s="35" t="str">
        <f>'Ingest Template'!D615</f>
        <v/>
      </c>
      <c r="S615" s="22" t="s">
        <v>101</v>
      </c>
      <c r="T615" s="35" t="str">
        <f>'Ingest Template'!V615</f>
        <v/>
      </c>
      <c r="U615" s="35" t="str">
        <f>'Ingest Template'!W615</f>
        <v/>
      </c>
      <c r="V615" s="35" t="str">
        <f>LOWER(SUBSTITUTE(SUBSTITUTE(SUBSTITUTE(SUBSTITUTE(SUBSTITUTE('Ingest Template'!X615,"https:",""),"www.",""),"/",""),"?hl=en",""),"instagram.com",""))</f>
        <v/>
      </c>
      <c r="W615" s="74" t="str">
        <f t="array" ref="W615">IF(
'Ingest Template'!Y615="",
SUBSTITUTE(
INDEX(DropdownLists!$F$2:$F$277,MATCH('Ingest Template'!D615,DropdownLists!$C$2:$C$277,0)),
CHAR(10),
"|"&amp;'Ingest Template'!C615&amp;CHAR(10)
)&amp;"|"&amp;'Ingest Template'!C615,
SUBSTITUTE(
INDEX(DropdownLists!$F$2:$F$277,MATCH('Ingest Template'!D615,DropdownLists!$C$2:$C$277,0)),
CHAR(10),
"|"&amp;'Ingest Template'!C615&amp;CHAR(10)
)&amp;"|"&amp;'Ingest Template'!C615&amp;CHAR(10)&amp;'Ingest Template'!Y615
)</f>
        <v>#N/A</v>
      </c>
      <c r="X615" s="74" t="str">
        <f>'Ingest Template'!Z615</f>
        <v/>
      </c>
      <c r="Y615" s="35" t="str">
        <f>SUBSTITUTE(SUBSTITUTE(SUBSTITUTE('Ingest Template'!AA615,"http:",""),"https:",""),"/","")</f>
        <v/>
      </c>
      <c r="Z615" s="35" t="str">
        <f t="array" ref="Z615">IF('Ingest Template'!A615="Standard",(IF(ISBLANK('Ingest Template'!AB615),"", 'Ingest Template'!AB615&amp;"|DAR")),(IF(ISBLANK('Ingest Template'!AB615),"", 'Ingest Template'!AB615&amp;"|TV Ops")))</f>
        <v/>
      </c>
      <c r="AA615" s="35"/>
      <c r="AB615" s="35" t="str">
        <f>'Ingest Template'!R615</f>
        <v/>
      </c>
      <c r="AC615" s="35" t="str">
        <f>'Ingest Template'!T615</f>
        <v/>
      </c>
      <c r="AD615" s="35" t="str">
        <f>'Ingest Template'!S615</f>
        <v/>
      </c>
      <c r="AE615" s="35" t="str">
        <f>'Ingest Template'!U615</f>
        <v/>
      </c>
      <c r="AF615" s="22"/>
      <c r="AG615" s="35" t="str">
        <f t="array" ref="AG615">IF('Ingest Template'!A615="Standard",(CONCATENATE(IF(ISBLANK('Ingest Template'!N615),"", 'Ingest Template'!N615&amp;"|DAR"),CHAR(10), IF(ISBLANK('Ingest Template'!O615),"", 'Ingest Template'!O615&amp;"|DAR"),CHAR(10), IF(ISBLANK('Ingest Template'!P615),"", 'Ingest Template'!P615&amp;"|DAR"))),(CONCATENATE(IF(ISBLANK('Ingest Template'!N615),"", 'Ingest Template'!N615&amp;"|TV Ops"),CHAR(10), IF(ISBLANK('Ingest Template'!O615),"", 'Ingest Template'!O615&amp;"|TV Ops"),CHAR(10), IF(ISBLANK('Ingest Template'!P615),"", 'Ingest Template'!P615&amp;"|TV Ops"))))</f>
        <v>
</v>
      </c>
      <c r="AH615" s="35"/>
      <c r="AI615" s="35"/>
      <c r="AJ615" s="117" t="str">
        <f>if('Ingest Template'!A615="Standard",(IF(OR('Ingest Template'!F615 = "Program Type - Special", 'Ingest Template'!F615 = "Program Type - Live Event"),'Ingest Template'!M615&amp; "|DAR|DAR|"&amp;TEXT('Ingest Template'!C615-3, "yyyy-mm-dd")&amp;"|"&amp;TEXT('Ingest Template'!C615+3, "yyyy-mm-dd"),'Ingest Template'!M615&amp; "|DAR|DAR|2021-01-01")),(IF(OR('Ingest Template'!F615 = "Program Type - Special", 'Ingest Template'!F615 = "Program Type - Live Event"),'Ingest Template'!M615&amp; "|Operations - Core Title|Operations - Core Title|"&amp;TEXT('Ingest Template'!C615-3, "yyyy-mm-dd")&amp;"|"&amp;TEXT('Ingest Template'!C615+3, "yyyy-mm-dd"),'Ingest Template'!M615&amp; "|Operations - Core Title|Operations - Core Title")))</f>
        <v>|Operations - Core Title|Operations - Core Title</v>
      </c>
      <c r="AK615" s="35"/>
      <c r="AL615" s="117" t="str">
        <f>if('Ingest Template'!A615="Standard",(IF(OR('Ingest Template'!F615 = "Program Type - Special", 'Ingest Template'!F615 = "Program Type - Live Event"),'Ingest Template'!Q615&amp;"|"&amp;TEXT('Ingest Template'!C615-3, "yyyy-mm-dd")&amp;"|"&amp;TEXT('Ingest Template'!C615+3, "yyyy-mm-dd"),'Ingest Template'!Q615&amp; "|2021-01-01")),(IF(OR('Ingest Template'!F615 = "Program Type - Special", 'Ingest Template'!F615 = "Program Type - Live Event"),'Ingest Template'!Q615&amp; "|"&amp;TEXT('Ingest Template'!C615-3, "yyyy-mm-dd")&amp;"|"&amp;TEXT('Ingest Template'!C615+3, "yyyy-mm-dd"),'Ingest Template'!Q615)))</f>
        <v/>
      </c>
      <c r="AM615" s="35" t="str">
        <f>'Ingest Template'!AC615</f>
        <v/>
      </c>
    </row>
    <row r="616">
      <c r="A616" s="15"/>
      <c r="B616" s="22" t="str">
        <f>'Ingest Template'!C616&amp;IF('Ingest Template'!A616 = "Standard", " - DAR","")</f>
        <v/>
      </c>
      <c r="C616" s="22" t="s">
        <v>83</v>
      </c>
      <c r="D616" s="22" t="str">
        <f t="array" ref="D616">CONCATENATE(INDEX(DropdownLists!$H$2:$H$11,MATCH(1,COUNTIF('Ingest Template'!E616,"*"&amp;DropdownLists!$I$2:$I$11&amp;"*"),0)),CHAR(10),'Ingest Template'!F616,CHAR(10),'Ingest Template'!G616,CHAR(10),VLOOKUP('Ingest Template'!D616,DropdownLists!C:D,2,FALSE))</f>
        <v>#N/A</v>
      </c>
      <c r="E616" s="22" t="str">
        <f>CONCATENATE('Ingest Template'!H616,CHAR(10),'Ingest Template'!I616,CHAR(10),'Ingest Template'!J616,CHAR(10))</f>
        <v>
</v>
      </c>
      <c r="F616" s="35" t="str">
        <f t="array" ref="F616">INDEX(DropdownLists!$O$2:$O$36,MATCH(1,COUNTIF(E616,"*"&amp;DropdownLists!$N$2:$N$36&amp;"*"),0))</f>
        <v/>
      </c>
      <c r="G616" s="35"/>
      <c r="H616" s="22" t="str">
        <f t="array" ref="H616">INDEX(DropdownLists!$E$2:$E$276,MATCH('Ingest Template'!D616,DropdownLists!$C$2:$C$276,0))</f>
        <v>#N/A</v>
      </c>
      <c r="I616" s="22"/>
      <c r="J616" s="22" t="str">
        <f t="array" ref="J616">iF('Ingest Template'!A616="Standard","Pristine Brand",INDEX(DropdownLists!$B$2:$B$246,MATCH('Ingest Template'!D616,DropdownLists!$C$2:$C$246,0)))</f>
        <v>#N/A</v>
      </c>
      <c r="K616" s="22" t="str">
        <f>iF('Ingest Template'!A616="Standard",'Ingest Template'!K616&amp;CHAR(10)&amp;'Ingest Template'!L616,"Competitive View")</f>
        <v>Competitive View</v>
      </c>
      <c r="L616" s="22" t="s">
        <v>95</v>
      </c>
      <c r="M616" s="45" t="str">
        <f>'Ingest Template'!B616</f>
        <v/>
      </c>
      <c r="N616" s="35"/>
      <c r="O616" s="35"/>
      <c r="P616" s="35"/>
      <c r="Q616" s="35"/>
      <c r="R616" s="35" t="str">
        <f>'Ingest Template'!D616</f>
        <v/>
      </c>
      <c r="S616" s="22" t="s">
        <v>101</v>
      </c>
      <c r="T616" s="35" t="str">
        <f>'Ingest Template'!V616</f>
        <v/>
      </c>
      <c r="U616" s="35" t="str">
        <f>'Ingest Template'!W616</f>
        <v/>
      </c>
      <c r="V616" s="35" t="str">
        <f>LOWER(SUBSTITUTE(SUBSTITUTE(SUBSTITUTE(SUBSTITUTE(SUBSTITUTE('Ingest Template'!X616,"https:",""),"www.",""),"/",""),"?hl=en",""),"instagram.com",""))</f>
        <v/>
      </c>
      <c r="W616" s="74" t="str">
        <f t="array" ref="W616">IF(
'Ingest Template'!Y616="",
SUBSTITUTE(
INDEX(DropdownLists!$F$2:$F$277,MATCH('Ingest Template'!D616,DropdownLists!$C$2:$C$277,0)),
CHAR(10),
"|"&amp;'Ingest Template'!C616&amp;CHAR(10)
)&amp;"|"&amp;'Ingest Template'!C616,
SUBSTITUTE(
INDEX(DropdownLists!$F$2:$F$277,MATCH('Ingest Template'!D616,DropdownLists!$C$2:$C$277,0)),
CHAR(10),
"|"&amp;'Ingest Template'!C616&amp;CHAR(10)
)&amp;"|"&amp;'Ingest Template'!C616&amp;CHAR(10)&amp;'Ingest Template'!Y616
)</f>
        <v>#N/A</v>
      </c>
      <c r="X616" s="74" t="str">
        <f>'Ingest Template'!Z616</f>
        <v/>
      </c>
      <c r="Y616" s="35" t="str">
        <f>SUBSTITUTE(SUBSTITUTE(SUBSTITUTE('Ingest Template'!AA616,"http:",""),"https:",""),"/","")</f>
        <v/>
      </c>
      <c r="Z616" s="35" t="str">
        <f t="array" ref="Z616">IF('Ingest Template'!A616="Standard",(IF(ISBLANK('Ingest Template'!AB616),"", 'Ingest Template'!AB616&amp;"|DAR")),(IF(ISBLANK('Ingest Template'!AB616),"", 'Ingest Template'!AB616&amp;"|TV Ops")))</f>
        <v/>
      </c>
      <c r="AA616" s="35"/>
      <c r="AB616" s="35" t="str">
        <f>'Ingest Template'!R616</f>
        <v/>
      </c>
      <c r="AC616" s="35" t="str">
        <f>'Ingest Template'!T616</f>
        <v/>
      </c>
      <c r="AD616" s="35" t="str">
        <f>'Ingest Template'!S616</f>
        <v/>
      </c>
      <c r="AE616" s="35" t="str">
        <f>'Ingest Template'!U616</f>
        <v/>
      </c>
      <c r="AF616" s="22"/>
      <c r="AG616" s="35" t="str">
        <f t="array" ref="AG616">IF('Ingest Template'!A616="Standard",(CONCATENATE(IF(ISBLANK('Ingest Template'!N616),"", 'Ingest Template'!N616&amp;"|DAR"),CHAR(10), IF(ISBLANK('Ingest Template'!O616),"", 'Ingest Template'!O616&amp;"|DAR"),CHAR(10), IF(ISBLANK('Ingest Template'!P616),"", 'Ingest Template'!P616&amp;"|DAR"))),(CONCATENATE(IF(ISBLANK('Ingest Template'!N616),"", 'Ingest Template'!N616&amp;"|TV Ops"),CHAR(10), IF(ISBLANK('Ingest Template'!O616),"", 'Ingest Template'!O616&amp;"|TV Ops"),CHAR(10), IF(ISBLANK('Ingest Template'!P616),"", 'Ingest Template'!P616&amp;"|TV Ops"))))</f>
        <v>
</v>
      </c>
      <c r="AH616" s="35"/>
      <c r="AI616" s="35"/>
      <c r="AJ616" s="117" t="str">
        <f>if('Ingest Template'!A616="Standard",(IF(OR('Ingest Template'!F616 = "Program Type - Special", 'Ingest Template'!F616 = "Program Type - Live Event"),'Ingest Template'!M616&amp; "|DAR|DAR|"&amp;TEXT('Ingest Template'!C616-3, "yyyy-mm-dd")&amp;"|"&amp;TEXT('Ingest Template'!C616+3, "yyyy-mm-dd"),'Ingest Template'!M616&amp; "|DAR|DAR|2021-01-01")),(IF(OR('Ingest Template'!F616 = "Program Type - Special", 'Ingest Template'!F616 = "Program Type - Live Event"),'Ingest Template'!M616&amp; "|Operations - Core Title|Operations - Core Title|"&amp;TEXT('Ingest Template'!C616-3, "yyyy-mm-dd")&amp;"|"&amp;TEXT('Ingest Template'!C616+3, "yyyy-mm-dd"),'Ingest Template'!M616&amp; "|Operations - Core Title|Operations - Core Title")))</f>
        <v>|Operations - Core Title|Operations - Core Title</v>
      </c>
      <c r="AK616" s="35"/>
      <c r="AL616" s="117" t="str">
        <f>if('Ingest Template'!A616="Standard",(IF(OR('Ingest Template'!F616 = "Program Type - Special", 'Ingest Template'!F616 = "Program Type - Live Event"),'Ingest Template'!Q616&amp;"|"&amp;TEXT('Ingest Template'!C616-3, "yyyy-mm-dd")&amp;"|"&amp;TEXT('Ingest Template'!C616+3, "yyyy-mm-dd"),'Ingest Template'!Q616&amp; "|2021-01-01")),(IF(OR('Ingest Template'!F616 = "Program Type - Special", 'Ingest Template'!F616 = "Program Type - Live Event"),'Ingest Template'!Q616&amp; "|"&amp;TEXT('Ingest Template'!C616-3, "yyyy-mm-dd")&amp;"|"&amp;TEXT('Ingest Template'!C616+3, "yyyy-mm-dd"),'Ingest Template'!Q616)))</f>
        <v/>
      </c>
      <c r="AM616" s="35" t="str">
        <f>'Ingest Template'!AC616</f>
        <v/>
      </c>
    </row>
    <row r="617">
      <c r="A617" s="15"/>
      <c r="B617" s="22" t="str">
        <f>'Ingest Template'!C617&amp;IF('Ingest Template'!A617 = "Standard", " - DAR","")</f>
        <v/>
      </c>
      <c r="C617" s="22" t="s">
        <v>83</v>
      </c>
      <c r="D617" s="22" t="str">
        <f t="array" ref="D617">CONCATENATE(INDEX(DropdownLists!$H$2:$H$11,MATCH(1,COUNTIF('Ingest Template'!E617,"*"&amp;DropdownLists!$I$2:$I$11&amp;"*"),0)),CHAR(10),'Ingest Template'!F617,CHAR(10),'Ingest Template'!G617,CHAR(10),VLOOKUP('Ingest Template'!D617,DropdownLists!C:D,2,FALSE))</f>
        <v>#N/A</v>
      </c>
      <c r="E617" s="22" t="str">
        <f>CONCATENATE('Ingest Template'!H617,CHAR(10),'Ingest Template'!I617,CHAR(10),'Ingest Template'!J617,CHAR(10))</f>
        <v>
</v>
      </c>
      <c r="F617" s="35" t="str">
        <f t="array" ref="F617">INDEX(DropdownLists!$O$2:$O$36,MATCH(1,COUNTIF(E617,"*"&amp;DropdownLists!$N$2:$N$36&amp;"*"),0))</f>
        <v/>
      </c>
      <c r="G617" s="35"/>
      <c r="H617" s="22" t="str">
        <f t="array" ref="H617">INDEX(DropdownLists!$E$2:$E$276,MATCH('Ingest Template'!D617,DropdownLists!$C$2:$C$276,0))</f>
        <v>#N/A</v>
      </c>
      <c r="I617" s="22"/>
      <c r="J617" s="22" t="str">
        <f t="array" ref="J617">iF('Ingest Template'!A617="Standard","Pristine Brand",INDEX(DropdownLists!$B$2:$B$246,MATCH('Ingest Template'!D617,DropdownLists!$C$2:$C$246,0)))</f>
        <v>#N/A</v>
      </c>
      <c r="K617" s="22" t="str">
        <f>iF('Ingest Template'!A617="Standard",'Ingest Template'!K617&amp;CHAR(10)&amp;'Ingest Template'!L617,"Competitive View")</f>
        <v>Competitive View</v>
      </c>
      <c r="L617" s="22" t="s">
        <v>95</v>
      </c>
      <c r="M617" s="45" t="str">
        <f>'Ingest Template'!B617</f>
        <v/>
      </c>
      <c r="N617" s="35"/>
      <c r="O617" s="35"/>
      <c r="P617" s="35"/>
      <c r="Q617" s="35"/>
      <c r="R617" s="35" t="str">
        <f>'Ingest Template'!D617</f>
        <v/>
      </c>
      <c r="S617" s="22" t="s">
        <v>101</v>
      </c>
      <c r="T617" s="35" t="str">
        <f>'Ingest Template'!V617</f>
        <v/>
      </c>
      <c r="U617" s="35" t="str">
        <f>'Ingest Template'!W617</f>
        <v/>
      </c>
      <c r="V617" s="35" t="str">
        <f>LOWER(SUBSTITUTE(SUBSTITUTE(SUBSTITUTE(SUBSTITUTE(SUBSTITUTE('Ingest Template'!X617,"https:",""),"www.",""),"/",""),"?hl=en",""),"instagram.com",""))</f>
        <v/>
      </c>
      <c r="W617" s="74" t="str">
        <f t="array" ref="W617">IF(
'Ingest Template'!Y617="",
SUBSTITUTE(
INDEX(DropdownLists!$F$2:$F$277,MATCH('Ingest Template'!D617,DropdownLists!$C$2:$C$277,0)),
CHAR(10),
"|"&amp;'Ingest Template'!C617&amp;CHAR(10)
)&amp;"|"&amp;'Ingest Template'!C617,
SUBSTITUTE(
INDEX(DropdownLists!$F$2:$F$277,MATCH('Ingest Template'!D617,DropdownLists!$C$2:$C$277,0)),
CHAR(10),
"|"&amp;'Ingest Template'!C617&amp;CHAR(10)
)&amp;"|"&amp;'Ingest Template'!C617&amp;CHAR(10)&amp;'Ingest Template'!Y617
)</f>
        <v>#N/A</v>
      </c>
      <c r="X617" s="74" t="str">
        <f>'Ingest Template'!Z617</f>
        <v/>
      </c>
      <c r="Y617" s="35" t="str">
        <f>SUBSTITUTE(SUBSTITUTE(SUBSTITUTE('Ingest Template'!AA617,"http:",""),"https:",""),"/","")</f>
        <v/>
      </c>
      <c r="Z617" s="35" t="str">
        <f t="array" ref="Z617">IF('Ingest Template'!A617="Standard",(IF(ISBLANK('Ingest Template'!AB617),"", 'Ingest Template'!AB617&amp;"|DAR")),(IF(ISBLANK('Ingest Template'!AB617),"", 'Ingest Template'!AB617&amp;"|TV Ops")))</f>
        <v/>
      </c>
      <c r="AA617" s="35"/>
      <c r="AB617" s="35" t="str">
        <f>'Ingest Template'!R617</f>
        <v/>
      </c>
      <c r="AC617" s="35" t="str">
        <f>'Ingest Template'!T617</f>
        <v/>
      </c>
      <c r="AD617" s="35" t="str">
        <f>'Ingest Template'!S617</f>
        <v/>
      </c>
      <c r="AE617" s="35" t="str">
        <f>'Ingest Template'!U617</f>
        <v/>
      </c>
      <c r="AF617" s="22"/>
      <c r="AG617" s="35" t="str">
        <f t="array" ref="AG617">IF('Ingest Template'!A617="Standard",(CONCATENATE(IF(ISBLANK('Ingest Template'!N617),"", 'Ingest Template'!N617&amp;"|DAR"),CHAR(10), IF(ISBLANK('Ingest Template'!O617),"", 'Ingest Template'!O617&amp;"|DAR"),CHAR(10), IF(ISBLANK('Ingest Template'!P617),"", 'Ingest Template'!P617&amp;"|DAR"))),(CONCATENATE(IF(ISBLANK('Ingest Template'!N617),"", 'Ingest Template'!N617&amp;"|TV Ops"),CHAR(10), IF(ISBLANK('Ingest Template'!O617),"", 'Ingest Template'!O617&amp;"|TV Ops"),CHAR(10), IF(ISBLANK('Ingest Template'!P617),"", 'Ingest Template'!P617&amp;"|TV Ops"))))</f>
        <v>
</v>
      </c>
      <c r="AH617" s="35"/>
      <c r="AI617" s="35"/>
      <c r="AJ617" s="117" t="str">
        <f>if('Ingest Template'!A617="Standard",(IF(OR('Ingest Template'!F617 = "Program Type - Special", 'Ingest Template'!F617 = "Program Type - Live Event"),'Ingest Template'!M617&amp; "|DAR|DAR|"&amp;TEXT('Ingest Template'!C617-3, "yyyy-mm-dd")&amp;"|"&amp;TEXT('Ingest Template'!C617+3, "yyyy-mm-dd"),'Ingest Template'!M617&amp; "|DAR|DAR|2021-01-01")),(IF(OR('Ingest Template'!F617 = "Program Type - Special", 'Ingest Template'!F617 = "Program Type - Live Event"),'Ingest Template'!M617&amp; "|Operations - Core Title|Operations - Core Title|"&amp;TEXT('Ingest Template'!C617-3, "yyyy-mm-dd")&amp;"|"&amp;TEXT('Ingest Template'!C617+3, "yyyy-mm-dd"),'Ingest Template'!M617&amp; "|Operations - Core Title|Operations - Core Title")))</f>
        <v>|Operations - Core Title|Operations - Core Title</v>
      </c>
      <c r="AK617" s="35"/>
      <c r="AL617" s="117" t="str">
        <f>if('Ingest Template'!A617="Standard",(IF(OR('Ingest Template'!F617 = "Program Type - Special", 'Ingest Template'!F617 = "Program Type - Live Event"),'Ingest Template'!Q617&amp;"|"&amp;TEXT('Ingest Template'!C617-3, "yyyy-mm-dd")&amp;"|"&amp;TEXT('Ingest Template'!C617+3, "yyyy-mm-dd"),'Ingest Template'!Q617&amp; "|2021-01-01")),(IF(OR('Ingest Template'!F617 = "Program Type - Special", 'Ingest Template'!F617 = "Program Type - Live Event"),'Ingest Template'!Q617&amp; "|"&amp;TEXT('Ingest Template'!C617-3, "yyyy-mm-dd")&amp;"|"&amp;TEXT('Ingest Template'!C617+3, "yyyy-mm-dd"),'Ingest Template'!Q617)))</f>
        <v/>
      </c>
      <c r="AM617" s="35" t="str">
        <f>'Ingest Template'!AC617</f>
        <v/>
      </c>
    </row>
    <row r="618">
      <c r="A618" s="15"/>
      <c r="B618" s="22" t="str">
        <f>'Ingest Template'!C618&amp;IF('Ingest Template'!A618 = "Standard", " - DAR","")</f>
        <v/>
      </c>
      <c r="C618" s="22" t="s">
        <v>83</v>
      </c>
      <c r="D618" s="22" t="str">
        <f t="array" ref="D618">CONCATENATE(INDEX(DropdownLists!$H$2:$H$11,MATCH(1,COUNTIF('Ingest Template'!E618,"*"&amp;DropdownLists!$I$2:$I$11&amp;"*"),0)),CHAR(10),'Ingest Template'!F618,CHAR(10),'Ingest Template'!G618,CHAR(10),VLOOKUP('Ingest Template'!D618,DropdownLists!C:D,2,FALSE))</f>
        <v>#N/A</v>
      </c>
      <c r="E618" s="22" t="str">
        <f>CONCATENATE('Ingest Template'!H618,CHAR(10),'Ingest Template'!I618,CHAR(10),'Ingest Template'!J618,CHAR(10))</f>
        <v>
</v>
      </c>
      <c r="F618" s="35" t="str">
        <f t="array" ref="F618">INDEX(DropdownLists!$O$2:$O$36,MATCH(1,COUNTIF(E618,"*"&amp;DropdownLists!$N$2:$N$36&amp;"*"),0))</f>
        <v/>
      </c>
      <c r="G618" s="35"/>
      <c r="H618" s="22" t="str">
        <f t="array" ref="H618">INDEX(DropdownLists!$E$2:$E$276,MATCH('Ingest Template'!D618,DropdownLists!$C$2:$C$276,0))</f>
        <v>#N/A</v>
      </c>
      <c r="I618" s="22"/>
      <c r="J618" s="22" t="str">
        <f t="array" ref="J618">iF('Ingest Template'!A618="Standard","Pristine Brand",INDEX(DropdownLists!$B$2:$B$246,MATCH('Ingest Template'!D618,DropdownLists!$C$2:$C$246,0)))</f>
        <v>#N/A</v>
      </c>
      <c r="K618" s="22" t="str">
        <f>iF('Ingest Template'!A618="Standard",'Ingest Template'!K618&amp;CHAR(10)&amp;'Ingest Template'!L618,"Competitive View")</f>
        <v>Competitive View</v>
      </c>
      <c r="L618" s="22" t="s">
        <v>95</v>
      </c>
      <c r="M618" s="45" t="str">
        <f>'Ingest Template'!B618</f>
        <v/>
      </c>
      <c r="N618" s="35"/>
      <c r="O618" s="35"/>
      <c r="P618" s="35"/>
      <c r="Q618" s="35"/>
      <c r="R618" s="35" t="str">
        <f>'Ingest Template'!D618</f>
        <v/>
      </c>
      <c r="S618" s="22" t="s">
        <v>101</v>
      </c>
      <c r="T618" s="35" t="str">
        <f>'Ingest Template'!V618</f>
        <v/>
      </c>
      <c r="U618" s="35" t="str">
        <f>'Ingest Template'!W618</f>
        <v/>
      </c>
      <c r="V618" s="35" t="str">
        <f>LOWER(SUBSTITUTE(SUBSTITUTE(SUBSTITUTE(SUBSTITUTE(SUBSTITUTE('Ingest Template'!X618,"https:",""),"www.",""),"/",""),"?hl=en",""),"instagram.com",""))</f>
        <v/>
      </c>
      <c r="W618" s="74" t="str">
        <f t="array" ref="W618">IF(
'Ingest Template'!Y618="",
SUBSTITUTE(
INDEX(DropdownLists!$F$2:$F$277,MATCH('Ingest Template'!D618,DropdownLists!$C$2:$C$277,0)),
CHAR(10),
"|"&amp;'Ingest Template'!C618&amp;CHAR(10)
)&amp;"|"&amp;'Ingest Template'!C618,
SUBSTITUTE(
INDEX(DropdownLists!$F$2:$F$277,MATCH('Ingest Template'!D618,DropdownLists!$C$2:$C$277,0)),
CHAR(10),
"|"&amp;'Ingest Template'!C618&amp;CHAR(10)
)&amp;"|"&amp;'Ingest Template'!C618&amp;CHAR(10)&amp;'Ingest Template'!Y618
)</f>
        <v>#N/A</v>
      </c>
      <c r="X618" s="74" t="str">
        <f>'Ingest Template'!Z618</f>
        <v/>
      </c>
      <c r="Y618" s="35" t="str">
        <f>SUBSTITUTE(SUBSTITUTE(SUBSTITUTE('Ingest Template'!AA618,"http:",""),"https:",""),"/","")</f>
        <v/>
      </c>
      <c r="Z618" s="35" t="str">
        <f t="array" ref="Z618">IF('Ingest Template'!A618="Standard",(IF(ISBLANK('Ingest Template'!AB618),"", 'Ingest Template'!AB618&amp;"|DAR")),(IF(ISBLANK('Ingest Template'!AB618),"", 'Ingest Template'!AB618&amp;"|TV Ops")))</f>
        <v/>
      </c>
      <c r="AA618" s="35"/>
      <c r="AB618" s="35" t="str">
        <f>'Ingest Template'!R618</f>
        <v/>
      </c>
      <c r="AC618" s="35" t="str">
        <f>'Ingest Template'!T618</f>
        <v/>
      </c>
      <c r="AD618" s="35" t="str">
        <f>'Ingest Template'!S618</f>
        <v/>
      </c>
      <c r="AE618" s="35" t="str">
        <f>'Ingest Template'!U618</f>
        <v/>
      </c>
      <c r="AF618" s="22"/>
      <c r="AG618" s="35" t="str">
        <f t="array" ref="AG618">IF('Ingest Template'!A618="Standard",(CONCATENATE(IF(ISBLANK('Ingest Template'!N618),"", 'Ingest Template'!N618&amp;"|DAR"),CHAR(10), IF(ISBLANK('Ingest Template'!O618),"", 'Ingest Template'!O618&amp;"|DAR"),CHAR(10), IF(ISBLANK('Ingest Template'!P618),"", 'Ingest Template'!P618&amp;"|DAR"))),(CONCATENATE(IF(ISBLANK('Ingest Template'!N618),"", 'Ingest Template'!N618&amp;"|TV Ops"),CHAR(10), IF(ISBLANK('Ingest Template'!O618),"", 'Ingest Template'!O618&amp;"|TV Ops"),CHAR(10), IF(ISBLANK('Ingest Template'!P618),"", 'Ingest Template'!P618&amp;"|TV Ops"))))</f>
        <v>
</v>
      </c>
      <c r="AH618" s="35"/>
      <c r="AI618" s="35"/>
      <c r="AJ618" s="117" t="str">
        <f>if('Ingest Template'!A618="Standard",(IF(OR('Ingest Template'!F618 = "Program Type - Special", 'Ingest Template'!F618 = "Program Type - Live Event"),'Ingest Template'!M618&amp; "|DAR|DAR|"&amp;TEXT('Ingest Template'!C618-3, "yyyy-mm-dd")&amp;"|"&amp;TEXT('Ingest Template'!C618+3, "yyyy-mm-dd"),'Ingest Template'!M618&amp; "|DAR|DAR|2021-01-01")),(IF(OR('Ingest Template'!F618 = "Program Type - Special", 'Ingest Template'!F618 = "Program Type - Live Event"),'Ingest Template'!M618&amp; "|Operations - Core Title|Operations - Core Title|"&amp;TEXT('Ingest Template'!C618-3, "yyyy-mm-dd")&amp;"|"&amp;TEXT('Ingest Template'!C618+3, "yyyy-mm-dd"),'Ingest Template'!M618&amp; "|Operations - Core Title|Operations - Core Title")))</f>
        <v>|Operations - Core Title|Operations - Core Title</v>
      </c>
      <c r="AK618" s="35"/>
      <c r="AL618" s="117" t="str">
        <f>if('Ingest Template'!A618="Standard",(IF(OR('Ingest Template'!F618 = "Program Type - Special", 'Ingest Template'!F618 = "Program Type - Live Event"),'Ingest Template'!Q618&amp;"|"&amp;TEXT('Ingest Template'!C618-3, "yyyy-mm-dd")&amp;"|"&amp;TEXT('Ingest Template'!C618+3, "yyyy-mm-dd"),'Ingest Template'!Q618&amp; "|2021-01-01")),(IF(OR('Ingest Template'!F618 = "Program Type - Special", 'Ingest Template'!F618 = "Program Type - Live Event"),'Ingest Template'!Q618&amp; "|"&amp;TEXT('Ingest Template'!C618-3, "yyyy-mm-dd")&amp;"|"&amp;TEXT('Ingest Template'!C618+3, "yyyy-mm-dd"),'Ingest Template'!Q618)))</f>
        <v/>
      </c>
      <c r="AM618" s="35" t="str">
        <f>'Ingest Template'!AC618</f>
        <v/>
      </c>
    </row>
    <row r="619">
      <c r="A619" s="15"/>
      <c r="B619" s="22" t="str">
        <f>'Ingest Template'!C619&amp;IF('Ingest Template'!A619 = "Standard", " - DAR","")</f>
        <v/>
      </c>
      <c r="C619" s="22" t="s">
        <v>83</v>
      </c>
      <c r="D619" s="22" t="str">
        <f t="array" ref="D619">CONCATENATE(INDEX(DropdownLists!$H$2:$H$11,MATCH(1,COUNTIF('Ingest Template'!E619,"*"&amp;DropdownLists!$I$2:$I$11&amp;"*"),0)),CHAR(10),'Ingest Template'!F619,CHAR(10),'Ingest Template'!G619,CHAR(10),VLOOKUP('Ingest Template'!D619,DropdownLists!C:D,2,FALSE))</f>
        <v>#N/A</v>
      </c>
      <c r="E619" s="22" t="str">
        <f>CONCATENATE('Ingest Template'!H619,CHAR(10),'Ingest Template'!I619,CHAR(10),'Ingest Template'!J619,CHAR(10))</f>
        <v>
</v>
      </c>
      <c r="F619" s="35" t="str">
        <f t="array" ref="F619">INDEX(DropdownLists!$O$2:$O$36,MATCH(1,COUNTIF(E619,"*"&amp;DropdownLists!$N$2:$N$36&amp;"*"),0))</f>
        <v/>
      </c>
      <c r="G619" s="35"/>
      <c r="H619" s="22" t="str">
        <f t="array" ref="H619">INDEX(DropdownLists!$E$2:$E$276,MATCH('Ingest Template'!D619,DropdownLists!$C$2:$C$276,0))</f>
        <v>#N/A</v>
      </c>
      <c r="I619" s="22"/>
      <c r="J619" s="22" t="str">
        <f t="array" ref="J619">iF('Ingest Template'!A619="Standard","Pristine Brand",INDEX(DropdownLists!$B$2:$B$246,MATCH('Ingest Template'!D619,DropdownLists!$C$2:$C$246,0)))</f>
        <v>#N/A</v>
      </c>
      <c r="K619" s="22" t="str">
        <f>iF('Ingest Template'!A619="Standard",'Ingest Template'!K619&amp;CHAR(10)&amp;'Ingest Template'!L619,"Competitive View")</f>
        <v>Competitive View</v>
      </c>
      <c r="L619" s="22" t="s">
        <v>95</v>
      </c>
      <c r="M619" s="45" t="str">
        <f>'Ingest Template'!B619</f>
        <v/>
      </c>
      <c r="N619" s="35"/>
      <c r="O619" s="35"/>
      <c r="P619" s="35"/>
      <c r="Q619" s="35"/>
      <c r="R619" s="35" t="str">
        <f>'Ingest Template'!D619</f>
        <v/>
      </c>
      <c r="S619" s="22" t="s">
        <v>101</v>
      </c>
      <c r="T619" s="35" t="str">
        <f>'Ingest Template'!V619</f>
        <v/>
      </c>
      <c r="U619" s="35" t="str">
        <f>'Ingest Template'!W619</f>
        <v/>
      </c>
      <c r="V619" s="35" t="str">
        <f>LOWER(SUBSTITUTE(SUBSTITUTE(SUBSTITUTE(SUBSTITUTE(SUBSTITUTE('Ingest Template'!X619,"https:",""),"www.",""),"/",""),"?hl=en",""),"instagram.com",""))</f>
        <v/>
      </c>
      <c r="W619" s="74" t="str">
        <f t="array" ref="W619">IF(
'Ingest Template'!Y619="",
SUBSTITUTE(
INDEX(DropdownLists!$F$2:$F$277,MATCH('Ingest Template'!D619,DropdownLists!$C$2:$C$277,0)),
CHAR(10),
"|"&amp;'Ingest Template'!C619&amp;CHAR(10)
)&amp;"|"&amp;'Ingest Template'!C619,
SUBSTITUTE(
INDEX(DropdownLists!$F$2:$F$277,MATCH('Ingest Template'!D619,DropdownLists!$C$2:$C$277,0)),
CHAR(10),
"|"&amp;'Ingest Template'!C619&amp;CHAR(10)
)&amp;"|"&amp;'Ingest Template'!C619&amp;CHAR(10)&amp;'Ingest Template'!Y619
)</f>
        <v>#N/A</v>
      </c>
      <c r="X619" s="74" t="str">
        <f>'Ingest Template'!Z619</f>
        <v/>
      </c>
      <c r="Y619" s="35" t="str">
        <f>SUBSTITUTE(SUBSTITUTE(SUBSTITUTE('Ingest Template'!AA619,"http:",""),"https:",""),"/","")</f>
        <v/>
      </c>
      <c r="Z619" s="35" t="str">
        <f t="array" ref="Z619">IF('Ingest Template'!A619="Standard",(IF(ISBLANK('Ingest Template'!AB619),"", 'Ingest Template'!AB619&amp;"|DAR")),(IF(ISBLANK('Ingest Template'!AB619),"", 'Ingest Template'!AB619&amp;"|TV Ops")))</f>
        <v/>
      </c>
      <c r="AA619" s="35"/>
      <c r="AB619" s="35" t="str">
        <f>'Ingest Template'!R619</f>
        <v/>
      </c>
      <c r="AC619" s="35" t="str">
        <f>'Ingest Template'!T619</f>
        <v/>
      </c>
      <c r="AD619" s="35" t="str">
        <f>'Ingest Template'!S619</f>
        <v/>
      </c>
      <c r="AE619" s="35" t="str">
        <f>'Ingest Template'!U619</f>
        <v/>
      </c>
      <c r="AF619" s="22"/>
      <c r="AG619" s="35" t="str">
        <f t="array" ref="AG619">IF('Ingest Template'!A619="Standard",(CONCATENATE(IF(ISBLANK('Ingest Template'!N619),"", 'Ingest Template'!N619&amp;"|DAR"),CHAR(10), IF(ISBLANK('Ingest Template'!O619),"", 'Ingest Template'!O619&amp;"|DAR"),CHAR(10), IF(ISBLANK('Ingest Template'!P619),"", 'Ingest Template'!P619&amp;"|DAR"))),(CONCATENATE(IF(ISBLANK('Ingest Template'!N619),"", 'Ingest Template'!N619&amp;"|TV Ops"),CHAR(10), IF(ISBLANK('Ingest Template'!O619),"", 'Ingest Template'!O619&amp;"|TV Ops"),CHAR(10), IF(ISBLANK('Ingest Template'!P619),"", 'Ingest Template'!P619&amp;"|TV Ops"))))</f>
        <v>
</v>
      </c>
      <c r="AH619" s="35"/>
      <c r="AI619" s="35"/>
      <c r="AJ619" s="117" t="str">
        <f>if('Ingest Template'!A619="Standard",(IF(OR('Ingest Template'!F619 = "Program Type - Special", 'Ingest Template'!F619 = "Program Type - Live Event"),'Ingest Template'!M619&amp; "|DAR|DAR|"&amp;TEXT('Ingest Template'!C619-3, "yyyy-mm-dd")&amp;"|"&amp;TEXT('Ingest Template'!C619+3, "yyyy-mm-dd"),'Ingest Template'!M619&amp; "|DAR|DAR|2021-01-01")),(IF(OR('Ingest Template'!F619 = "Program Type - Special", 'Ingest Template'!F619 = "Program Type - Live Event"),'Ingest Template'!M619&amp; "|Operations - Core Title|Operations - Core Title|"&amp;TEXT('Ingest Template'!C619-3, "yyyy-mm-dd")&amp;"|"&amp;TEXT('Ingest Template'!C619+3, "yyyy-mm-dd"),'Ingest Template'!M619&amp; "|Operations - Core Title|Operations - Core Title")))</f>
        <v>|Operations - Core Title|Operations - Core Title</v>
      </c>
      <c r="AK619" s="35"/>
      <c r="AL619" s="117" t="str">
        <f>if('Ingest Template'!A619="Standard",(IF(OR('Ingest Template'!F619 = "Program Type - Special", 'Ingest Template'!F619 = "Program Type - Live Event"),'Ingest Template'!Q619&amp;"|"&amp;TEXT('Ingest Template'!C619-3, "yyyy-mm-dd")&amp;"|"&amp;TEXT('Ingest Template'!C619+3, "yyyy-mm-dd"),'Ingest Template'!Q619&amp; "|2021-01-01")),(IF(OR('Ingest Template'!F619 = "Program Type - Special", 'Ingest Template'!F619 = "Program Type - Live Event"),'Ingest Template'!Q619&amp; "|"&amp;TEXT('Ingest Template'!C619-3, "yyyy-mm-dd")&amp;"|"&amp;TEXT('Ingest Template'!C619+3, "yyyy-mm-dd"),'Ingest Template'!Q619)))</f>
        <v/>
      </c>
      <c r="AM619" s="35" t="str">
        <f>'Ingest Template'!AC619</f>
        <v/>
      </c>
    </row>
    <row r="620">
      <c r="A620" s="15"/>
      <c r="B620" s="22" t="str">
        <f>'Ingest Template'!C620&amp;IF('Ingest Template'!A620 = "Standard", " - DAR","")</f>
        <v/>
      </c>
      <c r="C620" s="22" t="s">
        <v>83</v>
      </c>
      <c r="D620" s="22" t="str">
        <f t="array" ref="D620">CONCATENATE(INDEX(DropdownLists!$H$2:$H$11,MATCH(1,COUNTIF('Ingest Template'!E620,"*"&amp;DropdownLists!$I$2:$I$11&amp;"*"),0)),CHAR(10),'Ingest Template'!F620,CHAR(10),'Ingest Template'!G620,CHAR(10),VLOOKUP('Ingest Template'!D620,DropdownLists!C:D,2,FALSE))</f>
        <v>#N/A</v>
      </c>
      <c r="E620" s="22" t="str">
        <f>CONCATENATE('Ingest Template'!H620,CHAR(10),'Ingest Template'!I620,CHAR(10),'Ingest Template'!J620,CHAR(10))</f>
        <v>
</v>
      </c>
      <c r="F620" s="35" t="str">
        <f t="array" ref="F620">INDEX(DropdownLists!$O$2:$O$36,MATCH(1,COUNTIF(E620,"*"&amp;DropdownLists!$N$2:$N$36&amp;"*"),0))</f>
        <v/>
      </c>
      <c r="G620" s="35"/>
      <c r="H620" s="22" t="str">
        <f t="array" ref="H620">INDEX(DropdownLists!$E$2:$E$276,MATCH('Ingest Template'!D620,DropdownLists!$C$2:$C$276,0))</f>
        <v>#N/A</v>
      </c>
      <c r="I620" s="22"/>
      <c r="J620" s="22" t="str">
        <f t="array" ref="J620">iF('Ingest Template'!A620="Standard","Pristine Brand",INDEX(DropdownLists!$B$2:$B$246,MATCH('Ingest Template'!D620,DropdownLists!$C$2:$C$246,0)))</f>
        <v>#N/A</v>
      </c>
      <c r="K620" s="22" t="str">
        <f>iF('Ingest Template'!A620="Standard",'Ingest Template'!K620&amp;CHAR(10)&amp;'Ingest Template'!L620,"Competitive View")</f>
        <v>Competitive View</v>
      </c>
      <c r="L620" s="22" t="s">
        <v>95</v>
      </c>
      <c r="M620" s="45" t="str">
        <f>'Ingest Template'!B620</f>
        <v/>
      </c>
      <c r="N620" s="35"/>
      <c r="O620" s="35"/>
      <c r="P620" s="35"/>
      <c r="Q620" s="35"/>
      <c r="R620" s="35" t="str">
        <f>'Ingest Template'!D620</f>
        <v/>
      </c>
      <c r="S620" s="22" t="s">
        <v>101</v>
      </c>
      <c r="T620" s="35" t="str">
        <f>'Ingest Template'!V620</f>
        <v/>
      </c>
      <c r="U620" s="35" t="str">
        <f>'Ingest Template'!W620</f>
        <v/>
      </c>
      <c r="V620" s="35" t="str">
        <f>LOWER(SUBSTITUTE(SUBSTITUTE(SUBSTITUTE(SUBSTITUTE(SUBSTITUTE('Ingest Template'!X620,"https:",""),"www.",""),"/",""),"?hl=en",""),"instagram.com",""))</f>
        <v/>
      </c>
      <c r="W620" s="74" t="str">
        <f t="array" ref="W620">IF(
'Ingest Template'!Y620="",
SUBSTITUTE(
INDEX(DropdownLists!$F$2:$F$277,MATCH('Ingest Template'!D620,DropdownLists!$C$2:$C$277,0)),
CHAR(10),
"|"&amp;'Ingest Template'!C620&amp;CHAR(10)
)&amp;"|"&amp;'Ingest Template'!C620,
SUBSTITUTE(
INDEX(DropdownLists!$F$2:$F$277,MATCH('Ingest Template'!D620,DropdownLists!$C$2:$C$277,0)),
CHAR(10),
"|"&amp;'Ingest Template'!C620&amp;CHAR(10)
)&amp;"|"&amp;'Ingest Template'!C620&amp;CHAR(10)&amp;'Ingest Template'!Y620
)</f>
        <v>#N/A</v>
      </c>
      <c r="X620" s="74" t="str">
        <f>'Ingest Template'!Z620</f>
        <v/>
      </c>
      <c r="Y620" s="35" t="str">
        <f>SUBSTITUTE(SUBSTITUTE(SUBSTITUTE('Ingest Template'!AA620,"http:",""),"https:",""),"/","")</f>
        <v/>
      </c>
      <c r="Z620" s="35" t="str">
        <f t="array" ref="Z620">IF('Ingest Template'!A620="Standard",(IF(ISBLANK('Ingest Template'!AB620),"", 'Ingest Template'!AB620&amp;"|DAR")),(IF(ISBLANK('Ingest Template'!AB620),"", 'Ingest Template'!AB620&amp;"|TV Ops")))</f>
        <v/>
      </c>
      <c r="AA620" s="35"/>
      <c r="AB620" s="35" t="str">
        <f>'Ingest Template'!R620</f>
        <v/>
      </c>
      <c r="AC620" s="35" t="str">
        <f>'Ingest Template'!T620</f>
        <v/>
      </c>
      <c r="AD620" s="35" t="str">
        <f>'Ingest Template'!S620</f>
        <v/>
      </c>
      <c r="AE620" s="35" t="str">
        <f>'Ingest Template'!U620</f>
        <v/>
      </c>
      <c r="AF620" s="22"/>
      <c r="AG620" s="35" t="str">
        <f t="array" ref="AG620">IF('Ingest Template'!A620="Standard",(CONCATENATE(IF(ISBLANK('Ingest Template'!N620),"", 'Ingest Template'!N620&amp;"|DAR"),CHAR(10), IF(ISBLANK('Ingest Template'!O620),"", 'Ingest Template'!O620&amp;"|DAR"),CHAR(10), IF(ISBLANK('Ingest Template'!P620),"", 'Ingest Template'!P620&amp;"|DAR"))),(CONCATENATE(IF(ISBLANK('Ingest Template'!N620),"", 'Ingest Template'!N620&amp;"|TV Ops"),CHAR(10), IF(ISBLANK('Ingest Template'!O620),"", 'Ingest Template'!O620&amp;"|TV Ops"),CHAR(10), IF(ISBLANK('Ingest Template'!P620),"", 'Ingest Template'!P620&amp;"|TV Ops"))))</f>
        <v>
</v>
      </c>
      <c r="AH620" s="35"/>
      <c r="AI620" s="35"/>
      <c r="AJ620" s="117" t="str">
        <f>if('Ingest Template'!A620="Standard",(IF(OR('Ingest Template'!F620 = "Program Type - Special", 'Ingest Template'!F620 = "Program Type - Live Event"),'Ingest Template'!M620&amp; "|DAR|DAR|"&amp;TEXT('Ingest Template'!C620-3, "yyyy-mm-dd")&amp;"|"&amp;TEXT('Ingest Template'!C620+3, "yyyy-mm-dd"),'Ingest Template'!M620&amp; "|DAR|DAR|2021-01-01")),(IF(OR('Ingest Template'!F620 = "Program Type - Special", 'Ingest Template'!F620 = "Program Type - Live Event"),'Ingest Template'!M620&amp; "|Operations - Core Title|Operations - Core Title|"&amp;TEXT('Ingest Template'!C620-3, "yyyy-mm-dd")&amp;"|"&amp;TEXT('Ingest Template'!C620+3, "yyyy-mm-dd"),'Ingest Template'!M620&amp; "|Operations - Core Title|Operations - Core Title")))</f>
        <v>|Operations - Core Title|Operations - Core Title</v>
      </c>
      <c r="AK620" s="35"/>
      <c r="AL620" s="117" t="str">
        <f>if('Ingest Template'!A620="Standard",(IF(OR('Ingest Template'!F620 = "Program Type - Special", 'Ingest Template'!F620 = "Program Type - Live Event"),'Ingest Template'!Q620&amp;"|"&amp;TEXT('Ingest Template'!C620-3, "yyyy-mm-dd")&amp;"|"&amp;TEXT('Ingest Template'!C620+3, "yyyy-mm-dd"),'Ingest Template'!Q620&amp; "|2021-01-01")),(IF(OR('Ingest Template'!F620 = "Program Type - Special", 'Ingest Template'!F620 = "Program Type - Live Event"),'Ingest Template'!Q620&amp; "|"&amp;TEXT('Ingest Template'!C620-3, "yyyy-mm-dd")&amp;"|"&amp;TEXT('Ingest Template'!C620+3, "yyyy-mm-dd"),'Ingest Template'!Q620)))</f>
        <v/>
      </c>
      <c r="AM620" s="35" t="str">
        <f>'Ingest Template'!AC620</f>
        <v/>
      </c>
    </row>
    <row r="621">
      <c r="A621" s="15"/>
      <c r="B621" s="22" t="str">
        <f>'Ingest Template'!C621&amp;IF('Ingest Template'!A621 = "Standard", " - DAR","")</f>
        <v/>
      </c>
      <c r="C621" s="22" t="s">
        <v>83</v>
      </c>
      <c r="D621" s="22" t="str">
        <f t="array" ref="D621">CONCATENATE(INDEX(DropdownLists!$H$2:$H$11,MATCH(1,COUNTIF('Ingest Template'!E621,"*"&amp;DropdownLists!$I$2:$I$11&amp;"*"),0)),CHAR(10),'Ingest Template'!F621,CHAR(10),'Ingest Template'!G621,CHAR(10),VLOOKUP('Ingest Template'!D621,DropdownLists!C:D,2,FALSE))</f>
        <v>#N/A</v>
      </c>
      <c r="E621" s="22" t="str">
        <f>CONCATENATE('Ingest Template'!H621,CHAR(10),'Ingest Template'!I621,CHAR(10),'Ingest Template'!J621,CHAR(10))</f>
        <v>
</v>
      </c>
      <c r="F621" s="35" t="str">
        <f t="array" ref="F621">INDEX(DropdownLists!$O$2:$O$36,MATCH(1,COUNTIF(E621,"*"&amp;DropdownLists!$N$2:$N$36&amp;"*"),0))</f>
        <v/>
      </c>
      <c r="G621" s="35"/>
      <c r="H621" s="22" t="str">
        <f t="array" ref="H621">INDEX(DropdownLists!$E$2:$E$276,MATCH('Ingest Template'!D621,DropdownLists!$C$2:$C$276,0))</f>
        <v>#N/A</v>
      </c>
      <c r="I621" s="22"/>
      <c r="J621" s="22" t="str">
        <f t="array" ref="J621">iF('Ingest Template'!A621="Standard","Pristine Brand",INDEX(DropdownLists!$B$2:$B$246,MATCH('Ingest Template'!D621,DropdownLists!$C$2:$C$246,0)))</f>
        <v>#N/A</v>
      </c>
      <c r="K621" s="22" t="str">
        <f>iF('Ingest Template'!A621="Standard",'Ingest Template'!K621&amp;CHAR(10)&amp;'Ingest Template'!L621,"Competitive View")</f>
        <v>Competitive View</v>
      </c>
      <c r="L621" s="22" t="s">
        <v>95</v>
      </c>
      <c r="M621" s="45" t="str">
        <f>'Ingest Template'!B621</f>
        <v/>
      </c>
      <c r="N621" s="35"/>
      <c r="O621" s="35"/>
      <c r="P621" s="35"/>
      <c r="Q621" s="35"/>
      <c r="R621" s="35" t="str">
        <f>'Ingest Template'!D621</f>
        <v/>
      </c>
      <c r="S621" s="22" t="s">
        <v>101</v>
      </c>
      <c r="T621" s="35" t="str">
        <f>'Ingest Template'!V621</f>
        <v/>
      </c>
      <c r="U621" s="35" t="str">
        <f>'Ingest Template'!W621</f>
        <v/>
      </c>
      <c r="V621" s="35" t="str">
        <f>LOWER(SUBSTITUTE(SUBSTITUTE(SUBSTITUTE(SUBSTITUTE(SUBSTITUTE('Ingest Template'!X621,"https:",""),"www.",""),"/",""),"?hl=en",""),"instagram.com",""))</f>
        <v/>
      </c>
      <c r="W621" s="74" t="str">
        <f t="array" ref="W621">IF(
'Ingest Template'!Y621="",
SUBSTITUTE(
INDEX(DropdownLists!$F$2:$F$277,MATCH('Ingest Template'!D621,DropdownLists!$C$2:$C$277,0)),
CHAR(10),
"|"&amp;'Ingest Template'!C621&amp;CHAR(10)
)&amp;"|"&amp;'Ingest Template'!C621,
SUBSTITUTE(
INDEX(DropdownLists!$F$2:$F$277,MATCH('Ingest Template'!D621,DropdownLists!$C$2:$C$277,0)),
CHAR(10),
"|"&amp;'Ingest Template'!C621&amp;CHAR(10)
)&amp;"|"&amp;'Ingest Template'!C621&amp;CHAR(10)&amp;'Ingest Template'!Y621
)</f>
        <v>#N/A</v>
      </c>
      <c r="X621" s="74" t="str">
        <f>'Ingest Template'!Z621</f>
        <v/>
      </c>
      <c r="Y621" s="35" t="str">
        <f>SUBSTITUTE(SUBSTITUTE(SUBSTITUTE('Ingest Template'!AA621,"http:",""),"https:",""),"/","")</f>
        <v/>
      </c>
      <c r="Z621" s="35" t="str">
        <f t="array" ref="Z621">IF('Ingest Template'!A621="Standard",(IF(ISBLANK('Ingest Template'!AB621),"", 'Ingest Template'!AB621&amp;"|DAR")),(IF(ISBLANK('Ingest Template'!AB621),"", 'Ingest Template'!AB621&amp;"|TV Ops")))</f>
        <v/>
      </c>
      <c r="AA621" s="35"/>
      <c r="AB621" s="35" t="str">
        <f>'Ingest Template'!R621</f>
        <v/>
      </c>
      <c r="AC621" s="35" t="str">
        <f>'Ingest Template'!T621</f>
        <v/>
      </c>
      <c r="AD621" s="35" t="str">
        <f>'Ingest Template'!S621</f>
        <v/>
      </c>
      <c r="AE621" s="35" t="str">
        <f>'Ingest Template'!U621</f>
        <v/>
      </c>
      <c r="AF621" s="22"/>
      <c r="AG621" s="35" t="str">
        <f t="array" ref="AG621">IF('Ingest Template'!A621="Standard",(CONCATENATE(IF(ISBLANK('Ingest Template'!N621),"", 'Ingest Template'!N621&amp;"|DAR"),CHAR(10), IF(ISBLANK('Ingest Template'!O621),"", 'Ingest Template'!O621&amp;"|DAR"),CHAR(10), IF(ISBLANK('Ingest Template'!P621),"", 'Ingest Template'!P621&amp;"|DAR"))),(CONCATENATE(IF(ISBLANK('Ingest Template'!N621),"", 'Ingest Template'!N621&amp;"|TV Ops"),CHAR(10), IF(ISBLANK('Ingest Template'!O621),"", 'Ingest Template'!O621&amp;"|TV Ops"),CHAR(10), IF(ISBLANK('Ingest Template'!P621),"", 'Ingest Template'!P621&amp;"|TV Ops"))))</f>
        <v>
</v>
      </c>
      <c r="AH621" s="35"/>
      <c r="AI621" s="35"/>
      <c r="AJ621" s="117" t="str">
        <f>if('Ingest Template'!A621="Standard",(IF(OR('Ingest Template'!F621 = "Program Type - Special", 'Ingest Template'!F621 = "Program Type - Live Event"),'Ingest Template'!M621&amp; "|DAR|DAR|"&amp;TEXT('Ingest Template'!C621-3, "yyyy-mm-dd")&amp;"|"&amp;TEXT('Ingest Template'!C621+3, "yyyy-mm-dd"),'Ingest Template'!M621&amp; "|DAR|DAR|2021-01-01")),(IF(OR('Ingest Template'!F621 = "Program Type - Special", 'Ingest Template'!F621 = "Program Type - Live Event"),'Ingest Template'!M621&amp; "|Operations - Core Title|Operations - Core Title|"&amp;TEXT('Ingest Template'!C621-3, "yyyy-mm-dd")&amp;"|"&amp;TEXT('Ingest Template'!C621+3, "yyyy-mm-dd"),'Ingest Template'!M621&amp; "|Operations - Core Title|Operations - Core Title")))</f>
        <v>|Operations - Core Title|Operations - Core Title</v>
      </c>
      <c r="AK621" s="35"/>
      <c r="AL621" s="117" t="str">
        <f>if('Ingest Template'!A621="Standard",(IF(OR('Ingest Template'!F621 = "Program Type - Special", 'Ingest Template'!F621 = "Program Type - Live Event"),'Ingest Template'!Q621&amp;"|"&amp;TEXT('Ingest Template'!C621-3, "yyyy-mm-dd")&amp;"|"&amp;TEXT('Ingest Template'!C621+3, "yyyy-mm-dd"),'Ingest Template'!Q621&amp; "|2021-01-01")),(IF(OR('Ingest Template'!F621 = "Program Type - Special", 'Ingest Template'!F621 = "Program Type - Live Event"),'Ingest Template'!Q621&amp; "|"&amp;TEXT('Ingest Template'!C621-3, "yyyy-mm-dd")&amp;"|"&amp;TEXT('Ingest Template'!C621+3, "yyyy-mm-dd"),'Ingest Template'!Q621)))</f>
        <v/>
      </c>
      <c r="AM621" s="35" t="str">
        <f>'Ingest Template'!AC621</f>
        <v/>
      </c>
    </row>
    <row r="622">
      <c r="A622" s="15"/>
      <c r="B622" s="22" t="str">
        <f>'Ingest Template'!C622&amp;IF('Ingest Template'!A622 = "Standard", " - DAR","")</f>
        <v/>
      </c>
      <c r="C622" s="22" t="s">
        <v>83</v>
      </c>
      <c r="D622" s="22" t="str">
        <f t="array" ref="D622">CONCATENATE(INDEX(DropdownLists!$H$2:$H$11,MATCH(1,COUNTIF('Ingest Template'!E622,"*"&amp;DropdownLists!$I$2:$I$11&amp;"*"),0)),CHAR(10),'Ingest Template'!F622,CHAR(10),'Ingest Template'!G622,CHAR(10),VLOOKUP('Ingest Template'!D622,DropdownLists!C:D,2,FALSE))</f>
        <v>#N/A</v>
      </c>
      <c r="E622" s="22" t="str">
        <f>CONCATENATE('Ingest Template'!H622,CHAR(10),'Ingest Template'!I622,CHAR(10),'Ingest Template'!J622,CHAR(10))</f>
        <v>
</v>
      </c>
      <c r="F622" s="35" t="str">
        <f t="array" ref="F622">INDEX(DropdownLists!$O$2:$O$36,MATCH(1,COUNTIF(E622,"*"&amp;DropdownLists!$N$2:$N$36&amp;"*"),0))</f>
        <v/>
      </c>
      <c r="G622" s="35"/>
      <c r="H622" s="22" t="str">
        <f t="array" ref="H622">INDEX(DropdownLists!$E$2:$E$276,MATCH('Ingest Template'!D622,DropdownLists!$C$2:$C$276,0))</f>
        <v>#N/A</v>
      </c>
      <c r="I622" s="22"/>
      <c r="J622" s="22" t="str">
        <f t="array" ref="J622">iF('Ingest Template'!A622="Standard","Pristine Brand",INDEX(DropdownLists!$B$2:$B$246,MATCH('Ingest Template'!D622,DropdownLists!$C$2:$C$246,0)))</f>
        <v>#N/A</v>
      </c>
      <c r="K622" s="22" t="str">
        <f>iF('Ingest Template'!A622="Standard",'Ingest Template'!K622&amp;CHAR(10)&amp;'Ingest Template'!L622,"Competitive View")</f>
        <v>Competitive View</v>
      </c>
      <c r="L622" s="22" t="s">
        <v>95</v>
      </c>
      <c r="M622" s="45" t="str">
        <f>'Ingest Template'!B622</f>
        <v/>
      </c>
      <c r="N622" s="35"/>
      <c r="O622" s="35"/>
      <c r="P622" s="35"/>
      <c r="Q622" s="35"/>
      <c r="R622" s="35" t="str">
        <f>'Ingest Template'!D622</f>
        <v/>
      </c>
      <c r="S622" s="22" t="s">
        <v>101</v>
      </c>
      <c r="T622" s="35" t="str">
        <f>'Ingest Template'!V622</f>
        <v/>
      </c>
      <c r="U622" s="35" t="str">
        <f>'Ingest Template'!W622</f>
        <v/>
      </c>
      <c r="V622" s="35" t="str">
        <f>LOWER(SUBSTITUTE(SUBSTITUTE(SUBSTITUTE(SUBSTITUTE(SUBSTITUTE('Ingest Template'!X622,"https:",""),"www.",""),"/",""),"?hl=en",""),"instagram.com",""))</f>
        <v/>
      </c>
      <c r="W622" s="74" t="str">
        <f t="array" ref="W622">IF(
'Ingest Template'!Y622="",
SUBSTITUTE(
INDEX(DropdownLists!$F$2:$F$277,MATCH('Ingest Template'!D622,DropdownLists!$C$2:$C$277,0)),
CHAR(10),
"|"&amp;'Ingest Template'!C622&amp;CHAR(10)
)&amp;"|"&amp;'Ingest Template'!C622,
SUBSTITUTE(
INDEX(DropdownLists!$F$2:$F$277,MATCH('Ingest Template'!D622,DropdownLists!$C$2:$C$277,0)),
CHAR(10),
"|"&amp;'Ingest Template'!C622&amp;CHAR(10)
)&amp;"|"&amp;'Ingest Template'!C622&amp;CHAR(10)&amp;'Ingest Template'!Y622
)</f>
        <v>#N/A</v>
      </c>
      <c r="X622" s="74" t="str">
        <f>'Ingest Template'!Z622</f>
        <v/>
      </c>
      <c r="Y622" s="35" t="str">
        <f>SUBSTITUTE(SUBSTITUTE(SUBSTITUTE('Ingest Template'!AA622,"http:",""),"https:",""),"/","")</f>
        <v/>
      </c>
      <c r="Z622" s="35" t="str">
        <f t="array" ref="Z622">IF('Ingest Template'!A622="Standard",(IF(ISBLANK('Ingest Template'!AB622),"", 'Ingest Template'!AB622&amp;"|DAR")),(IF(ISBLANK('Ingest Template'!AB622),"", 'Ingest Template'!AB622&amp;"|TV Ops")))</f>
        <v/>
      </c>
      <c r="AA622" s="35"/>
      <c r="AB622" s="35" t="str">
        <f>'Ingest Template'!R622</f>
        <v/>
      </c>
      <c r="AC622" s="35" t="str">
        <f>'Ingest Template'!T622</f>
        <v/>
      </c>
      <c r="AD622" s="35" t="str">
        <f>'Ingest Template'!S622</f>
        <v/>
      </c>
      <c r="AE622" s="35" t="str">
        <f>'Ingest Template'!U622</f>
        <v/>
      </c>
      <c r="AF622" s="22"/>
      <c r="AG622" s="35" t="str">
        <f t="array" ref="AG622">IF('Ingest Template'!A622="Standard",(CONCATENATE(IF(ISBLANK('Ingest Template'!N622),"", 'Ingest Template'!N622&amp;"|DAR"),CHAR(10), IF(ISBLANK('Ingest Template'!O622),"", 'Ingest Template'!O622&amp;"|DAR"),CHAR(10), IF(ISBLANK('Ingest Template'!P622),"", 'Ingest Template'!P622&amp;"|DAR"))),(CONCATENATE(IF(ISBLANK('Ingest Template'!N622),"", 'Ingest Template'!N622&amp;"|TV Ops"),CHAR(10), IF(ISBLANK('Ingest Template'!O622),"", 'Ingest Template'!O622&amp;"|TV Ops"),CHAR(10), IF(ISBLANK('Ingest Template'!P622),"", 'Ingest Template'!P622&amp;"|TV Ops"))))</f>
        <v>
</v>
      </c>
      <c r="AH622" s="35"/>
      <c r="AI622" s="35"/>
      <c r="AJ622" s="117" t="str">
        <f>if('Ingest Template'!A622="Standard",(IF(OR('Ingest Template'!F622 = "Program Type - Special", 'Ingest Template'!F622 = "Program Type - Live Event"),'Ingest Template'!M622&amp; "|DAR|DAR|"&amp;TEXT('Ingest Template'!C622-3, "yyyy-mm-dd")&amp;"|"&amp;TEXT('Ingest Template'!C622+3, "yyyy-mm-dd"),'Ingest Template'!M622&amp; "|DAR|DAR|2021-01-01")),(IF(OR('Ingest Template'!F622 = "Program Type - Special", 'Ingest Template'!F622 = "Program Type - Live Event"),'Ingest Template'!M622&amp; "|Operations - Core Title|Operations - Core Title|"&amp;TEXT('Ingest Template'!C622-3, "yyyy-mm-dd")&amp;"|"&amp;TEXT('Ingest Template'!C622+3, "yyyy-mm-dd"),'Ingest Template'!M622&amp; "|Operations - Core Title|Operations - Core Title")))</f>
        <v>|Operations - Core Title|Operations - Core Title</v>
      </c>
      <c r="AK622" s="35"/>
      <c r="AL622" s="117" t="str">
        <f>if('Ingest Template'!A622="Standard",(IF(OR('Ingest Template'!F622 = "Program Type - Special", 'Ingest Template'!F622 = "Program Type - Live Event"),'Ingest Template'!Q622&amp;"|"&amp;TEXT('Ingest Template'!C622-3, "yyyy-mm-dd")&amp;"|"&amp;TEXT('Ingest Template'!C622+3, "yyyy-mm-dd"),'Ingest Template'!Q622&amp; "|2021-01-01")),(IF(OR('Ingest Template'!F622 = "Program Type - Special", 'Ingest Template'!F622 = "Program Type - Live Event"),'Ingest Template'!Q622&amp; "|"&amp;TEXT('Ingest Template'!C622-3, "yyyy-mm-dd")&amp;"|"&amp;TEXT('Ingest Template'!C622+3, "yyyy-mm-dd"),'Ingest Template'!Q622)))</f>
        <v/>
      </c>
      <c r="AM622" s="35" t="str">
        <f>'Ingest Template'!AC622</f>
        <v/>
      </c>
    </row>
    <row r="623">
      <c r="A623" s="15"/>
      <c r="B623" s="22" t="str">
        <f>'Ingest Template'!C623&amp;IF('Ingest Template'!A623 = "Standard", " - DAR","")</f>
        <v/>
      </c>
      <c r="C623" s="22" t="s">
        <v>83</v>
      </c>
      <c r="D623" s="22" t="str">
        <f t="array" ref="D623">CONCATENATE(INDEX(DropdownLists!$H$2:$H$11,MATCH(1,COUNTIF('Ingest Template'!E623,"*"&amp;DropdownLists!$I$2:$I$11&amp;"*"),0)),CHAR(10),'Ingest Template'!F623,CHAR(10),'Ingest Template'!G623,CHAR(10),VLOOKUP('Ingest Template'!D623,DropdownLists!C:D,2,FALSE))</f>
        <v>#N/A</v>
      </c>
      <c r="E623" s="22" t="str">
        <f>CONCATENATE('Ingest Template'!H623,CHAR(10),'Ingest Template'!I623,CHAR(10),'Ingest Template'!J623,CHAR(10))</f>
        <v>
</v>
      </c>
      <c r="F623" s="35" t="str">
        <f t="array" ref="F623">INDEX(DropdownLists!$O$2:$O$36,MATCH(1,COUNTIF(E623,"*"&amp;DropdownLists!$N$2:$N$36&amp;"*"),0))</f>
        <v/>
      </c>
      <c r="G623" s="35"/>
      <c r="H623" s="22" t="str">
        <f t="array" ref="H623">INDEX(DropdownLists!$E$2:$E$276,MATCH('Ingest Template'!D623,DropdownLists!$C$2:$C$276,0))</f>
        <v>#N/A</v>
      </c>
      <c r="I623" s="22"/>
      <c r="J623" s="22" t="str">
        <f t="array" ref="J623">iF('Ingest Template'!A623="Standard","Pristine Brand",INDEX(DropdownLists!$B$2:$B$246,MATCH('Ingest Template'!D623,DropdownLists!$C$2:$C$246,0)))</f>
        <v>#N/A</v>
      </c>
      <c r="K623" s="22" t="str">
        <f>iF('Ingest Template'!A623="Standard",'Ingest Template'!K623&amp;CHAR(10)&amp;'Ingest Template'!L623,"Competitive View")</f>
        <v>Competitive View</v>
      </c>
      <c r="L623" s="22" t="s">
        <v>95</v>
      </c>
      <c r="M623" s="45" t="str">
        <f>'Ingest Template'!B623</f>
        <v/>
      </c>
      <c r="N623" s="35"/>
      <c r="O623" s="35"/>
      <c r="P623" s="35"/>
      <c r="Q623" s="35"/>
      <c r="R623" s="35" t="str">
        <f>'Ingest Template'!D623</f>
        <v/>
      </c>
      <c r="S623" s="22" t="s">
        <v>101</v>
      </c>
      <c r="T623" s="35" t="str">
        <f>'Ingest Template'!V623</f>
        <v/>
      </c>
      <c r="U623" s="35" t="str">
        <f>'Ingest Template'!W623</f>
        <v/>
      </c>
      <c r="V623" s="35" t="str">
        <f>LOWER(SUBSTITUTE(SUBSTITUTE(SUBSTITUTE(SUBSTITUTE(SUBSTITUTE('Ingest Template'!X623,"https:",""),"www.",""),"/",""),"?hl=en",""),"instagram.com",""))</f>
        <v/>
      </c>
      <c r="W623" s="74" t="str">
        <f t="array" ref="W623">IF(
'Ingest Template'!Y623="",
SUBSTITUTE(
INDEX(DropdownLists!$F$2:$F$277,MATCH('Ingest Template'!D623,DropdownLists!$C$2:$C$277,0)),
CHAR(10),
"|"&amp;'Ingest Template'!C623&amp;CHAR(10)
)&amp;"|"&amp;'Ingest Template'!C623,
SUBSTITUTE(
INDEX(DropdownLists!$F$2:$F$277,MATCH('Ingest Template'!D623,DropdownLists!$C$2:$C$277,0)),
CHAR(10),
"|"&amp;'Ingest Template'!C623&amp;CHAR(10)
)&amp;"|"&amp;'Ingest Template'!C623&amp;CHAR(10)&amp;'Ingest Template'!Y623
)</f>
        <v>#N/A</v>
      </c>
      <c r="X623" s="74" t="str">
        <f>'Ingest Template'!Z623</f>
        <v/>
      </c>
      <c r="Y623" s="35" t="str">
        <f>SUBSTITUTE(SUBSTITUTE(SUBSTITUTE('Ingest Template'!AA623,"http:",""),"https:",""),"/","")</f>
        <v/>
      </c>
      <c r="Z623" s="35" t="str">
        <f t="array" ref="Z623">IF('Ingest Template'!A623="Standard",(IF(ISBLANK('Ingest Template'!AB623),"", 'Ingest Template'!AB623&amp;"|DAR")),(IF(ISBLANK('Ingest Template'!AB623),"", 'Ingest Template'!AB623&amp;"|TV Ops")))</f>
        <v/>
      </c>
      <c r="AA623" s="35"/>
      <c r="AB623" s="35" t="str">
        <f>'Ingest Template'!R623</f>
        <v/>
      </c>
      <c r="AC623" s="35" t="str">
        <f>'Ingest Template'!T623</f>
        <v/>
      </c>
      <c r="AD623" s="35" t="str">
        <f>'Ingest Template'!S623</f>
        <v/>
      </c>
      <c r="AE623" s="35" t="str">
        <f>'Ingest Template'!U623</f>
        <v/>
      </c>
      <c r="AF623" s="22"/>
      <c r="AG623" s="35" t="str">
        <f t="array" ref="AG623">IF('Ingest Template'!A623="Standard",(CONCATENATE(IF(ISBLANK('Ingest Template'!N623),"", 'Ingest Template'!N623&amp;"|DAR"),CHAR(10), IF(ISBLANK('Ingest Template'!O623),"", 'Ingest Template'!O623&amp;"|DAR"),CHAR(10), IF(ISBLANK('Ingest Template'!P623),"", 'Ingest Template'!P623&amp;"|DAR"))),(CONCATENATE(IF(ISBLANK('Ingest Template'!N623),"", 'Ingest Template'!N623&amp;"|TV Ops"),CHAR(10), IF(ISBLANK('Ingest Template'!O623),"", 'Ingest Template'!O623&amp;"|TV Ops"),CHAR(10), IF(ISBLANK('Ingest Template'!P623),"", 'Ingest Template'!P623&amp;"|TV Ops"))))</f>
        <v>
</v>
      </c>
      <c r="AH623" s="35"/>
      <c r="AI623" s="35"/>
      <c r="AJ623" s="117" t="str">
        <f>if('Ingest Template'!A623="Standard",(IF(OR('Ingest Template'!F623 = "Program Type - Special", 'Ingest Template'!F623 = "Program Type - Live Event"),'Ingest Template'!M623&amp; "|DAR|DAR|"&amp;TEXT('Ingest Template'!C623-3, "yyyy-mm-dd")&amp;"|"&amp;TEXT('Ingest Template'!C623+3, "yyyy-mm-dd"),'Ingest Template'!M623&amp; "|DAR|DAR|2021-01-01")),(IF(OR('Ingest Template'!F623 = "Program Type - Special", 'Ingest Template'!F623 = "Program Type - Live Event"),'Ingest Template'!M623&amp; "|Operations - Core Title|Operations - Core Title|"&amp;TEXT('Ingest Template'!C623-3, "yyyy-mm-dd")&amp;"|"&amp;TEXT('Ingest Template'!C623+3, "yyyy-mm-dd"),'Ingest Template'!M623&amp; "|Operations - Core Title|Operations - Core Title")))</f>
        <v>|Operations - Core Title|Operations - Core Title</v>
      </c>
      <c r="AK623" s="35"/>
      <c r="AL623" s="117" t="str">
        <f>if('Ingest Template'!A623="Standard",(IF(OR('Ingest Template'!F623 = "Program Type - Special", 'Ingest Template'!F623 = "Program Type - Live Event"),'Ingest Template'!Q623&amp;"|"&amp;TEXT('Ingest Template'!C623-3, "yyyy-mm-dd")&amp;"|"&amp;TEXT('Ingest Template'!C623+3, "yyyy-mm-dd"),'Ingest Template'!Q623&amp; "|2021-01-01")),(IF(OR('Ingest Template'!F623 = "Program Type - Special", 'Ingest Template'!F623 = "Program Type - Live Event"),'Ingest Template'!Q623&amp; "|"&amp;TEXT('Ingest Template'!C623-3, "yyyy-mm-dd")&amp;"|"&amp;TEXT('Ingest Template'!C623+3, "yyyy-mm-dd"),'Ingest Template'!Q623)))</f>
        <v/>
      </c>
      <c r="AM623" s="35" t="str">
        <f>'Ingest Template'!AC623</f>
        <v/>
      </c>
    </row>
    <row r="624">
      <c r="A624" s="15"/>
      <c r="B624" s="22" t="str">
        <f>'Ingest Template'!C624&amp;IF('Ingest Template'!A624 = "Standard", " - DAR","")</f>
        <v/>
      </c>
      <c r="C624" s="22" t="s">
        <v>83</v>
      </c>
      <c r="D624" s="22" t="str">
        <f t="array" ref="D624">CONCATENATE(INDEX(DropdownLists!$H$2:$H$11,MATCH(1,COUNTIF('Ingest Template'!E624,"*"&amp;DropdownLists!$I$2:$I$11&amp;"*"),0)),CHAR(10),'Ingest Template'!F624,CHAR(10),'Ingest Template'!G624,CHAR(10),VLOOKUP('Ingest Template'!D624,DropdownLists!C:D,2,FALSE))</f>
        <v>#N/A</v>
      </c>
      <c r="E624" s="22" t="str">
        <f>CONCATENATE('Ingest Template'!H624,CHAR(10),'Ingest Template'!I624,CHAR(10),'Ingest Template'!J624,CHAR(10))</f>
        <v>
</v>
      </c>
      <c r="F624" s="35" t="str">
        <f t="array" ref="F624">INDEX(DropdownLists!$O$2:$O$36,MATCH(1,COUNTIF(E624,"*"&amp;DropdownLists!$N$2:$N$36&amp;"*"),0))</f>
        <v/>
      </c>
      <c r="G624" s="35"/>
      <c r="H624" s="22" t="str">
        <f t="array" ref="H624">INDEX(DropdownLists!$E$2:$E$276,MATCH('Ingest Template'!D624,DropdownLists!$C$2:$C$276,0))</f>
        <v>#N/A</v>
      </c>
      <c r="I624" s="22"/>
      <c r="J624" s="22" t="str">
        <f t="array" ref="J624">iF('Ingest Template'!A624="Standard","Pristine Brand",INDEX(DropdownLists!$B$2:$B$246,MATCH('Ingest Template'!D624,DropdownLists!$C$2:$C$246,0)))</f>
        <v>#N/A</v>
      </c>
      <c r="K624" s="22" t="str">
        <f>iF('Ingest Template'!A624="Standard",'Ingest Template'!K624&amp;CHAR(10)&amp;'Ingest Template'!L624,"Competitive View")</f>
        <v>Competitive View</v>
      </c>
      <c r="L624" s="22" t="s">
        <v>95</v>
      </c>
      <c r="M624" s="45" t="str">
        <f>'Ingest Template'!B624</f>
        <v/>
      </c>
      <c r="N624" s="35"/>
      <c r="O624" s="35"/>
      <c r="P624" s="35"/>
      <c r="Q624" s="35"/>
      <c r="R624" s="35" t="str">
        <f>'Ingest Template'!D624</f>
        <v/>
      </c>
      <c r="S624" s="22" t="s">
        <v>101</v>
      </c>
      <c r="T624" s="35" t="str">
        <f>'Ingest Template'!V624</f>
        <v/>
      </c>
      <c r="U624" s="35" t="str">
        <f>'Ingest Template'!W624</f>
        <v/>
      </c>
      <c r="V624" s="35" t="str">
        <f>LOWER(SUBSTITUTE(SUBSTITUTE(SUBSTITUTE(SUBSTITUTE(SUBSTITUTE('Ingest Template'!X624,"https:",""),"www.",""),"/",""),"?hl=en",""),"instagram.com",""))</f>
        <v/>
      </c>
      <c r="W624" s="74" t="str">
        <f t="array" ref="W624">IF(
'Ingest Template'!Y624="",
SUBSTITUTE(
INDEX(DropdownLists!$F$2:$F$277,MATCH('Ingest Template'!D624,DropdownLists!$C$2:$C$277,0)),
CHAR(10),
"|"&amp;'Ingest Template'!C624&amp;CHAR(10)
)&amp;"|"&amp;'Ingest Template'!C624,
SUBSTITUTE(
INDEX(DropdownLists!$F$2:$F$277,MATCH('Ingest Template'!D624,DropdownLists!$C$2:$C$277,0)),
CHAR(10),
"|"&amp;'Ingest Template'!C624&amp;CHAR(10)
)&amp;"|"&amp;'Ingest Template'!C624&amp;CHAR(10)&amp;'Ingest Template'!Y624
)</f>
        <v>#N/A</v>
      </c>
      <c r="X624" s="74" t="str">
        <f>'Ingest Template'!Z624</f>
        <v/>
      </c>
      <c r="Y624" s="35" t="str">
        <f>SUBSTITUTE(SUBSTITUTE(SUBSTITUTE('Ingest Template'!AA624,"http:",""),"https:",""),"/","")</f>
        <v/>
      </c>
      <c r="Z624" s="35" t="str">
        <f t="array" ref="Z624">IF('Ingest Template'!A624="Standard",(IF(ISBLANK('Ingest Template'!AB624),"", 'Ingest Template'!AB624&amp;"|DAR")),(IF(ISBLANK('Ingest Template'!AB624),"", 'Ingest Template'!AB624&amp;"|TV Ops")))</f>
        <v/>
      </c>
      <c r="AA624" s="35"/>
      <c r="AB624" s="35" t="str">
        <f>'Ingest Template'!R624</f>
        <v/>
      </c>
      <c r="AC624" s="35" t="str">
        <f>'Ingest Template'!T624</f>
        <v/>
      </c>
      <c r="AD624" s="35" t="str">
        <f>'Ingest Template'!S624</f>
        <v/>
      </c>
      <c r="AE624" s="35" t="str">
        <f>'Ingest Template'!U624</f>
        <v/>
      </c>
      <c r="AF624" s="22"/>
      <c r="AG624" s="35" t="str">
        <f t="array" ref="AG624">IF('Ingest Template'!A624="Standard",(CONCATENATE(IF(ISBLANK('Ingest Template'!N624),"", 'Ingest Template'!N624&amp;"|DAR"),CHAR(10), IF(ISBLANK('Ingest Template'!O624),"", 'Ingest Template'!O624&amp;"|DAR"),CHAR(10), IF(ISBLANK('Ingest Template'!P624),"", 'Ingest Template'!P624&amp;"|DAR"))),(CONCATENATE(IF(ISBLANK('Ingest Template'!N624),"", 'Ingest Template'!N624&amp;"|TV Ops"),CHAR(10), IF(ISBLANK('Ingest Template'!O624),"", 'Ingest Template'!O624&amp;"|TV Ops"),CHAR(10), IF(ISBLANK('Ingest Template'!P624),"", 'Ingest Template'!P624&amp;"|TV Ops"))))</f>
        <v>
</v>
      </c>
      <c r="AH624" s="35"/>
      <c r="AI624" s="35"/>
      <c r="AJ624" s="117" t="str">
        <f>if('Ingest Template'!A624="Standard",(IF(OR('Ingest Template'!F624 = "Program Type - Special", 'Ingest Template'!F624 = "Program Type - Live Event"),'Ingest Template'!M624&amp; "|DAR|DAR|"&amp;TEXT('Ingest Template'!C624-3, "yyyy-mm-dd")&amp;"|"&amp;TEXT('Ingest Template'!C624+3, "yyyy-mm-dd"),'Ingest Template'!M624&amp; "|DAR|DAR|2021-01-01")),(IF(OR('Ingest Template'!F624 = "Program Type - Special", 'Ingest Template'!F624 = "Program Type - Live Event"),'Ingest Template'!M624&amp; "|Operations - Core Title|Operations - Core Title|"&amp;TEXT('Ingest Template'!C624-3, "yyyy-mm-dd")&amp;"|"&amp;TEXT('Ingest Template'!C624+3, "yyyy-mm-dd"),'Ingest Template'!M624&amp; "|Operations - Core Title|Operations - Core Title")))</f>
        <v>|Operations - Core Title|Operations - Core Title</v>
      </c>
      <c r="AK624" s="35"/>
      <c r="AL624" s="117" t="str">
        <f>if('Ingest Template'!A624="Standard",(IF(OR('Ingest Template'!F624 = "Program Type - Special", 'Ingest Template'!F624 = "Program Type - Live Event"),'Ingest Template'!Q624&amp;"|"&amp;TEXT('Ingest Template'!C624-3, "yyyy-mm-dd")&amp;"|"&amp;TEXT('Ingest Template'!C624+3, "yyyy-mm-dd"),'Ingest Template'!Q624&amp; "|2021-01-01")),(IF(OR('Ingest Template'!F624 = "Program Type - Special", 'Ingest Template'!F624 = "Program Type - Live Event"),'Ingest Template'!Q624&amp; "|"&amp;TEXT('Ingest Template'!C624-3, "yyyy-mm-dd")&amp;"|"&amp;TEXT('Ingest Template'!C624+3, "yyyy-mm-dd"),'Ingest Template'!Q624)))</f>
        <v/>
      </c>
      <c r="AM624" s="35" t="str">
        <f>'Ingest Template'!AC624</f>
        <v/>
      </c>
    </row>
    <row r="625">
      <c r="A625" s="15"/>
      <c r="B625" s="22" t="str">
        <f>'Ingest Template'!C625&amp;IF('Ingest Template'!A625 = "Standard", " - DAR","")</f>
        <v/>
      </c>
      <c r="C625" s="22" t="s">
        <v>83</v>
      </c>
      <c r="D625" s="22" t="str">
        <f t="array" ref="D625">CONCATENATE(INDEX(DropdownLists!$H$2:$H$11,MATCH(1,COUNTIF('Ingest Template'!E625,"*"&amp;DropdownLists!$I$2:$I$11&amp;"*"),0)),CHAR(10),'Ingest Template'!F625,CHAR(10),'Ingest Template'!G625,CHAR(10),VLOOKUP('Ingest Template'!D625,DropdownLists!C:D,2,FALSE))</f>
        <v>#N/A</v>
      </c>
      <c r="E625" s="22" t="str">
        <f>CONCATENATE('Ingest Template'!H625,CHAR(10),'Ingest Template'!I625,CHAR(10),'Ingest Template'!J625,CHAR(10))</f>
        <v>
</v>
      </c>
      <c r="F625" s="35" t="str">
        <f t="array" ref="F625">INDEX(DropdownLists!$O$2:$O$36,MATCH(1,COUNTIF(E625,"*"&amp;DropdownLists!$N$2:$N$36&amp;"*"),0))</f>
        <v/>
      </c>
      <c r="G625" s="35"/>
      <c r="H625" s="22" t="str">
        <f t="array" ref="H625">INDEX(DropdownLists!$E$2:$E$276,MATCH('Ingest Template'!D625,DropdownLists!$C$2:$C$276,0))</f>
        <v>#N/A</v>
      </c>
      <c r="I625" s="22"/>
      <c r="J625" s="22" t="str">
        <f t="array" ref="J625">iF('Ingest Template'!A625="Standard","Pristine Brand",INDEX(DropdownLists!$B$2:$B$246,MATCH('Ingest Template'!D625,DropdownLists!$C$2:$C$246,0)))</f>
        <v>#N/A</v>
      </c>
      <c r="K625" s="22" t="str">
        <f>iF('Ingest Template'!A625="Standard",'Ingest Template'!K625&amp;CHAR(10)&amp;'Ingest Template'!L625,"Competitive View")</f>
        <v>Competitive View</v>
      </c>
      <c r="L625" s="22" t="s">
        <v>95</v>
      </c>
      <c r="M625" s="45" t="str">
        <f>'Ingest Template'!B625</f>
        <v/>
      </c>
      <c r="N625" s="35"/>
      <c r="O625" s="35"/>
      <c r="P625" s="35"/>
      <c r="Q625" s="35"/>
      <c r="R625" s="35" t="str">
        <f>'Ingest Template'!D625</f>
        <v/>
      </c>
      <c r="S625" s="22" t="s">
        <v>101</v>
      </c>
      <c r="T625" s="35" t="str">
        <f>'Ingest Template'!V625</f>
        <v/>
      </c>
      <c r="U625" s="35" t="str">
        <f>'Ingest Template'!W625</f>
        <v/>
      </c>
      <c r="V625" s="35" t="str">
        <f>LOWER(SUBSTITUTE(SUBSTITUTE(SUBSTITUTE(SUBSTITUTE(SUBSTITUTE('Ingest Template'!X625,"https:",""),"www.",""),"/",""),"?hl=en",""),"instagram.com",""))</f>
        <v/>
      </c>
      <c r="W625" s="74" t="str">
        <f t="array" ref="W625">IF(
'Ingest Template'!Y625="",
SUBSTITUTE(
INDEX(DropdownLists!$F$2:$F$277,MATCH('Ingest Template'!D625,DropdownLists!$C$2:$C$277,0)),
CHAR(10),
"|"&amp;'Ingest Template'!C625&amp;CHAR(10)
)&amp;"|"&amp;'Ingest Template'!C625,
SUBSTITUTE(
INDEX(DropdownLists!$F$2:$F$277,MATCH('Ingest Template'!D625,DropdownLists!$C$2:$C$277,0)),
CHAR(10),
"|"&amp;'Ingest Template'!C625&amp;CHAR(10)
)&amp;"|"&amp;'Ingest Template'!C625&amp;CHAR(10)&amp;'Ingest Template'!Y625
)</f>
        <v>#N/A</v>
      </c>
      <c r="X625" s="74" t="str">
        <f>'Ingest Template'!Z625</f>
        <v/>
      </c>
      <c r="Y625" s="35" t="str">
        <f>SUBSTITUTE(SUBSTITUTE(SUBSTITUTE('Ingest Template'!AA625,"http:",""),"https:",""),"/","")</f>
        <v/>
      </c>
      <c r="Z625" s="35" t="str">
        <f t="array" ref="Z625">IF('Ingest Template'!A625="Standard",(IF(ISBLANK('Ingest Template'!AB625),"", 'Ingest Template'!AB625&amp;"|DAR")),(IF(ISBLANK('Ingest Template'!AB625),"", 'Ingest Template'!AB625&amp;"|TV Ops")))</f>
        <v/>
      </c>
      <c r="AA625" s="35"/>
      <c r="AB625" s="35" t="str">
        <f>'Ingest Template'!R625</f>
        <v/>
      </c>
      <c r="AC625" s="35" t="str">
        <f>'Ingest Template'!T625</f>
        <v/>
      </c>
      <c r="AD625" s="35" t="str">
        <f>'Ingest Template'!S625</f>
        <v/>
      </c>
      <c r="AE625" s="35" t="str">
        <f>'Ingest Template'!U625</f>
        <v/>
      </c>
      <c r="AF625" s="22"/>
      <c r="AG625" s="35" t="str">
        <f t="array" ref="AG625">IF('Ingest Template'!A625="Standard",(CONCATENATE(IF(ISBLANK('Ingest Template'!N625),"", 'Ingest Template'!N625&amp;"|DAR"),CHAR(10), IF(ISBLANK('Ingest Template'!O625),"", 'Ingest Template'!O625&amp;"|DAR"),CHAR(10), IF(ISBLANK('Ingest Template'!P625),"", 'Ingest Template'!P625&amp;"|DAR"))),(CONCATENATE(IF(ISBLANK('Ingest Template'!N625),"", 'Ingest Template'!N625&amp;"|TV Ops"),CHAR(10), IF(ISBLANK('Ingest Template'!O625),"", 'Ingest Template'!O625&amp;"|TV Ops"),CHAR(10), IF(ISBLANK('Ingest Template'!P625),"", 'Ingest Template'!P625&amp;"|TV Ops"))))</f>
        <v>
</v>
      </c>
      <c r="AH625" s="35"/>
      <c r="AI625" s="35"/>
      <c r="AJ625" s="117" t="str">
        <f>if('Ingest Template'!A625="Standard",(IF(OR('Ingest Template'!F625 = "Program Type - Special", 'Ingest Template'!F625 = "Program Type - Live Event"),'Ingest Template'!M625&amp; "|DAR|DAR|"&amp;TEXT('Ingest Template'!C625-3, "yyyy-mm-dd")&amp;"|"&amp;TEXT('Ingest Template'!C625+3, "yyyy-mm-dd"),'Ingest Template'!M625&amp; "|DAR|DAR|2021-01-01")),(IF(OR('Ingest Template'!F625 = "Program Type - Special", 'Ingest Template'!F625 = "Program Type - Live Event"),'Ingest Template'!M625&amp; "|Operations - Core Title|Operations - Core Title|"&amp;TEXT('Ingest Template'!C625-3, "yyyy-mm-dd")&amp;"|"&amp;TEXT('Ingest Template'!C625+3, "yyyy-mm-dd"),'Ingest Template'!M625&amp; "|Operations - Core Title|Operations - Core Title")))</f>
        <v>|Operations - Core Title|Operations - Core Title</v>
      </c>
      <c r="AK625" s="35"/>
      <c r="AL625" s="117" t="str">
        <f>if('Ingest Template'!A625="Standard",(IF(OR('Ingest Template'!F625 = "Program Type - Special", 'Ingest Template'!F625 = "Program Type - Live Event"),'Ingest Template'!Q625&amp;"|"&amp;TEXT('Ingest Template'!C625-3, "yyyy-mm-dd")&amp;"|"&amp;TEXT('Ingest Template'!C625+3, "yyyy-mm-dd"),'Ingest Template'!Q625&amp; "|2021-01-01")),(IF(OR('Ingest Template'!F625 = "Program Type - Special", 'Ingest Template'!F625 = "Program Type - Live Event"),'Ingest Template'!Q625&amp; "|"&amp;TEXT('Ingest Template'!C625-3, "yyyy-mm-dd")&amp;"|"&amp;TEXT('Ingest Template'!C625+3, "yyyy-mm-dd"),'Ingest Template'!Q625)))</f>
        <v/>
      </c>
      <c r="AM625" s="35" t="str">
        <f>'Ingest Template'!AC625</f>
        <v/>
      </c>
    </row>
    <row r="626">
      <c r="A626" s="15"/>
      <c r="B626" s="22" t="str">
        <f>'Ingest Template'!C626&amp;IF('Ingest Template'!A626 = "Standard", " - DAR","")</f>
        <v/>
      </c>
      <c r="C626" s="22" t="s">
        <v>83</v>
      </c>
      <c r="D626" s="22" t="str">
        <f t="array" ref="D626">CONCATENATE(INDEX(DropdownLists!$H$2:$H$11,MATCH(1,COUNTIF('Ingest Template'!E626,"*"&amp;DropdownLists!$I$2:$I$11&amp;"*"),0)),CHAR(10),'Ingest Template'!F626,CHAR(10),'Ingest Template'!G626,CHAR(10),VLOOKUP('Ingest Template'!D626,DropdownLists!C:D,2,FALSE))</f>
        <v>#N/A</v>
      </c>
      <c r="E626" s="22" t="str">
        <f>CONCATENATE('Ingest Template'!H626,CHAR(10),'Ingest Template'!I626,CHAR(10),'Ingest Template'!J626,CHAR(10))</f>
        <v>
</v>
      </c>
      <c r="F626" s="35" t="str">
        <f t="array" ref="F626">INDEX(DropdownLists!$O$2:$O$36,MATCH(1,COUNTIF(E626,"*"&amp;DropdownLists!$N$2:$N$36&amp;"*"),0))</f>
        <v/>
      </c>
      <c r="G626" s="35"/>
      <c r="H626" s="22" t="str">
        <f t="array" ref="H626">INDEX(DropdownLists!$E$2:$E$276,MATCH('Ingest Template'!D626,DropdownLists!$C$2:$C$276,0))</f>
        <v>#N/A</v>
      </c>
      <c r="I626" s="22"/>
      <c r="J626" s="22" t="str">
        <f t="array" ref="J626">iF('Ingest Template'!A626="Standard","Pristine Brand",INDEX(DropdownLists!$B$2:$B$246,MATCH('Ingest Template'!D626,DropdownLists!$C$2:$C$246,0)))</f>
        <v>#N/A</v>
      </c>
      <c r="K626" s="22" t="str">
        <f>iF('Ingest Template'!A626="Standard",'Ingest Template'!K626&amp;CHAR(10)&amp;'Ingest Template'!L626,"Competitive View")</f>
        <v>Competitive View</v>
      </c>
      <c r="L626" s="22" t="s">
        <v>95</v>
      </c>
      <c r="M626" s="45" t="str">
        <f>'Ingest Template'!B626</f>
        <v/>
      </c>
      <c r="N626" s="35"/>
      <c r="O626" s="35"/>
      <c r="P626" s="35"/>
      <c r="Q626" s="35"/>
      <c r="R626" s="35" t="str">
        <f>'Ingest Template'!D626</f>
        <v/>
      </c>
      <c r="S626" s="22" t="s">
        <v>101</v>
      </c>
      <c r="T626" s="35" t="str">
        <f>'Ingest Template'!V626</f>
        <v/>
      </c>
      <c r="U626" s="35" t="str">
        <f>'Ingest Template'!W626</f>
        <v/>
      </c>
      <c r="V626" s="35" t="str">
        <f>LOWER(SUBSTITUTE(SUBSTITUTE(SUBSTITUTE(SUBSTITUTE(SUBSTITUTE('Ingest Template'!X626,"https:",""),"www.",""),"/",""),"?hl=en",""),"instagram.com",""))</f>
        <v/>
      </c>
      <c r="W626" s="74" t="str">
        <f t="array" ref="W626">IF(
'Ingest Template'!Y626="",
SUBSTITUTE(
INDEX(DropdownLists!$F$2:$F$277,MATCH('Ingest Template'!D626,DropdownLists!$C$2:$C$277,0)),
CHAR(10),
"|"&amp;'Ingest Template'!C626&amp;CHAR(10)
)&amp;"|"&amp;'Ingest Template'!C626,
SUBSTITUTE(
INDEX(DropdownLists!$F$2:$F$277,MATCH('Ingest Template'!D626,DropdownLists!$C$2:$C$277,0)),
CHAR(10),
"|"&amp;'Ingest Template'!C626&amp;CHAR(10)
)&amp;"|"&amp;'Ingest Template'!C626&amp;CHAR(10)&amp;'Ingest Template'!Y626
)</f>
        <v>#N/A</v>
      </c>
      <c r="X626" s="74" t="str">
        <f>'Ingest Template'!Z626</f>
        <v/>
      </c>
      <c r="Y626" s="35" t="str">
        <f>SUBSTITUTE(SUBSTITUTE(SUBSTITUTE('Ingest Template'!AA626,"http:",""),"https:",""),"/","")</f>
        <v/>
      </c>
      <c r="Z626" s="35" t="str">
        <f t="array" ref="Z626">IF('Ingest Template'!A626="Standard",(IF(ISBLANK('Ingest Template'!AB626),"", 'Ingest Template'!AB626&amp;"|DAR")),(IF(ISBLANK('Ingest Template'!AB626),"", 'Ingest Template'!AB626&amp;"|TV Ops")))</f>
        <v/>
      </c>
      <c r="AA626" s="35"/>
      <c r="AB626" s="35" t="str">
        <f>'Ingest Template'!R626</f>
        <v/>
      </c>
      <c r="AC626" s="35" t="str">
        <f>'Ingest Template'!T626</f>
        <v/>
      </c>
      <c r="AD626" s="35" t="str">
        <f>'Ingest Template'!S626</f>
        <v/>
      </c>
      <c r="AE626" s="35" t="str">
        <f>'Ingest Template'!U626</f>
        <v/>
      </c>
      <c r="AF626" s="22"/>
      <c r="AG626" s="35" t="str">
        <f t="array" ref="AG626">IF('Ingest Template'!A626="Standard",(CONCATENATE(IF(ISBLANK('Ingest Template'!N626),"", 'Ingest Template'!N626&amp;"|DAR"),CHAR(10), IF(ISBLANK('Ingest Template'!O626),"", 'Ingest Template'!O626&amp;"|DAR"),CHAR(10), IF(ISBLANK('Ingest Template'!P626),"", 'Ingest Template'!P626&amp;"|DAR"))),(CONCATENATE(IF(ISBLANK('Ingest Template'!N626),"", 'Ingest Template'!N626&amp;"|TV Ops"),CHAR(10), IF(ISBLANK('Ingest Template'!O626),"", 'Ingest Template'!O626&amp;"|TV Ops"),CHAR(10), IF(ISBLANK('Ingest Template'!P626),"", 'Ingest Template'!P626&amp;"|TV Ops"))))</f>
        <v>
</v>
      </c>
      <c r="AH626" s="35"/>
      <c r="AI626" s="35"/>
      <c r="AJ626" s="117" t="str">
        <f>if('Ingest Template'!A626="Standard",(IF(OR('Ingest Template'!F626 = "Program Type - Special", 'Ingest Template'!F626 = "Program Type - Live Event"),'Ingest Template'!M626&amp; "|DAR|DAR|"&amp;TEXT('Ingest Template'!C626-3, "yyyy-mm-dd")&amp;"|"&amp;TEXT('Ingest Template'!C626+3, "yyyy-mm-dd"),'Ingest Template'!M626&amp; "|DAR|DAR|2021-01-01")),(IF(OR('Ingest Template'!F626 = "Program Type - Special", 'Ingest Template'!F626 = "Program Type - Live Event"),'Ingest Template'!M626&amp; "|Operations - Core Title|Operations - Core Title|"&amp;TEXT('Ingest Template'!C626-3, "yyyy-mm-dd")&amp;"|"&amp;TEXT('Ingest Template'!C626+3, "yyyy-mm-dd"),'Ingest Template'!M626&amp; "|Operations - Core Title|Operations - Core Title")))</f>
        <v>|Operations - Core Title|Operations - Core Title</v>
      </c>
      <c r="AK626" s="35"/>
      <c r="AL626" s="117" t="str">
        <f>if('Ingest Template'!A626="Standard",(IF(OR('Ingest Template'!F626 = "Program Type - Special", 'Ingest Template'!F626 = "Program Type - Live Event"),'Ingest Template'!Q626&amp;"|"&amp;TEXT('Ingest Template'!C626-3, "yyyy-mm-dd")&amp;"|"&amp;TEXT('Ingest Template'!C626+3, "yyyy-mm-dd"),'Ingest Template'!Q626&amp; "|2021-01-01")),(IF(OR('Ingest Template'!F626 = "Program Type - Special", 'Ingest Template'!F626 = "Program Type - Live Event"),'Ingest Template'!Q626&amp; "|"&amp;TEXT('Ingest Template'!C626-3, "yyyy-mm-dd")&amp;"|"&amp;TEXT('Ingest Template'!C626+3, "yyyy-mm-dd"),'Ingest Template'!Q626)))</f>
        <v/>
      </c>
      <c r="AM626" s="35" t="str">
        <f>'Ingest Template'!AC626</f>
        <v/>
      </c>
    </row>
    <row r="627">
      <c r="A627" s="15"/>
      <c r="B627" s="22" t="str">
        <f>'Ingest Template'!C627&amp;IF('Ingest Template'!A627 = "Standard", " - DAR","")</f>
        <v/>
      </c>
      <c r="C627" s="22" t="s">
        <v>83</v>
      </c>
      <c r="D627" s="22" t="str">
        <f t="array" ref="D627">CONCATENATE(INDEX(DropdownLists!$H$2:$H$11,MATCH(1,COUNTIF('Ingest Template'!E627,"*"&amp;DropdownLists!$I$2:$I$11&amp;"*"),0)),CHAR(10),'Ingest Template'!F627,CHAR(10),'Ingest Template'!G627,CHAR(10),VLOOKUP('Ingest Template'!D627,DropdownLists!C:D,2,FALSE))</f>
        <v>#N/A</v>
      </c>
      <c r="E627" s="22" t="str">
        <f>CONCATENATE('Ingest Template'!H627,CHAR(10),'Ingest Template'!I627,CHAR(10),'Ingest Template'!J627,CHAR(10))</f>
        <v>
</v>
      </c>
      <c r="F627" s="35" t="str">
        <f t="array" ref="F627">INDEX(DropdownLists!$O$2:$O$36,MATCH(1,COUNTIF(E627,"*"&amp;DropdownLists!$N$2:$N$36&amp;"*"),0))</f>
        <v/>
      </c>
      <c r="G627" s="35"/>
      <c r="H627" s="22" t="str">
        <f t="array" ref="H627">INDEX(DropdownLists!$E$2:$E$276,MATCH('Ingest Template'!D627,DropdownLists!$C$2:$C$276,0))</f>
        <v>#N/A</v>
      </c>
      <c r="I627" s="22"/>
      <c r="J627" s="22" t="str">
        <f t="array" ref="J627">iF('Ingest Template'!A627="Standard","Pristine Brand",INDEX(DropdownLists!$B$2:$B$246,MATCH('Ingest Template'!D627,DropdownLists!$C$2:$C$246,0)))</f>
        <v>#N/A</v>
      </c>
      <c r="K627" s="22" t="str">
        <f>iF('Ingest Template'!A627="Standard",'Ingest Template'!K627&amp;CHAR(10)&amp;'Ingest Template'!L627,"Competitive View")</f>
        <v>Competitive View</v>
      </c>
      <c r="L627" s="22" t="s">
        <v>95</v>
      </c>
      <c r="M627" s="45" t="str">
        <f>'Ingest Template'!B627</f>
        <v/>
      </c>
      <c r="N627" s="35"/>
      <c r="O627" s="35"/>
      <c r="P627" s="35"/>
      <c r="Q627" s="35"/>
      <c r="R627" s="35" t="str">
        <f>'Ingest Template'!D627</f>
        <v/>
      </c>
      <c r="S627" s="22" t="s">
        <v>101</v>
      </c>
      <c r="T627" s="35" t="str">
        <f>'Ingest Template'!V627</f>
        <v/>
      </c>
      <c r="U627" s="35" t="str">
        <f>'Ingest Template'!W627</f>
        <v/>
      </c>
      <c r="V627" s="35" t="str">
        <f>LOWER(SUBSTITUTE(SUBSTITUTE(SUBSTITUTE(SUBSTITUTE(SUBSTITUTE('Ingest Template'!X627,"https:",""),"www.",""),"/",""),"?hl=en",""),"instagram.com",""))</f>
        <v/>
      </c>
      <c r="W627" s="74" t="str">
        <f t="array" ref="W627">IF(
'Ingest Template'!Y627="",
SUBSTITUTE(
INDEX(DropdownLists!$F$2:$F$277,MATCH('Ingest Template'!D627,DropdownLists!$C$2:$C$277,0)),
CHAR(10),
"|"&amp;'Ingest Template'!C627&amp;CHAR(10)
)&amp;"|"&amp;'Ingest Template'!C627,
SUBSTITUTE(
INDEX(DropdownLists!$F$2:$F$277,MATCH('Ingest Template'!D627,DropdownLists!$C$2:$C$277,0)),
CHAR(10),
"|"&amp;'Ingest Template'!C627&amp;CHAR(10)
)&amp;"|"&amp;'Ingest Template'!C627&amp;CHAR(10)&amp;'Ingest Template'!Y627
)</f>
        <v>#N/A</v>
      </c>
      <c r="X627" s="74" t="str">
        <f>'Ingest Template'!Z627</f>
        <v/>
      </c>
      <c r="Y627" s="35" t="str">
        <f>SUBSTITUTE(SUBSTITUTE(SUBSTITUTE('Ingest Template'!AA627,"http:",""),"https:",""),"/","")</f>
        <v/>
      </c>
      <c r="Z627" s="35" t="str">
        <f t="array" ref="Z627">IF('Ingest Template'!A627="Standard",(IF(ISBLANK('Ingest Template'!AB627),"", 'Ingest Template'!AB627&amp;"|DAR")),(IF(ISBLANK('Ingest Template'!AB627),"", 'Ingest Template'!AB627&amp;"|TV Ops")))</f>
        <v/>
      </c>
      <c r="AA627" s="35"/>
      <c r="AB627" s="35" t="str">
        <f>'Ingest Template'!R627</f>
        <v/>
      </c>
      <c r="AC627" s="35" t="str">
        <f>'Ingest Template'!T627</f>
        <v/>
      </c>
      <c r="AD627" s="35" t="str">
        <f>'Ingest Template'!S627</f>
        <v/>
      </c>
      <c r="AE627" s="35" t="str">
        <f>'Ingest Template'!U627</f>
        <v/>
      </c>
      <c r="AF627" s="22"/>
      <c r="AG627" s="35" t="str">
        <f t="array" ref="AG627">IF('Ingest Template'!A627="Standard",(CONCATENATE(IF(ISBLANK('Ingest Template'!N627),"", 'Ingest Template'!N627&amp;"|DAR"),CHAR(10), IF(ISBLANK('Ingest Template'!O627),"", 'Ingest Template'!O627&amp;"|DAR"),CHAR(10), IF(ISBLANK('Ingest Template'!P627),"", 'Ingest Template'!P627&amp;"|DAR"))),(CONCATENATE(IF(ISBLANK('Ingest Template'!N627),"", 'Ingest Template'!N627&amp;"|TV Ops"),CHAR(10), IF(ISBLANK('Ingest Template'!O627),"", 'Ingest Template'!O627&amp;"|TV Ops"),CHAR(10), IF(ISBLANK('Ingest Template'!P627),"", 'Ingest Template'!P627&amp;"|TV Ops"))))</f>
        <v>
</v>
      </c>
      <c r="AH627" s="35"/>
      <c r="AI627" s="35"/>
      <c r="AJ627" s="117" t="str">
        <f>if('Ingest Template'!A627="Standard",(IF(OR('Ingest Template'!F627 = "Program Type - Special", 'Ingest Template'!F627 = "Program Type - Live Event"),'Ingest Template'!M627&amp; "|DAR|DAR|"&amp;TEXT('Ingest Template'!C627-3, "yyyy-mm-dd")&amp;"|"&amp;TEXT('Ingest Template'!C627+3, "yyyy-mm-dd"),'Ingest Template'!M627&amp; "|DAR|DAR|2021-01-01")),(IF(OR('Ingest Template'!F627 = "Program Type - Special", 'Ingest Template'!F627 = "Program Type - Live Event"),'Ingest Template'!M627&amp; "|Operations - Core Title|Operations - Core Title|"&amp;TEXT('Ingest Template'!C627-3, "yyyy-mm-dd")&amp;"|"&amp;TEXT('Ingest Template'!C627+3, "yyyy-mm-dd"),'Ingest Template'!M627&amp; "|Operations - Core Title|Operations - Core Title")))</f>
        <v>|Operations - Core Title|Operations - Core Title</v>
      </c>
      <c r="AK627" s="35"/>
      <c r="AL627" s="117" t="str">
        <f>if('Ingest Template'!A627="Standard",(IF(OR('Ingest Template'!F627 = "Program Type - Special", 'Ingest Template'!F627 = "Program Type - Live Event"),'Ingest Template'!Q627&amp;"|"&amp;TEXT('Ingest Template'!C627-3, "yyyy-mm-dd")&amp;"|"&amp;TEXT('Ingest Template'!C627+3, "yyyy-mm-dd"),'Ingest Template'!Q627&amp; "|2021-01-01")),(IF(OR('Ingest Template'!F627 = "Program Type - Special", 'Ingest Template'!F627 = "Program Type - Live Event"),'Ingest Template'!Q627&amp; "|"&amp;TEXT('Ingest Template'!C627-3, "yyyy-mm-dd")&amp;"|"&amp;TEXT('Ingest Template'!C627+3, "yyyy-mm-dd"),'Ingest Template'!Q627)))</f>
        <v/>
      </c>
      <c r="AM627" s="35" t="str">
        <f>'Ingest Template'!AC627</f>
        <v/>
      </c>
    </row>
    <row r="628">
      <c r="A628" s="15"/>
      <c r="B628" s="22" t="str">
        <f>'Ingest Template'!C628&amp;IF('Ingest Template'!A628 = "Standard", " - DAR","")</f>
        <v/>
      </c>
      <c r="C628" s="22" t="s">
        <v>83</v>
      </c>
      <c r="D628" s="22" t="str">
        <f t="array" ref="D628">CONCATENATE(INDEX(DropdownLists!$H$2:$H$11,MATCH(1,COUNTIF('Ingest Template'!E628,"*"&amp;DropdownLists!$I$2:$I$11&amp;"*"),0)),CHAR(10),'Ingest Template'!F628,CHAR(10),'Ingest Template'!G628,CHAR(10),VLOOKUP('Ingest Template'!D628,DropdownLists!C:D,2,FALSE))</f>
        <v>#N/A</v>
      </c>
      <c r="E628" s="22" t="str">
        <f>CONCATENATE('Ingest Template'!H628,CHAR(10),'Ingest Template'!I628,CHAR(10),'Ingest Template'!J628,CHAR(10))</f>
        <v>
</v>
      </c>
      <c r="F628" s="35" t="str">
        <f t="array" ref="F628">INDEX(DropdownLists!$O$2:$O$36,MATCH(1,COUNTIF(E628,"*"&amp;DropdownLists!$N$2:$N$36&amp;"*"),0))</f>
        <v/>
      </c>
      <c r="G628" s="35"/>
      <c r="H628" s="22" t="str">
        <f t="array" ref="H628">INDEX(DropdownLists!$E$2:$E$276,MATCH('Ingest Template'!D628,DropdownLists!$C$2:$C$276,0))</f>
        <v>#N/A</v>
      </c>
      <c r="I628" s="22"/>
      <c r="J628" s="22" t="str">
        <f t="array" ref="J628">iF('Ingest Template'!A628="Standard","Pristine Brand",INDEX(DropdownLists!$B$2:$B$246,MATCH('Ingest Template'!D628,DropdownLists!$C$2:$C$246,0)))</f>
        <v>#N/A</v>
      </c>
      <c r="K628" s="22" t="str">
        <f>iF('Ingest Template'!A628="Standard",'Ingest Template'!K628&amp;CHAR(10)&amp;'Ingest Template'!L628,"Competitive View")</f>
        <v>Competitive View</v>
      </c>
      <c r="L628" s="22" t="s">
        <v>95</v>
      </c>
      <c r="M628" s="45" t="str">
        <f>'Ingest Template'!B628</f>
        <v/>
      </c>
      <c r="N628" s="35"/>
      <c r="O628" s="35"/>
      <c r="P628" s="35"/>
      <c r="Q628" s="35"/>
      <c r="R628" s="35" t="str">
        <f>'Ingest Template'!D628</f>
        <v/>
      </c>
      <c r="S628" s="22" t="s">
        <v>101</v>
      </c>
      <c r="T628" s="35" t="str">
        <f>'Ingest Template'!V628</f>
        <v/>
      </c>
      <c r="U628" s="35" t="str">
        <f>'Ingest Template'!W628</f>
        <v/>
      </c>
      <c r="V628" s="35" t="str">
        <f>LOWER(SUBSTITUTE(SUBSTITUTE(SUBSTITUTE(SUBSTITUTE(SUBSTITUTE('Ingest Template'!X628,"https:",""),"www.",""),"/",""),"?hl=en",""),"instagram.com",""))</f>
        <v/>
      </c>
      <c r="W628" s="74" t="str">
        <f t="array" ref="W628">IF(
'Ingest Template'!Y628="",
SUBSTITUTE(
INDEX(DropdownLists!$F$2:$F$277,MATCH('Ingest Template'!D628,DropdownLists!$C$2:$C$277,0)),
CHAR(10),
"|"&amp;'Ingest Template'!C628&amp;CHAR(10)
)&amp;"|"&amp;'Ingest Template'!C628,
SUBSTITUTE(
INDEX(DropdownLists!$F$2:$F$277,MATCH('Ingest Template'!D628,DropdownLists!$C$2:$C$277,0)),
CHAR(10),
"|"&amp;'Ingest Template'!C628&amp;CHAR(10)
)&amp;"|"&amp;'Ingest Template'!C628&amp;CHAR(10)&amp;'Ingest Template'!Y628
)</f>
        <v>#N/A</v>
      </c>
      <c r="X628" s="74" t="str">
        <f>'Ingest Template'!Z628</f>
        <v/>
      </c>
      <c r="Y628" s="35" t="str">
        <f>SUBSTITUTE(SUBSTITUTE(SUBSTITUTE('Ingest Template'!AA628,"http:",""),"https:",""),"/","")</f>
        <v/>
      </c>
      <c r="Z628" s="35" t="str">
        <f t="array" ref="Z628">IF('Ingest Template'!A628="Standard",(IF(ISBLANK('Ingest Template'!AB628),"", 'Ingest Template'!AB628&amp;"|DAR")),(IF(ISBLANK('Ingest Template'!AB628),"", 'Ingest Template'!AB628&amp;"|TV Ops")))</f>
        <v/>
      </c>
      <c r="AA628" s="35"/>
      <c r="AB628" s="35" t="str">
        <f>'Ingest Template'!R628</f>
        <v/>
      </c>
      <c r="AC628" s="35" t="str">
        <f>'Ingest Template'!T628</f>
        <v/>
      </c>
      <c r="AD628" s="35" t="str">
        <f>'Ingest Template'!S628</f>
        <v/>
      </c>
      <c r="AE628" s="35" t="str">
        <f>'Ingest Template'!U628</f>
        <v/>
      </c>
      <c r="AF628" s="22"/>
      <c r="AG628" s="35" t="str">
        <f t="array" ref="AG628">IF('Ingest Template'!A628="Standard",(CONCATENATE(IF(ISBLANK('Ingest Template'!N628),"", 'Ingest Template'!N628&amp;"|DAR"),CHAR(10), IF(ISBLANK('Ingest Template'!O628),"", 'Ingest Template'!O628&amp;"|DAR"),CHAR(10), IF(ISBLANK('Ingest Template'!P628),"", 'Ingest Template'!P628&amp;"|DAR"))),(CONCATENATE(IF(ISBLANK('Ingest Template'!N628),"", 'Ingest Template'!N628&amp;"|TV Ops"),CHAR(10), IF(ISBLANK('Ingest Template'!O628),"", 'Ingest Template'!O628&amp;"|TV Ops"),CHAR(10), IF(ISBLANK('Ingest Template'!P628),"", 'Ingest Template'!P628&amp;"|TV Ops"))))</f>
        <v>
</v>
      </c>
      <c r="AH628" s="35"/>
      <c r="AI628" s="35"/>
      <c r="AJ628" s="117" t="str">
        <f>if('Ingest Template'!A628="Standard",(IF(OR('Ingest Template'!F628 = "Program Type - Special", 'Ingest Template'!F628 = "Program Type - Live Event"),'Ingest Template'!M628&amp; "|DAR|DAR|"&amp;TEXT('Ingest Template'!C628-3, "yyyy-mm-dd")&amp;"|"&amp;TEXT('Ingest Template'!C628+3, "yyyy-mm-dd"),'Ingest Template'!M628&amp; "|DAR|DAR|2021-01-01")),(IF(OR('Ingest Template'!F628 = "Program Type - Special", 'Ingest Template'!F628 = "Program Type - Live Event"),'Ingest Template'!M628&amp; "|Operations - Core Title|Operations - Core Title|"&amp;TEXT('Ingest Template'!C628-3, "yyyy-mm-dd")&amp;"|"&amp;TEXT('Ingest Template'!C628+3, "yyyy-mm-dd"),'Ingest Template'!M628&amp; "|Operations - Core Title|Operations - Core Title")))</f>
        <v>|Operations - Core Title|Operations - Core Title</v>
      </c>
      <c r="AK628" s="35"/>
      <c r="AL628" s="117" t="str">
        <f>if('Ingest Template'!A628="Standard",(IF(OR('Ingest Template'!F628 = "Program Type - Special", 'Ingest Template'!F628 = "Program Type - Live Event"),'Ingest Template'!Q628&amp;"|"&amp;TEXT('Ingest Template'!C628-3, "yyyy-mm-dd")&amp;"|"&amp;TEXT('Ingest Template'!C628+3, "yyyy-mm-dd"),'Ingest Template'!Q628&amp; "|2021-01-01")),(IF(OR('Ingest Template'!F628 = "Program Type - Special", 'Ingest Template'!F628 = "Program Type - Live Event"),'Ingest Template'!Q628&amp; "|"&amp;TEXT('Ingest Template'!C628-3, "yyyy-mm-dd")&amp;"|"&amp;TEXT('Ingest Template'!C628+3, "yyyy-mm-dd"),'Ingest Template'!Q628)))</f>
        <v/>
      </c>
      <c r="AM628" s="35" t="str">
        <f>'Ingest Template'!AC628</f>
        <v/>
      </c>
    </row>
    <row r="629">
      <c r="A629" s="15"/>
      <c r="B629" s="22" t="str">
        <f>'Ingest Template'!C629&amp;IF('Ingest Template'!A629 = "Standard", " - DAR","")</f>
        <v/>
      </c>
      <c r="C629" s="22" t="s">
        <v>83</v>
      </c>
      <c r="D629" s="22" t="str">
        <f t="array" ref="D629">CONCATENATE(INDEX(DropdownLists!$H$2:$H$11,MATCH(1,COUNTIF('Ingest Template'!E629,"*"&amp;DropdownLists!$I$2:$I$11&amp;"*"),0)),CHAR(10),'Ingest Template'!F629,CHAR(10),'Ingest Template'!G629,CHAR(10),VLOOKUP('Ingest Template'!D629,DropdownLists!C:D,2,FALSE))</f>
        <v>#N/A</v>
      </c>
      <c r="E629" s="22" t="str">
        <f>CONCATENATE('Ingest Template'!H629,CHAR(10),'Ingest Template'!I629,CHAR(10),'Ingest Template'!J629,CHAR(10))</f>
        <v>
</v>
      </c>
      <c r="F629" s="35" t="str">
        <f t="array" ref="F629">INDEX(DropdownLists!$O$2:$O$36,MATCH(1,COUNTIF(E629,"*"&amp;DropdownLists!$N$2:$N$36&amp;"*"),0))</f>
        <v/>
      </c>
      <c r="G629" s="35"/>
      <c r="H629" s="22" t="str">
        <f t="array" ref="H629">INDEX(DropdownLists!$E$2:$E$276,MATCH('Ingest Template'!D629,DropdownLists!$C$2:$C$276,0))</f>
        <v>#N/A</v>
      </c>
      <c r="I629" s="22"/>
      <c r="J629" s="22" t="str">
        <f t="array" ref="J629">iF('Ingest Template'!A629="Standard","Pristine Brand",INDEX(DropdownLists!$B$2:$B$246,MATCH('Ingest Template'!D629,DropdownLists!$C$2:$C$246,0)))</f>
        <v>#N/A</v>
      </c>
      <c r="K629" s="22" t="str">
        <f>iF('Ingest Template'!A629="Standard",'Ingest Template'!K629&amp;CHAR(10)&amp;'Ingest Template'!L629,"Competitive View")</f>
        <v>Competitive View</v>
      </c>
      <c r="L629" s="22" t="s">
        <v>95</v>
      </c>
      <c r="M629" s="45" t="str">
        <f>'Ingest Template'!B629</f>
        <v/>
      </c>
      <c r="N629" s="35"/>
      <c r="O629" s="35"/>
      <c r="P629" s="35"/>
      <c r="Q629" s="35"/>
      <c r="R629" s="35" t="str">
        <f>'Ingest Template'!D629</f>
        <v/>
      </c>
      <c r="S629" s="22" t="s">
        <v>101</v>
      </c>
      <c r="T629" s="35" t="str">
        <f>'Ingest Template'!V629</f>
        <v/>
      </c>
      <c r="U629" s="35" t="str">
        <f>'Ingest Template'!W629</f>
        <v/>
      </c>
      <c r="V629" s="35" t="str">
        <f>LOWER(SUBSTITUTE(SUBSTITUTE(SUBSTITUTE(SUBSTITUTE(SUBSTITUTE('Ingest Template'!X629,"https:",""),"www.",""),"/",""),"?hl=en",""),"instagram.com",""))</f>
        <v/>
      </c>
      <c r="W629" s="74" t="str">
        <f t="array" ref="W629">IF(
'Ingest Template'!Y629="",
SUBSTITUTE(
INDEX(DropdownLists!$F$2:$F$277,MATCH('Ingest Template'!D629,DropdownLists!$C$2:$C$277,0)),
CHAR(10),
"|"&amp;'Ingest Template'!C629&amp;CHAR(10)
)&amp;"|"&amp;'Ingest Template'!C629,
SUBSTITUTE(
INDEX(DropdownLists!$F$2:$F$277,MATCH('Ingest Template'!D629,DropdownLists!$C$2:$C$277,0)),
CHAR(10),
"|"&amp;'Ingest Template'!C629&amp;CHAR(10)
)&amp;"|"&amp;'Ingest Template'!C629&amp;CHAR(10)&amp;'Ingest Template'!Y629
)</f>
        <v>#N/A</v>
      </c>
      <c r="X629" s="74" t="str">
        <f>'Ingest Template'!Z629</f>
        <v/>
      </c>
      <c r="Y629" s="35" t="str">
        <f>SUBSTITUTE(SUBSTITUTE(SUBSTITUTE('Ingest Template'!AA629,"http:",""),"https:",""),"/","")</f>
        <v/>
      </c>
      <c r="Z629" s="35" t="str">
        <f t="array" ref="Z629">IF('Ingest Template'!A629="Standard",(IF(ISBLANK('Ingest Template'!AB629),"", 'Ingest Template'!AB629&amp;"|DAR")),(IF(ISBLANK('Ingest Template'!AB629),"", 'Ingest Template'!AB629&amp;"|TV Ops")))</f>
        <v/>
      </c>
      <c r="AA629" s="35"/>
      <c r="AB629" s="35" t="str">
        <f>'Ingest Template'!R629</f>
        <v/>
      </c>
      <c r="AC629" s="35" t="str">
        <f>'Ingest Template'!T629</f>
        <v/>
      </c>
      <c r="AD629" s="35" t="str">
        <f>'Ingest Template'!S629</f>
        <v/>
      </c>
      <c r="AE629" s="35" t="str">
        <f>'Ingest Template'!U629</f>
        <v/>
      </c>
      <c r="AF629" s="22"/>
      <c r="AG629" s="35" t="str">
        <f t="array" ref="AG629">IF('Ingest Template'!A629="Standard",(CONCATENATE(IF(ISBLANK('Ingest Template'!N629),"", 'Ingest Template'!N629&amp;"|DAR"),CHAR(10), IF(ISBLANK('Ingest Template'!O629),"", 'Ingest Template'!O629&amp;"|DAR"),CHAR(10), IF(ISBLANK('Ingest Template'!P629),"", 'Ingest Template'!P629&amp;"|DAR"))),(CONCATENATE(IF(ISBLANK('Ingest Template'!N629),"", 'Ingest Template'!N629&amp;"|TV Ops"),CHAR(10), IF(ISBLANK('Ingest Template'!O629),"", 'Ingest Template'!O629&amp;"|TV Ops"),CHAR(10), IF(ISBLANK('Ingest Template'!P629),"", 'Ingest Template'!P629&amp;"|TV Ops"))))</f>
        <v>
</v>
      </c>
      <c r="AH629" s="35"/>
      <c r="AI629" s="35"/>
      <c r="AJ629" s="117" t="str">
        <f>if('Ingest Template'!A629="Standard",(IF(OR('Ingest Template'!F629 = "Program Type - Special", 'Ingest Template'!F629 = "Program Type - Live Event"),'Ingest Template'!M629&amp; "|DAR|DAR|"&amp;TEXT('Ingest Template'!C629-3, "yyyy-mm-dd")&amp;"|"&amp;TEXT('Ingest Template'!C629+3, "yyyy-mm-dd"),'Ingest Template'!M629&amp; "|DAR|DAR|2021-01-01")),(IF(OR('Ingest Template'!F629 = "Program Type - Special", 'Ingest Template'!F629 = "Program Type - Live Event"),'Ingest Template'!M629&amp; "|Operations - Core Title|Operations - Core Title|"&amp;TEXT('Ingest Template'!C629-3, "yyyy-mm-dd")&amp;"|"&amp;TEXT('Ingest Template'!C629+3, "yyyy-mm-dd"),'Ingest Template'!M629&amp; "|Operations - Core Title|Operations - Core Title")))</f>
        <v>|Operations - Core Title|Operations - Core Title</v>
      </c>
      <c r="AK629" s="35"/>
      <c r="AL629" s="117" t="str">
        <f>if('Ingest Template'!A629="Standard",(IF(OR('Ingest Template'!F629 = "Program Type - Special", 'Ingest Template'!F629 = "Program Type - Live Event"),'Ingest Template'!Q629&amp;"|"&amp;TEXT('Ingest Template'!C629-3, "yyyy-mm-dd")&amp;"|"&amp;TEXT('Ingest Template'!C629+3, "yyyy-mm-dd"),'Ingest Template'!Q629&amp; "|2021-01-01")),(IF(OR('Ingest Template'!F629 = "Program Type - Special", 'Ingest Template'!F629 = "Program Type - Live Event"),'Ingest Template'!Q629&amp; "|"&amp;TEXT('Ingest Template'!C629-3, "yyyy-mm-dd")&amp;"|"&amp;TEXT('Ingest Template'!C629+3, "yyyy-mm-dd"),'Ingest Template'!Q629)))</f>
        <v/>
      </c>
      <c r="AM629" s="35" t="str">
        <f>'Ingest Template'!AC629</f>
        <v/>
      </c>
    </row>
    <row r="630">
      <c r="A630" s="15"/>
      <c r="B630" s="22" t="str">
        <f>'Ingest Template'!C630&amp;IF('Ingest Template'!A630 = "Standard", " - DAR","")</f>
        <v/>
      </c>
      <c r="C630" s="22" t="s">
        <v>83</v>
      </c>
      <c r="D630" s="22" t="str">
        <f t="array" ref="D630">CONCATENATE(INDEX(DropdownLists!$H$2:$H$11,MATCH(1,COUNTIF('Ingest Template'!E630,"*"&amp;DropdownLists!$I$2:$I$11&amp;"*"),0)),CHAR(10),'Ingest Template'!F630,CHAR(10),'Ingest Template'!G630,CHAR(10),VLOOKUP('Ingest Template'!D630,DropdownLists!C:D,2,FALSE))</f>
        <v>#N/A</v>
      </c>
      <c r="E630" s="22" t="str">
        <f>CONCATENATE('Ingest Template'!H630,CHAR(10),'Ingest Template'!I630,CHAR(10),'Ingest Template'!J630,CHAR(10))</f>
        <v>
</v>
      </c>
      <c r="F630" s="35" t="str">
        <f t="array" ref="F630">INDEX(DropdownLists!$O$2:$O$36,MATCH(1,COUNTIF(E630,"*"&amp;DropdownLists!$N$2:$N$36&amp;"*"),0))</f>
        <v/>
      </c>
      <c r="G630" s="35"/>
      <c r="H630" s="22" t="str">
        <f t="array" ref="H630">INDEX(DropdownLists!$E$2:$E$276,MATCH('Ingest Template'!D630,DropdownLists!$C$2:$C$276,0))</f>
        <v>#N/A</v>
      </c>
      <c r="I630" s="22"/>
      <c r="J630" s="22" t="str">
        <f t="array" ref="J630">iF('Ingest Template'!A630="Standard","Pristine Brand",INDEX(DropdownLists!$B$2:$B$246,MATCH('Ingest Template'!D630,DropdownLists!$C$2:$C$246,0)))</f>
        <v>#N/A</v>
      </c>
      <c r="K630" s="22" t="str">
        <f>iF('Ingest Template'!A630="Standard",'Ingest Template'!K630&amp;CHAR(10)&amp;'Ingest Template'!L630,"Competitive View")</f>
        <v>Competitive View</v>
      </c>
      <c r="L630" s="22" t="s">
        <v>95</v>
      </c>
      <c r="M630" s="45" t="str">
        <f>'Ingest Template'!B630</f>
        <v/>
      </c>
      <c r="N630" s="35"/>
      <c r="O630" s="35"/>
      <c r="P630" s="35"/>
      <c r="Q630" s="35"/>
      <c r="R630" s="35" t="str">
        <f>'Ingest Template'!D630</f>
        <v/>
      </c>
      <c r="S630" s="22" t="s">
        <v>101</v>
      </c>
      <c r="T630" s="35" t="str">
        <f>'Ingest Template'!V630</f>
        <v/>
      </c>
      <c r="U630" s="35" t="str">
        <f>'Ingest Template'!W630</f>
        <v/>
      </c>
      <c r="V630" s="35" t="str">
        <f>LOWER(SUBSTITUTE(SUBSTITUTE(SUBSTITUTE(SUBSTITUTE(SUBSTITUTE('Ingest Template'!X630,"https:",""),"www.",""),"/",""),"?hl=en",""),"instagram.com",""))</f>
        <v/>
      </c>
      <c r="W630" s="74" t="str">
        <f t="array" ref="W630">IF(
'Ingest Template'!Y630="",
SUBSTITUTE(
INDEX(DropdownLists!$F$2:$F$277,MATCH('Ingest Template'!D630,DropdownLists!$C$2:$C$277,0)),
CHAR(10),
"|"&amp;'Ingest Template'!C630&amp;CHAR(10)
)&amp;"|"&amp;'Ingest Template'!C630,
SUBSTITUTE(
INDEX(DropdownLists!$F$2:$F$277,MATCH('Ingest Template'!D630,DropdownLists!$C$2:$C$277,0)),
CHAR(10),
"|"&amp;'Ingest Template'!C630&amp;CHAR(10)
)&amp;"|"&amp;'Ingest Template'!C630&amp;CHAR(10)&amp;'Ingest Template'!Y630
)</f>
        <v>#N/A</v>
      </c>
      <c r="X630" s="74" t="str">
        <f>'Ingest Template'!Z630</f>
        <v/>
      </c>
      <c r="Y630" s="35" t="str">
        <f>SUBSTITUTE(SUBSTITUTE(SUBSTITUTE('Ingest Template'!AA630,"http:",""),"https:",""),"/","")</f>
        <v/>
      </c>
      <c r="Z630" s="35" t="str">
        <f t="array" ref="Z630">IF('Ingest Template'!A630="Standard",(IF(ISBLANK('Ingest Template'!AB630),"", 'Ingest Template'!AB630&amp;"|DAR")),(IF(ISBLANK('Ingest Template'!AB630),"", 'Ingest Template'!AB630&amp;"|TV Ops")))</f>
        <v/>
      </c>
      <c r="AA630" s="35"/>
      <c r="AB630" s="35" t="str">
        <f>'Ingest Template'!R630</f>
        <v/>
      </c>
      <c r="AC630" s="35" t="str">
        <f>'Ingest Template'!T630</f>
        <v/>
      </c>
      <c r="AD630" s="35" t="str">
        <f>'Ingest Template'!S630</f>
        <v/>
      </c>
      <c r="AE630" s="35" t="str">
        <f>'Ingest Template'!U630</f>
        <v/>
      </c>
      <c r="AF630" s="22"/>
      <c r="AG630" s="35" t="str">
        <f t="array" ref="AG630">IF('Ingest Template'!A630="Standard",(CONCATENATE(IF(ISBLANK('Ingest Template'!N630),"", 'Ingest Template'!N630&amp;"|DAR"),CHAR(10), IF(ISBLANK('Ingest Template'!O630),"", 'Ingest Template'!O630&amp;"|DAR"),CHAR(10), IF(ISBLANK('Ingest Template'!P630),"", 'Ingest Template'!P630&amp;"|DAR"))),(CONCATENATE(IF(ISBLANK('Ingest Template'!N630),"", 'Ingest Template'!N630&amp;"|TV Ops"),CHAR(10), IF(ISBLANK('Ingest Template'!O630),"", 'Ingest Template'!O630&amp;"|TV Ops"),CHAR(10), IF(ISBLANK('Ingest Template'!P630),"", 'Ingest Template'!P630&amp;"|TV Ops"))))</f>
        <v>
</v>
      </c>
      <c r="AH630" s="35"/>
      <c r="AI630" s="35"/>
      <c r="AJ630" s="117" t="str">
        <f>if('Ingest Template'!A630="Standard",(IF(OR('Ingest Template'!F630 = "Program Type - Special", 'Ingest Template'!F630 = "Program Type - Live Event"),'Ingest Template'!M630&amp; "|DAR|DAR|"&amp;TEXT('Ingest Template'!C630-3, "yyyy-mm-dd")&amp;"|"&amp;TEXT('Ingest Template'!C630+3, "yyyy-mm-dd"),'Ingest Template'!M630&amp; "|DAR|DAR|2021-01-01")),(IF(OR('Ingest Template'!F630 = "Program Type - Special", 'Ingest Template'!F630 = "Program Type - Live Event"),'Ingest Template'!M630&amp; "|Operations - Core Title|Operations - Core Title|"&amp;TEXT('Ingest Template'!C630-3, "yyyy-mm-dd")&amp;"|"&amp;TEXT('Ingest Template'!C630+3, "yyyy-mm-dd"),'Ingest Template'!M630&amp; "|Operations - Core Title|Operations - Core Title")))</f>
        <v>|Operations - Core Title|Operations - Core Title</v>
      </c>
      <c r="AK630" s="35"/>
      <c r="AL630" s="117" t="str">
        <f>if('Ingest Template'!A630="Standard",(IF(OR('Ingest Template'!F630 = "Program Type - Special", 'Ingest Template'!F630 = "Program Type - Live Event"),'Ingest Template'!Q630&amp;"|"&amp;TEXT('Ingest Template'!C630-3, "yyyy-mm-dd")&amp;"|"&amp;TEXT('Ingest Template'!C630+3, "yyyy-mm-dd"),'Ingest Template'!Q630&amp; "|2021-01-01")),(IF(OR('Ingest Template'!F630 = "Program Type - Special", 'Ingest Template'!F630 = "Program Type - Live Event"),'Ingest Template'!Q630&amp; "|"&amp;TEXT('Ingest Template'!C630-3, "yyyy-mm-dd")&amp;"|"&amp;TEXT('Ingest Template'!C630+3, "yyyy-mm-dd"),'Ingest Template'!Q630)))</f>
        <v/>
      </c>
      <c r="AM630" s="35" t="str">
        <f>'Ingest Template'!AC630</f>
        <v/>
      </c>
    </row>
    <row r="631">
      <c r="A631" s="15"/>
      <c r="B631" s="22" t="str">
        <f>'Ingest Template'!C631&amp;IF('Ingest Template'!A631 = "Standard", " - DAR","")</f>
        <v/>
      </c>
      <c r="C631" s="22" t="s">
        <v>83</v>
      </c>
      <c r="D631" s="22" t="str">
        <f t="array" ref="D631">CONCATENATE(INDEX(DropdownLists!$H$2:$H$11,MATCH(1,COUNTIF('Ingest Template'!E631,"*"&amp;DropdownLists!$I$2:$I$11&amp;"*"),0)),CHAR(10),'Ingest Template'!F631,CHAR(10),'Ingest Template'!G631,CHAR(10),VLOOKUP('Ingest Template'!D631,DropdownLists!C:D,2,FALSE))</f>
        <v>#N/A</v>
      </c>
      <c r="E631" s="22" t="str">
        <f>CONCATENATE('Ingest Template'!H631,CHAR(10),'Ingest Template'!I631,CHAR(10),'Ingest Template'!J631,CHAR(10))</f>
        <v>
</v>
      </c>
      <c r="F631" s="35" t="str">
        <f t="array" ref="F631">INDEX(DropdownLists!$O$2:$O$36,MATCH(1,COUNTIF(E631,"*"&amp;DropdownLists!$N$2:$N$36&amp;"*"),0))</f>
        <v/>
      </c>
      <c r="G631" s="35"/>
      <c r="H631" s="22" t="str">
        <f t="array" ref="H631">INDEX(DropdownLists!$E$2:$E$276,MATCH('Ingest Template'!D631,DropdownLists!$C$2:$C$276,0))</f>
        <v>#N/A</v>
      </c>
      <c r="I631" s="22"/>
      <c r="J631" s="22" t="str">
        <f t="array" ref="J631">iF('Ingest Template'!A631="Standard","Pristine Brand",INDEX(DropdownLists!$B$2:$B$246,MATCH('Ingest Template'!D631,DropdownLists!$C$2:$C$246,0)))</f>
        <v>#N/A</v>
      </c>
      <c r="K631" s="22" t="str">
        <f>iF('Ingest Template'!A631="Standard",'Ingest Template'!K631&amp;CHAR(10)&amp;'Ingest Template'!L631,"Competitive View")</f>
        <v>Competitive View</v>
      </c>
      <c r="L631" s="22" t="s">
        <v>95</v>
      </c>
      <c r="M631" s="45" t="str">
        <f>'Ingest Template'!B631</f>
        <v/>
      </c>
      <c r="N631" s="35"/>
      <c r="O631" s="35"/>
      <c r="P631" s="35"/>
      <c r="Q631" s="35"/>
      <c r="R631" s="35" t="str">
        <f>'Ingest Template'!D631</f>
        <v/>
      </c>
      <c r="S631" s="22" t="s">
        <v>101</v>
      </c>
      <c r="T631" s="35" t="str">
        <f>'Ingest Template'!V631</f>
        <v/>
      </c>
      <c r="U631" s="35" t="str">
        <f>'Ingest Template'!W631</f>
        <v/>
      </c>
      <c r="V631" s="35" t="str">
        <f>LOWER(SUBSTITUTE(SUBSTITUTE(SUBSTITUTE(SUBSTITUTE(SUBSTITUTE('Ingest Template'!X631,"https:",""),"www.",""),"/",""),"?hl=en",""),"instagram.com",""))</f>
        <v/>
      </c>
      <c r="W631" s="74" t="str">
        <f t="array" ref="W631">IF(
'Ingest Template'!Y631="",
SUBSTITUTE(
INDEX(DropdownLists!$F$2:$F$277,MATCH('Ingest Template'!D631,DropdownLists!$C$2:$C$277,0)),
CHAR(10),
"|"&amp;'Ingest Template'!C631&amp;CHAR(10)
)&amp;"|"&amp;'Ingest Template'!C631,
SUBSTITUTE(
INDEX(DropdownLists!$F$2:$F$277,MATCH('Ingest Template'!D631,DropdownLists!$C$2:$C$277,0)),
CHAR(10),
"|"&amp;'Ingest Template'!C631&amp;CHAR(10)
)&amp;"|"&amp;'Ingest Template'!C631&amp;CHAR(10)&amp;'Ingest Template'!Y631
)</f>
        <v>#N/A</v>
      </c>
      <c r="X631" s="74" t="str">
        <f>'Ingest Template'!Z631</f>
        <v/>
      </c>
      <c r="Y631" s="35" t="str">
        <f>SUBSTITUTE(SUBSTITUTE(SUBSTITUTE('Ingest Template'!AA631,"http:",""),"https:",""),"/","")</f>
        <v/>
      </c>
      <c r="Z631" s="35" t="str">
        <f t="array" ref="Z631">IF('Ingest Template'!A631="Standard",(IF(ISBLANK('Ingest Template'!AB631),"", 'Ingest Template'!AB631&amp;"|DAR")),(IF(ISBLANK('Ingest Template'!AB631),"", 'Ingest Template'!AB631&amp;"|TV Ops")))</f>
        <v/>
      </c>
      <c r="AA631" s="35"/>
      <c r="AB631" s="35" t="str">
        <f>'Ingest Template'!R631</f>
        <v/>
      </c>
      <c r="AC631" s="35" t="str">
        <f>'Ingest Template'!T631</f>
        <v/>
      </c>
      <c r="AD631" s="35" t="str">
        <f>'Ingest Template'!S631</f>
        <v/>
      </c>
      <c r="AE631" s="35" t="str">
        <f>'Ingest Template'!U631</f>
        <v/>
      </c>
      <c r="AF631" s="22"/>
      <c r="AG631" s="35" t="str">
        <f t="array" ref="AG631">IF('Ingest Template'!A631="Standard",(CONCATENATE(IF(ISBLANK('Ingest Template'!N631),"", 'Ingest Template'!N631&amp;"|DAR"),CHAR(10), IF(ISBLANK('Ingest Template'!O631),"", 'Ingest Template'!O631&amp;"|DAR"),CHAR(10), IF(ISBLANK('Ingest Template'!P631),"", 'Ingest Template'!P631&amp;"|DAR"))),(CONCATENATE(IF(ISBLANK('Ingest Template'!N631),"", 'Ingest Template'!N631&amp;"|TV Ops"),CHAR(10), IF(ISBLANK('Ingest Template'!O631),"", 'Ingest Template'!O631&amp;"|TV Ops"),CHAR(10), IF(ISBLANK('Ingest Template'!P631),"", 'Ingest Template'!P631&amp;"|TV Ops"))))</f>
        <v>
</v>
      </c>
      <c r="AH631" s="35"/>
      <c r="AI631" s="35"/>
      <c r="AJ631" s="117" t="str">
        <f>if('Ingest Template'!A631="Standard",(IF(OR('Ingest Template'!F631 = "Program Type - Special", 'Ingest Template'!F631 = "Program Type - Live Event"),'Ingest Template'!M631&amp; "|DAR|DAR|"&amp;TEXT('Ingest Template'!C631-3, "yyyy-mm-dd")&amp;"|"&amp;TEXT('Ingest Template'!C631+3, "yyyy-mm-dd"),'Ingest Template'!M631&amp; "|DAR|DAR|2021-01-01")),(IF(OR('Ingest Template'!F631 = "Program Type - Special", 'Ingest Template'!F631 = "Program Type - Live Event"),'Ingest Template'!M631&amp; "|Operations - Core Title|Operations - Core Title|"&amp;TEXT('Ingest Template'!C631-3, "yyyy-mm-dd")&amp;"|"&amp;TEXT('Ingest Template'!C631+3, "yyyy-mm-dd"),'Ingest Template'!M631&amp; "|Operations - Core Title|Operations - Core Title")))</f>
        <v>|Operations - Core Title|Operations - Core Title</v>
      </c>
      <c r="AK631" s="35"/>
      <c r="AL631" s="117" t="str">
        <f>if('Ingest Template'!A631="Standard",(IF(OR('Ingest Template'!F631 = "Program Type - Special", 'Ingest Template'!F631 = "Program Type - Live Event"),'Ingest Template'!Q631&amp;"|"&amp;TEXT('Ingest Template'!C631-3, "yyyy-mm-dd")&amp;"|"&amp;TEXT('Ingest Template'!C631+3, "yyyy-mm-dd"),'Ingest Template'!Q631&amp; "|2021-01-01")),(IF(OR('Ingest Template'!F631 = "Program Type - Special", 'Ingest Template'!F631 = "Program Type - Live Event"),'Ingest Template'!Q631&amp; "|"&amp;TEXT('Ingest Template'!C631-3, "yyyy-mm-dd")&amp;"|"&amp;TEXT('Ingest Template'!C631+3, "yyyy-mm-dd"),'Ingest Template'!Q631)))</f>
        <v/>
      </c>
      <c r="AM631" s="35" t="str">
        <f>'Ingest Template'!AC631</f>
        <v/>
      </c>
    </row>
    <row r="632">
      <c r="A632" s="15"/>
      <c r="B632" s="22" t="str">
        <f>'Ingest Template'!C632&amp;IF('Ingest Template'!A632 = "Standard", " - DAR","")</f>
        <v/>
      </c>
      <c r="C632" s="22" t="s">
        <v>83</v>
      </c>
      <c r="D632" s="22" t="str">
        <f t="array" ref="D632">CONCATENATE(INDEX(DropdownLists!$H$2:$H$11,MATCH(1,COUNTIF('Ingest Template'!E632,"*"&amp;DropdownLists!$I$2:$I$11&amp;"*"),0)),CHAR(10),'Ingest Template'!F632,CHAR(10),'Ingest Template'!G632,CHAR(10),VLOOKUP('Ingest Template'!D632,DropdownLists!C:D,2,FALSE))</f>
        <v>#N/A</v>
      </c>
      <c r="E632" s="22" t="str">
        <f>CONCATENATE('Ingest Template'!H632,CHAR(10),'Ingest Template'!I632,CHAR(10),'Ingest Template'!J632,CHAR(10))</f>
        <v>
</v>
      </c>
      <c r="F632" s="35" t="str">
        <f t="array" ref="F632">INDEX(DropdownLists!$O$2:$O$36,MATCH(1,COUNTIF(E632,"*"&amp;DropdownLists!$N$2:$N$36&amp;"*"),0))</f>
        <v/>
      </c>
      <c r="G632" s="35"/>
      <c r="H632" s="22" t="str">
        <f t="array" ref="H632">INDEX(DropdownLists!$E$2:$E$276,MATCH('Ingest Template'!D632,DropdownLists!$C$2:$C$276,0))</f>
        <v>#N/A</v>
      </c>
      <c r="I632" s="22"/>
      <c r="J632" s="22" t="str">
        <f t="array" ref="J632">iF('Ingest Template'!A632="Standard","Pristine Brand",INDEX(DropdownLists!$B$2:$B$246,MATCH('Ingest Template'!D632,DropdownLists!$C$2:$C$246,0)))</f>
        <v>#N/A</v>
      </c>
      <c r="K632" s="22" t="str">
        <f>iF('Ingest Template'!A632="Standard",'Ingest Template'!K632&amp;CHAR(10)&amp;'Ingest Template'!L632,"Competitive View")</f>
        <v>Competitive View</v>
      </c>
      <c r="L632" s="22" t="s">
        <v>95</v>
      </c>
      <c r="M632" s="45" t="str">
        <f>'Ingest Template'!B632</f>
        <v/>
      </c>
      <c r="N632" s="35"/>
      <c r="O632" s="35"/>
      <c r="P632" s="35"/>
      <c r="Q632" s="35"/>
      <c r="R632" s="35" t="str">
        <f>'Ingest Template'!D632</f>
        <v/>
      </c>
      <c r="S632" s="22" t="s">
        <v>101</v>
      </c>
      <c r="T632" s="35" t="str">
        <f>'Ingest Template'!V632</f>
        <v/>
      </c>
      <c r="U632" s="35" t="str">
        <f>'Ingest Template'!W632</f>
        <v/>
      </c>
      <c r="V632" s="35" t="str">
        <f>LOWER(SUBSTITUTE(SUBSTITUTE(SUBSTITUTE(SUBSTITUTE(SUBSTITUTE('Ingest Template'!X632,"https:",""),"www.",""),"/",""),"?hl=en",""),"instagram.com",""))</f>
        <v/>
      </c>
      <c r="W632" s="74" t="str">
        <f t="array" ref="W632">IF(
'Ingest Template'!Y632="",
SUBSTITUTE(
INDEX(DropdownLists!$F$2:$F$277,MATCH('Ingest Template'!D632,DropdownLists!$C$2:$C$277,0)),
CHAR(10),
"|"&amp;'Ingest Template'!C632&amp;CHAR(10)
)&amp;"|"&amp;'Ingest Template'!C632,
SUBSTITUTE(
INDEX(DropdownLists!$F$2:$F$277,MATCH('Ingest Template'!D632,DropdownLists!$C$2:$C$277,0)),
CHAR(10),
"|"&amp;'Ingest Template'!C632&amp;CHAR(10)
)&amp;"|"&amp;'Ingest Template'!C632&amp;CHAR(10)&amp;'Ingest Template'!Y632
)</f>
        <v>#N/A</v>
      </c>
      <c r="X632" s="74" t="str">
        <f>'Ingest Template'!Z632</f>
        <v/>
      </c>
      <c r="Y632" s="35" t="str">
        <f>SUBSTITUTE(SUBSTITUTE(SUBSTITUTE('Ingest Template'!AA632,"http:",""),"https:",""),"/","")</f>
        <v/>
      </c>
      <c r="Z632" s="35" t="str">
        <f t="array" ref="Z632">IF('Ingest Template'!A632="Standard",(IF(ISBLANK('Ingest Template'!AB632),"", 'Ingest Template'!AB632&amp;"|DAR")),(IF(ISBLANK('Ingest Template'!AB632),"", 'Ingest Template'!AB632&amp;"|TV Ops")))</f>
        <v/>
      </c>
      <c r="AA632" s="35"/>
      <c r="AB632" s="35" t="str">
        <f>'Ingest Template'!R632</f>
        <v/>
      </c>
      <c r="AC632" s="35" t="str">
        <f>'Ingest Template'!T632</f>
        <v/>
      </c>
      <c r="AD632" s="35" t="str">
        <f>'Ingest Template'!S632</f>
        <v/>
      </c>
      <c r="AE632" s="35" t="str">
        <f>'Ingest Template'!U632</f>
        <v/>
      </c>
      <c r="AF632" s="22"/>
      <c r="AG632" s="35" t="str">
        <f t="array" ref="AG632">IF('Ingest Template'!A632="Standard",(CONCATENATE(IF(ISBLANK('Ingest Template'!N632),"", 'Ingest Template'!N632&amp;"|DAR"),CHAR(10), IF(ISBLANK('Ingest Template'!O632),"", 'Ingest Template'!O632&amp;"|DAR"),CHAR(10), IF(ISBLANK('Ingest Template'!P632),"", 'Ingest Template'!P632&amp;"|DAR"))),(CONCATENATE(IF(ISBLANK('Ingest Template'!N632),"", 'Ingest Template'!N632&amp;"|TV Ops"),CHAR(10), IF(ISBLANK('Ingest Template'!O632),"", 'Ingest Template'!O632&amp;"|TV Ops"),CHAR(10), IF(ISBLANK('Ingest Template'!P632),"", 'Ingest Template'!P632&amp;"|TV Ops"))))</f>
        <v>
</v>
      </c>
      <c r="AH632" s="35"/>
      <c r="AI632" s="35"/>
      <c r="AJ632" s="117" t="str">
        <f>if('Ingest Template'!A632="Standard",(IF(OR('Ingest Template'!F632 = "Program Type - Special", 'Ingest Template'!F632 = "Program Type - Live Event"),'Ingest Template'!M632&amp; "|DAR|DAR|"&amp;TEXT('Ingest Template'!C632-3, "yyyy-mm-dd")&amp;"|"&amp;TEXT('Ingest Template'!C632+3, "yyyy-mm-dd"),'Ingest Template'!M632&amp; "|DAR|DAR|2021-01-01")),(IF(OR('Ingest Template'!F632 = "Program Type - Special", 'Ingest Template'!F632 = "Program Type - Live Event"),'Ingest Template'!M632&amp; "|Operations - Core Title|Operations - Core Title|"&amp;TEXT('Ingest Template'!C632-3, "yyyy-mm-dd")&amp;"|"&amp;TEXT('Ingest Template'!C632+3, "yyyy-mm-dd"),'Ingest Template'!M632&amp; "|Operations - Core Title|Operations - Core Title")))</f>
        <v>|Operations - Core Title|Operations - Core Title</v>
      </c>
      <c r="AK632" s="35"/>
      <c r="AL632" s="117" t="str">
        <f>if('Ingest Template'!A632="Standard",(IF(OR('Ingest Template'!F632 = "Program Type - Special", 'Ingest Template'!F632 = "Program Type - Live Event"),'Ingest Template'!Q632&amp;"|"&amp;TEXT('Ingest Template'!C632-3, "yyyy-mm-dd")&amp;"|"&amp;TEXT('Ingest Template'!C632+3, "yyyy-mm-dd"),'Ingest Template'!Q632&amp; "|2021-01-01")),(IF(OR('Ingest Template'!F632 = "Program Type - Special", 'Ingest Template'!F632 = "Program Type - Live Event"),'Ingest Template'!Q632&amp; "|"&amp;TEXT('Ingest Template'!C632-3, "yyyy-mm-dd")&amp;"|"&amp;TEXT('Ingest Template'!C632+3, "yyyy-mm-dd"),'Ingest Template'!Q632)))</f>
        <v/>
      </c>
      <c r="AM632" s="35" t="str">
        <f>'Ingest Template'!AC632</f>
        <v/>
      </c>
    </row>
    <row r="633">
      <c r="A633" s="15"/>
      <c r="B633" s="22" t="str">
        <f>'Ingest Template'!C633&amp;IF('Ingest Template'!A633 = "Standard", " - DAR","")</f>
        <v/>
      </c>
      <c r="C633" s="22" t="s">
        <v>83</v>
      </c>
      <c r="D633" s="22" t="str">
        <f t="array" ref="D633">CONCATENATE(INDEX(DropdownLists!$H$2:$H$11,MATCH(1,COUNTIF('Ingest Template'!E633,"*"&amp;DropdownLists!$I$2:$I$11&amp;"*"),0)),CHAR(10),'Ingest Template'!F633,CHAR(10),'Ingest Template'!G633,CHAR(10),VLOOKUP('Ingest Template'!D633,DropdownLists!C:D,2,FALSE))</f>
        <v>#N/A</v>
      </c>
      <c r="E633" s="22" t="str">
        <f>CONCATENATE('Ingest Template'!H633,CHAR(10),'Ingest Template'!I633,CHAR(10),'Ingest Template'!J633,CHAR(10))</f>
        <v>
</v>
      </c>
      <c r="F633" s="35" t="str">
        <f t="array" ref="F633">INDEX(DropdownLists!$O$2:$O$36,MATCH(1,COUNTIF(E633,"*"&amp;DropdownLists!$N$2:$N$36&amp;"*"),0))</f>
        <v/>
      </c>
      <c r="G633" s="35"/>
      <c r="H633" s="22" t="str">
        <f t="array" ref="H633">INDEX(DropdownLists!$E$2:$E$276,MATCH('Ingest Template'!D633,DropdownLists!$C$2:$C$276,0))</f>
        <v>#N/A</v>
      </c>
      <c r="I633" s="22"/>
      <c r="J633" s="22" t="str">
        <f t="array" ref="J633">iF('Ingest Template'!A633="Standard","Pristine Brand",INDEX(DropdownLists!$B$2:$B$246,MATCH('Ingest Template'!D633,DropdownLists!$C$2:$C$246,0)))</f>
        <v>#N/A</v>
      </c>
      <c r="K633" s="22" t="str">
        <f>iF('Ingest Template'!A633="Standard",'Ingest Template'!K633&amp;CHAR(10)&amp;'Ingest Template'!L633,"Competitive View")</f>
        <v>Competitive View</v>
      </c>
      <c r="L633" s="22" t="s">
        <v>95</v>
      </c>
      <c r="M633" s="45" t="str">
        <f>'Ingest Template'!B633</f>
        <v/>
      </c>
      <c r="N633" s="35"/>
      <c r="O633" s="35"/>
      <c r="P633" s="35"/>
      <c r="Q633" s="35"/>
      <c r="R633" s="35" t="str">
        <f>'Ingest Template'!D633</f>
        <v/>
      </c>
      <c r="S633" s="22" t="s">
        <v>101</v>
      </c>
      <c r="T633" s="35" t="str">
        <f>'Ingest Template'!V633</f>
        <v/>
      </c>
      <c r="U633" s="35" t="str">
        <f>'Ingest Template'!W633</f>
        <v/>
      </c>
      <c r="V633" s="35" t="str">
        <f>LOWER(SUBSTITUTE(SUBSTITUTE(SUBSTITUTE(SUBSTITUTE(SUBSTITUTE('Ingest Template'!X633,"https:",""),"www.",""),"/",""),"?hl=en",""),"instagram.com",""))</f>
        <v/>
      </c>
      <c r="W633" s="74" t="str">
        <f t="array" ref="W633">IF(
'Ingest Template'!Y633="",
SUBSTITUTE(
INDEX(DropdownLists!$F$2:$F$277,MATCH('Ingest Template'!D633,DropdownLists!$C$2:$C$277,0)),
CHAR(10),
"|"&amp;'Ingest Template'!C633&amp;CHAR(10)
)&amp;"|"&amp;'Ingest Template'!C633,
SUBSTITUTE(
INDEX(DropdownLists!$F$2:$F$277,MATCH('Ingest Template'!D633,DropdownLists!$C$2:$C$277,0)),
CHAR(10),
"|"&amp;'Ingest Template'!C633&amp;CHAR(10)
)&amp;"|"&amp;'Ingest Template'!C633&amp;CHAR(10)&amp;'Ingest Template'!Y633
)</f>
        <v>#N/A</v>
      </c>
      <c r="X633" s="74" t="str">
        <f>'Ingest Template'!Z633</f>
        <v/>
      </c>
      <c r="Y633" s="35" t="str">
        <f>SUBSTITUTE(SUBSTITUTE(SUBSTITUTE('Ingest Template'!AA633,"http:",""),"https:",""),"/","")</f>
        <v/>
      </c>
      <c r="Z633" s="35" t="str">
        <f t="array" ref="Z633">IF('Ingest Template'!A633="Standard",(IF(ISBLANK('Ingest Template'!AB633),"", 'Ingest Template'!AB633&amp;"|DAR")),(IF(ISBLANK('Ingest Template'!AB633),"", 'Ingest Template'!AB633&amp;"|TV Ops")))</f>
        <v/>
      </c>
      <c r="AA633" s="35"/>
      <c r="AB633" s="35" t="str">
        <f>'Ingest Template'!R633</f>
        <v/>
      </c>
      <c r="AC633" s="35" t="str">
        <f>'Ingest Template'!T633</f>
        <v/>
      </c>
      <c r="AD633" s="35" t="str">
        <f>'Ingest Template'!S633</f>
        <v/>
      </c>
      <c r="AE633" s="35" t="str">
        <f>'Ingest Template'!U633</f>
        <v/>
      </c>
      <c r="AF633" s="22"/>
      <c r="AG633" s="35" t="str">
        <f t="array" ref="AG633">IF('Ingest Template'!A633="Standard",(CONCATENATE(IF(ISBLANK('Ingest Template'!N633),"", 'Ingest Template'!N633&amp;"|DAR"),CHAR(10), IF(ISBLANK('Ingest Template'!O633),"", 'Ingest Template'!O633&amp;"|DAR"),CHAR(10), IF(ISBLANK('Ingest Template'!P633),"", 'Ingest Template'!P633&amp;"|DAR"))),(CONCATENATE(IF(ISBLANK('Ingest Template'!N633),"", 'Ingest Template'!N633&amp;"|TV Ops"),CHAR(10), IF(ISBLANK('Ingest Template'!O633),"", 'Ingest Template'!O633&amp;"|TV Ops"),CHAR(10), IF(ISBLANK('Ingest Template'!P633),"", 'Ingest Template'!P633&amp;"|TV Ops"))))</f>
        <v>
</v>
      </c>
      <c r="AH633" s="35"/>
      <c r="AI633" s="35"/>
      <c r="AJ633" s="117" t="str">
        <f>if('Ingest Template'!A633="Standard",(IF(OR('Ingest Template'!F633 = "Program Type - Special", 'Ingest Template'!F633 = "Program Type - Live Event"),'Ingest Template'!M633&amp; "|DAR|DAR|"&amp;TEXT('Ingest Template'!C633-3, "yyyy-mm-dd")&amp;"|"&amp;TEXT('Ingest Template'!C633+3, "yyyy-mm-dd"),'Ingest Template'!M633&amp; "|DAR|DAR|2021-01-01")),(IF(OR('Ingest Template'!F633 = "Program Type - Special", 'Ingest Template'!F633 = "Program Type - Live Event"),'Ingest Template'!M633&amp; "|Operations - Core Title|Operations - Core Title|"&amp;TEXT('Ingest Template'!C633-3, "yyyy-mm-dd")&amp;"|"&amp;TEXT('Ingest Template'!C633+3, "yyyy-mm-dd"),'Ingest Template'!M633&amp; "|Operations - Core Title|Operations - Core Title")))</f>
        <v>|Operations - Core Title|Operations - Core Title</v>
      </c>
      <c r="AK633" s="35"/>
      <c r="AL633" s="117" t="str">
        <f>if('Ingest Template'!A633="Standard",(IF(OR('Ingest Template'!F633 = "Program Type - Special", 'Ingest Template'!F633 = "Program Type - Live Event"),'Ingest Template'!Q633&amp;"|"&amp;TEXT('Ingest Template'!C633-3, "yyyy-mm-dd")&amp;"|"&amp;TEXT('Ingest Template'!C633+3, "yyyy-mm-dd"),'Ingest Template'!Q633&amp; "|2021-01-01")),(IF(OR('Ingest Template'!F633 = "Program Type - Special", 'Ingest Template'!F633 = "Program Type - Live Event"),'Ingest Template'!Q633&amp; "|"&amp;TEXT('Ingest Template'!C633-3, "yyyy-mm-dd")&amp;"|"&amp;TEXT('Ingest Template'!C633+3, "yyyy-mm-dd"),'Ingest Template'!Q633)))</f>
        <v/>
      </c>
      <c r="AM633" s="35" t="str">
        <f>'Ingest Template'!AC633</f>
        <v/>
      </c>
    </row>
    <row r="634">
      <c r="A634" s="15"/>
      <c r="B634" s="22" t="str">
        <f>'Ingest Template'!C634&amp;IF('Ingest Template'!A634 = "Standard", " - DAR","")</f>
        <v/>
      </c>
      <c r="C634" s="22" t="s">
        <v>83</v>
      </c>
      <c r="D634" s="22" t="str">
        <f t="array" ref="D634">CONCATENATE(INDEX(DropdownLists!$H$2:$H$11,MATCH(1,COUNTIF('Ingest Template'!E634,"*"&amp;DropdownLists!$I$2:$I$11&amp;"*"),0)),CHAR(10),'Ingest Template'!F634,CHAR(10),'Ingest Template'!G634,CHAR(10),VLOOKUP('Ingest Template'!D634,DropdownLists!C:D,2,FALSE))</f>
        <v>#N/A</v>
      </c>
      <c r="E634" s="22" t="str">
        <f>CONCATENATE('Ingest Template'!H634,CHAR(10),'Ingest Template'!I634,CHAR(10),'Ingest Template'!J634,CHAR(10))</f>
        <v>
</v>
      </c>
      <c r="F634" s="35" t="str">
        <f t="array" ref="F634">INDEX(DropdownLists!$O$2:$O$36,MATCH(1,COUNTIF(E634,"*"&amp;DropdownLists!$N$2:$N$36&amp;"*"),0))</f>
        <v/>
      </c>
      <c r="G634" s="35"/>
      <c r="H634" s="22" t="str">
        <f t="array" ref="H634">INDEX(DropdownLists!$E$2:$E$276,MATCH('Ingest Template'!D634,DropdownLists!$C$2:$C$276,0))</f>
        <v>#N/A</v>
      </c>
      <c r="I634" s="22"/>
      <c r="J634" s="22" t="str">
        <f t="array" ref="J634">iF('Ingest Template'!A634="Standard","Pristine Brand",INDEX(DropdownLists!$B$2:$B$246,MATCH('Ingest Template'!D634,DropdownLists!$C$2:$C$246,0)))</f>
        <v>#N/A</v>
      </c>
      <c r="K634" s="22" t="str">
        <f>iF('Ingest Template'!A634="Standard",'Ingest Template'!K634&amp;CHAR(10)&amp;'Ingest Template'!L634,"Competitive View")</f>
        <v>Competitive View</v>
      </c>
      <c r="L634" s="22" t="s">
        <v>95</v>
      </c>
      <c r="M634" s="45" t="str">
        <f>'Ingest Template'!B634</f>
        <v/>
      </c>
      <c r="N634" s="35"/>
      <c r="O634" s="35"/>
      <c r="P634" s="35"/>
      <c r="Q634" s="35"/>
      <c r="R634" s="35" t="str">
        <f>'Ingest Template'!D634</f>
        <v/>
      </c>
      <c r="S634" s="22" t="s">
        <v>101</v>
      </c>
      <c r="T634" s="35" t="str">
        <f>'Ingest Template'!V634</f>
        <v/>
      </c>
      <c r="U634" s="35" t="str">
        <f>'Ingest Template'!W634</f>
        <v/>
      </c>
      <c r="V634" s="35" t="str">
        <f>LOWER(SUBSTITUTE(SUBSTITUTE(SUBSTITUTE(SUBSTITUTE(SUBSTITUTE('Ingest Template'!X634,"https:",""),"www.",""),"/",""),"?hl=en",""),"instagram.com",""))</f>
        <v/>
      </c>
      <c r="W634" s="74" t="str">
        <f t="array" ref="W634">IF(
'Ingest Template'!Y634="",
SUBSTITUTE(
INDEX(DropdownLists!$F$2:$F$277,MATCH('Ingest Template'!D634,DropdownLists!$C$2:$C$277,0)),
CHAR(10),
"|"&amp;'Ingest Template'!C634&amp;CHAR(10)
)&amp;"|"&amp;'Ingest Template'!C634,
SUBSTITUTE(
INDEX(DropdownLists!$F$2:$F$277,MATCH('Ingest Template'!D634,DropdownLists!$C$2:$C$277,0)),
CHAR(10),
"|"&amp;'Ingest Template'!C634&amp;CHAR(10)
)&amp;"|"&amp;'Ingest Template'!C634&amp;CHAR(10)&amp;'Ingest Template'!Y634
)</f>
        <v>#N/A</v>
      </c>
      <c r="X634" s="74" t="str">
        <f>'Ingest Template'!Z634</f>
        <v/>
      </c>
      <c r="Y634" s="35" t="str">
        <f>SUBSTITUTE(SUBSTITUTE(SUBSTITUTE('Ingest Template'!AA634,"http:",""),"https:",""),"/","")</f>
        <v/>
      </c>
      <c r="Z634" s="35" t="str">
        <f t="array" ref="Z634">IF('Ingest Template'!A634="Standard",(IF(ISBLANK('Ingest Template'!AB634),"", 'Ingest Template'!AB634&amp;"|DAR")),(IF(ISBLANK('Ingest Template'!AB634),"", 'Ingest Template'!AB634&amp;"|TV Ops")))</f>
        <v/>
      </c>
      <c r="AA634" s="35"/>
      <c r="AB634" s="35" t="str">
        <f>'Ingest Template'!R634</f>
        <v/>
      </c>
      <c r="AC634" s="35" t="str">
        <f>'Ingest Template'!T634</f>
        <v/>
      </c>
      <c r="AD634" s="35" t="str">
        <f>'Ingest Template'!S634</f>
        <v/>
      </c>
      <c r="AE634" s="35" t="str">
        <f>'Ingest Template'!U634</f>
        <v/>
      </c>
      <c r="AF634" s="22"/>
      <c r="AG634" s="35" t="str">
        <f t="array" ref="AG634">IF('Ingest Template'!A634="Standard",(CONCATENATE(IF(ISBLANK('Ingest Template'!N634),"", 'Ingest Template'!N634&amp;"|DAR"),CHAR(10), IF(ISBLANK('Ingest Template'!O634),"", 'Ingest Template'!O634&amp;"|DAR"),CHAR(10), IF(ISBLANK('Ingest Template'!P634),"", 'Ingest Template'!P634&amp;"|DAR"))),(CONCATENATE(IF(ISBLANK('Ingest Template'!N634),"", 'Ingest Template'!N634&amp;"|TV Ops"),CHAR(10), IF(ISBLANK('Ingest Template'!O634),"", 'Ingest Template'!O634&amp;"|TV Ops"),CHAR(10), IF(ISBLANK('Ingest Template'!P634),"", 'Ingest Template'!P634&amp;"|TV Ops"))))</f>
        <v>
</v>
      </c>
      <c r="AH634" s="35"/>
      <c r="AI634" s="35"/>
      <c r="AJ634" s="117" t="str">
        <f>if('Ingest Template'!A634="Standard",(IF(OR('Ingest Template'!F634 = "Program Type - Special", 'Ingest Template'!F634 = "Program Type - Live Event"),'Ingest Template'!M634&amp; "|DAR|DAR|"&amp;TEXT('Ingest Template'!C634-3, "yyyy-mm-dd")&amp;"|"&amp;TEXT('Ingest Template'!C634+3, "yyyy-mm-dd"),'Ingest Template'!M634&amp; "|DAR|DAR|2021-01-01")),(IF(OR('Ingest Template'!F634 = "Program Type - Special", 'Ingest Template'!F634 = "Program Type - Live Event"),'Ingest Template'!M634&amp; "|Operations - Core Title|Operations - Core Title|"&amp;TEXT('Ingest Template'!C634-3, "yyyy-mm-dd")&amp;"|"&amp;TEXT('Ingest Template'!C634+3, "yyyy-mm-dd"),'Ingest Template'!M634&amp; "|Operations - Core Title|Operations - Core Title")))</f>
        <v>|Operations - Core Title|Operations - Core Title</v>
      </c>
      <c r="AK634" s="35"/>
      <c r="AL634" s="117" t="str">
        <f>if('Ingest Template'!A634="Standard",(IF(OR('Ingest Template'!F634 = "Program Type - Special", 'Ingest Template'!F634 = "Program Type - Live Event"),'Ingest Template'!Q634&amp;"|"&amp;TEXT('Ingest Template'!C634-3, "yyyy-mm-dd")&amp;"|"&amp;TEXT('Ingest Template'!C634+3, "yyyy-mm-dd"),'Ingest Template'!Q634&amp; "|2021-01-01")),(IF(OR('Ingest Template'!F634 = "Program Type - Special", 'Ingest Template'!F634 = "Program Type - Live Event"),'Ingest Template'!Q634&amp; "|"&amp;TEXT('Ingest Template'!C634-3, "yyyy-mm-dd")&amp;"|"&amp;TEXT('Ingest Template'!C634+3, "yyyy-mm-dd"),'Ingest Template'!Q634)))</f>
        <v/>
      </c>
      <c r="AM634" s="35" t="str">
        <f>'Ingest Template'!AC634</f>
        <v/>
      </c>
    </row>
    <row r="635">
      <c r="A635" s="15"/>
      <c r="B635" s="22" t="str">
        <f>'Ingest Template'!C635&amp;IF('Ingest Template'!A635 = "Standard", " - DAR","")</f>
        <v/>
      </c>
      <c r="C635" s="22" t="s">
        <v>83</v>
      </c>
      <c r="D635" s="22" t="str">
        <f t="array" ref="D635">CONCATENATE(INDEX(DropdownLists!$H$2:$H$11,MATCH(1,COUNTIF('Ingest Template'!E635,"*"&amp;DropdownLists!$I$2:$I$11&amp;"*"),0)),CHAR(10),'Ingest Template'!F635,CHAR(10),'Ingest Template'!G635,CHAR(10),VLOOKUP('Ingest Template'!D635,DropdownLists!C:D,2,FALSE))</f>
        <v>#N/A</v>
      </c>
      <c r="E635" s="22" t="str">
        <f>CONCATENATE('Ingest Template'!H635,CHAR(10),'Ingest Template'!I635,CHAR(10),'Ingest Template'!J635,CHAR(10))</f>
        <v>
</v>
      </c>
      <c r="F635" s="35" t="str">
        <f t="array" ref="F635">INDEX(DropdownLists!$O$2:$O$36,MATCH(1,COUNTIF(E635,"*"&amp;DropdownLists!$N$2:$N$36&amp;"*"),0))</f>
        <v/>
      </c>
      <c r="G635" s="35"/>
      <c r="H635" s="22" t="str">
        <f t="array" ref="H635">INDEX(DropdownLists!$E$2:$E$276,MATCH('Ingest Template'!D635,DropdownLists!$C$2:$C$276,0))</f>
        <v>#N/A</v>
      </c>
      <c r="I635" s="22"/>
      <c r="J635" s="22" t="str">
        <f t="array" ref="J635">iF('Ingest Template'!A635="Standard","Pristine Brand",INDEX(DropdownLists!$B$2:$B$246,MATCH('Ingest Template'!D635,DropdownLists!$C$2:$C$246,0)))</f>
        <v>#N/A</v>
      </c>
      <c r="K635" s="22" t="str">
        <f>iF('Ingest Template'!A635="Standard",'Ingest Template'!K635&amp;CHAR(10)&amp;'Ingest Template'!L635,"Competitive View")</f>
        <v>Competitive View</v>
      </c>
      <c r="L635" s="22" t="s">
        <v>95</v>
      </c>
      <c r="M635" s="45" t="str">
        <f>'Ingest Template'!B635</f>
        <v/>
      </c>
      <c r="N635" s="35"/>
      <c r="O635" s="35"/>
      <c r="P635" s="35"/>
      <c r="Q635" s="35"/>
      <c r="R635" s="35" t="str">
        <f>'Ingest Template'!D635</f>
        <v/>
      </c>
      <c r="S635" s="22" t="s">
        <v>101</v>
      </c>
      <c r="T635" s="35" t="str">
        <f>'Ingest Template'!V635</f>
        <v/>
      </c>
      <c r="U635" s="35" t="str">
        <f>'Ingest Template'!W635</f>
        <v/>
      </c>
      <c r="V635" s="35" t="str">
        <f>LOWER(SUBSTITUTE(SUBSTITUTE(SUBSTITUTE(SUBSTITUTE(SUBSTITUTE('Ingest Template'!X635,"https:",""),"www.",""),"/",""),"?hl=en",""),"instagram.com",""))</f>
        <v/>
      </c>
      <c r="W635" s="74" t="str">
        <f t="array" ref="W635">IF(
'Ingest Template'!Y635="",
SUBSTITUTE(
INDEX(DropdownLists!$F$2:$F$277,MATCH('Ingest Template'!D635,DropdownLists!$C$2:$C$277,0)),
CHAR(10),
"|"&amp;'Ingest Template'!C635&amp;CHAR(10)
)&amp;"|"&amp;'Ingest Template'!C635,
SUBSTITUTE(
INDEX(DropdownLists!$F$2:$F$277,MATCH('Ingest Template'!D635,DropdownLists!$C$2:$C$277,0)),
CHAR(10),
"|"&amp;'Ingest Template'!C635&amp;CHAR(10)
)&amp;"|"&amp;'Ingest Template'!C635&amp;CHAR(10)&amp;'Ingest Template'!Y635
)</f>
        <v>#N/A</v>
      </c>
      <c r="X635" s="74" t="str">
        <f>'Ingest Template'!Z635</f>
        <v/>
      </c>
      <c r="Y635" s="35" t="str">
        <f>SUBSTITUTE(SUBSTITUTE(SUBSTITUTE('Ingest Template'!AA635,"http:",""),"https:",""),"/","")</f>
        <v/>
      </c>
      <c r="Z635" s="35" t="str">
        <f t="array" ref="Z635">IF('Ingest Template'!A635="Standard",(IF(ISBLANK('Ingest Template'!AB635),"", 'Ingest Template'!AB635&amp;"|DAR")),(IF(ISBLANK('Ingest Template'!AB635),"", 'Ingest Template'!AB635&amp;"|TV Ops")))</f>
        <v/>
      </c>
      <c r="AA635" s="35"/>
      <c r="AB635" s="35" t="str">
        <f>'Ingest Template'!R635</f>
        <v/>
      </c>
      <c r="AC635" s="35" t="str">
        <f>'Ingest Template'!T635</f>
        <v/>
      </c>
      <c r="AD635" s="35" t="str">
        <f>'Ingest Template'!S635</f>
        <v/>
      </c>
      <c r="AE635" s="35" t="str">
        <f>'Ingest Template'!U635</f>
        <v/>
      </c>
      <c r="AF635" s="22"/>
      <c r="AG635" s="35" t="str">
        <f t="array" ref="AG635">IF('Ingest Template'!A635="Standard",(CONCATENATE(IF(ISBLANK('Ingest Template'!N635),"", 'Ingest Template'!N635&amp;"|DAR"),CHAR(10), IF(ISBLANK('Ingest Template'!O635),"", 'Ingest Template'!O635&amp;"|DAR"),CHAR(10), IF(ISBLANK('Ingest Template'!P635),"", 'Ingest Template'!P635&amp;"|DAR"))),(CONCATENATE(IF(ISBLANK('Ingest Template'!N635),"", 'Ingest Template'!N635&amp;"|TV Ops"),CHAR(10), IF(ISBLANK('Ingest Template'!O635),"", 'Ingest Template'!O635&amp;"|TV Ops"),CHAR(10), IF(ISBLANK('Ingest Template'!P635),"", 'Ingest Template'!P635&amp;"|TV Ops"))))</f>
        <v>
</v>
      </c>
      <c r="AH635" s="35"/>
      <c r="AI635" s="35"/>
      <c r="AJ635" s="117" t="str">
        <f>if('Ingest Template'!A635="Standard",(IF(OR('Ingest Template'!F635 = "Program Type - Special", 'Ingest Template'!F635 = "Program Type - Live Event"),'Ingest Template'!M635&amp; "|DAR|DAR|"&amp;TEXT('Ingest Template'!C635-3, "yyyy-mm-dd")&amp;"|"&amp;TEXT('Ingest Template'!C635+3, "yyyy-mm-dd"),'Ingest Template'!M635&amp; "|DAR|DAR|2021-01-01")),(IF(OR('Ingest Template'!F635 = "Program Type - Special", 'Ingest Template'!F635 = "Program Type - Live Event"),'Ingest Template'!M635&amp; "|Operations - Core Title|Operations - Core Title|"&amp;TEXT('Ingest Template'!C635-3, "yyyy-mm-dd")&amp;"|"&amp;TEXT('Ingest Template'!C635+3, "yyyy-mm-dd"),'Ingest Template'!M635&amp; "|Operations - Core Title|Operations - Core Title")))</f>
        <v>|Operations - Core Title|Operations - Core Title</v>
      </c>
      <c r="AK635" s="35"/>
      <c r="AL635" s="117" t="str">
        <f>if('Ingest Template'!A635="Standard",(IF(OR('Ingest Template'!F635 = "Program Type - Special", 'Ingest Template'!F635 = "Program Type - Live Event"),'Ingest Template'!Q635&amp;"|"&amp;TEXT('Ingest Template'!C635-3, "yyyy-mm-dd")&amp;"|"&amp;TEXT('Ingest Template'!C635+3, "yyyy-mm-dd"),'Ingest Template'!Q635&amp; "|2021-01-01")),(IF(OR('Ingest Template'!F635 = "Program Type - Special", 'Ingest Template'!F635 = "Program Type - Live Event"),'Ingest Template'!Q635&amp; "|"&amp;TEXT('Ingest Template'!C635-3, "yyyy-mm-dd")&amp;"|"&amp;TEXT('Ingest Template'!C635+3, "yyyy-mm-dd"),'Ingest Template'!Q635)))</f>
        <v/>
      </c>
      <c r="AM635" s="35" t="str">
        <f>'Ingest Template'!AC635</f>
        <v/>
      </c>
    </row>
    <row r="636">
      <c r="A636" s="15"/>
      <c r="B636" s="22" t="str">
        <f>'Ingest Template'!C636&amp;IF('Ingest Template'!A636 = "Standard", " - DAR","")</f>
        <v/>
      </c>
      <c r="C636" s="22" t="s">
        <v>83</v>
      </c>
      <c r="D636" s="22" t="str">
        <f t="array" ref="D636">CONCATENATE(INDEX(DropdownLists!$H$2:$H$11,MATCH(1,COUNTIF('Ingest Template'!E636,"*"&amp;DropdownLists!$I$2:$I$11&amp;"*"),0)),CHAR(10),'Ingest Template'!F636,CHAR(10),'Ingest Template'!G636,CHAR(10),VLOOKUP('Ingest Template'!D636,DropdownLists!C:D,2,FALSE))</f>
        <v>#N/A</v>
      </c>
      <c r="E636" s="22" t="str">
        <f>CONCATENATE('Ingest Template'!H636,CHAR(10),'Ingest Template'!I636,CHAR(10),'Ingest Template'!J636,CHAR(10))</f>
        <v>
</v>
      </c>
      <c r="F636" s="35" t="str">
        <f t="array" ref="F636">INDEX(DropdownLists!$O$2:$O$36,MATCH(1,COUNTIF(E636,"*"&amp;DropdownLists!$N$2:$N$36&amp;"*"),0))</f>
        <v/>
      </c>
      <c r="G636" s="35"/>
      <c r="H636" s="22" t="str">
        <f t="array" ref="H636">INDEX(DropdownLists!$E$2:$E$276,MATCH('Ingest Template'!D636,DropdownLists!$C$2:$C$276,0))</f>
        <v>#N/A</v>
      </c>
      <c r="I636" s="22"/>
      <c r="J636" s="22" t="str">
        <f t="array" ref="J636">iF('Ingest Template'!A636="Standard","Pristine Brand",INDEX(DropdownLists!$B$2:$B$246,MATCH('Ingest Template'!D636,DropdownLists!$C$2:$C$246,0)))</f>
        <v>#N/A</v>
      </c>
      <c r="K636" s="22" t="str">
        <f>iF('Ingest Template'!A636="Standard",'Ingest Template'!K636&amp;CHAR(10)&amp;'Ingest Template'!L636,"Competitive View")</f>
        <v>Competitive View</v>
      </c>
      <c r="L636" s="22" t="s">
        <v>95</v>
      </c>
      <c r="M636" s="45" t="str">
        <f>'Ingest Template'!B636</f>
        <v/>
      </c>
      <c r="N636" s="35"/>
      <c r="O636" s="35"/>
      <c r="P636" s="35"/>
      <c r="Q636" s="35"/>
      <c r="R636" s="35" t="str">
        <f>'Ingest Template'!D636</f>
        <v/>
      </c>
      <c r="S636" s="22" t="s">
        <v>101</v>
      </c>
      <c r="T636" s="35" t="str">
        <f>'Ingest Template'!V636</f>
        <v/>
      </c>
      <c r="U636" s="35" t="str">
        <f>'Ingest Template'!W636</f>
        <v/>
      </c>
      <c r="V636" s="35" t="str">
        <f>LOWER(SUBSTITUTE(SUBSTITUTE(SUBSTITUTE(SUBSTITUTE(SUBSTITUTE('Ingest Template'!X636,"https:",""),"www.",""),"/",""),"?hl=en",""),"instagram.com",""))</f>
        <v/>
      </c>
      <c r="W636" s="74" t="str">
        <f t="array" ref="W636">IF(
'Ingest Template'!Y636="",
SUBSTITUTE(
INDEX(DropdownLists!$F$2:$F$277,MATCH('Ingest Template'!D636,DropdownLists!$C$2:$C$277,0)),
CHAR(10),
"|"&amp;'Ingest Template'!C636&amp;CHAR(10)
)&amp;"|"&amp;'Ingest Template'!C636,
SUBSTITUTE(
INDEX(DropdownLists!$F$2:$F$277,MATCH('Ingest Template'!D636,DropdownLists!$C$2:$C$277,0)),
CHAR(10),
"|"&amp;'Ingest Template'!C636&amp;CHAR(10)
)&amp;"|"&amp;'Ingest Template'!C636&amp;CHAR(10)&amp;'Ingest Template'!Y636
)</f>
        <v>#N/A</v>
      </c>
      <c r="X636" s="74" t="str">
        <f>'Ingest Template'!Z636</f>
        <v/>
      </c>
      <c r="Y636" s="35" t="str">
        <f>SUBSTITUTE(SUBSTITUTE(SUBSTITUTE('Ingest Template'!AA636,"http:",""),"https:",""),"/","")</f>
        <v/>
      </c>
      <c r="Z636" s="35" t="str">
        <f t="array" ref="Z636">IF('Ingest Template'!A636="Standard",(IF(ISBLANK('Ingest Template'!AB636),"", 'Ingest Template'!AB636&amp;"|DAR")),(IF(ISBLANK('Ingest Template'!AB636),"", 'Ingest Template'!AB636&amp;"|TV Ops")))</f>
        <v/>
      </c>
      <c r="AA636" s="35"/>
      <c r="AB636" s="35" t="str">
        <f>'Ingest Template'!R636</f>
        <v/>
      </c>
      <c r="AC636" s="35" t="str">
        <f>'Ingest Template'!T636</f>
        <v/>
      </c>
      <c r="AD636" s="35" t="str">
        <f>'Ingest Template'!S636</f>
        <v/>
      </c>
      <c r="AE636" s="35" t="str">
        <f>'Ingest Template'!U636</f>
        <v/>
      </c>
      <c r="AF636" s="22"/>
      <c r="AG636" s="35" t="str">
        <f t="array" ref="AG636">IF('Ingest Template'!A636="Standard",(CONCATENATE(IF(ISBLANK('Ingest Template'!N636),"", 'Ingest Template'!N636&amp;"|DAR"),CHAR(10), IF(ISBLANK('Ingest Template'!O636),"", 'Ingest Template'!O636&amp;"|DAR"),CHAR(10), IF(ISBLANK('Ingest Template'!P636),"", 'Ingest Template'!P636&amp;"|DAR"))),(CONCATENATE(IF(ISBLANK('Ingest Template'!N636),"", 'Ingest Template'!N636&amp;"|TV Ops"),CHAR(10), IF(ISBLANK('Ingest Template'!O636),"", 'Ingest Template'!O636&amp;"|TV Ops"),CHAR(10), IF(ISBLANK('Ingest Template'!P636),"", 'Ingest Template'!P636&amp;"|TV Ops"))))</f>
        <v>
</v>
      </c>
      <c r="AH636" s="35"/>
      <c r="AI636" s="35"/>
      <c r="AJ636" s="117" t="str">
        <f>if('Ingest Template'!A636="Standard",(IF(OR('Ingest Template'!F636 = "Program Type - Special", 'Ingest Template'!F636 = "Program Type - Live Event"),'Ingest Template'!M636&amp; "|DAR|DAR|"&amp;TEXT('Ingest Template'!C636-3, "yyyy-mm-dd")&amp;"|"&amp;TEXT('Ingest Template'!C636+3, "yyyy-mm-dd"),'Ingest Template'!M636&amp; "|DAR|DAR|2021-01-01")),(IF(OR('Ingest Template'!F636 = "Program Type - Special", 'Ingest Template'!F636 = "Program Type - Live Event"),'Ingest Template'!M636&amp; "|Operations - Core Title|Operations - Core Title|"&amp;TEXT('Ingest Template'!C636-3, "yyyy-mm-dd")&amp;"|"&amp;TEXT('Ingest Template'!C636+3, "yyyy-mm-dd"),'Ingest Template'!M636&amp; "|Operations - Core Title|Operations - Core Title")))</f>
        <v>|Operations - Core Title|Operations - Core Title</v>
      </c>
      <c r="AK636" s="35"/>
      <c r="AL636" s="117" t="str">
        <f>if('Ingest Template'!A636="Standard",(IF(OR('Ingest Template'!F636 = "Program Type - Special", 'Ingest Template'!F636 = "Program Type - Live Event"),'Ingest Template'!Q636&amp;"|"&amp;TEXT('Ingest Template'!C636-3, "yyyy-mm-dd")&amp;"|"&amp;TEXT('Ingest Template'!C636+3, "yyyy-mm-dd"),'Ingest Template'!Q636&amp; "|2021-01-01")),(IF(OR('Ingest Template'!F636 = "Program Type - Special", 'Ingest Template'!F636 = "Program Type - Live Event"),'Ingest Template'!Q636&amp; "|"&amp;TEXT('Ingest Template'!C636-3, "yyyy-mm-dd")&amp;"|"&amp;TEXT('Ingest Template'!C636+3, "yyyy-mm-dd"),'Ingest Template'!Q636)))</f>
        <v/>
      </c>
      <c r="AM636" s="35" t="str">
        <f>'Ingest Template'!AC636</f>
        <v/>
      </c>
    </row>
    <row r="637">
      <c r="A637" s="15"/>
      <c r="B637" s="22" t="str">
        <f>'Ingest Template'!C637&amp;IF('Ingest Template'!A637 = "Standard", " - DAR","")</f>
        <v/>
      </c>
      <c r="C637" s="22" t="s">
        <v>83</v>
      </c>
      <c r="D637" s="22" t="str">
        <f t="array" ref="D637">CONCATENATE(INDEX(DropdownLists!$H$2:$H$11,MATCH(1,COUNTIF('Ingest Template'!E637,"*"&amp;DropdownLists!$I$2:$I$11&amp;"*"),0)),CHAR(10),'Ingest Template'!F637,CHAR(10),'Ingest Template'!G637,CHAR(10),VLOOKUP('Ingest Template'!D637,DropdownLists!C:D,2,FALSE))</f>
        <v>#N/A</v>
      </c>
      <c r="E637" s="22" t="str">
        <f>CONCATENATE('Ingest Template'!H637,CHAR(10),'Ingest Template'!I637,CHAR(10),'Ingest Template'!J637,CHAR(10))</f>
        <v>
</v>
      </c>
      <c r="F637" s="35" t="str">
        <f t="array" ref="F637">INDEX(DropdownLists!$O$2:$O$36,MATCH(1,COUNTIF(E637,"*"&amp;DropdownLists!$N$2:$N$36&amp;"*"),0))</f>
        <v/>
      </c>
      <c r="G637" s="35"/>
      <c r="H637" s="22" t="str">
        <f t="array" ref="H637">INDEX(DropdownLists!$E$2:$E$276,MATCH('Ingest Template'!D637,DropdownLists!$C$2:$C$276,0))</f>
        <v>#N/A</v>
      </c>
      <c r="I637" s="22"/>
      <c r="J637" s="22" t="str">
        <f t="array" ref="J637">iF('Ingest Template'!A637="Standard","Pristine Brand",INDEX(DropdownLists!$B$2:$B$246,MATCH('Ingest Template'!D637,DropdownLists!$C$2:$C$246,0)))</f>
        <v>#N/A</v>
      </c>
      <c r="K637" s="22" t="str">
        <f>iF('Ingest Template'!A637="Standard",'Ingest Template'!K637&amp;CHAR(10)&amp;'Ingest Template'!L637,"Competitive View")</f>
        <v>Competitive View</v>
      </c>
      <c r="L637" s="22" t="s">
        <v>95</v>
      </c>
      <c r="M637" s="45" t="str">
        <f>'Ingest Template'!B637</f>
        <v/>
      </c>
      <c r="N637" s="35"/>
      <c r="O637" s="35"/>
      <c r="P637" s="35"/>
      <c r="Q637" s="35"/>
      <c r="R637" s="35" t="str">
        <f>'Ingest Template'!D637</f>
        <v/>
      </c>
      <c r="S637" s="22" t="s">
        <v>101</v>
      </c>
      <c r="T637" s="35" t="str">
        <f>'Ingest Template'!V637</f>
        <v/>
      </c>
      <c r="U637" s="35" t="str">
        <f>'Ingest Template'!W637</f>
        <v/>
      </c>
      <c r="V637" s="35" t="str">
        <f>LOWER(SUBSTITUTE(SUBSTITUTE(SUBSTITUTE(SUBSTITUTE(SUBSTITUTE('Ingest Template'!X637,"https:",""),"www.",""),"/",""),"?hl=en",""),"instagram.com",""))</f>
        <v/>
      </c>
      <c r="W637" s="74" t="str">
        <f t="array" ref="W637">IF(
'Ingest Template'!Y637="",
SUBSTITUTE(
INDEX(DropdownLists!$F$2:$F$277,MATCH('Ingest Template'!D637,DropdownLists!$C$2:$C$277,0)),
CHAR(10),
"|"&amp;'Ingest Template'!C637&amp;CHAR(10)
)&amp;"|"&amp;'Ingest Template'!C637,
SUBSTITUTE(
INDEX(DropdownLists!$F$2:$F$277,MATCH('Ingest Template'!D637,DropdownLists!$C$2:$C$277,0)),
CHAR(10),
"|"&amp;'Ingest Template'!C637&amp;CHAR(10)
)&amp;"|"&amp;'Ingest Template'!C637&amp;CHAR(10)&amp;'Ingest Template'!Y637
)</f>
        <v>#N/A</v>
      </c>
      <c r="X637" s="74" t="str">
        <f>'Ingest Template'!Z637</f>
        <v/>
      </c>
      <c r="Y637" s="35" t="str">
        <f>SUBSTITUTE(SUBSTITUTE(SUBSTITUTE('Ingest Template'!AA637,"http:",""),"https:",""),"/","")</f>
        <v/>
      </c>
      <c r="Z637" s="35" t="str">
        <f t="array" ref="Z637">IF('Ingest Template'!A637="Standard",(IF(ISBLANK('Ingest Template'!AB637),"", 'Ingest Template'!AB637&amp;"|DAR")),(IF(ISBLANK('Ingest Template'!AB637),"", 'Ingest Template'!AB637&amp;"|TV Ops")))</f>
        <v/>
      </c>
      <c r="AA637" s="35"/>
      <c r="AB637" s="35" t="str">
        <f>'Ingest Template'!R637</f>
        <v/>
      </c>
      <c r="AC637" s="35" t="str">
        <f>'Ingest Template'!T637</f>
        <v/>
      </c>
      <c r="AD637" s="35" t="str">
        <f>'Ingest Template'!S637</f>
        <v/>
      </c>
      <c r="AE637" s="35" t="str">
        <f>'Ingest Template'!U637</f>
        <v/>
      </c>
      <c r="AF637" s="22"/>
      <c r="AG637" s="35" t="str">
        <f t="array" ref="AG637">IF('Ingest Template'!A637="Standard",(CONCATENATE(IF(ISBLANK('Ingest Template'!N637),"", 'Ingest Template'!N637&amp;"|DAR"),CHAR(10), IF(ISBLANK('Ingest Template'!O637),"", 'Ingest Template'!O637&amp;"|DAR"),CHAR(10), IF(ISBLANK('Ingest Template'!P637),"", 'Ingest Template'!P637&amp;"|DAR"))),(CONCATENATE(IF(ISBLANK('Ingest Template'!N637),"", 'Ingest Template'!N637&amp;"|TV Ops"),CHAR(10), IF(ISBLANK('Ingest Template'!O637),"", 'Ingest Template'!O637&amp;"|TV Ops"),CHAR(10), IF(ISBLANK('Ingest Template'!P637),"", 'Ingest Template'!P637&amp;"|TV Ops"))))</f>
        <v>
</v>
      </c>
      <c r="AH637" s="35"/>
      <c r="AI637" s="35"/>
      <c r="AJ637" s="117" t="str">
        <f>if('Ingest Template'!A637="Standard",(IF(OR('Ingest Template'!F637 = "Program Type - Special", 'Ingest Template'!F637 = "Program Type - Live Event"),'Ingest Template'!M637&amp; "|DAR|DAR|"&amp;TEXT('Ingest Template'!C637-3, "yyyy-mm-dd")&amp;"|"&amp;TEXT('Ingest Template'!C637+3, "yyyy-mm-dd"),'Ingest Template'!M637&amp; "|DAR|DAR|2021-01-01")),(IF(OR('Ingest Template'!F637 = "Program Type - Special", 'Ingest Template'!F637 = "Program Type - Live Event"),'Ingest Template'!M637&amp; "|Operations - Core Title|Operations - Core Title|"&amp;TEXT('Ingest Template'!C637-3, "yyyy-mm-dd")&amp;"|"&amp;TEXT('Ingest Template'!C637+3, "yyyy-mm-dd"),'Ingest Template'!M637&amp; "|Operations - Core Title|Operations - Core Title")))</f>
        <v>|Operations - Core Title|Operations - Core Title</v>
      </c>
      <c r="AK637" s="35"/>
      <c r="AL637" s="117" t="str">
        <f>if('Ingest Template'!A637="Standard",(IF(OR('Ingest Template'!F637 = "Program Type - Special", 'Ingest Template'!F637 = "Program Type - Live Event"),'Ingest Template'!Q637&amp;"|"&amp;TEXT('Ingest Template'!C637-3, "yyyy-mm-dd")&amp;"|"&amp;TEXT('Ingest Template'!C637+3, "yyyy-mm-dd"),'Ingest Template'!Q637&amp; "|2021-01-01")),(IF(OR('Ingest Template'!F637 = "Program Type - Special", 'Ingest Template'!F637 = "Program Type - Live Event"),'Ingest Template'!Q637&amp; "|"&amp;TEXT('Ingest Template'!C637-3, "yyyy-mm-dd")&amp;"|"&amp;TEXT('Ingest Template'!C637+3, "yyyy-mm-dd"),'Ingest Template'!Q637)))</f>
        <v/>
      </c>
      <c r="AM637" s="35" t="str">
        <f>'Ingest Template'!AC637</f>
        <v/>
      </c>
    </row>
    <row r="638">
      <c r="A638" s="15"/>
      <c r="B638" s="22" t="str">
        <f>'Ingest Template'!C638&amp;IF('Ingest Template'!A638 = "Standard", " - DAR","")</f>
        <v/>
      </c>
      <c r="C638" s="22" t="s">
        <v>83</v>
      </c>
      <c r="D638" s="22" t="str">
        <f t="array" ref="D638">CONCATENATE(INDEX(DropdownLists!$H$2:$H$11,MATCH(1,COUNTIF('Ingest Template'!E638,"*"&amp;DropdownLists!$I$2:$I$11&amp;"*"),0)),CHAR(10),'Ingest Template'!F638,CHAR(10),'Ingest Template'!G638,CHAR(10),VLOOKUP('Ingest Template'!D638,DropdownLists!C:D,2,FALSE))</f>
        <v>#N/A</v>
      </c>
      <c r="E638" s="22" t="str">
        <f>CONCATENATE('Ingest Template'!H638,CHAR(10),'Ingest Template'!I638,CHAR(10),'Ingest Template'!J638,CHAR(10))</f>
        <v>
</v>
      </c>
      <c r="F638" s="35" t="str">
        <f t="array" ref="F638">INDEX(DropdownLists!$O$2:$O$36,MATCH(1,COUNTIF(E638,"*"&amp;DropdownLists!$N$2:$N$36&amp;"*"),0))</f>
        <v/>
      </c>
      <c r="G638" s="35"/>
      <c r="H638" s="22" t="str">
        <f t="array" ref="H638">INDEX(DropdownLists!$E$2:$E$276,MATCH('Ingest Template'!D638,DropdownLists!$C$2:$C$276,0))</f>
        <v>#N/A</v>
      </c>
      <c r="I638" s="22"/>
      <c r="J638" s="22" t="str">
        <f t="array" ref="J638">iF('Ingest Template'!A638="Standard","Pristine Brand",INDEX(DropdownLists!$B$2:$B$246,MATCH('Ingest Template'!D638,DropdownLists!$C$2:$C$246,0)))</f>
        <v>#N/A</v>
      </c>
      <c r="K638" s="22" t="str">
        <f>iF('Ingest Template'!A638="Standard",'Ingest Template'!K638&amp;CHAR(10)&amp;'Ingest Template'!L638,"Competitive View")</f>
        <v>Competitive View</v>
      </c>
      <c r="L638" s="22" t="s">
        <v>95</v>
      </c>
      <c r="M638" s="45" t="str">
        <f>'Ingest Template'!B638</f>
        <v/>
      </c>
      <c r="N638" s="35"/>
      <c r="O638" s="35"/>
      <c r="P638" s="35"/>
      <c r="Q638" s="35"/>
      <c r="R638" s="35" t="str">
        <f>'Ingest Template'!D638</f>
        <v/>
      </c>
      <c r="S638" s="22" t="s">
        <v>101</v>
      </c>
      <c r="T638" s="35" t="str">
        <f>'Ingest Template'!V638</f>
        <v/>
      </c>
      <c r="U638" s="35" t="str">
        <f>'Ingest Template'!W638</f>
        <v/>
      </c>
      <c r="V638" s="35" t="str">
        <f>LOWER(SUBSTITUTE(SUBSTITUTE(SUBSTITUTE(SUBSTITUTE(SUBSTITUTE('Ingest Template'!X638,"https:",""),"www.",""),"/",""),"?hl=en",""),"instagram.com",""))</f>
        <v/>
      </c>
      <c r="W638" s="74" t="str">
        <f t="array" ref="W638">IF(
'Ingest Template'!Y638="",
SUBSTITUTE(
INDEX(DropdownLists!$F$2:$F$277,MATCH('Ingest Template'!D638,DropdownLists!$C$2:$C$277,0)),
CHAR(10),
"|"&amp;'Ingest Template'!C638&amp;CHAR(10)
)&amp;"|"&amp;'Ingest Template'!C638,
SUBSTITUTE(
INDEX(DropdownLists!$F$2:$F$277,MATCH('Ingest Template'!D638,DropdownLists!$C$2:$C$277,0)),
CHAR(10),
"|"&amp;'Ingest Template'!C638&amp;CHAR(10)
)&amp;"|"&amp;'Ingest Template'!C638&amp;CHAR(10)&amp;'Ingest Template'!Y638
)</f>
        <v>#N/A</v>
      </c>
      <c r="X638" s="74" t="str">
        <f>'Ingest Template'!Z638</f>
        <v/>
      </c>
      <c r="Y638" s="35" t="str">
        <f>SUBSTITUTE(SUBSTITUTE(SUBSTITUTE('Ingest Template'!AA638,"http:",""),"https:",""),"/","")</f>
        <v/>
      </c>
      <c r="Z638" s="35" t="str">
        <f t="array" ref="Z638">IF('Ingest Template'!A638="Standard",(IF(ISBLANK('Ingest Template'!AB638),"", 'Ingest Template'!AB638&amp;"|DAR")),(IF(ISBLANK('Ingest Template'!AB638),"", 'Ingest Template'!AB638&amp;"|TV Ops")))</f>
        <v/>
      </c>
      <c r="AA638" s="35"/>
      <c r="AB638" s="35" t="str">
        <f>'Ingest Template'!R638</f>
        <v/>
      </c>
      <c r="AC638" s="35" t="str">
        <f>'Ingest Template'!T638</f>
        <v/>
      </c>
      <c r="AD638" s="35" t="str">
        <f>'Ingest Template'!S638</f>
        <v/>
      </c>
      <c r="AE638" s="35" t="str">
        <f>'Ingest Template'!U638</f>
        <v/>
      </c>
      <c r="AF638" s="22"/>
      <c r="AG638" s="35" t="str">
        <f t="array" ref="AG638">IF('Ingest Template'!A638="Standard",(CONCATENATE(IF(ISBLANK('Ingest Template'!N638),"", 'Ingest Template'!N638&amp;"|DAR"),CHAR(10), IF(ISBLANK('Ingest Template'!O638),"", 'Ingest Template'!O638&amp;"|DAR"),CHAR(10), IF(ISBLANK('Ingest Template'!P638),"", 'Ingest Template'!P638&amp;"|DAR"))),(CONCATENATE(IF(ISBLANK('Ingest Template'!N638),"", 'Ingest Template'!N638&amp;"|TV Ops"),CHAR(10), IF(ISBLANK('Ingest Template'!O638),"", 'Ingest Template'!O638&amp;"|TV Ops"),CHAR(10), IF(ISBLANK('Ingest Template'!P638),"", 'Ingest Template'!P638&amp;"|TV Ops"))))</f>
        <v>
</v>
      </c>
      <c r="AH638" s="35"/>
      <c r="AI638" s="35"/>
      <c r="AJ638" s="117" t="str">
        <f>if('Ingest Template'!A638="Standard",(IF(OR('Ingest Template'!F638 = "Program Type - Special", 'Ingest Template'!F638 = "Program Type - Live Event"),'Ingest Template'!M638&amp; "|DAR|DAR|"&amp;TEXT('Ingest Template'!C638-3, "yyyy-mm-dd")&amp;"|"&amp;TEXT('Ingest Template'!C638+3, "yyyy-mm-dd"),'Ingest Template'!M638&amp; "|DAR|DAR|2021-01-01")),(IF(OR('Ingest Template'!F638 = "Program Type - Special", 'Ingest Template'!F638 = "Program Type - Live Event"),'Ingest Template'!M638&amp; "|Operations - Core Title|Operations - Core Title|"&amp;TEXT('Ingest Template'!C638-3, "yyyy-mm-dd")&amp;"|"&amp;TEXT('Ingest Template'!C638+3, "yyyy-mm-dd"),'Ingest Template'!M638&amp; "|Operations - Core Title|Operations - Core Title")))</f>
        <v>|Operations - Core Title|Operations - Core Title</v>
      </c>
      <c r="AK638" s="35"/>
      <c r="AL638" s="117" t="str">
        <f>if('Ingest Template'!A638="Standard",(IF(OR('Ingest Template'!F638 = "Program Type - Special", 'Ingest Template'!F638 = "Program Type - Live Event"),'Ingest Template'!Q638&amp;"|"&amp;TEXT('Ingest Template'!C638-3, "yyyy-mm-dd")&amp;"|"&amp;TEXT('Ingest Template'!C638+3, "yyyy-mm-dd"),'Ingest Template'!Q638&amp; "|2021-01-01")),(IF(OR('Ingest Template'!F638 = "Program Type - Special", 'Ingest Template'!F638 = "Program Type - Live Event"),'Ingest Template'!Q638&amp; "|"&amp;TEXT('Ingest Template'!C638-3, "yyyy-mm-dd")&amp;"|"&amp;TEXT('Ingest Template'!C638+3, "yyyy-mm-dd"),'Ingest Template'!Q638)))</f>
        <v/>
      </c>
      <c r="AM638" s="35" t="str">
        <f>'Ingest Template'!AC638</f>
        <v/>
      </c>
    </row>
    <row r="639">
      <c r="A639" s="15"/>
      <c r="B639" s="22" t="str">
        <f>'Ingest Template'!C639&amp;IF('Ingest Template'!A639 = "Standard", " - DAR","")</f>
        <v/>
      </c>
      <c r="C639" s="22" t="s">
        <v>83</v>
      </c>
      <c r="D639" s="22" t="str">
        <f t="array" ref="D639">CONCATENATE(INDEX(DropdownLists!$H$2:$H$11,MATCH(1,COUNTIF('Ingest Template'!E639,"*"&amp;DropdownLists!$I$2:$I$11&amp;"*"),0)),CHAR(10),'Ingest Template'!F639,CHAR(10),'Ingest Template'!G639,CHAR(10),VLOOKUP('Ingest Template'!D639,DropdownLists!C:D,2,FALSE))</f>
        <v>#N/A</v>
      </c>
      <c r="E639" s="22" t="str">
        <f>CONCATENATE('Ingest Template'!H639,CHAR(10),'Ingest Template'!I639,CHAR(10),'Ingest Template'!J639,CHAR(10))</f>
        <v>
</v>
      </c>
      <c r="F639" s="35" t="str">
        <f t="array" ref="F639">INDEX(DropdownLists!$O$2:$O$36,MATCH(1,COUNTIF(E639,"*"&amp;DropdownLists!$N$2:$N$36&amp;"*"),0))</f>
        <v/>
      </c>
      <c r="G639" s="35"/>
      <c r="H639" s="22" t="str">
        <f t="array" ref="H639">INDEX(DropdownLists!$E$2:$E$276,MATCH('Ingest Template'!D639,DropdownLists!$C$2:$C$276,0))</f>
        <v>#N/A</v>
      </c>
      <c r="I639" s="22"/>
      <c r="J639" s="22" t="str">
        <f t="array" ref="J639">iF('Ingest Template'!A639="Standard","Pristine Brand",INDEX(DropdownLists!$B$2:$B$246,MATCH('Ingest Template'!D639,DropdownLists!$C$2:$C$246,0)))</f>
        <v>#N/A</v>
      </c>
      <c r="K639" s="22" t="str">
        <f>iF('Ingest Template'!A639="Standard",'Ingest Template'!K639&amp;CHAR(10)&amp;'Ingest Template'!L639,"Competitive View")</f>
        <v>Competitive View</v>
      </c>
      <c r="L639" s="22" t="s">
        <v>95</v>
      </c>
      <c r="M639" s="45" t="str">
        <f>'Ingest Template'!B639</f>
        <v/>
      </c>
      <c r="N639" s="35"/>
      <c r="O639" s="35"/>
      <c r="P639" s="35"/>
      <c r="Q639" s="35"/>
      <c r="R639" s="35" t="str">
        <f>'Ingest Template'!D639</f>
        <v/>
      </c>
      <c r="S639" s="22" t="s">
        <v>101</v>
      </c>
      <c r="T639" s="35" t="str">
        <f>'Ingest Template'!V639</f>
        <v/>
      </c>
      <c r="U639" s="35" t="str">
        <f>'Ingest Template'!W639</f>
        <v/>
      </c>
      <c r="V639" s="35" t="str">
        <f>LOWER(SUBSTITUTE(SUBSTITUTE(SUBSTITUTE(SUBSTITUTE(SUBSTITUTE('Ingest Template'!X639,"https:",""),"www.",""),"/",""),"?hl=en",""),"instagram.com",""))</f>
        <v/>
      </c>
      <c r="W639" s="74" t="str">
        <f t="array" ref="W639">IF(
'Ingest Template'!Y639="",
SUBSTITUTE(
INDEX(DropdownLists!$F$2:$F$277,MATCH('Ingest Template'!D639,DropdownLists!$C$2:$C$277,0)),
CHAR(10),
"|"&amp;'Ingest Template'!C639&amp;CHAR(10)
)&amp;"|"&amp;'Ingest Template'!C639,
SUBSTITUTE(
INDEX(DropdownLists!$F$2:$F$277,MATCH('Ingest Template'!D639,DropdownLists!$C$2:$C$277,0)),
CHAR(10),
"|"&amp;'Ingest Template'!C639&amp;CHAR(10)
)&amp;"|"&amp;'Ingest Template'!C639&amp;CHAR(10)&amp;'Ingest Template'!Y639
)</f>
        <v>#N/A</v>
      </c>
      <c r="X639" s="74" t="str">
        <f>'Ingest Template'!Z639</f>
        <v/>
      </c>
      <c r="Y639" s="35" t="str">
        <f>SUBSTITUTE(SUBSTITUTE(SUBSTITUTE('Ingest Template'!AA639,"http:",""),"https:",""),"/","")</f>
        <v/>
      </c>
      <c r="Z639" s="35" t="str">
        <f t="array" ref="Z639">IF('Ingest Template'!A639="Standard",(IF(ISBLANK('Ingest Template'!AB639),"", 'Ingest Template'!AB639&amp;"|DAR")),(IF(ISBLANK('Ingest Template'!AB639),"", 'Ingest Template'!AB639&amp;"|TV Ops")))</f>
        <v/>
      </c>
      <c r="AA639" s="35"/>
      <c r="AB639" s="35" t="str">
        <f>'Ingest Template'!R639</f>
        <v/>
      </c>
      <c r="AC639" s="35" t="str">
        <f>'Ingest Template'!T639</f>
        <v/>
      </c>
      <c r="AD639" s="35" t="str">
        <f>'Ingest Template'!S639</f>
        <v/>
      </c>
      <c r="AE639" s="35" t="str">
        <f>'Ingest Template'!U639</f>
        <v/>
      </c>
      <c r="AF639" s="22"/>
      <c r="AG639" s="35" t="str">
        <f t="array" ref="AG639">IF('Ingest Template'!A639="Standard",(CONCATENATE(IF(ISBLANK('Ingest Template'!N639),"", 'Ingest Template'!N639&amp;"|DAR"),CHAR(10), IF(ISBLANK('Ingest Template'!O639),"", 'Ingest Template'!O639&amp;"|DAR"),CHAR(10), IF(ISBLANK('Ingest Template'!P639),"", 'Ingest Template'!P639&amp;"|DAR"))),(CONCATENATE(IF(ISBLANK('Ingest Template'!N639),"", 'Ingest Template'!N639&amp;"|TV Ops"),CHAR(10), IF(ISBLANK('Ingest Template'!O639),"", 'Ingest Template'!O639&amp;"|TV Ops"),CHAR(10), IF(ISBLANK('Ingest Template'!P639),"", 'Ingest Template'!P639&amp;"|TV Ops"))))</f>
        <v>
</v>
      </c>
      <c r="AH639" s="35"/>
      <c r="AI639" s="35"/>
      <c r="AJ639" s="117" t="str">
        <f>if('Ingest Template'!A639="Standard",(IF(OR('Ingest Template'!F639 = "Program Type - Special", 'Ingest Template'!F639 = "Program Type - Live Event"),'Ingest Template'!M639&amp; "|DAR|DAR|"&amp;TEXT('Ingest Template'!C639-3, "yyyy-mm-dd")&amp;"|"&amp;TEXT('Ingest Template'!C639+3, "yyyy-mm-dd"),'Ingest Template'!M639&amp; "|DAR|DAR|2021-01-01")),(IF(OR('Ingest Template'!F639 = "Program Type - Special", 'Ingest Template'!F639 = "Program Type - Live Event"),'Ingest Template'!M639&amp; "|Operations - Core Title|Operations - Core Title|"&amp;TEXT('Ingest Template'!C639-3, "yyyy-mm-dd")&amp;"|"&amp;TEXT('Ingest Template'!C639+3, "yyyy-mm-dd"),'Ingest Template'!M639&amp; "|Operations - Core Title|Operations - Core Title")))</f>
        <v>|Operations - Core Title|Operations - Core Title</v>
      </c>
      <c r="AK639" s="35"/>
      <c r="AL639" s="117" t="str">
        <f>if('Ingest Template'!A639="Standard",(IF(OR('Ingest Template'!F639 = "Program Type - Special", 'Ingest Template'!F639 = "Program Type - Live Event"),'Ingest Template'!Q639&amp;"|"&amp;TEXT('Ingest Template'!C639-3, "yyyy-mm-dd")&amp;"|"&amp;TEXT('Ingest Template'!C639+3, "yyyy-mm-dd"),'Ingest Template'!Q639&amp; "|2021-01-01")),(IF(OR('Ingest Template'!F639 = "Program Type - Special", 'Ingest Template'!F639 = "Program Type - Live Event"),'Ingest Template'!Q639&amp; "|"&amp;TEXT('Ingest Template'!C639-3, "yyyy-mm-dd")&amp;"|"&amp;TEXT('Ingest Template'!C639+3, "yyyy-mm-dd"),'Ingest Template'!Q639)))</f>
        <v/>
      </c>
      <c r="AM639" s="35" t="str">
        <f>'Ingest Template'!AC639</f>
        <v/>
      </c>
    </row>
    <row r="640">
      <c r="A640" s="15"/>
      <c r="B640" s="22" t="str">
        <f>'Ingest Template'!C640&amp;IF('Ingest Template'!A640 = "Standard", " - DAR","")</f>
        <v/>
      </c>
      <c r="C640" s="22" t="s">
        <v>83</v>
      </c>
      <c r="D640" s="22" t="str">
        <f t="array" ref="D640">CONCATENATE(INDEX(DropdownLists!$H$2:$H$11,MATCH(1,COUNTIF('Ingest Template'!E640,"*"&amp;DropdownLists!$I$2:$I$11&amp;"*"),0)),CHAR(10),'Ingest Template'!F640,CHAR(10),'Ingest Template'!G640,CHAR(10),VLOOKUP('Ingest Template'!D640,DropdownLists!C:D,2,FALSE))</f>
        <v>#N/A</v>
      </c>
      <c r="E640" s="22" t="str">
        <f>CONCATENATE('Ingest Template'!H640,CHAR(10),'Ingest Template'!I640,CHAR(10),'Ingest Template'!J640,CHAR(10))</f>
        <v>
</v>
      </c>
      <c r="F640" s="35" t="str">
        <f t="array" ref="F640">INDEX(DropdownLists!$O$2:$O$36,MATCH(1,COUNTIF(E640,"*"&amp;DropdownLists!$N$2:$N$36&amp;"*"),0))</f>
        <v/>
      </c>
      <c r="G640" s="35"/>
      <c r="H640" s="22" t="str">
        <f t="array" ref="H640">INDEX(DropdownLists!$E$2:$E$276,MATCH('Ingest Template'!D640,DropdownLists!$C$2:$C$276,0))</f>
        <v>#N/A</v>
      </c>
      <c r="I640" s="22"/>
      <c r="J640" s="22" t="str">
        <f t="array" ref="J640">iF('Ingest Template'!A640="Standard","Pristine Brand",INDEX(DropdownLists!$B$2:$B$246,MATCH('Ingest Template'!D640,DropdownLists!$C$2:$C$246,0)))</f>
        <v>#N/A</v>
      </c>
      <c r="K640" s="22" t="str">
        <f>iF('Ingest Template'!A640="Standard",'Ingest Template'!K640&amp;CHAR(10)&amp;'Ingest Template'!L640,"Competitive View")</f>
        <v>Competitive View</v>
      </c>
      <c r="L640" s="22" t="s">
        <v>95</v>
      </c>
      <c r="M640" s="45" t="str">
        <f>'Ingest Template'!B640</f>
        <v/>
      </c>
      <c r="N640" s="35"/>
      <c r="O640" s="35"/>
      <c r="P640" s="35"/>
      <c r="Q640" s="35"/>
      <c r="R640" s="35" t="str">
        <f>'Ingest Template'!D640</f>
        <v/>
      </c>
      <c r="S640" s="22" t="s">
        <v>101</v>
      </c>
      <c r="T640" s="35" t="str">
        <f>'Ingest Template'!V640</f>
        <v/>
      </c>
      <c r="U640" s="35" t="str">
        <f>'Ingest Template'!W640</f>
        <v/>
      </c>
      <c r="V640" s="35" t="str">
        <f>LOWER(SUBSTITUTE(SUBSTITUTE(SUBSTITUTE(SUBSTITUTE(SUBSTITUTE('Ingest Template'!X640,"https:",""),"www.",""),"/",""),"?hl=en",""),"instagram.com",""))</f>
        <v/>
      </c>
      <c r="W640" s="74" t="str">
        <f t="array" ref="W640">IF(
'Ingest Template'!Y640="",
SUBSTITUTE(
INDEX(DropdownLists!$F$2:$F$277,MATCH('Ingest Template'!D640,DropdownLists!$C$2:$C$277,0)),
CHAR(10),
"|"&amp;'Ingest Template'!C640&amp;CHAR(10)
)&amp;"|"&amp;'Ingest Template'!C640,
SUBSTITUTE(
INDEX(DropdownLists!$F$2:$F$277,MATCH('Ingest Template'!D640,DropdownLists!$C$2:$C$277,0)),
CHAR(10),
"|"&amp;'Ingest Template'!C640&amp;CHAR(10)
)&amp;"|"&amp;'Ingest Template'!C640&amp;CHAR(10)&amp;'Ingest Template'!Y640
)</f>
        <v>#N/A</v>
      </c>
      <c r="X640" s="74" t="str">
        <f>'Ingest Template'!Z640</f>
        <v/>
      </c>
      <c r="Y640" s="35" t="str">
        <f>SUBSTITUTE(SUBSTITUTE(SUBSTITUTE('Ingest Template'!AA640,"http:",""),"https:",""),"/","")</f>
        <v/>
      </c>
      <c r="Z640" s="35" t="str">
        <f t="array" ref="Z640">IF('Ingest Template'!A640="Standard",(IF(ISBLANK('Ingest Template'!AB640),"", 'Ingest Template'!AB640&amp;"|DAR")),(IF(ISBLANK('Ingest Template'!AB640),"", 'Ingest Template'!AB640&amp;"|TV Ops")))</f>
        <v/>
      </c>
      <c r="AA640" s="35"/>
      <c r="AB640" s="35" t="str">
        <f>'Ingest Template'!R640</f>
        <v/>
      </c>
      <c r="AC640" s="35" t="str">
        <f>'Ingest Template'!T640</f>
        <v/>
      </c>
      <c r="AD640" s="35" t="str">
        <f>'Ingest Template'!S640</f>
        <v/>
      </c>
      <c r="AE640" s="35" t="str">
        <f>'Ingest Template'!U640</f>
        <v/>
      </c>
      <c r="AF640" s="22"/>
      <c r="AG640" s="35" t="str">
        <f t="array" ref="AG640">IF('Ingest Template'!A640="Standard",(CONCATENATE(IF(ISBLANK('Ingest Template'!N640),"", 'Ingest Template'!N640&amp;"|DAR"),CHAR(10), IF(ISBLANK('Ingest Template'!O640),"", 'Ingest Template'!O640&amp;"|DAR"),CHAR(10), IF(ISBLANK('Ingest Template'!P640),"", 'Ingest Template'!P640&amp;"|DAR"))),(CONCATENATE(IF(ISBLANK('Ingest Template'!N640),"", 'Ingest Template'!N640&amp;"|TV Ops"),CHAR(10), IF(ISBLANK('Ingest Template'!O640),"", 'Ingest Template'!O640&amp;"|TV Ops"),CHAR(10), IF(ISBLANK('Ingest Template'!P640),"", 'Ingest Template'!P640&amp;"|TV Ops"))))</f>
        <v>
</v>
      </c>
      <c r="AH640" s="35"/>
      <c r="AI640" s="35"/>
      <c r="AJ640" s="117" t="str">
        <f>if('Ingest Template'!A640="Standard",(IF(OR('Ingest Template'!F640 = "Program Type - Special", 'Ingest Template'!F640 = "Program Type - Live Event"),'Ingest Template'!M640&amp; "|DAR|DAR|"&amp;TEXT('Ingest Template'!C640-3, "yyyy-mm-dd")&amp;"|"&amp;TEXT('Ingest Template'!C640+3, "yyyy-mm-dd"),'Ingest Template'!M640&amp; "|DAR|DAR|2021-01-01")),(IF(OR('Ingest Template'!F640 = "Program Type - Special", 'Ingest Template'!F640 = "Program Type - Live Event"),'Ingest Template'!M640&amp; "|Operations - Core Title|Operations - Core Title|"&amp;TEXT('Ingest Template'!C640-3, "yyyy-mm-dd")&amp;"|"&amp;TEXT('Ingest Template'!C640+3, "yyyy-mm-dd"),'Ingest Template'!M640&amp; "|Operations - Core Title|Operations - Core Title")))</f>
        <v>|Operations - Core Title|Operations - Core Title</v>
      </c>
      <c r="AK640" s="35"/>
      <c r="AL640" s="117" t="str">
        <f>if('Ingest Template'!A640="Standard",(IF(OR('Ingest Template'!F640 = "Program Type - Special", 'Ingest Template'!F640 = "Program Type - Live Event"),'Ingest Template'!Q640&amp;"|"&amp;TEXT('Ingest Template'!C640-3, "yyyy-mm-dd")&amp;"|"&amp;TEXT('Ingest Template'!C640+3, "yyyy-mm-dd"),'Ingest Template'!Q640&amp; "|2021-01-01")),(IF(OR('Ingest Template'!F640 = "Program Type - Special", 'Ingest Template'!F640 = "Program Type - Live Event"),'Ingest Template'!Q640&amp; "|"&amp;TEXT('Ingest Template'!C640-3, "yyyy-mm-dd")&amp;"|"&amp;TEXT('Ingest Template'!C640+3, "yyyy-mm-dd"),'Ingest Template'!Q640)))</f>
        <v/>
      </c>
      <c r="AM640" s="35" t="str">
        <f>'Ingest Template'!AC640</f>
        <v/>
      </c>
    </row>
    <row r="641">
      <c r="A641" s="15"/>
      <c r="B641" s="22" t="str">
        <f>'Ingest Template'!C641&amp;IF('Ingest Template'!A641 = "Standard", " - DAR","")</f>
        <v/>
      </c>
      <c r="C641" s="22" t="s">
        <v>83</v>
      </c>
      <c r="D641" s="22" t="str">
        <f t="array" ref="D641">CONCATENATE(INDEX(DropdownLists!$H$2:$H$11,MATCH(1,COUNTIF('Ingest Template'!E641,"*"&amp;DropdownLists!$I$2:$I$11&amp;"*"),0)),CHAR(10),'Ingest Template'!F641,CHAR(10),'Ingest Template'!G641,CHAR(10),VLOOKUP('Ingest Template'!D641,DropdownLists!C:D,2,FALSE))</f>
        <v>#N/A</v>
      </c>
      <c r="E641" s="22" t="str">
        <f>CONCATENATE('Ingest Template'!H641,CHAR(10),'Ingest Template'!I641,CHAR(10),'Ingest Template'!J641,CHAR(10))</f>
        <v>
</v>
      </c>
      <c r="F641" s="35" t="str">
        <f t="array" ref="F641">INDEX(DropdownLists!$O$2:$O$36,MATCH(1,COUNTIF(E641,"*"&amp;DropdownLists!$N$2:$N$36&amp;"*"),0))</f>
        <v/>
      </c>
      <c r="G641" s="35"/>
      <c r="H641" s="22" t="str">
        <f t="array" ref="H641">INDEX(DropdownLists!$E$2:$E$276,MATCH('Ingest Template'!D641,DropdownLists!$C$2:$C$276,0))</f>
        <v>#N/A</v>
      </c>
      <c r="I641" s="22"/>
      <c r="J641" s="22" t="str">
        <f t="array" ref="J641">iF('Ingest Template'!A641="Standard","Pristine Brand",INDEX(DropdownLists!$B$2:$B$246,MATCH('Ingest Template'!D641,DropdownLists!$C$2:$C$246,0)))</f>
        <v>#N/A</v>
      </c>
      <c r="K641" s="22" t="str">
        <f>iF('Ingest Template'!A641="Standard",'Ingest Template'!K641&amp;CHAR(10)&amp;'Ingest Template'!L641,"Competitive View")</f>
        <v>Competitive View</v>
      </c>
      <c r="L641" s="22" t="s">
        <v>95</v>
      </c>
      <c r="M641" s="45" t="str">
        <f>'Ingest Template'!B641</f>
        <v/>
      </c>
      <c r="N641" s="35"/>
      <c r="O641" s="35"/>
      <c r="P641" s="35"/>
      <c r="Q641" s="35"/>
      <c r="R641" s="35" t="str">
        <f>'Ingest Template'!D641</f>
        <v/>
      </c>
      <c r="S641" s="22" t="s">
        <v>101</v>
      </c>
      <c r="T641" s="35" t="str">
        <f>'Ingest Template'!V641</f>
        <v/>
      </c>
      <c r="U641" s="35" t="str">
        <f>'Ingest Template'!W641</f>
        <v/>
      </c>
      <c r="V641" s="35" t="str">
        <f>LOWER(SUBSTITUTE(SUBSTITUTE(SUBSTITUTE(SUBSTITUTE(SUBSTITUTE('Ingest Template'!X641,"https:",""),"www.",""),"/",""),"?hl=en",""),"instagram.com",""))</f>
        <v/>
      </c>
      <c r="W641" s="74" t="str">
        <f t="array" ref="W641">IF(
'Ingest Template'!Y641="",
SUBSTITUTE(
INDEX(DropdownLists!$F$2:$F$277,MATCH('Ingest Template'!D641,DropdownLists!$C$2:$C$277,0)),
CHAR(10),
"|"&amp;'Ingest Template'!C641&amp;CHAR(10)
)&amp;"|"&amp;'Ingest Template'!C641,
SUBSTITUTE(
INDEX(DropdownLists!$F$2:$F$277,MATCH('Ingest Template'!D641,DropdownLists!$C$2:$C$277,0)),
CHAR(10),
"|"&amp;'Ingest Template'!C641&amp;CHAR(10)
)&amp;"|"&amp;'Ingest Template'!C641&amp;CHAR(10)&amp;'Ingest Template'!Y641
)</f>
        <v>#N/A</v>
      </c>
      <c r="X641" s="74" t="str">
        <f>'Ingest Template'!Z641</f>
        <v/>
      </c>
      <c r="Y641" s="35" t="str">
        <f>SUBSTITUTE(SUBSTITUTE(SUBSTITUTE('Ingest Template'!AA641,"http:",""),"https:",""),"/","")</f>
        <v/>
      </c>
      <c r="Z641" s="35" t="str">
        <f t="array" ref="Z641">IF('Ingest Template'!A641="Standard",(IF(ISBLANK('Ingest Template'!AB641),"", 'Ingest Template'!AB641&amp;"|DAR")),(IF(ISBLANK('Ingest Template'!AB641),"", 'Ingest Template'!AB641&amp;"|TV Ops")))</f>
        <v/>
      </c>
      <c r="AA641" s="35"/>
      <c r="AB641" s="35" t="str">
        <f>'Ingest Template'!R641</f>
        <v/>
      </c>
      <c r="AC641" s="35" t="str">
        <f>'Ingest Template'!T641</f>
        <v/>
      </c>
      <c r="AD641" s="35" t="str">
        <f>'Ingest Template'!S641</f>
        <v/>
      </c>
      <c r="AE641" s="35" t="str">
        <f>'Ingest Template'!U641</f>
        <v/>
      </c>
      <c r="AF641" s="22"/>
      <c r="AG641" s="35" t="str">
        <f t="array" ref="AG641">IF('Ingest Template'!A641="Standard",(CONCATENATE(IF(ISBLANK('Ingest Template'!N641),"", 'Ingest Template'!N641&amp;"|DAR"),CHAR(10), IF(ISBLANK('Ingest Template'!O641),"", 'Ingest Template'!O641&amp;"|DAR"),CHAR(10), IF(ISBLANK('Ingest Template'!P641),"", 'Ingest Template'!P641&amp;"|DAR"))),(CONCATENATE(IF(ISBLANK('Ingest Template'!N641),"", 'Ingest Template'!N641&amp;"|TV Ops"),CHAR(10), IF(ISBLANK('Ingest Template'!O641),"", 'Ingest Template'!O641&amp;"|TV Ops"),CHAR(10), IF(ISBLANK('Ingest Template'!P641),"", 'Ingest Template'!P641&amp;"|TV Ops"))))</f>
        <v>
</v>
      </c>
      <c r="AH641" s="35"/>
      <c r="AI641" s="35"/>
      <c r="AJ641" s="117" t="str">
        <f>if('Ingest Template'!A641="Standard",(IF(OR('Ingest Template'!F641 = "Program Type - Special", 'Ingest Template'!F641 = "Program Type - Live Event"),'Ingest Template'!M641&amp; "|DAR|DAR|"&amp;TEXT('Ingest Template'!C641-3, "yyyy-mm-dd")&amp;"|"&amp;TEXT('Ingest Template'!C641+3, "yyyy-mm-dd"),'Ingest Template'!M641&amp; "|DAR|DAR|2021-01-01")),(IF(OR('Ingest Template'!F641 = "Program Type - Special", 'Ingest Template'!F641 = "Program Type - Live Event"),'Ingest Template'!M641&amp; "|Operations - Core Title|Operations - Core Title|"&amp;TEXT('Ingest Template'!C641-3, "yyyy-mm-dd")&amp;"|"&amp;TEXT('Ingest Template'!C641+3, "yyyy-mm-dd"),'Ingest Template'!M641&amp; "|Operations - Core Title|Operations - Core Title")))</f>
        <v>|Operations - Core Title|Operations - Core Title</v>
      </c>
      <c r="AK641" s="35"/>
      <c r="AL641" s="117" t="str">
        <f>if('Ingest Template'!A641="Standard",(IF(OR('Ingest Template'!F641 = "Program Type - Special", 'Ingest Template'!F641 = "Program Type - Live Event"),'Ingest Template'!Q641&amp;"|"&amp;TEXT('Ingest Template'!C641-3, "yyyy-mm-dd")&amp;"|"&amp;TEXT('Ingest Template'!C641+3, "yyyy-mm-dd"),'Ingest Template'!Q641&amp; "|2021-01-01")),(IF(OR('Ingest Template'!F641 = "Program Type - Special", 'Ingest Template'!F641 = "Program Type - Live Event"),'Ingest Template'!Q641&amp; "|"&amp;TEXT('Ingest Template'!C641-3, "yyyy-mm-dd")&amp;"|"&amp;TEXT('Ingest Template'!C641+3, "yyyy-mm-dd"),'Ingest Template'!Q641)))</f>
        <v/>
      </c>
      <c r="AM641" s="35" t="str">
        <f>'Ingest Template'!AC641</f>
        <v/>
      </c>
    </row>
    <row r="642">
      <c r="A642" s="15"/>
      <c r="B642" s="22" t="str">
        <f>'Ingest Template'!C642&amp;IF('Ingest Template'!A642 = "Standard", " - DAR","")</f>
        <v/>
      </c>
      <c r="C642" s="22" t="s">
        <v>83</v>
      </c>
      <c r="D642" s="22" t="str">
        <f t="array" ref="D642">CONCATENATE(INDEX(DropdownLists!$H$2:$H$11,MATCH(1,COUNTIF('Ingest Template'!E642,"*"&amp;DropdownLists!$I$2:$I$11&amp;"*"),0)),CHAR(10),'Ingest Template'!F642,CHAR(10),'Ingest Template'!G642,CHAR(10),VLOOKUP('Ingest Template'!D642,DropdownLists!C:D,2,FALSE))</f>
        <v>#N/A</v>
      </c>
      <c r="E642" s="22" t="str">
        <f>CONCATENATE('Ingest Template'!H642,CHAR(10),'Ingest Template'!I642,CHAR(10),'Ingest Template'!J642,CHAR(10))</f>
        <v>
</v>
      </c>
      <c r="F642" s="35" t="str">
        <f t="array" ref="F642">INDEX(DropdownLists!$O$2:$O$36,MATCH(1,COUNTIF(E642,"*"&amp;DropdownLists!$N$2:$N$36&amp;"*"),0))</f>
        <v/>
      </c>
      <c r="G642" s="35"/>
      <c r="H642" s="22" t="str">
        <f t="array" ref="H642">INDEX(DropdownLists!$E$2:$E$276,MATCH('Ingest Template'!D642,DropdownLists!$C$2:$C$276,0))</f>
        <v>#N/A</v>
      </c>
      <c r="I642" s="22"/>
      <c r="J642" s="22" t="str">
        <f t="array" ref="J642">iF('Ingest Template'!A642="Standard","Pristine Brand",INDEX(DropdownLists!$B$2:$B$246,MATCH('Ingest Template'!D642,DropdownLists!$C$2:$C$246,0)))</f>
        <v>#N/A</v>
      </c>
      <c r="K642" s="22" t="str">
        <f>iF('Ingest Template'!A642="Standard",'Ingest Template'!K642&amp;CHAR(10)&amp;'Ingest Template'!L642,"Competitive View")</f>
        <v>Competitive View</v>
      </c>
      <c r="L642" s="22" t="s">
        <v>95</v>
      </c>
      <c r="M642" s="45" t="str">
        <f>'Ingest Template'!B642</f>
        <v/>
      </c>
      <c r="N642" s="35"/>
      <c r="O642" s="35"/>
      <c r="P642" s="35"/>
      <c r="Q642" s="35"/>
      <c r="R642" s="35" t="str">
        <f>'Ingest Template'!D642</f>
        <v/>
      </c>
      <c r="S642" s="22" t="s">
        <v>101</v>
      </c>
      <c r="T642" s="35" t="str">
        <f>'Ingest Template'!V642</f>
        <v/>
      </c>
      <c r="U642" s="35" t="str">
        <f>'Ingest Template'!W642</f>
        <v/>
      </c>
      <c r="V642" s="35" t="str">
        <f>LOWER(SUBSTITUTE(SUBSTITUTE(SUBSTITUTE(SUBSTITUTE(SUBSTITUTE('Ingest Template'!X642,"https:",""),"www.",""),"/",""),"?hl=en",""),"instagram.com",""))</f>
        <v/>
      </c>
      <c r="W642" s="74" t="str">
        <f t="array" ref="W642">IF(
'Ingest Template'!Y642="",
SUBSTITUTE(
INDEX(DropdownLists!$F$2:$F$277,MATCH('Ingest Template'!D642,DropdownLists!$C$2:$C$277,0)),
CHAR(10),
"|"&amp;'Ingest Template'!C642&amp;CHAR(10)
)&amp;"|"&amp;'Ingest Template'!C642,
SUBSTITUTE(
INDEX(DropdownLists!$F$2:$F$277,MATCH('Ingest Template'!D642,DropdownLists!$C$2:$C$277,0)),
CHAR(10),
"|"&amp;'Ingest Template'!C642&amp;CHAR(10)
)&amp;"|"&amp;'Ingest Template'!C642&amp;CHAR(10)&amp;'Ingest Template'!Y642
)</f>
        <v>#N/A</v>
      </c>
      <c r="X642" s="74" t="str">
        <f>'Ingest Template'!Z642</f>
        <v/>
      </c>
      <c r="Y642" s="35" t="str">
        <f>SUBSTITUTE(SUBSTITUTE(SUBSTITUTE('Ingest Template'!AA642,"http:",""),"https:",""),"/","")</f>
        <v/>
      </c>
      <c r="Z642" s="35" t="str">
        <f t="array" ref="Z642">IF('Ingest Template'!A642="Standard",(IF(ISBLANK('Ingest Template'!AB642),"", 'Ingest Template'!AB642&amp;"|DAR")),(IF(ISBLANK('Ingest Template'!AB642),"", 'Ingest Template'!AB642&amp;"|TV Ops")))</f>
        <v/>
      </c>
      <c r="AA642" s="35"/>
      <c r="AB642" s="35" t="str">
        <f>'Ingest Template'!R642</f>
        <v/>
      </c>
      <c r="AC642" s="35" t="str">
        <f>'Ingest Template'!T642</f>
        <v/>
      </c>
      <c r="AD642" s="35" t="str">
        <f>'Ingest Template'!S642</f>
        <v/>
      </c>
      <c r="AE642" s="35" t="str">
        <f>'Ingest Template'!U642</f>
        <v/>
      </c>
      <c r="AF642" s="22"/>
      <c r="AG642" s="35" t="str">
        <f t="array" ref="AG642">IF('Ingest Template'!A642="Standard",(CONCATENATE(IF(ISBLANK('Ingest Template'!N642),"", 'Ingest Template'!N642&amp;"|DAR"),CHAR(10), IF(ISBLANK('Ingest Template'!O642),"", 'Ingest Template'!O642&amp;"|DAR"),CHAR(10), IF(ISBLANK('Ingest Template'!P642),"", 'Ingest Template'!P642&amp;"|DAR"))),(CONCATENATE(IF(ISBLANK('Ingest Template'!N642),"", 'Ingest Template'!N642&amp;"|TV Ops"),CHAR(10), IF(ISBLANK('Ingest Template'!O642),"", 'Ingest Template'!O642&amp;"|TV Ops"),CHAR(10), IF(ISBLANK('Ingest Template'!P642),"", 'Ingest Template'!P642&amp;"|TV Ops"))))</f>
        <v>
</v>
      </c>
      <c r="AH642" s="35"/>
      <c r="AI642" s="35"/>
      <c r="AJ642" s="117" t="str">
        <f>if('Ingest Template'!A642="Standard",(IF(OR('Ingest Template'!F642 = "Program Type - Special", 'Ingest Template'!F642 = "Program Type - Live Event"),'Ingest Template'!M642&amp; "|DAR|DAR|"&amp;TEXT('Ingest Template'!C642-3, "yyyy-mm-dd")&amp;"|"&amp;TEXT('Ingest Template'!C642+3, "yyyy-mm-dd"),'Ingest Template'!M642&amp; "|DAR|DAR|2021-01-01")),(IF(OR('Ingest Template'!F642 = "Program Type - Special", 'Ingest Template'!F642 = "Program Type - Live Event"),'Ingest Template'!M642&amp; "|Operations - Core Title|Operations - Core Title|"&amp;TEXT('Ingest Template'!C642-3, "yyyy-mm-dd")&amp;"|"&amp;TEXT('Ingest Template'!C642+3, "yyyy-mm-dd"),'Ingest Template'!M642&amp; "|Operations - Core Title|Operations - Core Title")))</f>
        <v>|Operations - Core Title|Operations - Core Title</v>
      </c>
      <c r="AK642" s="35"/>
      <c r="AL642" s="117" t="str">
        <f>if('Ingest Template'!A642="Standard",(IF(OR('Ingest Template'!F642 = "Program Type - Special", 'Ingest Template'!F642 = "Program Type - Live Event"),'Ingest Template'!Q642&amp;"|"&amp;TEXT('Ingest Template'!C642-3, "yyyy-mm-dd")&amp;"|"&amp;TEXT('Ingest Template'!C642+3, "yyyy-mm-dd"),'Ingest Template'!Q642&amp; "|2021-01-01")),(IF(OR('Ingest Template'!F642 = "Program Type - Special", 'Ingest Template'!F642 = "Program Type - Live Event"),'Ingest Template'!Q642&amp; "|"&amp;TEXT('Ingest Template'!C642-3, "yyyy-mm-dd")&amp;"|"&amp;TEXT('Ingest Template'!C642+3, "yyyy-mm-dd"),'Ingest Template'!Q642)))</f>
        <v/>
      </c>
      <c r="AM642" s="35" t="str">
        <f>'Ingest Template'!AC642</f>
        <v/>
      </c>
    </row>
    <row r="643">
      <c r="A643" s="15"/>
      <c r="B643" s="22" t="str">
        <f>'Ingest Template'!C643&amp;IF('Ingest Template'!A643 = "Standard", " - DAR","")</f>
        <v/>
      </c>
      <c r="C643" s="22" t="s">
        <v>83</v>
      </c>
      <c r="D643" s="22" t="str">
        <f t="array" ref="D643">CONCATENATE(INDEX(DropdownLists!$H$2:$H$11,MATCH(1,COUNTIF('Ingest Template'!E643,"*"&amp;DropdownLists!$I$2:$I$11&amp;"*"),0)),CHAR(10),'Ingest Template'!F643,CHAR(10),'Ingest Template'!G643,CHAR(10),VLOOKUP('Ingest Template'!D643,DropdownLists!C:D,2,FALSE))</f>
        <v>#N/A</v>
      </c>
      <c r="E643" s="22" t="str">
        <f>CONCATENATE('Ingest Template'!H643,CHAR(10),'Ingest Template'!I643,CHAR(10),'Ingest Template'!J643,CHAR(10))</f>
        <v>
</v>
      </c>
      <c r="F643" s="35" t="str">
        <f t="array" ref="F643">INDEX(DropdownLists!$O$2:$O$36,MATCH(1,COUNTIF(E643,"*"&amp;DropdownLists!$N$2:$N$36&amp;"*"),0))</f>
        <v/>
      </c>
      <c r="G643" s="35"/>
      <c r="H643" s="22" t="str">
        <f t="array" ref="H643">INDEX(DropdownLists!$E$2:$E$276,MATCH('Ingest Template'!D643,DropdownLists!$C$2:$C$276,0))</f>
        <v>#N/A</v>
      </c>
      <c r="I643" s="22"/>
      <c r="J643" s="22" t="str">
        <f t="array" ref="J643">iF('Ingest Template'!A643="Standard","Pristine Brand",INDEX(DropdownLists!$B$2:$B$246,MATCH('Ingest Template'!D643,DropdownLists!$C$2:$C$246,0)))</f>
        <v>#N/A</v>
      </c>
      <c r="K643" s="22" t="str">
        <f>iF('Ingest Template'!A643="Standard",'Ingest Template'!K643&amp;CHAR(10)&amp;'Ingest Template'!L643,"Competitive View")</f>
        <v>Competitive View</v>
      </c>
      <c r="L643" s="22" t="s">
        <v>95</v>
      </c>
      <c r="M643" s="45" t="str">
        <f>'Ingest Template'!B643</f>
        <v/>
      </c>
      <c r="N643" s="35"/>
      <c r="O643" s="35"/>
      <c r="P643" s="35"/>
      <c r="Q643" s="35"/>
      <c r="R643" s="35" t="str">
        <f>'Ingest Template'!D643</f>
        <v/>
      </c>
      <c r="S643" s="22" t="s">
        <v>101</v>
      </c>
      <c r="T643" s="35" t="str">
        <f>'Ingest Template'!V643</f>
        <v/>
      </c>
      <c r="U643" s="35" t="str">
        <f>'Ingest Template'!W643</f>
        <v/>
      </c>
      <c r="V643" s="35" t="str">
        <f>LOWER(SUBSTITUTE(SUBSTITUTE(SUBSTITUTE(SUBSTITUTE(SUBSTITUTE('Ingest Template'!X643,"https:",""),"www.",""),"/",""),"?hl=en",""),"instagram.com",""))</f>
        <v/>
      </c>
      <c r="W643" s="74" t="str">
        <f t="array" ref="W643">IF(
'Ingest Template'!Y643="",
SUBSTITUTE(
INDEX(DropdownLists!$F$2:$F$277,MATCH('Ingest Template'!D643,DropdownLists!$C$2:$C$277,0)),
CHAR(10),
"|"&amp;'Ingest Template'!C643&amp;CHAR(10)
)&amp;"|"&amp;'Ingest Template'!C643,
SUBSTITUTE(
INDEX(DropdownLists!$F$2:$F$277,MATCH('Ingest Template'!D643,DropdownLists!$C$2:$C$277,0)),
CHAR(10),
"|"&amp;'Ingest Template'!C643&amp;CHAR(10)
)&amp;"|"&amp;'Ingest Template'!C643&amp;CHAR(10)&amp;'Ingest Template'!Y643
)</f>
        <v>#N/A</v>
      </c>
      <c r="X643" s="74" t="str">
        <f>'Ingest Template'!Z643</f>
        <v/>
      </c>
      <c r="Y643" s="35" t="str">
        <f>SUBSTITUTE(SUBSTITUTE(SUBSTITUTE('Ingest Template'!AA643,"http:",""),"https:",""),"/","")</f>
        <v/>
      </c>
      <c r="Z643" s="35" t="str">
        <f t="array" ref="Z643">IF('Ingest Template'!A643="Standard",(IF(ISBLANK('Ingest Template'!AB643),"", 'Ingest Template'!AB643&amp;"|DAR")),(IF(ISBLANK('Ingest Template'!AB643),"", 'Ingest Template'!AB643&amp;"|TV Ops")))</f>
        <v/>
      </c>
      <c r="AA643" s="35"/>
      <c r="AB643" s="35" t="str">
        <f>'Ingest Template'!R643</f>
        <v/>
      </c>
      <c r="AC643" s="35" t="str">
        <f>'Ingest Template'!T643</f>
        <v/>
      </c>
      <c r="AD643" s="35" t="str">
        <f>'Ingest Template'!S643</f>
        <v/>
      </c>
      <c r="AE643" s="35" t="str">
        <f>'Ingest Template'!U643</f>
        <v/>
      </c>
      <c r="AF643" s="22"/>
      <c r="AG643" s="35" t="str">
        <f t="array" ref="AG643">IF('Ingest Template'!A643="Standard",(CONCATENATE(IF(ISBLANK('Ingest Template'!N643),"", 'Ingest Template'!N643&amp;"|DAR"),CHAR(10), IF(ISBLANK('Ingest Template'!O643),"", 'Ingest Template'!O643&amp;"|DAR"),CHAR(10), IF(ISBLANK('Ingest Template'!P643),"", 'Ingest Template'!P643&amp;"|DAR"))),(CONCATENATE(IF(ISBLANK('Ingest Template'!N643),"", 'Ingest Template'!N643&amp;"|TV Ops"),CHAR(10), IF(ISBLANK('Ingest Template'!O643),"", 'Ingest Template'!O643&amp;"|TV Ops"),CHAR(10), IF(ISBLANK('Ingest Template'!P643),"", 'Ingest Template'!P643&amp;"|TV Ops"))))</f>
        <v>
</v>
      </c>
      <c r="AH643" s="35"/>
      <c r="AI643" s="35"/>
      <c r="AJ643" s="117" t="str">
        <f>if('Ingest Template'!A643="Standard",(IF(OR('Ingest Template'!F643 = "Program Type - Special", 'Ingest Template'!F643 = "Program Type - Live Event"),'Ingest Template'!M643&amp; "|DAR|DAR|"&amp;TEXT('Ingest Template'!C643-3, "yyyy-mm-dd")&amp;"|"&amp;TEXT('Ingest Template'!C643+3, "yyyy-mm-dd"),'Ingest Template'!M643&amp; "|DAR|DAR|2021-01-01")),(IF(OR('Ingest Template'!F643 = "Program Type - Special", 'Ingest Template'!F643 = "Program Type - Live Event"),'Ingest Template'!M643&amp; "|Operations - Core Title|Operations - Core Title|"&amp;TEXT('Ingest Template'!C643-3, "yyyy-mm-dd")&amp;"|"&amp;TEXT('Ingest Template'!C643+3, "yyyy-mm-dd"),'Ingest Template'!M643&amp; "|Operations - Core Title|Operations - Core Title")))</f>
        <v>|Operations - Core Title|Operations - Core Title</v>
      </c>
      <c r="AK643" s="35"/>
      <c r="AL643" s="117" t="str">
        <f>if('Ingest Template'!A643="Standard",(IF(OR('Ingest Template'!F643 = "Program Type - Special", 'Ingest Template'!F643 = "Program Type - Live Event"),'Ingest Template'!Q643&amp;"|"&amp;TEXT('Ingest Template'!C643-3, "yyyy-mm-dd")&amp;"|"&amp;TEXT('Ingest Template'!C643+3, "yyyy-mm-dd"),'Ingest Template'!Q643&amp; "|2021-01-01")),(IF(OR('Ingest Template'!F643 = "Program Type - Special", 'Ingest Template'!F643 = "Program Type - Live Event"),'Ingest Template'!Q643&amp; "|"&amp;TEXT('Ingest Template'!C643-3, "yyyy-mm-dd")&amp;"|"&amp;TEXT('Ingest Template'!C643+3, "yyyy-mm-dd"),'Ingest Template'!Q643)))</f>
        <v/>
      </c>
      <c r="AM643" s="35" t="str">
        <f>'Ingest Template'!AC643</f>
        <v/>
      </c>
    </row>
    <row r="644">
      <c r="A644" s="15"/>
      <c r="B644" s="22" t="str">
        <f>'Ingest Template'!C644&amp;IF('Ingest Template'!A644 = "Standard", " - DAR","")</f>
        <v/>
      </c>
      <c r="C644" s="22" t="s">
        <v>83</v>
      </c>
      <c r="D644" s="22" t="str">
        <f t="array" ref="D644">CONCATENATE(INDEX(DropdownLists!$H$2:$H$11,MATCH(1,COUNTIF('Ingest Template'!E644,"*"&amp;DropdownLists!$I$2:$I$11&amp;"*"),0)),CHAR(10),'Ingest Template'!F644,CHAR(10),'Ingest Template'!G644,CHAR(10),VLOOKUP('Ingest Template'!D644,DropdownLists!C:D,2,FALSE))</f>
        <v>#N/A</v>
      </c>
      <c r="E644" s="22" t="str">
        <f>CONCATENATE('Ingest Template'!H644,CHAR(10),'Ingest Template'!I644,CHAR(10),'Ingest Template'!J644,CHAR(10))</f>
        <v>
</v>
      </c>
      <c r="F644" s="35" t="str">
        <f t="array" ref="F644">INDEX(DropdownLists!$O$2:$O$36,MATCH(1,COUNTIF(E644,"*"&amp;DropdownLists!$N$2:$N$36&amp;"*"),0))</f>
        <v/>
      </c>
      <c r="G644" s="35"/>
      <c r="H644" s="22" t="str">
        <f t="array" ref="H644">INDEX(DropdownLists!$E$2:$E$276,MATCH('Ingest Template'!D644,DropdownLists!$C$2:$C$276,0))</f>
        <v>#N/A</v>
      </c>
      <c r="I644" s="22"/>
      <c r="J644" s="22" t="str">
        <f t="array" ref="J644">iF('Ingest Template'!A644="Standard","Pristine Brand",INDEX(DropdownLists!$B$2:$B$246,MATCH('Ingest Template'!D644,DropdownLists!$C$2:$C$246,0)))</f>
        <v>#N/A</v>
      </c>
      <c r="K644" s="22" t="str">
        <f>iF('Ingest Template'!A644="Standard",'Ingest Template'!K644&amp;CHAR(10)&amp;'Ingest Template'!L644,"Competitive View")</f>
        <v>Competitive View</v>
      </c>
      <c r="L644" s="22" t="s">
        <v>95</v>
      </c>
      <c r="M644" s="45" t="str">
        <f>'Ingest Template'!B644</f>
        <v/>
      </c>
      <c r="N644" s="35"/>
      <c r="O644" s="35"/>
      <c r="P644" s="35"/>
      <c r="Q644" s="35"/>
      <c r="R644" s="35" t="str">
        <f>'Ingest Template'!D644</f>
        <v/>
      </c>
      <c r="S644" s="22" t="s">
        <v>101</v>
      </c>
      <c r="T644" s="35" t="str">
        <f>'Ingest Template'!V644</f>
        <v/>
      </c>
      <c r="U644" s="35" t="str">
        <f>'Ingest Template'!W644</f>
        <v/>
      </c>
      <c r="V644" s="35" t="str">
        <f>LOWER(SUBSTITUTE(SUBSTITUTE(SUBSTITUTE(SUBSTITUTE(SUBSTITUTE('Ingest Template'!X644,"https:",""),"www.",""),"/",""),"?hl=en",""),"instagram.com",""))</f>
        <v/>
      </c>
      <c r="W644" s="74" t="str">
        <f t="array" ref="W644">IF(
'Ingest Template'!Y644="",
SUBSTITUTE(
INDEX(DropdownLists!$F$2:$F$277,MATCH('Ingest Template'!D644,DropdownLists!$C$2:$C$277,0)),
CHAR(10),
"|"&amp;'Ingest Template'!C644&amp;CHAR(10)
)&amp;"|"&amp;'Ingest Template'!C644,
SUBSTITUTE(
INDEX(DropdownLists!$F$2:$F$277,MATCH('Ingest Template'!D644,DropdownLists!$C$2:$C$277,0)),
CHAR(10),
"|"&amp;'Ingest Template'!C644&amp;CHAR(10)
)&amp;"|"&amp;'Ingest Template'!C644&amp;CHAR(10)&amp;'Ingest Template'!Y644
)</f>
        <v>#N/A</v>
      </c>
      <c r="X644" s="74" t="str">
        <f>'Ingest Template'!Z644</f>
        <v/>
      </c>
      <c r="Y644" s="35" t="str">
        <f>SUBSTITUTE(SUBSTITUTE(SUBSTITUTE('Ingest Template'!AA644,"http:",""),"https:",""),"/","")</f>
        <v/>
      </c>
      <c r="Z644" s="35" t="str">
        <f t="array" ref="Z644">IF('Ingest Template'!A644="Standard",(IF(ISBLANK('Ingest Template'!AB644),"", 'Ingest Template'!AB644&amp;"|DAR")),(IF(ISBLANK('Ingest Template'!AB644),"", 'Ingest Template'!AB644&amp;"|TV Ops")))</f>
        <v/>
      </c>
      <c r="AA644" s="35"/>
      <c r="AB644" s="35" t="str">
        <f>'Ingest Template'!R644</f>
        <v/>
      </c>
      <c r="AC644" s="35" t="str">
        <f>'Ingest Template'!T644</f>
        <v/>
      </c>
      <c r="AD644" s="35" t="str">
        <f>'Ingest Template'!S644</f>
        <v/>
      </c>
      <c r="AE644" s="35" t="str">
        <f>'Ingest Template'!U644</f>
        <v/>
      </c>
      <c r="AF644" s="22"/>
      <c r="AG644" s="35" t="str">
        <f t="array" ref="AG644">IF('Ingest Template'!A644="Standard",(CONCATENATE(IF(ISBLANK('Ingest Template'!N644),"", 'Ingest Template'!N644&amp;"|DAR"),CHAR(10), IF(ISBLANK('Ingest Template'!O644),"", 'Ingest Template'!O644&amp;"|DAR"),CHAR(10), IF(ISBLANK('Ingest Template'!P644),"", 'Ingest Template'!P644&amp;"|DAR"))),(CONCATENATE(IF(ISBLANK('Ingest Template'!N644),"", 'Ingest Template'!N644&amp;"|TV Ops"),CHAR(10), IF(ISBLANK('Ingest Template'!O644),"", 'Ingest Template'!O644&amp;"|TV Ops"),CHAR(10), IF(ISBLANK('Ingest Template'!P644),"", 'Ingest Template'!P644&amp;"|TV Ops"))))</f>
        <v>
</v>
      </c>
      <c r="AH644" s="35"/>
      <c r="AI644" s="35"/>
      <c r="AJ644" s="117" t="str">
        <f>if('Ingest Template'!A644="Standard",(IF(OR('Ingest Template'!F644 = "Program Type - Special", 'Ingest Template'!F644 = "Program Type - Live Event"),'Ingest Template'!M644&amp; "|DAR|DAR|"&amp;TEXT('Ingest Template'!C644-3, "yyyy-mm-dd")&amp;"|"&amp;TEXT('Ingest Template'!C644+3, "yyyy-mm-dd"),'Ingest Template'!M644&amp; "|DAR|DAR|2021-01-01")),(IF(OR('Ingest Template'!F644 = "Program Type - Special", 'Ingest Template'!F644 = "Program Type - Live Event"),'Ingest Template'!M644&amp; "|Operations - Core Title|Operations - Core Title|"&amp;TEXT('Ingest Template'!C644-3, "yyyy-mm-dd")&amp;"|"&amp;TEXT('Ingest Template'!C644+3, "yyyy-mm-dd"),'Ingest Template'!M644&amp; "|Operations - Core Title|Operations - Core Title")))</f>
        <v>|Operations - Core Title|Operations - Core Title</v>
      </c>
      <c r="AK644" s="35"/>
      <c r="AL644" s="117" t="str">
        <f>if('Ingest Template'!A644="Standard",(IF(OR('Ingest Template'!F644 = "Program Type - Special", 'Ingest Template'!F644 = "Program Type - Live Event"),'Ingest Template'!Q644&amp;"|"&amp;TEXT('Ingest Template'!C644-3, "yyyy-mm-dd")&amp;"|"&amp;TEXT('Ingest Template'!C644+3, "yyyy-mm-dd"),'Ingest Template'!Q644&amp; "|2021-01-01")),(IF(OR('Ingest Template'!F644 = "Program Type - Special", 'Ingest Template'!F644 = "Program Type - Live Event"),'Ingest Template'!Q644&amp; "|"&amp;TEXT('Ingest Template'!C644-3, "yyyy-mm-dd")&amp;"|"&amp;TEXT('Ingest Template'!C644+3, "yyyy-mm-dd"),'Ingest Template'!Q644)))</f>
        <v/>
      </c>
      <c r="AM644" s="35" t="str">
        <f>'Ingest Template'!AC644</f>
        <v/>
      </c>
    </row>
    <row r="645">
      <c r="A645" s="15"/>
      <c r="B645" s="22" t="str">
        <f>'Ingest Template'!C645&amp;IF('Ingest Template'!A645 = "Standard", " - DAR","")</f>
        <v/>
      </c>
      <c r="C645" s="22" t="s">
        <v>83</v>
      </c>
      <c r="D645" s="22" t="str">
        <f t="array" ref="D645">CONCATENATE(INDEX(DropdownLists!$H$2:$H$11,MATCH(1,COUNTIF('Ingest Template'!E645,"*"&amp;DropdownLists!$I$2:$I$11&amp;"*"),0)),CHAR(10),'Ingest Template'!F645,CHAR(10),'Ingest Template'!G645,CHAR(10),VLOOKUP('Ingest Template'!D645,DropdownLists!C:D,2,FALSE))</f>
        <v>#N/A</v>
      </c>
      <c r="E645" s="22" t="str">
        <f>CONCATENATE('Ingest Template'!H645,CHAR(10),'Ingest Template'!I645,CHAR(10),'Ingest Template'!J645,CHAR(10))</f>
        <v>
</v>
      </c>
      <c r="F645" s="35" t="str">
        <f t="array" ref="F645">INDEX(DropdownLists!$O$2:$O$36,MATCH(1,COUNTIF(E645,"*"&amp;DropdownLists!$N$2:$N$36&amp;"*"),0))</f>
        <v/>
      </c>
      <c r="G645" s="35"/>
      <c r="H645" s="22" t="str">
        <f t="array" ref="H645">INDEX(DropdownLists!$E$2:$E$276,MATCH('Ingest Template'!D645,DropdownLists!$C$2:$C$276,0))</f>
        <v>#N/A</v>
      </c>
      <c r="I645" s="22"/>
      <c r="J645" s="22" t="str">
        <f t="array" ref="J645">iF('Ingest Template'!A645="Standard","Pristine Brand",INDEX(DropdownLists!$B$2:$B$246,MATCH('Ingest Template'!D645,DropdownLists!$C$2:$C$246,0)))</f>
        <v>#N/A</v>
      </c>
      <c r="K645" s="22" t="str">
        <f>iF('Ingest Template'!A645="Standard",'Ingest Template'!K645&amp;CHAR(10)&amp;'Ingest Template'!L645,"Competitive View")</f>
        <v>Competitive View</v>
      </c>
      <c r="L645" s="22" t="s">
        <v>95</v>
      </c>
      <c r="M645" s="45" t="str">
        <f>'Ingest Template'!B645</f>
        <v/>
      </c>
      <c r="N645" s="35"/>
      <c r="O645" s="35"/>
      <c r="P645" s="35"/>
      <c r="Q645" s="35"/>
      <c r="R645" s="35" t="str">
        <f>'Ingest Template'!D645</f>
        <v/>
      </c>
      <c r="S645" s="22" t="s">
        <v>101</v>
      </c>
      <c r="T645" s="35" t="str">
        <f>'Ingest Template'!V645</f>
        <v/>
      </c>
      <c r="U645" s="35" t="str">
        <f>'Ingest Template'!W645</f>
        <v/>
      </c>
      <c r="V645" s="35" t="str">
        <f>LOWER(SUBSTITUTE(SUBSTITUTE(SUBSTITUTE(SUBSTITUTE(SUBSTITUTE('Ingest Template'!X645,"https:",""),"www.",""),"/",""),"?hl=en",""),"instagram.com",""))</f>
        <v/>
      </c>
      <c r="W645" s="74" t="str">
        <f t="array" ref="W645">IF(
'Ingest Template'!Y645="",
SUBSTITUTE(
INDEX(DropdownLists!$F$2:$F$277,MATCH('Ingest Template'!D645,DropdownLists!$C$2:$C$277,0)),
CHAR(10),
"|"&amp;'Ingest Template'!C645&amp;CHAR(10)
)&amp;"|"&amp;'Ingest Template'!C645,
SUBSTITUTE(
INDEX(DropdownLists!$F$2:$F$277,MATCH('Ingest Template'!D645,DropdownLists!$C$2:$C$277,0)),
CHAR(10),
"|"&amp;'Ingest Template'!C645&amp;CHAR(10)
)&amp;"|"&amp;'Ingest Template'!C645&amp;CHAR(10)&amp;'Ingest Template'!Y645
)</f>
        <v>#N/A</v>
      </c>
      <c r="X645" s="74" t="str">
        <f>'Ingest Template'!Z645</f>
        <v/>
      </c>
      <c r="Y645" s="35" t="str">
        <f>SUBSTITUTE(SUBSTITUTE(SUBSTITUTE('Ingest Template'!AA645,"http:",""),"https:",""),"/","")</f>
        <v/>
      </c>
      <c r="Z645" s="35" t="str">
        <f t="array" ref="Z645">IF('Ingest Template'!A645="Standard",(IF(ISBLANK('Ingest Template'!AB645),"", 'Ingest Template'!AB645&amp;"|DAR")),(IF(ISBLANK('Ingest Template'!AB645),"", 'Ingest Template'!AB645&amp;"|TV Ops")))</f>
        <v/>
      </c>
      <c r="AA645" s="35"/>
      <c r="AB645" s="35" t="str">
        <f>'Ingest Template'!R645</f>
        <v/>
      </c>
      <c r="AC645" s="35" t="str">
        <f>'Ingest Template'!T645</f>
        <v/>
      </c>
      <c r="AD645" s="35" t="str">
        <f>'Ingest Template'!S645</f>
        <v/>
      </c>
      <c r="AE645" s="35" t="str">
        <f>'Ingest Template'!U645</f>
        <v/>
      </c>
      <c r="AF645" s="22"/>
      <c r="AG645" s="35" t="str">
        <f t="array" ref="AG645">IF('Ingest Template'!A645="Standard",(CONCATENATE(IF(ISBLANK('Ingest Template'!N645),"", 'Ingest Template'!N645&amp;"|DAR"),CHAR(10), IF(ISBLANK('Ingest Template'!O645),"", 'Ingest Template'!O645&amp;"|DAR"),CHAR(10), IF(ISBLANK('Ingest Template'!P645),"", 'Ingest Template'!P645&amp;"|DAR"))),(CONCATENATE(IF(ISBLANK('Ingest Template'!N645),"", 'Ingest Template'!N645&amp;"|TV Ops"),CHAR(10), IF(ISBLANK('Ingest Template'!O645),"", 'Ingest Template'!O645&amp;"|TV Ops"),CHAR(10), IF(ISBLANK('Ingest Template'!P645),"", 'Ingest Template'!P645&amp;"|TV Ops"))))</f>
        <v>
</v>
      </c>
      <c r="AH645" s="35"/>
      <c r="AI645" s="35"/>
      <c r="AJ645" s="117" t="str">
        <f>if('Ingest Template'!A645="Standard",(IF(OR('Ingest Template'!F645 = "Program Type - Special", 'Ingest Template'!F645 = "Program Type - Live Event"),'Ingest Template'!M645&amp; "|DAR|DAR|"&amp;TEXT('Ingest Template'!C645-3, "yyyy-mm-dd")&amp;"|"&amp;TEXT('Ingest Template'!C645+3, "yyyy-mm-dd"),'Ingest Template'!M645&amp; "|DAR|DAR|2021-01-01")),(IF(OR('Ingest Template'!F645 = "Program Type - Special", 'Ingest Template'!F645 = "Program Type - Live Event"),'Ingest Template'!M645&amp; "|Operations - Core Title|Operations - Core Title|"&amp;TEXT('Ingest Template'!C645-3, "yyyy-mm-dd")&amp;"|"&amp;TEXT('Ingest Template'!C645+3, "yyyy-mm-dd"),'Ingest Template'!M645&amp; "|Operations - Core Title|Operations - Core Title")))</f>
        <v>|Operations - Core Title|Operations - Core Title</v>
      </c>
      <c r="AK645" s="35"/>
      <c r="AL645" s="117" t="str">
        <f>if('Ingest Template'!A645="Standard",(IF(OR('Ingest Template'!F645 = "Program Type - Special", 'Ingest Template'!F645 = "Program Type - Live Event"),'Ingest Template'!Q645&amp;"|"&amp;TEXT('Ingest Template'!C645-3, "yyyy-mm-dd")&amp;"|"&amp;TEXT('Ingest Template'!C645+3, "yyyy-mm-dd"),'Ingest Template'!Q645&amp; "|2021-01-01")),(IF(OR('Ingest Template'!F645 = "Program Type - Special", 'Ingest Template'!F645 = "Program Type - Live Event"),'Ingest Template'!Q645&amp; "|"&amp;TEXT('Ingest Template'!C645-3, "yyyy-mm-dd")&amp;"|"&amp;TEXT('Ingest Template'!C645+3, "yyyy-mm-dd"),'Ingest Template'!Q645)))</f>
        <v/>
      </c>
      <c r="AM645" s="35" t="str">
        <f>'Ingest Template'!AC645</f>
        <v/>
      </c>
    </row>
    <row r="646">
      <c r="A646" s="15"/>
      <c r="B646" s="22" t="str">
        <f>'Ingest Template'!C646&amp;IF('Ingest Template'!A646 = "Standard", " - DAR","")</f>
        <v/>
      </c>
      <c r="C646" s="22" t="s">
        <v>83</v>
      </c>
      <c r="D646" s="22" t="str">
        <f t="array" ref="D646">CONCATENATE(INDEX(DropdownLists!$H$2:$H$11,MATCH(1,COUNTIF('Ingest Template'!E646,"*"&amp;DropdownLists!$I$2:$I$11&amp;"*"),0)),CHAR(10),'Ingest Template'!F646,CHAR(10),'Ingest Template'!G646,CHAR(10),VLOOKUP('Ingest Template'!D646,DropdownLists!C:D,2,FALSE))</f>
        <v>#N/A</v>
      </c>
      <c r="E646" s="22" t="str">
        <f>CONCATENATE('Ingest Template'!H646,CHAR(10),'Ingest Template'!I646,CHAR(10),'Ingest Template'!J646,CHAR(10))</f>
        <v>
</v>
      </c>
      <c r="F646" s="35" t="str">
        <f t="array" ref="F646">INDEX(DropdownLists!$O$2:$O$36,MATCH(1,COUNTIF(E646,"*"&amp;DropdownLists!$N$2:$N$36&amp;"*"),0))</f>
        <v/>
      </c>
      <c r="G646" s="35"/>
      <c r="H646" s="22" t="str">
        <f t="array" ref="H646">INDEX(DropdownLists!$E$2:$E$276,MATCH('Ingest Template'!D646,DropdownLists!$C$2:$C$276,0))</f>
        <v>#N/A</v>
      </c>
      <c r="I646" s="22"/>
      <c r="J646" s="22" t="str">
        <f t="array" ref="J646">iF('Ingest Template'!A646="Standard","Pristine Brand",INDEX(DropdownLists!$B$2:$B$246,MATCH('Ingest Template'!D646,DropdownLists!$C$2:$C$246,0)))</f>
        <v>#N/A</v>
      </c>
      <c r="K646" s="22" t="str">
        <f>iF('Ingest Template'!A646="Standard",'Ingest Template'!K646&amp;CHAR(10)&amp;'Ingest Template'!L646,"Competitive View")</f>
        <v>Competitive View</v>
      </c>
      <c r="L646" s="22" t="s">
        <v>95</v>
      </c>
      <c r="M646" s="45" t="str">
        <f>'Ingest Template'!B646</f>
        <v/>
      </c>
      <c r="N646" s="35"/>
      <c r="O646" s="35"/>
      <c r="P646" s="35"/>
      <c r="Q646" s="35"/>
      <c r="R646" s="35" t="str">
        <f>'Ingest Template'!D646</f>
        <v/>
      </c>
      <c r="S646" s="22" t="s">
        <v>101</v>
      </c>
      <c r="T646" s="35" t="str">
        <f>'Ingest Template'!V646</f>
        <v/>
      </c>
      <c r="U646" s="35" t="str">
        <f>'Ingest Template'!W646</f>
        <v/>
      </c>
      <c r="V646" s="35" t="str">
        <f>LOWER(SUBSTITUTE(SUBSTITUTE(SUBSTITUTE(SUBSTITUTE(SUBSTITUTE('Ingest Template'!X646,"https:",""),"www.",""),"/",""),"?hl=en",""),"instagram.com",""))</f>
        <v/>
      </c>
      <c r="W646" s="74" t="str">
        <f t="array" ref="W646">IF(
'Ingest Template'!Y646="",
SUBSTITUTE(
INDEX(DropdownLists!$F$2:$F$277,MATCH('Ingest Template'!D646,DropdownLists!$C$2:$C$277,0)),
CHAR(10),
"|"&amp;'Ingest Template'!C646&amp;CHAR(10)
)&amp;"|"&amp;'Ingest Template'!C646,
SUBSTITUTE(
INDEX(DropdownLists!$F$2:$F$277,MATCH('Ingest Template'!D646,DropdownLists!$C$2:$C$277,0)),
CHAR(10),
"|"&amp;'Ingest Template'!C646&amp;CHAR(10)
)&amp;"|"&amp;'Ingest Template'!C646&amp;CHAR(10)&amp;'Ingest Template'!Y646
)</f>
        <v>#N/A</v>
      </c>
      <c r="X646" s="74" t="str">
        <f>'Ingest Template'!Z646</f>
        <v/>
      </c>
      <c r="Y646" s="35" t="str">
        <f>SUBSTITUTE(SUBSTITUTE(SUBSTITUTE('Ingest Template'!AA646,"http:",""),"https:",""),"/","")</f>
        <v/>
      </c>
      <c r="Z646" s="35" t="str">
        <f t="array" ref="Z646">IF('Ingest Template'!A646="Standard",(IF(ISBLANK('Ingest Template'!AB646),"", 'Ingest Template'!AB646&amp;"|DAR")),(IF(ISBLANK('Ingest Template'!AB646),"", 'Ingest Template'!AB646&amp;"|TV Ops")))</f>
        <v/>
      </c>
      <c r="AA646" s="35"/>
      <c r="AB646" s="35" t="str">
        <f>'Ingest Template'!R646</f>
        <v/>
      </c>
      <c r="AC646" s="35" t="str">
        <f>'Ingest Template'!T646</f>
        <v/>
      </c>
      <c r="AD646" s="35" t="str">
        <f>'Ingest Template'!S646</f>
        <v/>
      </c>
      <c r="AE646" s="35" t="str">
        <f>'Ingest Template'!U646</f>
        <v/>
      </c>
      <c r="AF646" s="22"/>
      <c r="AG646" s="35" t="str">
        <f t="array" ref="AG646">IF('Ingest Template'!A646="Standard",(CONCATENATE(IF(ISBLANK('Ingest Template'!N646),"", 'Ingest Template'!N646&amp;"|DAR"),CHAR(10), IF(ISBLANK('Ingest Template'!O646),"", 'Ingest Template'!O646&amp;"|DAR"),CHAR(10), IF(ISBLANK('Ingest Template'!P646),"", 'Ingest Template'!P646&amp;"|DAR"))),(CONCATENATE(IF(ISBLANK('Ingest Template'!N646),"", 'Ingest Template'!N646&amp;"|TV Ops"),CHAR(10), IF(ISBLANK('Ingest Template'!O646),"", 'Ingest Template'!O646&amp;"|TV Ops"),CHAR(10), IF(ISBLANK('Ingest Template'!P646),"", 'Ingest Template'!P646&amp;"|TV Ops"))))</f>
        <v>
</v>
      </c>
      <c r="AH646" s="35"/>
      <c r="AI646" s="35"/>
      <c r="AJ646" s="117" t="str">
        <f>if('Ingest Template'!A646="Standard",(IF(OR('Ingest Template'!F646 = "Program Type - Special", 'Ingest Template'!F646 = "Program Type - Live Event"),'Ingest Template'!M646&amp; "|DAR|DAR|"&amp;TEXT('Ingest Template'!C646-3, "yyyy-mm-dd")&amp;"|"&amp;TEXT('Ingest Template'!C646+3, "yyyy-mm-dd"),'Ingest Template'!M646&amp; "|DAR|DAR|2021-01-01")),(IF(OR('Ingest Template'!F646 = "Program Type - Special", 'Ingest Template'!F646 = "Program Type - Live Event"),'Ingest Template'!M646&amp; "|Operations - Core Title|Operations - Core Title|"&amp;TEXT('Ingest Template'!C646-3, "yyyy-mm-dd")&amp;"|"&amp;TEXT('Ingest Template'!C646+3, "yyyy-mm-dd"),'Ingest Template'!M646&amp; "|Operations - Core Title|Operations - Core Title")))</f>
        <v>|Operations - Core Title|Operations - Core Title</v>
      </c>
      <c r="AK646" s="35"/>
      <c r="AL646" s="117" t="str">
        <f>if('Ingest Template'!A646="Standard",(IF(OR('Ingest Template'!F646 = "Program Type - Special", 'Ingest Template'!F646 = "Program Type - Live Event"),'Ingest Template'!Q646&amp;"|"&amp;TEXT('Ingest Template'!C646-3, "yyyy-mm-dd")&amp;"|"&amp;TEXT('Ingest Template'!C646+3, "yyyy-mm-dd"),'Ingest Template'!Q646&amp; "|2021-01-01")),(IF(OR('Ingest Template'!F646 = "Program Type - Special", 'Ingest Template'!F646 = "Program Type - Live Event"),'Ingest Template'!Q646&amp; "|"&amp;TEXT('Ingest Template'!C646-3, "yyyy-mm-dd")&amp;"|"&amp;TEXT('Ingest Template'!C646+3, "yyyy-mm-dd"),'Ingest Template'!Q646)))</f>
        <v/>
      </c>
      <c r="AM646" s="35" t="str">
        <f>'Ingest Template'!AC646</f>
        <v/>
      </c>
    </row>
    <row r="647">
      <c r="A647" s="15"/>
      <c r="B647" s="22" t="str">
        <f>'Ingest Template'!C647&amp;IF('Ingest Template'!A647 = "Standard", " - DAR","")</f>
        <v/>
      </c>
      <c r="C647" s="22" t="s">
        <v>83</v>
      </c>
      <c r="D647" s="22" t="str">
        <f t="array" ref="D647">CONCATENATE(INDEX(DropdownLists!$H$2:$H$11,MATCH(1,COUNTIF('Ingest Template'!E647,"*"&amp;DropdownLists!$I$2:$I$11&amp;"*"),0)),CHAR(10),'Ingest Template'!F647,CHAR(10),'Ingest Template'!G647,CHAR(10),VLOOKUP('Ingest Template'!D647,DropdownLists!C:D,2,FALSE))</f>
        <v>#N/A</v>
      </c>
      <c r="E647" s="22" t="str">
        <f>CONCATENATE('Ingest Template'!H647,CHAR(10),'Ingest Template'!I647,CHAR(10),'Ingest Template'!J647,CHAR(10))</f>
        <v>
</v>
      </c>
      <c r="F647" s="35" t="str">
        <f t="array" ref="F647">INDEX(DropdownLists!$O$2:$O$36,MATCH(1,COUNTIF(E647,"*"&amp;DropdownLists!$N$2:$N$36&amp;"*"),0))</f>
        <v/>
      </c>
      <c r="G647" s="35"/>
      <c r="H647" s="22" t="str">
        <f t="array" ref="H647">INDEX(DropdownLists!$E$2:$E$276,MATCH('Ingest Template'!D647,DropdownLists!$C$2:$C$276,0))</f>
        <v>#N/A</v>
      </c>
      <c r="I647" s="22"/>
      <c r="J647" s="22" t="str">
        <f t="array" ref="J647">iF('Ingest Template'!A647="Standard","Pristine Brand",INDEX(DropdownLists!$B$2:$B$246,MATCH('Ingest Template'!D647,DropdownLists!$C$2:$C$246,0)))</f>
        <v>#N/A</v>
      </c>
      <c r="K647" s="22" t="str">
        <f>iF('Ingest Template'!A647="Standard",'Ingest Template'!K647&amp;CHAR(10)&amp;'Ingest Template'!L647,"Competitive View")</f>
        <v>Competitive View</v>
      </c>
      <c r="L647" s="22" t="s">
        <v>95</v>
      </c>
      <c r="M647" s="45" t="str">
        <f>'Ingest Template'!B647</f>
        <v/>
      </c>
      <c r="N647" s="35"/>
      <c r="O647" s="35"/>
      <c r="P647" s="35"/>
      <c r="Q647" s="35"/>
      <c r="R647" s="35" t="str">
        <f>'Ingest Template'!D647</f>
        <v/>
      </c>
      <c r="S647" s="22" t="s">
        <v>101</v>
      </c>
      <c r="T647" s="35" t="str">
        <f>'Ingest Template'!V647</f>
        <v/>
      </c>
      <c r="U647" s="35" t="str">
        <f>'Ingest Template'!W647</f>
        <v/>
      </c>
      <c r="V647" s="35" t="str">
        <f>LOWER(SUBSTITUTE(SUBSTITUTE(SUBSTITUTE(SUBSTITUTE(SUBSTITUTE('Ingest Template'!X647,"https:",""),"www.",""),"/",""),"?hl=en",""),"instagram.com",""))</f>
        <v/>
      </c>
      <c r="W647" s="74" t="str">
        <f t="array" ref="W647">IF(
'Ingest Template'!Y647="",
SUBSTITUTE(
INDEX(DropdownLists!$F$2:$F$277,MATCH('Ingest Template'!D647,DropdownLists!$C$2:$C$277,0)),
CHAR(10),
"|"&amp;'Ingest Template'!C647&amp;CHAR(10)
)&amp;"|"&amp;'Ingest Template'!C647,
SUBSTITUTE(
INDEX(DropdownLists!$F$2:$F$277,MATCH('Ingest Template'!D647,DropdownLists!$C$2:$C$277,0)),
CHAR(10),
"|"&amp;'Ingest Template'!C647&amp;CHAR(10)
)&amp;"|"&amp;'Ingest Template'!C647&amp;CHAR(10)&amp;'Ingest Template'!Y647
)</f>
        <v>#N/A</v>
      </c>
      <c r="X647" s="74" t="str">
        <f>'Ingest Template'!Z647</f>
        <v/>
      </c>
      <c r="Y647" s="35" t="str">
        <f>SUBSTITUTE(SUBSTITUTE(SUBSTITUTE('Ingest Template'!AA647,"http:",""),"https:",""),"/","")</f>
        <v/>
      </c>
      <c r="Z647" s="35" t="str">
        <f t="array" ref="Z647">IF('Ingest Template'!A647="Standard",(IF(ISBLANK('Ingest Template'!AB647),"", 'Ingest Template'!AB647&amp;"|DAR")),(IF(ISBLANK('Ingest Template'!AB647),"", 'Ingest Template'!AB647&amp;"|TV Ops")))</f>
        <v/>
      </c>
      <c r="AA647" s="35"/>
      <c r="AB647" s="35" t="str">
        <f>'Ingest Template'!R647</f>
        <v/>
      </c>
      <c r="AC647" s="35" t="str">
        <f>'Ingest Template'!T647</f>
        <v/>
      </c>
      <c r="AD647" s="35" t="str">
        <f>'Ingest Template'!S647</f>
        <v/>
      </c>
      <c r="AE647" s="35" t="str">
        <f>'Ingest Template'!U647</f>
        <v/>
      </c>
      <c r="AF647" s="22"/>
      <c r="AG647" s="35" t="str">
        <f t="array" ref="AG647">IF('Ingest Template'!A647="Standard",(CONCATENATE(IF(ISBLANK('Ingest Template'!N647),"", 'Ingest Template'!N647&amp;"|DAR"),CHAR(10), IF(ISBLANK('Ingest Template'!O647),"", 'Ingest Template'!O647&amp;"|DAR"),CHAR(10), IF(ISBLANK('Ingest Template'!P647),"", 'Ingest Template'!P647&amp;"|DAR"))),(CONCATENATE(IF(ISBLANK('Ingest Template'!N647),"", 'Ingest Template'!N647&amp;"|TV Ops"),CHAR(10), IF(ISBLANK('Ingest Template'!O647),"", 'Ingest Template'!O647&amp;"|TV Ops"),CHAR(10), IF(ISBLANK('Ingest Template'!P647),"", 'Ingest Template'!P647&amp;"|TV Ops"))))</f>
        <v>
</v>
      </c>
      <c r="AH647" s="35"/>
      <c r="AI647" s="35"/>
      <c r="AJ647" s="117" t="str">
        <f>if('Ingest Template'!A647="Standard",(IF(OR('Ingest Template'!F647 = "Program Type - Special", 'Ingest Template'!F647 = "Program Type - Live Event"),'Ingest Template'!M647&amp; "|DAR|DAR|"&amp;TEXT('Ingest Template'!C647-3, "yyyy-mm-dd")&amp;"|"&amp;TEXT('Ingest Template'!C647+3, "yyyy-mm-dd"),'Ingest Template'!M647&amp; "|DAR|DAR|2021-01-01")),(IF(OR('Ingest Template'!F647 = "Program Type - Special", 'Ingest Template'!F647 = "Program Type - Live Event"),'Ingest Template'!M647&amp; "|Operations - Core Title|Operations - Core Title|"&amp;TEXT('Ingest Template'!C647-3, "yyyy-mm-dd")&amp;"|"&amp;TEXT('Ingest Template'!C647+3, "yyyy-mm-dd"),'Ingest Template'!M647&amp; "|Operations - Core Title|Operations - Core Title")))</f>
        <v>|Operations - Core Title|Operations - Core Title</v>
      </c>
      <c r="AK647" s="35"/>
      <c r="AL647" s="117" t="str">
        <f>if('Ingest Template'!A647="Standard",(IF(OR('Ingest Template'!F647 = "Program Type - Special", 'Ingest Template'!F647 = "Program Type - Live Event"),'Ingest Template'!Q647&amp;"|"&amp;TEXT('Ingest Template'!C647-3, "yyyy-mm-dd")&amp;"|"&amp;TEXT('Ingest Template'!C647+3, "yyyy-mm-dd"),'Ingest Template'!Q647&amp; "|2021-01-01")),(IF(OR('Ingest Template'!F647 = "Program Type - Special", 'Ingest Template'!F647 = "Program Type - Live Event"),'Ingest Template'!Q647&amp; "|"&amp;TEXT('Ingest Template'!C647-3, "yyyy-mm-dd")&amp;"|"&amp;TEXT('Ingest Template'!C647+3, "yyyy-mm-dd"),'Ingest Template'!Q647)))</f>
        <v/>
      </c>
      <c r="AM647" s="35" t="str">
        <f>'Ingest Template'!AC647</f>
        <v/>
      </c>
    </row>
    <row r="648">
      <c r="A648" s="15"/>
      <c r="B648" s="22" t="str">
        <f>'Ingest Template'!C648&amp;IF('Ingest Template'!A648 = "Standard", " - DAR","")</f>
        <v/>
      </c>
      <c r="C648" s="22" t="s">
        <v>83</v>
      </c>
      <c r="D648" s="22" t="str">
        <f t="array" ref="D648">CONCATENATE(INDEX(DropdownLists!$H$2:$H$11,MATCH(1,COUNTIF('Ingest Template'!E648,"*"&amp;DropdownLists!$I$2:$I$11&amp;"*"),0)),CHAR(10),'Ingest Template'!F648,CHAR(10),'Ingest Template'!G648,CHAR(10),VLOOKUP('Ingest Template'!D648,DropdownLists!C:D,2,FALSE))</f>
        <v>#N/A</v>
      </c>
      <c r="E648" s="22" t="str">
        <f>CONCATENATE('Ingest Template'!H648,CHAR(10),'Ingest Template'!I648,CHAR(10),'Ingest Template'!J648,CHAR(10))</f>
        <v>
</v>
      </c>
      <c r="F648" s="35" t="str">
        <f t="array" ref="F648">INDEX(DropdownLists!$O$2:$O$36,MATCH(1,COUNTIF(E648,"*"&amp;DropdownLists!$N$2:$N$36&amp;"*"),0))</f>
        <v/>
      </c>
      <c r="G648" s="35"/>
      <c r="H648" s="22" t="str">
        <f t="array" ref="H648">INDEX(DropdownLists!$E$2:$E$276,MATCH('Ingest Template'!D648,DropdownLists!$C$2:$C$276,0))</f>
        <v>#N/A</v>
      </c>
      <c r="I648" s="22"/>
      <c r="J648" s="22" t="str">
        <f t="array" ref="J648">iF('Ingest Template'!A648="Standard","Pristine Brand",INDEX(DropdownLists!$B$2:$B$246,MATCH('Ingest Template'!D648,DropdownLists!$C$2:$C$246,0)))</f>
        <v>#N/A</v>
      </c>
      <c r="K648" s="22" t="str">
        <f>iF('Ingest Template'!A648="Standard",'Ingest Template'!K648&amp;CHAR(10)&amp;'Ingest Template'!L648,"Competitive View")</f>
        <v>Competitive View</v>
      </c>
      <c r="L648" s="22" t="s">
        <v>95</v>
      </c>
      <c r="M648" s="45" t="str">
        <f>'Ingest Template'!B648</f>
        <v/>
      </c>
      <c r="N648" s="35"/>
      <c r="O648" s="35"/>
      <c r="P648" s="35"/>
      <c r="Q648" s="35"/>
      <c r="R648" s="35" t="str">
        <f>'Ingest Template'!D648</f>
        <v/>
      </c>
      <c r="S648" s="22" t="s">
        <v>101</v>
      </c>
      <c r="T648" s="35" t="str">
        <f>'Ingest Template'!V648</f>
        <v/>
      </c>
      <c r="U648" s="35" t="str">
        <f>'Ingest Template'!W648</f>
        <v/>
      </c>
      <c r="V648" s="35" t="str">
        <f>LOWER(SUBSTITUTE(SUBSTITUTE(SUBSTITUTE(SUBSTITUTE(SUBSTITUTE('Ingest Template'!X648,"https:",""),"www.",""),"/",""),"?hl=en",""),"instagram.com",""))</f>
        <v/>
      </c>
      <c r="W648" s="74" t="str">
        <f t="array" ref="W648">IF(
'Ingest Template'!Y648="",
SUBSTITUTE(
INDEX(DropdownLists!$F$2:$F$277,MATCH('Ingest Template'!D648,DropdownLists!$C$2:$C$277,0)),
CHAR(10),
"|"&amp;'Ingest Template'!C648&amp;CHAR(10)
)&amp;"|"&amp;'Ingest Template'!C648,
SUBSTITUTE(
INDEX(DropdownLists!$F$2:$F$277,MATCH('Ingest Template'!D648,DropdownLists!$C$2:$C$277,0)),
CHAR(10),
"|"&amp;'Ingest Template'!C648&amp;CHAR(10)
)&amp;"|"&amp;'Ingest Template'!C648&amp;CHAR(10)&amp;'Ingest Template'!Y648
)</f>
        <v>#N/A</v>
      </c>
      <c r="X648" s="74" t="str">
        <f>'Ingest Template'!Z648</f>
        <v/>
      </c>
      <c r="Y648" s="35" t="str">
        <f>SUBSTITUTE(SUBSTITUTE(SUBSTITUTE('Ingest Template'!AA648,"http:",""),"https:",""),"/","")</f>
        <v/>
      </c>
      <c r="Z648" s="35" t="str">
        <f t="array" ref="Z648">IF('Ingest Template'!A648="Standard",(IF(ISBLANK('Ingest Template'!AB648),"", 'Ingest Template'!AB648&amp;"|DAR")),(IF(ISBLANK('Ingest Template'!AB648),"", 'Ingest Template'!AB648&amp;"|TV Ops")))</f>
        <v/>
      </c>
      <c r="AA648" s="35"/>
      <c r="AB648" s="35" t="str">
        <f>'Ingest Template'!R648</f>
        <v/>
      </c>
      <c r="AC648" s="35" t="str">
        <f>'Ingest Template'!T648</f>
        <v/>
      </c>
      <c r="AD648" s="35" t="str">
        <f>'Ingest Template'!S648</f>
        <v/>
      </c>
      <c r="AE648" s="35" t="str">
        <f>'Ingest Template'!U648</f>
        <v/>
      </c>
      <c r="AF648" s="22"/>
      <c r="AG648" s="35" t="str">
        <f t="array" ref="AG648">IF('Ingest Template'!A648="Standard",(CONCATENATE(IF(ISBLANK('Ingest Template'!N648),"", 'Ingest Template'!N648&amp;"|DAR"),CHAR(10), IF(ISBLANK('Ingest Template'!O648),"", 'Ingest Template'!O648&amp;"|DAR"),CHAR(10), IF(ISBLANK('Ingest Template'!P648),"", 'Ingest Template'!P648&amp;"|DAR"))),(CONCATENATE(IF(ISBLANK('Ingest Template'!N648),"", 'Ingest Template'!N648&amp;"|TV Ops"),CHAR(10), IF(ISBLANK('Ingest Template'!O648),"", 'Ingest Template'!O648&amp;"|TV Ops"),CHAR(10), IF(ISBLANK('Ingest Template'!P648),"", 'Ingest Template'!P648&amp;"|TV Ops"))))</f>
        <v>
</v>
      </c>
      <c r="AH648" s="35"/>
      <c r="AI648" s="35"/>
      <c r="AJ648" s="117" t="str">
        <f>if('Ingest Template'!A648="Standard",(IF(OR('Ingest Template'!F648 = "Program Type - Special", 'Ingest Template'!F648 = "Program Type - Live Event"),'Ingest Template'!M648&amp; "|DAR|DAR|"&amp;TEXT('Ingest Template'!C648-3, "yyyy-mm-dd")&amp;"|"&amp;TEXT('Ingest Template'!C648+3, "yyyy-mm-dd"),'Ingest Template'!M648&amp; "|DAR|DAR|2021-01-01")),(IF(OR('Ingest Template'!F648 = "Program Type - Special", 'Ingest Template'!F648 = "Program Type - Live Event"),'Ingest Template'!M648&amp; "|Operations - Core Title|Operations - Core Title|"&amp;TEXT('Ingest Template'!C648-3, "yyyy-mm-dd")&amp;"|"&amp;TEXT('Ingest Template'!C648+3, "yyyy-mm-dd"),'Ingest Template'!M648&amp; "|Operations - Core Title|Operations - Core Title")))</f>
        <v>|Operations - Core Title|Operations - Core Title</v>
      </c>
      <c r="AK648" s="35"/>
      <c r="AL648" s="117" t="str">
        <f>if('Ingest Template'!A648="Standard",(IF(OR('Ingest Template'!F648 = "Program Type - Special", 'Ingest Template'!F648 = "Program Type - Live Event"),'Ingest Template'!Q648&amp;"|"&amp;TEXT('Ingest Template'!C648-3, "yyyy-mm-dd")&amp;"|"&amp;TEXT('Ingest Template'!C648+3, "yyyy-mm-dd"),'Ingest Template'!Q648&amp; "|2021-01-01")),(IF(OR('Ingest Template'!F648 = "Program Type - Special", 'Ingest Template'!F648 = "Program Type - Live Event"),'Ingest Template'!Q648&amp; "|"&amp;TEXT('Ingest Template'!C648-3, "yyyy-mm-dd")&amp;"|"&amp;TEXT('Ingest Template'!C648+3, "yyyy-mm-dd"),'Ingest Template'!Q648)))</f>
        <v/>
      </c>
      <c r="AM648" s="35" t="str">
        <f>'Ingest Template'!AC648</f>
        <v/>
      </c>
    </row>
    <row r="649">
      <c r="A649" s="15"/>
      <c r="B649" s="22" t="str">
        <f>'Ingest Template'!C649&amp;IF('Ingest Template'!A649 = "Standard", " - DAR","")</f>
        <v/>
      </c>
      <c r="C649" s="22" t="s">
        <v>83</v>
      </c>
      <c r="D649" s="22" t="str">
        <f t="array" ref="D649">CONCATENATE(INDEX(DropdownLists!$H$2:$H$11,MATCH(1,COUNTIF('Ingest Template'!E649,"*"&amp;DropdownLists!$I$2:$I$11&amp;"*"),0)),CHAR(10),'Ingest Template'!F649,CHAR(10),'Ingest Template'!G649,CHAR(10),VLOOKUP('Ingest Template'!D649,DropdownLists!C:D,2,FALSE))</f>
        <v>#N/A</v>
      </c>
      <c r="E649" s="22" t="str">
        <f>CONCATENATE('Ingest Template'!H649,CHAR(10),'Ingest Template'!I649,CHAR(10),'Ingest Template'!J649,CHAR(10))</f>
        <v>
</v>
      </c>
      <c r="F649" s="35" t="str">
        <f t="array" ref="F649">INDEX(DropdownLists!$O$2:$O$36,MATCH(1,COUNTIF(E649,"*"&amp;DropdownLists!$N$2:$N$36&amp;"*"),0))</f>
        <v/>
      </c>
      <c r="G649" s="35"/>
      <c r="H649" s="22" t="str">
        <f t="array" ref="H649">INDEX(DropdownLists!$E$2:$E$276,MATCH('Ingest Template'!D649,DropdownLists!$C$2:$C$276,0))</f>
        <v>#N/A</v>
      </c>
      <c r="I649" s="22"/>
      <c r="J649" s="22" t="str">
        <f t="array" ref="J649">iF('Ingest Template'!A649="Standard","Pristine Brand",INDEX(DropdownLists!$B$2:$B$246,MATCH('Ingest Template'!D649,DropdownLists!$C$2:$C$246,0)))</f>
        <v>#N/A</v>
      </c>
      <c r="K649" s="22" t="str">
        <f>iF('Ingest Template'!A649="Standard",'Ingest Template'!K649&amp;CHAR(10)&amp;'Ingest Template'!L649,"Competitive View")</f>
        <v>Competitive View</v>
      </c>
      <c r="L649" s="22" t="s">
        <v>95</v>
      </c>
      <c r="M649" s="45" t="str">
        <f>'Ingest Template'!B649</f>
        <v/>
      </c>
      <c r="N649" s="35"/>
      <c r="O649" s="35"/>
      <c r="P649" s="35"/>
      <c r="Q649" s="35"/>
      <c r="R649" s="35" t="str">
        <f>'Ingest Template'!D649</f>
        <v/>
      </c>
      <c r="S649" s="22" t="s">
        <v>101</v>
      </c>
      <c r="T649" s="35" t="str">
        <f>'Ingest Template'!V649</f>
        <v/>
      </c>
      <c r="U649" s="35" t="str">
        <f>'Ingest Template'!W649</f>
        <v/>
      </c>
      <c r="V649" s="35" t="str">
        <f>LOWER(SUBSTITUTE(SUBSTITUTE(SUBSTITUTE(SUBSTITUTE(SUBSTITUTE('Ingest Template'!X649,"https:",""),"www.",""),"/",""),"?hl=en",""),"instagram.com",""))</f>
        <v/>
      </c>
      <c r="W649" s="74" t="str">
        <f t="array" ref="W649">IF(
'Ingest Template'!Y649="",
SUBSTITUTE(
INDEX(DropdownLists!$F$2:$F$277,MATCH('Ingest Template'!D649,DropdownLists!$C$2:$C$277,0)),
CHAR(10),
"|"&amp;'Ingest Template'!C649&amp;CHAR(10)
)&amp;"|"&amp;'Ingest Template'!C649,
SUBSTITUTE(
INDEX(DropdownLists!$F$2:$F$277,MATCH('Ingest Template'!D649,DropdownLists!$C$2:$C$277,0)),
CHAR(10),
"|"&amp;'Ingest Template'!C649&amp;CHAR(10)
)&amp;"|"&amp;'Ingest Template'!C649&amp;CHAR(10)&amp;'Ingest Template'!Y649
)</f>
        <v>#N/A</v>
      </c>
      <c r="X649" s="74" t="str">
        <f>'Ingest Template'!Z649</f>
        <v/>
      </c>
      <c r="Y649" s="35" t="str">
        <f>SUBSTITUTE(SUBSTITUTE(SUBSTITUTE('Ingest Template'!AA649,"http:",""),"https:",""),"/","")</f>
        <v/>
      </c>
      <c r="Z649" s="35" t="str">
        <f t="array" ref="Z649">IF('Ingest Template'!A649="Standard",(IF(ISBLANK('Ingest Template'!AB649),"", 'Ingest Template'!AB649&amp;"|DAR")),(IF(ISBLANK('Ingest Template'!AB649),"", 'Ingest Template'!AB649&amp;"|TV Ops")))</f>
        <v/>
      </c>
      <c r="AA649" s="35"/>
      <c r="AB649" s="35" t="str">
        <f>'Ingest Template'!R649</f>
        <v/>
      </c>
      <c r="AC649" s="35" t="str">
        <f>'Ingest Template'!T649</f>
        <v/>
      </c>
      <c r="AD649" s="35" t="str">
        <f>'Ingest Template'!S649</f>
        <v/>
      </c>
      <c r="AE649" s="35" t="str">
        <f>'Ingest Template'!U649</f>
        <v/>
      </c>
      <c r="AF649" s="22"/>
      <c r="AG649" s="35" t="str">
        <f t="array" ref="AG649">IF('Ingest Template'!A649="Standard",(CONCATENATE(IF(ISBLANK('Ingest Template'!N649),"", 'Ingest Template'!N649&amp;"|DAR"),CHAR(10), IF(ISBLANK('Ingest Template'!O649),"", 'Ingest Template'!O649&amp;"|DAR"),CHAR(10), IF(ISBLANK('Ingest Template'!P649),"", 'Ingest Template'!P649&amp;"|DAR"))),(CONCATENATE(IF(ISBLANK('Ingest Template'!N649),"", 'Ingest Template'!N649&amp;"|TV Ops"),CHAR(10), IF(ISBLANK('Ingest Template'!O649),"", 'Ingest Template'!O649&amp;"|TV Ops"),CHAR(10), IF(ISBLANK('Ingest Template'!P649),"", 'Ingest Template'!P649&amp;"|TV Ops"))))</f>
        <v>
</v>
      </c>
      <c r="AH649" s="35"/>
      <c r="AI649" s="35"/>
      <c r="AJ649" s="117" t="str">
        <f>if('Ingest Template'!A649="Standard",(IF(OR('Ingest Template'!F649 = "Program Type - Special", 'Ingest Template'!F649 = "Program Type - Live Event"),'Ingest Template'!M649&amp; "|DAR|DAR|"&amp;TEXT('Ingest Template'!C649-3, "yyyy-mm-dd")&amp;"|"&amp;TEXT('Ingest Template'!C649+3, "yyyy-mm-dd"),'Ingest Template'!M649&amp; "|DAR|DAR|2021-01-01")),(IF(OR('Ingest Template'!F649 = "Program Type - Special", 'Ingest Template'!F649 = "Program Type - Live Event"),'Ingest Template'!M649&amp; "|Operations - Core Title|Operations - Core Title|"&amp;TEXT('Ingest Template'!C649-3, "yyyy-mm-dd")&amp;"|"&amp;TEXT('Ingest Template'!C649+3, "yyyy-mm-dd"),'Ingest Template'!M649&amp; "|Operations - Core Title|Operations - Core Title")))</f>
        <v>|Operations - Core Title|Operations - Core Title</v>
      </c>
      <c r="AK649" s="35"/>
      <c r="AL649" s="117" t="str">
        <f>if('Ingest Template'!A649="Standard",(IF(OR('Ingest Template'!F649 = "Program Type - Special", 'Ingest Template'!F649 = "Program Type - Live Event"),'Ingest Template'!Q649&amp;"|"&amp;TEXT('Ingest Template'!C649-3, "yyyy-mm-dd")&amp;"|"&amp;TEXT('Ingest Template'!C649+3, "yyyy-mm-dd"),'Ingest Template'!Q649&amp; "|2021-01-01")),(IF(OR('Ingest Template'!F649 = "Program Type - Special", 'Ingest Template'!F649 = "Program Type - Live Event"),'Ingest Template'!Q649&amp; "|"&amp;TEXT('Ingest Template'!C649-3, "yyyy-mm-dd")&amp;"|"&amp;TEXT('Ingest Template'!C649+3, "yyyy-mm-dd"),'Ingest Template'!Q649)))</f>
        <v/>
      </c>
      <c r="AM649" s="35" t="str">
        <f>'Ingest Template'!AC649</f>
        <v/>
      </c>
    </row>
    <row r="650">
      <c r="A650" s="15"/>
      <c r="B650" s="22" t="str">
        <f>'Ingest Template'!C650&amp;IF('Ingest Template'!A650 = "Standard", " - DAR","")</f>
        <v/>
      </c>
      <c r="C650" s="22" t="s">
        <v>83</v>
      </c>
      <c r="D650" s="22" t="str">
        <f t="array" ref="D650">CONCATENATE(INDEX(DropdownLists!$H$2:$H$11,MATCH(1,COUNTIF('Ingest Template'!E650,"*"&amp;DropdownLists!$I$2:$I$11&amp;"*"),0)),CHAR(10),'Ingest Template'!F650,CHAR(10),'Ingest Template'!G650,CHAR(10),VLOOKUP('Ingest Template'!D650,DropdownLists!C:D,2,FALSE))</f>
        <v>#N/A</v>
      </c>
      <c r="E650" s="22" t="str">
        <f>CONCATENATE('Ingest Template'!H650,CHAR(10),'Ingest Template'!I650,CHAR(10),'Ingest Template'!J650,CHAR(10))</f>
        <v>
</v>
      </c>
      <c r="F650" s="35" t="str">
        <f t="array" ref="F650">INDEX(DropdownLists!$O$2:$O$36,MATCH(1,COUNTIF(E650,"*"&amp;DropdownLists!$N$2:$N$36&amp;"*"),0))</f>
        <v/>
      </c>
      <c r="G650" s="35"/>
      <c r="H650" s="22" t="str">
        <f t="array" ref="H650">INDEX(DropdownLists!$E$2:$E$276,MATCH('Ingest Template'!D650,DropdownLists!$C$2:$C$276,0))</f>
        <v>#N/A</v>
      </c>
      <c r="I650" s="22"/>
      <c r="J650" s="22" t="str">
        <f t="array" ref="J650">iF('Ingest Template'!A650="Standard","Pristine Brand",INDEX(DropdownLists!$B$2:$B$246,MATCH('Ingest Template'!D650,DropdownLists!$C$2:$C$246,0)))</f>
        <v>#N/A</v>
      </c>
      <c r="K650" s="22" t="str">
        <f>iF('Ingest Template'!A650="Standard",'Ingest Template'!K650&amp;CHAR(10)&amp;'Ingest Template'!L650,"Competitive View")</f>
        <v>Competitive View</v>
      </c>
      <c r="L650" s="22" t="s">
        <v>95</v>
      </c>
      <c r="M650" s="45" t="str">
        <f>'Ingest Template'!B650</f>
        <v/>
      </c>
      <c r="N650" s="35"/>
      <c r="O650" s="35"/>
      <c r="P650" s="35"/>
      <c r="Q650" s="35"/>
      <c r="R650" s="35" t="str">
        <f>'Ingest Template'!D650</f>
        <v/>
      </c>
      <c r="S650" s="22" t="s">
        <v>101</v>
      </c>
      <c r="T650" s="35" t="str">
        <f>'Ingest Template'!V650</f>
        <v/>
      </c>
      <c r="U650" s="35" t="str">
        <f>'Ingest Template'!W650</f>
        <v/>
      </c>
      <c r="V650" s="35" t="str">
        <f>LOWER(SUBSTITUTE(SUBSTITUTE(SUBSTITUTE(SUBSTITUTE(SUBSTITUTE('Ingest Template'!X650,"https:",""),"www.",""),"/",""),"?hl=en",""),"instagram.com",""))</f>
        <v/>
      </c>
      <c r="W650" s="74" t="str">
        <f t="array" ref="W650">IF(
'Ingest Template'!Y650="",
SUBSTITUTE(
INDEX(DropdownLists!$F$2:$F$277,MATCH('Ingest Template'!D650,DropdownLists!$C$2:$C$277,0)),
CHAR(10),
"|"&amp;'Ingest Template'!C650&amp;CHAR(10)
)&amp;"|"&amp;'Ingest Template'!C650,
SUBSTITUTE(
INDEX(DropdownLists!$F$2:$F$277,MATCH('Ingest Template'!D650,DropdownLists!$C$2:$C$277,0)),
CHAR(10),
"|"&amp;'Ingest Template'!C650&amp;CHAR(10)
)&amp;"|"&amp;'Ingest Template'!C650&amp;CHAR(10)&amp;'Ingest Template'!Y650
)</f>
        <v>#N/A</v>
      </c>
      <c r="X650" s="74" t="str">
        <f>'Ingest Template'!Z650</f>
        <v/>
      </c>
      <c r="Y650" s="35" t="str">
        <f>SUBSTITUTE(SUBSTITUTE(SUBSTITUTE('Ingest Template'!AA650,"http:",""),"https:",""),"/","")</f>
        <v/>
      </c>
      <c r="Z650" s="35" t="str">
        <f t="array" ref="Z650">IF('Ingest Template'!A650="Standard",(IF(ISBLANK('Ingest Template'!AB650),"", 'Ingest Template'!AB650&amp;"|DAR")),(IF(ISBLANK('Ingest Template'!AB650),"", 'Ingest Template'!AB650&amp;"|TV Ops")))</f>
        <v/>
      </c>
      <c r="AA650" s="35"/>
      <c r="AB650" s="35" t="str">
        <f>'Ingest Template'!R650</f>
        <v/>
      </c>
      <c r="AC650" s="35" t="str">
        <f>'Ingest Template'!T650</f>
        <v/>
      </c>
      <c r="AD650" s="35" t="str">
        <f>'Ingest Template'!S650</f>
        <v/>
      </c>
      <c r="AE650" s="35" t="str">
        <f>'Ingest Template'!U650</f>
        <v/>
      </c>
      <c r="AF650" s="22"/>
      <c r="AG650" s="35" t="str">
        <f t="array" ref="AG650">IF('Ingest Template'!A650="Standard",(CONCATENATE(IF(ISBLANK('Ingest Template'!N650),"", 'Ingest Template'!N650&amp;"|DAR"),CHAR(10), IF(ISBLANK('Ingest Template'!O650),"", 'Ingest Template'!O650&amp;"|DAR"),CHAR(10), IF(ISBLANK('Ingest Template'!P650),"", 'Ingest Template'!P650&amp;"|DAR"))),(CONCATENATE(IF(ISBLANK('Ingest Template'!N650),"", 'Ingest Template'!N650&amp;"|TV Ops"),CHAR(10), IF(ISBLANK('Ingest Template'!O650),"", 'Ingest Template'!O650&amp;"|TV Ops"),CHAR(10), IF(ISBLANK('Ingest Template'!P650),"", 'Ingest Template'!P650&amp;"|TV Ops"))))</f>
        <v>
</v>
      </c>
      <c r="AH650" s="35"/>
      <c r="AI650" s="35"/>
      <c r="AJ650" s="117" t="str">
        <f>if('Ingest Template'!A650="Standard",(IF(OR('Ingest Template'!F650 = "Program Type - Special", 'Ingest Template'!F650 = "Program Type - Live Event"),'Ingest Template'!M650&amp; "|DAR|DAR|"&amp;TEXT('Ingest Template'!C650-3, "yyyy-mm-dd")&amp;"|"&amp;TEXT('Ingest Template'!C650+3, "yyyy-mm-dd"),'Ingest Template'!M650&amp; "|DAR|DAR|2021-01-01")),(IF(OR('Ingest Template'!F650 = "Program Type - Special", 'Ingest Template'!F650 = "Program Type - Live Event"),'Ingest Template'!M650&amp; "|Operations - Core Title|Operations - Core Title|"&amp;TEXT('Ingest Template'!C650-3, "yyyy-mm-dd")&amp;"|"&amp;TEXT('Ingest Template'!C650+3, "yyyy-mm-dd"),'Ingest Template'!M650&amp; "|Operations - Core Title|Operations - Core Title")))</f>
        <v>|Operations - Core Title|Operations - Core Title</v>
      </c>
      <c r="AK650" s="35"/>
      <c r="AL650" s="117" t="str">
        <f>if('Ingest Template'!A650="Standard",(IF(OR('Ingest Template'!F650 = "Program Type - Special", 'Ingest Template'!F650 = "Program Type - Live Event"),'Ingest Template'!Q650&amp;"|"&amp;TEXT('Ingest Template'!C650-3, "yyyy-mm-dd")&amp;"|"&amp;TEXT('Ingest Template'!C650+3, "yyyy-mm-dd"),'Ingest Template'!Q650&amp; "|2021-01-01")),(IF(OR('Ingest Template'!F650 = "Program Type - Special", 'Ingest Template'!F650 = "Program Type - Live Event"),'Ingest Template'!Q650&amp; "|"&amp;TEXT('Ingest Template'!C650-3, "yyyy-mm-dd")&amp;"|"&amp;TEXT('Ingest Template'!C650+3, "yyyy-mm-dd"),'Ingest Template'!Q650)))</f>
        <v/>
      </c>
      <c r="AM650" s="35" t="str">
        <f>'Ingest Template'!AC650</f>
        <v/>
      </c>
    </row>
    <row r="651">
      <c r="A651" s="15"/>
      <c r="B651" s="22" t="str">
        <f>'Ingest Template'!C651&amp;IF('Ingest Template'!A651 = "Standard", " - DAR","")</f>
        <v/>
      </c>
      <c r="C651" s="22" t="s">
        <v>83</v>
      </c>
      <c r="D651" s="22" t="str">
        <f t="array" ref="D651">CONCATENATE(INDEX(DropdownLists!$H$2:$H$11,MATCH(1,COUNTIF('Ingest Template'!E651,"*"&amp;DropdownLists!$I$2:$I$11&amp;"*"),0)),CHAR(10),'Ingest Template'!F651,CHAR(10),'Ingest Template'!G651,CHAR(10),VLOOKUP('Ingest Template'!D651,DropdownLists!C:D,2,FALSE))</f>
        <v>#N/A</v>
      </c>
      <c r="E651" s="22" t="str">
        <f>CONCATENATE('Ingest Template'!H651,CHAR(10),'Ingest Template'!I651,CHAR(10),'Ingest Template'!J651,CHAR(10))</f>
        <v>
</v>
      </c>
      <c r="F651" s="35" t="str">
        <f t="array" ref="F651">INDEX(DropdownLists!$O$2:$O$36,MATCH(1,COUNTIF(E651,"*"&amp;DropdownLists!$N$2:$N$36&amp;"*"),0))</f>
        <v/>
      </c>
      <c r="G651" s="35"/>
      <c r="H651" s="22" t="str">
        <f t="array" ref="H651">INDEX(DropdownLists!$E$2:$E$276,MATCH('Ingest Template'!D651,DropdownLists!$C$2:$C$276,0))</f>
        <v>#N/A</v>
      </c>
      <c r="I651" s="22"/>
      <c r="J651" s="22" t="str">
        <f t="array" ref="J651">iF('Ingest Template'!A651="Standard","Pristine Brand",INDEX(DropdownLists!$B$2:$B$246,MATCH('Ingest Template'!D651,DropdownLists!$C$2:$C$246,0)))</f>
        <v>#N/A</v>
      </c>
      <c r="K651" s="22" t="str">
        <f>iF('Ingest Template'!A651="Standard",'Ingest Template'!K651&amp;CHAR(10)&amp;'Ingest Template'!L651,"Competitive View")</f>
        <v>Competitive View</v>
      </c>
      <c r="L651" s="22" t="s">
        <v>95</v>
      </c>
      <c r="M651" s="45" t="str">
        <f>'Ingest Template'!B651</f>
        <v/>
      </c>
      <c r="N651" s="35"/>
      <c r="O651" s="35"/>
      <c r="P651" s="35"/>
      <c r="Q651" s="35"/>
      <c r="R651" s="35" t="str">
        <f>'Ingest Template'!D651</f>
        <v/>
      </c>
      <c r="S651" s="22" t="s">
        <v>101</v>
      </c>
      <c r="T651" s="35" t="str">
        <f>'Ingest Template'!V651</f>
        <v/>
      </c>
      <c r="U651" s="35" t="str">
        <f>'Ingest Template'!W651</f>
        <v/>
      </c>
      <c r="V651" s="35" t="str">
        <f>LOWER(SUBSTITUTE(SUBSTITUTE(SUBSTITUTE(SUBSTITUTE(SUBSTITUTE('Ingest Template'!X651,"https:",""),"www.",""),"/",""),"?hl=en",""),"instagram.com",""))</f>
        <v/>
      </c>
      <c r="W651" s="74" t="str">
        <f t="array" ref="W651">IF(
'Ingest Template'!Y651="",
SUBSTITUTE(
INDEX(DropdownLists!$F$2:$F$277,MATCH('Ingest Template'!D651,DropdownLists!$C$2:$C$277,0)),
CHAR(10),
"|"&amp;'Ingest Template'!C651&amp;CHAR(10)
)&amp;"|"&amp;'Ingest Template'!C651,
SUBSTITUTE(
INDEX(DropdownLists!$F$2:$F$277,MATCH('Ingest Template'!D651,DropdownLists!$C$2:$C$277,0)),
CHAR(10),
"|"&amp;'Ingest Template'!C651&amp;CHAR(10)
)&amp;"|"&amp;'Ingest Template'!C651&amp;CHAR(10)&amp;'Ingest Template'!Y651
)</f>
        <v>#N/A</v>
      </c>
      <c r="X651" s="74" t="str">
        <f>'Ingest Template'!Z651</f>
        <v/>
      </c>
      <c r="Y651" s="35" t="str">
        <f>SUBSTITUTE(SUBSTITUTE(SUBSTITUTE('Ingest Template'!AA651,"http:",""),"https:",""),"/","")</f>
        <v/>
      </c>
      <c r="Z651" s="35" t="str">
        <f t="array" ref="Z651">IF('Ingest Template'!A651="Standard",(IF(ISBLANK('Ingest Template'!AB651),"", 'Ingest Template'!AB651&amp;"|DAR")),(IF(ISBLANK('Ingest Template'!AB651),"", 'Ingest Template'!AB651&amp;"|TV Ops")))</f>
        <v/>
      </c>
      <c r="AA651" s="35"/>
      <c r="AB651" s="35" t="str">
        <f>'Ingest Template'!R651</f>
        <v/>
      </c>
      <c r="AC651" s="35" t="str">
        <f>'Ingest Template'!T651</f>
        <v/>
      </c>
      <c r="AD651" s="35" t="str">
        <f>'Ingest Template'!S651</f>
        <v/>
      </c>
      <c r="AE651" s="35" t="str">
        <f>'Ingest Template'!U651</f>
        <v/>
      </c>
      <c r="AF651" s="22"/>
      <c r="AG651" s="35" t="str">
        <f t="array" ref="AG651">IF('Ingest Template'!A651="Standard",(CONCATENATE(IF(ISBLANK('Ingest Template'!N651),"", 'Ingest Template'!N651&amp;"|DAR"),CHAR(10), IF(ISBLANK('Ingest Template'!O651),"", 'Ingest Template'!O651&amp;"|DAR"),CHAR(10), IF(ISBLANK('Ingest Template'!P651),"", 'Ingest Template'!P651&amp;"|DAR"))),(CONCATENATE(IF(ISBLANK('Ingest Template'!N651),"", 'Ingest Template'!N651&amp;"|TV Ops"),CHAR(10), IF(ISBLANK('Ingest Template'!O651),"", 'Ingest Template'!O651&amp;"|TV Ops"),CHAR(10), IF(ISBLANK('Ingest Template'!P651),"", 'Ingest Template'!P651&amp;"|TV Ops"))))</f>
        <v>
</v>
      </c>
      <c r="AH651" s="35"/>
      <c r="AI651" s="35"/>
      <c r="AJ651" s="117" t="str">
        <f>if('Ingest Template'!A651="Standard",(IF(OR('Ingest Template'!F651 = "Program Type - Special", 'Ingest Template'!F651 = "Program Type - Live Event"),'Ingest Template'!M651&amp; "|DAR|DAR|"&amp;TEXT('Ingest Template'!C651-3, "yyyy-mm-dd")&amp;"|"&amp;TEXT('Ingest Template'!C651+3, "yyyy-mm-dd"),'Ingest Template'!M651&amp; "|DAR|DAR|2021-01-01")),(IF(OR('Ingest Template'!F651 = "Program Type - Special", 'Ingest Template'!F651 = "Program Type - Live Event"),'Ingest Template'!M651&amp; "|Operations - Core Title|Operations - Core Title|"&amp;TEXT('Ingest Template'!C651-3, "yyyy-mm-dd")&amp;"|"&amp;TEXT('Ingest Template'!C651+3, "yyyy-mm-dd"),'Ingest Template'!M651&amp; "|Operations - Core Title|Operations - Core Title")))</f>
        <v>|Operations - Core Title|Operations - Core Title</v>
      </c>
      <c r="AK651" s="35"/>
      <c r="AL651" s="117" t="str">
        <f>if('Ingest Template'!A651="Standard",(IF(OR('Ingest Template'!F651 = "Program Type - Special", 'Ingest Template'!F651 = "Program Type - Live Event"),'Ingest Template'!Q651&amp;"|"&amp;TEXT('Ingest Template'!C651-3, "yyyy-mm-dd")&amp;"|"&amp;TEXT('Ingest Template'!C651+3, "yyyy-mm-dd"),'Ingest Template'!Q651&amp; "|2021-01-01")),(IF(OR('Ingest Template'!F651 = "Program Type - Special", 'Ingest Template'!F651 = "Program Type - Live Event"),'Ingest Template'!Q651&amp; "|"&amp;TEXT('Ingest Template'!C651-3, "yyyy-mm-dd")&amp;"|"&amp;TEXT('Ingest Template'!C651+3, "yyyy-mm-dd"),'Ingest Template'!Q651)))</f>
        <v/>
      </c>
      <c r="AM651" s="35" t="str">
        <f>'Ingest Template'!AC651</f>
        <v/>
      </c>
    </row>
    <row r="652">
      <c r="A652" s="15"/>
      <c r="B652" s="22" t="str">
        <f>'Ingest Template'!C652&amp;IF('Ingest Template'!A652 = "Standard", " - DAR","")</f>
        <v/>
      </c>
      <c r="C652" s="22" t="s">
        <v>83</v>
      </c>
      <c r="D652" s="22" t="str">
        <f t="array" ref="D652">CONCATENATE(INDEX(DropdownLists!$H$2:$H$11,MATCH(1,COUNTIF('Ingest Template'!E652,"*"&amp;DropdownLists!$I$2:$I$11&amp;"*"),0)),CHAR(10),'Ingest Template'!F652,CHAR(10),'Ingest Template'!G652,CHAR(10),VLOOKUP('Ingest Template'!D652,DropdownLists!C:D,2,FALSE))</f>
        <v>#N/A</v>
      </c>
      <c r="E652" s="22" t="str">
        <f>CONCATENATE('Ingest Template'!H652,CHAR(10),'Ingest Template'!I652,CHAR(10),'Ingest Template'!J652,CHAR(10))</f>
        <v>
</v>
      </c>
      <c r="F652" s="35" t="str">
        <f t="array" ref="F652">INDEX(DropdownLists!$O$2:$O$36,MATCH(1,COUNTIF(E652,"*"&amp;DropdownLists!$N$2:$N$36&amp;"*"),0))</f>
        <v/>
      </c>
      <c r="G652" s="35"/>
      <c r="H652" s="22" t="str">
        <f t="array" ref="H652">INDEX(DropdownLists!$E$2:$E$276,MATCH('Ingest Template'!D652,DropdownLists!$C$2:$C$276,0))</f>
        <v>#N/A</v>
      </c>
      <c r="I652" s="22"/>
      <c r="J652" s="22" t="str">
        <f t="array" ref="J652">iF('Ingest Template'!A652="Standard","Pristine Brand",INDEX(DropdownLists!$B$2:$B$246,MATCH('Ingest Template'!D652,DropdownLists!$C$2:$C$246,0)))</f>
        <v>#N/A</v>
      </c>
      <c r="K652" s="22" t="str">
        <f>iF('Ingest Template'!A652="Standard",'Ingest Template'!K652&amp;CHAR(10)&amp;'Ingest Template'!L652,"Competitive View")</f>
        <v>Competitive View</v>
      </c>
      <c r="L652" s="22" t="s">
        <v>95</v>
      </c>
      <c r="M652" s="45" t="str">
        <f>'Ingest Template'!B652</f>
        <v/>
      </c>
      <c r="N652" s="35"/>
      <c r="O652" s="35"/>
      <c r="P652" s="35"/>
      <c r="Q652" s="35"/>
      <c r="R652" s="35" t="str">
        <f>'Ingest Template'!D652</f>
        <v/>
      </c>
      <c r="S652" s="22" t="s">
        <v>101</v>
      </c>
      <c r="T652" s="35" t="str">
        <f>'Ingest Template'!V652</f>
        <v/>
      </c>
      <c r="U652" s="35" t="str">
        <f>'Ingest Template'!W652</f>
        <v/>
      </c>
      <c r="V652" s="35" t="str">
        <f>LOWER(SUBSTITUTE(SUBSTITUTE(SUBSTITUTE(SUBSTITUTE(SUBSTITUTE('Ingest Template'!X652,"https:",""),"www.",""),"/",""),"?hl=en",""),"instagram.com",""))</f>
        <v/>
      </c>
      <c r="W652" s="74" t="str">
        <f t="array" ref="W652">IF(
'Ingest Template'!Y652="",
SUBSTITUTE(
INDEX(DropdownLists!$F$2:$F$277,MATCH('Ingest Template'!D652,DropdownLists!$C$2:$C$277,0)),
CHAR(10),
"|"&amp;'Ingest Template'!C652&amp;CHAR(10)
)&amp;"|"&amp;'Ingest Template'!C652,
SUBSTITUTE(
INDEX(DropdownLists!$F$2:$F$277,MATCH('Ingest Template'!D652,DropdownLists!$C$2:$C$277,0)),
CHAR(10),
"|"&amp;'Ingest Template'!C652&amp;CHAR(10)
)&amp;"|"&amp;'Ingest Template'!C652&amp;CHAR(10)&amp;'Ingest Template'!Y652
)</f>
        <v>#N/A</v>
      </c>
      <c r="X652" s="74" t="str">
        <f>'Ingest Template'!Z652</f>
        <v/>
      </c>
      <c r="Y652" s="35" t="str">
        <f>SUBSTITUTE(SUBSTITUTE(SUBSTITUTE('Ingest Template'!AA652,"http:",""),"https:",""),"/","")</f>
        <v/>
      </c>
      <c r="Z652" s="35" t="str">
        <f t="array" ref="Z652">IF('Ingest Template'!A652="Standard",(IF(ISBLANK('Ingest Template'!AB652),"", 'Ingest Template'!AB652&amp;"|DAR")),(IF(ISBLANK('Ingest Template'!AB652),"", 'Ingest Template'!AB652&amp;"|TV Ops")))</f>
        <v/>
      </c>
      <c r="AA652" s="35"/>
      <c r="AB652" s="35" t="str">
        <f>'Ingest Template'!R652</f>
        <v/>
      </c>
      <c r="AC652" s="35" t="str">
        <f>'Ingest Template'!T652</f>
        <v/>
      </c>
      <c r="AD652" s="35" t="str">
        <f>'Ingest Template'!S652</f>
        <v/>
      </c>
      <c r="AE652" s="35" t="str">
        <f>'Ingest Template'!U652</f>
        <v/>
      </c>
      <c r="AF652" s="22"/>
      <c r="AG652" s="35" t="str">
        <f t="array" ref="AG652">IF('Ingest Template'!A652="Standard",(CONCATENATE(IF(ISBLANK('Ingest Template'!N652),"", 'Ingest Template'!N652&amp;"|DAR"),CHAR(10), IF(ISBLANK('Ingest Template'!O652),"", 'Ingest Template'!O652&amp;"|DAR"),CHAR(10), IF(ISBLANK('Ingest Template'!P652),"", 'Ingest Template'!P652&amp;"|DAR"))),(CONCATENATE(IF(ISBLANK('Ingest Template'!N652),"", 'Ingest Template'!N652&amp;"|TV Ops"),CHAR(10), IF(ISBLANK('Ingest Template'!O652),"", 'Ingest Template'!O652&amp;"|TV Ops"),CHAR(10), IF(ISBLANK('Ingest Template'!P652),"", 'Ingest Template'!P652&amp;"|TV Ops"))))</f>
        <v>
</v>
      </c>
      <c r="AH652" s="35"/>
      <c r="AI652" s="35"/>
      <c r="AJ652" s="117" t="str">
        <f>if('Ingest Template'!A652="Standard",(IF(OR('Ingest Template'!F652 = "Program Type - Special", 'Ingest Template'!F652 = "Program Type - Live Event"),'Ingest Template'!M652&amp; "|DAR|DAR|"&amp;TEXT('Ingest Template'!C652-3, "yyyy-mm-dd")&amp;"|"&amp;TEXT('Ingest Template'!C652+3, "yyyy-mm-dd"),'Ingest Template'!M652&amp; "|DAR|DAR|2021-01-01")),(IF(OR('Ingest Template'!F652 = "Program Type - Special", 'Ingest Template'!F652 = "Program Type - Live Event"),'Ingest Template'!M652&amp; "|Operations - Core Title|Operations - Core Title|"&amp;TEXT('Ingest Template'!C652-3, "yyyy-mm-dd")&amp;"|"&amp;TEXT('Ingest Template'!C652+3, "yyyy-mm-dd"),'Ingest Template'!M652&amp; "|Operations - Core Title|Operations - Core Title")))</f>
        <v>|Operations - Core Title|Operations - Core Title</v>
      </c>
      <c r="AK652" s="35"/>
      <c r="AL652" s="117" t="str">
        <f>if('Ingest Template'!A652="Standard",(IF(OR('Ingest Template'!F652 = "Program Type - Special", 'Ingest Template'!F652 = "Program Type - Live Event"),'Ingest Template'!Q652&amp;"|"&amp;TEXT('Ingest Template'!C652-3, "yyyy-mm-dd")&amp;"|"&amp;TEXT('Ingest Template'!C652+3, "yyyy-mm-dd"),'Ingest Template'!Q652&amp; "|2021-01-01")),(IF(OR('Ingest Template'!F652 = "Program Type - Special", 'Ingest Template'!F652 = "Program Type - Live Event"),'Ingest Template'!Q652&amp; "|"&amp;TEXT('Ingest Template'!C652-3, "yyyy-mm-dd")&amp;"|"&amp;TEXT('Ingest Template'!C652+3, "yyyy-mm-dd"),'Ingest Template'!Q652)))</f>
        <v/>
      </c>
      <c r="AM652" s="35" t="str">
        <f>'Ingest Template'!AC652</f>
        <v/>
      </c>
    </row>
    <row r="653">
      <c r="A653" s="15"/>
      <c r="B653" s="22" t="str">
        <f>'Ingest Template'!C653&amp;IF('Ingest Template'!A653 = "Standard", " - DAR","")</f>
        <v/>
      </c>
      <c r="C653" s="22" t="s">
        <v>83</v>
      </c>
      <c r="D653" s="22" t="str">
        <f t="array" ref="D653">CONCATENATE(INDEX(DropdownLists!$H$2:$H$11,MATCH(1,COUNTIF('Ingest Template'!E653,"*"&amp;DropdownLists!$I$2:$I$11&amp;"*"),0)),CHAR(10),'Ingest Template'!F653,CHAR(10),'Ingest Template'!G653,CHAR(10),VLOOKUP('Ingest Template'!D653,DropdownLists!C:D,2,FALSE))</f>
        <v>#N/A</v>
      </c>
      <c r="E653" s="22" t="str">
        <f>CONCATENATE('Ingest Template'!H653,CHAR(10),'Ingest Template'!I653,CHAR(10),'Ingest Template'!J653,CHAR(10))</f>
        <v>
</v>
      </c>
      <c r="F653" s="35" t="str">
        <f t="array" ref="F653">INDEX(DropdownLists!$O$2:$O$36,MATCH(1,COUNTIF(E653,"*"&amp;DropdownLists!$N$2:$N$36&amp;"*"),0))</f>
        <v/>
      </c>
      <c r="G653" s="35"/>
      <c r="H653" s="22" t="str">
        <f t="array" ref="H653">INDEX(DropdownLists!$E$2:$E$276,MATCH('Ingest Template'!D653,DropdownLists!$C$2:$C$276,0))</f>
        <v>#N/A</v>
      </c>
      <c r="I653" s="22"/>
      <c r="J653" s="22" t="str">
        <f t="array" ref="J653">iF('Ingest Template'!A653="Standard","Pristine Brand",INDEX(DropdownLists!$B$2:$B$246,MATCH('Ingest Template'!D653,DropdownLists!$C$2:$C$246,0)))</f>
        <v>#N/A</v>
      </c>
      <c r="K653" s="22" t="str">
        <f>iF('Ingest Template'!A653="Standard",'Ingest Template'!K653&amp;CHAR(10)&amp;'Ingest Template'!L653,"Competitive View")</f>
        <v>Competitive View</v>
      </c>
      <c r="L653" s="22" t="s">
        <v>95</v>
      </c>
      <c r="M653" s="45" t="str">
        <f>'Ingest Template'!B653</f>
        <v/>
      </c>
      <c r="N653" s="35"/>
      <c r="O653" s="35"/>
      <c r="P653" s="35"/>
      <c r="Q653" s="35"/>
      <c r="R653" s="35" t="str">
        <f>'Ingest Template'!D653</f>
        <v/>
      </c>
      <c r="S653" s="22" t="s">
        <v>101</v>
      </c>
      <c r="T653" s="35" t="str">
        <f>'Ingest Template'!V653</f>
        <v/>
      </c>
      <c r="U653" s="35" t="str">
        <f>'Ingest Template'!W653</f>
        <v/>
      </c>
      <c r="V653" s="35" t="str">
        <f>LOWER(SUBSTITUTE(SUBSTITUTE(SUBSTITUTE(SUBSTITUTE(SUBSTITUTE('Ingest Template'!X653,"https:",""),"www.",""),"/",""),"?hl=en",""),"instagram.com",""))</f>
        <v/>
      </c>
      <c r="W653" s="74" t="str">
        <f t="array" ref="W653">IF(
'Ingest Template'!Y653="",
SUBSTITUTE(
INDEX(DropdownLists!$F$2:$F$277,MATCH('Ingest Template'!D653,DropdownLists!$C$2:$C$277,0)),
CHAR(10),
"|"&amp;'Ingest Template'!C653&amp;CHAR(10)
)&amp;"|"&amp;'Ingest Template'!C653,
SUBSTITUTE(
INDEX(DropdownLists!$F$2:$F$277,MATCH('Ingest Template'!D653,DropdownLists!$C$2:$C$277,0)),
CHAR(10),
"|"&amp;'Ingest Template'!C653&amp;CHAR(10)
)&amp;"|"&amp;'Ingest Template'!C653&amp;CHAR(10)&amp;'Ingest Template'!Y653
)</f>
        <v>#N/A</v>
      </c>
      <c r="X653" s="74" t="str">
        <f>'Ingest Template'!Z653</f>
        <v/>
      </c>
      <c r="Y653" s="35" t="str">
        <f>SUBSTITUTE(SUBSTITUTE(SUBSTITUTE('Ingest Template'!AA653,"http:",""),"https:",""),"/","")</f>
        <v/>
      </c>
      <c r="Z653" s="35" t="str">
        <f t="array" ref="Z653">IF('Ingest Template'!A653="Standard",(IF(ISBLANK('Ingest Template'!AB653),"", 'Ingest Template'!AB653&amp;"|DAR")),(IF(ISBLANK('Ingest Template'!AB653),"", 'Ingest Template'!AB653&amp;"|TV Ops")))</f>
        <v/>
      </c>
      <c r="AA653" s="35"/>
      <c r="AB653" s="35" t="str">
        <f>'Ingest Template'!R653</f>
        <v/>
      </c>
      <c r="AC653" s="35" t="str">
        <f>'Ingest Template'!T653</f>
        <v/>
      </c>
      <c r="AD653" s="35" t="str">
        <f>'Ingest Template'!S653</f>
        <v/>
      </c>
      <c r="AE653" s="35" t="str">
        <f>'Ingest Template'!U653</f>
        <v/>
      </c>
      <c r="AF653" s="22"/>
      <c r="AG653" s="35" t="str">
        <f t="array" ref="AG653">IF('Ingest Template'!A653="Standard",(CONCATENATE(IF(ISBLANK('Ingest Template'!N653),"", 'Ingest Template'!N653&amp;"|DAR"),CHAR(10), IF(ISBLANK('Ingest Template'!O653),"", 'Ingest Template'!O653&amp;"|DAR"),CHAR(10), IF(ISBLANK('Ingest Template'!P653),"", 'Ingest Template'!P653&amp;"|DAR"))),(CONCATENATE(IF(ISBLANK('Ingest Template'!N653),"", 'Ingest Template'!N653&amp;"|TV Ops"),CHAR(10), IF(ISBLANK('Ingest Template'!O653),"", 'Ingest Template'!O653&amp;"|TV Ops"),CHAR(10), IF(ISBLANK('Ingest Template'!P653),"", 'Ingest Template'!P653&amp;"|TV Ops"))))</f>
        <v>
</v>
      </c>
      <c r="AH653" s="35"/>
      <c r="AI653" s="35"/>
      <c r="AJ653" s="117" t="str">
        <f>if('Ingest Template'!A653="Standard",(IF(OR('Ingest Template'!F653 = "Program Type - Special", 'Ingest Template'!F653 = "Program Type - Live Event"),'Ingest Template'!M653&amp; "|DAR|DAR|"&amp;TEXT('Ingest Template'!C653-3, "yyyy-mm-dd")&amp;"|"&amp;TEXT('Ingest Template'!C653+3, "yyyy-mm-dd"),'Ingest Template'!M653&amp; "|DAR|DAR|2021-01-01")),(IF(OR('Ingest Template'!F653 = "Program Type - Special", 'Ingest Template'!F653 = "Program Type - Live Event"),'Ingest Template'!M653&amp; "|Operations - Core Title|Operations - Core Title|"&amp;TEXT('Ingest Template'!C653-3, "yyyy-mm-dd")&amp;"|"&amp;TEXT('Ingest Template'!C653+3, "yyyy-mm-dd"),'Ingest Template'!M653&amp; "|Operations - Core Title|Operations - Core Title")))</f>
        <v>|Operations - Core Title|Operations - Core Title</v>
      </c>
      <c r="AK653" s="35"/>
      <c r="AL653" s="117" t="str">
        <f>if('Ingest Template'!A653="Standard",(IF(OR('Ingest Template'!F653 = "Program Type - Special", 'Ingest Template'!F653 = "Program Type - Live Event"),'Ingest Template'!Q653&amp;"|"&amp;TEXT('Ingest Template'!C653-3, "yyyy-mm-dd")&amp;"|"&amp;TEXT('Ingest Template'!C653+3, "yyyy-mm-dd"),'Ingest Template'!Q653&amp; "|2021-01-01")),(IF(OR('Ingest Template'!F653 = "Program Type - Special", 'Ingest Template'!F653 = "Program Type - Live Event"),'Ingest Template'!Q653&amp; "|"&amp;TEXT('Ingest Template'!C653-3, "yyyy-mm-dd")&amp;"|"&amp;TEXT('Ingest Template'!C653+3, "yyyy-mm-dd"),'Ingest Template'!Q653)))</f>
        <v/>
      </c>
      <c r="AM653" s="35" t="str">
        <f>'Ingest Template'!AC653</f>
        <v/>
      </c>
    </row>
    <row r="654">
      <c r="A654" s="15"/>
      <c r="B654" s="22" t="str">
        <f>'Ingest Template'!C654&amp;IF('Ingest Template'!A654 = "Standard", " - DAR","")</f>
        <v/>
      </c>
      <c r="C654" s="22" t="s">
        <v>83</v>
      </c>
      <c r="D654" s="22" t="str">
        <f t="array" ref="D654">CONCATENATE(INDEX(DropdownLists!$H$2:$H$11,MATCH(1,COUNTIF('Ingest Template'!E654,"*"&amp;DropdownLists!$I$2:$I$11&amp;"*"),0)),CHAR(10),'Ingest Template'!F654,CHAR(10),'Ingest Template'!G654,CHAR(10),VLOOKUP('Ingest Template'!D654,DropdownLists!C:D,2,FALSE))</f>
        <v>#N/A</v>
      </c>
      <c r="E654" s="22" t="str">
        <f>CONCATENATE('Ingest Template'!H654,CHAR(10),'Ingest Template'!I654,CHAR(10),'Ingest Template'!J654,CHAR(10))</f>
        <v>
</v>
      </c>
      <c r="F654" s="35" t="str">
        <f t="array" ref="F654">INDEX(DropdownLists!$O$2:$O$36,MATCH(1,COUNTIF(E654,"*"&amp;DropdownLists!$N$2:$N$36&amp;"*"),0))</f>
        <v/>
      </c>
      <c r="G654" s="35"/>
      <c r="H654" s="22" t="str">
        <f t="array" ref="H654">INDEX(DropdownLists!$E$2:$E$276,MATCH('Ingest Template'!D654,DropdownLists!$C$2:$C$276,0))</f>
        <v>#N/A</v>
      </c>
      <c r="I654" s="22"/>
      <c r="J654" s="22" t="str">
        <f t="array" ref="J654">iF('Ingest Template'!A654="Standard","Pristine Brand",INDEX(DropdownLists!$B$2:$B$246,MATCH('Ingest Template'!D654,DropdownLists!$C$2:$C$246,0)))</f>
        <v>#N/A</v>
      </c>
      <c r="K654" s="22" t="str">
        <f>iF('Ingest Template'!A654="Standard",'Ingest Template'!K654&amp;CHAR(10)&amp;'Ingest Template'!L654,"Competitive View")</f>
        <v>Competitive View</v>
      </c>
      <c r="L654" s="22" t="s">
        <v>95</v>
      </c>
      <c r="M654" s="45" t="str">
        <f>'Ingest Template'!B654</f>
        <v/>
      </c>
      <c r="N654" s="35"/>
      <c r="O654" s="35"/>
      <c r="P654" s="35"/>
      <c r="Q654" s="35"/>
      <c r="R654" s="35" t="str">
        <f>'Ingest Template'!D654</f>
        <v/>
      </c>
      <c r="S654" s="22" t="s">
        <v>101</v>
      </c>
      <c r="T654" s="35" t="str">
        <f>'Ingest Template'!V654</f>
        <v/>
      </c>
      <c r="U654" s="35" t="str">
        <f>'Ingest Template'!W654</f>
        <v/>
      </c>
      <c r="V654" s="35" t="str">
        <f>LOWER(SUBSTITUTE(SUBSTITUTE(SUBSTITUTE(SUBSTITUTE(SUBSTITUTE('Ingest Template'!X654,"https:",""),"www.",""),"/",""),"?hl=en",""),"instagram.com",""))</f>
        <v/>
      </c>
      <c r="W654" s="74" t="str">
        <f t="array" ref="W654">IF(
'Ingest Template'!Y654="",
SUBSTITUTE(
INDEX(DropdownLists!$F$2:$F$277,MATCH('Ingest Template'!D654,DropdownLists!$C$2:$C$277,0)),
CHAR(10),
"|"&amp;'Ingest Template'!C654&amp;CHAR(10)
)&amp;"|"&amp;'Ingest Template'!C654,
SUBSTITUTE(
INDEX(DropdownLists!$F$2:$F$277,MATCH('Ingest Template'!D654,DropdownLists!$C$2:$C$277,0)),
CHAR(10),
"|"&amp;'Ingest Template'!C654&amp;CHAR(10)
)&amp;"|"&amp;'Ingest Template'!C654&amp;CHAR(10)&amp;'Ingest Template'!Y654
)</f>
        <v>#N/A</v>
      </c>
      <c r="X654" s="74" t="str">
        <f>'Ingest Template'!Z654</f>
        <v/>
      </c>
      <c r="Y654" s="35" t="str">
        <f>SUBSTITUTE(SUBSTITUTE(SUBSTITUTE('Ingest Template'!AA654,"http:",""),"https:",""),"/","")</f>
        <v/>
      </c>
      <c r="Z654" s="35" t="str">
        <f t="array" ref="Z654">IF('Ingest Template'!A654="Standard",(IF(ISBLANK('Ingest Template'!AB654),"", 'Ingest Template'!AB654&amp;"|DAR")),(IF(ISBLANK('Ingest Template'!AB654),"", 'Ingest Template'!AB654&amp;"|TV Ops")))</f>
        <v/>
      </c>
      <c r="AA654" s="35"/>
      <c r="AB654" s="35" t="str">
        <f>'Ingest Template'!R654</f>
        <v/>
      </c>
      <c r="AC654" s="35" t="str">
        <f>'Ingest Template'!T654</f>
        <v/>
      </c>
      <c r="AD654" s="35" t="str">
        <f>'Ingest Template'!S654</f>
        <v/>
      </c>
      <c r="AE654" s="35" t="str">
        <f>'Ingest Template'!U654</f>
        <v/>
      </c>
      <c r="AF654" s="22"/>
      <c r="AG654" s="35" t="str">
        <f t="array" ref="AG654">IF('Ingest Template'!A654="Standard",(CONCATENATE(IF(ISBLANK('Ingest Template'!N654),"", 'Ingest Template'!N654&amp;"|DAR"),CHAR(10), IF(ISBLANK('Ingest Template'!O654),"", 'Ingest Template'!O654&amp;"|DAR"),CHAR(10), IF(ISBLANK('Ingest Template'!P654),"", 'Ingest Template'!P654&amp;"|DAR"))),(CONCATENATE(IF(ISBLANK('Ingest Template'!N654),"", 'Ingest Template'!N654&amp;"|TV Ops"),CHAR(10), IF(ISBLANK('Ingest Template'!O654),"", 'Ingest Template'!O654&amp;"|TV Ops"),CHAR(10), IF(ISBLANK('Ingest Template'!P654),"", 'Ingest Template'!P654&amp;"|TV Ops"))))</f>
        <v>
</v>
      </c>
      <c r="AH654" s="35"/>
      <c r="AI654" s="35"/>
      <c r="AJ654" s="117" t="str">
        <f>if('Ingest Template'!A654="Standard",(IF(OR('Ingest Template'!F654 = "Program Type - Special", 'Ingest Template'!F654 = "Program Type - Live Event"),'Ingest Template'!M654&amp; "|DAR|DAR|"&amp;TEXT('Ingest Template'!C654-3, "yyyy-mm-dd")&amp;"|"&amp;TEXT('Ingest Template'!C654+3, "yyyy-mm-dd"),'Ingest Template'!M654&amp; "|DAR|DAR|2021-01-01")),(IF(OR('Ingest Template'!F654 = "Program Type - Special", 'Ingest Template'!F654 = "Program Type - Live Event"),'Ingest Template'!M654&amp; "|Operations - Core Title|Operations - Core Title|"&amp;TEXT('Ingest Template'!C654-3, "yyyy-mm-dd")&amp;"|"&amp;TEXT('Ingest Template'!C654+3, "yyyy-mm-dd"),'Ingest Template'!M654&amp; "|Operations - Core Title|Operations - Core Title")))</f>
        <v>|Operations - Core Title|Operations - Core Title</v>
      </c>
      <c r="AK654" s="35"/>
      <c r="AL654" s="117" t="str">
        <f>if('Ingest Template'!A654="Standard",(IF(OR('Ingest Template'!F654 = "Program Type - Special", 'Ingest Template'!F654 = "Program Type - Live Event"),'Ingest Template'!Q654&amp;"|"&amp;TEXT('Ingest Template'!C654-3, "yyyy-mm-dd")&amp;"|"&amp;TEXT('Ingest Template'!C654+3, "yyyy-mm-dd"),'Ingest Template'!Q654&amp; "|2021-01-01")),(IF(OR('Ingest Template'!F654 = "Program Type - Special", 'Ingest Template'!F654 = "Program Type - Live Event"),'Ingest Template'!Q654&amp; "|"&amp;TEXT('Ingest Template'!C654-3, "yyyy-mm-dd")&amp;"|"&amp;TEXT('Ingest Template'!C654+3, "yyyy-mm-dd"),'Ingest Template'!Q654)))</f>
        <v/>
      </c>
      <c r="AM654" s="35" t="str">
        <f>'Ingest Template'!AC654</f>
        <v/>
      </c>
    </row>
    <row r="655">
      <c r="A655" s="15"/>
      <c r="B655" s="22" t="str">
        <f>'Ingest Template'!C655&amp;IF('Ingest Template'!A655 = "Standard", " - DAR","")</f>
        <v/>
      </c>
      <c r="C655" s="22" t="s">
        <v>83</v>
      </c>
      <c r="D655" s="22" t="str">
        <f t="array" ref="D655">CONCATENATE(INDEX(DropdownLists!$H$2:$H$11,MATCH(1,COUNTIF('Ingest Template'!E655,"*"&amp;DropdownLists!$I$2:$I$11&amp;"*"),0)),CHAR(10),'Ingest Template'!F655,CHAR(10),'Ingest Template'!G655,CHAR(10),VLOOKUP('Ingest Template'!D655,DropdownLists!C:D,2,FALSE))</f>
        <v>#N/A</v>
      </c>
      <c r="E655" s="22" t="str">
        <f>CONCATENATE('Ingest Template'!H655,CHAR(10),'Ingest Template'!I655,CHAR(10),'Ingest Template'!J655,CHAR(10))</f>
        <v>
</v>
      </c>
      <c r="F655" s="35" t="str">
        <f t="array" ref="F655">INDEX(DropdownLists!$O$2:$O$36,MATCH(1,COUNTIF(E655,"*"&amp;DropdownLists!$N$2:$N$36&amp;"*"),0))</f>
        <v/>
      </c>
      <c r="G655" s="35"/>
      <c r="H655" s="22" t="str">
        <f t="array" ref="H655">INDEX(DropdownLists!$E$2:$E$276,MATCH('Ingest Template'!D655,DropdownLists!$C$2:$C$276,0))</f>
        <v>#N/A</v>
      </c>
      <c r="I655" s="22"/>
      <c r="J655" s="22" t="str">
        <f t="array" ref="J655">iF('Ingest Template'!A655="Standard","Pristine Brand",INDEX(DropdownLists!$B$2:$B$246,MATCH('Ingest Template'!D655,DropdownLists!$C$2:$C$246,0)))</f>
        <v>#N/A</v>
      </c>
      <c r="K655" s="22" t="str">
        <f>iF('Ingest Template'!A655="Standard",'Ingest Template'!K655&amp;CHAR(10)&amp;'Ingest Template'!L655,"Competitive View")</f>
        <v>Competitive View</v>
      </c>
      <c r="L655" s="22" t="s">
        <v>95</v>
      </c>
      <c r="M655" s="45" t="str">
        <f>'Ingest Template'!B655</f>
        <v/>
      </c>
      <c r="N655" s="35"/>
      <c r="O655" s="35"/>
      <c r="P655" s="35"/>
      <c r="Q655" s="35"/>
      <c r="R655" s="35" t="str">
        <f>'Ingest Template'!D655</f>
        <v/>
      </c>
      <c r="S655" s="22" t="s">
        <v>101</v>
      </c>
      <c r="T655" s="35" t="str">
        <f>'Ingest Template'!V655</f>
        <v/>
      </c>
      <c r="U655" s="35" t="str">
        <f>'Ingest Template'!W655</f>
        <v/>
      </c>
      <c r="V655" s="35" t="str">
        <f>LOWER(SUBSTITUTE(SUBSTITUTE(SUBSTITUTE(SUBSTITUTE(SUBSTITUTE('Ingest Template'!X655,"https:",""),"www.",""),"/",""),"?hl=en",""),"instagram.com",""))</f>
        <v/>
      </c>
      <c r="W655" s="74" t="str">
        <f t="array" ref="W655">IF(
'Ingest Template'!Y655="",
SUBSTITUTE(
INDEX(DropdownLists!$F$2:$F$277,MATCH('Ingest Template'!D655,DropdownLists!$C$2:$C$277,0)),
CHAR(10),
"|"&amp;'Ingest Template'!C655&amp;CHAR(10)
)&amp;"|"&amp;'Ingest Template'!C655,
SUBSTITUTE(
INDEX(DropdownLists!$F$2:$F$277,MATCH('Ingest Template'!D655,DropdownLists!$C$2:$C$277,0)),
CHAR(10),
"|"&amp;'Ingest Template'!C655&amp;CHAR(10)
)&amp;"|"&amp;'Ingest Template'!C655&amp;CHAR(10)&amp;'Ingest Template'!Y655
)</f>
        <v>#N/A</v>
      </c>
      <c r="X655" s="74" t="str">
        <f>'Ingest Template'!Z655</f>
        <v/>
      </c>
      <c r="Y655" s="35" t="str">
        <f>SUBSTITUTE(SUBSTITUTE(SUBSTITUTE('Ingest Template'!AA655,"http:",""),"https:",""),"/","")</f>
        <v/>
      </c>
      <c r="Z655" s="35" t="str">
        <f t="array" ref="Z655">IF('Ingest Template'!A655="Standard",(IF(ISBLANK('Ingest Template'!AB655),"", 'Ingest Template'!AB655&amp;"|DAR")),(IF(ISBLANK('Ingest Template'!AB655),"", 'Ingest Template'!AB655&amp;"|TV Ops")))</f>
        <v/>
      </c>
      <c r="AA655" s="35"/>
      <c r="AB655" s="35" t="str">
        <f>'Ingest Template'!R655</f>
        <v/>
      </c>
      <c r="AC655" s="35" t="str">
        <f>'Ingest Template'!T655</f>
        <v/>
      </c>
      <c r="AD655" s="35" t="str">
        <f>'Ingest Template'!S655</f>
        <v/>
      </c>
      <c r="AE655" s="35" t="str">
        <f>'Ingest Template'!U655</f>
        <v/>
      </c>
      <c r="AF655" s="22"/>
      <c r="AG655" s="35" t="str">
        <f t="array" ref="AG655">IF('Ingest Template'!A655="Standard",(CONCATENATE(IF(ISBLANK('Ingest Template'!N655),"", 'Ingest Template'!N655&amp;"|DAR"),CHAR(10), IF(ISBLANK('Ingest Template'!O655),"", 'Ingest Template'!O655&amp;"|DAR"),CHAR(10), IF(ISBLANK('Ingest Template'!P655),"", 'Ingest Template'!P655&amp;"|DAR"))),(CONCATENATE(IF(ISBLANK('Ingest Template'!N655),"", 'Ingest Template'!N655&amp;"|TV Ops"),CHAR(10), IF(ISBLANK('Ingest Template'!O655),"", 'Ingest Template'!O655&amp;"|TV Ops"),CHAR(10), IF(ISBLANK('Ingest Template'!P655),"", 'Ingest Template'!P655&amp;"|TV Ops"))))</f>
        <v>
</v>
      </c>
      <c r="AH655" s="35"/>
      <c r="AI655" s="35"/>
      <c r="AJ655" s="117" t="str">
        <f>if('Ingest Template'!A655="Standard",(IF(OR('Ingest Template'!F655 = "Program Type - Special", 'Ingest Template'!F655 = "Program Type - Live Event"),'Ingest Template'!M655&amp; "|DAR|DAR|"&amp;TEXT('Ingest Template'!C655-3, "yyyy-mm-dd")&amp;"|"&amp;TEXT('Ingest Template'!C655+3, "yyyy-mm-dd"),'Ingest Template'!M655&amp; "|DAR|DAR|2021-01-01")),(IF(OR('Ingest Template'!F655 = "Program Type - Special", 'Ingest Template'!F655 = "Program Type - Live Event"),'Ingest Template'!M655&amp; "|Operations - Core Title|Operations - Core Title|"&amp;TEXT('Ingest Template'!C655-3, "yyyy-mm-dd")&amp;"|"&amp;TEXT('Ingest Template'!C655+3, "yyyy-mm-dd"),'Ingest Template'!M655&amp; "|Operations - Core Title|Operations - Core Title")))</f>
        <v>|Operations - Core Title|Operations - Core Title</v>
      </c>
      <c r="AK655" s="35"/>
      <c r="AL655" s="117" t="str">
        <f>if('Ingest Template'!A655="Standard",(IF(OR('Ingest Template'!F655 = "Program Type - Special", 'Ingest Template'!F655 = "Program Type - Live Event"),'Ingest Template'!Q655&amp;"|"&amp;TEXT('Ingest Template'!C655-3, "yyyy-mm-dd")&amp;"|"&amp;TEXT('Ingest Template'!C655+3, "yyyy-mm-dd"),'Ingest Template'!Q655&amp; "|2021-01-01")),(IF(OR('Ingest Template'!F655 = "Program Type - Special", 'Ingest Template'!F655 = "Program Type - Live Event"),'Ingest Template'!Q655&amp; "|"&amp;TEXT('Ingest Template'!C655-3, "yyyy-mm-dd")&amp;"|"&amp;TEXT('Ingest Template'!C655+3, "yyyy-mm-dd"),'Ingest Template'!Q655)))</f>
        <v/>
      </c>
      <c r="AM655" s="35" t="str">
        <f>'Ingest Template'!AC655</f>
        <v/>
      </c>
    </row>
    <row r="656">
      <c r="A656" s="15"/>
      <c r="B656" s="22" t="str">
        <f>'Ingest Template'!C656&amp;IF('Ingest Template'!A656 = "Standard", " - DAR","")</f>
        <v/>
      </c>
      <c r="C656" s="22" t="s">
        <v>83</v>
      </c>
      <c r="D656" s="22" t="str">
        <f t="array" ref="D656">CONCATENATE(INDEX(DropdownLists!$H$2:$H$11,MATCH(1,COUNTIF('Ingest Template'!E656,"*"&amp;DropdownLists!$I$2:$I$11&amp;"*"),0)),CHAR(10),'Ingest Template'!F656,CHAR(10),'Ingest Template'!G656,CHAR(10),VLOOKUP('Ingest Template'!D656,DropdownLists!C:D,2,FALSE))</f>
        <v>#N/A</v>
      </c>
      <c r="E656" s="22" t="str">
        <f>CONCATENATE('Ingest Template'!H656,CHAR(10),'Ingest Template'!I656,CHAR(10),'Ingest Template'!J656,CHAR(10))</f>
        <v>
</v>
      </c>
      <c r="F656" s="35" t="str">
        <f t="array" ref="F656">INDEX(DropdownLists!$O$2:$O$36,MATCH(1,COUNTIF(E656,"*"&amp;DropdownLists!$N$2:$N$36&amp;"*"),0))</f>
        <v/>
      </c>
      <c r="G656" s="35"/>
      <c r="H656" s="22" t="str">
        <f t="array" ref="H656">INDEX(DropdownLists!$E$2:$E$276,MATCH('Ingest Template'!D656,DropdownLists!$C$2:$C$276,0))</f>
        <v>#N/A</v>
      </c>
      <c r="I656" s="22"/>
      <c r="J656" s="22" t="str">
        <f t="array" ref="J656">iF('Ingest Template'!A656="Standard","Pristine Brand",INDEX(DropdownLists!$B$2:$B$246,MATCH('Ingest Template'!D656,DropdownLists!$C$2:$C$246,0)))</f>
        <v>#N/A</v>
      </c>
      <c r="K656" s="22" t="str">
        <f>iF('Ingest Template'!A656="Standard",'Ingest Template'!K656&amp;CHAR(10)&amp;'Ingest Template'!L656,"Competitive View")</f>
        <v>Competitive View</v>
      </c>
      <c r="L656" s="22" t="s">
        <v>95</v>
      </c>
      <c r="M656" s="45" t="str">
        <f>'Ingest Template'!B656</f>
        <v/>
      </c>
      <c r="N656" s="35"/>
      <c r="O656" s="35"/>
      <c r="P656" s="35"/>
      <c r="Q656" s="35"/>
      <c r="R656" s="35" t="str">
        <f>'Ingest Template'!D656</f>
        <v/>
      </c>
      <c r="S656" s="22" t="s">
        <v>101</v>
      </c>
      <c r="T656" s="35" t="str">
        <f>'Ingest Template'!V656</f>
        <v/>
      </c>
      <c r="U656" s="35" t="str">
        <f>'Ingest Template'!W656</f>
        <v/>
      </c>
      <c r="V656" s="35" t="str">
        <f>LOWER(SUBSTITUTE(SUBSTITUTE(SUBSTITUTE(SUBSTITUTE(SUBSTITUTE('Ingest Template'!X656,"https:",""),"www.",""),"/",""),"?hl=en",""),"instagram.com",""))</f>
        <v/>
      </c>
      <c r="W656" s="74" t="str">
        <f t="array" ref="W656">IF(
'Ingest Template'!Y656="",
SUBSTITUTE(
INDEX(DropdownLists!$F$2:$F$277,MATCH('Ingest Template'!D656,DropdownLists!$C$2:$C$277,0)),
CHAR(10),
"|"&amp;'Ingest Template'!C656&amp;CHAR(10)
)&amp;"|"&amp;'Ingest Template'!C656,
SUBSTITUTE(
INDEX(DropdownLists!$F$2:$F$277,MATCH('Ingest Template'!D656,DropdownLists!$C$2:$C$277,0)),
CHAR(10),
"|"&amp;'Ingest Template'!C656&amp;CHAR(10)
)&amp;"|"&amp;'Ingest Template'!C656&amp;CHAR(10)&amp;'Ingest Template'!Y656
)</f>
        <v>#N/A</v>
      </c>
      <c r="X656" s="74" t="str">
        <f>'Ingest Template'!Z656</f>
        <v/>
      </c>
      <c r="Y656" s="35" t="str">
        <f>SUBSTITUTE(SUBSTITUTE(SUBSTITUTE('Ingest Template'!AA656,"http:",""),"https:",""),"/","")</f>
        <v/>
      </c>
      <c r="Z656" s="35" t="str">
        <f t="array" ref="Z656">IF('Ingest Template'!A656="Standard",(IF(ISBLANK('Ingest Template'!AB656),"", 'Ingest Template'!AB656&amp;"|DAR")),(IF(ISBLANK('Ingest Template'!AB656),"", 'Ingest Template'!AB656&amp;"|TV Ops")))</f>
        <v/>
      </c>
      <c r="AA656" s="35"/>
      <c r="AB656" s="35" t="str">
        <f>'Ingest Template'!R656</f>
        <v/>
      </c>
      <c r="AC656" s="35" t="str">
        <f>'Ingest Template'!T656</f>
        <v/>
      </c>
      <c r="AD656" s="35" t="str">
        <f>'Ingest Template'!S656</f>
        <v/>
      </c>
      <c r="AE656" s="35" t="str">
        <f>'Ingest Template'!U656</f>
        <v/>
      </c>
      <c r="AF656" s="22"/>
      <c r="AG656" s="35" t="str">
        <f t="array" ref="AG656">IF('Ingest Template'!A656="Standard",(CONCATENATE(IF(ISBLANK('Ingest Template'!N656),"", 'Ingest Template'!N656&amp;"|DAR"),CHAR(10), IF(ISBLANK('Ingest Template'!O656),"", 'Ingest Template'!O656&amp;"|DAR"),CHAR(10), IF(ISBLANK('Ingest Template'!P656),"", 'Ingest Template'!P656&amp;"|DAR"))),(CONCATENATE(IF(ISBLANK('Ingest Template'!N656),"", 'Ingest Template'!N656&amp;"|TV Ops"),CHAR(10), IF(ISBLANK('Ingest Template'!O656),"", 'Ingest Template'!O656&amp;"|TV Ops"),CHAR(10), IF(ISBLANK('Ingest Template'!P656),"", 'Ingest Template'!P656&amp;"|TV Ops"))))</f>
        <v>
</v>
      </c>
      <c r="AH656" s="35"/>
      <c r="AI656" s="35"/>
      <c r="AJ656" s="117" t="str">
        <f>if('Ingest Template'!A656="Standard",(IF(OR('Ingest Template'!F656 = "Program Type - Special", 'Ingest Template'!F656 = "Program Type - Live Event"),'Ingest Template'!M656&amp; "|DAR|DAR|"&amp;TEXT('Ingest Template'!C656-3, "yyyy-mm-dd")&amp;"|"&amp;TEXT('Ingest Template'!C656+3, "yyyy-mm-dd"),'Ingest Template'!M656&amp; "|DAR|DAR|2021-01-01")),(IF(OR('Ingest Template'!F656 = "Program Type - Special", 'Ingest Template'!F656 = "Program Type - Live Event"),'Ingest Template'!M656&amp; "|Operations - Core Title|Operations - Core Title|"&amp;TEXT('Ingest Template'!C656-3, "yyyy-mm-dd")&amp;"|"&amp;TEXT('Ingest Template'!C656+3, "yyyy-mm-dd"),'Ingest Template'!M656&amp; "|Operations - Core Title|Operations - Core Title")))</f>
        <v>|Operations - Core Title|Operations - Core Title</v>
      </c>
      <c r="AK656" s="35"/>
      <c r="AL656" s="117" t="str">
        <f>if('Ingest Template'!A656="Standard",(IF(OR('Ingest Template'!F656 = "Program Type - Special", 'Ingest Template'!F656 = "Program Type - Live Event"),'Ingest Template'!Q656&amp;"|"&amp;TEXT('Ingest Template'!C656-3, "yyyy-mm-dd")&amp;"|"&amp;TEXT('Ingest Template'!C656+3, "yyyy-mm-dd"),'Ingest Template'!Q656&amp; "|2021-01-01")),(IF(OR('Ingest Template'!F656 = "Program Type - Special", 'Ingest Template'!F656 = "Program Type - Live Event"),'Ingest Template'!Q656&amp; "|"&amp;TEXT('Ingest Template'!C656-3, "yyyy-mm-dd")&amp;"|"&amp;TEXT('Ingest Template'!C656+3, "yyyy-mm-dd"),'Ingest Template'!Q656)))</f>
        <v/>
      </c>
      <c r="AM656" s="35" t="str">
        <f>'Ingest Template'!AC656</f>
        <v/>
      </c>
    </row>
    <row r="657">
      <c r="A657" s="15"/>
      <c r="B657" s="22" t="str">
        <f>'Ingest Template'!C657&amp;IF('Ingest Template'!A657 = "Standard", " - DAR","")</f>
        <v/>
      </c>
      <c r="C657" s="22" t="s">
        <v>83</v>
      </c>
      <c r="D657" s="22" t="str">
        <f t="array" ref="D657">CONCATENATE(INDEX(DropdownLists!$H$2:$H$11,MATCH(1,COUNTIF('Ingest Template'!E657,"*"&amp;DropdownLists!$I$2:$I$11&amp;"*"),0)),CHAR(10),'Ingest Template'!F657,CHAR(10),'Ingest Template'!G657,CHAR(10),VLOOKUP('Ingest Template'!D657,DropdownLists!C:D,2,FALSE))</f>
        <v>#N/A</v>
      </c>
      <c r="E657" s="22" t="str">
        <f>CONCATENATE('Ingest Template'!H657,CHAR(10),'Ingest Template'!I657,CHAR(10),'Ingest Template'!J657,CHAR(10))</f>
        <v>
</v>
      </c>
      <c r="F657" s="35" t="str">
        <f t="array" ref="F657">INDEX(DropdownLists!$O$2:$O$36,MATCH(1,COUNTIF(E657,"*"&amp;DropdownLists!$N$2:$N$36&amp;"*"),0))</f>
        <v/>
      </c>
      <c r="G657" s="35"/>
      <c r="H657" s="22" t="str">
        <f t="array" ref="H657">INDEX(DropdownLists!$E$2:$E$276,MATCH('Ingest Template'!D657,DropdownLists!$C$2:$C$276,0))</f>
        <v>#N/A</v>
      </c>
      <c r="I657" s="22"/>
      <c r="J657" s="22" t="str">
        <f t="array" ref="J657">iF('Ingest Template'!A657="Standard","Pristine Brand",INDEX(DropdownLists!$B$2:$B$246,MATCH('Ingest Template'!D657,DropdownLists!$C$2:$C$246,0)))</f>
        <v>#N/A</v>
      </c>
      <c r="K657" s="22" t="str">
        <f>iF('Ingest Template'!A657="Standard",'Ingest Template'!K657&amp;CHAR(10)&amp;'Ingest Template'!L657,"Competitive View")</f>
        <v>Competitive View</v>
      </c>
      <c r="L657" s="22" t="s">
        <v>95</v>
      </c>
      <c r="M657" s="45" t="str">
        <f>'Ingest Template'!B657</f>
        <v/>
      </c>
      <c r="N657" s="35"/>
      <c r="O657" s="35"/>
      <c r="P657" s="35"/>
      <c r="Q657" s="35"/>
      <c r="R657" s="35" t="str">
        <f>'Ingest Template'!D657</f>
        <v/>
      </c>
      <c r="S657" s="22" t="s">
        <v>101</v>
      </c>
      <c r="T657" s="35" t="str">
        <f>'Ingest Template'!V657</f>
        <v/>
      </c>
      <c r="U657" s="35" t="str">
        <f>'Ingest Template'!W657</f>
        <v/>
      </c>
      <c r="V657" s="35" t="str">
        <f>LOWER(SUBSTITUTE(SUBSTITUTE(SUBSTITUTE(SUBSTITUTE(SUBSTITUTE('Ingest Template'!X657,"https:",""),"www.",""),"/",""),"?hl=en",""),"instagram.com",""))</f>
        <v/>
      </c>
      <c r="W657" s="74" t="str">
        <f t="array" ref="W657">IF(
'Ingest Template'!Y657="",
SUBSTITUTE(
INDEX(DropdownLists!$F$2:$F$277,MATCH('Ingest Template'!D657,DropdownLists!$C$2:$C$277,0)),
CHAR(10),
"|"&amp;'Ingest Template'!C657&amp;CHAR(10)
)&amp;"|"&amp;'Ingest Template'!C657,
SUBSTITUTE(
INDEX(DropdownLists!$F$2:$F$277,MATCH('Ingest Template'!D657,DropdownLists!$C$2:$C$277,0)),
CHAR(10),
"|"&amp;'Ingest Template'!C657&amp;CHAR(10)
)&amp;"|"&amp;'Ingest Template'!C657&amp;CHAR(10)&amp;'Ingest Template'!Y657
)</f>
        <v>#N/A</v>
      </c>
      <c r="X657" s="74" t="str">
        <f>'Ingest Template'!Z657</f>
        <v/>
      </c>
      <c r="Y657" s="35" t="str">
        <f>SUBSTITUTE(SUBSTITUTE(SUBSTITUTE('Ingest Template'!AA657,"http:",""),"https:",""),"/","")</f>
        <v/>
      </c>
      <c r="Z657" s="35" t="str">
        <f t="array" ref="Z657">IF('Ingest Template'!A657="Standard",(IF(ISBLANK('Ingest Template'!AB657),"", 'Ingest Template'!AB657&amp;"|DAR")),(IF(ISBLANK('Ingest Template'!AB657),"", 'Ingest Template'!AB657&amp;"|TV Ops")))</f>
        <v/>
      </c>
      <c r="AA657" s="35"/>
      <c r="AB657" s="35" t="str">
        <f>'Ingest Template'!R657</f>
        <v/>
      </c>
      <c r="AC657" s="35" t="str">
        <f>'Ingest Template'!T657</f>
        <v/>
      </c>
      <c r="AD657" s="35" t="str">
        <f>'Ingest Template'!S657</f>
        <v/>
      </c>
      <c r="AE657" s="35" t="str">
        <f>'Ingest Template'!U657</f>
        <v/>
      </c>
      <c r="AF657" s="22"/>
      <c r="AG657" s="35" t="str">
        <f t="array" ref="AG657">IF('Ingest Template'!A657="Standard",(CONCATENATE(IF(ISBLANK('Ingest Template'!N657),"", 'Ingest Template'!N657&amp;"|DAR"),CHAR(10), IF(ISBLANK('Ingest Template'!O657),"", 'Ingest Template'!O657&amp;"|DAR"),CHAR(10), IF(ISBLANK('Ingest Template'!P657),"", 'Ingest Template'!P657&amp;"|DAR"))),(CONCATENATE(IF(ISBLANK('Ingest Template'!N657),"", 'Ingest Template'!N657&amp;"|TV Ops"),CHAR(10), IF(ISBLANK('Ingest Template'!O657),"", 'Ingest Template'!O657&amp;"|TV Ops"),CHAR(10), IF(ISBLANK('Ingest Template'!P657),"", 'Ingest Template'!P657&amp;"|TV Ops"))))</f>
        <v>
</v>
      </c>
      <c r="AH657" s="35"/>
      <c r="AI657" s="35"/>
      <c r="AJ657" s="117" t="str">
        <f>if('Ingest Template'!A657="Standard",(IF(OR('Ingest Template'!F657 = "Program Type - Special", 'Ingest Template'!F657 = "Program Type - Live Event"),'Ingest Template'!M657&amp; "|DAR|DAR|"&amp;TEXT('Ingest Template'!C657-3, "yyyy-mm-dd")&amp;"|"&amp;TEXT('Ingest Template'!C657+3, "yyyy-mm-dd"),'Ingest Template'!M657&amp; "|DAR|DAR|2021-01-01")),(IF(OR('Ingest Template'!F657 = "Program Type - Special", 'Ingest Template'!F657 = "Program Type - Live Event"),'Ingest Template'!M657&amp; "|Operations - Core Title|Operations - Core Title|"&amp;TEXT('Ingest Template'!C657-3, "yyyy-mm-dd")&amp;"|"&amp;TEXT('Ingest Template'!C657+3, "yyyy-mm-dd"),'Ingest Template'!M657&amp; "|Operations - Core Title|Operations - Core Title")))</f>
        <v>|Operations - Core Title|Operations - Core Title</v>
      </c>
      <c r="AK657" s="35"/>
      <c r="AL657" s="117" t="str">
        <f>if('Ingest Template'!A657="Standard",(IF(OR('Ingest Template'!F657 = "Program Type - Special", 'Ingest Template'!F657 = "Program Type - Live Event"),'Ingest Template'!Q657&amp;"|"&amp;TEXT('Ingest Template'!C657-3, "yyyy-mm-dd")&amp;"|"&amp;TEXT('Ingest Template'!C657+3, "yyyy-mm-dd"),'Ingest Template'!Q657&amp; "|2021-01-01")),(IF(OR('Ingest Template'!F657 = "Program Type - Special", 'Ingest Template'!F657 = "Program Type - Live Event"),'Ingest Template'!Q657&amp; "|"&amp;TEXT('Ingest Template'!C657-3, "yyyy-mm-dd")&amp;"|"&amp;TEXT('Ingest Template'!C657+3, "yyyy-mm-dd"),'Ingest Template'!Q657)))</f>
        <v/>
      </c>
      <c r="AM657" s="35" t="str">
        <f>'Ingest Template'!AC657</f>
        <v/>
      </c>
    </row>
    <row r="658">
      <c r="A658" s="15"/>
      <c r="B658" s="22" t="str">
        <f>'Ingest Template'!C658&amp;IF('Ingest Template'!A658 = "Standard", " - DAR","")</f>
        <v/>
      </c>
      <c r="C658" s="22" t="s">
        <v>83</v>
      </c>
      <c r="D658" s="22" t="str">
        <f t="array" ref="D658">CONCATENATE(INDEX(DropdownLists!$H$2:$H$11,MATCH(1,COUNTIF('Ingest Template'!E658,"*"&amp;DropdownLists!$I$2:$I$11&amp;"*"),0)),CHAR(10),'Ingest Template'!F658,CHAR(10),'Ingest Template'!G658,CHAR(10),VLOOKUP('Ingest Template'!D658,DropdownLists!C:D,2,FALSE))</f>
        <v>#N/A</v>
      </c>
      <c r="E658" s="22" t="str">
        <f>CONCATENATE('Ingest Template'!H658,CHAR(10),'Ingest Template'!I658,CHAR(10),'Ingest Template'!J658,CHAR(10))</f>
        <v>
</v>
      </c>
      <c r="F658" s="35" t="str">
        <f t="array" ref="F658">INDEX(DropdownLists!$O$2:$O$36,MATCH(1,COUNTIF(E658,"*"&amp;DropdownLists!$N$2:$N$36&amp;"*"),0))</f>
        <v/>
      </c>
      <c r="G658" s="35"/>
      <c r="H658" s="22" t="str">
        <f t="array" ref="H658">INDEX(DropdownLists!$E$2:$E$276,MATCH('Ingest Template'!D658,DropdownLists!$C$2:$C$276,0))</f>
        <v>#N/A</v>
      </c>
      <c r="I658" s="22"/>
      <c r="J658" s="22" t="str">
        <f t="array" ref="J658">iF('Ingest Template'!A658="Standard","Pristine Brand",INDEX(DropdownLists!$B$2:$B$246,MATCH('Ingest Template'!D658,DropdownLists!$C$2:$C$246,0)))</f>
        <v>#N/A</v>
      </c>
      <c r="K658" s="22" t="str">
        <f>iF('Ingest Template'!A658="Standard",'Ingest Template'!K658&amp;CHAR(10)&amp;'Ingest Template'!L658,"Competitive View")</f>
        <v>Competitive View</v>
      </c>
      <c r="L658" s="22" t="s">
        <v>95</v>
      </c>
      <c r="M658" s="45" t="str">
        <f>'Ingest Template'!B658</f>
        <v/>
      </c>
      <c r="N658" s="35"/>
      <c r="O658" s="35"/>
      <c r="P658" s="35"/>
      <c r="Q658" s="35"/>
      <c r="R658" s="35" t="str">
        <f>'Ingest Template'!D658</f>
        <v/>
      </c>
      <c r="S658" s="22" t="s">
        <v>101</v>
      </c>
      <c r="T658" s="35" t="str">
        <f>'Ingest Template'!V658</f>
        <v/>
      </c>
      <c r="U658" s="35" t="str">
        <f>'Ingest Template'!W658</f>
        <v/>
      </c>
      <c r="V658" s="35" t="str">
        <f>LOWER(SUBSTITUTE(SUBSTITUTE(SUBSTITUTE(SUBSTITUTE(SUBSTITUTE('Ingest Template'!X658,"https:",""),"www.",""),"/",""),"?hl=en",""),"instagram.com",""))</f>
        <v/>
      </c>
      <c r="W658" s="74" t="str">
        <f t="array" ref="W658">IF(
'Ingest Template'!Y658="",
SUBSTITUTE(
INDEX(DropdownLists!$F$2:$F$277,MATCH('Ingest Template'!D658,DropdownLists!$C$2:$C$277,0)),
CHAR(10),
"|"&amp;'Ingest Template'!C658&amp;CHAR(10)
)&amp;"|"&amp;'Ingest Template'!C658,
SUBSTITUTE(
INDEX(DropdownLists!$F$2:$F$277,MATCH('Ingest Template'!D658,DropdownLists!$C$2:$C$277,0)),
CHAR(10),
"|"&amp;'Ingest Template'!C658&amp;CHAR(10)
)&amp;"|"&amp;'Ingest Template'!C658&amp;CHAR(10)&amp;'Ingest Template'!Y658
)</f>
        <v>#N/A</v>
      </c>
      <c r="X658" s="74" t="str">
        <f>'Ingest Template'!Z658</f>
        <v/>
      </c>
      <c r="Y658" s="35" t="str">
        <f>SUBSTITUTE(SUBSTITUTE(SUBSTITUTE('Ingest Template'!AA658,"http:",""),"https:",""),"/","")</f>
        <v/>
      </c>
      <c r="Z658" s="35" t="str">
        <f t="array" ref="Z658">IF('Ingest Template'!A658="Standard",(IF(ISBLANK('Ingest Template'!AB658),"", 'Ingest Template'!AB658&amp;"|DAR")),(IF(ISBLANK('Ingest Template'!AB658),"", 'Ingest Template'!AB658&amp;"|TV Ops")))</f>
        <v/>
      </c>
      <c r="AA658" s="35"/>
      <c r="AB658" s="35" t="str">
        <f>'Ingest Template'!R658</f>
        <v/>
      </c>
      <c r="AC658" s="35" t="str">
        <f>'Ingest Template'!T658</f>
        <v/>
      </c>
      <c r="AD658" s="35" t="str">
        <f>'Ingest Template'!S658</f>
        <v/>
      </c>
      <c r="AE658" s="35" t="str">
        <f>'Ingest Template'!U658</f>
        <v/>
      </c>
      <c r="AF658" s="22"/>
      <c r="AG658" s="35" t="str">
        <f t="array" ref="AG658">IF('Ingest Template'!A658="Standard",(CONCATENATE(IF(ISBLANK('Ingest Template'!N658),"", 'Ingest Template'!N658&amp;"|DAR"),CHAR(10), IF(ISBLANK('Ingest Template'!O658),"", 'Ingest Template'!O658&amp;"|DAR"),CHAR(10), IF(ISBLANK('Ingest Template'!P658),"", 'Ingest Template'!P658&amp;"|DAR"))),(CONCATENATE(IF(ISBLANK('Ingest Template'!N658),"", 'Ingest Template'!N658&amp;"|TV Ops"),CHAR(10), IF(ISBLANK('Ingest Template'!O658),"", 'Ingest Template'!O658&amp;"|TV Ops"),CHAR(10), IF(ISBLANK('Ingest Template'!P658),"", 'Ingest Template'!P658&amp;"|TV Ops"))))</f>
        <v>
</v>
      </c>
      <c r="AH658" s="35"/>
      <c r="AI658" s="35"/>
      <c r="AJ658" s="117" t="str">
        <f>if('Ingest Template'!A658="Standard",(IF(OR('Ingest Template'!F658 = "Program Type - Special", 'Ingest Template'!F658 = "Program Type - Live Event"),'Ingest Template'!M658&amp; "|DAR|DAR|"&amp;TEXT('Ingest Template'!C658-3, "yyyy-mm-dd")&amp;"|"&amp;TEXT('Ingest Template'!C658+3, "yyyy-mm-dd"),'Ingest Template'!M658&amp; "|DAR|DAR|2021-01-01")),(IF(OR('Ingest Template'!F658 = "Program Type - Special", 'Ingest Template'!F658 = "Program Type - Live Event"),'Ingest Template'!M658&amp; "|Operations - Core Title|Operations - Core Title|"&amp;TEXT('Ingest Template'!C658-3, "yyyy-mm-dd")&amp;"|"&amp;TEXT('Ingest Template'!C658+3, "yyyy-mm-dd"),'Ingest Template'!M658&amp; "|Operations - Core Title|Operations - Core Title")))</f>
        <v>|Operations - Core Title|Operations - Core Title</v>
      </c>
      <c r="AK658" s="35"/>
      <c r="AL658" s="117" t="str">
        <f>if('Ingest Template'!A658="Standard",(IF(OR('Ingest Template'!F658 = "Program Type - Special", 'Ingest Template'!F658 = "Program Type - Live Event"),'Ingest Template'!Q658&amp;"|"&amp;TEXT('Ingest Template'!C658-3, "yyyy-mm-dd")&amp;"|"&amp;TEXT('Ingest Template'!C658+3, "yyyy-mm-dd"),'Ingest Template'!Q658&amp; "|2021-01-01")),(IF(OR('Ingest Template'!F658 = "Program Type - Special", 'Ingest Template'!F658 = "Program Type - Live Event"),'Ingest Template'!Q658&amp; "|"&amp;TEXT('Ingest Template'!C658-3, "yyyy-mm-dd")&amp;"|"&amp;TEXT('Ingest Template'!C658+3, "yyyy-mm-dd"),'Ingest Template'!Q658)))</f>
        <v/>
      </c>
      <c r="AM658" s="35" t="str">
        <f>'Ingest Template'!AC658</f>
        <v/>
      </c>
    </row>
    <row r="659">
      <c r="A659" s="15"/>
      <c r="B659" s="22" t="str">
        <f>'Ingest Template'!C659&amp;IF('Ingest Template'!A659 = "Standard", " - DAR","")</f>
        <v/>
      </c>
      <c r="C659" s="22" t="s">
        <v>83</v>
      </c>
      <c r="D659" s="22" t="str">
        <f t="array" ref="D659">CONCATENATE(INDEX(DropdownLists!$H$2:$H$11,MATCH(1,COUNTIF('Ingest Template'!E659,"*"&amp;DropdownLists!$I$2:$I$11&amp;"*"),0)),CHAR(10),'Ingest Template'!F659,CHAR(10),'Ingest Template'!G659,CHAR(10),VLOOKUP('Ingest Template'!D659,DropdownLists!C:D,2,FALSE))</f>
        <v>#N/A</v>
      </c>
      <c r="E659" s="22" t="str">
        <f>CONCATENATE('Ingest Template'!H659,CHAR(10),'Ingest Template'!I659,CHAR(10),'Ingest Template'!J659,CHAR(10))</f>
        <v>
</v>
      </c>
      <c r="F659" s="35" t="str">
        <f t="array" ref="F659">INDEX(DropdownLists!$O$2:$O$36,MATCH(1,COUNTIF(E659,"*"&amp;DropdownLists!$N$2:$N$36&amp;"*"),0))</f>
        <v/>
      </c>
      <c r="G659" s="35"/>
      <c r="H659" s="22" t="str">
        <f t="array" ref="H659">INDEX(DropdownLists!$E$2:$E$276,MATCH('Ingest Template'!D659,DropdownLists!$C$2:$C$276,0))</f>
        <v>#N/A</v>
      </c>
      <c r="I659" s="22"/>
      <c r="J659" s="22" t="str">
        <f t="array" ref="J659">iF('Ingest Template'!A659="Standard","Pristine Brand",INDEX(DropdownLists!$B$2:$B$246,MATCH('Ingest Template'!D659,DropdownLists!$C$2:$C$246,0)))</f>
        <v>#N/A</v>
      </c>
      <c r="K659" s="22" t="str">
        <f>iF('Ingest Template'!A659="Standard",'Ingest Template'!K659&amp;CHAR(10)&amp;'Ingest Template'!L659,"Competitive View")</f>
        <v>Competitive View</v>
      </c>
      <c r="L659" s="22" t="s">
        <v>95</v>
      </c>
      <c r="M659" s="45" t="str">
        <f>'Ingest Template'!B659</f>
        <v/>
      </c>
      <c r="N659" s="35"/>
      <c r="O659" s="35"/>
      <c r="P659" s="35"/>
      <c r="Q659" s="35"/>
      <c r="R659" s="35" t="str">
        <f>'Ingest Template'!D659</f>
        <v/>
      </c>
      <c r="S659" s="22" t="s">
        <v>101</v>
      </c>
      <c r="T659" s="35" t="str">
        <f>'Ingest Template'!V659</f>
        <v/>
      </c>
      <c r="U659" s="35" t="str">
        <f>'Ingest Template'!W659</f>
        <v/>
      </c>
      <c r="V659" s="35" t="str">
        <f>LOWER(SUBSTITUTE(SUBSTITUTE(SUBSTITUTE(SUBSTITUTE(SUBSTITUTE('Ingest Template'!X659,"https:",""),"www.",""),"/",""),"?hl=en",""),"instagram.com",""))</f>
        <v/>
      </c>
      <c r="W659" s="74" t="str">
        <f t="array" ref="W659">IF(
'Ingest Template'!Y659="",
SUBSTITUTE(
INDEX(DropdownLists!$F$2:$F$277,MATCH('Ingest Template'!D659,DropdownLists!$C$2:$C$277,0)),
CHAR(10),
"|"&amp;'Ingest Template'!C659&amp;CHAR(10)
)&amp;"|"&amp;'Ingest Template'!C659,
SUBSTITUTE(
INDEX(DropdownLists!$F$2:$F$277,MATCH('Ingest Template'!D659,DropdownLists!$C$2:$C$277,0)),
CHAR(10),
"|"&amp;'Ingest Template'!C659&amp;CHAR(10)
)&amp;"|"&amp;'Ingest Template'!C659&amp;CHAR(10)&amp;'Ingest Template'!Y659
)</f>
        <v>#N/A</v>
      </c>
      <c r="X659" s="74" t="str">
        <f>'Ingest Template'!Z659</f>
        <v/>
      </c>
      <c r="Y659" s="35" t="str">
        <f>SUBSTITUTE(SUBSTITUTE(SUBSTITUTE('Ingest Template'!AA659,"http:",""),"https:",""),"/","")</f>
        <v/>
      </c>
      <c r="Z659" s="35" t="str">
        <f t="array" ref="Z659">IF('Ingest Template'!A659="Standard",(IF(ISBLANK('Ingest Template'!AB659),"", 'Ingest Template'!AB659&amp;"|DAR")),(IF(ISBLANK('Ingest Template'!AB659),"", 'Ingest Template'!AB659&amp;"|TV Ops")))</f>
        <v/>
      </c>
      <c r="AA659" s="35"/>
      <c r="AB659" s="35" t="str">
        <f>'Ingest Template'!R659</f>
        <v/>
      </c>
      <c r="AC659" s="35" t="str">
        <f>'Ingest Template'!T659</f>
        <v/>
      </c>
      <c r="AD659" s="35" t="str">
        <f>'Ingest Template'!S659</f>
        <v/>
      </c>
      <c r="AE659" s="35" t="str">
        <f>'Ingest Template'!U659</f>
        <v/>
      </c>
      <c r="AF659" s="22"/>
      <c r="AG659" s="35" t="str">
        <f t="array" ref="AG659">IF('Ingest Template'!A659="Standard",(CONCATENATE(IF(ISBLANK('Ingest Template'!N659),"", 'Ingest Template'!N659&amp;"|DAR"),CHAR(10), IF(ISBLANK('Ingest Template'!O659),"", 'Ingest Template'!O659&amp;"|DAR"),CHAR(10), IF(ISBLANK('Ingest Template'!P659),"", 'Ingest Template'!P659&amp;"|DAR"))),(CONCATENATE(IF(ISBLANK('Ingest Template'!N659),"", 'Ingest Template'!N659&amp;"|TV Ops"),CHAR(10), IF(ISBLANK('Ingest Template'!O659),"", 'Ingest Template'!O659&amp;"|TV Ops"),CHAR(10), IF(ISBLANK('Ingest Template'!P659),"", 'Ingest Template'!P659&amp;"|TV Ops"))))</f>
        <v>
</v>
      </c>
      <c r="AH659" s="35"/>
      <c r="AI659" s="35"/>
      <c r="AJ659" s="117" t="str">
        <f>if('Ingest Template'!A659="Standard",(IF(OR('Ingest Template'!F659 = "Program Type - Special", 'Ingest Template'!F659 = "Program Type - Live Event"),'Ingest Template'!M659&amp; "|DAR|DAR|"&amp;TEXT('Ingest Template'!C659-3, "yyyy-mm-dd")&amp;"|"&amp;TEXT('Ingest Template'!C659+3, "yyyy-mm-dd"),'Ingest Template'!M659&amp; "|DAR|DAR|2021-01-01")),(IF(OR('Ingest Template'!F659 = "Program Type - Special", 'Ingest Template'!F659 = "Program Type - Live Event"),'Ingest Template'!M659&amp; "|Operations - Core Title|Operations - Core Title|"&amp;TEXT('Ingest Template'!C659-3, "yyyy-mm-dd")&amp;"|"&amp;TEXT('Ingest Template'!C659+3, "yyyy-mm-dd"),'Ingest Template'!M659&amp; "|Operations - Core Title|Operations - Core Title")))</f>
        <v>|Operations - Core Title|Operations - Core Title</v>
      </c>
      <c r="AK659" s="35"/>
      <c r="AL659" s="117" t="str">
        <f>if('Ingest Template'!A659="Standard",(IF(OR('Ingest Template'!F659 = "Program Type - Special", 'Ingest Template'!F659 = "Program Type - Live Event"),'Ingest Template'!Q659&amp;"|"&amp;TEXT('Ingest Template'!C659-3, "yyyy-mm-dd")&amp;"|"&amp;TEXT('Ingest Template'!C659+3, "yyyy-mm-dd"),'Ingest Template'!Q659&amp; "|2021-01-01")),(IF(OR('Ingest Template'!F659 = "Program Type - Special", 'Ingest Template'!F659 = "Program Type - Live Event"),'Ingest Template'!Q659&amp; "|"&amp;TEXT('Ingest Template'!C659-3, "yyyy-mm-dd")&amp;"|"&amp;TEXT('Ingest Template'!C659+3, "yyyy-mm-dd"),'Ingest Template'!Q659)))</f>
        <v/>
      </c>
      <c r="AM659" s="35" t="str">
        <f>'Ingest Template'!AC659</f>
        <v/>
      </c>
    </row>
    <row r="660">
      <c r="A660" s="15"/>
      <c r="B660" s="22" t="str">
        <f>'Ingest Template'!C660&amp;IF('Ingest Template'!A660 = "Standard", " - DAR","")</f>
        <v/>
      </c>
      <c r="C660" s="22" t="s">
        <v>83</v>
      </c>
      <c r="D660" s="22" t="str">
        <f t="array" ref="D660">CONCATENATE(INDEX(DropdownLists!$H$2:$H$11,MATCH(1,COUNTIF('Ingest Template'!E660,"*"&amp;DropdownLists!$I$2:$I$11&amp;"*"),0)),CHAR(10),'Ingest Template'!F660,CHAR(10),'Ingest Template'!G660,CHAR(10),VLOOKUP('Ingest Template'!D660,DropdownLists!C:D,2,FALSE))</f>
        <v>#N/A</v>
      </c>
      <c r="E660" s="22" t="str">
        <f>CONCATENATE('Ingest Template'!H660,CHAR(10),'Ingest Template'!I660,CHAR(10),'Ingest Template'!J660,CHAR(10))</f>
        <v>
</v>
      </c>
      <c r="F660" s="35" t="str">
        <f t="array" ref="F660">INDEX(DropdownLists!$O$2:$O$36,MATCH(1,COUNTIF(E660,"*"&amp;DropdownLists!$N$2:$N$36&amp;"*"),0))</f>
        <v/>
      </c>
      <c r="G660" s="35"/>
      <c r="H660" s="22" t="str">
        <f t="array" ref="H660">INDEX(DropdownLists!$E$2:$E$276,MATCH('Ingest Template'!D660,DropdownLists!$C$2:$C$276,0))</f>
        <v>#N/A</v>
      </c>
      <c r="I660" s="22"/>
      <c r="J660" s="22" t="str">
        <f t="array" ref="J660">iF('Ingest Template'!A660="Standard","Pristine Brand",INDEX(DropdownLists!$B$2:$B$246,MATCH('Ingest Template'!D660,DropdownLists!$C$2:$C$246,0)))</f>
        <v>#N/A</v>
      </c>
      <c r="K660" s="22" t="str">
        <f>iF('Ingest Template'!A660="Standard",'Ingest Template'!K660&amp;CHAR(10)&amp;'Ingest Template'!L660,"Competitive View")</f>
        <v>Competitive View</v>
      </c>
      <c r="L660" s="22" t="s">
        <v>95</v>
      </c>
      <c r="M660" s="45" t="str">
        <f>'Ingest Template'!B660</f>
        <v/>
      </c>
      <c r="N660" s="35"/>
      <c r="O660" s="35"/>
      <c r="P660" s="35"/>
      <c r="Q660" s="35"/>
      <c r="R660" s="35" t="str">
        <f>'Ingest Template'!D660</f>
        <v/>
      </c>
      <c r="S660" s="22" t="s">
        <v>101</v>
      </c>
      <c r="T660" s="35" t="str">
        <f>'Ingest Template'!V660</f>
        <v/>
      </c>
      <c r="U660" s="35" t="str">
        <f>'Ingest Template'!W660</f>
        <v/>
      </c>
      <c r="V660" s="35" t="str">
        <f>LOWER(SUBSTITUTE(SUBSTITUTE(SUBSTITUTE(SUBSTITUTE(SUBSTITUTE('Ingest Template'!X660,"https:",""),"www.",""),"/",""),"?hl=en",""),"instagram.com",""))</f>
        <v/>
      </c>
      <c r="W660" s="74" t="str">
        <f t="array" ref="W660">IF(
'Ingest Template'!Y660="",
SUBSTITUTE(
INDEX(DropdownLists!$F$2:$F$277,MATCH('Ingest Template'!D660,DropdownLists!$C$2:$C$277,0)),
CHAR(10),
"|"&amp;'Ingest Template'!C660&amp;CHAR(10)
)&amp;"|"&amp;'Ingest Template'!C660,
SUBSTITUTE(
INDEX(DropdownLists!$F$2:$F$277,MATCH('Ingest Template'!D660,DropdownLists!$C$2:$C$277,0)),
CHAR(10),
"|"&amp;'Ingest Template'!C660&amp;CHAR(10)
)&amp;"|"&amp;'Ingest Template'!C660&amp;CHAR(10)&amp;'Ingest Template'!Y660
)</f>
        <v>#N/A</v>
      </c>
      <c r="X660" s="74" t="str">
        <f>'Ingest Template'!Z660</f>
        <v/>
      </c>
      <c r="Y660" s="35" t="str">
        <f>SUBSTITUTE(SUBSTITUTE(SUBSTITUTE('Ingest Template'!AA660,"http:",""),"https:",""),"/","")</f>
        <v/>
      </c>
      <c r="Z660" s="35" t="str">
        <f t="array" ref="Z660">IF('Ingest Template'!A660="Standard",(IF(ISBLANK('Ingest Template'!AB660),"", 'Ingest Template'!AB660&amp;"|DAR")),(IF(ISBLANK('Ingest Template'!AB660),"", 'Ingest Template'!AB660&amp;"|TV Ops")))</f>
        <v/>
      </c>
      <c r="AA660" s="35"/>
      <c r="AB660" s="35" t="str">
        <f>'Ingest Template'!R660</f>
        <v/>
      </c>
      <c r="AC660" s="35" t="str">
        <f>'Ingest Template'!T660</f>
        <v/>
      </c>
      <c r="AD660" s="35" t="str">
        <f>'Ingest Template'!S660</f>
        <v/>
      </c>
      <c r="AE660" s="35" t="str">
        <f>'Ingest Template'!U660</f>
        <v/>
      </c>
      <c r="AF660" s="22"/>
      <c r="AG660" s="35" t="str">
        <f t="array" ref="AG660">IF('Ingest Template'!A660="Standard",(CONCATENATE(IF(ISBLANK('Ingest Template'!N660),"", 'Ingest Template'!N660&amp;"|DAR"),CHAR(10), IF(ISBLANK('Ingest Template'!O660),"", 'Ingest Template'!O660&amp;"|DAR"),CHAR(10), IF(ISBLANK('Ingest Template'!P660),"", 'Ingest Template'!P660&amp;"|DAR"))),(CONCATENATE(IF(ISBLANK('Ingest Template'!N660),"", 'Ingest Template'!N660&amp;"|TV Ops"),CHAR(10), IF(ISBLANK('Ingest Template'!O660),"", 'Ingest Template'!O660&amp;"|TV Ops"),CHAR(10), IF(ISBLANK('Ingest Template'!P660),"", 'Ingest Template'!P660&amp;"|TV Ops"))))</f>
        <v>
</v>
      </c>
      <c r="AH660" s="35"/>
      <c r="AI660" s="35"/>
      <c r="AJ660" s="117" t="str">
        <f>if('Ingest Template'!A660="Standard",(IF(OR('Ingest Template'!F660 = "Program Type - Special", 'Ingest Template'!F660 = "Program Type - Live Event"),'Ingest Template'!M660&amp; "|DAR|DAR|"&amp;TEXT('Ingest Template'!C660-3, "yyyy-mm-dd")&amp;"|"&amp;TEXT('Ingest Template'!C660+3, "yyyy-mm-dd"),'Ingest Template'!M660&amp; "|DAR|DAR|2021-01-01")),(IF(OR('Ingest Template'!F660 = "Program Type - Special", 'Ingest Template'!F660 = "Program Type - Live Event"),'Ingest Template'!M660&amp; "|Operations - Core Title|Operations - Core Title|"&amp;TEXT('Ingest Template'!C660-3, "yyyy-mm-dd")&amp;"|"&amp;TEXT('Ingest Template'!C660+3, "yyyy-mm-dd"),'Ingest Template'!M660&amp; "|Operations - Core Title|Operations - Core Title")))</f>
        <v>|Operations - Core Title|Operations - Core Title</v>
      </c>
      <c r="AK660" s="35"/>
      <c r="AL660" s="117" t="str">
        <f>if('Ingest Template'!A660="Standard",(IF(OR('Ingest Template'!F660 = "Program Type - Special", 'Ingest Template'!F660 = "Program Type - Live Event"),'Ingest Template'!Q660&amp;"|"&amp;TEXT('Ingest Template'!C660-3, "yyyy-mm-dd")&amp;"|"&amp;TEXT('Ingest Template'!C660+3, "yyyy-mm-dd"),'Ingest Template'!Q660&amp; "|2021-01-01")),(IF(OR('Ingest Template'!F660 = "Program Type - Special", 'Ingest Template'!F660 = "Program Type - Live Event"),'Ingest Template'!Q660&amp; "|"&amp;TEXT('Ingest Template'!C660-3, "yyyy-mm-dd")&amp;"|"&amp;TEXT('Ingest Template'!C660+3, "yyyy-mm-dd"),'Ingest Template'!Q660)))</f>
        <v/>
      </c>
      <c r="AM660" s="35" t="str">
        <f>'Ingest Template'!AC660</f>
        <v/>
      </c>
    </row>
    <row r="661">
      <c r="A661" s="15"/>
      <c r="B661" s="22" t="str">
        <f>'Ingest Template'!C661&amp;IF('Ingest Template'!A661 = "Standard", " - DAR","")</f>
        <v/>
      </c>
      <c r="C661" s="22" t="s">
        <v>83</v>
      </c>
      <c r="D661" s="22" t="str">
        <f t="array" ref="D661">CONCATENATE(INDEX(DropdownLists!$H$2:$H$11,MATCH(1,COUNTIF('Ingest Template'!E661,"*"&amp;DropdownLists!$I$2:$I$11&amp;"*"),0)),CHAR(10),'Ingest Template'!F661,CHAR(10),'Ingest Template'!G661,CHAR(10),VLOOKUP('Ingest Template'!D661,DropdownLists!C:D,2,FALSE))</f>
        <v>#N/A</v>
      </c>
      <c r="E661" s="22" t="str">
        <f>CONCATENATE('Ingest Template'!H661,CHAR(10),'Ingest Template'!I661,CHAR(10),'Ingest Template'!J661,CHAR(10))</f>
        <v>
</v>
      </c>
      <c r="F661" s="35" t="str">
        <f t="array" ref="F661">INDEX(DropdownLists!$O$2:$O$36,MATCH(1,COUNTIF(E661,"*"&amp;DropdownLists!$N$2:$N$36&amp;"*"),0))</f>
        <v/>
      </c>
      <c r="G661" s="35"/>
      <c r="H661" s="22" t="str">
        <f t="array" ref="H661">INDEX(DropdownLists!$E$2:$E$276,MATCH('Ingest Template'!D661,DropdownLists!$C$2:$C$276,0))</f>
        <v>#N/A</v>
      </c>
      <c r="I661" s="22"/>
      <c r="J661" s="22" t="str">
        <f t="array" ref="J661">iF('Ingest Template'!A661="Standard","Pristine Brand",INDEX(DropdownLists!$B$2:$B$246,MATCH('Ingest Template'!D661,DropdownLists!$C$2:$C$246,0)))</f>
        <v>#N/A</v>
      </c>
      <c r="K661" s="22" t="str">
        <f>iF('Ingest Template'!A661="Standard",'Ingest Template'!K661&amp;CHAR(10)&amp;'Ingest Template'!L661,"Competitive View")</f>
        <v>Competitive View</v>
      </c>
      <c r="L661" s="22" t="s">
        <v>95</v>
      </c>
      <c r="M661" s="45" t="str">
        <f>'Ingest Template'!B661</f>
        <v/>
      </c>
      <c r="N661" s="35"/>
      <c r="O661" s="35"/>
      <c r="P661" s="35"/>
      <c r="Q661" s="35"/>
      <c r="R661" s="35" t="str">
        <f>'Ingest Template'!D661</f>
        <v/>
      </c>
      <c r="S661" s="22" t="s">
        <v>101</v>
      </c>
      <c r="T661" s="35" t="str">
        <f>'Ingest Template'!V661</f>
        <v/>
      </c>
      <c r="U661" s="35" t="str">
        <f>'Ingest Template'!W661</f>
        <v/>
      </c>
      <c r="V661" s="35" t="str">
        <f>LOWER(SUBSTITUTE(SUBSTITUTE(SUBSTITUTE(SUBSTITUTE(SUBSTITUTE('Ingest Template'!X661,"https:",""),"www.",""),"/",""),"?hl=en",""),"instagram.com",""))</f>
        <v/>
      </c>
      <c r="W661" s="74" t="str">
        <f t="array" ref="W661">IF(
'Ingest Template'!Y661="",
SUBSTITUTE(
INDEX(DropdownLists!$F$2:$F$277,MATCH('Ingest Template'!D661,DropdownLists!$C$2:$C$277,0)),
CHAR(10),
"|"&amp;'Ingest Template'!C661&amp;CHAR(10)
)&amp;"|"&amp;'Ingest Template'!C661,
SUBSTITUTE(
INDEX(DropdownLists!$F$2:$F$277,MATCH('Ingest Template'!D661,DropdownLists!$C$2:$C$277,0)),
CHAR(10),
"|"&amp;'Ingest Template'!C661&amp;CHAR(10)
)&amp;"|"&amp;'Ingest Template'!C661&amp;CHAR(10)&amp;'Ingest Template'!Y661
)</f>
        <v>#N/A</v>
      </c>
      <c r="X661" s="74" t="str">
        <f>'Ingest Template'!Z661</f>
        <v/>
      </c>
      <c r="Y661" s="35" t="str">
        <f>SUBSTITUTE(SUBSTITUTE(SUBSTITUTE('Ingest Template'!AA661,"http:",""),"https:",""),"/","")</f>
        <v/>
      </c>
      <c r="Z661" s="35" t="str">
        <f t="array" ref="Z661">IF('Ingest Template'!A661="Standard",(IF(ISBLANK('Ingest Template'!AB661),"", 'Ingest Template'!AB661&amp;"|DAR")),(IF(ISBLANK('Ingest Template'!AB661),"", 'Ingest Template'!AB661&amp;"|TV Ops")))</f>
        <v/>
      </c>
      <c r="AA661" s="35"/>
      <c r="AB661" s="35" t="str">
        <f>'Ingest Template'!R661</f>
        <v/>
      </c>
      <c r="AC661" s="35" t="str">
        <f>'Ingest Template'!T661</f>
        <v/>
      </c>
      <c r="AD661" s="35" t="str">
        <f>'Ingest Template'!S661</f>
        <v/>
      </c>
      <c r="AE661" s="35" t="str">
        <f>'Ingest Template'!U661</f>
        <v/>
      </c>
      <c r="AF661" s="22"/>
      <c r="AG661" s="35" t="str">
        <f t="array" ref="AG661">IF('Ingest Template'!A661="Standard",(CONCATENATE(IF(ISBLANK('Ingest Template'!N661),"", 'Ingest Template'!N661&amp;"|DAR"),CHAR(10), IF(ISBLANK('Ingest Template'!O661),"", 'Ingest Template'!O661&amp;"|DAR"),CHAR(10), IF(ISBLANK('Ingest Template'!P661),"", 'Ingest Template'!P661&amp;"|DAR"))),(CONCATENATE(IF(ISBLANK('Ingest Template'!N661),"", 'Ingest Template'!N661&amp;"|TV Ops"),CHAR(10), IF(ISBLANK('Ingest Template'!O661),"", 'Ingest Template'!O661&amp;"|TV Ops"),CHAR(10), IF(ISBLANK('Ingest Template'!P661),"", 'Ingest Template'!P661&amp;"|TV Ops"))))</f>
        <v>
</v>
      </c>
      <c r="AH661" s="35"/>
      <c r="AI661" s="35"/>
      <c r="AJ661" s="117" t="str">
        <f>if('Ingest Template'!A661="Standard",(IF(OR('Ingest Template'!F661 = "Program Type - Special", 'Ingest Template'!F661 = "Program Type - Live Event"),'Ingest Template'!M661&amp; "|DAR|DAR|"&amp;TEXT('Ingest Template'!C661-3, "yyyy-mm-dd")&amp;"|"&amp;TEXT('Ingest Template'!C661+3, "yyyy-mm-dd"),'Ingest Template'!M661&amp; "|DAR|DAR|2021-01-01")),(IF(OR('Ingest Template'!F661 = "Program Type - Special", 'Ingest Template'!F661 = "Program Type - Live Event"),'Ingest Template'!M661&amp; "|Operations - Core Title|Operations - Core Title|"&amp;TEXT('Ingest Template'!C661-3, "yyyy-mm-dd")&amp;"|"&amp;TEXT('Ingest Template'!C661+3, "yyyy-mm-dd"),'Ingest Template'!M661&amp; "|Operations - Core Title|Operations - Core Title")))</f>
        <v>|Operations - Core Title|Operations - Core Title</v>
      </c>
      <c r="AK661" s="35"/>
      <c r="AL661" s="117" t="str">
        <f>if('Ingest Template'!A661="Standard",(IF(OR('Ingest Template'!F661 = "Program Type - Special", 'Ingest Template'!F661 = "Program Type - Live Event"),'Ingest Template'!Q661&amp;"|"&amp;TEXT('Ingest Template'!C661-3, "yyyy-mm-dd")&amp;"|"&amp;TEXT('Ingest Template'!C661+3, "yyyy-mm-dd"),'Ingest Template'!Q661&amp; "|2021-01-01")),(IF(OR('Ingest Template'!F661 = "Program Type - Special", 'Ingest Template'!F661 = "Program Type - Live Event"),'Ingest Template'!Q661&amp; "|"&amp;TEXT('Ingest Template'!C661-3, "yyyy-mm-dd")&amp;"|"&amp;TEXT('Ingest Template'!C661+3, "yyyy-mm-dd"),'Ingest Template'!Q661)))</f>
        <v/>
      </c>
      <c r="AM661" s="35" t="str">
        <f>'Ingest Template'!AC661</f>
        <v/>
      </c>
    </row>
    <row r="662">
      <c r="A662" s="15"/>
      <c r="B662" s="22" t="str">
        <f>'Ingest Template'!C662&amp;IF('Ingest Template'!A662 = "Standard", " - DAR","")</f>
        <v/>
      </c>
      <c r="C662" s="22" t="s">
        <v>83</v>
      </c>
      <c r="D662" s="22" t="str">
        <f t="array" ref="D662">CONCATENATE(INDEX(DropdownLists!$H$2:$H$11,MATCH(1,COUNTIF('Ingest Template'!E662,"*"&amp;DropdownLists!$I$2:$I$11&amp;"*"),0)),CHAR(10),'Ingest Template'!F662,CHAR(10),'Ingest Template'!G662,CHAR(10),VLOOKUP('Ingest Template'!D662,DropdownLists!C:D,2,FALSE))</f>
        <v>#N/A</v>
      </c>
      <c r="E662" s="22" t="str">
        <f>CONCATENATE('Ingest Template'!H662,CHAR(10),'Ingest Template'!I662,CHAR(10),'Ingest Template'!J662,CHAR(10))</f>
        <v>
</v>
      </c>
      <c r="F662" s="35" t="str">
        <f t="array" ref="F662">INDEX(DropdownLists!$O$2:$O$36,MATCH(1,COUNTIF(E662,"*"&amp;DropdownLists!$N$2:$N$36&amp;"*"),0))</f>
        <v/>
      </c>
      <c r="G662" s="35"/>
      <c r="H662" s="22" t="str">
        <f t="array" ref="H662">INDEX(DropdownLists!$E$2:$E$276,MATCH('Ingest Template'!D662,DropdownLists!$C$2:$C$276,0))</f>
        <v>#N/A</v>
      </c>
      <c r="I662" s="22"/>
      <c r="J662" s="22" t="str">
        <f t="array" ref="J662">iF('Ingest Template'!A662="Standard","Pristine Brand",INDEX(DropdownLists!$B$2:$B$246,MATCH('Ingest Template'!D662,DropdownLists!$C$2:$C$246,0)))</f>
        <v>#N/A</v>
      </c>
      <c r="K662" s="22" t="str">
        <f>iF('Ingest Template'!A662="Standard",'Ingest Template'!K662&amp;CHAR(10)&amp;'Ingest Template'!L662,"Competitive View")</f>
        <v>Competitive View</v>
      </c>
      <c r="L662" s="22" t="s">
        <v>95</v>
      </c>
      <c r="M662" s="45" t="str">
        <f>'Ingest Template'!B662</f>
        <v/>
      </c>
      <c r="N662" s="35"/>
      <c r="O662" s="35"/>
      <c r="P662" s="35"/>
      <c r="Q662" s="35"/>
      <c r="R662" s="35" t="str">
        <f>'Ingest Template'!D662</f>
        <v/>
      </c>
      <c r="S662" s="22" t="s">
        <v>101</v>
      </c>
      <c r="T662" s="35" t="str">
        <f>'Ingest Template'!V662</f>
        <v/>
      </c>
      <c r="U662" s="35" t="str">
        <f>'Ingest Template'!W662</f>
        <v/>
      </c>
      <c r="V662" s="35" t="str">
        <f>LOWER(SUBSTITUTE(SUBSTITUTE(SUBSTITUTE(SUBSTITUTE(SUBSTITUTE('Ingest Template'!X662,"https:",""),"www.",""),"/",""),"?hl=en",""),"instagram.com",""))</f>
        <v/>
      </c>
      <c r="W662" s="74" t="str">
        <f t="array" ref="W662">IF(
'Ingest Template'!Y662="",
SUBSTITUTE(
INDEX(DropdownLists!$F$2:$F$277,MATCH('Ingest Template'!D662,DropdownLists!$C$2:$C$277,0)),
CHAR(10),
"|"&amp;'Ingest Template'!C662&amp;CHAR(10)
)&amp;"|"&amp;'Ingest Template'!C662,
SUBSTITUTE(
INDEX(DropdownLists!$F$2:$F$277,MATCH('Ingest Template'!D662,DropdownLists!$C$2:$C$277,0)),
CHAR(10),
"|"&amp;'Ingest Template'!C662&amp;CHAR(10)
)&amp;"|"&amp;'Ingest Template'!C662&amp;CHAR(10)&amp;'Ingest Template'!Y662
)</f>
        <v>#N/A</v>
      </c>
      <c r="X662" s="74" t="str">
        <f>'Ingest Template'!Z662</f>
        <v/>
      </c>
      <c r="Y662" s="35" t="str">
        <f>SUBSTITUTE(SUBSTITUTE(SUBSTITUTE('Ingest Template'!AA662,"http:",""),"https:",""),"/","")</f>
        <v/>
      </c>
      <c r="Z662" s="35" t="str">
        <f t="array" ref="Z662">IF('Ingest Template'!A662="Standard",(IF(ISBLANK('Ingest Template'!AB662),"", 'Ingest Template'!AB662&amp;"|DAR")),(IF(ISBLANK('Ingest Template'!AB662),"", 'Ingest Template'!AB662&amp;"|TV Ops")))</f>
        <v/>
      </c>
      <c r="AA662" s="35"/>
      <c r="AB662" s="35" t="str">
        <f>'Ingest Template'!R662</f>
        <v/>
      </c>
      <c r="AC662" s="35" t="str">
        <f>'Ingest Template'!T662</f>
        <v/>
      </c>
      <c r="AD662" s="35" t="str">
        <f>'Ingest Template'!S662</f>
        <v/>
      </c>
      <c r="AE662" s="35" t="str">
        <f>'Ingest Template'!U662</f>
        <v/>
      </c>
      <c r="AF662" s="22"/>
      <c r="AG662" s="35" t="str">
        <f t="array" ref="AG662">IF('Ingest Template'!A662="Standard",(CONCATENATE(IF(ISBLANK('Ingest Template'!N662),"", 'Ingest Template'!N662&amp;"|DAR"),CHAR(10), IF(ISBLANK('Ingest Template'!O662),"", 'Ingest Template'!O662&amp;"|DAR"),CHAR(10), IF(ISBLANK('Ingest Template'!P662),"", 'Ingest Template'!P662&amp;"|DAR"))),(CONCATENATE(IF(ISBLANK('Ingest Template'!N662),"", 'Ingest Template'!N662&amp;"|TV Ops"),CHAR(10), IF(ISBLANK('Ingest Template'!O662),"", 'Ingest Template'!O662&amp;"|TV Ops"),CHAR(10), IF(ISBLANK('Ingest Template'!P662),"", 'Ingest Template'!P662&amp;"|TV Ops"))))</f>
        <v>
</v>
      </c>
      <c r="AH662" s="35"/>
      <c r="AI662" s="35"/>
      <c r="AJ662" s="117" t="str">
        <f>if('Ingest Template'!A662="Standard",(IF(OR('Ingest Template'!F662 = "Program Type - Special", 'Ingest Template'!F662 = "Program Type - Live Event"),'Ingest Template'!M662&amp; "|DAR|DAR|"&amp;TEXT('Ingest Template'!C662-3, "yyyy-mm-dd")&amp;"|"&amp;TEXT('Ingest Template'!C662+3, "yyyy-mm-dd"),'Ingest Template'!M662&amp; "|DAR|DAR|2021-01-01")),(IF(OR('Ingest Template'!F662 = "Program Type - Special", 'Ingest Template'!F662 = "Program Type - Live Event"),'Ingest Template'!M662&amp; "|Operations - Core Title|Operations - Core Title|"&amp;TEXT('Ingest Template'!C662-3, "yyyy-mm-dd")&amp;"|"&amp;TEXT('Ingest Template'!C662+3, "yyyy-mm-dd"),'Ingest Template'!M662&amp; "|Operations - Core Title|Operations - Core Title")))</f>
        <v>|Operations - Core Title|Operations - Core Title</v>
      </c>
      <c r="AK662" s="35"/>
      <c r="AL662" s="117" t="str">
        <f>if('Ingest Template'!A662="Standard",(IF(OR('Ingest Template'!F662 = "Program Type - Special", 'Ingest Template'!F662 = "Program Type - Live Event"),'Ingest Template'!Q662&amp;"|"&amp;TEXT('Ingest Template'!C662-3, "yyyy-mm-dd")&amp;"|"&amp;TEXT('Ingest Template'!C662+3, "yyyy-mm-dd"),'Ingest Template'!Q662&amp; "|2021-01-01")),(IF(OR('Ingest Template'!F662 = "Program Type - Special", 'Ingest Template'!F662 = "Program Type - Live Event"),'Ingest Template'!Q662&amp; "|"&amp;TEXT('Ingest Template'!C662-3, "yyyy-mm-dd")&amp;"|"&amp;TEXT('Ingest Template'!C662+3, "yyyy-mm-dd"),'Ingest Template'!Q662)))</f>
        <v/>
      </c>
      <c r="AM662" s="35" t="str">
        <f>'Ingest Template'!AC662</f>
        <v/>
      </c>
    </row>
    <row r="663">
      <c r="A663" s="15"/>
      <c r="B663" s="22" t="str">
        <f>'Ingest Template'!C663&amp;IF('Ingest Template'!A663 = "Standard", " - DAR","")</f>
        <v/>
      </c>
      <c r="C663" s="22" t="s">
        <v>83</v>
      </c>
      <c r="D663" s="22" t="str">
        <f t="array" ref="D663">CONCATENATE(INDEX(DropdownLists!$H$2:$H$11,MATCH(1,COUNTIF('Ingest Template'!E663,"*"&amp;DropdownLists!$I$2:$I$11&amp;"*"),0)),CHAR(10),'Ingest Template'!F663,CHAR(10),'Ingest Template'!G663,CHAR(10),VLOOKUP('Ingest Template'!D663,DropdownLists!C:D,2,FALSE))</f>
        <v>#N/A</v>
      </c>
      <c r="E663" s="22" t="str">
        <f>CONCATENATE('Ingest Template'!H663,CHAR(10),'Ingest Template'!I663,CHAR(10),'Ingest Template'!J663,CHAR(10))</f>
        <v>
</v>
      </c>
      <c r="F663" s="35" t="str">
        <f t="array" ref="F663">INDEX(DropdownLists!$O$2:$O$36,MATCH(1,COUNTIF(E663,"*"&amp;DropdownLists!$N$2:$N$36&amp;"*"),0))</f>
        <v/>
      </c>
      <c r="G663" s="35"/>
      <c r="H663" s="22" t="str">
        <f t="array" ref="H663">INDEX(DropdownLists!$E$2:$E$276,MATCH('Ingest Template'!D663,DropdownLists!$C$2:$C$276,0))</f>
        <v>#N/A</v>
      </c>
      <c r="I663" s="22"/>
      <c r="J663" s="22" t="str">
        <f t="array" ref="J663">iF('Ingest Template'!A663="Standard","Pristine Brand",INDEX(DropdownLists!$B$2:$B$246,MATCH('Ingest Template'!D663,DropdownLists!$C$2:$C$246,0)))</f>
        <v>#N/A</v>
      </c>
      <c r="K663" s="22" t="str">
        <f>iF('Ingest Template'!A663="Standard",'Ingest Template'!K663&amp;CHAR(10)&amp;'Ingest Template'!L663,"Competitive View")</f>
        <v>Competitive View</v>
      </c>
      <c r="L663" s="22" t="s">
        <v>95</v>
      </c>
      <c r="M663" s="45" t="str">
        <f>'Ingest Template'!B663</f>
        <v/>
      </c>
      <c r="N663" s="35"/>
      <c r="O663" s="35"/>
      <c r="P663" s="35"/>
      <c r="Q663" s="35"/>
      <c r="R663" s="35" t="str">
        <f>'Ingest Template'!D663</f>
        <v/>
      </c>
      <c r="S663" s="22" t="s">
        <v>101</v>
      </c>
      <c r="T663" s="35" t="str">
        <f>'Ingest Template'!V663</f>
        <v/>
      </c>
      <c r="U663" s="35" t="str">
        <f>'Ingest Template'!W663</f>
        <v/>
      </c>
      <c r="V663" s="35" t="str">
        <f>LOWER(SUBSTITUTE(SUBSTITUTE(SUBSTITUTE(SUBSTITUTE(SUBSTITUTE('Ingest Template'!X663,"https:",""),"www.",""),"/",""),"?hl=en",""),"instagram.com",""))</f>
        <v/>
      </c>
      <c r="W663" s="74" t="str">
        <f t="array" ref="W663">IF(
'Ingest Template'!Y663="",
SUBSTITUTE(
INDEX(DropdownLists!$F$2:$F$277,MATCH('Ingest Template'!D663,DropdownLists!$C$2:$C$277,0)),
CHAR(10),
"|"&amp;'Ingest Template'!C663&amp;CHAR(10)
)&amp;"|"&amp;'Ingest Template'!C663,
SUBSTITUTE(
INDEX(DropdownLists!$F$2:$F$277,MATCH('Ingest Template'!D663,DropdownLists!$C$2:$C$277,0)),
CHAR(10),
"|"&amp;'Ingest Template'!C663&amp;CHAR(10)
)&amp;"|"&amp;'Ingest Template'!C663&amp;CHAR(10)&amp;'Ingest Template'!Y663
)</f>
        <v>#N/A</v>
      </c>
      <c r="X663" s="74" t="str">
        <f>'Ingest Template'!Z663</f>
        <v/>
      </c>
      <c r="Y663" s="35" t="str">
        <f>SUBSTITUTE(SUBSTITUTE(SUBSTITUTE('Ingest Template'!AA663,"http:",""),"https:",""),"/","")</f>
        <v/>
      </c>
      <c r="Z663" s="35" t="str">
        <f t="array" ref="Z663">IF('Ingest Template'!A663="Standard",(IF(ISBLANK('Ingest Template'!AB663),"", 'Ingest Template'!AB663&amp;"|DAR")),(IF(ISBLANK('Ingest Template'!AB663),"", 'Ingest Template'!AB663&amp;"|TV Ops")))</f>
        <v/>
      </c>
      <c r="AA663" s="35"/>
      <c r="AB663" s="35" t="str">
        <f>'Ingest Template'!R663</f>
        <v/>
      </c>
      <c r="AC663" s="35" t="str">
        <f>'Ingest Template'!T663</f>
        <v/>
      </c>
      <c r="AD663" s="35" t="str">
        <f>'Ingest Template'!S663</f>
        <v/>
      </c>
      <c r="AE663" s="35" t="str">
        <f>'Ingest Template'!U663</f>
        <v/>
      </c>
      <c r="AF663" s="22"/>
      <c r="AG663" s="35" t="str">
        <f t="array" ref="AG663">IF('Ingest Template'!A663="Standard",(CONCATENATE(IF(ISBLANK('Ingest Template'!N663),"", 'Ingest Template'!N663&amp;"|DAR"),CHAR(10), IF(ISBLANK('Ingest Template'!O663),"", 'Ingest Template'!O663&amp;"|DAR"),CHAR(10), IF(ISBLANK('Ingest Template'!P663),"", 'Ingest Template'!P663&amp;"|DAR"))),(CONCATENATE(IF(ISBLANK('Ingest Template'!N663),"", 'Ingest Template'!N663&amp;"|TV Ops"),CHAR(10), IF(ISBLANK('Ingest Template'!O663),"", 'Ingest Template'!O663&amp;"|TV Ops"),CHAR(10), IF(ISBLANK('Ingest Template'!P663),"", 'Ingest Template'!P663&amp;"|TV Ops"))))</f>
        <v>
</v>
      </c>
      <c r="AH663" s="35"/>
      <c r="AI663" s="35"/>
      <c r="AJ663" s="117" t="str">
        <f>if('Ingest Template'!A663="Standard",(IF(OR('Ingest Template'!F663 = "Program Type - Special", 'Ingest Template'!F663 = "Program Type - Live Event"),'Ingest Template'!M663&amp; "|DAR|DAR|"&amp;TEXT('Ingest Template'!C663-3, "yyyy-mm-dd")&amp;"|"&amp;TEXT('Ingest Template'!C663+3, "yyyy-mm-dd"),'Ingest Template'!M663&amp; "|DAR|DAR|2021-01-01")),(IF(OR('Ingest Template'!F663 = "Program Type - Special", 'Ingest Template'!F663 = "Program Type - Live Event"),'Ingest Template'!M663&amp; "|Operations - Core Title|Operations - Core Title|"&amp;TEXT('Ingest Template'!C663-3, "yyyy-mm-dd")&amp;"|"&amp;TEXT('Ingest Template'!C663+3, "yyyy-mm-dd"),'Ingest Template'!M663&amp; "|Operations - Core Title|Operations - Core Title")))</f>
        <v>|Operations - Core Title|Operations - Core Title</v>
      </c>
      <c r="AK663" s="35"/>
      <c r="AL663" s="117" t="str">
        <f>if('Ingest Template'!A663="Standard",(IF(OR('Ingest Template'!F663 = "Program Type - Special", 'Ingest Template'!F663 = "Program Type - Live Event"),'Ingest Template'!Q663&amp;"|"&amp;TEXT('Ingest Template'!C663-3, "yyyy-mm-dd")&amp;"|"&amp;TEXT('Ingest Template'!C663+3, "yyyy-mm-dd"),'Ingest Template'!Q663&amp; "|2021-01-01")),(IF(OR('Ingest Template'!F663 = "Program Type - Special", 'Ingest Template'!F663 = "Program Type - Live Event"),'Ingest Template'!Q663&amp; "|"&amp;TEXT('Ingest Template'!C663-3, "yyyy-mm-dd")&amp;"|"&amp;TEXT('Ingest Template'!C663+3, "yyyy-mm-dd"),'Ingest Template'!Q663)))</f>
        <v/>
      </c>
      <c r="AM663" s="35" t="str">
        <f>'Ingest Template'!AC663</f>
        <v/>
      </c>
    </row>
    <row r="664">
      <c r="A664" s="15"/>
      <c r="B664" s="22" t="str">
        <f>'Ingest Template'!C664&amp;IF('Ingest Template'!A664 = "Standard", " - DAR","")</f>
        <v/>
      </c>
      <c r="C664" s="22" t="s">
        <v>83</v>
      </c>
      <c r="D664" s="22" t="str">
        <f t="array" ref="D664">CONCATENATE(INDEX(DropdownLists!$H$2:$H$11,MATCH(1,COUNTIF('Ingest Template'!E664,"*"&amp;DropdownLists!$I$2:$I$11&amp;"*"),0)),CHAR(10),'Ingest Template'!F664,CHAR(10),'Ingest Template'!G664,CHAR(10),VLOOKUP('Ingest Template'!D664,DropdownLists!C:D,2,FALSE))</f>
        <v>#N/A</v>
      </c>
      <c r="E664" s="22" t="str">
        <f>CONCATENATE('Ingest Template'!H664,CHAR(10),'Ingest Template'!I664,CHAR(10),'Ingest Template'!J664,CHAR(10))</f>
        <v>
</v>
      </c>
      <c r="F664" s="35" t="str">
        <f t="array" ref="F664">INDEX(DropdownLists!$O$2:$O$36,MATCH(1,COUNTIF(E664,"*"&amp;DropdownLists!$N$2:$N$36&amp;"*"),0))</f>
        <v/>
      </c>
      <c r="G664" s="35"/>
      <c r="H664" s="22" t="str">
        <f t="array" ref="H664">INDEX(DropdownLists!$E$2:$E$276,MATCH('Ingest Template'!D664,DropdownLists!$C$2:$C$276,0))</f>
        <v>#N/A</v>
      </c>
      <c r="I664" s="22"/>
      <c r="J664" s="22" t="str">
        <f t="array" ref="J664">iF('Ingest Template'!A664="Standard","Pristine Brand",INDEX(DropdownLists!$B$2:$B$246,MATCH('Ingest Template'!D664,DropdownLists!$C$2:$C$246,0)))</f>
        <v>#N/A</v>
      </c>
      <c r="K664" s="22" t="str">
        <f>iF('Ingest Template'!A664="Standard",'Ingest Template'!K664&amp;CHAR(10)&amp;'Ingest Template'!L664,"Competitive View")</f>
        <v>Competitive View</v>
      </c>
      <c r="L664" s="22" t="s">
        <v>95</v>
      </c>
      <c r="M664" s="45" t="str">
        <f>'Ingest Template'!B664</f>
        <v/>
      </c>
      <c r="N664" s="35"/>
      <c r="O664" s="35"/>
      <c r="P664" s="35"/>
      <c r="Q664" s="35"/>
      <c r="R664" s="35" t="str">
        <f>'Ingest Template'!D664</f>
        <v/>
      </c>
      <c r="S664" s="22" t="s">
        <v>101</v>
      </c>
      <c r="T664" s="35" t="str">
        <f>'Ingest Template'!V664</f>
        <v/>
      </c>
      <c r="U664" s="35" t="str">
        <f>'Ingest Template'!W664</f>
        <v/>
      </c>
      <c r="V664" s="35" t="str">
        <f>LOWER(SUBSTITUTE(SUBSTITUTE(SUBSTITUTE(SUBSTITUTE(SUBSTITUTE('Ingest Template'!X664,"https:",""),"www.",""),"/",""),"?hl=en",""),"instagram.com",""))</f>
        <v/>
      </c>
      <c r="W664" s="74" t="str">
        <f t="array" ref="W664">IF(
'Ingest Template'!Y664="",
SUBSTITUTE(
INDEX(DropdownLists!$F$2:$F$277,MATCH('Ingest Template'!D664,DropdownLists!$C$2:$C$277,0)),
CHAR(10),
"|"&amp;'Ingest Template'!C664&amp;CHAR(10)
)&amp;"|"&amp;'Ingest Template'!C664,
SUBSTITUTE(
INDEX(DropdownLists!$F$2:$F$277,MATCH('Ingest Template'!D664,DropdownLists!$C$2:$C$277,0)),
CHAR(10),
"|"&amp;'Ingest Template'!C664&amp;CHAR(10)
)&amp;"|"&amp;'Ingest Template'!C664&amp;CHAR(10)&amp;'Ingest Template'!Y664
)</f>
        <v>#N/A</v>
      </c>
      <c r="X664" s="74" t="str">
        <f>'Ingest Template'!Z664</f>
        <v/>
      </c>
      <c r="Y664" s="35" t="str">
        <f>SUBSTITUTE(SUBSTITUTE(SUBSTITUTE('Ingest Template'!AA664,"http:",""),"https:",""),"/","")</f>
        <v/>
      </c>
      <c r="Z664" s="35" t="str">
        <f t="array" ref="Z664">IF('Ingest Template'!A664="Standard",(IF(ISBLANK('Ingest Template'!AB664),"", 'Ingest Template'!AB664&amp;"|DAR")),(IF(ISBLANK('Ingest Template'!AB664),"", 'Ingest Template'!AB664&amp;"|TV Ops")))</f>
        <v/>
      </c>
      <c r="AA664" s="35"/>
      <c r="AB664" s="35" t="str">
        <f>'Ingest Template'!R664</f>
        <v/>
      </c>
      <c r="AC664" s="35" t="str">
        <f>'Ingest Template'!T664</f>
        <v/>
      </c>
      <c r="AD664" s="35" t="str">
        <f>'Ingest Template'!S664</f>
        <v/>
      </c>
      <c r="AE664" s="35" t="str">
        <f>'Ingest Template'!U664</f>
        <v/>
      </c>
      <c r="AF664" s="22"/>
      <c r="AG664" s="35" t="str">
        <f t="array" ref="AG664">IF('Ingest Template'!A664="Standard",(CONCATENATE(IF(ISBLANK('Ingest Template'!N664),"", 'Ingest Template'!N664&amp;"|DAR"),CHAR(10), IF(ISBLANK('Ingest Template'!O664),"", 'Ingest Template'!O664&amp;"|DAR"),CHAR(10), IF(ISBLANK('Ingest Template'!P664),"", 'Ingest Template'!P664&amp;"|DAR"))),(CONCATENATE(IF(ISBLANK('Ingest Template'!N664),"", 'Ingest Template'!N664&amp;"|TV Ops"),CHAR(10), IF(ISBLANK('Ingest Template'!O664),"", 'Ingest Template'!O664&amp;"|TV Ops"),CHAR(10), IF(ISBLANK('Ingest Template'!P664),"", 'Ingest Template'!P664&amp;"|TV Ops"))))</f>
        <v>
</v>
      </c>
      <c r="AH664" s="35"/>
      <c r="AI664" s="35"/>
      <c r="AJ664" s="117" t="str">
        <f>if('Ingest Template'!A664="Standard",(IF(OR('Ingest Template'!F664 = "Program Type - Special", 'Ingest Template'!F664 = "Program Type - Live Event"),'Ingest Template'!M664&amp; "|DAR|DAR|"&amp;TEXT('Ingest Template'!C664-3, "yyyy-mm-dd")&amp;"|"&amp;TEXT('Ingest Template'!C664+3, "yyyy-mm-dd"),'Ingest Template'!M664&amp; "|DAR|DAR|2021-01-01")),(IF(OR('Ingest Template'!F664 = "Program Type - Special", 'Ingest Template'!F664 = "Program Type - Live Event"),'Ingest Template'!M664&amp; "|Operations - Core Title|Operations - Core Title|"&amp;TEXT('Ingest Template'!C664-3, "yyyy-mm-dd")&amp;"|"&amp;TEXT('Ingest Template'!C664+3, "yyyy-mm-dd"),'Ingest Template'!M664&amp; "|Operations - Core Title|Operations - Core Title")))</f>
        <v>|Operations - Core Title|Operations - Core Title</v>
      </c>
      <c r="AK664" s="35"/>
      <c r="AL664" s="117" t="str">
        <f>if('Ingest Template'!A664="Standard",(IF(OR('Ingest Template'!F664 = "Program Type - Special", 'Ingest Template'!F664 = "Program Type - Live Event"),'Ingest Template'!Q664&amp;"|"&amp;TEXT('Ingest Template'!C664-3, "yyyy-mm-dd")&amp;"|"&amp;TEXT('Ingest Template'!C664+3, "yyyy-mm-dd"),'Ingest Template'!Q664&amp; "|2021-01-01")),(IF(OR('Ingest Template'!F664 = "Program Type - Special", 'Ingest Template'!F664 = "Program Type - Live Event"),'Ingest Template'!Q664&amp; "|"&amp;TEXT('Ingest Template'!C664-3, "yyyy-mm-dd")&amp;"|"&amp;TEXT('Ingest Template'!C664+3, "yyyy-mm-dd"),'Ingest Template'!Q664)))</f>
        <v/>
      </c>
      <c r="AM664" s="35" t="str">
        <f>'Ingest Template'!AC664</f>
        <v/>
      </c>
    </row>
    <row r="665">
      <c r="A665" s="15"/>
      <c r="B665" s="22" t="str">
        <f>'Ingest Template'!C665&amp;IF('Ingest Template'!A665 = "Standard", " - DAR","")</f>
        <v/>
      </c>
      <c r="C665" s="22" t="s">
        <v>83</v>
      </c>
      <c r="D665" s="22" t="str">
        <f t="array" ref="D665">CONCATENATE(INDEX(DropdownLists!$H$2:$H$11,MATCH(1,COUNTIF('Ingest Template'!E665,"*"&amp;DropdownLists!$I$2:$I$11&amp;"*"),0)),CHAR(10),'Ingest Template'!F665,CHAR(10),'Ingest Template'!G665,CHAR(10),VLOOKUP('Ingest Template'!D665,DropdownLists!C:D,2,FALSE))</f>
        <v>#N/A</v>
      </c>
      <c r="E665" s="22" t="str">
        <f>CONCATENATE('Ingest Template'!H665,CHAR(10),'Ingest Template'!I665,CHAR(10),'Ingest Template'!J665,CHAR(10))</f>
        <v>
</v>
      </c>
      <c r="F665" s="35" t="str">
        <f t="array" ref="F665">INDEX(DropdownLists!$O$2:$O$36,MATCH(1,COUNTIF(E665,"*"&amp;DropdownLists!$N$2:$N$36&amp;"*"),0))</f>
        <v/>
      </c>
      <c r="G665" s="35"/>
      <c r="H665" s="22" t="str">
        <f t="array" ref="H665">INDEX(DropdownLists!$E$2:$E$276,MATCH('Ingest Template'!D665,DropdownLists!$C$2:$C$276,0))</f>
        <v>#N/A</v>
      </c>
      <c r="I665" s="22"/>
      <c r="J665" s="22" t="str">
        <f t="array" ref="J665">iF('Ingest Template'!A665="Standard","Pristine Brand",INDEX(DropdownLists!$B$2:$B$246,MATCH('Ingest Template'!D665,DropdownLists!$C$2:$C$246,0)))</f>
        <v>#N/A</v>
      </c>
      <c r="K665" s="22" t="str">
        <f>iF('Ingest Template'!A665="Standard",'Ingest Template'!K665&amp;CHAR(10)&amp;'Ingest Template'!L665,"Competitive View")</f>
        <v>Competitive View</v>
      </c>
      <c r="L665" s="22" t="s">
        <v>95</v>
      </c>
      <c r="M665" s="45" t="str">
        <f>'Ingest Template'!B665</f>
        <v/>
      </c>
      <c r="N665" s="35"/>
      <c r="O665" s="35"/>
      <c r="P665" s="35"/>
      <c r="Q665" s="35"/>
      <c r="R665" s="35" t="str">
        <f>'Ingest Template'!D665</f>
        <v/>
      </c>
      <c r="S665" s="22" t="s">
        <v>101</v>
      </c>
      <c r="T665" s="35" t="str">
        <f>'Ingest Template'!V665</f>
        <v/>
      </c>
      <c r="U665" s="35" t="str">
        <f>'Ingest Template'!W665</f>
        <v/>
      </c>
      <c r="V665" s="35" t="str">
        <f>LOWER(SUBSTITUTE(SUBSTITUTE(SUBSTITUTE(SUBSTITUTE(SUBSTITUTE('Ingest Template'!X665,"https:",""),"www.",""),"/",""),"?hl=en",""),"instagram.com",""))</f>
        <v/>
      </c>
      <c r="W665" s="74" t="str">
        <f t="array" ref="W665">IF(
'Ingest Template'!Y665="",
SUBSTITUTE(
INDEX(DropdownLists!$F$2:$F$277,MATCH('Ingest Template'!D665,DropdownLists!$C$2:$C$277,0)),
CHAR(10),
"|"&amp;'Ingest Template'!C665&amp;CHAR(10)
)&amp;"|"&amp;'Ingest Template'!C665,
SUBSTITUTE(
INDEX(DropdownLists!$F$2:$F$277,MATCH('Ingest Template'!D665,DropdownLists!$C$2:$C$277,0)),
CHAR(10),
"|"&amp;'Ingest Template'!C665&amp;CHAR(10)
)&amp;"|"&amp;'Ingest Template'!C665&amp;CHAR(10)&amp;'Ingest Template'!Y665
)</f>
        <v>#N/A</v>
      </c>
      <c r="X665" s="74" t="str">
        <f>'Ingest Template'!Z665</f>
        <v/>
      </c>
      <c r="Y665" s="35" t="str">
        <f>SUBSTITUTE(SUBSTITUTE(SUBSTITUTE('Ingest Template'!AA665,"http:",""),"https:",""),"/","")</f>
        <v/>
      </c>
      <c r="Z665" s="35" t="str">
        <f t="array" ref="Z665">IF('Ingest Template'!A665="Standard",(IF(ISBLANK('Ingest Template'!AB665),"", 'Ingest Template'!AB665&amp;"|DAR")),(IF(ISBLANK('Ingest Template'!AB665),"", 'Ingest Template'!AB665&amp;"|TV Ops")))</f>
        <v/>
      </c>
      <c r="AA665" s="35"/>
      <c r="AB665" s="35" t="str">
        <f>'Ingest Template'!R665</f>
        <v/>
      </c>
      <c r="AC665" s="35" t="str">
        <f>'Ingest Template'!T665</f>
        <v/>
      </c>
      <c r="AD665" s="35" t="str">
        <f>'Ingest Template'!S665</f>
        <v/>
      </c>
      <c r="AE665" s="35" t="str">
        <f>'Ingest Template'!U665</f>
        <v/>
      </c>
      <c r="AF665" s="22"/>
      <c r="AG665" s="35" t="str">
        <f t="array" ref="AG665">IF('Ingest Template'!A665="Standard",(CONCATENATE(IF(ISBLANK('Ingest Template'!N665),"", 'Ingest Template'!N665&amp;"|DAR"),CHAR(10), IF(ISBLANK('Ingest Template'!O665),"", 'Ingest Template'!O665&amp;"|DAR"),CHAR(10), IF(ISBLANK('Ingest Template'!P665),"", 'Ingest Template'!P665&amp;"|DAR"))),(CONCATENATE(IF(ISBLANK('Ingest Template'!N665),"", 'Ingest Template'!N665&amp;"|TV Ops"),CHAR(10), IF(ISBLANK('Ingest Template'!O665),"", 'Ingest Template'!O665&amp;"|TV Ops"),CHAR(10), IF(ISBLANK('Ingest Template'!P665),"", 'Ingest Template'!P665&amp;"|TV Ops"))))</f>
        <v>
</v>
      </c>
      <c r="AH665" s="35"/>
      <c r="AI665" s="35"/>
      <c r="AJ665" s="117" t="str">
        <f>if('Ingest Template'!A665="Standard",(IF(OR('Ingest Template'!F665 = "Program Type - Special", 'Ingest Template'!F665 = "Program Type - Live Event"),'Ingest Template'!M665&amp; "|DAR|DAR|"&amp;TEXT('Ingest Template'!C665-3, "yyyy-mm-dd")&amp;"|"&amp;TEXT('Ingest Template'!C665+3, "yyyy-mm-dd"),'Ingest Template'!M665&amp; "|DAR|DAR|2021-01-01")),(IF(OR('Ingest Template'!F665 = "Program Type - Special", 'Ingest Template'!F665 = "Program Type - Live Event"),'Ingest Template'!M665&amp; "|Operations - Core Title|Operations - Core Title|"&amp;TEXT('Ingest Template'!C665-3, "yyyy-mm-dd")&amp;"|"&amp;TEXT('Ingest Template'!C665+3, "yyyy-mm-dd"),'Ingest Template'!M665&amp; "|Operations - Core Title|Operations - Core Title")))</f>
        <v>|Operations - Core Title|Operations - Core Title</v>
      </c>
      <c r="AK665" s="35"/>
      <c r="AL665" s="117" t="str">
        <f>if('Ingest Template'!A665="Standard",(IF(OR('Ingest Template'!F665 = "Program Type - Special", 'Ingest Template'!F665 = "Program Type - Live Event"),'Ingest Template'!Q665&amp;"|"&amp;TEXT('Ingest Template'!C665-3, "yyyy-mm-dd")&amp;"|"&amp;TEXT('Ingest Template'!C665+3, "yyyy-mm-dd"),'Ingest Template'!Q665&amp; "|2021-01-01")),(IF(OR('Ingest Template'!F665 = "Program Type - Special", 'Ingest Template'!F665 = "Program Type - Live Event"),'Ingest Template'!Q665&amp; "|"&amp;TEXT('Ingest Template'!C665-3, "yyyy-mm-dd")&amp;"|"&amp;TEXT('Ingest Template'!C665+3, "yyyy-mm-dd"),'Ingest Template'!Q665)))</f>
        <v/>
      </c>
      <c r="AM665" s="35" t="str">
        <f>'Ingest Template'!AC665</f>
        <v/>
      </c>
    </row>
    <row r="666">
      <c r="A666" s="15"/>
      <c r="B666" s="22" t="str">
        <f>'Ingest Template'!C666&amp;IF('Ingest Template'!A666 = "Standard", " - DAR","")</f>
        <v/>
      </c>
      <c r="C666" s="22" t="s">
        <v>83</v>
      </c>
      <c r="D666" s="22" t="str">
        <f t="array" ref="D666">CONCATENATE(INDEX(DropdownLists!$H$2:$H$11,MATCH(1,COUNTIF('Ingest Template'!E666,"*"&amp;DropdownLists!$I$2:$I$11&amp;"*"),0)),CHAR(10),'Ingest Template'!F666,CHAR(10),'Ingest Template'!G666,CHAR(10),VLOOKUP('Ingest Template'!D666,DropdownLists!C:D,2,FALSE))</f>
        <v>#N/A</v>
      </c>
      <c r="E666" s="22" t="str">
        <f>CONCATENATE('Ingest Template'!H666,CHAR(10),'Ingest Template'!I666,CHAR(10),'Ingest Template'!J666,CHAR(10))</f>
        <v>
</v>
      </c>
      <c r="F666" s="35" t="str">
        <f t="array" ref="F666">INDEX(DropdownLists!$O$2:$O$36,MATCH(1,COUNTIF(E666,"*"&amp;DropdownLists!$N$2:$N$36&amp;"*"),0))</f>
        <v/>
      </c>
      <c r="G666" s="35"/>
      <c r="H666" s="22" t="str">
        <f t="array" ref="H666">INDEX(DropdownLists!$E$2:$E$276,MATCH('Ingest Template'!D666,DropdownLists!$C$2:$C$276,0))</f>
        <v>#N/A</v>
      </c>
      <c r="I666" s="22"/>
      <c r="J666" s="22" t="str">
        <f t="array" ref="J666">iF('Ingest Template'!A666="Standard","Pristine Brand",INDEX(DropdownLists!$B$2:$B$246,MATCH('Ingest Template'!D666,DropdownLists!$C$2:$C$246,0)))</f>
        <v>#N/A</v>
      </c>
      <c r="K666" s="22" t="str">
        <f>iF('Ingest Template'!A666="Standard",'Ingest Template'!K666&amp;CHAR(10)&amp;'Ingest Template'!L666,"Competitive View")</f>
        <v>Competitive View</v>
      </c>
      <c r="L666" s="22" t="s">
        <v>95</v>
      </c>
      <c r="M666" s="45" t="str">
        <f>'Ingest Template'!B666</f>
        <v/>
      </c>
      <c r="N666" s="35"/>
      <c r="O666" s="35"/>
      <c r="P666" s="35"/>
      <c r="Q666" s="35"/>
      <c r="R666" s="35" t="str">
        <f>'Ingest Template'!D666</f>
        <v/>
      </c>
      <c r="S666" s="22" t="s">
        <v>101</v>
      </c>
      <c r="T666" s="35" t="str">
        <f>'Ingest Template'!V666</f>
        <v/>
      </c>
      <c r="U666" s="35" t="str">
        <f>'Ingest Template'!W666</f>
        <v/>
      </c>
      <c r="V666" s="35" t="str">
        <f>LOWER(SUBSTITUTE(SUBSTITUTE(SUBSTITUTE(SUBSTITUTE(SUBSTITUTE('Ingest Template'!X666,"https:",""),"www.",""),"/",""),"?hl=en",""),"instagram.com",""))</f>
        <v/>
      </c>
      <c r="W666" s="74" t="str">
        <f t="array" ref="W666">IF(
'Ingest Template'!Y666="",
SUBSTITUTE(
INDEX(DropdownLists!$F$2:$F$277,MATCH('Ingest Template'!D666,DropdownLists!$C$2:$C$277,0)),
CHAR(10),
"|"&amp;'Ingest Template'!C666&amp;CHAR(10)
)&amp;"|"&amp;'Ingest Template'!C666,
SUBSTITUTE(
INDEX(DropdownLists!$F$2:$F$277,MATCH('Ingest Template'!D666,DropdownLists!$C$2:$C$277,0)),
CHAR(10),
"|"&amp;'Ingest Template'!C666&amp;CHAR(10)
)&amp;"|"&amp;'Ingest Template'!C666&amp;CHAR(10)&amp;'Ingest Template'!Y666
)</f>
        <v>#N/A</v>
      </c>
      <c r="X666" s="74" t="str">
        <f>'Ingest Template'!Z666</f>
        <v/>
      </c>
      <c r="Y666" s="35" t="str">
        <f>SUBSTITUTE(SUBSTITUTE(SUBSTITUTE('Ingest Template'!AA666,"http:",""),"https:",""),"/","")</f>
        <v/>
      </c>
      <c r="Z666" s="35" t="str">
        <f t="array" ref="Z666">IF('Ingest Template'!A666="Standard",(IF(ISBLANK('Ingest Template'!AB666),"", 'Ingest Template'!AB666&amp;"|DAR")),(IF(ISBLANK('Ingest Template'!AB666),"", 'Ingest Template'!AB666&amp;"|TV Ops")))</f>
        <v/>
      </c>
      <c r="AA666" s="35"/>
      <c r="AB666" s="35" t="str">
        <f>'Ingest Template'!R666</f>
        <v/>
      </c>
      <c r="AC666" s="35" t="str">
        <f>'Ingest Template'!T666</f>
        <v/>
      </c>
      <c r="AD666" s="35" t="str">
        <f>'Ingest Template'!S666</f>
        <v/>
      </c>
      <c r="AE666" s="35" t="str">
        <f>'Ingest Template'!U666</f>
        <v/>
      </c>
      <c r="AF666" s="22"/>
      <c r="AG666" s="35" t="str">
        <f t="array" ref="AG666">IF('Ingest Template'!A666="Standard",(CONCATENATE(IF(ISBLANK('Ingest Template'!N666),"", 'Ingest Template'!N666&amp;"|DAR"),CHAR(10), IF(ISBLANK('Ingest Template'!O666),"", 'Ingest Template'!O666&amp;"|DAR"),CHAR(10), IF(ISBLANK('Ingest Template'!P666),"", 'Ingest Template'!P666&amp;"|DAR"))),(CONCATENATE(IF(ISBLANK('Ingest Template'!N666),"", 'Ingest Template'!N666&amp;"|TV Ops"),CHAR(10), IF(ISBLANK('Ingest Template'!O666),"", 'Ingest Template'!O666&amp;"|TV Ops"),CHAR(10), IF(ISBLANK('Ingest Template'!P666),"", 'Ingest Template'!P666&amp;"|TV Ops"))))</f>
        <v>
</v>
      </c>
      <c r="AH666" s="35"/>
      <c r="AI666" s="35"/>
      <c r="AJ666" s="117" t="str">
        <f>if('Ingest Template'!A666="Standard",(IF(OR('Ingest Template'!F666 = "Program Type - Special", 'Ingest Template'!F666 = "Program Type - Live Event"),'Ingest Template'!M666&amp; "|DAR|DAR|"&amp;TEXT('Ingest Template'!C666-3, "yyyy-mm-dd")&amp;"|"&amp;TEXT('Ingest Template'!C666+3, "yyyy-mm-dd"),'Ingest Template'!M666&amp; "|DAR|DAR|2021-01-01")),(IF(OR('Ingest Template'!F666 = "Program Type - Special", 'Ingest Template'!F666 = "Program Type - Live Event"),'Ingest Template'!M666&amp; "|Operations - Core Title|Operations - Core Title|"&amp;TEXT('Ingest Template'!C666-3, "yyyy-mm-dd")&amp;"|"&amp;TEXT('Ingest Template'!C666+3, "yyyy-mm-dd"),'Ingest Template'!M666&amp; "|Operations - Core Title|Operations - Core Title")))</f>
        <v>|Operations - Core Title|Operations - Core Title</v>
      </c>
      <c r="AK666" s="35"/>
      <c r="AL666" s="117" t="str">
        <f>if('Ingest Template'!A666="Standard",(IF(OR('Ingest Template'!F666 = "Program Type - Special", 'Ingest Template'!F666 = "Program Type - Live Event"),'Ingest Template'!Q666&amp;"|"&amp;TEXT('Ingest Template'!C666-3, "yyyy-mm-dd")&amp;"|"&amp;TEXT('Ingest Template'!C666+3, "yyyy-mm-dd"),'Ingest Template'!Q666&amp; "|2021-01-01")),(IF(OR('Ingest Template'!F666 = "Program Type - Special", 'Ingest Template'!F666 = "Program Type - Live Event"),'Ingest Template'!Q666&amp; "|"&amp;TEXT('Ingest Template'!C666-3, "yyyy-mm-dd")&amp;"|"&amp;TEXT('Ingest Template'!C666+3, "yyyy-mm-dd"),'Ingest Template'!Q666)))</f>
        <v/>
      </c>
      <c r="AM666" s="35" t="str">
        <f>'Ingest Template'!AC666</f>
        <v/>
      </c>
    </row>
    <row r="667">
      <c r="A667" s="15"/>
      <c r="B667" s="22" t="str">
        <f>'Ingest Template'!C667&amp;IF('Ingest Template'!A667 = "Standard", " - DAR","")</f>
        <v/>
      </c>
      <c r="C667" s="22" t="s">
        <v>83</v>
      </c>
      <c r="D667" s="22" t="str">
        <f t="array" ref="D667">CONCATENATE(INDEX(DropdownLists!$H$2:$H$11,MATCH(1,COUNTIF('Ingest Template'!E667,"*"&amp;DropdownLists!$I$2:$I$11&amp;"*"),0)),CHAR(10),'Ingest Template'!F667,CHAR(10),'Ingest Template'!G667,CHAR(10),VLOOKUP('Ingest Template'!D667,DropdownLists!C:D,2,FALSE))</f>
        <v>#N/A</v>
      </c>
      <c r="E667" s="22" t="str">
        <f>CONCATENATE('Ingest Template'!H667,CHAR(10),'Ingest Template'!I667,CHAR(10),'Ingest Template'!J667,CHAR(10))</f>
        <v>
</v>
      </c>
      <c r="F667" s="35" t="str">
        <f t="array" ref="F667">INDEX(DropdownLists!$O$2:$O$36,MATCH(1,COUNTIF(E667,"*"&amp;DropdownLists!$N$2:$N$36&amp;"*"),0))</f>
        <v/>
      </c>
      <c r="G667" s="35"/>
      <c r="H667" s="22" t="str">
        <f t="array" ref="H667">INDEX(DropdownLists!$E$2:$E$276,MATCH('Ingest Template'!D667,DropdownLists!$C$2:$C$276,0))</f>
        <v>#N/A</v>
      </c>
      <c r="I667" s="22"/>
      <c r="J667" s="22" t="str">
        <f t="array" ref="J667">iF('Ingest Template'!A667="Standard","Pristine Brand",INDEX(DropdownLists!$B$2:$B$246,MATCH('Ingest Template'!D667,DropdownLists!$C$2:$C$246,0)))</f>
        <v>#N/A</v>
      </c>
      <c r="K667" s="22" t="str">
        <f>iF('Ingest Template'!A667="Standard",'Ingest Template'!K667&amp;CHAR(10)&amp;'Ingest Template'!L667,"Competitive View")</f>
        <v>Competitive View</v>
      </c>
      <c r="L667" s="22" t="s">
        <v>95</v>
      </c>
      <c r="M667" s="45" t="str">
        <f>'Ingest Template'!B667</f>
        <v/>
      </c>
      <c r="N667" s="35"/>
      <c r="O667" s="35"/>
      <c r="P667" s="35"/>
      <c r="Q667" s="35"/>
      <c r="R667" s="35" t="str">
        <f>'Ingest Template'!D667</f>
        <v/>
      </c>
      <c r="S667" s="22" t="s">
        <v>101</v>
      </c>
      <c r="T667" s="35" t="str">
        <f>'Ingest Template'!V667</f>
        <v/>
      </c>
      <c r="U667" s="35" t="str">
        <f>'Ingest Template'!W667</f>
        <v/>
      </c>
      <c r="V667" s="35" t="str">
        <f>LOWER(SUBSTITUTE(SUBSTITUTE(SUBSTITUTE(SUBSTITUTE(SUBSTITUTE('Ingest Template'!X667,"https:",""),"www.",""),"/",""),"?hl=en",""),"instagram.com",""))</f>
        <v/>
      </c>
      <c r="W667" s="74" t="str">
        <f t="array" ref="W667">IF(
'Ingest Template'!Y667="",
SUBSTITUTE(
INDEX(DropdownLists!$F$2:$F$277,MATCH('Ingest Template'!D667,DropdownLists!$C$2:$C$277,0)),
CHAR(10),
"|"&amp;'Ingest Template'!C667&amp;CHAR(10)
)&amp;"|"&amp;'Ingest Template'!C667,
SUBSTITUTE(
INDEX(DropdownLists!$F$2:$F$277,MATCH('Ingest Template'!D667,DropdownLists!$C$2:$C$277,0)),
CHAR(10),
"|"&amp;'Ingest Template'!C667&amp;CHAR(10)
)&amp;"|"&amp;'Ingest Template'!C667&amp;CHAR(10)&amp;'Ingest Template'!Y667
)</f>
        <v>#N/A</v>
      </c>
      <c r="X667" s="74" t="str">
        <f>'Ingest Template'!Z667</f>
        <v/>
      </c>
      <c r="Y667" s="35" t="str">
        <f>SUBSTITUTE(SUBSTITUTE(SUBSTITUTE('Ingest Template'!AA667,"http:",""),"https:",""),"/","")</f>
        <v/>
      </c>
      <c r="Z667" s="35" t="str">
        <f t="array" ref="Z667">IF('Ingest Template'!A667="Standard",(IF(ISBLANK('Ingest Template'!AB667),"", 'Ingest Template'!AB667&amp;"|DAR")),(IF(ISBLANK('Ingest Template'!AB667),"", 'Ingest Template'!AB667&amp;"|TV Ops")))</f>
        <v/>
      </c>
      <c r="AA667" s="35"/>
      <c r="AB667" s="35" t="str">
        <f>'Ingest Template'!R667</f>
        <v/>
      </c>
      <c r="AC667" s="35" t="str">
        <f>'Ingest Template'!T667</f>
        <v/>
      </c>
      <c r="AD667" s="35" t="str">
        <f>'Ingest Template'!S667</f>
        <v/>
      </c>
      <c r="AE667" s="35" t="str">
        <f>'Ingest Template'!U667</f>
        <v/>
      </c>
      <c r="AF667" s="22"/>
      <c r="AG667" s="35" t="str">
        <f t="array" ref="AG667">IF('Ingest Template'!A667="Standard",(CONCATENATE(IF(ISBLANK('Ingest Template'!N667),"", 'Ingest Template'!N667&amp;"|DAR"),CHAR(10), IF(ISBLANK('Ingest Template'!O667),"", 'Ingest Template'!O667&amp;"|DAR"),CHAR(10), IF(ISBLANK('Ingest Template'!P667),"", 'Ingest Template'!P667&amp;"|DAR"))),(CONCATENATE(IF(ISBLANK('Ingest Template'!N667),"", 'Ingest Template'!N667&amp;"|TV Ops"),CHAR(10), IF(ISBLANK('Ingest Template'!O667),"", 'Ingest Template'!O667&amp;"|TV Ops"),CHAR(10), IF(ISBLANK('Ingest Template'!P667),"", 'Ingest Template'!P667&amp;"|TV Ops"))))</f>
        <v>
</v>
      </c>
      <c r="AH667" s="35"/>
      <c r="AI667" s="35"/>
      <c r="AJ667" s="117" t="str">
        <f>if('Ingest Template'!A667="Standard",(IF(OR('Ingest Template'!F667 = "Program Type - Special", 'Ingest Template'!F667 = "Program Type - Live Event"),'Ingest Template'!M667&amp; "|DAR|DAR|"&amp;TEXT('Ingest Template'!C667-3, "yyyy-mm-dd")&amp;"|"&amp;TEXT('Ingest Template'!C667+3, "yyyy-mm-dd"),'Ingest Template'!M667&amp; "|DAR|DAR|2021-01-01")),(IF(OR('Ingest Template'!F667 = "Program Type - Special", 'Ingest Template'!F667 = "Program Type - Live Event"),'Ingest Template'!M667&amp; "|Operations - Core Title|Operations - Core Title|"&amp;TEXT('Ingest Template'!C667-3, "yyyy-mm-dd")&amp;"|"&amp;TEXT('Ingest Template'!C667+3, "yyyy-mm-dd"),'Ingest Template'!M667&amp; "|Operations - Core Title|Operations - Core Title")))</f>
        <v>|Operations - Core Title|Operations - Core Title</v>
      </c>
      <c r="AK667" s="35"/>
      <c r="AL667" s="117" t="str">
        <f>if('Ingest Template'!A667="Standard",(IF(OR('Ingest Template'!F667 = "Program Type - Special", 'Ingest Template'!F667 = "Program Type - Live Event"),'Ingest Template'!Q667&amp;"|"&amp;TEXT('Ingest Template'!C667-3, "yyyy-mm-dd")&amp;"|"&amp;TEXT('Ingest Template'!C667+3, "yyyy-mm-dd"),'Ingest Template'!Q667&amp; "|2021-01-01")),(IF(OR('Ingest Template'!F667 = "Program Type - Special", 'Ingest Template'!F667 = "Program Type - Live Event"),'Ingest Template'!Q667&amp; "|"&amp;TEXT('Ingest Template'!C667-3, "yyyy-mm-dd")&amp;"|"&amp;TEXT('Ingest Template'!C667+3, "yyyy-mm-dd"),'Ingest Template'!Q667)))</f>
        <v/>
      </c>
      <c r="AM667" s="35" t="str">
        <f>'Ingest Template'!AC667</f>
        <v/>
      </c>
    </row>
    <row r="668">
      <c r="A668" s="15"/>
      <c r="B668" s="22" t="str">
        <f>'Ingest Template'!C668&amp;IF('Ingest Template'!A668 = "Standard", " - DAR","")</f>
        <v/>
      </c>
      <c r="C668" s="22" t="s">
        <v>83</v>
      </c>
      <c r="D668" s="22" t="str">
        <f t="array" ref="D668">CONCATENATE(INDEX(DropdownLists!$H$2:$H$11,MATCH(1,COUNTIF('Ingest Template'!E668,"*"&amp;DropdownLists!$I$2:$I$11&amp;"*"),0)),CHAR(10),'Ingest Template'!F668,CHAR(10),'Ingest Template'!G668,CHAR(10),VLOOKUP('Ingest Template'!D668,DropdownLists!C:D,2,FALSE))</f>
        <v>#N/A</v>
      </c>
      <c r="E668" s="22" t="str">
        <f>CONCATENATE('Ingest Template'!H668,CHAR(10),'Ingest Template'!I668,CHAR(10),'Ingest Template'!J668,CHAR(10))</f>
        <v>
</v>
      </c>
      <c r="F668" s="35" t="str">
        <f t="array" ref="F668">INDEX(DropdownLists!$O$2:$O$36,MATCH(1,COUNTIF(E668,"*"&amp;DropdownLists!$N$2:$N$36&amp;"*"),0))</f>
        <v/>
      </c>
      <c r="G668" s="35"/>
      <c r="H668" s="22" t="str">
        <f t="array" ref="H668">INDEX(DropdownLists!$E$2:$E$276,MATCH('Ingest Template'!D668,DropdownLists!$C$2:$C$276,0))</f>
        <v>#N/A</v>
      </c>
      <c r="I668" s="22"/>
      <c r="J668" s="22" t="str">
        <f t="array" ref="J668">iF('Ingest Template'!A668="Standard","Pristine Brand",INDEX(DropdownLists!$B$2:$B$246,MATCH('Ingest Template'!D668,DropdownLists!$C$2:$C$246,0)))</f>
        <v>#N/A</v>
      </c>
      <c r="K668" s="22" t="str">
        <f>iF('Ingest Template'!A668="Standard",'Ingest Template'!K668&amp;CHAR(10)&amp;'Ingest Template'!L668,"Competitive View")</f>
        <v>Competitive View</v>
      </c>
      <c r="L668" s="22" t="s">
        <v>95</v>
      </c>
      <c r="M668" s="45" t="str">
        <f>'Ingest Template'!B668</f>
        <v/>
      </c>
      <c r="N668" s="35"/>
      <c r="O668" s="35"/>
      <c r="P668" s="35"/>
      <c r="Q668" s="35"/>
      <c r="R668" s="35" t="str">
        <f>'Ingest Template'!D668</f>
        <v/>
      </c>
      <c r="S668" s="22" t="s">
        <v>101</v>
      </c>
      <c r="T668" s="35" t="str">
        <f>'Ingest Template'!V668</f>
        <v/>
      </c>
      <c r="U668" s="35" t="str">
        <f>'Ingest Template'!W668</f>
        <v/>
      </c>
      <c r="V668" s="35" t="str">
        <f>LOWER(SUBSTITUTE(SUBSTITUTE(SUBSTITUTE(SUBSTITUTE(SUBSTITUTE('Ingest Template'!X668,"https:",""),"www.",""),"/",""),"?hl=en",""),"instagram.com",""))</f>
        <v/>
      </c>
      <c r="W668" s="74" t="str">
        <f t="array" ref="W668">IF(
'Ingest Template'!Y668="",
SUBSTITUTE(
INDEX(DropdownLists!$F$2:$F$277,MATCH('Ingest Template'!D668,DropdownLists!$C$2:$C$277,0)),
CHAR(10),
"|"&amp;'Ingest Template'!C668&amp;CHAR(10)
)&amp;"|"&amp;'Ingest Template'!C668,
SUBSTITUTE(
INDEX(DropdownLists!$F$2:$F$277,MATCH('Ingest Template'!D668,DropdownLists!$C$2:$C$277,0)),
CHAR(10),
"|"&amp;'Ingest Template'!C668&amp;CHAR(10)
)&amp;"|"&amp;'Ingest Template'!C668&amp;CHAR(10)&amp;'Ingest Template'!Y668
)</f>
        <v>#N/A</v>
      </c>
      <c r="X668" s="74" t="str">
        <f>'Ingest Template'!Z668</f>
        <v/>
      </c>
      <c r="Y668" s="35" t="str">
        <f>SUBSTITUTE(SUBSTITUTE(SUBSTITUTE('Ingest Template'!AA668,"http:",""),"https:",""),"/","")</f>
        <v/>
      </c>
      <c r="Z668" s="35" t="str">
        <f t="array" ref="Z668">IF('Ingest Template'!A668="Standard",(IF(ISBLANK('Ingest Template'!AB668),"", 'Ingest Template'!AB668&amp;"|DAR")),(IF(ISBLANK('Ingest Template'!AB668),"", 'Ingest Template'!AB668&amp;"|TV Ops")))</f>
        <v/>
      </c>
      <c r="AA668" s="35"/>
      <c r="AB668" s="35" t="str">
        <f>'Ingest Template'!R668</f>
        <v/>
      </c>
      <c r="AC668" s="35" t="str">
        <f>'Ingest Template'!T668</f>
        <v/>
      </c>
      <c r="AD668" s="35" t="str">
        <f>'Ingest Template'!S668</f>
        <v/>
      </c>
      <c r="AE668" s="35" t="str">
        <f>'Ingest Template'!U668</f>
        <v/>
      </c>
      <c r="AF668" s="22"/>
      <c r="AG668" s="35" t="str">
        <f t="array" ref="AG668">IF('Ingest Template'!A668="Standard",(CONCATENATE(IF(ISBLANK('Ingest Template'!N668),"", 'Ingest Template'!N668&amp;"|DAR"),CHAR(10), IF(ISBLANK('Ingest Template'!O668),"", 'Ingest Template'!O668&amp;"|DAR"),CHAR(10), IF(ISBLANK('Ingest Template'!P668),"", 'Ingest Template'!P668&amp;"|DAR"))),(CONCATENATE(IF(ISBLANK('Ingest Template'!N668),"", 'Ingest Template'!N668&amp;"|TV Ops"),CHAR(10), IF(ISBLANK('Ingest Template'!O668),"", 'Ingest Template'!O668&amp;"|TV Ops"),CHAR(10), IF(ISBLANK('Ingest Template'!P668),"", 'Ingest Template'!P668&amp;"|TV Ops"))))</f>
        <v>
</v>
      </c>
      <c r="AH668" s="35"/>
      <c r="AI668" s="35"/>
      <c r="AJ668" s="117" t="str">
        <f>if('Ingest Template'!A668="Standard",(IF(OR('Ingest Template'!F668 = "Program Type - Special", 'Ingest Template'!F668 = "Program Type - Live Event"),'Ingest Template'!M668&amp; "|DAR|DAR|"&amp;TEXT('Ingest Template'!C668-3, "yyyy-mm-dd")&amp;"|"&amp;TEXT('Ingest Template'!C668+3, "yyyy-mm-dd"),'Ingest Template'!M668&amp; "|DAR|DAR|2021-01-01")),(IF(OR('Ingest Template'!F668 = "Program Type - Special", 'Ingest Template'!F668 = "Program Type - Live Event"),'Ingest Template'!M668&amp; "|Operations - Core Title|Operations - Core Title|"&amp;TEXT('Ingest Template'!C668-3, "yyyy-mm-dd")&amp;"|"&amp;TEXT('Ingest Template'!C668+3, "yyyy-mm-dd"),'Ingest Template'!M668&amp; "|Operations - Core Title|Operations - Core Title")))</f>
        <v>|Operations - Core Title|Operations - Core Title</v>
      </c>
      <c r="AK668" s="35"/>
      <c r="AL668" s="117" t="str">
        <f>if('Ingest Template'!A668="Standard",(IF(OR('Ingest Template'!F668 = "Program Type - Special", 'Ingest Template'!F668 = "Program Type - Live Event"),'Ingest Template'!Q668&amp;"|"&amp;TEXT('Ingest Template'!C668-3, "yyyy-mm-dd")&amp;"|"&amp;TEXT('Ingest Template'!C668+3, "yyyy-mm-dd"),'Ingest Template'!Q668&amp; "|2021-01-01")),(IF(OR('Ingest Template'!F668 = "Program Type - Special", 'Ingest Template'!F668 = "Program Type - Live Event"),'Ingest Template'!Q668&amp; "|"&amp;TEXT('Ingest Template'!C668-3, "yyyy-mm-dd")&amp;"|"&amp;TEXT('Ingest Template'!C668+3, "yyyy-mm-dd"),'Ingest Template'!Q668)))</f>
        <v/>
      </c>
      <c r="AM668" s="35" t="str">
        <f>'Ingest Template'!AC668</f>
        <v/>
      </c>
    </row>
    <row r="669">
      <c r="A669" s="15"/>
      <c r="B669" s="22" t="str">
        <f>'Ingest Template'!C669&amp;IF('Ingest Template'!A669 = "Standard", " - DAR","")</f>
        <v/>
      </c>
      <c r="C669" s="22" t="s">
        <v>83</v>
      </c>
      <c r="D669" s="22" t="str">
        <f t="array" ref="D669">CONCATENATE(INDEX(DropdownLists!$H$2:$H$11,MATCH(1,COUNTIF('Ingest Template'!E669,"*"&amp;DropdownLists!$I$2:$I$11&amp;"*"),0)),CHAR(10),'Ingest Template'!F669,CHAR(10),'Ingest Template'!G669,CHAR(10),VLOOKUP('Ingest Template'!D669,DropdownLists!C:D,2,FALSE))</f>
        <v>#N/A</v>
      </c>
      <c r="E669" s="22" t="str">
        <f>CONCATENATE('Ingest Template'!H669,CHAR(10),'Ingest Template'!I669,CHAR(10),'Ingest Template'!J669,CHAR(10))</f>
        <v>
</v>
      </c>
      <c r="F669" s="35" t="str">
        <f t="array" ref="F669">INDEX(DropdownLists!$O$2:$O$36,MATCH(1,COUNTIF(E669,"*"&amp;DropdownLists!$N$2:$N$36&amp;"*"),0))</f>
        <v/>
      </c>
      <c r="G669" s="35"/>
      <c r="H669" s="22" t="str">
        <f t="array" ref="H669">INDEX(DropdownLists!$E$2:$E$276,MATCH('Ingest Template'!D669,DropdownLists!$C$2:$C$276,0))</f>
        <v>#N/A</v>
      </c>
      <c r="I669" s="22"/>
      <c r="J669" s="22" t="str">
        <f t="array" ref="J669">iF('Ingest Template'!A669="Standard","Pristine Brand",INDEX(DropdownLists!$B$2:$B$246,MATCH('Ingest Template'!D669,DropdownLists!$C$2:$C$246,0)))</f>
        <v>#N/A</v>
      </c>
      <c r="K669" s="22" t="str">
        <f>iF('Ingest Template'!A669="Standard",'Ingest Template'!K669&amp;CHAR(10)&amp;'Ingest Template'!L669,"Competitive View")</f>
        <v>Competitive View</v>
      </c>
      <c r="L669" s="22" t="s">
        <v>95</v>
      </c>
      <c r="M669" s="45" t="str">
        <f>'Ingest Template'!B669</f>
        <v/>
      </c>
      <c r="N669" s="35"/>
      <c r="O669" s="35"/>
      <c r="P669" s="35"/>
      <c r="Q669" s="35"/>
      <c r="R669" s="35" t="str">
        <f>'Ingest Template'!D669</f>
        <v/>
      </c>
      <c r="S669" s="22" t="s">
        <v>101</v>
      </c>
      <c r="T669" s="35" t="str">
        <f>'Ingest Template'!V669</f>
        <v/>
      </c>
      <c r="U669" s="35" t="str">
        <f>'Ingest Template'!W669</f>
        <v/>
      </c>
      <c r="V669" s="35" t="str">
        <f>LOWER(SUBSTITUTE(SUBSTITUTE(SUBSTITUTE(SUBSTITUTE(SUBSTITUTE('Ingest Template'!X669,"https:",""),"www.",""),"/",""),"?hl=en",""),"instagram.com",""))</f>
        <v/>
      </c>
      <c r="W669" s="74" t="str">
        <f t="array" ref="W669">IF(
'Ingest Template'!Y669="",
SUBSTITUTE(
INDEX(DropdownLists!$F$2:$F$277,MATCH('Ingest Template'!D669,DropdownLists!$C$2:$C$277,0)),
CHAR(10),
"|"&amp;'Ingest Template'!C669&amp;CHAR(10)
)&amp;"|"&amp;'Ingest Template'!C669,
SUBSTITUTE(
INDEX(DropdownLists!$F$2:$F$277,MATCH('Ingest Template'!D669,DropdownLists!$C$2:$C$277,0)),
CHAR(10),
"|"&amp;'Ingest Template'!C669&amp;CHAR(10)
)&amp;"|"&amp;'Ingest Template'!C669&amp;CHAR(10)&amp;'Ingest Template'!Y669
)</f>
        <v>#N/A</v>
      </c>
      <c r="X669" s="74" t="str">
        <f>'Ingest Template'!Z669</f>
        <v/>
      </c>
      <c r="Y669" s="35" t="str">
        <f>SUBSTITUTE(SUBSTITUTE(SUBSTITUTE('Ingest Template'!AA669,"http:",""),"https:",""),"/","")</f>
        <v/>
      </c>
      <c r="Z669" s="35" t="str">
        <f t="array" ref="Z669">IF('Ingest Template'!A669="Standard",(IF(ISBLANK('Ingest Template'!AB669),"", 'Ingest Template'!AB669&amp;"|DAR")),(IF(ISBLANK('Ingest Template'!AB669),"", 'Ingest Template'!AB669&amp;"|TV Ops")))</f>
        <v/>
      </c>
      <c r="AA669" s="35"/>
      <c r="AB669" s="35" t="str">
        <f>'Ingest Template'!R669</f>
        <v/>
      </c>
      <c r="AC669" s="35" t="str">
        <f>'Ingest Template'!T669</f>
        <v/>
      </c>
      <c r="AD669" s="35" t="str">
        <f>'Ingest Template'!S669</f>
        <v/>
      </c>
      <c r="AE669" s="35" t="str">
        <f>'Ingest Template'!U669</f>
        <v/>
      </c>
      <c r="AF669" s="22"/>
      <c r="AG669" s="35" t="str">
        <f t="array" ref="AG669">IF('Ingest Template'!A669="Standard",(CONCATENATE(IF(ISBLANK('Ingest Template'!N669),"", 'Ingest Template'!N669&amp;"|DAR"),CHAR(10), IF(ISBLANK('Ingest Template'!O669),"", 'Ingest Template'!O669&amp;"|DAR"),CHAR(10), IF(ISBLANK('Ingest Template'!P669),"", 'Ingest Template'!P669&amp;"|DAR"))),(CONCATENATE(IF(ISBLANK('Ingest Template'!N669),"", 'Ingest Template'!N669&amp;"|TV Ops"),CHAR(10), IF(ISBLANK('Ingest Template'!O669),"", 'Ingest Template'!O669&amp;"|TV Ops"),CHAR(10), IF(ISBLANK('Ingest Template'!P669),"", 'Ingest Template'!P669&amp;"|TV Ops"))))</f>
        <v>
</v>
      </c>
      <c r="AH669" s="35"/>
      <c r="AI669" s="35"/>
      <c r="AJ669" s="117" t="str">
        <f>if('Ingest Template'!A669="Standard",(IF(OR('Ingest Template'!F669 = "Program Type - Special", 'Ingest Template'!F669 = "Program Type - Live Event"),'Ingest Template'!M669&amp; "|DAR|DAR|"&amp;TEXT('Ingest Template'!C669-3, "yyyy-mm-dd")&amp;"|"&amp;TEXT('Ingest Template'!C669+3, "yyyy-mm-dd"),'Ingest Template'!M669&amp; "|DAR|DAR|2021-01-01")),(IF(OR('Ingest Template'!F669 = "Program Type - Special", 'Ingest Template'!F669 = "Program Type - Live Event"),'Ingest Template'!M669&amp; "|Operations - Core Title|Operations - Core Title|"&amp;TEXT('Ingest Template'!C669-3, "yyyy-mm-dd")&amp;"|"&amp;TEXT('Ingest Template'!C669+3, "yyyy-mm-dd"),'Ingest Template'!M669&amp; "|Operations - Core Title|Operations - Core Title")))</f>
        <v>|Operations - Core Title|Operations - Core Title</v>
      </c>
      <c r="AK669" s="35"/>
      <c r="AL669" s="117" t="str">
        <f>if('Ingest Template'!A669="Standard",(IF(OR('Ingest Template'!F669 = "Program Type - Special", 'Ingest Template'!F669 = "Program Type - Live Event"),'Ingest Template'!Q669&amp;"|"&amp;TEXT('Ingest Template'!C669-3, "yyyy-mm-dd")&amp;"|"&amp;TEXT('Ingest Template'!C669+3, "yyyy-mm-dd"),'Ingest Template'!Q669&amp; "|2021-01-01")),(IF(OR('Ingest Template'!F669 = "Program Type - Special", 'Ingest Template'!F669 = "Program Type - Live Event"),'Ingest Template'!Q669&amp; "|"&amp;TEXT('Ingest Template'!C669-3, "yyyy-mm-dd")&amp;"|"&amp;TEXT('Ingest Template'!C669+3, "yyyy-mm-dd"),'Ingest Template'!Q669)))</f>
        <v/>
      </c>
      <c r="AM669" s="35" t="str">
        <f>'Ingest Template'!AC669</f>
        <v/>
      </c>
    </row>
    <row r="670">
      <c r="A670" s="15"/>
      <c r="B670" s="22" t="str">
        <f>'Ingest Template'!C670&amp;IF('Ingest Template'!A670 = "Standard", " - DAR","")</f>
        <v/>
      </c>
      <c r="C670" s="22" t="s">
        <v>83</v>
      </c>
      <c r="D670" s="22" t="str">
        <f t="array" ref="D670">CONCATENATE(INDEX(DropdownLists!$H$2:$H$11,MATCH(1,COUNTIF('Ingest Template'!E670,"*"&amp;DropdownLists!$I$2:$I$11&amp;"*"),0)),CHAR(10),'Ingest Template'!F670,CHAR(10),'Ingest Template'!G670,CHAR(10),VLOOKUP('Ingest Template'!D670,DropdownLists!C:D,2,FALSE))</f>
        <v>#N/A</v>
      </c>
      <c r="E670" s="22" t="str">
        <f>CONCATENATE('Ingest Template'!H670,CHAR(10),'Ingest Template'!I670,CHAR(10),'Ingest Template'!J670,CHAR(10))</f>
        <v>
</v>
      </c>
      <c r="F670" s="35" t="str">
        <f t="array" ref="F670">INDEX(DropdownLists!$O$2:$O$36,MATCH(1,COUNTIF(E670,"*"&amp;DropdownLists!$N$2:$N$36&amp;"*"),0))</f>
        <v/>
      </c>
      <c r="G670" s="35"/>
      <c r="H670" s="22" t="str">
        <f t="array" ref="H670">INDEX(DropdownLists!$E$2:$E$276,MATCH('Ingest Template'!D670,DropdownLists!$C$2:$C$276,0))</f>
        <v>#N/A</v>
      </c>
      <c r="I670" s="22"/>
      <c r="J670" s="22" t="str">
        <f t="array" ref="J670">iF('Ingest Template'!A670="Standard","Pristine Brand",INDEX(DropdownLists!$B$2:$B$246,MATCH('Ingest Template'!D670,DropdownLists!$C$2:$C$246,0)))</f>
        <v>#N/A</v>
      </c>
      <c r="K670" s="22" t="str">
        <f>iF('Ingest Template'!A670="Standard",'Ingest Template'!K670&amp;CHAR(10)&amp;'Ingest Template'!L670,"Competitive View")</f>
        <v>Competitive View</v>
      </c>
      <c r="L670" s="22" t="s">
        <v>95</v>
      </c>
      <c r="M670" s="45" t="str">
        <f>'Ingest Template'!B670</f>
        <v/>
      </c>
      <c r="N670" s="35"/>
      <c r="O670" s="35"/>
      <c r="P670" s="35"/>
      <c r="Q670" s="35"/>
      <c r="R670" s="35" t="str">
        <f>'Ingest Template'!D670</f>
        <v/>
      </c>
      <c r="S670" s="22" t="s">
        <v>101</v>
      </c>
      <c r="T670" s="35" t="str">
        <f>'Ingest Template'!V670</f>
        <v/>
      </c>
      <c r="U670" s="35" t="str">
        <f>'Ingest Template'!W670</f>
        <v/>
      </c>
      <c r="V670" s="35" t="str">
        <f>LOWER(SUBSTITUTE(SUBSTITUTE(SUBSTITUTE(SUBSTITUTE(SUBSTITUTE('Ingest Template'!X670,"https:",""),"www.",""),"/",""),"?hl=en",""),"instagram.com",""))</f>
        <v/>
      </c>
      <c r="W670" s="74" t="str">
        <f t="array" ref="W670">IF(
'Ingest Template'!Y670="",
SUBSTITUTE(
INDEX(DropdownLists!$F$2:$F$277,MATCH('Ingest Template'!D670,DropdownLists!$C$2:$C$277,0)),
CHAR(10),
"|"&amp;'Ingest Template'!C670&amp;CHAR(10)
)&amp;"|"&amp;'Ingest Template'!C670,
SUBSTITUTE(
INDEX(DropdownLists!$F$2:$F$277,MATCH('Ingest Template'!D670,DropdownLists!$C$2:$C$277,0)),
CHAR(10),
"|"&amp;'Ingest Template'!C670&amp;CHAR(10)
)&amp;"|"&amp;'Ingest Template'!C670&amp;CHAR(10)&amp;'Ingest Template'!Y670
)</f>
        <v>#N/A</v>
      </c>
      <c r="X670" s="74" t="str">
        <f>'Ingest Template'!Z670</f>
        <v/>
      </c>
      <c r="Y670" s="35" t="str">
        <f>SUBSTITUTE(SUBSTITUTE(SUBSTITUTE('Ingest Template'!AA670,"http:",""),"https:",""),"/","")</f>
        <v/>
      </c>
      <c r="Z670" s="35" t="str">
        <f t="array" ref="Z670">IF('Ingest Template'!A670="Standard",(IF(ISBLANK('Ingest Template'!AB670),"", 'Ingest Template'!AB670&amp;"|DAR")),(IF(ISBLANK('Ingest Template'!AB670),"", 'Ingest Template'!AB670&amp;"|TV Ops")))</f>
        <v/>
      </c>
      <c r="AA670" s="35"/>
      <c r="AB670" s="35" t="str">
        <f>'Ingest Template'!R670</f>
        <v/>
      </c>
      <c r="AC670" s="35" t="str">
        <f>'Ingest Template'!T670</f>
        <v/>
      </c>
      <c r="AD670" s="35" t="str">
        <f>'Ingest Template'!S670</f>
        <v/>
      </c>
      <c r="AE670" s="35" t="str">
        <f>'Ingest Template'!U670</f>
        <v/>
      </c>
      <c r="AF670" s="22"/>
      <c r="AG670" s="35" t="str">
        <f t="array" ref="AG670">IF('Ingest Template'!A670="Standard",(CONCATENATE(IF(ISBLANK('Ingest Template'!N670),"", 'Ingest Template'!N670&amp;"|DAR"),CHAR(10), IF(ISBLANK('Ingest Template'!O670),"", 'Ingest Template'!O670&amp;"|DAR"),CHAR(10), IF(ISBLANK('Ingest Template'!P670),"", 'Ingest Template'!P670&amp;"|DAR"))),(CONCATENATE(IF(ISBLANK('Ingest Template'!N670),"", 'Ingest Template'!N670&amp;"|TV Ops"),CHAR(10), IF(ISBLANK('Ingest Template'!O670),"", 'Ingest Template'!O670&amp;"|TV Ops"),CHAR(10), IF(ISBLANK('Ingest Template'!P670),"", 'Ingest Template'!P670&amp;"|TV Ops"))))</f>
        <v>
</v>
      </c>
      <c r="AH670" s="35"/>
      <c r="AI670" s="35"/>
      <c r="AJ670" s="117" t="str">
        <f>if('Ingest Template'!A670="Standard",(IF(OR('Ingest Template'!F670 = "Program Type - Special", 'Ingest Template'!F670 = "Program Type - Live Event"),'Ingest Template'!M670&amp; "|DAR|DAR|"&amp;TEXT('Ingest Template'!C670-3, "yyyy-mm-dd")&amp;"|"&amp;TEXT('Ingest Template'!C670+3, "yyyy-mm-dd"),'Ingest Template'!M670&amp; "|DAR|DAR|2021-01-01")),(IF(OR('Ingest Template'!F670 = "Program Type - Special", 'Ingest Template'!F670 = "Program Type - Live Event"),'Ingest Template'!M670&amp; "|Operations - Core Title|Operations - Core Title|"&amp;TEXT('Ingest Template'!C670-3, "yyyy-mm-dd")&amp;"|"&amp;TEXT('Ingest Template'!C670+3, "yyyy-mm-dd"),'Ingest Template'!M670&amp; "|Operations - Core Title|Operations - Core Title")))</f>
        <v>|Operations - Core Title|Operations - Core Title</v>
      </c>
      <c r="AK670" s="35"/>
      <c r="AL670" s="117" t="str">
        <f>if('Ingest Template'!A670="Standard",(IF(OR('Ingest Template'!F670 = "Program Type - Special", 'Ingest Template'!F670 = "Program Type - Live Event"),'Ingest Template'!Q670&amp;"|"&amp;TEXT('Ingest Template'!C670-3, "yyyy-mm-dd")&amp;"|"&amp;TEXT('Ingest Template'!C670+3, "yyyy-mm-dd"),'Ingest Template'!Q670&amp; "|2021-01-01")),(IF(OR('Ingest Template'!F670 = "Program Type - Special", 'Ingest Template'!F670 = "Program Type - Live Event"),'Ingest Template'!Q670&amp; "|"&amp;TEXT('Ingest Template'!C670-3, "yyyy-mm-dd")&amp;"|"&amp;TEXT('Ingest Template'!C670+3, "yyyy-mm-dd"),'Ingest Template'!Q670)))</f>
        <v/>
      </c>
      <c r="AM670" s="35" t="str">
        <f>'Ingest Template'!AC670</f>
        <v/>
      </c>
    </row>
    <row r="671">
      <c r="A671" s="15"/>
      <c r="B671" s="22" t="str">
        <f>'Ingest Template'!C671&amp;IF('Ingest Template'!A671 = "Standard", " - DAR","")</f>
        <v/>
      </c>
      <c r="C671" s="22" t="s">
        <v>83</v>
      </c>
      <c r="D671" s="22" t="str">
        <f t="array" ref="D671">CONCATENATE(INDEX(DropdownLists!$H$2:$H$11,MATCH(1,COUNTIF('Ingest Template'!E671,"*"&amp;DropdownLists!$I$2:$I$11&amp;"*"),0)),CHAR(10),'Ingest Template'!F671,CHAR(10),'Ingest Template'!G671,CHAR(10),VLOOKUP('Ingest Template'!D671,DropdownLists!C:D,2,FALSE))</f>
        <v>#N/A</v>
      </c>
      <c r="E671" s="22" t="str">
        <f>CONCATENATE('Ingest Template'!H671,CHAR(10),'Ingest Template'!I671,CHAR(10),'Ingest Template'!J671,CHAR(10))</f>
        <v>
</v>
      </c>
      <c r="F671" s="35" t="str">
        <f t="array" ref="F671">INDEX(DropdownLists!$O$2:$O$36,MATCH(1,COUNTIF(E671,"*"&amp;DropdownLists!$N$2:$N$36&amp;"*"),0))</f>
        <v/>
      </c>
      <c r="G671" s="35"/>
      <c r="H671" s="22" t="str">
        <f t="array" ref="H671">INDEX(DropdownLists!$E$2:$E$276,MATCH('Ingest Template'!D671,DropdownLists!$C$2:$C$276,0))</f>
        <v>#N/A</v>
      </c>
      <c r="I671" s="22"/>
      <c r="J671" s="22" t="str">
        <f t="array" ref="J671">iF('Ingest Template'!A671="Standard","Pristine Brand",INDEX(DropdownLists!$B$2:$B$246,MATCH('Ingest Template'!D671,DropdownLists!$C$2:$C$246,0)))</f>
        <v>#N/A</v>
      </c>
      <c r="K671" s="22" t="str">
        <f>iF('Ingest Template'!A671="Standard",'Ingest Template'!K671&amp;CHAR(10)&amp;'Ingest Template'!L671,"Competitive View")</f>
        <v>Competitive View</v>
      </c>
      <c r="L671" s="22" t="s">
        <v>95</v>
      </c>
      <c r="M671" s="45" t="str">
        <f>'Ingest Template'!B671</f>
        <v/>
      </c>
      <c r="N671" s="35"/>
      <c r="O671" s="35"/>
      <c r="P671" s="35"/>
      <c r="Q671" s="35"/>
      <c r="R671" s="35" t="str">
        <f>'Ingest Template'!D671</f>
        <v/>
      </c>
      <c r="S671" s="22" t="s">
        <v>101</v>
      </c>
      <c r="T671" s="35" t="str">
        <f>'Ingest Template'!V671</f>
        <v/>
      </c>
      <c r="U671" s="35" t="str">
        <f>'Ingest Template'!W671</f>
        <v/>
      </c>
      <c r="V671" s="35" t="str">
        <f>LOWER(SUBSTITUTE(SUBSTITUTE(SUBSTITUTE(SUBSTITUTE(SUBSTITUTE('Ingest Template'!X671,"https:",""),"www.",""),"/",""),"?hl=en",""),"instagram.com",""))</f>
        <v/>
      </c>
      <c r="W671" s="74" t="str">
        <f t="array" ref="W671">IF(
'Ingest Template'!Y671="",
SUBSTITUTE(
INDEX(DropdownLists!$F$2:$F$277,MATCH('Ingest Template'!D671,DropdownLists!$C$2:$C$277,0)),
CHAR(10),
"|"&amp;'Ingest Template'!C671&amp;CHAR(10)
)&amp;"|"&amp;'Ingest Template'!C671,
SUBSTITUTE(
INDEX(DropdownLists!$F$2:$F$277,MATCH('Ingest Template'!D671,DropdownLists!$C$2:$C$277,0)),
CHAR(10),
"|"&amp;'Ingest Template'!C671&amp;CHAR(10)
)&amp;"|"&amp;'Ingest Template'!C671&amp;CHAR(10)&amp;'Ingest Template'!Y671
)</f>
        <v>#N/A</v>
      </c>
      <c r="X671" s="74" t="str">
        <f>'Ingest Template'!Z671</f>
        <v/>
      </c>
      <c r="Y671" s="35" t="str">
        <f>SUBSTITUTE(SUBSTITUTE(SUBSTITUTE('Ingest Template'!AA671,"http:",""),"https:",""),"/","")</f>
        <v/>
      </c>
      <c r="Z671" s="35" t="str">
        <f t="array" ref="Z671">IF('Ingest Template'!A671="Standard",(IF(ISBLANK('Ingest Template'!AB671),"", 'Ingest Template'!AB671&amp;"|DAR")),(IF(ISBLANK('Ingest Template'!AB671),"", 'Ingest Template'!AB671&amp;"|TV Ops")))</f>
        <v/>
      </c>
      <c r="AA671" s="35"/>
      <c r="AB671" s="35" t="str">
        <f>'Ingest Template'!R671</f>
        <v/>
      </c>
      <c r="AC671" s="35" t="str">
        <f>'Ingest Template'!T671</f>
        <v/>
      </c>
      <c r="AD671" s="35" t="str">
        <f>'Ingest Template'!S671</f>
        <v/>
      </c>
      <c r="AE671" s="35" t="str">
        <f>'Ingest Template'!U671</f>
        <v/>
      </c>
      <c r="AF671" s="22"/>
      <c r="AG671" s="35" t="str">
        <f t="array" ref="AG671">IF('Ingest Template'!A671="Standard",(CONCATENATE(IF(ISBLANK('Ingest Template'!N671),"", 'Ingest Template'!N671&amp;"|DAR"),CHAR(10), IF(ISBLANK('Ingest Template'!O671),"", 'Ingest Template'!O671&amp;"|DAR"),CHAR(10), IF(ISBLANK('Ingest Template'!P671),"", 'Ingest Template'!P671&amp;"|DAR"))),(CONCATENATE(IF(ISBLANK('Ingest Template'!N671),"", 'Ingest Template'!N671&amp;"|TV Ops"),CHAR(10), IF(ISBLANK('Ingest Template'!O671),"", 'Ingest Template'!O671&amp;"|TV Ops"),CHAR(10), IF(ISBLANK('Ingest Template'!P671),"", 'Ingest Template'!P671&amp;"|TV Ops"))))</f>
        <v>
</v>
      </c>
      <c r="AH671" s="35"/>
      <c r="AI671" s="35"/>
      <c r="AJ671" s="117" t="str">
        <f>if('Ingest Template'!A671="Standard",(IF(OR('Ingest Template'!F671 = "Program Type - Special", 'Ingest Template'!F671 = "Program Type - Live Event"),'Ingest Template'!M671&amp; "|DAR|DAR|"&amp;TEXT('Ingest Template'!C671-3, "yyyy-mm-dd")&amp;"|"&amp;TEXT('Ingest Template'!C671+3, "yyyy-mm-dd"),'Ingest Template'!M671&amp; "|DAR|DAR|2021-01-01")),(IF(OR('Ingest Template'!F671 = "Program Type - Special", 'Ingest Template'!F671 = "Program Type - Live Event"),'Ingest Template'!M671&amp; "|Operations - Core Title|Operations - Core Title|"&amp;TEXT('Ingest Template'!C671-3, "yyyy-mm-dd")&amp;"|"&amp;TEXT('Ingest Template'!C671+3, "yyyy-mm-dd"),'Ingest Template'!M671&amp; "|Operations - Core Title|Operations - Core Title")))</f>
        <v>|Operations - Core Title|Operations - Core Title</v>
      </c>
      <c r="AK671" s="35"/>
      <c r="AL671" s="117" t="str">
        <f>if('Ingest Template'!A671="Standard",(IF(OR('Ingest Template'!F671 = "Program Type - Special", 'Ingest Template'!F671 = "Program Type - Live Event"),'Ingest Template'!Q671&amp;"|"&amp;TEXT('Ingest Template'!C671-3, "yyyy-mm-dd")&amp;"|"&amp;TEXT('Ingest Template'!C671+3, "yyyy-mm-dd"),'Ingest Template'!Q671&amp; "|2021-01-01")),(IF(OR('Ingest Template'!F671 = "Program Type - Special", 'Ingest Template'!F671 = "Program Type - Live Event"),'Ingest Template'!Q671&amp; "|"&amp;TEXT('Ingest Template'!C671-3, "yyyy-mm-dd")&amp;"|"&amp;TEXT('Ingest Template'!C671+3, "yyyy-mm-dd"),'Ingest Template'!Q671)))</f>
        <v/>
      </c>
      <c r="AM671" s="35" t="str">
        <f>'Ingest Template'!AC671</f>
        <v/>
      </c>
    </row>
    <row r="672">
      <c r="A672" s="15"/>
      <c r="B672" s="22" t="str">
        <f>'Ingest Template'!C672&amp;IF('Ingest Template'!A672 = "Standard", " - DAR","")</f>
        <v/>
      </c>
      <c r="C672" s="22" t="s">
        <v>83</v>
      </c>
      <c r="D672" s="22" t="str">
        <f t="array" ref="D672">CONCATENATE(INDEX(DropdownLists!$H$2:$H$11,MATCH(1,COUNTIF('Ingest Template'!E672,"*"&amp;DropdownLists!$I$2:$I$11&amp;"*"),0)),CHAR(10),'Ingest Template'!F672,CHAR(10),'Ingest Template'!G672,CHAR(10),VLOOKUP('Ingest Template'!D672,DropdownLists!C:D,2,FALSE))</f>
        <v>#N/A</v>
      </c>
      <c r="E672" s="22" t="str">
        <f>CONCATENATE('Ingest Template'!H672,CHAR(10),'Ingest Template'!I672,CHAR(10),'Ingest Template'!J672,CHAR(10))</f>
        <v>
</v>
      </c>
      <c r="F672" s="35" t="str">
        <f t="array" ref="F672">INDEX(DropdownLists!$O$2:$O$36,MATCH(1,COUNTIF(E672,"*"&amp;DropdownLists!$N$2:$N$36&amp;"*"),0))</f>
        <v/>
      </c>
      <c r="G672" s="35"/>
      <c r="H672" s="22" t="str">
        <f t="array" ref="H672">INDEX(DropdownLists!$E$2:$E$276,MATCH('Ingest Template'!D672,DropdownLists!$C$2:$C$276,0))</f>
        <v>#N/A</v>
      </c>
      <c r="I672" s="22"/>
      <c r="J672" s="22" t="str">
        <f t="array" ref="J672">iF('Ingest Template'!A672="Standard","Pristine Brand",INDEX(DropdownLists!$B$2:$B$246,MATCH('Ingest Template'!D672,DropdownLists!$C$2:$C$246,0)))</f>
        <v>#N/A</v>
      </c>
      <c r="K672" s="22" t="str">
        <f>iF('Ingest Template'!A672="Standard",'Ingest Template'!K672&amp;CHAR(10)&amp;'Ingest Template'!L672,"Competitive View")</f>
        <v>Competitive View</v>
      </c>
      <c r="L672" s="22" t="s">
        <v>95</v>
      </c>
      <c r="M672" s="45" t="str">
        <f>'Ingest Template'!B672</f>
        <v/>
      </c>
      <c r="N672" s="35"/>
      <c r="O672" s="35"/>
      <c r="P672" s="35"/>
      <c r="Q672" s="35"/>
      <c r="R672" s="35" t="str">
        <f>'Ingest Template'!D672</f>
        <v/>
      </c>
      <c r="S672" s="22" t="s">
        <v>101</v>
      </c>
      <c r="T672" s="35" t="str">
        <f>'Ingest Template'!V672</f>
        <v/>
      </c>
      <c r="U672" s="35" t="str">
        <f>'Ingest Template'!W672</f>
        <v/>
      </c>
      <c r="V672" s="35" t="str">
        <f>LOWER(SUBSTITUTE(SUBSTITUTE(SUBSTITUTE(SUBSTITUTE(SUBSTITUTE('Ingest Template'!X672,"https:",""),"www.",""),"/",""),"?hl=en",""),"instagram.com",""))</f>
        <v/>
      </c>
      <c r="W672" s="74" t="str">
        <f t="array" ref="W672">IF(
'Ingest Template'!Y672="",
SUBSTITUTE(
INDEX(DropdownLists!$F$2:$F$277,MATCH('Ingest Template'!D672,DropdownLists!$C$2:$C$277,0)),
CHAR(10),
"|"&amp;'Ingest Template'!C672&amp;CHAR(10)
)&amp;"|"&amp;'Ingest Template'!C672,
SUBSTITUTE(
INDEX(DropdownLists!$F$2:$F$277,MATCH('Ingest Template'!D672,DropdownLists!$C$2:$C$277,0)),
CHAR(10),
"|"&amp;'Ingest Template'!C672&amp;CHAR(10)
)&amp;"|"&amp;'Ingest Template'!C672&amp;CHAR(10)&amp;'Ingest Template'!Y672
)</f>
        <v>#N/A</v>
      </c>
      <c r="X672" s="74" t="str">
        <f>'Ingest Template'!Z672</f>
        <v/>
      </c>
      <c r="Y672" s="35" t="str">
        <f>SUBSTITUTE(SUBSTITUTE(SUBSTITUTE('Ingest Template'!AA672,"http:",""),"https:",""),"/","")</f>
        <v/>
      </c>
      <c r="Z672" s="35" t="str">
        <f t="array" ref="Z672">IF('Ingest Template'!A672="Standard",(IF(ISBLANK('Ingest Template'!AB672),"", 'Ingest Template'!AB672&amp;"|DAR")),(IF(ISBLANK('Ingest Template'!AB672),"", 'Ingest Template'!AB672&amp;"|TV Ops")))</f>
        <v/>
      </c>
      <c r="AA672" s="35"/>
      <c r="AB672" s="35" t="str">
        <f>'Ingest Template'!R672</f>
        <v/>
      </c>
      <c r="AC672" s="35" t="str">
        <f>'Ingest Template'!T672</f>
        <v/>
      </c>
      <c r="AD672" s="35" t="str">
        <f>'Ingest Template'!S672</f>
        <v/>
      </c>
      <c r="AE672" s="35" t="str">
        <f>'Ingest Template'!U672</f>
        <v/>
      </c>
      <c r="AF672" s="22"/>
      <c r="AG672" s="35" t="str">
        <f t="array" ref="AG672">IF('Ingest Template'!A672="Standard",(CONCATENATE(IF(ISBLANK('Ingest Template'!N672),"", 'Ingest Template'!N672&amp;"|DAR"),CHAR(10), IF(ISBLANK('Ingest Template'!O672),"", 'Ingest Template'!O672&amp;"|DAR"),CHAR(10), IF(ISBLANK('Ingest Template'!P672),"", 'Ingest Template'!P672&amp;"|DAR"))),(CONCATENATE(IF(ISBLANK('Ingest Template'!N672),"", 'Ingest Template'!N672&amp;"|TV Ops"),CHAR(10), IF(ISBLANK('Ingest Template'!O672),"", 'Ingest Template'!O672&amp;"|TV Ops"),CHAR(10), IF(ISBLANK('Ingest Template'!P672),"", 'Ingest Template'!P672&amp;"|TV Ops"))))</f>
        <v>
</v>
      </c>
      <c r="AH672" s="35"/>
      <c r="AI672" s="35"/>
      <c r="AJ672" s="117" t="str">
        <f>if('Ingest Template'!A672="Standard",(IF(OR('Ingest Template'!F672 = "Program Type - Special", 'Ingest Template'!F672 = "Program Type - Live Event"),'Ingest Template'!M672&amp; "|DAR|DAR|"&amp;TEXT('Ingest Template'!C672-3, "yyyy-mm-dd")&amp;"|"&amp;TEXT('Ingest Template'!C672+3, "yyyy-mm-dd"),'Ingest Template'!M672&amp; "|DAR|DAR|2021-01-01")),(IF(OR('Ingest Template'!F672 = "Program Type - Special", 'Ingest Template'!F672 = "Program Type - Live Event"),'Ingest Template'!M672&amp; "|Operations - Core Title|Operations - Core Title|"&amp;TEXT('Ingest Template'!C672-3, "yyyy-mm-dd")&amp;"|"&amp;TEXT('Ingest Template'!C672+3, "yyyy-mm-dd"),'Ingest Template'!M672&amp; "|Operations - Core Title|Operations - Core Title")))</f>
        <v>|Operations - Core Title|Operations - Core Title</v>
      </c>
      <c r="AK672" s="35"/>
      <c r="AL672" s="117" t="str">
        <f>if('Ingest Template'!A672="Standard",(IF(OR('Ingest Template'!F672 = "Program Type - Special", 'Ingest Template'!F672 = "Program Type - Live Event"),'Ingest Template'!Q672&amp;"|"&amp;TEXT('Ingest Template'!C672-3, "yyyy-mm-dd")&amp;"|"&amp;TEXT('Ingest Template'!C672+3, "yyyy-mm-dd"),'Ingest Template'!Q672&amp; "|2021-01-01")),(IF(OR('Ingest Template'!F672 = "Program Type - Special", 'Ingest Template'!F672 = "Program Type - Live Event"),'Ingest Template'!Q672&amp; "|"&amp;TEXT('Ingest Template'!C672-3, "yyyy-mm-dd")&amp;"|"&amp;TEXT('Ingest Template'!C672+3, "yyyy-mm-dd"),'Ingest Template'!Q672)))</f>
        <v/>
      </c>
      <c r="AM672" s="35" t="str">
        <f>'Ingest Template'!AC672</f>
        <v/>
      </c>
    </row>
    <row r="673">
      <c r="A673" s="15"/>
      <c r="B673" s="22" t="str">
        <f>'Ingest Template'!C673&amp;IF('Ingest Template'!A673 = "Standard", " - DAR","")</f>
        <v/>
      </c>
      <c r="C673" s="22" t="s">
        <v>83</v>
      </c>
      <c r="D673" s="22" t="str">
        <f t="array" ref="D673">CONCATENATE(INDEX(DropdownLists!$H$2:$H$11,MATCH(1,COUNTIF('Ingest Template'!E673,"*"&amp;DropdownLists!$I$2:$I$11&amp;"*"),0)),CHAR(10),'Ingest Template'!F673,CHAR(10),'Ingest Template'!G673,CHAR(10),VLOOKUP('Ingest Template'!D673,DropdownLists!C:D,2,FALSE))</f>
        <v>#N/A</v>
      </c>
      <c r="E673" s="22" t="str">
        <f>CONCATENATE('Ingest Template'!H673,CHAR(10),'Ingest Template'!I673,CHAR(10),'Ingest Template'!J673,CHAR(10))</f>
        <v>
</v>
      </c>
      <c r="F673" s="35" t="str">
        <f t="array" ref="F673">INDEX(DropdownLists!$O$2:$O$36,MATCH(1,COUNTIF(E673,"*"&amp;DropdownLists!$N$2:$N$36&amp;"*"),0))</f>
        <v/>
      </c>
      <c r="G673" s="35"/>
      <c r="H673" s="22" t="str">
        <f t="array" ref="H673">INDEX(DropdownLists!$E$2:$E$276,MATCH('Ingest Template'!D673,DropdownLists!$C$2:$C$276,0))</f>
        <v>#N/A</v>
      </c>
      <c r="I673" s="22"/>
      <c r="J673" s="22" t="str">
        <f t="array" ref="J673">iF('Ingest Template'!A673="Standard","Pristine Brand",INDEX(DropdownLists!$B$2:$B$246,MATCH('Ingest Template'!D673,DropdownLists!$C$2:$C$246,0)))</f>
        <v>#N/A</v>
      </c>
      <c r="K673" s="22" t="str">
        <f>iF('Ingest Template'!A673="Standard",'Ingest Template'!K673&amp;CHAR(10)&amp;'Ingest Template'!L673,"Competitive View")</f>
        <v>Competitive View</v>
      </c>
      <c r="L673" s="22" t="s">
        <v>95</v>
      </c>
      <c r="M673" s="45" t="str">
        <f>'Ingest Template'!B673</f>
        <v/>
      </c>
      <c r="N673" s="35"/>
      <c r="O673" s="35"/>
      <c r="P673" s="35"/>
      <c r="Q673" s="35"/>
      <c r="R673" s="35" t="str">
        <f>'Ingest Template'!D673</f>
        <v/>
      </c>
      <c r="S673" s="22" t="s">
        <v>101</v>
      </c>
      <c r="T673" s="35" t="str">
        <f>'Ingest Template'!V673</f>
        <v/>
      </c>
      <c r="U673" s="35" t="str">
        <f>'Ingest Template'!W673</f>
        <v/>
      </c>
      <c r="V673" s="35" t="str">
        <f>LOWER(SUBSTITUTE(SUBSTITUTE(SUBSTITUTE(SUBSTITUTE(SUBSTITUTE('Ingest Template'!X673,"https:",""),"www.",""),"/",""),"?hl=en",""),"instagram.com",""))</f>
        <v/>
      </c>
      <c r="W673" s="74" t="str">
        <f t="array" ref="W673">IF(
'Ingest Template'!Y673="",
SUBSTITUTE(
INDEX(DropdownLists!$F$2:$F$277,MATCH('Ingest Template'!D673,DropdownLists!$C$2:$C$277,0)),
CHAR(10),
"|"&amp;'Ingest Template'!C673&amp;CHAR(10)
)&amp;"|"&amp;'Ingest Template'!C673,
SUBSTITUTE(
INDEX(DropdownLists!$F$2:$F$277,MATCH('Ingest Template'!D673,DropdownLists!$C$2:$C$277,0)),
CHAR(10),
"|"&amp;'Ingest Template'!C673&amp;CHAR(10)
)&amp;"|"&amp;'Ingest Template'!C673&amp;CHAR(10)&amp;'Ingest Template'!Y673
)</f>
        <v>#N/A</v>
      </c>
      <c r="X673" s="74" t="str">
        <f>'Ingest Template'!Z673</f>
        <v/>
      </c>
      <c r="Y673" s="35" t="str">
        <f>SUBSTITUTE(SUBSTITUTE(SUBSTITUTE('Ingest Template'!AA673,"http:",""),"https:",""),"/","")</f>
        <v/>
      </c>
      <c r="Z673" s="35" t="str">
        <f t="array" ref="Z673">IF('Ingest Template'!A673="Standard",(IF(ISBLANK('Ingest Template'!AB673),"", 'Ingest Template'!AB673&amp;"|DAR")),(IF(ISBLANK('Ingest Template'!AB673),"", 'Ingest Template'!AB673&amp;"|TV Ops")))</f>
        <v/>
      </c>
      <c r="AA673" s="35"/>
      <c r="AB673" s="35" t="str">
        <f>'Ingest Template'!R673</f>
        <v/>
      </c>
      <c r="AC673" s="35" t="str">
        <f>'Ingest Template'!T673</f>
        <v/>
      </c>
      <c r="AD673" s="35" t="str">
        <f>'Ingest Template'!S673</f>
        <v/>
      </c>
      <c r="AE673" s="35" t="str">
        <f>'Ingest Template'!U673</f>
        <v/>
      </c>
      <c r="AF673" s="22"/>
      <c r="AG673" s="35" t="str">
        <f t="array" ref="AG673">IF('Ingest Template'!A673="Standard",(CONCATENATE(IF(ISBLANK('Ingest Template'!N673),"", 'Ingest Template'!N673&amp;"|DAR"),CHAR(10), IF(ISBLANK('Ingest Template'!O673),"", 'Ingest Template'!O673&amp;"|DAR"),CHAR(10), IF(ISBLANK('Ingest Template'!P673),"", 'Ingest Template'!P673&amp;"|DAR"))),(CONCATENATE(IF(ISBLANK('Ingest Template'!N673),"", 'Ingest Template'!N673&amp;"|TV Ops"),CHAR(10), IF(ISBLANK('Ingest Template'!O673),"", 'Ingest Template'!O673&amp;"|TV Ops"),CHAR(10), IF(ISBLANK('Ingest Template'!P673),"", 'Ingest Template'!P673&amp;"|TV Ops"))))</f>
        <v>
</v>
      </c>
      <c r="AH673" s="35"/>
      <c r="AI673" s="35"/>
      <c r="AJ673" s="117" t="str">
        <f>if('Ingest Template'!A673="Standard",(IF(OR('Ingest Template'!F673 = "Program Type - Special", 'Ingest Template'!F673 = "Program Type - Live Event"),'Ingest Template'!M673&amp; "|DAR|DAR|"&amp;TEXT('Ingest Template'!C673-3, "yyyy-mm-dd")&amp;"|"&amp;TEXT('Ingest Template'!C673+3, "yyyy-mm-dd"),'Ingest Template'!M673&amp; "|DAR|DAR|2021-01-01")),(IF(OR('Ingest Template'!F673 = "Program Type - Special", 'Ingest Template'!F673 = "Program Type - Live Event"),'Ingest Template'!M673&amp; "|Operations - Core Title|Operations - Core Title|"&amp;TEXT('Ingest Template'!C673-3, "yyyy-mm-dd")&amp;"|"&amp;TEXT('Ingest Template'!C673+3, "yyyy-mm-dd"),'Ingest Template'!M673&amp; "|Operations - Core Title|Operations - Core Title")))</f>
        <v>|Operations - Core Title|Operations - Core Title</v>
      </c>
      <c r="AK673" s="35"/>
      <c r="AL673" s="117" t="str">
        <f>if('Ingest Template'!A673="Standard",(IF(OR('Ingest Template'!F673 = "Program Type - Special", 'Ingest Template'!F673 = "Program Type - Live Event"),'Ingest Template'!Q673&amp;"|"&amp;TEXT('Ingest Template'!C673-3, "yyyy-mm-dd")&amp;"|"&amp;TEXT('Ingest Template'!C673+3, "yyyy-mm-dd"),'Ingest Template'!Q673&amp; "|2021-01-01")),(IF(OR('Ingest Template'!F673 = "Program Type - Special", 'Ingest Template'!F673 = "Program Type - Live Event"),'Ingest Template'!Q673&amp; "|"&amp;TEXT('Ingest Template'!C673-3, "yyyy-mm-dd")&amp;"|"&amp;TEXT('Ingest Template'!C673+3, "yyyy-mm-dd"),'Ingest Template'!Q673)))</f>
        <v/>
      </c>
      <c r="AM673" s="35" t="str">
        <f>'Ingest Template'!AC673</f>
        <v/>
      </c>
    </row>
    <row r="674">
      <c r="A674" s="15"/>
      <c r="B674" s="22" t="str">
        <f>'Ingest Template'!C674&amp;IF('Ingest Template'!A674 = "Standard", " - DAR","")</f>
        <v/>
      </c>
      <c r="C674" s="22" t="s">
        <v>83</v>
      </c>
      <c r="D674" s="22" t="str">
        <f t="array" ref="D674">CONCATENATE(INDEX(DropdownLists!$H$2:$H$11,MATCH(1,COUNTIF('Ingest Template'!E674,"*"&amp;DropdownLists!$I$2:$I$11&amp;"*"),0)),CHAR(10),'Ingest Template'!F674,CHAR(10),'Ingest Template'!G674,CHAR(10),VLOOKUP('Ingest Template'!D674,DropdownLists!C:D,2,FALSE))</f>
        <v>#N/A</v>
      </c>
      <c r="E674" s="22" t="str">
        <f>CONCATENATE('Ingest Template'!H674,CHAR(10),'Ingest Template'!I674,CHAR(10),'Ingest Template'!J674,CHAR(10))</f>
        <v>
</v>
      </c>
      <c r="F674" s="35" t="str">
        <f t="array" ref="F674">INDEX(DropdownLists!$O$2:$O$36,MATCH(1,COUNTIF(E674,"*"&amp;DropdownLists!$N$2:$N$36&amp;"*"),0))</f>
        <v/>
      </c>
      <c r="G674" s="35"/>
      <c r="H674" s="22" t="str">
        <f t="array" ref="H674">INDEX(DropdownLists!$E$2:$E$276,MATCH('Ingest Template'!D674,DropdownLists!$C$2:$C$276,0))</f>
        <v>#N/A</v>
      </c>
      <c r="I674" s="22"/>
      <c r="J674" s="22" t="str">
        <f t="array" ref="J674">iF('Ingest Template'!A674="Standard","Pristine Brand",INDEX(DropdownLists!$B$2:$B$246,MATCH('Ingest Template'!D674,DropdownLists!$C$2:$C$246,0)))</f>
        <v>#N/A</v>
      </c>
      <c r="K674" s="22" t="str">
        <f>iF('Ingest Template'!A674="Standard",'Ingest Template'!K674&amp;CHAR(10)&amp;'Ingest Template'!L674,"Competitive View")</f>
        <v>Competitive View</v>
      </c>
      <c r="L674" s="22" t="s">
        <v>95</v>
      </c>
      <c r="M674" s="45" t="str">
        <f>'Ingest Template'!B674</f>
        <v/>
      </c>
      <c r="N674" s="35"/>
      <c r="O674" s="35"/>
      <c r="P674" s="35"/>
      <c r="Q674" s="35"/>
      <c r="R674" s="35" t="str">
        <f>'Ingest Template'!D674</f>
        <v/>
      </c>
      <c r="S674" s="22" t="s">
        <v>101</v>
      </c>
      <c r="T674" s="35" t="str">
        <f>'Ingest Template'!V674</f>
        <v/>
      </c>
      <c r="U674" s="35" t="str">
        <f>'Ingest Template'!W674</f>
        <v/>
      </c>
      <c r="V674" s="35" t="str">
        <f>LOWER(SUBSTITUTE(SUBSTITUTE(SUBSTITUTE(SUBSTITUTE(SUBSTITUTE('Ingest Template'!X674,"https:",""),"www.",""),"/",""),"?hl=en",""),"instagram.com",""))</f>
        <v/>
      </c>
      <c r="W674" s="74" t="str">
        <f t="array" ref="W674">IF(
'Ingest Template'!Y674="",
SUBSTITUTE(
INDEX(DropdownLists!$F$2:$F$277,MATCH('Ingest Template'!D674,DropdownLists!$C$2:$C$277,0)),
CHAR(10),
"|"&amp;'Ingest Template'!C674&amp;CHAR(10)
)&amp;"|"&amp;'Ingest Template'!C674,
SUBSTITUTE(
INDEX(DropdownLists!$F$2:$F$277,MATCH('Ingest Template'!D674,DropdownLists!$C$2:$C$277,0)),
CHAR(10),
"|"&amp;'Ingest Template'!C674&amp;CHAR(10)
)&amp;"|"&amp;'Ingest Template'!C674&amp;CHAR(10)&amp;'Ingest Template'!Y674
)</f>
        <v>#N/A</v>
      </c>
      <c r="X674" s="74" t="str">
        <f>'Ingest Template'!Z674</f>
        <v/>
      </c>
      <c r="Y674" s="35" t="str">
        <f>SUBSTITUTE(SUBSTITUTE(SUBSTITUTE('Ingest Template'!AA674,"http:",""),"https:",""),"/","")</f>
        <v/>
      </c>
      <c r="Z674" s="35" t="str">
        <f t="array" ref="Z674">IF('Ingest Template'!A674="Standard",(IF(ISBLANK('Ingest Template'!AB674),"", 'Ingest Template'!AB674&amp;"|DAR")),(IF(ISBLANK('Ingest Template'!AB674),"", 'Ingest Template'!AB674&amp;"|TV Ops")))</f>
        <v/>
      </c>
      <c r="AA674" s="35"/>
      <c r="AB674" s="35" t="str">
        <f>'Ingest Template'!R674</f>
        <v/>
      </c>
      <c r="AC674" s="35" t="str">
        <f>'Ingest Template'!T674</f>
        <v/>
      </c>
      <c r="AD674" s="35" t="str">
        <f>'Ingest Template'!S674</f>
        <v/>
      </c>
      <c r="AE674" s="35" t="str">
        <f>'Ingest Template'!U674</f>
        <v/>
      </c>
      <c r="AF674" s="22"/>
      <c r="AG674" s="35" t="str">
        <f t="array" ref="AG674">IF('Ingest Template'!A674="Standard",(CONCATENATE(IF(ISBLANK('Ingest Template'!N674),"", 'Ingest Template'!N674&amp;"|DAR"),CHAR(10), IF(ISBLANK('Ingest Template'!O674),"", 'Ingest Template'!O674&amp;"|DAR"),CHAR(10), IF(ISBLANK('Ingest Template'!P674),"", 'Ingest Template'!P674&amp;"|DAR"))),(CONCATENATE(IF(ISBLANK('Ingest Template'!N674),"", 'Ingest Template'!N674&amp;"|TV Ops"),CHAR(10), IF(ISBLANK('Ingest Template'!O674),"", 'Ingest Template'!O674&amp;"|TV Ops"),CHAR(10), IF(ISBLANK('Ingest Template'!P674),"", 'Ingest Template'!P674&amp;"|TV Ops"))))</f>
        <v>
</v>
      </c>
      <c r="AH674" s="35"/>
      <c r="AI674" s="35"/>
      <c r="AJ674" s="117" t="str">
        <f>if('Ingest Template'!A674="Standard",(IF(OR('Ingest Template'!F674 = "Program Type - Special", 'Ingest Template'!F674 = "Program Type - Live Event"),'Ingest Template'!M674&amp; "|DAR|DAR|"&amp;TEXT('Ingest Template'!C674-3, "yyyy-mm-dd")&amp;"|"&amp;TEXT('Ingest Template'!C674+3, "yyyy-mm-dd"),'Ingest Template'!M674&amp; "|DAR|DAR|2021-01-01")),(IF(OR('Ingest Template'!F674 = "Program Type - Special", 'Ingest Template'!F674 = "Program Type - Live Event"),'Ingest Template'!M674&amp; "|Operations - Core Title|Operations - Core Title|"&amp;TEXT('Ingest Template'!C674-3, "yyyy-mm-dd")&amp;"|"&amp;TEXT('Ingest Template'!C674+3, "yyyy-mm-dd"),'Ingest Template'!M674&amp; "|Operations - Core Title|Operations - Core Title")))</f>
        <v>|Operations - Core Title|Operations - Core Title</v>
      </c>
      <c r="AK674" s="35"/>
      <c r="AL674" s="117" t="str">
        <f>if('Ingest Template'!A674="Standard",(IF(OR('Ingest Template'!F674 = "Program Type - Special", 'Ingest Template'!F674 = "Program Type - Live Event"),'Ingest Template'!Q674&amp;"|"&amp;TEXT('Ingest Template'!C674-3, "yyyy-mm-dd")&amp;"|"&amp;TEXT('Ingest Template'!C674+3, "yyyy-mm-dd"),'Ingest Template'!Q674&amp; "|2021-01-01")),(IF(OR('Ingest Template'!F674 = "Program Type - Special", 'Ingest Template'!F674 = "Program Type - Live Event"),'Ingest Template'!Q674&amp; "|"&amp;TEXT('Ingest Template'!C674-3, "yyyy-mm-dd")&amp;"|"&amp;TEXT('Ingest Template'!C674+3, "yyyy-mm-dd"),'Ingest Template'!Q674)))</f>
        <v/>
      </c>
      <c r="AM674" s="35" t="str">
        <f>'Ingest Template'!AC674</f>
        <v/>
      </c>
    </row>
    <row r="675">
      <c r="A675" s="15"/>
      <c r="B675" s="22" t="str">
        <f>'Ingest Template'!C675&amp;IF('Ingest Template'!A675 = "Standard", " - DAR","")</f>
        <v/>
      </c>
      <c r="C675" s="22" t="s">
        <v>83</v>
      </c>
      <c r="D675" s="22" t="str">
        <f t="array" ref="D675">CONCATENATE(INDEX(DropdownLists!$H$2:$H$11,MATCH(1,COUNTIF('Ingest Template'!E675,"*"&amp;DropdownLists!$I$2:$I$11&amp;"*"),0)),CHAR(10),'Ingest Template'!F675,CHAR(10),'Ingest Template'!G675,CHAR(10),VLOOKUP('Ingest Template'!D675,DropdownLists!C:D,2,FALSE))</f>
        <v>#N/A</v>
      </c>
      <c r="E675" s="22" t="str">
        <f>CONCATENATE('Ingest Template'!H675,CHAR(10),'Ingest Template'!I675,CHAR(10),'Ingest Template'!J675,CHAR(10))</f>
        <v>
</v>
      </c>
      <c r="F675" s="35" t="str">
        <f t="array" ref="F675">INDEX(DropdownLists!$O$2:$O$36,MATCH(1,COUNTIF(E675,"*"&amp;DropdownLists!$N$2:$N$36&amp;"*"),0))</f>
        <v/>
      </c>
      <c r="G675" s="35"/>
      <c r="H675" s="22" t="str">
        <f t="array" ref="H675">INDEX(DropdownLists!$E$2:$E$276,MATCH('Ingest Template'!D675,DropdownLists!$C$2:$C$276,0))</f>
        <v>#N/A</v>
      </c>
      <c r="I675" s="22"/>
      <c r="J675" s="22" t="str">
        <f t="array" ref="J675">iF('Ingest Template'!A675="Standard","Pristine Brand",INDEX(DropdownLists!$B$2:$B$246,MATCH('Ingest Template'!D675,DropdownLists!$C$2:$C$246,0)))</f>
        <v>#N/A</v>
      </c>
      <c r="K675" s="22" t="str">
        <f>iF('Ingest Template'!A675="Standard",'Ingest Template'!K675&amp;CHAR(10)&amp;'Ingest Template'!L675,"Competitive View")</f>
        <v>Competitive View</v>
      </c>
      <c r="L675" s="22" t="s">
        <v>95</v>
      </c>
      <c r="M675" s="45" t="str">
        <f>'Ingest Template'!B675</f>
        <v/>
      </c>
      <c r="N675" s="35"/>
      <c r="O675" s="35"/>
      <c r="P675" s="35"/>
      <c r="Q675" s="35"/>
      <c r="R675" s="35" t="str">
        <f>'Ingest Template'!D675</f>
        <v/>
      </c>
      <c r="S675" s="22" t="s">
        <v>101</v>
      </c>
      <c r="T675" s="35" t="str">
        <f>'Ingest Template'!V675</f>
        <v/>
      </c>
      <c r="U675" s="35" t="str">
        <f>'Ingest Template'!W675</f>
        <v/>
      </c>
      <c r="V675" s="35" t="str">
        <f>LOWER(SUBSTITUTE(SUBSTITUTE(SUBSTITUTE(SUBSTITUTE(SUBSTITUTE('Ingest Template'!X675,"https:",""),"www.",""),"/",""),"?hl=en",""),"instagram.com",""))</f>
        <v/>
      </c>
      <c r="W675" s="74" t="str">
        <f t="array" ref="W675">IF(
'Ingest Template'!Y675="",
SUBSTITUTE(
INDEX(DropdownLists!$F$2:$F$277,MATCH('Ingest Template'!D675,DropdownLists!$C$2:$C$277,0)),
CHAR(10),
"|"&amp;'Ingest Template'!C675&amp;CHAR(10)
)&amp;"|"&amp;'Ingest Template'!C675,
SUBSTITUTE(
INDEX(DropdownLists!$F$2:$F$277,MATCH('Ingest Template'!D675,DropdownLists!$C$2:$C$277,0)),
CHAR(10),
"|"&amp;'Ingest Template'!C675&amp;CHAR(10)
)&amp;"|"&amp;'Ingest Template'!C675&amp;CHAR(10)&amp;'Ingest Template'!Y675
)</f>
        <v>#N/A</v>
      </c>
      <c r="X675" s="74" t="str">
        <f>'Ingest Template'!Z675</f>
        <v/>
      </c>
      <c r="Y675" s="35" t="str">
        <f>SUBSTITUTE(SUBSTITUTE(SUBSTITUTE('Ingest Template'!AA675,"http:",""),"https:",""),"/","")</f>
        <v/>
      </c>
      <c r="Z675" s="35" t="str">
        <f t="array" ref="Z675">IF('Ingest Template'!A675="Standard",(IF(ISBLANK('Ingest Template'!AB675),"", 'Ingest Template'!AB675&amp;"|DAR")),(IF(ISBLANK('Ingest Template'!AB675),"", 'Ingest Template'!AB675&amp;"|TV Ops")))</f>
        <v/>
      </c>
      <c r="AA675" s="35"/>
      <c r="AB675" s="35" t="str">
        <f>'Ingest Template'!R675</f>
        <v/>
      </c>
      <c r="AC675" s="35" t="str">
        <f>'Ingest Template'!T675</f>
        <v/>
      </c>
      <c r="AD675" s="35" t="str">
        <f>'Ingest Template'!S675</f>
        <v/>
      </c>
      <c r="AE675" s="35" t="str">
        <f>'Ingest Template'!U675</f>
        <v/>
      </c>
      <c r="AF675" s="22"/>
      <c r="AG675" s="35" t="str">
        <f t="array" ref="AG675">IF('Ingest Template'!A675="Standard",(CONCATENATE(IF(ISBLANK('Ingest Template'!N675),"", 'Ingest Template'!N675&amp;"|DAR"),CHAR(10), IF(ISBLANK('Ingest Template'!O675),"", 'Ingest Template'!O675&amp;"|DAR"),CHAR(10), IF(ISBLANK('Ingest Template'!P675),"", 'Ingest Template'!P675&amp;"|DAR"))),(CONCATENATE(IF(ISBLANK('Ingest Template'!N675),"", 'Ingest Template'!N675&amp;"|TV Ops"),CHAR(10), IF(ISBLANK('Ingest Template'!O675),"", 'Ingest Template'!O675&amp;"|TV Ops"),CHAR(10), IF(ISBLANK('Ingest Template'!P675),"", 'Ingest Template'!P675&amp;"|TV Ops"))))</f>
        <v>
</v>
      </c>
      <c r="AH675" s="35"/>
      <c r="AI675" s="35"/>
      <c r="AJ675" s="117" t="str">
        <f>if('Ingest Template'!A675="Standard",(IF(OR('Ingest Template'!F675 = "Program Type - Special", 'Ingest Template'!F675 = "Program Type - Live Event"),'Ingest Template'!M675&amp; "|DAR|DAR|"&amp;TEXT('Ingest Template'!C675-3, "yyyy-mm-dd")&amp;"|"&amp;TEXT('Ingest Template'!C675+3, "yyyy-mm-dd"),'Ingest Template'!M675&amp; "|DAR|DAR|2021-01-01")),(IF(OR('Ingest Template'!F675 = "Program Type - Special", 'Ingest Template'!F675 = "Program Type - Live Event"),'Ingest Template'!M675&amp; "|Operations - Core Title|Operations - Core Title|"&amp;TEXT('Ingest Template'!C675-3, "yyyy-mm-dd")&amp;"|"&amp;TEXT('Ingest Template'!C675+3, "yyyy-mm-dd"),'Ingest Template'!M675&amp; "|Operations - Core Title|Operations - Core Title")))</f>
        <v>|Operations - Core Title|Operations - Core Title</v>
      </c>
      <c r="AK675" s="35"/>
      <c r="AL675" s="117" t="str">
        <f>if('Ingest Template'!A675="Standard",(IF(OR('Ingest Template'!F675 = "Program Type - Special", 'Ingest Template'!F675 = "Program Type - Live Event"),'Ingest Template'!Q675&amp;"|"&amp;TEXT('Ingest Template'!C675-3, "yyyy-mm-dd")&amp;"|"&amp;TEXT('Ingest Template'!C675+3, "yyyy-mm-dd"),'Ingest Template'!Q675&amp; "|2021-01-01")),(IF(OR('Ingest Template'!F675 = "Program Type - Special", 'Ingest Template'!F675 = "Program Type - Live Event"),'Ingest Template'!Q675&amp; "|"&amp;TEXT('Ingest Template'!C675-3, "yyyy-mm-dd")&amp;"|"&amp;TEXT('Ingest Template'!C675+3, "yyyy-mm-dd"),'Ingest Template'!Q675)))</f>
        <v/>
      </c>
      <c r="AM675" s="35" t="str">
        <f>'Ingest Template'!AC675</f>
        <v/>
      </c>
    </row>
    <row r="676">
      <c r="A676" s="15"/>
      <c r="B676" s="22" t="str">
        <f>'Ingest Template'!C676&amp;IF('Ingest Template'!A676 = "Standard", " - DAR","")</f>
        <v/>
      </c>
      <c r="C676" s="22" t="s">
        <v>83</v>
      </c>
      <c r="D676" s="22" t="str">
        <f t="array" ref="D676">CONCATENATE(INDEX(DropdownLists!$H$2:$H$11,MATCH(1,COUNTIF('Ingest Template'!E676,"*"&amp;DropdownLists!$I$2:$I$11&amp;"*"),0)),CHAR(10),'Ingest Template'!F676,CHAR(10),'Ingest Template'!G676,CHAR(10),VLOOKUP('Ingest Template'!D676,DropdownLists!C:D,2,FALSE))</f>
        <v>#N/A</v>
      </c>
      <c r="E676" s="22" t="str">
        <f>CONCATENATE('Ingest Template'!H676,CHAR(10),'Ingest Template'!I676,CHAR(10),'Ingest Template'!J676,CHAR(10))</f>
        <v>
</v>
      </c>
      <c r="F676" s="35" t="str">
        <f t="array" ref="F676">INDEX(DropdownLists!$O$2:$O$36,MATCH(1,COUNTIF(E676,"*"&amp;DropdownLists!$N$2:$N$36&amp;"*"),0))</f>
        <v/>
      </c>
      <c r="G676" s="35"/>
      <c r="H676" s="22" t="str">
        <f t="array" ref="H676">INDEX(DropdownLists!$E$2:$E$276,MATCH('Ingest Template'!D676,DropdownLists!$C$2:$C$276,0))</f>
        <v>#N/A</v>
      </c>
      <c r="I676" s="22"/>
      <c r="J676" s="22" t="str">
        <f t="array" ref="J676">iF('Ingest Template'!A676="Standard","Pristine Brand",INDEX(DropdownLists!$B$2:$B$246,MATCH('Ingest Template'!D676,DropdownLists!$C$2:$C$246,0)))</f>
        <v>#N/A</v>
      </c>
      <c r="K676" s="22" t="str">
        <f>iF('Ingest Template'!A676="Standard",'Ingest Template'!K676&amp;CHAR(10)&amp;'Ingest Template'!L676,"Competitive View")</f>
        <v>Competitive View</v>
      </c>
      <c r="L676" s="22" t="s">
        <v>95</v>
      </c>
      <c r="M676" s="45" t="str">
        <f>'Ingest Template'!B676</f>
        <v/>
      </c>
      <c r="N676" s="35"/>
      <c r="O676" s="35"/>
      <c r="P676" s="35"/>
      <c r="Q676" s="35"/>
      <c r="R676" s="35" t="str">
        <f>'Ingest Template'!D676</f>
        <v/>
      </c>
      <c r="S676" s="22" t="s">
        <v>101</v>
      </c>
      <c r="T676" s="35" t="str">
        <f>'Ingest Template'!V676</f>
        <v/>
      </c>
      <c r="U676" s="35" t="str">
        <f>'Ingest Template'!W676</f>
        <v/>
      </c>
      <c r="V676" s="35" t="str">
        <f>LOWER(SUBSTITUTE(SUBSTITUTE(SUBSTITUTE(SUBSTITUTE(SUBSTITUTE('Ingest Template'!X676,"https:",""),"www.",""),"/",""),"?hl=en",""),"instagram.com",""))</f>
        <v/>
      </c>
      <c r="W676" s="74" t="str">
        <f t="array" ref="W676">IF(
'Ingest Template'!Y676="",
SUBSTITUTE(
INDEX(DropdownLists!$F$2:$F$277,MATCH('Ingest Template'!D676,DropdownLists!$C$2:$C$277,0)),
CHAR(10),
"|"&amp;'Ingest Template'!C676&amp;CHAR(10)
)&amp;"|"&amp;'Ingest Template'!C676,
SUBSTITUTE(
INDEX(DropdownLists!$F$2:$F$277,MATCH('Ingest Template'!D676,DropdownLists!$C$2:$C$277,0)),
CHAR(10),
"|"&amp;'Ingest Template'!C676&amp;CHAR(10)
)&amp;"|"&amp;'Ingest Template'!C676&amp;CHAR(10)&amp;'Ingest Template'!Y676
)</f>
        <v>#N/A</v>
      </c>
      <c r="X676" s="74" t="str">
        <f>'Ingest Template'!Z676</f>
        <v/>
      </c>
      <c r="Y676" s="35" t="str">
        <f>SUBSTITUTE(SUBSTITUTE(SUBSTITUTE('Ingest Template'!AA676,"http:",""),"https:",""),"/","")</f>
        <v/>
      </c>
      <c r="Z676" s="35" t="str">
        <f t="array" ref="Z676">IF('Ingest Template'!A676="Standard",(IF(ISBLANK('Ingest Template'!AB676),"", 'Ingest Template'!AB676&amp;"|DAR")),(IF(ISBLANK('Ingest Template'!AB676),"", 'Ingest Template'!AB676&amp;"|TV Ops")))</f>
        <v/>
      </c>
      <c r="AA676" s="35"/>
      <c r="AB676" s="35" t="str">
        <f>'Ingest Template'!R676</f>
        <v/>
      </c>
      <c r="AC676" s="35" t="str">
        <f>'Ingest Template'!T676</f>
        <v/>
      </c>
      <c r="AD676" s="35" t="str">
        <f>'Ingest Template'!S676</f>
        <v/>
      </c>
      <c r="AE676" s="35" t="str">
        <f>'Ingest Template'!U676</f>
        <v/>
      </c>
      <c r="AF676" s="22"/>
      <c r="AG676" s="35" t="str">
        <f t="array" ref="AG676">IF('Ingest Template'!A676="Standard",(CONCATENATE(IF(ISBLANK('Ingest Template'!N676),"", 'Ingest Template'!N676&amp;"|DAR"),CHAR(10), IF(ISBLANK('Ingest Template'!O676),"", 'Ingest Template'!O676&amp;"|DAR"),CHAR(10), IF(ISBLANK('Ingest Template'!P676),"", 'Ingest Template'!P676&amp;"|DAR"))),(CONCATENATE(IF(ISBLANK('Ingest Template'!N676),"", 'Ingest Template'!N676&amp;"|TV Ops"),CHAR(10), IF(ISBLANK('Ingest Template'!O676),"", 'Ingest Template'!O676&amp;"|TV Ops"),CHAR(10), IF(ISBLANK('Ingest Template'!P676),"", 'Ingest Template'!P676&amp;"|TV Ops"))))</f>
        <v>
</v>
      </c>
      <c r="AH676" s="35"/>
      <c r="AI676" s="35"/>
      <c r="AJ676" s="117" t="str">
        <f>if('Ingest Template'!A676="Standard",(IF(OR('Ingest Template'!F676 = "Program Type - Special", 'Ingest Template'!F676 = "Program Type - Live Event"),'Ingest Template'!M676&amp; "|DAR|DAR|"&amp;TEXT('Ingest Template'!C676-3, "yyyy-mm-dd")&amp;"|"&amp;TEXT('Ingest Template'!C676+3, "yyyy-mm-dd"),'Ingest Template'!M676&amp; "|DAR|DAR|2021-01-01")),(IF(OR('Ingest Template'!F676 = "Program Type - Special", 'Ingest Template'!F676 = "Program Type - Live Event"),'Ingest Template'!M676&amp; "|Operations - Core Title|Operations - Core Title|"&amp;TEXT('Ingest Template'!C676-3, "yyyy-mm-dd")&amp;"|"&amp;TEXT('Ingest Template'!C676+3, "yyyy-mm-dd"),'Ingest Template'!M676&amp; "|Operations - Core Title|Operations - Core Title")))</f>
        <v>|Operations - Core Title|Operations - Core Title</v>
      </c>
      <c r="AK676" s="35"/>
      <c r="AL676" s="117" t="str">
        <f>if('Ingest Template'!A676="Standard",(IF(OR('Ingest Template'!F676 = "Program Type - Special", 'Ingest Template'!F676 = "Program Type - Live Event"),'Ingest Template'!Q676&amp;"|"&amp;TEXT('Ingest Template'!C676-3, "yyyy-mm-dd")&amp;"|"&amp;TEXT('Ingest Template'!C676+3, "yyyy-mm-dd"),'Ingest Template'!Q676&amp; "|2021-01-01")),(IF(OR('Ingest Template'!F676 = "Program Type - Special", 'Ingest Template'!F676 = "Program Type - Live Event"),'Ingest Template'!Q676&amp; "|"&amp;TEXT('Ingest Template'!C676-3, "yyyy-mm-dd")&amp;"|"&amp;TEXT('Ingest Template'!C676+3, "yyyy-mm-dd"),'Ingest Template'!Q676)))</f>
        <v/>
      </c>
      <c r="AM676" s="35" t="str">
        <f>'Ingest Template'!AC676</f>
        <v/>
      </c>
    </row>
    <row r="677">
      <c r="A677" s="15"/>
      <c r="B677" s="22" t="str">
        <f>'Ingest Template'!C677&amp;IF('Ingest Template'!A677 = "Standard", " - DAR","")</f>
        <v/>
      </c>
      <c r="C677" s="22" t="s">
        <v>83</v>
      </c>
      <c r="D677" s="22" t="str">
        <f t="array" ref="D677">CONCATENATE(INDEX(DropdownLists!$H$2:$H$11,MATCH(1,COUNTIF('Ingest Template'!E677,"*"&amp;DropdownLists!$I$2:$I$11&amp;"*"),0)),CHAR(10),'Ingest Template'!F677,CHAR(10),'Ingest Template'!G677,CHAR(10),VLOOKUP('Ingest Template'!D677,DropdownLists!C:D,2,FALSE))</f>
        <v>#N/A</v>
      </c>
      <c r="E677" s="22" t="str">
        <f>CONCATENATE('Ingest Template'!H677,CHAR(10),'Ingest Template'!I677,CHAR(10),'Ingest Template'!J677,CHAR(10))</f>
        <v>
</v>
      </c>
      <c r="F677" s="35" t="str">
        <f t="array" ref="F677">INDEX(DropdownLists!$O$2:$O$36,MATCH(1,COUNTIF(E677,"*"&amp;DropdownLists!$N$2:$N$36&amp;"*"),0))</f>
        <v/>
      </c>
      <c r="G677" s="35"/>
      <c r="H677" s="22" t="str">
        <f t="array" ref="H677">INDEX(DropdownLists!$E$2:$E$276,MATCH('Ingest Template'!D677,DropdownLists!$C$2:$C$276,0))</f>
        <v>#N/A</v>
      </c>
      <c r="I677" s="22"/>
      <c r="J677" s="22" t="str">
        <f t="array" ref="J677">iF('Ingest Template'!A677="Standard","Pristine Brand",INDEX(DropdownLists!$B$2:$B$246,MATCH('Ingest Template'!D677,DropdownLists!$C$2:$C$246,0)))</f>
        <v>#N/A</v>
      </c>
      <c r="K677" s="22" t="str">
        <f>iF('Ingest Template'!A677="Standard",'Ingest Template'!K677&amp;CHAR(10)&amp;'Ingest Template'!L677,"Competitive View")</f>
        <v>Competitive View</v>
      </c>
      <c r="L677" s="22" t="s">
        <v>95</v>
      </c>
      <c r="M677" s="45" t="str">
        <f>'Ingest Template'!B677</f>
        <v/>
      </c>
      <c r="N677" s="35"/>
      <c r="O677" s="35"/>
      <c r="P677" s="35"/>
      <c r="Q677" s="35"/>
      <c r="R677" s="35" t="str">
        <f>'Ingest Template'!D677</f>
        <v/>
      </c>
      <c r="S677" s="22" t="s">
        <v>101</v>
      </c>
      <c r="T677" s="35" t="str">
        <f>'Ingest Template'!V677</f>
        <v/>
      </c>
      <c r="U677" s="35" t="str">
        <f>'Ingest Template'!W677</f>
        <v/>
      </c>
      <c r="V677" s="35" t="str">
        <f>LOWER(SUBSTITUTE(SUBSTITUTE(SUBSTITUTE(SUBSTITUTE(SUBSTITUTE('Ingest Template'!X677,"https:",""),"www.",""),"/",""),"?hl=en",""),"instagram.com",""))</f>
        <v/>
      </c>
      <c r="W677" s="74" t="str">
        <f t="array" ref="W677">IF(
'Ingest Template'!Y677="",
SUBSTITUTE(
INDEX(DropdownLists!$F$2:$F$277,MATCH('Ingest Template'!D677,DropdownLists!$C$2:$C$277,0)),
CHAR(10),
"|"&amp;'Ingest Template'!C677&amp;CHAR(10)
)&amp;"|"&amp;'Ingest Template'!C677,
SUBSTITUTE(
INDEX(DropdownLists!$F$2:$F$277,MATCH('Ingest Template'!D677,DropdownLists!$C$2:$C$277,0)),
CHAR(10),
"|"&amp;'Ingest Template'!C677&amp;CHAR(10)
)&amp;"|"&amp;'Ingest Template'!C677&amp;CHAR(10)&amp;'Ingest Template'!Y677
)</f>
        <v>#N/A</v>
      </c>
      <c r="X677" s="74" t="str">
        <f>'Ingest Template'!Z677</f>
        <v/>
      </c>
      <c r="Y677" s="35" t="str">
        <f>SUBSTITUTE(SUBSTITUTE(SUBSTITUTE('Ingest Template'!AA677,"http:",""),"https:",""),"/","")</f>
        <v/>
      </c>
      <c r="Z677" s="35" t="str">
        <f t="array" ref="Z677">IF('Ingest Template'!A677="Standard",(IF(ISBLANK('Ingest Template'!AB677),"", 'Ingest Template'!AB677&amp;"|DAR")),(IF(ISBLANK('Ingest Template'!AB677),"", 'Ingest Template'!AB677&amp;"|TV Ops")))</f>
        <v/>
      </c>
      <c r="AA677" s="35"/>
      <c r="AB677" s="35" t="str">
        <f>'Ingest Template'!R677</f>
        <v/>
      </c>
      <c r="AC677" s="35" t="str">
        <f>'Ingest Template'!T677</f>
        <v/>
      </c>
      <c r="AD677" s="35" t="str">
        <f>'Ingest Template'!S677</f>
        <v/>
      </c>
      <c r="AE677" s="35" t="str">
        <f>'Ingest Template'!U677</f>
        <v/>
      </c>
      <c r="AF677" s="22"/>
      <c r="AG677" s="35" t="str">
        <f t="array" ref="AG677">IF('Ingest Template'!A677="Standard",(CONCATENATE(IF(ISBLANK('Ingest Template'!N677),"", 'Ingest Template'!N677&amp;"|DAR"),CHAR(10), IF(ISBLANK('Ingest Template'!O677),"", 'Ingest Template'!O677&amp;"|DAR"),CHAR(10), IF(ISBLANK('Ingest Template'!P677),"", 'Ingest Template'!P677&amp;"|DAR"))),(CONCATENATE(IF(ISBLANK('Ingest Template'!N677),"", 'Ingest Template'!N677&amp;"|TV Ops"),CHAR(10), IF(ISBLANK('Ingest Template'!O677),"", 'Ingest Template'!O677&amp;"|TV Ops"),CHAR(10), IF(ISBLANK('Ingest Template'!P677),"", 'Ingest Template'!P677&amp;"|TV Ops"))))</f>
        <v>
</v>
      </c>
      <c r="AH677" s="35"/>
      <c r="AI677" s="35"/>
      <c r="AJ677" s="117" t="str">
        <f>if('Ingest Template'!A677="Standard",(IF(OR('Ingest Template'!F677 = "Program Type - Special", 'Ingest Template'!F677 = "Program Type - Live Event"),'Ingest Template'!M677&amp; "|DAR|DAR|"&amp;TEXT('Ingest Template'!C677-3, "yyyy-mm-dd")&amp;"|"&amp;TEXT('Ingest Template'!C677+3, "yyyy-mm-dd"),'Ingest Template'!M677&amp; "|DAR|DAR|2021-01-01")),(IF(OR('Ingest Template'!F677 = "Program Type - Special", 'Ingest Template'!F677 = "Program Type - Live Event"),'Ingest Template'!M677&amp; "|Operations - Core Title|Operations - Core Title|"&amp;TEXT('Ingest Template'!C677-3, "yyyy-mm-dd")&amp;"|"&amp;TEXT('Ingest Template'!C677+3, "yyyy-mm-dd"),'Ingest Template'!M677&amp; "|Operations - Core Title|Operations - Core Title")))</f>
        <v>|Operations - Core Title|Operations - Core Title</v>
      </c>
      <c r="AK677" s="35"/>
      <c r="AL677" s="117" t="str">
        <f>if('Ingest Template'!A677="Standard",(IF(OR('Ingest Template'!F677 = "Program Type - Special", 'Ingest Template'!F677 = "Program Type - Live Event"),'Ingest Template'!Q677&amp;"|"&amp;TEXT('Ingest Template'!C677-3, "yyyy-mm-dd")&amp;"|"&amp;TEXT('Ingest Template'!C677+3, "yyyy-mm-dd"),'Ingest Template'!Q677&amp; "|2021-01-01")),(IF(OR('Ingest Template'!F677 = "Program Type - Special", 'Ingest Template'!F677 = "Program Type - Live Event"),'Ingest Template'!Q677&amp; "|"&amp;TEXT('Ingest Template'!C677-3, "yyyy-mm-dd")&amp;"|"&amp;TEXT('Ingest Template'!C677+3, "yyyy-mm-dd"),'Ingest Template'!Q677)))</f>
        <v/>
      </c>
      <c r="AM677" s="35" t="str">
        <f>'Ingest Template'!AC677</f>
        <v/>
      </c>
    </row>
    <row r="678">
      <c r="A678" s="15"/>
      <c r="B678" s="22" t="str">
        <f>'Ingest Template'!C678&amp;IF('Ingest Template'!A678 = "Standard", " - DAR","")</f>
        <v/>
      </c>
      <c r="C678" s="22" t="s">
        <v>83</v>
      </c>
      <c r="D678" s="22" t="str">
        <f t="array" ref="D678">CONCATENATE(INDEX(DropdownLists!$H$2:$H$11,MATCH(1,COUNTIF('Ingest Template'!E678,"*"&amp;DropdownLists!$I$2:$I$11&amp;"*"),0)),CHAR(10),'Ingest Template'!F678,CHAR(10),'Ingest Template'!G678,CHAR(10),VLOOKUP('Ingest Template'!D678,DropdownLists!C:D,2,FALSE))</f>
        <v>#N/A</v>
      </c>
      <c r="E678" s="22" t="str">
        <f>CONCATENATE('Ingest Template'!H678,CHAR(10),'Ingest Template'!I678,CHAR(10),'Ingest Template'!J678,CHAR(10))</f>
        <v>
</v>
      </c>
      <c r="F678" s="35" t="str">
        <f t="array" ref="F678">INDEX(DropdownLists!$O$2:$O$36,MATCH(1,COUNTIF(E678,"*"&amp;DropdownLists!$N$2:$N$36&amp;"*"),0))</f>
        <v/>
      </c>
      <c r="G678" s="35"/>
      <c r="H678" s="22" t="str">
        <f t="array" ref="H678">INDEX(DropdownLists!$E$2:$E$276,MATCH('Ingest Template'!D678,DropdownLists!$C$2:$C$276,0))</f>
        <v>#N/A</v>
      </c>
      <c r="I678" s="22"/>
      <c r="J678" s="22" t="str">
        <f t="array" ref="J678">iF('Ingest Template'!A678="Standard","Pristine Brand",INDEX(DropdownLists!$B$2:$B$246,MATCH('Ingest Template'!D678,DropdownLists!$C$2:$C$246,0)))</f>
        <v>#N/A</v>
      </c>
      <c r="K678" s="22" t="str">
        <f>iF('Ingest Template'!A678="Standard",'Ingest Template'!K678&amp;CHAR(10)&amp;'Ingest Template'!L678,"Competitive View")</f>
        <v>Competitive View</v>
      </c>
      <c r="L678" s="22" t="s">
        <v>95</v>
      </c>
      <c r="M678" s="45" t="str">
        <f>'Ingest Template'!B678</f>
        <v/>
      </c>
      <c r="N678" s="35"/>
      <c r="O678" s="35"/>
      <c r="P678" s="35"/>
      <c r="Q678" s="35"/>
      <c r="R678" s="35" t="str">
        <f>'Ingest Template'!D678</f>
        <v/>
      </c>
      <c r="S678" s="22" t="s">
        <v>101</v>
      </c>
      <c r="T678" s="35" t="str">
        <f>'Ingest Template'!V678</f>
        <v/>
      </c>
      <c r="U678" s="35" t="str">
        <f>'Ingest Template'!W678</f>
        <v/>
      </c>
      <c r="V678" s="35" t="str">
        <f>LOWER(SUBSTITUTE(SUBSTITUTE(SUBSTITUTE(SUBSTITUTE(SUBSTITUTE('Ingest Template'!X678,"https:",""),"www.",""),"/",""),"?hl=en",""),"instagram.com",""))</f>
        <v/>
      </c>
      <c r="W678" s="74" t="str">
        <f t="array" ref="W678">IF(
'Ingest Template'!Y678="",
SUBSTITUTE(
INDEX(DropdownLists!$F$2:$F$277,MATCH('Ingest Template'!D678,DropdownLists!$C$2:$C$277,0)),
CHAR(10),
"|"&amp;'Ingest Template'!C678&amp;CHAR(10)
)&amp;"|"&amp;'Ingest Template'!C678,
SUBSTITUTE(
INDEX(DropdownLists!$F$2:$F$277,MATCH('Ingest Template'!D678,DropdownLists!$C$2:$C$277,0)),
CHAR(10),
"|"&amp;'Ingest Template'!C678&amp;CHAR(10)
)&amp;"|"&amp;'Ingest Template'!C678&amp;CHAR(10)&amp;'Ingest Template'!Y678
)</f>
        <v>#N/A</v>
      </c>
      <c r="X678" s="74" t="str">
        <f>'Ingest Template'!Z678</f>
        <v/>
      </c>
      <c r="Y678" s="35" t="str">
        <f>SUBSTITUTE(SUBSTITUTE(SUBSTITUTE('Ingest Template'!AA678,"http:",""),"https:",""),"/","")</f>
        <v/>
      </c>
      <c r="Z678" s="35" t="str">
        <f t="array" ref="Z678">IF('Ingest Template'!A678="Standard",(IF(ISBLANK('Ingest Template'!AB678),"", 'Ingest Template'!AB678&amp;"|DAR")),(IF(ISBLANK('Ingest Template'!AB678),"", 'Ingest Template'!AB678&amp;"|TV Ops")))</f>
        <v/>
      </c>
      <c r="AA678" s="35"/>
      <c r="AB678" s="35" t="str">
        <f>'Ingest Template'!R678</f>
        <v/>
      </c>
      <c r="AC678" s="35" t="str">
        <f>'Ingest Template'!T678</f>
        <v/>
      </c>
      <c r="AD678" s="35" t="str">
        <f>'Ingest Template'!S678</f>
        <v/>
      </c>
      <c r="AE678" s="35" t="str">
        <f>'Ingest Template'!U678</f>
        <v/>
      </c>
      <c r="AF678" s="22"/>
      <c r="AG678" s="35" t="str">
        <f t="array" ref="AG678">IF('Ingest Template'!A678="Standard",(CONCATENATE(IF(ISBLANK('Ingest Template'!N678),"", 'Ingest Template'!N678&amp;"|DAR"),CHAR(10), IF(ISBLANK('Ingest Template'!O678),"", 'Ingest Template'!O678&amp;"|DAR"),CHAR(10), IF(ISBLANK('Ingest Template'!P678),"", 'Ingest Template'!P678&amp;"|DAR"))),(CONCATENATE(IF(ISBLANK('Ingest Template'!N678),"", 'Ingest Template'!N678&amp;"|TV Ops"),CHAR(10), IF(ISBLANK('Ingest Template'!O678),"", 'Ingest Template'!O678&amp;"|TV Ops"),CHAR(10), IF(ISBLANK('Ingest Template'!P678),"", 'Ingest Template'!P678&amp;"|TV Ops"))))</f>
        <v>
</v>
      </c>
      <c r="AH678" s="35"/>
      <c r="AI678" s="35"/>
      <c r="AJ678" s="117" t="str">
        <f>if('Ingest Template'!A678="Standard",(IF(OR('Ingest Template'!F678 = "Program Type - Special", 'Ingest Template'!F678 = "Program Type - Live Event"),'Ingest Template'!M678&amp; "|DAR|DAR|"&amp;TEXT('Ingest Template'!C678-3, "yyyy-mm-dd")&amp;"|"&amp;TEXT('Ingest Template'!C678+3, "yyyy-mm-dd"),'Ingest Template'!M678&amp; "|DAR|DAR|2021-01-01")),(IF(OR('Ingest Template'!F678 = "Program Type - Special", 'Ingest Template'!F678 = "Program Type - Live Event"),'Ingest Template'!M678&amp; "|Operations - Core Title|Operations - Core Title|"&amp;TEXT('Ingest Template'!C678-3, "yyyy-mm-dd")&amp;"|"&amp;TEXT('Ingest Template'!C678+3, "yyyy-mm-dd"),'Ingest Template'!M678&amp; "|Operations - Core Title|Operations - Core Title")))</f>
        <v>|Operations - Core Title|Operations - Core Title</v>
      </c>
      <c r="AK678" s="35"/>
      <c r="AL678" s="117" t="str">
        <f>if('Ingest Template'!A678="Standard",(IF(OR('Ingest Template'!F678 = "Program Type - Special", 'Ingest Template'!F678 = "Program Type - Live Event"),'Ingest Template'!Q678&amp;"|"&amp;TEXT('Ingest Template'!C678-3, "yyyy-mm-dd")&amp;"|"&amp;TEXT('Ingest Template'!C678+3, "yyyy-mm-dd"),'Ingest Template'!Q678&amp; "|2021-01-01")),(IF(OR('Ingest Template'!F678 = "Program Type - Special", 'Ingest Template'!F678 = "Program Type - Live Event"),'Ingest Template'!Q678&amp; "|"&amp;TEXT('Ingest Template'!C678-3, "yyyy-mm-dd")&amp;"|"&amp;TEXT('Ingest Template'!C678+3, "yyyy-mm-dd"),'Ingest Template'!Q678)))</f>
        <v/>
      </c>
      <c r="AM678" s="35" t="str">
        <f>'Ingest Template'!AC678</f>
        <v/>
      </c>
    </row>
    <row r="679">
      <c r="A679" s="15"/>
      <c r="B679" s="22" t="str">
        <f>'Ingest Template'!C679&amp;IF('Ingest Template'!A679 = "Standard", " - DAR","")</f>
        <v/>
      </c>
      <c r="C679" s="22" t="s">
        <v>83</v>
      </c>
      <c r="D679" s="22" t="str">
        <f t="array" ref="D679">CONCATENATE(INDEX(DropdownLists!$H$2:$H$11,MATCH(1,COUNTIF('Ingest Template'!E679,"*"&amp;DropdownLists!$I$2:$I$11&amp;"*"),0)),CHAR(10),'Ingest Template'!F679,CHAR(10),'Ingest Template'!G679,CHAR(10),VLOOKUP('Ingest Template'!D679,DropdownLists!C:D,2,FALSE))</f>
        <v>#N/A</v>
      </c>
      <c r="E679" s="22" t="str">
        <f>CONCATENATE('Ingest Template'!H679,CHAR(10),'Ingest Template'!I679,CHAR(10),'Ingest Template'!J679,CHAR(10))</f>
        <v>
</v>
      </c>
      <c r="F679" s="35" t="str">
        <f t="array" ref="F679">INDEX(DropdownLists!$O$2:$O$36,MATCH(1,COUNTIF(E679,"*"&amp;DropdownLists!$N$2:$N$36&amp;"*"),0))</f>
        <v/>
      </c>
      <c r="G679" s="35"/>
      <c r="H679" s="22" t="str">
        <f t="array" ref="H679">INDEX(DropdownLists!$E$2:$E$276,MATCH('Ingest Template'!D679,DropdownLists!$C$2:$C$276,0))</f>
        <v>#N/A</v>
      </c>
      <c r="I679" s="22"/>
      <c r="J679" s="22" t="str">
        <f t="array" ref="J679">iF('Ingest Template'!A679="Standard","Pristine Brand",INDEX(DropdownLists!$B$2:$B$246,MATCH('Ingest Template'!D679,DropdownLists!$C$2:$C$246,0)))</f>
        <v>#N/A</v>
      </c>
      <c r="K679" s="22" t="str">
        <f>iF('Ingest Template'!A679="Standard",'Ingest Template'!K679&amp;CHAR(10)&amp;'Ingest Template'!L679,"Competitive View")</f>
        <v>Competitive View</v>
      </c>
      <c r="L679" s="22" t="s">
        <v>95</v>
      </c>
      <c r="M679" s="45" t="str">
        <f>'Ingest Template'!B679</f>
        <v/>
      </c>
      <c r="N679" s="35"/>
      <c r="O679" s="35"/>
      <c r="P679" s="35"/>
      <c r="Q679" s="35"/>
      <c r="R679" s="35" t="str">
        <f>'Ingest Template'!D679</f>
        <v/>
      </c>
      <c r="S679" s="22" t="s">
        <v>101</v>
      </c>
      <c r="T679" s="35" t="str">
        <f>'Ingest Template'!V679</f>
        <v/>
      </c>
      <c r="U679" s="35" t="str">
        <f>'Ingest Template'!W679</f>
        <v/>
      </c>
      <c r="V679" s="35" t="str">
        <f>LOWER(SUBSTITUTE(SUBSTITUTE(SUBSTITUTE(SUBSTITUTE(SUBSTITUTE('Ingest Template'!X679,"https:",""),"www.",""),"/",""),"?hl=en",""),"instagram.com",""))</f>
        <v/>
      </c>
      <c r="W679" s="74" t="str">
        <f t="array" ref="W679">IF(
'Ingest Template'!Y679="",
SUBSTITUTE(
INDEX(DropdownLists!$F$2:$F$277,MATCH('Ingest Template'!D679,DropdownLists!$C$2:$C$277,0)),
CHAR(10),
"|"&amp;'Ingest Template'!C679&amp;CHAR(10)
)&amp;"|"&amp;'Ingest Template'!C679,
SUBSTITUTE(
INDEX(DropdownLists!$F$2:$F$277,MATCH('Ingest Template'!D679,DropdownLists!$C$2:$C$277,0)),
CHAR(10),
"|"&amp;'Ingest Template'!C679&amp;CHAR(10)
)&amp;"|"&amp;'Ingest Template'!C679&amp;CHAR(10)&amp;'Ingest Template'!Y679
)</f>
        <v>#N/A</v>
      </c>
      <c r="X679" s="74" t="str">
        <f>'Ingest Template'!Z679</f>
        <v/>
      </c>
      <c r="Y679" s="35" t="str">
        <f>SUBSTITUTE(SUBSTITUTE(SUBSTITUTE('Ingest Template'!AA679,"http:",""),"https:",""),"/","")</f>
        <v/>
      </c>
      <c r="Z679" s="35" t="str">
        <f t="array" ref="Z679">IF('Ingest Template'!A679="Standard",(IF(ISBLANK('Ingest Template'!AB679),"", 'Ingest Template'!AB679&amp;"|DAR")),(IF(ISBLANK('Ingest Template'!AB679),"", 'Ingest Template'!AB679&amp;"|TV Ops")))</f>
        <v/>
      </c>
      <c r="AA679" s="35"/>
      <c r="AB679" s="35" t="str">
        <f>'Ingest Template'!R679</f>
        <v/>
      </c>
      <c r="AC679" s="35" t="str">
        <f>'Ingest Template'!T679</f>
        <v/>
      </c>
      <c r="AD679" s="35" t="str">
        <f>'Ingest Template'!S679</f>
        <v/>
      </c>
      <c r="AE679" s="35" t="str">
        <f>'Ingest Template'!U679</f>
        <v/>
      </c>
      <c r="AF679" s="22"/>
      <c r="AG679" s="35" t="str">
        <f t="array" ref="AG679">IF('Ingest Template'!A679="Standard",(CONCATENATE(IF(ISBLANK('Ingest Template'!N679),"", 'Ingest Template'!N679&amp;"|DAR"),CHAR(10), IF(ISBLANK('Ingest Template'!O679),"", 'Ingest Template'!O679&amp;"|DAR"),CHAR(10), IF(ISBLANK('Ingest Template'!P679),"", 'Ingest Template'!P679&amp;"|DAR"))),(CONCATENATE(IF(ISBLANK('Ingest Template'!N679),"", 'Ingest Template'!N679&amp;"|TV Ops"),CHAR(10), IF(ISBLANK('Ingest Template'!O679),"", 'Ingest Template'!O679&amp;"|TV Ops"),CHAR(10), IF(ISBLANK('Ingest Template'!P679),"", 'Ingest Template'!P679&amp;"|TV Ops"))))</f>
        <v>
</v>
      </c>
      <c r="AH679" s="35"/>
      <c r="AI679" s="35"/>
      <c r="AJ679" s="117" t="str">
        <f>if('Ingest Template'!A679="Standard",(IF(OR('Ingest Template'!F679 = "Program Type - Special", 'Ingest Template'!F679 = "Program Type - Live Event"),'Ingest Template'!M679&amp; "|DAR|DAR|"&amp;TEXT('Ingest Template'!C679-3, "yyyy-mm-dd")&amp;"|"&amp;TEXT('Ingest Template'!C679+3, "yyyy-mm-dd"),'Ingest Template'!M679&amp; "|DAR|DAR|2021-01-01")),(IF(OR('Ingest Template'!F679 = "Program Type - Special", 'Ingest Template'!F679 = "Program Type - Live Event"),'Ingest Template'!M679&amp; "|Operations - Core Title|Operations - Core Title|"&amp;TEXT('Ingest Template'!C679-3, "yyyy-mm-dd")&amp;"|"&amp;TEXT('Ingest Template'!C679+3, "yyyy-mm-dd"),'Ingest Template'!M679&amp; "|Operations - Core Title|Operations - Core Title")))</f>
        <v>|Operations - Core Title|Operations - Core Title</v>
      </c>
      <c r="AK679" s="35"/>
      <c r="AL679" s="117" t="str">
        <f>if('Ingest Template'!A679="Standard",(IF(OR('Ingest Template'!F679 = "Program Type - Special", 'Ingest Template'!F679 = "Program Type - Live Event"),'Ingest Template'!Q679&amp;"|"&amp;TEXT('Ingest Template'!C679-3, "yyyy-mm-dd")&amp;"|"&amp;TEXT('Ingest Template'!C679+3, "yyyy-mm-dd"),'Ingest Template'!Q679&amp; "|2021-01-01")),(IF(OR('Ingest Template'!F679 = "Program Type - Special", 'Ingest Template'!F679 = "Program Type - Live Event"),'Ingest Template'!Q679&amp; "|"&amp;TEXT('Ingest Template'!C679-3, "yyyy-mm-dd")&amp;"|"&amp;TEXT('Ingest Template'!C679+3, "yyyy-mm-dd"),'Ingest Template'!Q679)))</f>
        <v/>
      </c>
      <c r="AM679" s="35" t="str">
        <f>'Ingest Template'!AC679</f>
        <v/>
      </c>
    </row>
    <row r="680">
      <c r="A680" s="15"/>
      <c r="B680" s="22" t="str">
        <f>'Ingest Template'!C680&amp;IF('Ingest Template'!A680 = "Standard", " - DAR","")</f>
        <v/>
      </c>
      <c r="C680" s="22" t="s">
        <v>83</v>
      </c>
      <c r="D680" s="22" t="str">
        <f t="array" ref="D680">CONCATENATE(INDEX(DropdownLists!$H$2:$H$11,MATCH(1,COUNTIF('Ingest Template'!E680,"*"&amp;DropdownLists!$I$2:$I$11&amp;"*"),0)),CHAR(10),'Ingest Template'!F680,CHAR(10),'Ingest Template'!G680,CHAR(10),VLOOKUP('Ingest Template'!D680,DropdownLists!C:D,2,FALSE))</f>
        <v>#N/A</v>
      </c>
      <c r="E680" s="22" t="str">
        <f>CONCATENATE('Ingest Template'!H680,CHAR(10),'Ingest Template'!I680,CHAR(10),'Ingest Template'!J680,CHAR(10))</f>
        <v>
</v>
      </c>
      <c r="F680" s="35" t="str">
        <f t="array" ref="F680">INDEX(DropdownLists!$O$2:$O$36,MATCH(1,COUNTIF(E680,"*"&amp;DropdownLists!$N$2:$N$36&amp;"*"),0))</f>
        <v/>
      </c>
      <c r="G680" s="35"/>
      <c r="H680" s="22" t="str">
        <f t="array" ref="H680">INDEX(DropdownLists!$E$2:$E$276,MATCH('Ingest Template'!D680,DropdownLists!$C$2:$C$276,0))</f>
        <v>#N/A</v>
      </c>
      <c r="I680" s="22"/>
      <c r="J680" s="22" t="str">
        <f t="array" ref="J680">iF('Ingest Template'!A680="Standard","Pristine Brand",INDEX(DropdownLists!$B$2:$B$246,MATCH('Ingest Template'!D680,DropdownLists!$C$2:$C$246,0)))</f>
        <v>#N/A</v>
      </c>
      <c r="K680" s="22" t="str">
        <f>iF('Ingest Template'!A680="Standard",'Ingest Template'!K680&amp;CHAR(10)&amp;'Ingest Template'!L680,"Competitive View")</f>
        <v>Competitive View</v>
      </c>
      <c r="L680" s="22" t="s">
        <v>95</v>
      </c>
      <c r="M680" s="45" t="str">
        <f>'Ingest Template'!B680</f>
        <v/>
      </c>
      <c r="N680" s="35"/>
      <c r="O680" s="35"/>
      <c r="P680" s="35"/>
      <c r="Q680" s="35"/>
      <c r="R680" s="35" t="str">
        <f>'Ingest Template'!D680</f>
        <v/>
      </c>
      <c r="S680" s="22" t="s">
        <v>101</v>
      </c>
      <c r="T680" s="35" t="str">
        <f>'Ingest Template'!V680</f>
        <v/>
      </c>
      <c r="U680" s="35" t="str">
        <f>'Ingest Template'!W680</f>
        <v/>
      </c>
      <c r="V680" s="35" t="str">
        <f>LOWER(SUBSTITUTE(SUBSTITUTE(SUBSTITUTE(SUBSTITUTE(SUBSTITUTE('Ingest Template'!X680,"https:",""),"www.",""),"/",""),"?hl=en",""),"instagram.com",""))</f>
        <v/>
      </c>
      <c r="W680" s="74" t="str">
        <f t="array" ref="W680">IF(
'Ingest Template'!Y680="",
SUBSTITUTE(
INDEX(DropdownLists!$F$2:$F$277,MATCH('Ingest Template'!D680,DropdownLists!$C$2:$C$277,0)),
CHAR(10),
"|"&amp;'Ingest Template'!C680&amp;CHAR(10)
)&amp;"|"&amp;'Ingest Template'!C680,
SUBSTITUTE(
INDEX(DropdownLists!$F$2:$F$277,MATCH('Ingest Template'!D680,DropdownLists!$C$2:$C$277,0)),
CHAR(10),
"|"&amp;'Ingest Template'!C680&amp;CHAR(10)
)&amp;"|"&amp;'Ingest Template'!C680&amp;CHAR(10)&amp;'Ingest Template'!Y680
)</f>
        <v>#N/A</v>
      </c>
      <c r="X680" s="74" t="str">
        <f>'Ingest Template'!Z680</f>
        <v/>
      </c>
      <c r="Y680" s="35" t="str">
        <f>SUBSTITUTE(SUBSTITUTE(SUBSTITUTE('Ingest Template'!AA680,"http:",""),"https:",""),"/","")</f>
        <v/>
      </c>
      <c r="Z680" s="35" t="str">
        <f t="array" ref="Z680">IF('Ingest Template'!A680="Standard",(IF(ISBLANK('Ingest Template'!AB680),"", 'Ingest Template'!AB680&amp;"|DAR")),(IF(ISBLANK('Ingest Template'!AB680),"", 'Ingest Template'!AB680&amp;"|TV Ops")))</f>
        <v/>
      </c>
      <c r="AA680" s="35"/>
      <c r="AB680" s="35" t="str">
        <f>'Ingest Template'!R680</f>
        <v/>
      </c>
      <c r="AC680" s="35" t="str">
        <f>'Ingest Template'!T680</f>
        <v/>
      </c>
      <c r="AD680" s="35" t="str">
        <f>'Ingest Template'!S680</f>
        <v/>
      </c>
      <c r="AE680" s="35" t="str">
        <f>'Ingest Template'!U680</f>
        <v/>
      </c>
      <c r="AF680" s="22"/>
      <c r="AG680" s="35" t="str">
        <f t="array" ref="AG680">IF('Ingest Template'!A680="Standard",(CONCATENATE(IF(ISBLANK('Ingest Template'!N680),"", 'Ingest Template'!N680&amp;"|DAR"),CHAR(10), IF(ISBLANK('Ingest Template'!O680),"", 'Ingest Template'!O680&amp;"|DAR"),CHAR(10), IF(ISBLANK('Ingest Template'!P680),"", 'Ingest Template'!P680&amp;"|DAR"))),(CONCATENATE(IF(ISBLANK('Ingest Template'!N680),"", 'Ingest Template'!N680&amp;"|TV Ops"),CHAR(10), IF(ISBLANK('Ingest Template'!O680),"", 'Ingest Template'!O680&amp;"|TV Ops"),CHAR(10), IF(ISBLANK('Ingest Template'!P680),"", 'Ingest Template'!P680&amp;"|TV Ops"))))</f>
        <v>
</v>
      </c>
      <c r="AH680" s="35"/>
      <c r="AI680" s="35"/>
      <c r="AJ680" s="117" t="str">
        <f>if('Ingest Template'!A680="Standard",(IF(OR('Ingest Template'!F680 = "Program Type - Special", 'Ingest Template'!F680 = "Program Type - Live Event"),'Ingest Template'!M680&amp; "|DAR|DAR|"&amp;TEXT('Ingest Template'!C680-3, "yyyy-mm-dd")&amp;"|"&amp;TEXT('Ingest Template'!C680+3, "yyyy-mm-dd"),'Ingest Template'!M680&amp; "|DAR|DAR|2021-01-01")),(IF(OR('Ingest Template'!F680 = "Program Type - Special", 'Ingest Template'!F680 = "Program Type - Live Event"),'Ingest Template'!M680&amp; "|Operations - Core Title|Operations - Core Title|"&amp;TEXT('Ingest Template'!C680-3, "yyyy-mm-dd")&amp;"|"&amp;TEXT('Ingest Template'!C680+3, "yyyy-mm-dd"),'Ingest Template'!M680&amp; "|Operations - Core Title|Operations - Core Title")))</f>
        <v>|Operations - Core Title|Operations - Core Title</v>
      </c>
      <c r="AK680" s="35"/>
      <c r="AL680" s="117" t="str">
        <f>if('Ingest Template'!A680="Standard",(IF(OR('Ingest Template'!F680 = "Program Type - Special", 'Ingest Template'!F680 = "Program Type - Live Event"),'Ingest Template'!Q680&amp;"|"&amp;TEXT('Ingest Template'!C680-3, "yyyy-mm-dd")&amp;"|"&amp;TEXT('Ingest Template'!C680+3, "yyyy-mm-dd"),'Ingest Template'!Q680&amp; "|2021-01-01")),(IF(OR('Ingest Template'!F680 = "Program Type - Special", 'Ingest Template'!F680 = "Program Type - Live Event"),'Ingest Template'!Q680&amp; "|"&amp;TEXT('Ingest Template'!C680-3, "yyyy-mm-dd")&amp;"|"&amp;TEXT('Ingest Template'!C680+3, "yyyy-mm-dd"),'Ingest Template'!Q680)))</f>
        <v/>
      </c>
      <c r="AM680" s="35" t="str">
        <f>'Ingest Template'!AC680</f>
        <v/>
      </c>
    </row>
    <row r="681">
      <c r="A681" s="15"/>
      <c r="B681" s="22" t="str">
        <f>'Ingest Template'!C681&amp;IF('Ingest Template'!A681 = "Standard", " - DAR","")</f>
        <v/>
      </c>
      <c r="C681" s="22" t="s">
        <v>83</v>
      </c>
      <c r="D681" s="22" t="str">
        <f t="array" ref="D681">CONCATENATE(INDEX(DropdownLists!$H$2:$H$11,MATCH(1,COUNTIF('Ingest Template'!E681,"*"&amp;DropdownLists!$I$2:$I$11&amp;"*"),0)),CHAR(10),'Ingest Template'!F681,CHAR(10),'Ingest Template'!G681,CHAR(10),VLOOKUP('Ingest Template'!D681,DropdownLists!C:D,2,FALSE))</f>
        <v>#N/A</v>
      </c>
      <c r="E681" s="22" t="str">
        <f>CONCATENATE('Ingest Template'!H681,CHAR(10),'Ingest Template'!I681,CHAR(10),'Ingest Template'!J681,CHAR(10))</f>
        <v>
</v>
      </c>
      <c r="F681" s="35" t="str">
        <f t="array" ref="F681">INDEX(DropdownLists!$O$2:$O$36,MATCH(1,COUNTIF(E681,"*"&amp;DropdownLists!$N$2:$N$36&amp;"*"),0))</f>
        <v/>
      </c>
      <c r="G681" s="35"/>
      <c r="H681" s="22" t="str">
        <f t="array" ref="H681">INDEX(DropdownLists!$E$2:$E$276,MATCH('Ingest Template'!D681,DropdownLists!$C$2:$C$276,0))</f>
        <v>#N/A</v>
      </c>
      <c r="I681" s="22"/>
      <c r="J681" s="22" t="str">
        <f t="array" ref="J681">iF('Ingest Template'!A681="Standard","Pristine Brand",INDEX(DropdownLists!$B$2:$B$246,MATCH('Ingest Template'!D681,DropdownLists!$C$2:$C$246,0)))</f>
        <v>#N/A</v>
      </c>
      <c r="K681" s="22" t="str">
        <f>iF('Ingest Template'!A681="Standard",'Ingest Template'!K681&amp;CHAR(10)&amp;'Ingest Template'!L681,"Competitive View")</f>
        <v>Competitive View</v>
      </c>
      <c r="L681" s="22" t="s">
        <v>95</v>
      </c>
      <c r="M681" s="45" t="str">
        <f>'Ingest Template'!B681</f>
        <v/>
      </c>
      <c r="N681" s="35"/>
      <c r="O681" s="35"/>
      <c r="P681" s="35"/>
      <c r="Q681" s="35"/>
      <c r="R681" s="35" t="str">
        <f>'Ingest Template'!D681</f>
        <v/>
      </c>
      <c r="S681" s="22" t="s">
        <v>101</v>
      </c>
      <c r="T681" s="35" t="str">
        <f>'Ingest Template'!V681</f>
        <v/>
      </c>
      <c r="U681" s="35" t="str">
        <f>'Ingest Template'!W681</f>
        <v/>
      </c>
      <c r="V681" s="35" t="str">
        <f>LOWER(SUBSTITUTE(SUBSTITUTE(SUBSTITUTE(SUBSTITUTE(SUBSTITUTE('Ingest Template'!X681,"https:",""),"www.",""),"/",""),"?hl=en",""),"instagram.com",""))</f>
        <v/>
      </c>
      <c r="W681" s="74" t="str">
        <f t="array" ref="W681">IF(
'Ingest Template'!Y681="",
SUBSTITUTE(
INDEX(DropdownLists!$F$2:$F$277,MATCH('Ingest Template'!D681,DropdownLists!$C$2:$C$277,0)),
CHAR(10),
"|"&amp;'Ingest Template'!C681&amp;CHAR(10)
)&amp;"|"&amp;'Ingest Template'!C681,
SUBSTITUTE(
INDEX(DropdownLists!$F$2:$F$277,MATCH('Ingest Template'!D681,DropdownLists!$C$2:$C$277,0)),
CHAR(10),
"|"&amp;'Ingest Template'!C681&amp;CHAR(10)
)&amp;"|"&amp;'Ingest Template'!C681&amp;CHAR(10)&amp;'Ingest Template'!Y681
)</f>
        <v>#N/A</v>
      </c>
      <c r="X681" s="74" t="str">
        <f>'Ingest Template'!Z681</f>
        <v/>
      </c>
      <c r="Y681" s="35" t="str">
        <f>SUBSTITUTE(SUBSTITUTE(SUBSTITUTE('Ingest Template'!AA681,"http:",""),"https:",""),"/","")</f>
        <v/>
      </c>
      <c r="Z681" s="35" t="str">
        <f t="array" ref="Z681">IF('Ingest Template'!A681="Standard",(IF(ISBLANK('Ingest Template'!AB681),"", 'Ingest Template'!AB681&amp;"|DAR")),(IF(ISBLANK('Ingest Template'!AB681),"", 'Ingest Template'!AB681&amp;"|TV Ops")))</f>
        <v/>
      </c>
      <c r="AA681" s="35"/>
      <c r="AB681" s="35" t="str">
        <f>'Ingest Template'!R681</f>
        <v/>
      </c>
      <c r="AC681" s="35" t="str">
        <f>'Ingest Template'!T681</f>
        <v/>
      </c>
      <c r="AD681" s="35" t="str">
        <f>'Ingest Template'!S681</f>
        <v/>
      </c>
      <c r="AE681" s="35" t="str">
        <f>'Ingest Template'!U681</f>
        <v/>
      </c>
      <c r="AF681" s="22"/>
      <c r="AG681" s="35" t="str">
        <f t="array" ref="AG681">IF('Ingest Template'!A681="Standard",(CONCATENATE(IF(ISBLANK('Ingest Template'!N681),"", 'Ingest Template'!N681&amp;"|DAR"),CHAR(10), IF(ISBLANK('Ingest Template'!O681),"", 'Ingest Template'!O681&amp;"|DAR"),CHAR(10), IF(ISBLANK('Ingest Template'!P681),"", 'Ingest Template'!P681&amp;"|DAR"))),(CONCATENATE(IF(ISBLANK('Ingest Template'!N681),"", 'Ingest Template'!N681&amp;"|TV Ops"),CHAR(10), IF(ISBLANK('Ingest Template'!O681),"", 'Ingest Template'!O681&amp;"|TV Ops"),CHAR(10), IF(ISBLANK('Ingest Template'!P681),"", 'Ingest Template'!P681&amp;"|TV Ops"))))</f>
        <v>
</v>
      </c>
      <c r="AH681" s="35"/>
      <c r="AI681" s="35"/>
      <c r="AJ681" s="117" t="str">
        <f>if('Ingest Template'!A681="Standard",(IF(OR('Ingest Template'!F681 = "Program Type - Special", 'Ingest Template'!F681 = "Program Type - Live Event"),'Ingest Template'!M681&amp; "|DAR|DAR|"&amp;TEXT('Ingest Template'!C681-3, "yyyy-mm-dd")&amp;"|"&amp;TEXT('Ingest Template'!C681+3, "yyyy-mm-dd"),'Ingest Template'!M681&amp; "|DAR|DAR|2021-01-01")),(IF(OR('Ingest Template'!F681 = "Program Type - Special", 'Ingest Template'!F681 = "Program Type - Live Event"),'Ingest Template'!M681&amp; "|Operations - Core Title|Operations - Core Title|"&amp;TEXT('Ingest Template'!C681-3, "yyyy-mm-dd")&amp;"|"&amp;TEXT('Ingest Template'!C681+3, "yyyy-mm-dd"),'Ingest Template'!M681&amp; "|Operations - Core Title|Operations - Core Title")))</f>
        <v>|Operations - Core Title|Operations - Core Title</v>
      </c>
      <c r="AK681" s="35"/>
      <c r="AL681" s="117" t="str">
        <f>if('Ingest Template'!A681="Standard",(IF(OR('Ingest Template'!F681 = "Program Type - Special", 'Ingest Template'!F681 = "Program Type - Live Event"),'Ingest Template'!Q681&amp;"|"&amp;TEXT('Ingest Template'!C681-3, "yyyy-mm-dd")&amp;"|"&amp;TEXT('Ingest Template'!C681+3, "yyyy-mm-dd"),'Ingest Template'!Q681&amp; "|2021-01-01")),(IF(OR('Ingest Template'!F681 = "Program Type - Special", 'Ingest Template'!F681 = "Program Type - Live Event"),'Ingest Template'!Q681&amp; "|"&amp;TEXT('Ingest Template'!C681-3, "yyyy-mm-dd")&amp;"|"&amp;TEXT('Ingest Template'!C681+3, "yyyy-mm-dd"),'Ingest Template'!Q681)))</f>
        <v/>
      </c>
      <c r="AM681" s="35" t="str">
        <f>'Ingest Template'!AC681</f>
        <v/>
      </c>
    </row>
    <row r="682">
      <c r="A682" s="15"/>
      <c r="B682" s="22" t="str">
        <f>'Ingest Template'!C682&amp;IF('Ingest Template'!A682 = "Standard", " - DAR","")</f>
        <v/>
      </c>
      <c r="C682" s="22" t="s">
        <v>83</v>
      </c>
      <c r="D682" s="22" t="str">
        <f t="array" ref="D682">CONCATENATE(INDEX(DropdownLists!$H$2:$H$11,MATCH(1,COUNTIF('Ingest Template'!E682,"*"&amp;DropdownLists!$I$2:$I$11&amp;"*"),0)),CHAR(10),'Ingest Template'!F682,CHAR(10),'Ingest Template'!G682,CHAR(10),VLOOKUP('Ingest Template'!D682,DropdownLists!C:D,2,FALSE))</f>
        <v>#N/A</v>
      </c>
      <c r="E682" s="22" t="str">
        <f>CONCATENATE('Ingest Template'!H682,CHAR(10),'Ingest Template'!I682,CHAR(10),'Ingest Template'!J682,CHAR(10))</f>
        <v>
</v>
      </c>
      <c r="F682" s="35" t="str">
        <f t="array" ref="F682">INDEX(DropdownLists!$O$2:$O$36,MATCH(1,COUNTIF(E682,"*"&amp;DropdownLists!$N$2:$N$36&amp;"*"),0))</f>
        <v/>
      </c>
      <c r="G682" s="35"/>
      <c r="H682" s="22" t="str">
        <f t="array" ref="H682">INDEX(DropdownLists!$E$2:$E$276,MATCH('Ingest Template'!D682,DropdownLists!$C$2:$C$276,0))</f>
        <v>#N/A</v>
      </c>
      <c r="I682" s="22"/>
      <c r="J682" s="22" t="str">
        <f t="array" ref="J682">iF('Ingest Template'!A682="Standard","Pristine Brand",INDEX(DropdownLists!$B$2:$B$246,MATCH('Ingest Template'!D682,DropdownLists!$C$2:$C$246,0)))</f>
        <v>#N/A</v>
      </c>
      <c r="K682" s="22" t="str">
        <f>iF('Ingest Template'!A682="Standard",'Ingest Template'!K682&amp;CHAR(10)&amp;'Ingest Template'!L682,"Competitive View")</f>
        <v>Competitive View</v>
      </c>
      <c r="L682" s="22" t="s">
        <v>95</v>
      </c>
      <c r="M682" s="45" t="str">
        <f>'Ingest Template'!B682</f>
        <v/>
      </c>
      <c r="N682" s="35"/>
      <c r="O682" s="35"/>
      <c r="P682" s="35"/>
      <c r="Q682" s="35"/>
      <c r="R682" s="35" t="str">
        <f>'Ingest Template'!D682</f>
        <v/>
      </c>
      <c r="S682" s="22" t="s">
        <v>101</v>
      </c>
      <c r="T682" s="35" t="str">
        <f>'Ingest Template'!V682</f>
        <v/>
      </c>
      <c r="U682" s="35" t="str">
        <f>'Ingest Template'!W682</f>
        <v/>
      </c>
      <c r="V682" s="35" t="str">
        <f>LOWER(SUBSTITUTE(SUBSTITUTE(SUBSTITUTE(SUBSTITUTE(SUBSTITUTE('Ingest Template'!X682,"https:",""),"www.",""),"/",""),"?hl=en",""),"instagram.com",""))</f>
        <v/>
      </c>
      <c r="W682" s="74" t="str">
        <f t="array" ref="W682">IF(
'Ingest Template'!Y682="",
SUBSTITUTE(
INDEX(DropdownLists!$F$2:$F$277,MATCH('Ingest Template'!D682,DropdownLists!$C$2:$C$277,0)),
CHAR(10),
"|"&amp;'Ingest Template'!C682&amp;CHAR(10)
)&amp;"|"&amp;'Ingest Template'!C682,
SUBSTITUTE(
INDEX(DropdownLists!$F$2:$F$277,MATCH('Ingest Template'!D682,DropdownLists!$C$2:$C$277,0)),
CHAR(10),
"|"&amp;'Ingest Template'!C682&amp;CHAR(10)
)&amp;"|"&amp;'Ingest Template'!C682&amp;CHAR(10)&amp;'Ingest Template'!Y682
)</f>
        <v>#N/A</v>
      </c>
      <c r="X682" s="74" t="str">
        <f>'Ingest Template'!Z682</f>
        <v/>
      </c>
      <c r="Y682" s="35" t="str">
        <f>SUBSTITUTE(SUBSTITUTE(SUBSTITUTE('Ingest Template'!AA682,"http:",""),"https:",""),"/","")</f>
        <v/>
      </c>
      <c r="Z682" s="35" t="str">
        <f t="array" ref="Z682">IF('Ingest Template'!A682="Standard",(IF(ISBLANK('Ingest Template'!AB682),"", 'Ingest Template'!AB682&amp;"|DAR")),(IF(ISBLANK('Ingest Template'!AB682),"", 'Ingest Template'!AB682&amp;"|TV Ops")))</f>
        <v/>
      </c>
      <c r="AA682" s="35"/>
      <c r="AB682" s="35" t="str">
        <f>'Ingest Template'!R682</f>
        <v/>
      </c>
      <c r="AC682" s="35" t="str">
        <f>'Ingest Template'!T682</f>
        <v/>
      </c>
      <c r="AD682" s="35" t="str">
        <f>'Ingest Template'!S682</f>
        <v/>
      </c>
      <c r="AE682" s="35" t="str">
        <f>'Ingest Template'!U682</f>
        <v/>
      </c>
      <c r="AF682" s="22"/>
      <c r="AG682" s="35" t="str">
        <f t="array" ref="AG682">IF('Ingest Template'!A682="Standard",(CONCATENATE(IF(ISBLANK('Ingest Template'!N682),"", 'Ingest Template'!N682&amp;"|DAR"),CHAR(10), IF(ISBLANK('Ingest Template'!O682),"", 'Ingest Template'!O682&amp;"|DAR"),CHAR(10), IF(ISBLANK('Ingest Template'!P682),"", 'Ingest Template'!P682&amp;"|DAR"))),(CONCATENATE(IF(ISBLANK('Ingest Template'!N682),"", 'Ingest Template'!N682&amp;"|TV Ops"),CHAR(10), IF(ISBLANK('Ingest Template'!O682),"", 'Ingest Template'!O682&amp;"|TV Ops"),CHAR(10), IF(ISBLANK('Ingest Template'!P682),"", 'Ingest Template'!P682&amp;"|TV Ops"))))</f>
        <v>
</v>
      </c>
      <c r="AH682" s="35"/>
      <c r="AI682" s="35"/>
      <c r="AJ682" s="117" t="str">
        <f>if('Ingest Template'!A682="Standard",(IF(OR('Ingest Template'!F682 = "Program Type - Special", 'Ingest Template'!F682 = "Program Type - Live Event"),'Ingest Template'!M682&amp; "|DAR|DAR|"&amp;TEXT('Ingest Template'!C682-3, "yyyy-mm-dd")&amp;"|"&amp;TEXT('Ingest Template'!C682+3, "yyyy-mm-dd"),'Ingest Template'!M682&amp; "|DAR|DAR|2021-01-01")),(IF(OR('Ingest Template'!F682 = "Program Type - Special", 'Ingest Template'!F682 = "Program Type - Live Event"),'Ingest Template'!M682&amp; "|Operations - Core Title|Operations - Core Title|"&amp;TEXT('Ingest Template'!C682-3, "yyyy-mm-dd")&amp;"|"&amp;TEXT('Ingest Template'!C682+3, "yyyy-mm-dd"),'Ingest Template'!M682&amp; "|Operations - Core Title|Operations - Core Title")))</f>
        <v>|Operations - Core Title|Operations - Core Title</v>
      </c>
      <c r="AK682" s="35"/>
      <c r="AL682" s="117" t="str">
        <f>if('Ingest Template'!A682="Standard",(IF(OR('Ingest Template'!F682 = "Program Type - Special", 'Ingest Template'!F682 = "Program Type - Live Event"),'Ingest Template'!Q682&amp;"|"&amp;TEXT('Ingest Template'!C682-3, "yyyy-mm-dd")&amp;"|"&amp;TEXT('Ingest Template'!C682+3, "yyyy-mm-dd"),'Ingest Template'!Q682&amp; "|2021-01-01")),(IF(OR('Ingest Template'!F682 = "Program Type - Special", 'Ingest Template'!F682 = "Program Type - Live Event"),'Ingest Template'!Q682&amp; "|"&amp;TEXT('Ingest Template'!C682-3, "yyyy-mm-dd")&amp;"|"&amp;TEXT('Ingest Template'!C682+3, "yyyy-mm-dd"),'Ingest Template'!Q682)))</f>
        <v/>
      </c>
      <c r="AM682" s="35" t="str">
        <f>'Ingest Template'!AC682</f>
        <v/>
      </c>
    </row>
    <row r="683">
      <c r="A683" s="15"/>
      <c r="B683" s="22" t="str">
        <f>'Ingest Template'!C683&amp;IF('Ingest Template'!A683 = "Standard", " - DAR","")</f>
        <v/>
      </c>
      <c r="C683" s="22" t="s">
        <v>83</v>
      </c>
      <c r="D683" s="22" t="str">
        <f t="array" ref="D683">CONCATENATE(INDEX(DropdownLists!$H$2:$H$11,MATCH(1,COUNTIF('Ingest Template'!E683,"*"&amp;DropdownLists!$I$2:$I$11&amp;"*"),0)),CHAR(10),'Ingest Template'!F683,CHAR(10),'Ingest Template'!G683,CHAR(10),VLOOKUP('Ingest Template'!D683,DropdownLists!C:D,2,FALSE))</f>
        <v>#N/A</v>
      </c>
      <c r="E683" s="22" t="str">
        <f>CONCATENATE('Ingest Template'!H683,CHAR(10),'Ingest Template'!I683,CHAR(10),'Ingest Template'!J683,CHAR(10))</f>
        <v>
</v>
      </c>
      <c r="F683" s="35" t="str">
        <f t="array" ref="F683">INDEX(DropdownLists!$O$2:$O$36,MATCH(1,COUNTIF(E683,"*"&amp;DropdownLists!$N$2:$N$36&amp;"*"),0))</f>
        <v/>
      </c>
      <c r="G683" s="35"/>
      <c r="H683" s="22" t="str">
        <f t="array" ref="H683">INDEX(DropdownLists!$E$2:$E$276,MATCH('Ingest Template'!D683,DropdownLists!$C$2:$C$276,0))</f>
        <v>#N/A</v>
      </c>
      <c r="I683" s="22"/>
      <c r="J683" s="22" t="str">
        <f t="array" ref="J683">iF('Ingest Template'!A683="Standard","Pristine Brand",INDEX(DropdownLists!$B$2:$B$246,MATCH('Ingest Template'!D683,DropdownLists!$C$2:$C$246,0)))</f>
        <v>#N/A</v>
      </c>
      <c r="K683" s="22" t="str">
        <f>iF('Ingest Template'!A683="Standard",'Ingest Template'!K683&amp;CHAR(10)&amp;'Ingest Template'!L683,"Competitive View")</f>
        <v>Competitive View</v>
      </c>
      <c r="L683" s="22" t="s">
        <v>95</v>
      </c>
      <c r="M683" s="45" t="str">
        <f>'Ingest Template'!B683</f>
        <v/>
      </c>
      <c r="N683" s="35"/>
      <c r="O683" s="35"/>
      <c r="P683" s="35"/>
      <c r="Q683" s="35"/>
      <c r="R683" s="35" t="str">
        <f>'Ingest Template'!D683</f>
        <v/>
      </c>
      <c r="S683" s="22" t="s">
        <v>101</v>
      </c>
      <c r="T683" s="35" t="str">
        <f>'Ingest Template'!V683</f>
        <v/>
      </c>
      <c r="U683" s="35" t="str">
        <f>'Ingest Template'!W683</f>
        <v/>
      </c>
      <c r="V683" s="35" t="str">
        <f>LOWER(SUBSTITUTE(SUBSTITUTE(SUBSTITUTE(SUBSTITUTE(SUBSTITUTE('Ingest Template'!X683,"https:",""),"www.",""),"/",""),"?hl=en",""),"instagram.com",""))</f>
        <v/>
      </c>
      <c r="W683" s="74" t="str">
        <f t="array" ref="W683">IF(
'Ingest Template'!Y683="",
SUBSTITUTE(
INDEX(DropdownLists!$F$2:$F$277,MATCH('Ingest Template'!D683,DropdownLists!$C$2:$C$277,0)),
CHAR(10),
"|"&amp;'Ingest Template'!C683&amp;CHAR(10)
)&amp;"|"&amp;'Ingest Template'!C683,
SUBSTITUTE(
INDEX(DropdownLists!$F$2:$F$277,MATCH('Ingest Template'!D683,DropdownLists!$C$2:$C$277,0)),
CHAR(10),
"|"&amp;'Ingest Template'!C683&amp;CHAR(10)
)&amp;"|"&amp;'Ingest Template'!C683&amp;CHAR(10)&amp;'Ingest Template'!Y683
)</f>
        <v>#N/A</v>
      </c>
      <c r="X683" s="74" t="str">
        <f>'Ingest Template'!Z683</f>
        <v/>
      </c>
      <c r="Y683" s="35" t="str">
        <f>SUBSTITUTE(SUBSTITUTE(SUBSTITUTE('Ingest Template'!AA683,"http:",""),"https:",""),"/","")</f>
        <v/>
      </c>
      <c r="Z683" s="35" t="str">
        <f t="array" ref="Z683">IF('Ingest Template'!A683="Standard",(IF(ISBLANK('Ingest Template'!AB683),"", 'Ingest Template'!AB683&amp;"|DAR")),(IF(ISBLANK('Ingest Template'!AB683),"", 'Ingest Template'!AB683&amp;"|TV Ops")))</f>
        <v/>
      </c>
      <c r="AA683" s="35"/>
      <c r="AB683" s="35" t="str">
        <f>'Ingest Template'!R683</f>
        <v/>
      </c>
      <c r="AC683" s="35" t="str">
        <f>'Ingest Template'!T683</f>
        <v/>
      </c>
      <c r="AD683" s="35" t="str">
        <f>'Ingest Template'!S683</f>
        <v/>
      </c>
      <c r="AE683" s="35" t="str">
        <f>'Ingest Template'!U683</f>
        <v/>
      </c>
      <c r="AF683" s="22"/>
      <c r="AG683" s="35" t="str">
        <f t="array" ref="AG683">IF('Ingest Template'!A683="Standard",(CONCATENATE(IF(ISBLANK('Ingest Template'!N683),"", 'Ingest Template'!N683&amp;"|DAR"),CHAR(10), IF(ISBLANK('Ingest Template'!O683),"", 'Ingest Template'!O683&amp;"|DAR"),CHAR(10), IF(ISBLANK('Ingest Template'!P683),"", 'Ingest Template'!P683&amp;"|DAR"))),(CONCATENATE(IF(ISBLANK('Ingest Template'!N683),"", 'Ingest Template'!N683&amp;"|TV Ops"),CHAR(10), IF(ISBLANK('Ingest Template'!O683),"", 'Ingest Template'!O683&amp;"|TV Ops"),CHAR(10), IF(ISBLANK('Ingest Template'!P683),"", 'Ingest Template'!P683&amp;"|TV Ops"))))</f>
        <v>
</v>
      </c>
      <c r="AH683" s="35"/>
      <c r="AI683" s="35"/>
      <c r="AJ683" s="117" t="str">
        <f>if('Ingest Template'!A683="Standard",(IF(OR('Ingest Template'!F683 = "Program Type - Special", 'Ingest Template'!F683 = "Program Type - Live Event"),'Ingest Template'!M683&amp; "|DAR|DAR|"&amp;TEXT('Ingest Template'!C683-3, "yyyy-mm-dd")&amp;"|"&amp;TEXT('Ingest Template'!C683+3, "yyyy-mm-dd"),'Ingest Template'!M683&amp; "|DAR|DAR|2021-01-01")),(IF(OR('Ingest Template'!F683 = "Program Type - Special", 'Ingest Template'!F683 = "Program Type - Live Event"),'Ingest Template'!M683&amp; "|Operations - Core Title|Operations - Core Title|"&amp;TEXT('Ingest Template'!C683-3, "yyyy-mm-dd")&amp;"|"&amp;TEXT('Ingest Template'!C683+3, "yyyy-mm-dd"),'Ingest Template'!M683&amp; "|Operations - Core Title|Operations - Core Title")))</f>
        <v>|Operations - Core Title|Operations - Core Title</v>
      </c>
      <c r="AK683" s="35"/>
      <c r="AL683" s="117" t="str">
        <f>if('Ingest Template'!A683="Standard",(IF(OR('Ingest Template'!F683 = "Program Type - Special", 'Ingest Template'!F683 = "Program Type - Live Event"),'Ingest Template'!Q683&amp;"|"&amp;TEXT('Ingest Template'!C683-3, "yyyy-mm-dd")&amp;"|"&amp;TEXT('Ingest Template'!C683+3, "yyyy-mm-dd"),'Ingest Template'!Q683&amp; "|2021-01-01")),(IF(OR('Ingest Template'!F683 = "Program Type - Special", 'Ingest Template'!F683 = "Program Type - Live Event"),'Ingest Template'!Q683&amp; "|"&amp;TEXT('Ingest Template'!C683-3, "yyyy-mm-dd")&amp;"|"&amp;TEXT('Ingest Template'!C683+3, "yyyy-mm-dd"),'Ingest Template'!Q683)))</f>
        <v/>
      </c>
      <c r="AM683" s="35" t="str">
        <f>'Ingest Template'!AC683</f>
        <v/>
      </c>
    </row>
    <row r="684">
      <c r="A684" s="15"/>
      <c r="B684" s="22" t="str">
        <f>'Ingest Template'!C684&amp;IF('Ingest Template'!A684 = "Standard", " - DAR","")</f>
        <v/>
      </c>
      <c r="C684" s="22" t="s">
        <v>83</v>
      </c>
      <c r="D684" s="22" t="str">
        <f t="array" ref="D684">CONCATENATE(INDEX(DropdownLists!$H$2:$H$11,MATCH(1,COUNTIF('Ingest Template'!E684,"*"&amp;DropdownLists!$I$2:$I$11&amp;"*"),0)),CHAR(10),'Ingest Template'!F684,CHAR(10),'Ingest Template'!G684,CHAR(10),VLOOKUP('Ingest Template'!D684,DropdownLists!C:D,2,FALSE))</f>
        <v>#N/A</v>
      </c>
      <c r="E684" s="22" t="str">
        <f>CONCATENATE('Ingest Template'!H684,CHAR(10),'Ingest Template'!I684,CHAR(10),'Ingest Template'!J684,CHAR(10))</f>
        <v>
</v>
      </c>
      <c r="F684" s="35" t="str">
        <f t="array" ref="F684">INDEX(DropdownLists!$O$2:$O$36,MATCH(1,COUNTIF(E684,"*"&amp;DropdownLists!$N$2:$N$36&amp;"*"),0))</f>
        <v/>
      </c>
      <c r="G684" s="35"/>
      <c r="H684" s="22" t="str">
        <f t="array" ref="H684">INDEX(DropdownLists!$E$2:$E$276,MATCH('Ingest Template'!D684,DropdownLists!$C$2:$C$276,0))</f>
        <v>#N/A</v>
      </c>
      <c r="I684" s="22"/>
      <c r="J684" s="22" t="str">
        <f t="array" ref="J684">iF('Ingest Template'!A684="Standard","Pristine Brand",INDEX(DropdownLists!$B$2:$B$246,MATCH('Ingest Template'!D684,DropdownLists!$C$2:$C$246,0)))</f>
        <v>#N/A</v>
      </c>
      <c r="K684" s="22" t="str">
        <f>iF('Ingest Template'!A684="Standard",'Ingest Template'!K684&amp;CHAR(10)&amp;'Ingest Template'!L684,"Competitive View")</f>
        <v>Competitive View</v>
      </c>
      <c r="L684" s="22" t="s">
        <v>95</v>
      </c>
      <c r="M684" s="45" t="str">
        <f>'Ingest Template'!B684</f>
        <v/>
      </c>
      <c r="N684" s="35"/>
      <c r="O684" s="35"/>
      <c r="P684" s="35"/>
      <c r="Q684" s="35"/>
      <c r="R684" s="35" t="str">
        <f>'Ingest Template'!D684</f>
        <v/>
      </c>
      <c r="S684" s="22" t="s">
        <v>101</v>
      </c>
      <c r="T684" s="35" t="str">
        <f>'Ingest Template'!V684</f>
        <v/>
      </c>
      <c r="U684" s="35" t="str">
        <f>'Ingest Template'!W684</f>
        <v/>
      </c>
      <c r="V684" s="35" t="str">
        <f>LOWER(SUBSTITUTE(SUBSTITUTE(SUBSTITUTE(SUBSTITUTE(SUBSTITUTE('Ingest Template'!X684,"https:",""),"www.",""),"/",""),"?hl=en",""),"instagram.com",""))</f>
        <v/>
      </c>
      <c r="W684" s="74" t="str">
        <f t="array" ref="W684">IF(
'Ingest Template'!Y684="",
SUBSTITUTE(
INDEX(DropdownLists!$F$2:$F$277,MATCH('Ingest Template'!D684,DropdownLists!$C$2:$C$277,0)),
CHAR(10),
"|"&amp;'Ingest Template'!C684&amp;CHAR(10)
)&amp;"|"&amp;'Ingest Template'!C684,
SUBSTITUTE(
INDEX(DropdownLists!$F$2:$F$277,MATCH('Ingest Template'!D684,DropdownLists!$C$2:$C$277,0)),
CHAR(10),
"|"&amp;'Ingest Template'!C684&amp;CHAR(10)
)&amp;"|"&amp;'Ingest Template'!C684&amp;CHAR(10)&amp;'Ingest Template'!Y684
)</f>
        <v>#N/A</v>
      </c>
      <c r="X684" s="74" t="str">
        <f>'Ingest Template'!Z684</f>
        <v/>
      </c>
      <c r="Y684" s="35" t="str">
        <f>SUBSTITUTE(SUBSTITUTE(SUBSTITUTE('Ingest Template'!AA684,"http:",""),"https:",""),"/","")</f>
        <v/>
      </c>
      <c r="Z684" s="35" t="str">
        <f t="array" ref="Z684">IF('Ingest Template'!A684="Standard",(IF(ISBLANK('Ingest Template'!AB684),"", 'Ingest Template'!AB684&amp;"|DAR")),(IF(ISBLANK('Ingest Template'!AB684),"", 'Ingest Template'!AB684&amp;"|TV Ops")))</f>
        <v/>
      </c>
      <c r="AA684" s="35"/>
      <c r="AB684" s="35" t="str">
        <f>'Ingest Template'!R684</f>
        <v/>
      </c>
      <c r="AC684" s="35" t="str">
        <f>'Ingest Template'!T684</f>
        <v/>
      </c>
      <c r="AD684" s="35" t="str">
        <f>'Ingest Template'!S684</f>
        <v/>
      </c>
      <c r="AE684" s="35" t="str">
        <f>'Ingest Template'!U684</f>
        <v/>
      </c>
      <c r="AF684" s="22"/>
      <c r="AG684" s="35" t="str">
        <f t="array" ref="AG684">IF('Ingest Template'!A684="Standard",(CONCATENATE(IF(ISBLANK('Ingest Template'!N684),"", 'Ingest Template'!N684&amp;"|DAR"),CHAR(10), IF(ISBLANK('Ingest Template'!O684),"", 'Ingest Template'!O684&amp;"|DAR"),CHAR(10), IF(ISBLANK('Ingest Template'!P684),"", 'Ingest Template'!P684&amp;"|DAR"))),(CONCATENATE(IF(ISBLANK('Ingest Template'!N684),"", 'Ingest Template'!N684&amp;"|TV Ops"),CHAR(10), IF(ISBLANK('Ingest Template'!O684),"", 'Ingest Template'!O684&amp;"|TV Ops"),CHAR(10), IF(ISBLANK('Ingest Template'!P684),"", 'Ingest Template'!P684&amp;"|TV Ops"))))</f>
        <v>
</v>
      </c>
      <c r="AH684" s="35"/>
      <c r="AI684" s="35"/>
      <c r="AJ684" s="117" t="str">
        <f>if('Ingest Template'!A684="Standard",(IF(OR('Ingest Template'!F684 = "Program Type - Special", 'Ingest Template'!F684 = "Program Type - Live Event"),'Ingest Template'!M684&amp; "|DAR|DAR|"&amp;TEXT('Ingest Template'!C684-3, "yyyy-mm-dd")&amp;"|"&amp;TEXT('Ingest Template'!C684+3, "yyyy-mm-dd"),'Ingest Template'!M684&amp; "|DAR|DAR|2021-01-01")),(IF(OR('Ingest Template'!F684 = "Program Type - Special", 'Ingest Template'!F684 = "Program Type - Live Event"),'Ingest Template'!M684&amp; "|Operations - Core Title|Operations - Core Title|"&amp;TEXT('Ingest Template'!C684-3, "yyyy-mm-dd")&amp;"|"&amp;TEXT('Ingest Template'!C684+3, "yyyy-mm-dd"),'Ingest Template'!M684&amp; "|Operations - Core Title|Operations - Core Title")))</f>
        <v>|Operations - Core Title|Operations - Core Title</v>
      </c>
      <c r="AK684" s="35"/>
      <c r="AL684" s="117" t="str">
        <f>if('Ingest Template'!A684="Standard",(IF(OR('Ingest Template'!F684 = "Program Type - Special", 'Ingest Template'!F684 = "Program Type - Live Event"),'Ingest Template'!Q684&amp;"|"&amp;TEXT('Ingest Template'!C684-3, "yyyy-mm-dd")&amp;"|"&amp;TEXT('Ingest Template'!C684+3, "yyyy-mm-dd"),'Ingest Template'!Q684&amp; "|2021-01-01")),(IF(OR('Ingest Template'!F684 = "Program Type - Special", 'Ingest Template'!F684 = "Program Type - Live Event"),'Ingest Template'!Q684&amp; "|"&amp;TEXT('Ingest Template'!C684-3, "yyyy-mm-dd")&amp;"|"&amp;TEXT('Ingest Template'!C684+3, "yyyy-mm-dd"),'Ingest Template'!Q684)))</f>
        <v/>
      </c>
      <c r="AM684" s="35" t="str">
        <f>'Ingest Template'!AC684</f>
        <v/>
      </c>
    </row>
    <row r="685">
      <c r="A685" s="15"/>
      <c r="B685" s="22" t="str">
        <f>'Ingest Template'!C685&amp;IF('Ingest Template'!A685 = "Standard", " - DAR","")</f>
        <v/>
      </c>
      <c r="C685" s="22" t="s">
        <v>83</v>
      </c>
      <c r="D685" s="22" t="str">
        <f t="array" ref="D685">CONCATENATE(INDEX(DropdownLists!$H$2:$H$11,MATCH(1,COUNTIF('Ingest Template'!E685,"*"&amp;DropdownLists!$I$2:$I$11&amp;"*"),0)),CHAR(10),'Ingest Template'!F685,CHAR(10),'Ingest Template'!G685,CHAR(10),VLOOKUP('Ingest Template'!D685,DropdownLists!C:D,2,FALSE))</f>
        <v>#N/A</v>
      </c>
      <c r="E685" s="22" t="str">
        <f>CONCATENATE('Ingest Template'!H685,CHAR(10),'Ingest Template'!I685,CHAR(10),'Ingest Template'!J685,CHAR(10))</f>
        <v>
</v>
      </c>
      <c r="F685" s="35" t="str">
        <f t="array" ref="F685">INDEX(DropdownLists!$O$2:$O$36,MATCH(1,COUNTIF(E685,"*"&amp;DropdownLists!$N$2:$N$36&amp;"*"),0))</f>
        <v/>
      </c>
      <c r="G685" s="35"/>
      <c r="H685" s="22" t="str">
        <f t="array" ref="H685">INDEX(DropdownLists!$E$2:$E$276,MATCH('Ingest Template'!D685,DropdownLists!$C$2:$C$276,0))</f>
        <v>#N/A</v>
      </c>
      <c r="I685" s="22"/>
      <c r="J685" s="22" t="str">
        <f t="array" ref="J685">iF('Ingest Template'!A685="Standard","Pristine Brand",INDEX(DropdownLists!$B$2:$B$246,MATCH('Ingest Template'!D685,DropdownLists!$C$2:$C$246,0)))</f>
        <v>#N/A</v>
      </c>
      <c r="K685" s="22" t="str">
        <f>iF('Ingest Template'!A685="Standard",'Ingest Template'!K685&amp;CHAR(10)&amp;'Ingest Template'!L685,"Competitive View")</f>
        <v>Competitive View</v>
      </c>
      <c r="L685" s="22" t="s">
        <v>95</v>
      </c>
      <c r="M685" s="45" t="str">
        <f>'Ingest Template'!B685</f>
        <v/>
      </c>
      <c r="N685" s="35"/>
      <c r="O685" s="35"/>
      <c r="P685" s="35"/>
      <c r="Q685" s="35"/>
      <c r="R685" s="35" t="str">
        <f>'Ingest Template'!D685</f>
        <v/>
      </c>
      <c r="S685" s="22" t="s">
        <v>101</v>
      </c>
      <c r="T685" s="35" t="str">
        <f>'Ingest Template'!V685</f>
        <v/>
      </c>
      <c r="U685" s="35" t="str">
        <f>'Ingest Template'!W685</f>
        <v/>
      </c>
      <c r="V685" s="35" t="str">
        <f>LOWER(SUBSTITUTE(SUBSTITUTE(SUBSTITUTE(SUBSTITUTE(SUBSTITUTE('Ingest Template'!X685,"https:",""),"www.",""),"/",""),"?hl=en",""),"instagram.com",""))</f>
        <v/>
      </c>
      <c r="W685" s="74" t="str">
        <f t="array" ref="W685">IF(
'Ingest Template'!Y685="",
SUBSTITUTE(
INDEX(DropdownLists!$F$2:$F$277,MATCH('Ingest Template'!D685,DropdownLists!$C$2:$C$277,0)),
CHAR(10),
"|"&amp;'Ingest Template'!C685&amp;CHAR(10)
)&amp;"|"&amp;'Ingest Template'!C685,
SUBSTITUTE(
INDEX(DropdownLists!$F$2:$F$277,MATCH('Ingest Template'!D685,DropdownLists!$C$2:$C$277,0)),
CHAR(10),
"|"&amp;'Ingest Template'!C685&amp;CHAR(10)
)&amp;"|"&amp;'Ingest Template'!C685&amp;CHAR(10)&amp;'Ingest Template'!Y685
)</f>
        <v>#N/A</v>
      </c>
      <c r="X685" s="74" t="str">
        <f>'Ingest Template'!Z685</f>
        <v/>
      </c>
      <c r="Y685" s="35" t="str">
        <f>SUBSTITUTE(SUBSTITUTE(SUBSTITUTE('Ingest Template'!AA685,"http:",""),"https:",""),"/","")</f>
        <v/>
      </c>
      <c r="Z685" s="35" t="str">
        <f t="array" ref="Z685">IF('Ingest Template'!A685="Standard",(IF(ISBLANK('Ingest Template'!AB685),"", 'Ingest Template'!AB685&amp;"|DAR")),(IF(ISBLANK('Ingest Template'!AB685),"", 'Ingest Template'!AB685&amp;"|TV Ops")))</f>
        <v/>
      </c>
      <c r="AA685" s="35"/>
      <c r="AB685" s="35" t="str">
        <f>'Ingest Template'!R685</f>
        <v/>
      </c>
      <c r="AC685" s="35" t="str">
        <f>'Ingest Template'!T685</f>
        <v/>
      </c>
      <c r="AD685" s="35" t="str">
        <f>'Ingest Template'!S685</f>
        <v/>
      </c>
      <c r="AE685" s="35" t="str">
        <f>'Ingest Template'!U685</f>
        <v/>
      </c>
      <c r="AF685" s="22"/>
      <c r="AG685" s="35" t="str">
        <f t="array" ref="AG685">IF('Ingest Template'!A685="Standard",(CONCATENATE(IF(ISBLANK('Ingest Template'!N685),"", 'Ingest Template'!N685&amp;"|DAR"),CHAR(10), IF(ISBLANK('Ingest Template'!O685),"", 'Ingest Template'!O685&amp;"|DAR"),CHAR(10), IF(ISBLANK('Ingest Template'!P685),"", 'Ingest Template'!P685&amp;"|DAR"))),(CONCATENATE(IF(ISBLANK('Ingest Template'!N685),"", 'Ingest Template'!N685&amp;"|TV Ops"),CHAR(10), IF(ISBLANK('Ingest Template'!O685),"", 'Ingest Template'!O685&amp;"|TV Ops"),CHAR(10), IF(ISBLANK('Ingest Template'!P685),"", 'Ingest Template'!P685&amp;"|TV Ops"))))</f>
        <v>
</v>
      </c>
      <c r="AH685" s="35"/>
      <c r="AI685" s="35"/>
      <c r="AJ685" s="117" t="str">
        <f>if('Ingest Template'!A685="Standard",(IF(OR('Ingest Template'!F685 = "Program Type - Special", 'Ingest Template'!F685 = "Program Type - Live Event"),'Ingest Template'!M685&amp; "|DAR|DAR|"&amp;TEXT('Ingest Template'!C685-3, "yyyy-mm-dd")&amp;"|"&amp;TEXT('Ingest Template'!C685+3, "yyyy-mm-dd"),'Ingest Template'!M685&amp; "|DAR|DAR|2021-01-01")),(IF(OR('Ingest Template'!F685 = "Program Type - Special", 'Ingest Template'!F685 = "Program Type - Live Event"),'Ingest Template'!M685&amp; "|Operations - Core Title|Operations - Core Title|"&amp;TEXT('Ingest Template'!C685-3, "yyyy-mm-dd")&amp;"|"&amp;TEXT('Ingest Template'!C685+3, "yyyy-mm-dd"),'Ingest Template'!M685&amp; "|Operations - Core Title|Operations - Core Title")))</f>
        <v>|Operations - Core Title|Operations - Core Title</v>
      </c>
      <c r="AK685" s="35"/>
      <c r="AL685" s="117" t="str">
        <f>if('Ingest Template'!A685="Standard",(IF(OR('Ingest Template'!F685 = "Program Type - Special", 'Ingest Template'!F685 = "Program Type - Live Event"),'Ingest Template'!Q685&amp;"|"&amp;TEXT('Ingest Template'!C685-3, "yyyy-mm-dd")&amp;"|"&amp;TEXT('Ingest Template'!C685+3, "yyyy-mm-dd"),'Ingest Template'!Q685&amp; "|2021-01-01")),(IF(OR('Ingest Template'!F685 = "Program Type - Special", 'Ingest Template'!F685 = "Program Type - Live Event"),'Ingest Template'!Q685&amp; "|"&amp;TEXT('Ingest Template'!C685-3, "yyyy-mm-dd")&amp;"|"&amp;TEXT('Ingest Template'!C685+3, "yyyy-mm-dd"),'Ingest Template'!Q685)))</f>
        <v/>
      </c>
      <c r="AM685" s="35" t="str">
        <f>'Ingest Template'!AC685</f>
        <v/>
      </c>
    </row>
    <row r="686">
      <c r="A686" s="15"/>
      <c r="B686" s="22" t="str">
        <f>'Ingest Template'!C686&amp;IF('Ingest Template'!A686 = "Standard", " - DAR","")</f>
        <v/>
      </c>
      <c r="C686" s="22" t="s">
        <v>83</v>
      </c>
      <c r="D686" s="22" t="str">
        <f t="array" ref="D686">CONCATENATE(INDEX(DropdownLists!$H$2:$H$11,MATCH(1,COUNTIF('Ingest Template'!E686,"*"&amp;DropdownLists!$I$2:$I$11&amp;"*"),0)),CHAR(10),'Ingest Template'!F686,CHAR(10),'Ingest Template'!G686,CHAR(10),VLOOKUP('Ingest Template'!D686,DropdownLists!C:D,2,FALSE))</f>
        <v>#N/A</v>
      </c>
      <c r="E686" s="22" t="str">
        <f>CONCATENATE('Ingest Template'!H686,CHAR(10),'Ingest Template'!I686,CHAR(10),'Ingest Template'!J686,CHAR(10))</f>
        <v>
</v>
      </c>
      <c r="F686" s="35" t="str">
        <f t="array" ref="F686">INDEX(DropdownLists!$O$2:$O$36,MATCH(1,COUNTIF(E686,"*"&amp;DropdownLists!$N$2:$N$36&amp;"*"),0))</f>
        <v/>
      </c>
      <c r="G686" s="35"/>
      <c r="H686" s="22" t="str">
        <f t="array" ref="H686">INDEX(DropdownLists!$E$2:$E$276,MATCH('Ingest Template'!D686,DropdownLists!$C$2:$C$276,0))</f>
        <v>#N/A</v>
      </c>
      <c r="I686" s="22"/>
      <c r="J686" s="22" t="str">
        <f t="array" ref="J686">iF('Ingest Template'!A686="Standard","Pristine Brand",INDEX(DropdownLists!$B$2:$B$246,MATCH('Ingest Template'!D686,DropdownLists!$C$2:$C$246,0)))</f>
        <v>#N/A</v>
      </c>
      <c r="K686" s="22" t="str">
        <f>iF('Ingest Template'!A686="Standard",'Ingest Template'!K686&amp;CHAR(10)&amp;'Ingest Template'!L686,"Competitive View")</f>
        <v>Competitive View</v>
      </c>
      <c r="L686" s="22" t="s">
        <v>95</v>
      </c>
      <c r="M686" s="45" t="str">
        <f>'Ingest Template'!B686</f>
        <v/>
      </c>
      <c r="N686" s="35"/>
      <c r="O686" s="35"/>
      <c r="P686" s="35"/>
      <c r="Q686" s="35"/>
      <c r="R686" s="35" t="str">
        <f>'Ingest Template'!D686</f>
        <v/>
      </c>
      <c r="S686" s="22" t="s">
        <v>101</v>
      </c>
      <c r="T686" s="35" t="str">
        <f>'Ingest Template'!V686</f>
        <v/>
      </c>
      <c r="U686" s="35" t="str">
        <f>'Ingest Template'!W686</f>
        <v/>
      </c>
      <c r="V686" s="35" t="str">
        <f>LOWER(SUBSTITUTE(SUBSTITUTE(SUBSTITUTE(SUBSTITUTE(SUBSTITUTE('Ingest Template'!X686,"https:",""),"www.",""),"/",""),"?hl=en",""),"instagram.com",""))</f>
        <v/>
      </c>
      <c r="W686" s="74" t="str">
        <f t="array" ref="W686">IF(
'Ingest Template'!Y686="",
SUBSTITUTE(
INDEX(DropdownLists!$F$2:$F$277,MATCH('Ingest Template'!D686,DropdownLists!$C$2:$C$277,0)),
CHAR(10),
"|"&amp;'Ingest Template'!C686&amp;CHAR(10)
)&amp;"|"&amp;'Ingest Template'!C686,
SUBSTITUTE(
INDEX(DropdownLists!$F$2:$F$277,MATCH('Ingest Template'!D686,DropdownLists!$C$2:$C$277,0)),
CHAR(10),
"|"&amp;'Ingest Template'!C686&amp;CHAR(10)
)&amp;"|"&amp;'Ingest Template'!C686&amp;CHAR(10)&amp;'Ingest Template'!Y686
)</f>
        <v>#N/A</v>
      </c>
      <c r="X686" s="74" t="str">
        <f>'Ingest Template'!Z686</f>
        <v/>
      </c>
      <c r="Y686" s="35" t="str">
        <f>SUBSTITUTE(SUBSTITUTE(SUBSTITUTE('Ingest Template'!AA686,"http:",""),"https:",""),"/","")</f>
        <v/>
      </c>
      <c r="Z686" s="35" t="str">
        <f t="array" ref="Z686">IF('Ingest Template'!A686="Standard",(IF(ISBLANK('Ingest Template'!AB686),"", 'Ingest Template'!AB686&amp;"|DAR")),(IF(ISBLANK('Ingest Template'!AB686),"", 'Ingest Template'!AB686&amp;"|TV Ops")))</f>
        <v/>
      </c>
      <c r="AA686" s="35"/>
      <c r="AB686" s="35" t="str">
        <f>'Ingest Template'!R686</f>
        <v/>
      </c>
      <c r="AC686" s="35" t="str">
        <f>'Ingest Template'!T686</f>
        <v/>
      </c>
      <c r="AD686" s="35" t="str">
        <f>'Ingest Template'!S686</f>
        <v/>
      </c>
      <c r="AE686" s="35" t="str">
        <f>'Ingest Template'!U686</f>
        <v/>
      </c>
      <c r="AF686" s="22"/>
      <c r="AG686" s="35" t="str">
        <f t="array" ref="AG686">IF('Ingest Template'!A686="Standard",(CONCATENATE(IF(ISBLANK('Ingest Template'!N686),"", 'Ingest Template'!N686&amp;"|DAR"),CHAR(10), IF(ISBLANK('Ingest Template'!O686),"", 'Ingest Template'!O686&amp;"|DAR"),CHAR(10), IF(ISBLANK('Ingest Template'!P686),"", 'Ingest Template'!P686&amp;"|DAR"))),(CONCATENATE(IF(ISBLANK('Ingest Template'!N686),"", 'Ingest Template'!N686&amp;"|TV Ops"),CHAR(10), IF(ISBLANK('Ingest Template'!O686),"", 'Ingest Template'!O686&amp;"|TV Ops"),CHAR(10), IF(ISBLANK('Ingest Template'!P686),"", 'Ingest Template'!P686&amp;"|TV Ops"))))</f>
        <v>
</v>
      </c>
      <c r="AH686" s="35"/>
      <c r="AI686" s="35"/>
      <c r="AJ686" s="117" t="str">
        <f>if('Ingest Template'!A686="Standard",(IF(OR('Ingest Template'!F686 = "Program Type - Special", 'Ingest Template'!F686 = "Program Type - Live Event"),'Ingest Template'!M686&amp; "|DAR|DAR|"&amp;TEXT('Ingest Template'!C686-3, "yyyy-mm-dd")&amp;"|"&amp;TEXT('Ingest Template'!C686+3, "yyyy-mm-dd"),'Ingest Template'!M686&amp; "|DAR|DAR|2021-01-01")),(IF(OR('Ingest Template'!F686 = "Program Type - Special", 'Ingest Template'!F686 = "Program Type - Live Event"),'Ingest Template'!M686&amp; "|Operations - Core Title|Operations - Core Title|"&amp;TEXT('Ingest Template'!C686-3, "yyyy-mm-dd")&amp;"|"&amp;TEXT('Ingest Template'!C686+3, "yyyy-mm-dd"),'Ingest Template'!M686&amp; "|Operations - Core Title|Operations - Core Title")))</f>
        <v>|Operations - Core Title|Operations - Core Title</v>
      </c>
      <c r="AK686" s="35"/>
      <c r="AL686" s="117" t="str">
        <f>if('Ingest Template'!A686="Standard",(IF(OR('Ingest Template'!F686 = "Program Type - Special", 'Ingest Template'!F686 = "Program Type - Live Event"),'Ingest Template'!Q686&amp;"|"&amp;TEXT('Ingest Template'!C686-3, "yyyy-mm-dd")&amp;"|"&amp;TEXT('Ingest Template'!C686+3, "yyyy-mm-dd"),'Ingest Template'!Q686&amp; "|2021-01-01")),(IF(OR('Ingest Template'!F686 = "Program Type - Special", 'Ingest Template'!F686 = "Program Type - Live Event"),'Ingest Template'!Q686&amp; "|"&amp;TEXT('Ingest Template'!C686-3, "yyyy-mm-dd")&amp;"|"&amp;TEXT('Ingest Template'!C686+3, "yyyy-mm-dd"),'Ingest Template'!Q686)))</f>
        <v/>
      </c>
      <c r="AM686" s="35" t="str">
        <f>'Ingest Template'!AC686</f>
        <v/>
      </c>
    </row>
    <row r="687">
      <c r="A687" s="15"/>
      <c r="B687" s="22" t="str">
        <f>'Ingest Template'!C687&amp;IF('Ingest Template'!A687 = "Standard", " - DAR","")</f>
        <v/>
      </c>
      <c r="C687" s="22" t="s">
        <v>83</v>
      </c>
      <c r="D687" s="22" t="str">
        <f t="array" ref="D687">CONCATENATE(INDEX(DropdownLists!$H$2:$H$11,MATCH(1,COUNTIF('Ingest Template'!E687,"*"&amp;DropdownLists!$I$2:$I$11&amp;"*"),0)),CHAR(10),'Ingest Template'!F687,CHAR(10),'Ingest Template'!G687,CHAR(10),VLOOKUP('Ingest Template'!D687,DropdownLists!C:D,2,FALSE))</f>
        <v>#N/A</v>
      </c>
      <c r="E687" s="22" t="str">
        <f>CONCATENATE('Ingest Template'!H687,CHAR(10),'Ingest Template'!I687,CHAR(10),'Ingest Template'!J687,CHAR(10))</f>
        <v>
</v>
      </c>
      <c r="F687" s="35" t="str">
        <f t="array" ref="F687">INDEX(DropdownLists!$O$2:$O$36,MATCH(1,COUNTIF(E687,"*"&amp;DropdownLists!$N$2:$N$36&amp;"*"),0))</f>
        <v/>
      </c>
      <c r="G687" s="35"/>
      <c r="H687" s="22" t="str">
        <f t="array" ref="H687">INDEX(DropdownLists!$E$2:$E$276,MATCH('Ingest Template'!D687,DropdownLists!$C$2:$C$276,0))</f>
        <v>#N/A</v>
      </c>
      <c r="I687" s="22"/>
      <c r="J687" s="22" t="str">
        <f t="array" ref="J687">iF('Ingest Template'!A687="Standard","Pristine Brand",INDEX(DropdownLists!$B$2:$B$246,MATCH('Ingest Template'!D687,DropdownLists!$C$2:$C$246,0)))</f>
        <v>#N/A</v>
      </c>
      <c r="K687" s="22" t="str">
        <f>iF('Ingest Template'!A687="Standard",'Ingest Template'!K687&amp;CHAR(10)&amp;'Ingest Template'!L687,"Competitive View")</f>
        <v>Competitive View</v>
      </c>
      <c r="L687" s="22" t="s">
        <v>95</v>
      </c>
      <c r="M687" s="45" t="str">
        <f>'Ingest Template'!B687</f>
        <v/>
      </c>
      <c r="N687" s="35"/>
      <c r="O687" s="35"/>
      <c r="P687" s="35"/>
      <c r="Q687" s="35"/>
      <c r="R687" s="35" t="str">
        <f>'Ingest Template'!D687</f>
        <v/>
      </c>
      <c r="S687" s="22" t="s">
        <v>101</v>
      </c>
      <c r="T687" s="35" t="str">
        <f>'Ingest Template'!V687</f>
        <v/>
      </c>
      <c r="U687" s="35" t="str">
        <f>'Ingest Template'!W687</f>
        <v/>
      </c>
      <c r="V687" s="35" t="str">
        <f>LOWER(SUBSTITUTE(SUBSTITUTE(SUBSTITUTE(SUBSTITUTE(SUBSTITUTE('Ingest Template'!X687,"https:",""),"www.",""),"/",""),"?hl=en",""),"instagram.com",""))</f>
        <v/>
      </c>
      <c r="W687" s="74" t="str">
        <f t="array" ref="W687">IF(
'Ingest Template'!Y687="",
SUBSTITUTE(
INDEX(DropdownLists!$F$2:$F$277,MATCH('Ingest Template'!D687,DropdownLists!$C$2:$C$277,0)),
CHAR(10),
"|"&amp;'Ingest Template'!C687&amp;CHAR(10)
)&amp;"|"&amp;'Ingest Template'!C687,
SUBSTITUTE(
INDEX(DropdownLists!$F$2:$F$277,MATCH('Ingest Template'!D687,DropdownLists!$C$2:$C$277,0)),
CHAR(10),
"|"&amp;'Ingest Template'!C687&amp;CHAR(10)
)&amp;"|"&amp;'Ingest Template'!C687&amp;CHAR(10)&amp;'Ingest Template'!Y687
)</f>
        <v>#N/A</v>
      </c>
      <c r="X687" s="74" t="str">
        <f>'Ingest Template'!Z687</f>
        <v/>
      </c>
      <c r="Y687" s="35" t="str">
        <f>SUBSTITUTE(SUBSTITUTE(SUBSTITUTE('Ingest Template'!AA687,"http:",""),"https:",""),"/","")</f>
        <v/>
      </c>
      <c r="Z687" s="35" t="str">
        <f t="array" ref="Z687">IF('Ingest Template'!A687="Standard",(IF(ISBLANK('Ingest Template'!AB687),"", 'Ingest Template'!AB687&amp;"|DAR")),(IF(ISBLANK('Ingest Template'!AB687),"", 'Ingest Template'!AB687&amp;"|TV Ops")))</f>
        <v/>
      </c>
      <c r="AA687" s="35"/>
      <c r="AB687" s="35" t="str">
        <f>'Ingest Template'!R687</f>
        <v/>
      </c>
      <c r="AC687" s="35" t="str">
        <f>'Ingest Template'!T687</f>
        <v/>
      </c>
      <c r="AD687" s="35" t="str">
        <f>'Ingest Template'!S687</f>
        <v/>
      </c>
      <c r="AE687" s="35" t="str">
        <f>'Ingest Template'!U687</f>
        <v/>
      </c>
      <c r="AF687" s="22"/>
      <c r="AG687" s="35" t="str">
        <f t="array" ref="AG687">IF('Ingest Template'!A687="Standard",(CONCATENATE(IF(ISBLANK('Ingest Template'!N687),"", 'Ingest Template'!N687&amp;"|DAR"),CHAR(10), IF(ISBLANK('Ingest Template'!O687),"", 'Ingest Template'!O687&amp;"|DAR"),CHAR(10), IF(ISBLANK('Ingest Template'!P687),"", 'Ingest Template'!P687&amp;"|DAR"))),(CONCATENATE(IF(ISBLANK('Ingest Template'!N687),"", 'Ingest Template'!N687&amp;"|TV Ops"),CHAR(10), IF(ISBLANK('Ingest Template'!O687),"", 'Ingest Template'!O687&amp;"|TV Ops"),CHAR(10), IF(ISBLANK('Ingest Template'!P687),"", 'Ingest Template'!P687&amp;"|TV Ops"))))</f>
        <v>
</v>
      </c>
      <c r="AH687" s="35"/>
      <c r="AI687" s="35"/>
      <c r="AJ687" s="117" t="str">
        <f>if('Ingest Template'!A687="Standard",(IF(OR('Ingest Template'!F687 = "Program Type - Special", 'Ingest Template'!F687 = "Program Type - Live Event"),'Ingest Template'!M687&amp; "|DAR|DAR|"&amp;TEXT('Ingest Template'!C687-3, "yyyy-mm-dd")&amp;"|"&amp;TEXT('Ingest Template'!C687+3, "yyyy-mm-dd"),'Ingest Template'!M687&amp; "|DAR|DAR|2021-01-01")),(IF(OR('Ingest Template'!F687 = "Program Type - Special", 'Ingest Template'!F687 = "Program Type - Live Event"),'Ingest Template'!M687&amp; "|Operations - Core Title|Operations - Core Title|"&amp;TEXT('Ingest Template'!C687-3, "yyyy-mm-dd")&amp;"|"&amp;TEXT('Ingest Template'!C687+3, "yyyy-mm-dd"),'Ingest Template'!M687&amp; "|Operations - Core Title|Operations - Core Title")))</f>
        <v>|Operations - Core Title|Operations - Core Title</v>
      </c>
      <c r="AK687" s="35"/>
      <c r="AL687" s="117" t="str">
        <f>if('Ingest Template'!A687="Standard",(IF(OR('Ingest Template'!F687 = "Program Type - Special", 'Ingest Template'!F687 = "Program Type - Live Event"),'Ingest Template'!Q687&amp;"|"&amp;TEXT('Ingest Template'!C687-3, "yyyy-mm-dd")&amp;"|"&amp;TEXT('Ingest Template'!C687+3, "yyyy-mm-dd"),'Ingest Template'!Q687&amp; "|2021-01-01")),(IF(OR('Ingest Template'!F687 = "Program Type - Special", 'Ingest Template'!F687 = "Program Type - Live Event"),'Ingest Template'!Q687&amp; "|"&amp;TEXT('Ingest Template'!C687-3, "yyyy-mm-dd")&amp;"|"&amp;TEXT('Ingest Template'!C687+3, "yyyy-mm-dd"),'Ingest Template'!Q687)))</f>
        <v/>
      </c>
      <c r="AM687" s="35" t="str">
        <f>'Ingest Template'!AC687</f>
        <v/>
      </c>
    </row>
    <row r="688">
      <c r="A688" s="15"/>
      <c r="B688" s="22" t="str">
        <f>'Ingest Template'!C688&amp;IF('Ingest Template'!A688 = "Standard", " - DAR","")</f>
        <v/>
      </c>
      <c r="C688" s="22" t="s">
        <v>83</v>
      </c>
      <c r="D688" s="22" t="str">
        <f t="array" ref="D688">CONCATENATE(INDEX(DropdownLists!$H$2:$H$11,MATCH(1,COUNTIF('Ingest Template'!E688,"*"&amp;DropdownLists!$I$2:$I$11&amp;"*"),0)),CHAR(10),'Ingest Template'!F688,CHAR(10),'Ingest Template'!G688,CHAR(10),VLOOKUP('Ingest Template'!D688,DropdownLists!C:D,2,FALSE))</f>
        <v>#N/A</v>
      </c>
      <c r="E688" s="22" t="str">
        <f>CONCATENATE('Ingest Template'!H688,CHAR(10),'Ingest Template'!I688,CHAR(10),'Ingest Template'!J688,CHAR(10))</f>
        <v>
</v>
      </c>
      <c r="F688" s="35" t="str">
        <f t="array" ref="F688">INDEX(DropdownLists!$O$2:$O$36,MATCH(1,COUNTIF(E688,"*"&amp;DropdownLists!$N$2:$N$36&amp;"*"),0))</f>
        <v/>
      </c>
      <c r="G688" s="35"/>
      <c r="H688" s="22" t="str">
        <f t="array" ref="H688">INDEX(DropdownLists!$E$2:$E$276,MATCH('Ingest Template'!D688,DropdownLists!$C$2:$C$276,0))</f>
        <v>#N/A</v>
      </c>
      <c r="I688" s="22"/>
      <c r="J688" s="22" t="str">
        <f t="array" ref="J688">iF('Ingest Template'!A688="Standard","Pristine Brand",INDEX(DropdownLists!$B$2:$B$246,MATCH('Ingest Template'!D688,DropdownLists!$C$2:$C$246,0)))</f>
        <v>#N/A</v>
      </c>
      <c r="K688" s="22" t="str">
        <f>iF('Ingest Template'!A688="Standard",'Ingest Template'!K688&amp;CHAR(10)&amp;'Ingest Template'!L688,"Competitive View")</f>
        <v>Competitive View</v>
      </c>
      <c r="L688" s="22" t="s">
        <v>95</v>
      </c>
      <c r="M688" s="45" t="str">
        <f>'Ingest Template'!B688</f>
        <v/>
      </c>
      <c r="N688" s="35"/>
      <c r="O688" s="35"/>
      <c r="P688" s="35"/>
      <c r="Q688" s="35"/>
      <c r="R688" s="35" t="str">
        <f>'Ingest Template'!D688</f>
        <v/>
      </c>
      <c r="S688" s="22" t="s">
        <v>101</v>
      </c>
      <c r="T688" s="35" t="str">
        <f>'Ingest Template'!V688</f>
        <v/>
      </c>
      <c r="U688" s="35" t="str">
        <f>'Ingest Template'!W688</f>
        <v/>
      </c>
      <c r="V688" s="35" t="str">
        <f>LOWER(SUBSTITUTE(SUBSTITUTE(SUBSTITUTE(SUBSTITUTE(SUBSTITUTE('Ingest Template'!X688,"https:",""),"www.",""),"/",""),"?hl=en",""),"instagram.com",""))</f>
        <v/>
      </c>
      <c r="W688" s="74" t="str">
        <f t="array" ref="W688">IF(
'Ingest Template'!Y688="",
SUBSTITUTE(
INDEX(DropdownLists!$F$2:$F$277,MATCH('Ingest Template'!D688,DropdownLists!$C$2:$C$277,0)),
CHAR(10),
"|"&amp;'Ingest Template'!C688&amp;CHAR(10)
)&amp;"|"&amp;'Ingest Template'!C688,
SUBSTITUTE(
INDEX(DropdownLists!$F$2:$F$277,MATCH('Ingest Template'!D688,DropdownLists!$C$2:$C$277,0)),
CHAR(10),
"|"&amp;'Ingest Template'!C688&amp;CHAR(10)
)&amp;"|"&amp;'Ingest Template'!C688&amp;CHAR(10)&amp;'Ingest Template'!Y688
)</f>
        <v>#N/A</v>
      </c>
      <c r="X688" s="74" t="str">
        <f>'Ingest Template'!Z688</f>
        <v/>
      </c>
      <c r="Y688" s="35" t="str">
        <f>SUBSTITUTE(SUBSTITUTE(SUBSTITUTE('Ingest Template'!AA688,"http:",""),"https:",""),"/","")</f>
        <v/>
      </c>
      <c r="Z688" s="35" t="str">
        <f t="array" ref="Z688">IF('Ingest Template'!A688="Standard",(IF(ISBLANK('Ingest Template'!AB688),"", 'Ingest Template'!AB688&amp;"|DAR")),(IF(ISBLANK('Ingest Template'!AB688),"", 'Ingest Template'!AB688&amp;"|TV Ops")))</f>
        <v/>
      </c>
      <c r="AA688" s="35"/>
      <c r="AB688" s="35" t="str">
        <f>'Ingest Template'!R688</f>
        <v/>
      </c>
      <c r="AC688" s="35" t="str">
        <f>'Ingest Template'!T688</f>
        <v/>
      </c>
      <c r="AD688" s="35" t="str">
        <f>'Ingest Template'!S688</f>
        <v/>
      </c>
      <c r="AE688" s="35" t="str">
        <f>'Ingest Template'!U688</f>
        <v/>
      </c>
      <c r="AF688" s="22"/>
      <c r="AG688" s="35" t="str">
        <f t="array" ref="AG688">IF('Ingest Template'!A688="Standard",(CONCATENATE(IF(ISBLANK('Ingest Template'!N688),"", 'Ingest Template'!N688&amp;"|DAR"),CHAR(10), IF(ISBLANK('Ingest Template'!O688),"", 'Ingest Template'!O688&amp;"|DAR"),CHAR(10), IF(ISBLANK('Ingest Template'!P688),"", 'Ingest Template'!P688&amp;"|DAR"))),(CONCATENATE(IF(ISBLANK('Ingest Template'!N688),"", 'Ingest Template'!N688&amp;"|TV Ops"),CHAR(10), IF(ISBLANK('Ingest Template'!O688),"", 'Ingest Template'!O688&amp;"|TV Ops"),CHAR(10), IF(ISBLANK('Ingest Template'!P688),"", 'Ingest Template'!P688&amp;"|TV Ops"))))</f>
        <v>
</v>
      </c>
      <c r="AH688" s="35"/>
      <c r="AI688" s="35"/>
      <c r="AJ688" s="117" t="str">
        <f>if('Ingest Template'!A688="Standard",(IF(OR('Ingest Template'!F688 = "Program Type - Special", 'Ingest Template'!F688 = "Program Type - Live Event"),'Ingest Template'!M688&amp; "|DAR|DAR|"&amp;TEXT('Ingest Template'!C688-3, "yyyy-mm-dd")&amp;"|"&amp;TEXT('Ingest Template'!C688+3, "yyyy-mm-dd"),'Ingest Template'!M688&amp; "|DAR|DAR|2021-01-01")),(IF(OR('Ingest Template'!F688 = "Program Type - Special", 'Ingest Template'!F688 = "Program Type - Live Event"),'Ingest Template'!M688&amp; "|Operations - Core Title|Operations - Core Title|"&amp;TEXT('Ingest Template'!C688-3, "yyyy-mm-dd")&amp;"|"&amp;TEXT('Ingest Template'!C688+3, "yyyy-mm-dd"),'Ingest Template'!M688&amp; "|Operations - Core Title|Operations - Core Title")))</f>
        <v>|Operations - Core Title|Operations - Core Title</v>
      </c>
      <c r="AK688" s="35"/>
      <c r="AL688" s="117" t="str">
        <f>if('Ingest Template'!A688="Standard",(IF(OR('Ingest Template'!F688 = "Program Type - Special", 'Ingest Template'!F688 = "Program Type - Live Event"),'Ingest Template'!Q688&amp;"|"&amp;TEXT('Ingest Template'!C688-3, "yyyy-mm-dd")&amp;"|"&amp;TEXT('Ingest Template'!C688+3, "yyyy-mm-dd"),'Ingest Template'!Q688&amp; "|2021-01-01")),(IF(OR('Ingest Template'!F688 = "Program Type - Special", 'Ingest Template'!F688 = "Program Type - Live Event"),'Ingest Template'!Q688&amp; "|"&amp;TEXT('Ingest Template'!C688-3, "yyyy-mm-dd")&amp;"|"&amp;TEXT('Ingest Template'!C688+3, "yyyy-mm-dd"),'Ingest Template'!Q688)))</f>
        <v/>
      </c>
      <c r="AM688" s="35" t="str">
        <f>'Ingest Template'!AC688</f>
        <v/>
      </c>
    </row>
    <row r="689">
      <c r="A689" s="15"/>
      <c r="B689" s="22" t="str">
        <f>'Ingest Template'!C689&amp;IF('Ingest Template'!A689 = "Standard", " - DAR","")</f>
        <v/>
      </c>
      <c r="C689" s="22" t="s">
        <v>83</v>
      </c>
      <c r="D689" s="22" t="str">
        <f t="array" ref="D689">CONCATENATE(INDEX(DropdownLists!$H$2:$H$11,MATCH(1,COUNTIF('Ingest Template'!E689,"*"&amp;DropdownLists!$I$2:$I$11&amp;"*"),0)),CHAR(10),'Ingest Template'!F689,CHAR(10),'Ingest Template'!G689,CHAR(10),VLOOKUP('Ingest Template'!D689,DropdownLists!C:D,2,FALSE))</f>
        <v>#N/A</v>
      </c>
      <c r="E689" s="22" t="str">
        <f>CONCATENATE('Ingest Template'!H689,CHAR(10),'Ingest Template'!I689,CHAR(10),'Ingest Template'!J689,CHAR(10))</f>
        <v>
</v>
      </c>
      <c r="F689" s="35" t="str">
        <f t="array" ref="F689">INDEX(DropdownLists!$O$2:$O$36,MATCH(1,COUNTIF(E689,"*"&amp;DropdownLists!$N$2:$N$36&amp;"*"),0))</f>
        <v/>
      </c>
      <c r="G689" s="35"/>
      <c r="H689" s="22" t="str">
        <f t="array" ref="H689">INDEX(DropdownLists!$E$2:$E$276,MATCH('Ingest Template'!D689,DropdownLists!$C$2:$C$276,0))</f>
        <v>#N/A</v>
      </c>
      <c r="I689" s="22"/>
      <c r="J689" s="22" t="str">
        <f t="array" ref="J689">iF('Ingest Template'!A689="Standard","Pristine Brand",INDEX(DropdownLists!$B$2:$B$246,MATCH('Ingest Template'!D689,DropdownLists!$C$2:$C$246,0)))</f>
        <v>#N/A</v>
      </c>
      <c r="K689" s="22" t="str">
        <f>iF('Ingest Template'!A689="Standard",'Ingest Template'!K689&amp;CHAR(10)&amp;'Ingest Template'!L689,"Competitive View")</f>
        <v>Competitive View</v>
      </c>
      <c r="L689" s="22" t="s">
        <v>95</v>
      </c>
      <c r="M689" s="45" t="str">
        <f>'Ingest Template'!B689</f>
        <v/>
      </c>
      <c r="N689" s="35"/>
      <c r="O689" s="35"/>
      <c r="P689" s="35"/>
      <c r="Q689" s="35"/>
      <c r="R689" s="35" t="str">
        <f>'Ingest Template'!D689</f>
        <v/>
      </c>
      <c r="S689" s="22" t="s">
        <v>101</v>
      </c>
      <c r="T689" s="35" t="str">
        <f>'Ingest Template'!V689</f>
        <v/>
      </c>
      <c r="U689" s="35" t="str">
        <f>'Ingest Template'!W689</f>
        <v/>
      </c>
      <c r="V689" s="35" t="str">
        <f>LOWER(SUBSTITUTE(SUBSTITUTE(SUBSTITUTE(SUBSTITUTE(SUBSTITUTE('Ingest Template'!X689,"https:",""),"www.",""),"/",""),"?hl=en",""),"instagram.com",""))</f>
        <v/>
      </c>
      <c r="W689" s="74" t="str">
        <f t="array" ref="W689">IF(
'Ingest Template'!Y689="",
SUBSTITUTE(
INDEX(DropdownLists!$F$2:$F$277,MATCH('Ingest Template'!D689,DropdownLists!$C$2:$C$277,0)),
CHAR(10),
"|"&amp;'Ingest Template'!C689&amp;CHAR(10)
)&amp;"|"&amp;'Ingest Template'!C689,
SUBSTITUTE(
INDEX(DropdownLists!$F$2:$F$277,MATCH('Ingest Template'!D689,DropdownLists!$C$2:$C$277,0)),
CHAR(10),
"|"&amp;'Ingest Template'!C689&amp;CHAR(10)
)&amp;"|"&amp;'Ingest Template'!C689&amp;CHAR(10)&amp;'Ingest Template'!Y689
)</f>
        <v>#N/A</v>
      </c>
      <c r="X689" s="74" t="str">
        <f>'Ingest Template'!Z689</f>
        <v/>
      </c>
      <c r="Y689" s="35" t="str">
        <f>SUBSTITUTE(SUBSTITUTE(SUBSTITUTE('Ingest Template'!AA689,"http:",""),"https:",""),"/","")</f>
        <v/>
      </c>
      <c r="Z689" s="35" t="str">
        <f t="array" ref="Z689">IF('Ingest Template'!A689="Standard",(IF(ISBLANK('Ingest Template'!AB689),"", 'Ingest Template'!AB689&amp;"|DAR")),(IF(ISBLANK('Ingest Template'!AB689),"", 'Ingest Template'!AB689&amp;"|TV Ops")))</f>
        <v/>
      </c>
      <c r="AA689" s="35"/>
      <c r="AB689" s="35" t="str">
        <f>'Ingest Template'!R689</f>
        <v/>
      </c>
      <c r="AC689" s="35" t="str">
        <f>'Ingest Template'!T689</f>
        <v/>
      </c>
      <c r="AD689" s="35" t="str">
        <f>'Ingest Template'!S689</f>
        <v/>
      </c>
      <c r="AE689" s="35" t="str">
        <f>'Ingest Template'!U689</f>
        <v/>
      </c>
      <c r="AF689" s="22"/>
      <c r="AG689" s="35" t="str">
        <f t="array" ref="AG689">IF('Ingest Template'!A689="Standard",(CONCATENATE(IF(ISBLANK('Ingest Template'!N689),"", 'Ingest Template'!N689&amp;"|DAR"),CHAR(10), IF(ISBLANK('Ingest Template'!O689),"", 'Ingest Template'!O689&amp;"|DAR"),CHAR(10), IF(ISBLANK('Ingest Template'!P689),"", 'Ingest Template'!P689&amp;"|DAR"))),(CONCATENATE(IF(ISBLANK('Ingest Template'!N689),"", 'Ingest Template'!N689&amp;"|TV Ops"),CHAR(10), IF(ISBLANK('Ingest Template'!O689),"", 'Ingest Template'!O689&amp;"|TV Ops"),CHAR(10), IF(ISBLANK('Ingest Template'!P689),"", 'Ingest Template'!P689&amp;"|TV Ops"))))</f>
        <v>
</v>
      </c>
      <c r="AH689" s="35"/>
      <c r="AI689" s="35"/>
      <c r="AJ689" s="117" t="str">
        <f>if('Ingest Template'!A689="Standard",(IF(OR('Ingest Template'!F689 = "Program Type - Special", 'Ingest Template'!F689 = "Program Type - Live Event"),'Ingest Template'!M689&amp; "|DAR|DAR|"&amp;TEXT('Ingest Template'!C689-3, "yyyy-mm-dd")&amp;"|"&amp;TEXT('Ingest Template'!C689+3, "yyyy-mm-dd"),'Ingest Template'!M689&amp; "|DAR|DAR|2021-01-01")),(IF(OR('Ingest Template'!F689 = "Program Type - Special", 'Ingest Template'!F689 = "Program Type - Live Event"),'Ingest Template'!M689&amp; "|Operations - Core Title|Operations - Core Title|"&amp;TEXT('Ingest Template'!C689-3, "yyyy-mm-dd")&amp;"|"&amp;TEXT('Ingest Template'!C689+3, "yyyy-mm-dd"),'Ingest Template'!M689&amp; "|Operations - Core Title|Operations - Core Title")))</f>
        <v>|Operations - Core Title|Operations - Core Title</v>
      </c>
      <c r="AK689" s="35"/>
      <c r="AL689" s="117" t="str">
        <f>if('Ingest Template'!A689="Standard",(IF(OR('Ingest Template'!F689 = "Program Type - Special", 'Ingest Template'!F689 = "Program Type - Live Event"),'Ingest Template'!Q689&amp;"|"&amp;TEXT('Ingest Template'!C689-3, "yyyy-mm-dd")&amp;"|"&amp;TEXT('Ingest Template'!C689+3, "yyyy-mm-dd"),'Ingest Template'!Q689&amp; "|2021-01-01")),(IF(OR('Ingest Template'!F689 = "Program Type - Special", 'Ingest Template'!F689 = "Program Type - Live Event"),'Ingest Template'!Q689&amp; "|"&amp;TEXT('Ingest Template'!C689-3, "yyyy-mm-dd")&amp;"|"&amp;TEXT('Ingest Template'!C689+3, "yyyy-mm-dd"),'Ingest Template'!Q689)))</f>
        <v/>
      </c>
      <c r="AM689" s="35" t="str">
        <f>'Ingest Template'!AC689</f>
        <v/>
      </c>
    </row>
    <row r="690">
      <c r="A690" s="15"/>
      <c r="B690" s="22" t="str">
        <f>'Ingest Template'!C690&amp;IF('Ingest Template'!A690 = "Standard", " - DAR","")</f>
        <v/>
      </c>
      <c r="C690" s="22" t="s">
        <v>83</v>
      </c>
      <c r="D690" s="22" t="str">
        <f t="array" ref="D690">CONCATENATE(INDEX(DropdownLists!$H$2:$H$11,MATCH(1,COUNTIF('Ingest Template'!E690,"*"&amp;DropdownLists!$I$2:$I$11&amp;"*"),0)),CHAR(10),'Ingest Template'!F690,CHAR(10),'Ingest Template'!G690,CHAR(10),VLOOKUP('Ingest Template'!D690,DropdownLists!C:D,2,FALSE))</f>
        <v>#N/A</v>
      </c>
      <c r="E690" s="22" t="str">
        <f>CONCATENATE('Ingest Template'!H690,CHAR(10),'Ingest Template'!I690,CHAR(10),'Ingest Template'!J690,CHAR(10))</f>
        <v>
</v>
      </c>
      <c r="F690" s="35" t="str">
        <f t="array" ref="F690">INDEX(DropdownLists!$O$2:$O$36,MATCH(1,COUNTIF(E690,"*"&amp;DropdownLists!$N$2:$N$36&amp;"*"),0))</f>
        <v/>
      </c>
      <c r="G690" s="35"/>
      <c r="H690" s="22" t="str">
        <f t="array" ref="H690">INDEX(DropdownLists!$E$2:$E$276,MATCH('Ingest Template'!D690,DropdownLists!$C$2:$C$276,0))</f>
        <v>#N/A</v>
      </c>
      <c r="I690" s="22"/>
      <c r="J690" s="22" t="str">
        <f t="array" ref="J690">iF('Ingest Template'!A690="Standard","Pristine Brand",INDEX(DropdownLists!$B$2:$B$246,MATCH('Ingest Template'!D690,DropdownLists!$C$2:$C$246,0)))</f>
        <v>#N/A</v>
      </c>
      <c r="K690" s="22" t="str">
        <f>iF('Ingest Template'!A690="Standard",'Ingest Template'!K690&amp;CHAR(10)&amp;'Ingest Template'!L690,"Competitive View")</f>
        <v>Competitive View</v>
      </c>
      <c r="L690" s="22" t="s">
        <v>95</v>
      </c>
      <c r="M690" s="45" t="str">
        <f>'Ingest Template'!B690</f>
        <v/>
      </c>
      <c r="N690" s="35"/>
      <c r="O690" s="35"/>
      <c r="P690" s="35"/>
      <c r="Q690" s="35"/>
      <c r="R690" s="35" t="str">
        <f>'Ingest Template'!D690</f>
        <v/>
      </c>
      <c r="S690" s="22" t="s">
        <v>101</v>
      </c>
      <c r="T690" s="35" t="str">
        <f>'Ingest Template'!V690</f>
        <v/>
      </c>
      <c r="U690" s="35" t="str">
        <f>'Ingest Template'!W690</f>
        <v/>
      </c>
      <c r="V690" s="35" t="str">
        <f>LOWER(SUBSTITUTE(SUBSTITUTE(SUBSTITUTE(SUBSTITUTE(SUBSTITUTE('Ingest Template'!X690,"https:",""),"www.",""),"/",""),"?hl=en",""),"instagram.com",""))</f>
        <v/>
      </c>
      <c r="W690" s="74" t="str">
        <f t="array" ref="W690">IF(
'Ingest Template'!Y690="",
SUBSTITUTE(
INDEX(DropdownLists!$F$2:$F$277,MATCH('Ingest Template'!D690,DropdownLists!$C$2:$C$277,0)),
CHAR(10),
"|"&amp;'Ingest Template'!C690&amp;CHAR(10)
)&amp;"|"&amp;'Ingest Template'!C690,
SUBSTITUTE(
INDEX(DropdownLists!$F$2:$F$277,MATCH('Ingest Template'!D690,DropdownLists!$C$2:$C$277,0)),
CHAR(10),
"|"&amp;'Ingest Template'!C690&amp;CHAR(10)
)&amp;"|"&amp;'Ingest Template'!C690&amp;CHAR(10)&amp;'Ingest Template'!Y690
)</f>
        <v>#N/A</v>
      </c>
      <c r="X690" s="74" t="str">
        <f>'Ingest Template'!Z690</f>
        <v/>
      </c>
      <c r="Y690" s="35" t="str">
        <f>SUBSTITUTE(SUBSTITUTE(SUBSTITUTE('Ingest Template'!AA690,"http:",""),"https:",""),"/","")</f>
        <v/>
      </c>
      <c r="Z690" s="35" t="str">
        <f t="array" ref="Z690">IF('Ingest Template'!A690="Standard",(IF(ISBLANK('Ingest Template'!AB690),"", 'Ingest Template'!AB690&amp;"|DAR")),(IF(ISBLANK('Ingest Template'!AB690),"", 'Ingest Template'!AB690&amp;"|TV Ops")))</f>
        <v/>
      </c>
      <c r="AA690" s="35"/>
      <c r="AB690" s="35" t="str">
        <f>'Ingest Template'!R690</f>
        <v/>
      </c>
      <c r="AC690" s="35" t="str">
        <f>'Ingest Template'!T690</f>
        <v/>
      </c>
      <c r="AD690" s="35" t="str">
        <f>'Ingest Template'!S690</f>
        <v/>
      </c>
      <c r="AE690" s="35" t="str">
        <f>'Ingest Template'!U690</f>
        <v/>
      </c>
      <c r="AF690" s="22"/>
      <c r="AG690" s="35" t="str">
        <f t="array" ref="AG690">IF('Ingest Template'!A690="Standard",(CONCATENATE(IF(ISBLANK('Ingest Template'!N690),"", 'Ingest Template'!N690&amp;"|DAR"),CHAR(10), IF(ISBLANK('Ingest Template'!O690),"", 'Ingest Template'!O690&amp;"|DAR"),CHAR(10), IF(ISBLANK('Ingest Template'!P690),"", 'Ingest Template'!P690&amp;"|DAR"))),(CONCATENATE(IF(ISBLANK('Ingest Template'!N690),"", 'Ingest Template'!N690&amp;"|TV Ops"),CHAR(10), IF(ISBLANK('Ingest Template'!O690),"", 'Ingest Template'!O690&amp;"|TV Ops"),CHAR(10), IF(ISBLANK('Ingest Template'!P690),"", 'Ingest Template'!P690&amp;"|TV Ops"))))</f>
        <v>
</v>
      </c>
      <c r="AH690" s="35"/>
      <c r="AI690" s="35"/>
      <c r="AJ690" s="117" t="str">
        <f>if('Ingest Template'!A690="Standard",(IF(OR('Ingest Template'!F690 = "Program Type - Special", 'Ingest Template'!F690 = "Program Type - Live Event"),'Ingest Template'!M690&amp; "|DAR|DAR|"&amp;TEXT('Ingest Template'!C690-3, "yyyy-mm-dd")&amp;"|"&amp;TEXT('Ingest Template'!C690+3, "yyyy-mm-dd"),'Ingest Template'!M690&amp; "|DAR|DAR|2021-01-01")),(IF(OR('Ingest Template'!F690 = "Program Type - Special", 'Ingest Template'!F690 = "Program Type - Live Event"),'Ingest Template'!M690&amp; "|Operations - Core Title|Operations - Core Title|"&amp;TEXT('Ingest Template'!C690-3, "yyyy-mm-dd")&amp;"|"&amp;TEXT('Ingest Template'!C690+3, "yyyy-mm-dd"),'Ingest Template'!M690&amp; "|Operations - Core Title|Operations - Core Title")))</f>
        <v>|Operations - Core Title|Operations - Core Title</v>
      </c>
      <c r="AK690" s="35"/>
      <c r="AL690" s="117" t="str">
        <f>if('Ingest Template'!A690="Standard",(IF(OR('Ingest Template'!F690 = "Program Type - Special", 'Ingest Template'!F690 = "Program Type - Live Event"),'Ingest Template'!Q690&amp;"|"&amp;TEXT('Ingest Template'!C690-3, "yyyy-mm-dd")&amp;"|"&amp;TEXT('Ingest Template'!C690+3, "yyyy-mm-dd"),'Ingest Template'!Q690&amp; "|2021-01-01")),(IF(OR('Ingest Template'!F690 = "Program Type - Special", 'Ingest Template'!F690 = "Program Type - Live Event"),'Ingest Template'!Q690&amp; "|"&amp;TEXT('Ingest Template'!C690-3, "yyyy-mm-dd")&amp;"|"&amp;TEXT('Ingest Template'!C690+3, "yyyy-mm-dd"),'Ingest Template'!Q690)))</f>
        <v/>
      </c>
      <c r="AM690" s="35" t="str">
        <f>'Ingest Template'!AC690</f>
        <v/>
      </c>
    </row>
    <row r="691">
      <c r="A691" s="15"/>
      <c r="B691" s="22" t="str">
        <f>'Ingest Template'!C691&amp;IF('Ingest Template'!A691 = "Standard", " - DAR","")</f>
        <v/>
      </c>
      <c r="C691" s="22" t="s">
        <v>83</v>
      </c>
      <c r="D691" s="22" t="str">
        <f t="array" ref="D691">CONCATENATE(INDEX(DropdownLists!$H$2:$H$11,MATCH(1,COUNTIF('Ingest Template'!E691,"*"&amp;DropdownLists!$I$2:$I$11&amp;"*"),0)),CHAR(10),'Ingest Template'!F691,CHAR(10),'Ingest Template'!G691,CHAR(10),VLOOKUP('Ingest Template'!D691,DropdownLists!C:D,2,FALSE))</f>
        <v>#N/A</v>
      </c>
      <c r="E691" s="22" t="str">
        <f>CONCATENATE('Ingest Template'!H691,CHAR(10),'Ingest Template'!I691,CHAR(10),'Ingest Template'!J691,CHAR(10))</f>
        <v>
</v>
      </c>
      <c r="F691" s="35" t="str">
        <f t="array" ref="F691">INDEX(DropdownLists!$O$2:$O$36,MATCH(1,COUNTIF(E691,"*"&amp;DropdownLists!$N$2:$N$36&amp;"*"),0))</f>
        <v/>
      </c>
      <c r="G691" s="35"/>
      <c r="H691" s="22" t="str">
        <f t="array" ref="H691">INDEX(DropdownLists!$E$2:$E$276,MATCH('Ingest Template'!D691,DropdownLists!$C$2:$C$276,0))</f>
        <v>#N/A</v>
      </c>
      <c r="I691" s="22"/>
      <c r="J691" s="22" t="str">
        <f t="array" ref="J691">iF('Ingest Template'!A691="Standard","Pristine Brand",INDEX(DropdownLists!$B$2:$B$246,MATCH('Ingest Template'!D691,DropdownLists!$C$2:$C$246,0)))</f>
        <v>#N/A</v>
      </c>
      <c r="K691" s="22" t="str">
        <f>iF('Ingest Template'!A691="Standard",'Ingest Template'!K691&amp;CHAR(10)&amp;'Ingest Template'!L691,"Competitive View")</f>
        <v>Competitive View</v>
      </c>
      <c r="L691" s="22" t="s">
        <v>95</v>
      </c>
      <c r="M691" s="45" t="str">
        <f>'Ingest Template'!B691</f>
        <v/>
      </c>
      <c r="N691" s="35"/>
      <c r="O691" s="35"/>
      <c r="P691" s="35"/>
      <c r="Q691" s="35"/>
      <c r="R691" s="35" t="str">
        <f>'Ingest Template'!D691</f>
        <v/>
      </c>
      <c r="S691" s="22" t="s">
        <v>101</v>
      </c>
      <c r="T691" s="35" t="str">
        <f>'Ingest Template'!V691</f>
        <v/>
      </c>
      <c r="U691" s="35" t="str">
        <f>'Ingest Template'!W691</f>
        <v/>
      </c>
      <c r="V691" s="35" t="str">
        <f>LOWER(SUBSTITUTE(SUBSTITUTE(SUBSTITUTE(SUBSTITUTE(SUBSTITUTE('Ingest Template'!X691,"https:",""),"www.",""),"/",""),"?hl=en",""),"instagram.com",""))</f>
        <v/>
      </c>
      <c r="W691" s="74" t="str">
        <f t="array" ref="W691">IF(
'Ingest Template'!Y691="",
SUBSTITUTE(
INDEX(DropdownLists!$F$2:$F$277,MATCH('Ingest Template'!D691,DropdownLists!$C$2:$C$277,0)),
CHAR(10),
"|"&amp;'Ingest Template'!C691&amp;CHAR(10)
)&amp;"|"&amp;'Ingest Template'!C691,
SUBSTITUTE(
INDEX(DropdownLists!$F$2:$F$277,MATCH('Ingest Template'!D691,DropdownLists!$C$2:$C$277,0)),
CHAR(10),
"|"&amp;'Ingest Template'!C691&amp;CHAR(10)
)&amp;"|"&amp;'Ingest Template'!C691&amp;CHAR(10)&amp;'Ingest Template'!Y691
)</f>
        <v>#N/A</v>
      </c>
      <c r="X691" s="74" t="str">
        <f>'Ingest Template'!Z691</f>
        <v/>
      </c>
      <c r="Y691" s="35" t="str">
        <f>SUBSTITUTE(SUBSTITUTE(SUBSTITUTE('Ingest Template'!AA691,"http:",""),"https:",""),"/","")</f>
        <v/>
      </c>
      <c r="Z691" s="35" t="str">
        <f t="array" ref="Z691">IF('Ingest Template'!A691="Standard",(IF(ISBLANK('Ingest Template'!AB691),"", 'Ingest Template'!AB691&amp;"|DAR")),(IF(ISBLANK('Ingest Template'!AB691),"", 'Ingest Template'!AB691&amp;"|TV Ops")))</f>
        <v/>
      </c>
      <c r="AA691" s="35"/>
      <c r="AB691" s="35" t="str">
        <f>'Ingest Template'!R691</f>
        <v/>
      </c>
      <c r="AC691" s="35" t="str">
        <f>'Ingest Template'!T691</f>
        <v/>
      </c>
      <c r="AD691" s="35" t="str">
        <f>'Ingest Template'!S691</f>
        <v/>
      </c>
      <c r="AE691" s="35" t="str">
        <f>'Ingest Template'!U691</f>
        <v/>
      </c>
      <c r="AF691" s="22"/>
      <c r="AG691" s="35" t="str">
        <f t="array" ref="AG691">IF('Ingest Template'!A691="Standard",(CONCATENATE(IF(ISBLANK('Ingest Template'!N691),"", 'Ingest Template'!N691&amp;"|DAR"),CHAR(10), IF(ISBLANK('Ingest Template'!O691),"", 'Ingest Template'!O691&amp;"|DAR"),CHAR(10), IF(ISBLANK('Ingest Template'!P691),"", 'Ingest Template'!P691&amp;"|DAR"))),(CONCATENATE(IF(ISBLANK('Ingest Template'!N691),"", 'Ingest Template'!N691&amp;"|TV Ops"),CHAR(10), IF(ISBLANK('Ingest Template'!O691),"", 'Ingest Template'!O691&amp;"|TV Ops"),CHAR(10), IF(ISBLANK('Ingest Template'!P691),"", 'Ingest Template'!P691&amp;"|TV Ops"))))</f>
        <v>
</v>
      </c>
      <c r="AH691" s="35"/>
      <c r="AI691" s="35"/>
      <c r="AJ691" s="117" t="str">
        <f>if('Ingest Template'!A691="Standard",(IF(OR('Ingest Template'!F691 = "Program Type - Special", 'Ingest Template'!F691 = "Program Type - Live Event"),'Ingest Template'!M691&amp; "|DAR|DAR|"&amp;TEXT('Ingest Template'!C691-3, "yyyy-mm-dd")&amp;"|"&amp;TEXT('Ingest Template'!C691+3, "yyyy-mm-dd"),'Ingest Template'!M691&amp; "|DAR|DAR|2021-01-01")),(IF(OR('Ingest Template'!F691 = "Program Type - Special", 'Ingest Template'!F691 = "Program Type - Live Event"),'Ingest Template'!M691&amp; "|Operations - Core Title|Operations - Core Title|"&amp;TEXT('Ingest Template'!C691-3, "yyyy-mm-dd")&amp;"|"&amp;TEXT('Ingest Template'!C691+3, "yyyy-mm-dd"),'Ingest Template'!M691&amp; "|Operations - Core Title|Operations - Core Title")))</f>
        <v>|Operations - Core Title|Operations - Core Title</v>
      </c>
      <c r="AK691" s="35"/>
      <c r="AL691" s="117" t="str">
        <f>if('Ingest Template'!A691="Standard",(IF(OR('Ingest Template'!F691 = "Program Type - Special", 'Ingest Template'!F691 = "Program Type - Live Event"),'Ingest Template'!Q691&amp;"|"&amp;TEXT('Ingest Template'!C691-3, "yyyy-mm-dd")&amp;"|"&amp;TEXT('Ingest Template'!C691+3, "yyyy-mm-dd"),'Ingest Template'!Q691&amp; "|2021-01-01")),(IF(OR('Ingest Template'!F691 = "Program Type - Special", 'Ingest Template'!F691 = "Program Type - Live Event"),'Ingest Template'!Q691&amp; "|"&amp;TEXT('Ingest Template'!C691-3, "yyyy-mm-dd")&amp;"|"&amp;TEXT('Ingest Template'!C691+3, "yyyy-mm-dd"),'Ingest Template'!Q691)))</f>
        <v/>
      </c>
      <c r="AM691" s="35" t="str">
        <f>'Ingest Template'!AC691</f>
        <v/>
      </c>
    </row>
    <row r="692">
      <c r="A692" s="15"/>
      <c r="B692" s="22" t="str">
        <f>'Ingest Template'!C692&amp;IF('Ingest Template'!A692 = "Standard", " - DAR","")</f>
        <v/>
      </c>
      <c r="C692" s="22" t="s">
        <v>83</v>
      </c>
      <c r="D692" s="22" t="str">
        <f t="array" ref="D692">CONCATENATE(INDEX(DropdownLists!$H$2:$H$11,MATCH(1,COUNTIF('Ingest Template'!E692,"*"&amp;DropdownLists!$I$2:$I$11&amp;"*"),0)),CHAR(10),'Ingest Template'!F692,CHAR(10),'Ingest Template'!G692,CHAR(10),VLOOKUP('Ingest Template'!D692,DropdownLists!C:D,2,FALSE))</f>
        <v>#N/A</v>
      </c>
      <c r="E692" s="22" t="str">
        <f>CONCATENATE('Ingest Template'!H692,CHAR(10),'Ingest Template'!I692,CHAR(10),'Ingest Template'!J692,CHAR(10))</f>
        <v>
</v>
      </c>
      <c r="F692" s="35" t="str">
        <f t="array" ref="F692">INDEX(DropdownLists!$O$2:$O$36,MATCH(1,COUNTIF(E692,"*"&amp;DropdownLists!$N$2:$N$36&amp;"*"),0))</f>
        <v/>
      </c>
      <c r="G692" s="35"/>
      <c r="H692" s="22" t="str">
        <f t="array" ref="H692">INDEX(DropdownLists!$E$2:$E$276,MATCH('Ingest Template'!D692,DropdownLists!$C$2:$C$276,0))</f>
        <v>#N/A</v>
      </c>
      <c r="I692" s="22"/>
      <c r="J692" s="22" t="str">
        <f t="array" ref="J692">iF('Ingest Template'!A692="Standard","Pristine Brand",INDEX(DropdownLists!$B$2:$B$246,MATCH('Ingest Template'!D692,DropdownLists!$C$2:$C$246,0)))</f>
        <v>#N/A</v>
      </c>
      <c r="K692" s="22" t="str">
        <f>iF('Ingest Template'!A692="Standard",'Ingest Template'!K692&amp;CHAR(10)&amp;'Ingest Template'!L692,"Competitive View")</f>
        <v>Competitive View</v>
      </c>
      <c r="L692" s="22" t="s">
        <v>95</v>
      </c>
      <c r="M692" s="45" t="str">
        <f>'Ingest Template'!B692</f>
        <v/>
      </c>
      <c r="N692" s="35"/>
      <c r="O692" s="35"/>
      <c r="P692" s="35"/>
      <c r="Q692" s="35"/>
      <c r="R692" s="35" t="str">
        <f>'Ingest Template'!D692</f>
        <v/>
      </c>
      <c r="S692" s="22" t="s">
        <v>101</v>
      </c>
      <c r="T692" s="35" t="str">
        <f>'Ingest Template'!V692</f>
        <v/>
      </c>
      <c r="U692" s="35" t="str">
        <f>'Ingest Template'!W692</f>
        <v/>
      </c>
      <c r="V692" s="35" t="str">
        <f>LOWER(SUBSTITUTE(SUBSTITUTE(SUBSTITUTE(SUBSTITUTE(SUBSTITUTE('Ingest Template'!X692,"https:",""),"www.",""),"/",""),"?hl=en",""),"instagram.com",""))</f>
        <v/>
      </c>
      <c r="W692" s="74" t="str">
        <f t="array" ref="W692">IF(
'Ingest Template'!Y692="",
SUBSTITUTE(
INDEX(DropdownLists!$F$2:$F$277,MATCH('Ingest Template'!D692,DropdownLists!$C$2:$C$277,0)),
CHAR(10),
"|"&amp;'Ingest Template'!C692&amp;CHAR(10)
)&amp;"|"&amp;'Ingest Template'!C692,
SUBSTITUTE(
INDEX(DropdownLists!$F$2:$F$277,MATCH('Ingest Template'!D692,DropdownLists!$C$2:$C$277,0)),
CHAR(10),
"|"&amp;'Ingest Template'!C692&amp;CHAR(10)
)&amp;"|"&amp;'Ingest Template'!C692&amp;CHAR(10)&amp;'Ingest Template'!Y692
)</f>
        <v>#N/A</v>
      </c>
      <c r="X692" s="74" t="str">
        <f>'Ingest Template'!Z692</f>
        <v/>
      </c>
      <c r="Y692" s="35" t="str">
        <f>SUBSTITUTE(SUBSTITUTE(SUBSTITUTE('Ingest Template'!AA692,"http:",""),"https:",""),"/","")</f>
        <v/>
      </c>
      <c r="Z692" s="35" t="str">
        <f t="array" ref="Z692">IF('Ingest Template'!A692="Standard",(IF(ISBLANK('Ingest Template'!AB692),"", 'Ingest Template'!AB692&amp;"|DAR")),(IF(ISBLANK('Ingest Template'!AB692),"", 'Ingest Template'!AB692&amp;"|TV Ops")))</f>
        <v/>
      </c>
      <c r="AA692" s="35"/>
      <c r="AB692" s="35" t="str">
        <f>'Ingest Template'!R692</f>
        <v/>
      </c>
      <c r="AC692" s="35" t="str">
        <f>'Ingest Template'!T692</f>
        <v/>
      </c>
      <c r="AD692" s="35" t="str">
        <f>'Ingest Template'!S692</f>
        <v/>
      </c>
      <c r="AE692" s="35" t="str">
        <f>'Ingest Template'!U692</f>
        <v/>
      </c>
      <c r="AF692" s="22"/>
      <c r="AG692" s="35" t="str">
        <f t="array" ref="AG692">IF('Ingest Template'!A692="Standard",(CONCATENATE(IF(ISBLANK('Ingest Template'!N692),"", 'Ingest Template'!N692&amp;"|DAR"),CHAR(10), IF(ISBLANK('Ingest Template'!O692),"", 'Ingest Template'!O692&amp;"|DAR"),CHAR(10), IF(ISBLANK('Ingest Template'!P692),"", 'Ingest Template'!P692&amp;"|DAR"))),(CONCATENATE(IF(ISBLANK('Ingest Template'!N692),"", 'Ingest Template'!N692&amp;"|TV Ops"),CHAR(10), IF(ISBLANK('Ingest Template'!O692),"", 'Ingest Template'!O692&amp;"|TV Ops"),CHAR(10), IF(ISBLANK('Ingest Template'!P692),"", 'Ingest Template'!P692&amp;"|TV Ops"))))</f>
        <v>
</v>
      </c>
      <c r="AH692" s="35"/>
      <c r="AI692" s="35"/>
      <c r="AJ692" s="117" t="str">
        <f>if('Ingest Template'!A692="Standard",(IF(OR('Ingest Template'!F692 = "Program Type - Special", 'Ingest Template'!F692 = "Program Type - Live Event"),'Ingest Template'!M692&amp; "|DAR|DAR|"&amp;TEXT('Ingest Template'!C692-3, "yyyy-mm-dd")&amp;"|"&amp;TEXT('Ingest Template'!C692+3, "yyyy-mm-dd"),'Ingest Template'!M692&amp; "|DAR|DAR|2021-01-01")),(IF(OR('Ingest Template'!F692 = "Program Type - Special", 'Ingest Template'!F692 = "Program Type - Live Event"),'Ingest Template'!M692&amp; "|Operations - Core Title|Operations - Core Title|"&amp;TEXT('Ingest Template'!C692-3, "yyyy-mm-dd")&amp;"|"&amp;TEXT('Ingest Template'!C692+3, "yyyy-mm-dd"),'Ingest Template'!M692&amp; "|Operations - Core Title|Operations - Core Title")))</f>
        <v>|Operations - Core Title|Operations - Core Title</v>
      </c>
      <c r="AK692" s="35"/>
      <c r="AL692" s="117" t="str">
        <f>if('Ingest Template'!A692="Standard",(IF(OR('Ingest Template'!F692 = "Program Type - Special", 'Ingest Template'!F692 = "Program Type - Live Event"),'Ingest Template'!Q692&amp;"|"&amp;TEXT('Ingest Template'!C692-3, "yyyy-mm-dd")&amp;"|"&amp;TEXT('Ingest Template'!C692+3, "yyyy-mm-dd"),'Ingest Template'!Q692&amp; "|2021-01-01")),(IF(OR('Ingest Template'!F692 = "Program Type - Special", 'Ingest Template'!F692 = "Program Type - Live Event"),'Ingest Template'!Q692&amp; "|"&amp;TEXT('Ingest Template'!C692-3, "yyyy-mm-dd")&amp;"|"&amp;TEXT('Ingest Template'!C692+3, "yyyy-mm-dd"),'Ingest Template'!Q692)))</f>
        <v/>
      </c>
      <c r="AM692" s="35" t="str">
        <f>'Ingest Template'!AC692</f>
        <v/>
      </c>
    </row>
    <row r="693">
      <c r="A693" s="15"/>
      <c r="B693" s="22" t="str">
        <f>'Ingest Template'!C693&amp;IF('Ingest Template'!A693 = "Standard", " - DAR","")</f>
        <v/>
      </c>
      <c r="C693" s="22" t="s">
        <v>83</v>
      </c>
      <c r="D693" s="22" t="str">
        <f t="array" ref="D693">CONCATENATE(INDEX(DropdownLists!$H$2:$H$11,MATCH(1,COUNTIF('Ingest Template'!E693,"*"&amp;DropdownLists!$I$2:$I$11&amp;"*"),0)),CHAR(10),'Ingest Template'!F693,CHAR(10),'Ingest Template'!G693,CHAR(10),VLOOKUP('Ingest Template'!D693,DropdownLists!C:D,2,FALSE))</f>
        <v>#N/A</v>
      </c>
      <c r="E693" s="22" t="str">
        <f>CONCATENATE('Ingest Template'!H693,CHAR(10),'Ingest Template'!I693,CHAR(10),'Ingest Template'!J693,CHAR(10))</f>
        <v>
</v>
      </c>
      <c r="F693" s="35" t="str">
        <f t="array" ref="F693">INDEX(DropdownLists!$O$2:$O$36,MATCH(1,COUNTIF(E693,"*"&amp;DropdownLists!$N$2:$N$36&amp;"*"),0))</f>
        <v/>
      </c>
      <c r="G693" s="35"/>
      <c r="H693" s="22" t="str">
        <f t="array" ref="H693">INDEX(DropdownLists!$E$2:$E$276,MATCH('Ingest Template'!D693,DropdownLists!$C$2:$C$276,0))</f>
        <v>#N/A</v>
      </c>
      <c r="I693" s="22"/>
      <c r="J693" s="22" t="str">
        <f t="array" ref="J693">iF('Ingest Template'!A693="Standard","Pristine Brand",INDEX(DropdownLists!$B$2:$B$246,MATCH('Ingest Template'!D693,DropdownLists!$C$2:$C$246,0)))</f>
        <v>#N/A</v>
      </c>
      <c r="K693" s="22" t="str">
        <f>iF('Ingest Template'!A693="Standard",'Ingest Template'!K693&amp;CHAR(10)&amp;'Ingest Template'!L693,"Competitive View")</f>
        <v>Competitive View</v>
      </c>
      <c r="L693" s="22" t="s">
        <v>95</v>
      </c>
      <c r="M693" s="45" t="str">
        <f>'Ingest Template'!B693</f>
        <v/>
      </c>
      <c r="N693" s="35"/>
      <c r="O693" s="35"/>
      <c r="P693" s="35"/>
      <c r="Q693" s="35"/>
      <c r="R693" s="35" t="str">
        <f>'Ingest Template'!D693</f>
        <v/>
      </c>
      <c r="S693" s="22" t="s">
        <v>101</v>
      </c>
      <c r="T693" s="35" t="str">
        <f>'Ingest Template'!V693</f>
        <v/>
      </c>
      <c r="U693" s="35" t="str">
        <f>'Ingest Template'!W693</f>
        <v/>
      </c>
      <c r="V693" s="35" t="str">
        <f>LOWER(SUBSTITUTE(SUBSTITUTE(SUBSTITUTE(SUBSTITUTE(SUBSTITUTE('Ingest Template'!X693,"https:",""),"www.",""),"/",""),"?hl=en",""),"instagram.com",""))</f>
        <v/>
      </c>
      <c r="W693" s="74" t="str">
        <f t="array" ref="W693">IF(
'Ingest Template'!Y693="",
SUBSTITUTE(
INDEX(DropdownLists!$F$2:$F$277,MATCH('Ingest Template'!D693,DropdownLists!$C$2:$C$277,0)),
CHAR(10),
"|"&amp;'Ingest Template'!C693&amp;CHAR(10)
)&amp;"|"&amp;'Ingest Template'!C693,
SUBSTITUTE(
INDEX(DropdownLists!$F$2:$F$277,MATCH('Ingest Template'!D693,DropdownLists!$C$2:$C$277,0)),
CHAR(10),
"|"&amp;'Ingest Template'!C693&amp;CHAR(10)
)&amp;"|"&amp;'Ingest Template'!C693&amp;CHAR(10)&amp;'Ingest Template'!Y693
)</f>
        <v>#N/A</v>
      </c>
      <c r="X693" s="74" t="str">
        <f>'Ingest Template'!Z693</f>
        <v/>
      </c>
      <c r="Y693" s="35" t="str">
        <f>SUBSTITUTE(SUBSTITUTE(SUBSTITUTE('Ingest Template'!AA693,"http:",""),"https:",""),"/","")</f>
        <v/>
      </c>
      <c r="Z693" s="35" t="str">
        <f t="array" ref="Z693">IF('Ingest Template'!A693="Standard",(IF(ISBLANK('Ingest Template'!AB693),"", 'Ingest Template'!AB693&amp;"|DAR")),(IF(ISBLANK('Ingest Template'!AB693),"", 'Ingest Template'!AB693&amp;"|TV Ops")))</f>
        <v/>
      </c>
      <c r="AA693" s="35"/>
      <c r="AB693" s="35" t="str">
        <f>'Ingest Template'!R693</f>
        <v/>
      </c>
      <c r="AC693" s="35" t="str">
        <f>'Ingest Template'!T693</f>
        <v/>
      </c>
      <c r="AD693" s="35" t="str">
        <f>'Ingest Template'!S693</f>
        <v/>
      </c>
      <c r="AE693" s="35" t="str">
        <f>'Ingest Template'!U693</f>
        <v/>
      </c>
      <c r="AF693" s="22"/>
      <c r="AG693" s="35" t="str">
        <f t="array" ref="AG693">IF('Ingest Template'!A693="Standard",(CONCATENATE(IF(ISBLANK('Ingest Template'!N693),"", 'Ingest Template'!N693&amp;"|DAR"),CHAR(10), IF(ISBLANK('Ingest Template'!O693),"", 'Ingest Template'!O693&amp;"|DAR"),CHAR(10), IF(ISBLANK('Ingest Template'!P693),"", 'Ingest Template'!P693&amp;"|DAR"))),(CONCATENATE(IF(ISBLANK('Ingest Template'!N693),"", 'Ingest Template'!N693&amp;"|TV Ops"),CHAR(10), IF(ISBLANK('Ingest Template'!O693),"", 'Ingest Template'!O693&amp;"|TV Ops"),CHAR(10), IF(ISBLANK('Ingest Template'!P693),"", 'Ingest Template'!P693&amp;"|TV Ops"))))</f>
        <v>
</v>
      </c>
      <c r="AH693" s="35"/>
      <c r="AI693" s="35"/>
      <c r="AJ693" s="117" t="str">
        <f>if('Ingest Template'!A693="Standard",(IF(OR('Ingest Template'!F693 = "Program Type - Special", 'Ingest Template'!F693 = "Program Type - Live Event"),'Ingest Template'!M693&amp; "|DAR|DAR|"&amp;TEXT('Ingest Template'!C693-3, "yyyy-mm-dd")&amp;"|"&amp;TEXT('Ingest Template'!C693+3, "yyyy-mm-dd"),'Ingest Template'!M693&amp; "|DAR|DAR|2021-01-01")),(IF(OR('Ingest Template'!F693 = "Program Type - Special", 'Ingest Template'!F693 = "Program Type - Live Event"),'Ingest Template'!M693&amp; "|Operations - Core Title|Operations - Core Title|"&amp;TEXT('Ingest Template'!C693-3, "yyyy-mm-dd")&amp;"|"&amp;TEXT('Ingest Template'!C693+3, "yyyy-mm-dd"),'Ingest Template'!M693&amp; "|Operations - Core Title|Operations - Core Title")))</f>
        <v>|Operations - Core Title|Operations - Core Title</v>
      </c>
      <c r="AK693" s="35"/>
      <c r="AL693" s="117" t="str">
        <f>if('Ingest Template'!A693="Standard",(IF(OR('Ingest Template'!F693 = "Program Type - Special", 'Ingest Template'!F693 = "Program Type - Live Event"),'Ingest Template'!Q693&amp;"|"&amp;TEXT('Ingest Template'!C693-3, "yyyy-mm-dd")&amp;"|"&amp;TEXT('Ingest Template'!C693+3, "yyyy-mm-dd"),'Ingest Template'!Q693&amp; "|2021-01-01")),(IF(OR('Ingest Template'!F693 = "Program Type - Special", 'Ingest Template'!F693 = "Program Type - Live Event"),'Ingest Template'!Q693&amp; "|"&amp;TEXT('Ingest Template'!C693-3, "yyyy-mm-dd")&amp;"|"&amp;TEXT('Ingest Template'!C693+3, "yyyy-mm-dd"),'Ingest Template'!Q693)))</f>
        <v/>
      </c>
      <c r="AM693" s="35" t="str">
        <f>'Ingest Template'!AC693</f>
        <v/>
      </c>
    </row>
    <row r="694">
      <c r="A694" s="15"/>
      <c r="B694" s="22" t="str">
        <f>'Ingest Template'!C694&amp;IF('Ingest Template'!A694 = "Standard", " - DAR","")</f>
        <v/>
      </c>
      <c r="C694" s="22" t="s">
        <v>83</v>
      </c>
      <c r="D694" s="22" t="str">
        <f t="array" ref="D694">CONCATENATE(INDEX(DropdownLists!$H$2:$H$11,MATCH(1,COUNTIF('Ingest Template'!E694,"*"&amp;DropdownLists!$I$2:$I$11&amp;"*"),0)),CHAR(10),'Ingest Template'!F694,CHAR(10),'Ingest Template'!G694,CHAR(10),VLOOKUP('Ingest Template'!D694,DropdownLists!C:D,2,FALSE))</f>
        <v>#N/A</v>
      </c>
      <c r="E694" s="22" t="str">
        <f>CONCATENATE('Ingest Template'!H694,CHAR(10),'Ingest Template'!I694,CHAR(10),'Ingest Template'!J694,CHAR(10))</f>
        <v>
</v>
      </c>
      <c r="F694" s="35" t="str">
        <f t="array" ref="F694">INDEX(DropdownLists!$O$2:$O$36,MATCH(1,COUNTIF(E694,"*"&amp;DropdownLists!$N$2:$N$36&amp;"*"),0))</f>
        <v/>
      </c>
      <c r="G694" s="35"/>
      <c r="H694" s="22" t="str">
        <f t="array" ref="H694">INDEX(DropdownLists!$E$2:$E$276,MATCH('Ingest Template'!D694,DropdownLists!$C$2:$C$276,0))</f>
        <v>#N/A</v>
      </c>
      <c r="I694" s="22"/>
      <c r="J694" s="22" t="str">
        <f t="array" ref="J694">iF('Ingest Template'!A694="Standard","Pristine Brand",INDEX(DropdownLists!$B$2:$B$246,MATCH('Ingest Template'!D694,DropdownLists!$C$2:$C$246,0)))</f>
        <v>#N/A</v>
      </c>
      <c r="K694" s="22" t="str">
        <f>iF('Ingest Template'!A694="Standard",'Ingest Template'!K694&amp;CHAR(10)&amp;'Ingest Template'!L694,"Competitive View")</f>
        <v>Competitive View</v>
      </c>
      <c r="L694" s="22" t="s">
        <v>95</v>
      </c>
      <c r="M694" s="45" t="str">
        <f>'Ingest Template'!B694</f>
        <v/>
      </c>
      <c r="N694" s="35"/>
      <c r="O694" s="35"/>
      <c r="P694" s="35"/>
      <c r="Q694" s="35"/>
      <c r="R694" s="35" t="str">
        <f>'Ingest Template'!D694</f>
        <v/>
      </c>
      <c r="S694" s="22" t="s">
        <v>101</v>
      </c>
      <c r="T694" s="35" t="str">
        <f>'Ingest Template'!V694</f>
        <v/>
      </c>
      <c r="U694" s="35" t="str">
        <f>'Ingest Template'!W694</f>
        <v/>
      </c>
      <c r="V694" s="35" t="str">
        <f>LOWER(SUBSTITUTE(SUBSTITUTE(SUBSTITUTE(SUBSTITUTE(SUBSTITUTE('Ingest Template'!X694,"https:",""),"www.",""),"/",""),"?hl=en",""),"instagram.com",""))</f>
        <v/>
      </c>
      <c r="W694" s="74" t="str">
        <f t="array" ref="W694">IF(
'Ingest Template'!Y694="",
SUBSTITUTE(
INDEX(DropdownLists!$F$2:$F$277,MATCH('Ingest Template'!D694,DropdownLists!$C$2:$C$277,0)),
CHAR(10),
"|"&amp;'Ingest Template'!C694&amp;CHAR(10)
)&amp;"|"&amp;'Ingest Template'!C694,
SUBSTITUTE(
INDEX(DropdownLists!$F$2:$F$277,MATCH('Ingest Template'!D694,DropdownLists!$C$2:$C$277,0)),
CHAR(10),
"|"&amp;'Ingest Template'!C694&amp;CHAR(10)
)&amp;"|"&amp;'Ingest Template'!C694&amp;CHAR(10)&amp;'Ingest Template'!Y694
)</f>
        <v>#N/A</v>
      </c>
      <c r="X694" s="74" t="str">
        <f>'Ingest Template'!Z694</f>
        <v/>
      </c>
      <c r="Y694" s="35" t="str">
        <f>SUBSTITUTE(SUBSTITUTE(SUBSTITUTE('Ingest Template'!AA694,"http:",""),"https:",""),"/","")</f>
        <v/>
      </c>
      <c r="Z694" s="35" t="str">
        <f t="array" ref="Z694">IF('Ingest Template'!A694="Standard",(IF(ISBLANK('Ingest Template'!AB694),"", 'Ingest Template'!AB694&amp;"|DAR")),(IF(ISBLANK('Ingest Template'!AB694),"", 'Ingest Template'!AB694&amp;"|TV Ops")))</f>
        <v/>
      </c>
      <c r="AA694" s="35"/>
      <c r="AB694" s="35" t="str">
        <f>'Ingest Template'!R694</f>
        <v/>
      </c>
      <c r="AC694" s="35" t="str">
        <f>'Ingest Template'!T694</f>
        <v/>
      </c>
      <c r="AD694" s="35" t="str">
        <f>'Ingest Template'!S694</f>
        <v/>
      </c>
      <c r="AE694" s="35" t="str">
        <f>'Ingest Template'!U694</f>
        <v/>
      </c>
      <c r="AF694" s="22"/>
      <c r="AG694" s="35" t="str">
        <f t="array" ref="AG694">IF('Ingest Template'!A694="Standard",(CONCATENATE(IF(ISBLANK('Ingest Template'!N694),"", 'Ingest Template'!N694&amp;"|DAR"),CHAR(10), IF(ISBLANK('Ingest Template'!O694),"", 'Ingest Template'!O694&amp;"|DAR"),CHAR(10), IF(ISBLANK('Ingest Template'!P694),"", 'Ingest Template'!P694&amp;"|DAR"))),(CONCATENATE(IF(ISBLANK('Ingest Template'!N694),"", 'Ingest Template'!N694&amp;"|TV Ops"),CHAR(10), IF(ISBLANK('Ingest Template'!O694),"", 'Ingest Template'!O694&amp;"|TV Ops"),CHAR(10), IF(ISBLANK('Ingest Template'!P694),"", 'Ingest Template'!P694&amp;"|TV Ops"))))</f>
        <v>
</v>
      </c>
      <c r="AH694" s="35"/>
      <c r="AI694" s="35"/>
      <c r="AJ694" s="117" t="str">
        <f>if('Ingest Template'!A694="Standard",(IF(OR('Ingest Template'!F694 = "Program Type - Special", 'Ingest Template'!F694 = "Program Type - Live Event"),'Ingest Template'!M694&amp; "|DAR|DAR|"&amp;TEXT('Ingest Template'!C694-3, "yyyy-mm-dd")&amp;"|"&amp;TEXT('Ingest Template'!C694+3, "yyyy-mm-dd"),'Ingest Template'!M694&amp; "|DAR|DAR|2021-01-01")),(IF(OR('Ingest Template'!F694 = "Program Type - Special", 'Ingest Template'!F694 = "Program Type - Live Event"),'Ingest Template'!M694&amp; "|Operations - Core Title|Operations - Core Title|"&amp;TEXT('Ingest Template'!C694-3, "yyyy-mm-dd")&amp;"|"&amp;TEXT('Ingest Template'!C694+3, "yyyy-mm-dd"),'Ingest Template'!M694&amp; "|Operations - Core Title|Operations - Core Title")))</f>
        <v>|Operations - Core Title|Operations - Core Title</v>
      </c>
      <c r="AK694" s="35"/>
      <c r="AL694" s="117" t="str">
        <f>if('Ingest Template'!A694="Standard",(IF(OR('Ingest Template'!F694 = "Program Type - Special", 'Ingest Template'!F694 = "Program Type - Live Event"),'Ingest Template'!Q694&amp;"|"&amp;TEXT('Ingest Template'!C694-3, "yyyy-mm-dd")&amp;"|"&amp;TEXT('Ingest Template'!C694+3, "yyyy-mm-dd"),'Ingest Template'!Q694&amp; "|2021-01-01")),(IF(OR('Ingest Template'!F694 = "Program Type - Special", 'Ingest Template'!F694 = "Program Type - Live Event"),'Ingest Template'!Q694&amp; "|"&amp;TEXT('Ingest Template'!C694-3, "yyyy-mm-dd")&amp;"|"&amp;TEXT('Ingest Template'!C694+3, "yyyy-mm-dd"),'Ingest Template'!Q694)))</f>
        <v/>
      </c>
      <c r="AM694" s="35" t="str">
        <f>'Ingest Template'!AC694</f>
        <v/>
      </c>
    </row>
    <row r="695">
      <c r="A695" s="15"/>
      <c r="B695" s="22" t="str">
        <f>'Ingest Template'!C695&amp;IF('Ingest Template'!A695 = "Standard", " - DAR","")</f>
        <v/>
      </c>
      <c r="C695" s="22" t="s">
        <v>83</v>
      </c>
      <c r="D695" s="22" t="str">
        <f t="array" ref="D695">CONCATENATE(INDEX(DropdownLists!$H$2:$H$11,MATCH(1,COUNTIF('Ingest Template'!E695,"*"&amp;DropdownLists!$I$2:$I$11&amp;"*"),0)),CHAR(10),'Ingest Template'!F695,CHAR(10),'Ingest Template'!G695,CHAR(10),VLOOKUP('Ingest Template'!D695,DropdownLists!C:D,2,FALSE))</f>
        <v>#N/A</v>
      </c>
      <c r="E695" s="22" t="str">
        <f>CONCATENATE('Ingest Template'!H695,CHAR(10),'Ingest Template'!I695,CHAR(10),'Ingest Template'!J695,CHAR(10))</f>
        <v>
</v>
      </c>
      <c r="F695" s="35" t="str">
        <f t="array" ref="F695">INDEX(DropdownLists!$O$2:$O$36,MATCH(1,COUNTIF(E695,"*"&amp;DropdownLists!$N$2:$N$36&amp;"*"),0))</f>
        <v/>
      </c>
      <c r="G695" s="35"/>
      <c r="H695" s="22" t="str">
        <f t="array" ref="H695">INDEX(DropdownLists!$E$2:$E$276,MATCH('Ingest Template'!D695,DropdownLists!$C$2:$C$276,0))</f>
        <v>#N/A</v>
      </c>
      <c r="I695" s="22"/>
      <c r="J695" s="22" t="str">
        <f t="array" ref="J695">iF('Ingest Template'!A695="Standard","Pristine Brand",INDEX(DropdownLists!$B$2:$B$246,MATCH('Ingest Template'!D695,DropdownLists!$C$2:$C$246,0)))</f>
        <v>#N/A</v>
      </c>
      <c r="K695" s="22" t="str">
        <f>iF('Ingest Template'!A695="Standard",'Ingest Template'!K695&amp;CHAR(10)&amp;'Ingest Template'!L695,"Competitive View")</f>
        <v>Competitive View</v>
      </c>
      <c r="L695" s="22" t="s">
        <v>95</v>
      </c>
      <c r="M695" s="45" t="str">
        <f>'Ingest Template'!B695</f>
        <v/>
      </c>
      <c r="N695" s="35"/>
      <c r="O695" s="35"/>
      <c r="P695" s="35"/>
      <c r="Q695" s="35"/>
      <c r="R695" s="35" t="str">
        <f>'Ingest Template'!D695</f>
        <v/>
      </c>
      <c r="S695" s="22" t="s">
        <v>101</v>
      </c>
      <c r="T695" s="35" t="str">
        <f>'Ingest Template'!V695</f>
        <v/>
      </c>
      <c r="U695" s="35" t="str">
        <f>'Ingest Template'!W695</f>
        <v/>
      </c>
      <c r="V695" s="35" t="str">
        <f>LOWER(SUBSTITUTE(SUBSTITUTE(SUBSTITUTE(SUBSTITUTE(SUBSTITUTE('Ingest Template'!X695,"https:",""),"www.",""),"/",""),"?hl=en",""),"instagram.com",""))</f>
        <v/>
      </c>
      <c r="W695" s="74" t="str">
        <f t="array" ref="W695">IF(
'Ingest Template'!Y695="",
SUBSTITUTE(
INDEX(DropdownLists!$F$2:$F$277,MATCH('Ingest Template'!D695,DropdownLists!$C$2:$C$277,0)),
CHAR(10),
"|"&amp;'Ingest Template'!C695&amp;CHAR(10)
)&amp;"|"&amp;'Ingest Template'!C695,
SUBSTITUTE(
INDEX(DropdownLists!$F$2:$F$277,MATCH('Ingest Template'!D695,DropdownLists!$C$2:$C$277,0)),
CHAR(10),
"|"&amp;'Ingest Template'!C695&amp;CHAR(10)
)&amp;"|"&amp;'Ingest Template'!C695&amp;CHAR(10)&amp;'Ingest Template'!Y695
)</f>
        <v>#N/A</v>
      </c>
      <c r="X695" s="74" t="str">
        <f>'Ingest Template'!Z695</f>
        <v/>
      </c>
      <c r="Y695" s="35" t="str">
        <f>SUBSTITUTE(SUBSTITUTE(SUBSTITUTE('Ingest Template'!AA695,"http:",""),"https:",""),"/","")</f>
        <v/>
      </c>
      <c r="Z695" s="35" t="str">
        <f t="array" ref="Z695">IF('Ingest Template'!A695="Standard",(IF(ISBLANK('Ingest Template'!AB695),"", 'Ingest Template'!AB695&amp;"|DAR")),(IF(ISBLANK('Ingest Template'!AB695),"", 'Ingest Template'!AB695&amp;"|TV Ops")))</f>
        <v/>
      </c>
      <c r="AA695" s="35"/>
      <c r="AB695" s="35" t="str">
        <f>'Ingest Template'!R695</f>
        <v/>
      </c>
      <c r="AC695" s="35" t="str">
        <f>'Ingest Template'!T695</f>
        <v/>
      </c>
      <c r="AD695" s="35" t="str">
        <f>'Ingest Template'!S695</f>
        <v/>
      </c>
      <c r="AE695" s="35" t="str">
        <f>'Ingest Template'!U695</f>
        <v/>
      </c>
      <c r="AF695" s="22"/>
      <c r="AG695" s="35" t="str">
        <f t="array" ref="AG695">IF('Ingest Template'!A695="Standard",(CONCATENATE(IF(ISBLANK('Ingest Template'!N695),"", 'Ingest Template'!N695&amp;"|DAR"),CHAR(10), IF(ISBLANK('Ingest Template'!O695),"", 'Ingest Template'!O695&amp;"|DAR"),CHAR(10), IF(ISBLANK('Ingest Template'!P695),"", 'Ingest Template'!P695&amp;"|DAR"))),(CONCATENATE(IF(ISBLANK('Ingest Template'!N695),"", 'Ingest Template'!N695&amp;"|TV Ops"),CHAR(10), IF(ISBLANK('Ingest Template'!O695),"", 'Ingest Template'!O695&amp;"|TV Ops"),CHAR(10), IF(ISBLANK('Ingest Template'!P695),"", 'Ingest Template'!P695&amp;"|TV Ops"))))</f>
        <v>
</v>
      </c>
      <c r="AH695" s="35"/>
      <c r="AI695" s="35"/>
      <c r="AJ695" s="117" t="str">
        <f>if('Ingest Template'!A695="Standard",(IF(OR('Ingest Template'!F695 = "Program Type - Special", 'Ingest Template'!F695 = "Program Type - Live Event"),'Ingest Template'!M695&amp; "|DAR|DAR|"&amp;TEXT('Ingest Template'!C695-3, "yyyy-mm-dd")&amp;"|"&amp;TEXT('Ingest Template'!C695+3, "yyyy-mm-dd"),'Ingest Template'!M695&amp; "|DAR|DAR|2021-01-01")),(IF(OR('Ingest Template'!F695 = "Program Type - Special", 'Ingest Template'!F695 = "Program Type - Live Event"),'Ingest Template'!M695&amp; "|Operations - Core Title|Operations - Core Title|"&amp;TEXT('Ingest Template'!C695-3, "yyyy-mm-dd")&amp;"|"&amp;TEXT('Ingest Template'!C695+3, "yyyy-mm-dd"),'Ingest Template'!M695&amp; "|Operations - Core Title|Operations - Core Title")))</f>
        <v>|Operations - Core Title|Operations - Core Title</v>
      </c>
      <c r="AK695" s="35"/>
      <c r="AL695" s="117" t="str">
        <f>if('Ingest Template'!A695="Standard",(IF(OR('Ingest Template'!F695 = "Program Type - Special", 'Ingest Template'!F695 = "Program Type - Live Event"),'Ingest Template'!Q695&amp;"|"&amp;TEXT('Ingest Template'!C695-3, "yyyy-mm-dd")&amp;"|"&amp;TEXT('Ingest Template'!C695+3, "yyyy-mm-dd"),'Ingest Template'!Q695&amp; "|2021-01-01")),(IF(OR('Ingest Template'!F695 = "Program Type - Special", 'Ingest Template'!F695 = "Program Type - Live Event"),'Ingest Template'!Q695&amp; "|"&amp;TEXT('Ingest Template'!C695-3, "yyyy-mm-dd")&amp;"|"&amp;TEXT('Ingest Template'!C695+3, "yyyy-mm-dd"),'Ingest Template'!Q695)))</f>
        <v/>
      </c>
      <c r="AM695" s="35" t="str">
        <f>'Ingest Template'!AC695</f>
        <v/>
      </c>
    </row>
    <row r="696">
      <c r="A696" s="15"/>
      <c r="B696" s="22" t="str">
        <f>'Ingest Template'!C696&amp;IF('Ingest Template'!A696 = "Standard", " - DAR","")</f>
        <v/>
      </c>
      <c r="C696" s="22" t="s">
        <v>83</v>
      </c>
      <c r="D696" s="22" t="str">
        <f t="array" ref="D696">CONCATENATE(INDEX(DropdownLists!$H$2:$H$11,MATCH(1,COUNTIF('Ingest Template'!E696,"*"&amp;DropdownLists!$I$2:$I$11&amp;"*"),0)),CHAR(10),'Ingest Template'!F696,CHAR(10),'Ingest Template'!G696,CHAR(10),VLOOKUP('Ingest Template'!D696,DropdownLists!C:D,2,FALSE))</f>
        <v>#N/A</v>
      </c>
      <c r="E696" s="22" t="str">
        <f>CONCATENATE('Ingest Template'!H696,CHAR(10),'Ingest Template'!I696,CHAR(10),'Ingest Template'!J696,CHAR(10))</f>
        <v>
</v>
      </c>
      <c r="F696" s="35" t="str">
        <f t="array" ref="F696">INDEX(DropdownLists!$O$2:$O$36,MATCH(1,COUNTIF(E696,"*"&amp;DropdownLists!$N$2:$N$36&amp;"*"),0))</f>
        <v/>
      </c>
      <c r="G696" s="35"/>
      <c r="H696" s="22" t="str">
        <f t="array" ref="H696">INDEX(DropdownLists!$E$2:$E$276,MATCH('Ingest Template'!D696,DropdownLists!$C$2:$C$276,0))</f>
        <v>#N/A</v>
      </c>
      <c r="I696" s="22"/>
      <c r="J696" s="22" t="str">
        <f t="array" ref="J696">iF('Ingest Template'!A696="Standard","Pristine Brand",INDEX(DropdownLists!$B$2:$B$246,MATCH('Ingest Template'!D696,DropdownLists!$C$2:$C$246,0)))</f>
        <v>#N/A</v>
      </c>
      <c r="K696" s="22" t="str">
        <f>iF('Ingest Template'!A696="Standard",'Ingest Template'!K696&amp;CHAR(10)&amp;'Ingest Template'!L696,"Competitive View")</f>
        <v>Competitive View</v>
      </c>
      <c r="L696" s="22" t="s">
        <v>95</v>
      </c>
      <c r="M696" s="45" t="str">
        <f>'Ingest Template'!B696</f>
        <v/>
      </c>
      <c r="N696" s="35"/>
      <c r="O696" s="35"/>
      <c r="P696" s="35"/>
      <c r="Q696" s="35"/>
      <c r="R696" s="35" t="str">
        <f>'Ingest Template'!D696</f>
        <v/>
      </c>
      <c r="S696" s="22" t="s">
        <v>101</v>
      </c>
      <c r="T696" s="35" t="str">
        <f>'Ingest Template'!V696</f>
        <v/>
      </c>
      <c r="U696" s="35" t="str">
        <f>'Ingest Template'!W696</f>
        <v/>
      </c>
      <c r="V696" s="35" t="str">
        <f>LOWER(SUBSTITUTE(SUBSTITUTE(SUBSTITUTE(SUBSTITUTE(SUBSTITUTE('Ingest Template'!X696,"https:",""),"www.",""),"/",""),"?hl=en",""),"instagram.com",""))</f>
        <v/>
      </c>
      <c r="W696" s="74" t="str">
        <f t="array" ref="W696">IF(
'Ingest Template'!Y696="",
SUBSTITUTE(
INDEX(DropdownLists!$F$2:$F$277,MATCH('Ingest Template'!D696,DropdownLists!$C$2:$C$277,0)),
CHAR(10),
"|"&amp;'Ingest Template'!C696&amp;CHAR(10)
)&amp;"|"&amp;'Ingest Template'!C696,
SUBSTITUTE(
INDEX(DropdownLists!$F$2:$F$277,MATCH('Ingest Template'!D696,DropdownLists!$C$2:$C$277,0)),
CHAR(10),
"|"&amp;'Ingest Template'!C696&amp;CHAR(10)
)&amp;"|"&amp;'Ingest Template'!C696&amp;CHAR(10)&amp;'Ingest Template'!Y696
)</f>
        <v>#N/A</v>
      </c>
      <c r="X696" s="74" t="str">
        <f>'Ingest Template'!Z696</f>
        <v/>
      </c>
      <c r="Y696" s="35" t="str">
        <f>SUBSTITUTE(SUBSTITUTE(SUBSTITUTE('Ingest Template'!AA696,"http:",""),"https:",""),"/","")</f>
        <v/>
      </c>
      <c r="Z696" s="35" t="str">
        <f t="array" ref="Z696">IF('Ingest Template'!A696="Standard",(IF(ISBLANK('Ingest Template'!AB696),"", 'Ingest Template'!AB696&amp;"|DAR")),(IF(ISBLANK('Ingest Template'!AB696),"", 'Ingest Template'!AB696&amp;"|TV Ops")))</f>
        <v/>
      </c>
      <c r="AA696" s="35"/>
      <c r="AB696" s="35" t="str">
        <f>'Ingest Template'!R696</f>
        <v/>
      </c>
      <c r="AC696" s="35" t="str">
        <f>'Ingest Template'!T696</f>
        <v/>
      </c>
      <c r="AD696" s="35" t="str">
        <f>'Ingest Template'!S696</f>
        <v/>
      </c>
      <c r="AE696" s="35" t="str">
        <f>'Ingest Template'!U696</f>
        <v/>
      </c>
      <c r="AF696" s="22"/>
      <c r="AG696" s="35" t="str">
        <f t="array" ref="AG696">IF('Ingest Template'!A696="Standard",(CONCATENATE(IF(ISBLANK('Ingest Template'!N696),"", 'Ingest Template'!N696&amp;"|DAR"),CHAR(10), IF(ISBLANK('Ingest Template'!O696),"", 'Ingest Template'!O696&amp;"|DAR"),CHAR(10), IF(ISBLANK('Ingest Template'!P696),"", 'Ingest Template'!P696&amp;"|DAR"))),(CONCATENATE(IF(ISBLANK('Ingest Template'!N696),"", 'Ingest Template'!N696&amp;"|TV Ops"),CHAR(10), IF(ISBLANK('Ingest Template'!O696),"", 'Ingest Template'!O696&amp;"|TV Ops"),CHAR(10), IF(ISBLANK('Ingest Template'!P696),"", 'Ingest Template'!P696&amp;"|TV Ops"))))</f>
        <v>
</v>
      </c>
      <c r="AH696" s="35"/>
      <c r="AI696" s="35"/>
      <c r="AJ696" s="117" t="str">
        <f>if('Ingest Template'!A696="Standard",(IF(OR('Ingest Template'!F696 = "Program Type - Special", 'Ingest Template'!F696 = "Program Type - Live Event"),'Ingest Template'!M696&amp; "|DAR|DAR|"&amp;TEXT('Ingest Template'!C696-3, "yyyy-mm-dd")&amp;"|"&amp;TEXT('Ingest Template'!C696+3, "yyyy-mm-dd"),'Ingest Template'!M696&amp; "|DAR|DAR|2021-01-01")),(IF(OR('Ingest Template'!F696 = "Program Type - Special", 'Ingest Template'!F696 = "Program Type - Live Event"),'Ingest Template'!M696&amp; "|Operations - Core Title|Operations - Core Title|"&amp;TEXT('Ingest Template'!C696-3, "yyyy-mm-dd")&amp;"|"&amp;TEXT('Ingest Template'!C696+3, "yyyy-mm-dd"),'Ingest Template'!M696&amp; "|Operations - Core Title|Operations - Core Title")))</f>
        <v>|Operations - Core Title|Operations - Core Title</v>
      </c>
      <c r="AK696" s="35"/>
      <c r="AL696" s="117" t="str">
        <f>if('Ingest Template'!A696="Standard",(IF(OR('Ingest Template'!F696 = "Program Type - Special", 'Ingest Template'!F696 = "Program Type - Live Event"),'Ingest Template'!Q696&amp;"|"&amp;TEXT('Ingest Template'!C696-3, "yyyy-mm-dd")&amp;"|"&amp;TEXT('Ingest Template'!C696+3, "yyyy-mm-dd"),'Ingest Template'!Q696&amp; "|2021-01-01")),(IF(OR('Ingest Template'!F696 = "Program Type - Special", 'Ingest Template'!F696 = "Program Type - Live Event"),'Ingest Template'!Q696&amp; "|"&amp;TEXT('Ingest Template'!C696-3, "yyyy-mm-dd")&amp;"|"&amp;TEXT('Ingest Template'!C696+3, "yyyy-mm-dd"),'Ingest Template'!Q696)))</f>
        <v/>
      </c>
      <c r="AM696" s="35" t="str">
        <f>'Ingest Template'!AC696</f>
        <v/>
      </c>
    </row>
    <row r="697">
      <c r="A697" s="15"/>
      <c r="B697" s="22" t="str">
        <f>'Ingest Template'!C697&amp;IF('Ingest Template'!A697 = "Standard", " - DAR","")</f>
        <v/>
      </c>
      <c r="C697" s="22" t="s">
        <v>83</v>
      </c>
      <c r="D697" s="22" t="str">
        <f t="array" ref="D697">CONCATENATE(INDEX(DropdownLists!$H$2:$H$11,MATCH(1,COUNTIF('Ingest Template'!E697,"*"&amp;DropdownLists!$I$2:$I$11&amp;"*"),0)),CHAR(10),'Ingest Template'!F697,CHAR(10),'Ingest Template'!G697,CHAR(10),VLOOKUP('Ingest Template'!D697,DropdownLists!C:D,2,FALSE))</f>
        <v>#N/A</v>
      </c>
      <c r="E697" s="22" t="str">
        <f>CONCATENATE('Ingest Template'!H697,CHAR(10),'Ingest Template'!I697,CHAR(10),'Ingest Template'!J697,CHAR(10))</f>
        <v>
</v>
      </c>
      <c r="F697" s="35" t="str">
        <f t="array" ref="F697">INDEX(DropdownLists!$O$2:$O$36,MATCH(1,COUNTIF(E697,"*"&amp;DropdownLists!$N$2:$N$36&amp;"*"),0))</f>
        <v/>
      </c>
      <c r="G697" s="35"/>
      <c r="H697" s="22" t="str">
        <f t="array" ref="H697">INDEX(DropdownLists!$E$2:$E$276,MATCH('Ingest Template'!D697,DropdownLists!$C$2:$C$276,0))</f>
        <v>#N/A</v>
      </c>
      <c r="I697" s="22"/>
      <c r="J697" s="22" t="str">
        <f t="array" ref="J697">iF('Ingest Template'!A697="Standard","Pristine Brand",INDEX(DropdownLists!$B$2:$B$246,MATCH('Ingest Template'!D697,DropdownLists!$C$2:$C$246,0)))</f>
        <v>#N/A</v>
      </c>
      <c r="K697" s="22" t="str">
        <f>iF('Ingest Template'!A697="Standard",'Ingest Template'!K697&amp;CHAR(10)&amp;'Ingest Template'!L697,"Competitive View")</f>
        <v>Competitive View</v>
      </c>
      <c r="L697" s="22" t="s">
        <v>95</v>
      </c>
      <c r="M697" s="45" t="str">
        <f>'Ingest Template'!B697</f>
        <v/>
      </c>
      <c r="N697" s="35"/>
      <c r="O697" s="35"/>
      <c r="P697" s="35"/>
      <c r="Q697" s="35"/>
      <c r="R697" s="35" t="str">
        <f>'Ingest Template'!D697</f>
        <v/>
      </c>
      <c r="S697" s="22" t="s">
        <v>101</v>
      </c>
      <c r="T697" s="35" t="str">
        <f>'Ingest Template'!V697</f>
        <v/>
      </c>
      <c r="U697" s="35" t="str">
        <f>'Ingest Template'!W697</f>
        <v/>
      </c>
      <c r="V697" s="35" t="str">
        <f>LOWER(SUBSTITUTE(SUBSTITUTE(SUBSTITUTE(SUBSTITUTE(SUBSTITUTE('Ingest Template'!X697,"https:",""),"www.",""),"/",""),"?hl=en",""),"instagram.com",""))</f>
        <v/>
      </c>
      <c r="W697" s="74" t="str">
        <f t="array" ref="W697">IF(
'Ingest Template'!Y697="",
SUBSTITUTE(
INDEX(DropdownLists!$F$2:$F$277,MATCH('Ingest Template'!D697,DropdownLists!$C$2:$C$277,0)),
CHAR(10),
"|"&amp;'Ingest Template'!C697&amp;CHAR(10)
)&amp;"|"&amp;'Ingest Template'!C697,
SUBSTITUTE(
INDEX(DropdownLists!$F$2:$F$277,MATCH('Ingest Template'!D697,DropdownLists!$C$2:$C$277,0)),
CHAR(10),
"|"&amp;'Ingest Template'!C697&amp;CHAR(10)
)&amp;"|"&amp;'Ingest Template'!C697&amp;CHAR(10)&amp;'Ingest Template'!Y697
)</f>
        <v>#N/A</v>
      </c>
      <c r="X697" s="74" t="str">
        <f>'Ingest Template'!Z697</f>
        <v/>
      </c>
      <c r="Y697" s="35" t="str">
        <f>SUBSTITUTE(SUBSTITUTE(SUBSTITUTE('Ingest Template'!AA697,"http:",""),"https:",""),"/","")</f>
        <v/>
      </c>
      <c r="Z697" s="35" t="str">
        <f t="array" ref="Z697">IF('Ingest Template'!A697="Standard",(IF(ISBLANK('Ingest Template'!AB697),"", 'Ingest Template'!AB697&amp;"|DAR")),(IF(ISBLANK('Ingest Template'!AB697),"", 'Ingest Template'!AB697&amp;"|TV Ops")))</f>
        <v/>
      </c>
      <c r="AA697" s="35"/>
      <c r="AB697" s="35" t="str">
        <f>'Ingest Template'!R697</f>
        <v/>
      </c>
      <c r="AC697" s="35" t="str">
        <f>'Ingest Template'!T697</f>
        <v/>
      </c>
      <c r="AD697" s="35" t="str">
        <f>'Ingest Template'!S697</f>
        <v/>
      </c>
      <c r="AE697" s="35" t="str">
        <f>'Ingest Template'!U697</f>
        <v/>
      </c>
      <c r="AF697" s="22"/>
      <c r="AG697" s="35" t="str">
        <f t="array" ref="AG697">IF('Ingest Template'!A697="Standard",(CONCATENATE(IF(ISBLANK('Ingest Template'!N697),"", 'Ingest Template'!N697&amp;"|DAR"),CHAR(10), IF(ISBLANK('Ingest Template'!O697),"", 'Ingest Template'!O697&amp;"|DAR"),CHAR(10), IF(ISBLANK('Ingest Template'!P697),"", 'Ingest Template'!P697&amp;"|DAR"))),(CONCATENATE(IF(ISBLANK('Ingest Template'!N697),"", 'Ingest Template'!N697&amp;"|TV Ops"),CHAR(10), IF(ISBLANK('Ingest Template'!O697),"", 'Ingest Template'!O697&amp;"|TV Ops"),CHAR(10), IF(ISBLANK('Ingest Template'!P697),"", 'Ingest Template'!P697&amp;"|TV Ops"))))</f>
        <v>
</v>
      </c>
      <c r="AH697" s="35"/>
      <c r="AI697" s="35"/>
      <c r="AJ697" s="117" t="str">
        <f>if('Ingest Template'!A697="Standard",(IF(OR('Ingest Template'!F697 = "Program Type - Special", 'Ingest Template'!F697 = "Program Type - Live Event"),'Ingest Template'!M697&amp; "|DAR|DAR|"&amp;TEXT('Ingest Template'!C697-3, "yyyy-mm-dd")&amp;"|"&amp;TEXT('Ingest Template'!C697+3, "yyyy-mm-dd"),'Ingest Template'!M697&amp; "|DAR|DAR|2021-01-01")),(IF(OR('Ingest Template'!F697 = "Program Type - Special", 'Ingest Template'!F697 = "Program Type - Live Event"),'Ingest Template'!M697&amp; "|Operations - Core Title|Operations - Core Title|"&amp;TEXT('Ingest Template'!C697-3, "yyyy-mm-dd")&amp;"|"&amp;TEXT('Ingest Template'!C697+3, "yyyy-mm-dd"),'Ingest Template'!M697&amp; "|Operations - Core Title|Operations - Core Title")))</f>
        <v>|Operations - Core Title|Operations - Core Title</v>
      </c>
      <c r="AK697" s="35"/>
      <c r="AL697" s="117" t="str">
        <f>if('Ingest Template'!A697="Standard",(IF(OR('Ingest Template'!F697 = "Program Type - Special", 'Ingest Template'!F697 = "Program Type - Live Event"),'Ingest Template'!Q697&amp;"|"&amp;TEXT('Ingest Template'!C697-3, "yyyy-mm-dd")&amp;"|"&amp;TEXT('Ingest Template'!C697+3, "yyyy-mm-dd"),'Ingest Template'!Q697&amp; "|2021-01-01")),(IF(OR('Ingest Template'!F697 = "Program Type - Special", 'Ingest Template'!F697 = "Program Type - Live Event"),'Ingest Template'!Q697&amp; "|"&amp;TEXT('Ingest Template'!C697-3, "yyyy-mm-dd")&amp;"|"&amp;TEXT('Ingest Template'!C697+3, "yyyy-mm-dd"),'Ingest Template'!Q697)))</f>
        <v/>
      </c>
      <c r="AM697" s="35" t="str">
        <f>'Ingest Template'!AC697</f>
        <v/>
      </c>
    </row>
    <row r="698">
      <c r="A698" s="15"/>
      <c r="B698" s="22" t="str">
        <f>'Ingest Template'!C698&amp;IF('Ingest Template'!A698 = "Standard", " - DAR","")</f>
        <v/>
      </c>
      <c r="C698" s="22" t="s">
        <v>83</v>
      </c>
      <c r="D698" s="22" t="str">
        <f t="array" ref="D698">CONCATENATE(INDEX(DropdownLists!$H$2:$H$11,MATCH(1,COUNTIF('Ingest Template'!E698,"*"&amp;DropdownLists!$I$2:$I$11&amp;"*"),0)),CHAR(10),'Ingest Template'!F698,CHAR(10),'Ingest Template'!G698,CHAR(10),VLOOKUP('Ingest Template'!D698,DropdownLists!C:D,2,FALSE))</f>
        <v>#N/A</v>
      </c>
      <c r="E698" s="22" t="str">
        <f>CONCATENATE('Ingest Template'!H698,CHAR(10),'Ingest Template'!I698,CHAR(10),'Ingest Template'!J698,CHAR(10))</f>
        <v>
</v>
      </c>
      <c r="F698" s="35" t="str">
        <f t="array" ref="F698">INDEX(DropdownLists!$O$2:$O$36,MATCH(1,COUNTIF(E698,"*"&amp;DropdownLists!$N$2:$N$36&amp;"*"),0))</f>
        <v/>
      </c>
      <c r="G698" s="35"/>
      <c r="H698" s="22" t="str">
        <f t="array" ref="H698">INDEX(DropdownLists!$E$2:$E$276,MATCH('Ingest Template'!D698,DropdownLists!$C$2:$C$276,0))</f>
        <v>#N/A</v>
      </c>
      <c r="I698" s="22"/>
      <c r="J698" s="22" t="str">
        <f t="array" ref="J698">iF('Ingest Template'!A698="Standard","Pristine Brand",INDEX(DropdownLists!$B$2:$B$246,MATCH('Ingest Template'!D698,DropdownLists!$C$2:$C$246,0)))</f>
        <v>#N/A</v>
      </c>
      <c r="K698" s="22" t="str">
        <f>iF('Ingest Template'!A698="Standard",'Ingest Template'!K698&amp;CHAR(10)&amp;'Ingest Template'!L698,"Competitive View")</f>
        <v>Competitive View</v>
      </c>
      <c r="L698" s="22" t="s">
        <v>95</v>
      </c>
      <c r="M698" s="45" t="str">
        <f>'Ingest Template'!B698</f>
        <v/>
      </c>
      <c r="N698" s="35"/>
      <c r="O698" s="35"/>
      <c r="P698" s="35"/>
      <c r="Q698" s="35"/>
      <c r="R698" s="35" t="str">
        <f>'Ingest Template'!D698</f>
        <v/>
      </c>
      <c r="S698" s="22" t="s">
        <v>101</v>
      </c>
      <c r="T698" s="35" t="str">
        <f>'Ingest Template'!V698</f>
        <v/>
      </c>
      <c r="U698" s="35" t="str">
        <f>'Ingest Template'!W698</f>
        <v/>
      </c>
      <c r="V698" s="35" t="str">
        <f>LOWER(SUBSTITUTE(SUBSTITUTE(SUBSTITUTE(SUBSTITUTE(SUBSTITUTE('Ingest Template'!X698,"https:",""),"www.",""),"/",""),"?hl=en",""),"instagram.com",""))</f>
        <v/>
      </c>
      <c r="W698" s="74" t="str">
        <f t="array" ref="W698">IF(
'Ingest Template'!Y698="",
SUBSTITUTE(
INDEX(DropdownLists!$F$2:$F$277,MATCH('Ingest Template'!D698,DropdownLists!$C$2:$C$277,0)),
CHAR(10),
"|"&amp;'Ingest Template'!C698&amp;CHAR(10)
)&amp;"|"&amp;'Ingest Template'!C698,
SUBSTITUTE(
INDEX(DropdownLists!$F$2:$F$277,MATCH('Ingest Template'!D698,DropdownLists!$C$2:$C$277,0)),
CHAR(10),
"|"&amp;'Ingest Template'!C698&amp;CHAR(10)
)&amp;"|"&amp;'Ingest Template'!C698&amp;CHAR(10)&amp;'Ingest Template'!Y698
)</f>
        <v>#N/A</v>
      </c>
      <c r="X698" s="74" t="str">
        <f>'Ingest Template'!Z698</f>
        <v/>
      </c>
      <c r="Y698" s="35" t="str">
        <f>SUBSTITUTE(SUBSTITUTE(SUBSTITUTE('Ingest Template'!AA698,"http:",""),"https:",""),"/","")</f>
        <v/>
      </c>
      <c r="Z698" s="35" t="str">
        <f t="array" ref="Z698">IF('Ingest Template'!A698="Standard",(IF(ISBLANK('Ingest Template'!AB698),"", 'Ingest Template'!AB698&amp;"|DAR")),(IF(ISBLANK('Ingest Template'!AB698),"", 'Ingest Template'!AB698&amp;"|TV Ops")))</f>
        <v/>
      </c>
      <c r="AA698" s="35"/>
      <c r="AB698" s="35" t="str">
        <f>'Ingest Template'!R698</f>
        <v/>
      </c>
      <c r="AC698" s="35" t="str">
        <f>'Ingest Template'!T698</f>
        <v/>
      </c>
      <c r="AD698" s="35" t="str">
        <f>'Ingest Template'!S698</f>
        <v/>
      </c>
      <c r="AE698" s="35" t="str">
        <f>'Ingest Template'!U698</f>
        <v/>
      </c>
      <c r="AF698" s="22"/>
      <c r="AG698" s="35" t="str">
        <f t="array" ref="AG698">IF('Ingest Template'!A698="Standard",(CONCATENATE(IF(ISBLANK('Ingest Template'!N698),"", 'Ingest Template'!N698&amp;"|DAR"),CHAR(10), IF(ISBLANK('Ingest Template'!O698),"", 'Ingest Template'!O698&amp;"|DAR"),CHAR(10), IF(ISBLANK('Ingest Template'!P698),"", 'Ingest Template'!P698&amp;"|DAR"))),(CONCATENATE(IF(ISBLANK('Ingest Template'!N698),"", 'Ingest Template'!N698&amp;"|TV Ops"),CHAR(10), IF(ISBLANK('Ingest Template'!O698),"", 'Ingest Template'!O698&amp;"|TV Ops"),CHAR(10), IF(ISBLANK('Ingest Template'!P698),"", 'Ingest Template'!P698&amp;"|TV Ops"))))</f>
        <v>
</v>
      </c>
      <c r="AH698" s="35"/>
      <c r="AI698" s="35"/>
      <c r="AJ698" s="117" t="str">
        <f>if('Ingest Template'!A698="Standard",(IF(OR('Ingest Template'!F698 = "Program Type - Special", 'Ingest Template'!F698 = "Program Type - Live Event"),'Ingest Template'!M698&amp; "|DAR|DAR|"&amp;TEXT('Ingest Template'!C698-3, "yyyy-mm-dd")&amp;"|"&amp;TEXT('Ingest Template'!C698+3, "yyyy-mm-dd"),'Ingest Template'!M698&amp; "|DAR|DAR|2021-01-01")),(IF(OR('Ingest Template'!F698 = "Program Type - Special", 'Ingest Template'!F698 = "Program Type - Live Event"),'Ingest Template'!M698&amp; "|Operations - Core Title|Operations - Core Title|"&amp;TEXT('Ingest Template'!C698-3, "yyyy-mm-dd")&amp;"|"&amp;TEXT('Ingest Template'!C698+3, "yyyy-mm-dd"),'Ingest Template'!M698&amp; "|Operations - Core Title|Operations - Core Title")))</f>
        <v>|Operations - Core Title|Operations - Core Title</v>
      </c>
      <c r="AK698" s="35"/>
      <c r="AL698" s="117" t="str">
        <f>if('Ingest Template'!A698="Standard",(IF(OR('Ingest Template'!F698 = "Program Type - Special", 'Ingest Template'!F698 = "Program Type - Live Event"),'Ingest Template'!Q698&amp;"|"&amp;TEXT('Ingest Template'!C698-3, "yyyy-mm-dd")&amp;"|"&amp;TEXT('Ingest Template'!C698+3, "yyyy-mm-dd"),'Ingest Template'!Q698&amp; "|2021-01-01")),(IF(OR('Ingest Template'!F698 = "Program Type - Special", 'Ingest Template'!F698 = "Program Type - Live Event"),'Ingest Template'!Q698&amp; "|"&amp;TEXT('Ingest Template'!C698-3, "yyyy-mm-dd")&amp;"|"&amp;TEXT('Ingest Template'!C698+3, "yyyy-mm-dd"),'Ingest Template'!Q698)))</f>
        <v/>
      </c>
      <c r="AM698" s="35" t="str">
        <f>'Ingest Template'!AC698</f>
        <v/>
      </c>
    </row>
    <row r="699">
      <c r="A699" s="15"/>
      <c r="B699" s="22" t="str">
        <f>'Ingest Template'!C699&amp;IF('Ingest Template'!A699 = "Standard", " - DAR","")</f>
        <v/>
      </c>
      <c r="C699" s="22" t="s">
        <v>83</v>
      </c>
      <c r="D699" s="22" t="str">
        <f t="array" ref="D699">CONCATENATE(INDEX(DropdownLists!$H$2:$H$11,MATCH(1,COUNTIF('Ingest Template'!E699,"*"&amp;DropdownLists!$I$2:$I$11&amp;"*"),0)),CHAR(10),'Ingest Template'!F699,CHAR(10),'Ingest Template'!G699,CHAR(10),VLOOKUP('Ingest Template'!D699,DropdownLists!C:D,2,FALSE))</f>
        <v>#N/A</v>
      </c>
      <c r="E699" s="22" t="str">
        <f>CONCATENATE('Ingest Template'!H699,CHAR(10),'Ingest Template'!I699,CHAR(10),'Ingest Template'!J699,CHAR(10))</f>
        <v>
</v>
      </c>
      <c r="F699" s="35" t="str">
        <f t="array" ref="F699">INDEX(DropdownLists!$O$2:$O$36,MATCH(1,COUNTIF(E699,"*"&amp;DropdownLists!$N$2:$N$36&amp;"*"),0))</f>
        <v/>
      </c>
      <c r="G699" s="35"/>
      <c r="H699" s="22" t="str">
        <f t="array" ref="H699">INDEX(DropdownLists!$E$2:$E$276,MATCH('Ingest Template'!D699,DropdownLists!$C$2:$C$276,0))</f>
        <v>#N/A</v>
      </c>
      <c r="I699" s="22"/>
      <c r="J699" s="22" t="str">
        <f t="array" ref="J699">iF('Ingest Template'!A699="Standard","Pristine Brand",INDEX(DropdownLists!$B$2:$B$246,MATCH('Ingest Template'!D699,DropdownLists!$C$2:$C$246,0)))</f>
        <v>#N/A</v>
      </c>
      <c r="K699" s="22" t="str">
        <f>iF('Ingest Template'!A699="Standard",'Ingest Template'!K699&amp;CHAR(10)&amp;'Ingest Template'!L699,"Competitive View")</f>
        <v>Competitive View</v>
      </c>
      <c r="L699" s="22" t="s">
        <v>95</v>
      </c>
      <c r="M699" s="45" t="str">
        <f>'Ingest Template'!B699</f>
        <v/>
      </c>
      <c r="N699" s="35"/>
      <c r="O699" s="35"/>
      <c r="P699" s="35"/>
      <c r="Q699" s="35"/>
      <c r="R699" s="35" t="str">
        <f>'Ingest Template'!D699</f>
        <v/>
      </c>
      <c r="S699" s="22" t="s">
        <v>101</v>
      </c>
      <c r="T699" s="35" t="str">
        <f>'Ingest Template'!V699</f>
        <v/>
      </c>
      <c r="U699" s="35" t="str">
        <f>'Ingest Template'!W699</f>
        <v/>
      </c>
      <c r="V699" s="35" t="str">
        <f>LOWER(SUBSTITUTE(SUBSTITUTE(SUBSTITUTE(SUBSTITUTE(SUBSTITUTE('Ingest Template'!X699,"https:",""),"www.",""),"/",""),"?hl=en",""),"instagram.com",""))</f>
        <v/>
      </c>
      <c r="W699" s="74" t="str">
        <f t="array" ref="W699">IF(
'Ingest Template'!Y699="",
SUBSTITUTE(
INDEX(DropdownLists!$F$2:$F$277,MATCH('Ingest Template'!D699,DropdownLists!$C$2:$C$277,0)),
CHAR(10),
"|"&amp;'Ingest Template'!C699&amp;CHAR(10)
)&amp;"|"&amp;'Ingest Template'!C699,
SUBSTITUTE(
INDEX(DropdownLists!$F$2:$F$277,MATCH('Ingest Template'!D699,DropdownLists!$C$2:$C$277,0)),
CHAR(10),
"|"&amp;'Ingest Template'!C699&amp;CHAR(10)
)&amp;"|"&amp;'Ingest Template'!C699&amp;CHAR(10)&amp;'Ingest Template'!Y699
)</f>
        <v>#N/A</v>
      </c>
      <c r="X699" s="74" t="str">
        <f>'Ingest Template'!Z699</f>
        <v/>
      </c>
      <c r="Y699" s="35" t="str">
        <f>SUBSTITUTE(SUBSTITUTE(SUBSTITUTE('Ingest Template'!AA699,"http:",""),"https:",""),"/","")</f>
        <v/>
      </c>
      <c r="Z699" s="35" t="str">
        <f t="array" ref="Z699">IF('Ingest Template'!A699="Standard",(IF(ISBLANK('Ingest Template'!AB699),"", 'Ingest Template'!AB699&amp;"|DAR")),(IF(ISBLANK('Ingest Template'!AB699),"", 'Ingest Template'!AB699&amp;"|TV Ops")))</f>
        <v/>
      </c>
      <c r="AA699" s="35"/>
      <c r="AB699" s="35" t="str">
        <f>'Ingest Template'!R699</f>
        <v/>
      </c>
      <c r="AC699" s="35" t="str">
        <f>'Ingest Template'!T699</f>
        <v/>
      </c>
      <c r="AD699" s="35" t="str">
        <f>'Ingest Template'!S699</f>
        <v/>
      </c>
      <c r="AE699" s="35" t="str">
        <f>'Ingest Template'!U699</f>
        <v/>
      </c>
      <c r="AF699" s="22"/>
      <c r="AG699" s="35" t="str">
        <f t="array" ref="AG699">IF('Ingest Template'!A699="Standard",(CONCATENATE(IF(ISBLANK('Ingest Template'!N699),"", 'Ingest Template'!N699&amp;"|DAR"),CHAR(10), IF(ISBLANK('Ingest Template'!O699),"", 'Ingest Template'!O699&amp;"|DAR"),CHAR(10), IF(ISBLANK('Ingest Template'!P699),"", 'Ingest Template'!P699&amp;"|DAR"))),(CONCATENATE(IF(ISBLANK('Ingest Template'!N699),"", 'Ingest Template'!N699&amp;"|TV Ops"),CHAR(10), IF(ISBLANK('Ingest Template'!O699),"", 'Ingest Template'!O699&amp;"|TV Ops"),CHAR(10), IF(ISBLANK('Ingest Template'!P699),"", 'Ingest Template'!P699&amp;"|TV Ops"))))</f>
        <v>
</v>
      </c>
      <c r="AH699" s="35"/>
      <c r="AI699" s="35"/>
      <c r="AJ699" s="117" t="str">
        <f>if('Ingest Template'!A699="Standard",(IF(OR('Ingest Template'!F699 = "Program Type - Special", 'Ingest Template'!F699 = "Program Type - Live Event"),'Ingest Template'!M699&amp; "|DAR|DAR|"&amp;TEXT('Ingest Template'!C699-3, "yyyy-mm-dd")&amp;"|"&amp;TEXT('Ingest Template'!C699+3, "yyyy-mm-dd"),'Ingest Template'!M699&amp; "|DAR|DAR|2021-01-01")),(IF(OR('Ingest Template'!F699 = "Program Type - Special", 'Ingest Template'!F699 = "Program Type - Live Event"),'Ingest Template'!M699&amp; "|Operations - Core Title|Operations - Core Title|"&amp;TEXT('Ingest Template'!C699-3, "yyyy-mm-dd")&amp;"|"&amp;TEXT('Ingest Template'!C699+3, "yyyy-mm-dd"),'Ingest Template'!M699&amp; "|Operations - Core Title|Operations - Core Title")))</f>
        <v>|Operations - Core Title|Operations - Core Title</v>
      </c>
      <c r="AK699" s="35"/>
      <c r="AL699" s="117" t="str">
        <f>if('Ingest Template'!A699="Standard",(IF(OR('Ingest Template'!F699 = "Program Type - Special", 'Ingest Template'!F699 = "Program Type - Live Event"),'Ingest Template'!Q699&amp;"|"&amp;TEXT('Ingest Template'!C699-3, "yyyy-mm-dd")&amp;"|"&amp;TEXT('Ingest Template'!C699+3, "yyyy-mm-dd"),'Ingest Template'!Q699&amp; "|2021-01-01")),(IF(OR('Ingest Template'!F699 = "Program Type - Special", 'Ingest Template'!F699 = "Program Type - Live Event"),'Ingest Template'!Q699&amp; "|"&amp;TEXT('Ingest Template'!C699-3, "yyyy-mm-dd")&amp;"|"&amp;TEXT('Ingest Template'!C699+3, "yyyy-mm-dd"),'Ingest Template'!Q699)))</f>
        <v/>
      </c>
      <c r="AM699" s="35" t="str">
        <f>'Ingest Template'!AC699</f>
        <v/>
      </c>
    </row>
    <row r="700">
      <c r="A700" s="15"/>
      <c r="B700" s="22" t="str">
        <f>'Ingest Template'!C700&amp;IF('Ingest Template'!A700 = "Standard", " - DAR","")</f>
        <v/>
      </c>
      <c r="C700" s="22" t="s">
        <v>83</v>
      </c>
      <c r="D700" s="22" t="str">
        <f t="array" ref="D700">CONCATENATE(INDEX(DropdownLists!$H$2:$H$11,MATCH(1,COUNTIF('Ingest Template'!E700,"*"&amp;DropdownLists!$I$2:$I$11&amp;"*"),0)),CHAR(10),'Ingest Template'!F700,CHAR(10),'Ingest Template'!G700,CHAR(10),VLOOKUP('Ingest Template'!D700,DropdownLists!C:D,2,FALSE))</f>
        <v>#N/A</v>
      </c>
      <c r="E700" s="22" t="str">
        <f>CONCATENATE('Ingest Template'!H700,CHAR(10),'Ingest Template'!I700,CHAR(10),'Ingest Template'!J700,CHAR(10))</f>
        <v>
</v>
      </c>
      <c r="F700" s="35" t="str">
        <f t="array" ref="F700">INDEX(DropdownLists!$O$2:$O$36,MATCH(1,COUNTIF(E700,"*"&amp;DropdownLists!$N$2:$N$36&amp;"*"),0))</f>
        <v/>
      </c>
      <c r="G700" s="35"/>
      <c r="H700" s="22" t="str">
        <f t="array" ref="H700">INDEX(DropdownLists!$E$2:$E$276,MATCH('Ingest Template'!D700,DropdownLists!$C$2:$C$276,0))</f>
        <v>#N/A</v>
      </c>
      <c r="I700" s="22"/>
      <c r="J700" s="22" t="str">
        <f t="array" ref="J700">iF('Ingest Template'!A700="Standard","Pristine Brand",INDEX(DropdownLists!$B$2:$B$246,MATCH('Ingest Template'!D700,DropdownLists!$C$2:$C$246,0)))</f>
        <v>#N/A</v>
      </c>
      <c r="K700" s="22" t="str">
        <f>iF('Ingest Template'!A700="Standard",'Ingest Template'!K700&amp;CHAR(10)&amp;'Ingest Template'!L700,"Competitive View")</f>
        <v>Competitive View</v>
      </c>
      <c r="L700" s="22" t="s">
        <v>95</v>
      </c>
      <c r="M700" s="45" t="str">
        <f>'Ingest Template'!B700</f>
        <v/>
      </c>
      <c r="N700" s="35"/>
      <c r="O700" s="35"/>
      <c r="P700" s="35"/>
      <c r="Q700" s="35"/>
      <c r="R700" s="35" t="str">
        <f>'Ingest Template'!D700</f>
        <v/>
      </c>
      <c r="S700" s="22" t="s">
        <v>101</v>
      </c>
      <c r="T700" s="35" t="str">
        <f>'Ingest Template'!V700</f>
        <v/>
      </c>
      <c r="U700" s="35" t="str">
        <f>'Ingest Template'!W700</f>
        <v/>
      </c>
      <c r="V700" s="35" t="str">
        <f>LOWER(SUBSTITUTE(SUBSTITUTE(SUBSTITUTE(SUBSTITUTE(SUBSTITUTE('Ingest Template'!X700,"https:",""),"www.",""),"/",""),"?hl=en",""),"instagram.com",""))</f>
        <v/>
      </c>
      <c r="W700" s="74" t="str">
        <f t="array" ref="W700">IF(
'Ingest Template'!Y700="",
SUBSTITUTE(
INDEX(DropdownLists!$F$2:$F$277,MATCH('Ingest Template'!D700,DropdownLists!$C$2:$C$277,0)),
CHAR(10),
"|"&amp;'Ingest Template'!C700&amp;CHAR(10)
)&amp;"|"&amp;'Ingest Template'!C700,
SUBSTITUTE(
INDEX(DropdownLists!$F$2:$F$277,MATCH('Ingest Template'!D700,DropdownLists!$C$2:$C$277,0)),
CHAR(10),
"|"&amp;'Ingest Template'!C700&amp;CHAR(10)
)&amp;"|"&amp;'Ingest Template'!C700&amp;CHAR(10)&amp;'Ingest Template'!Y700
)</f>
        <v>#N/A</v>
      </c>
      <c r="X700" s="74" t="str">
        <f>'Ingest Template'!Z700</f>
        <v/>
      </c>
      <c r="Y700" s="35" t="str">
        <f>SUBSTITUTE(SUBSTITUTE(SUBSTITUTE('Ingest Template'!AA700,"http:",""),"https:",""),"/","")</f>
        <v/>
      </c>
      <c r="Z700" s="35" t="str">
        <f t="array" ref="Z700">IF('Ingest Template'!A700="Standard",(IF(ISBLANK('Ingest Template'!AB700),"", 'Ingest Template'!AB700&amp;"|DAR")),(IF(ISBLANK('Ingest Template'!AB700),"", 'Ingest Template'!AB700&amp;"|TV Ops")))</f>
        <v/>
      </c>
      <c r="AA700" s="35"/>
      <c r="AB700" s="35" t="str">
        <f>'Ingest Template'!R700</f>
        <v/>
      </c>
      <c r="AC700" s="35" t="str">
        <f>'Ingest Template'!T700</f>
        <v/>
      </c>
      <c r="AD700" s="35" t="str">
        <f>'Ingest Template'!S700</f>
        <v/>
      </c>
      <c r="AE700" s="35" t="str">
        <f>'Ingest Template'!U700</f>
        <v/>
      </c>
      <c r="AF700" s="22"/>
      <c r="AG700" s="35" t="str">
        <f t="array" ref="AG700">IF('Ingest Template'!A700="Standard",(CONCATENATE(IF(ISBLANK('Ingest Template'!N700),"", 'Ingest Template'!N700&amp;"|DAR"),CHAR(10), IF(ISBLANK('Ingest Template'!O700),"", 'Ingest Template'!O700&amp;"|DAR"),CHAR(10), IF(ISBLANK('Ingest Template'!P700),"", 'Ingest Template'!P700&amp;"|DAR"))),(CONCATENATE(IF(ISBLANK('Ingest Template'!N700),"", 'Ingest Template'!N700&amp;"|TV Ops"),CHAR(10), IF(ISBLANK('Ingest Template'!O700),"", 'Ingest Template'!O700&amp;"|TV Ops"),CHAR(10), IF(ISBLANK('Ingest Template'!P700),"", 'Ingest Template'!P700&amp;"|TV Ops"))))</f>
        <v>
</v>
      </c>
      <c r="AH700" s="35"/>
      <c r="AI700" s="35"/>
      <c r="AJ700" s="117" t="str">
        <f>if('Ingest Template'!A700="Standard",(IF(OR('Ingest Template'!F700 = "Program Type - Special", 'Ingest Template'!F700 = "Program Type - Live Event"),'Ingest Template'!M700&amp; "|DAR|DAR|"&amp;TEXT('Ingest Template'!C700-3, "yyyy-mm-dd")&amp;"|"&amp;TEXT('Ingest Template'!C700+3, "yyyy-mm-dd"),'Ingest Template'!M700&amp; "|DAR|DAR|2021-01-01")),(IF(OR('Ingest Template'!F700 = "Program Type - Special", 'Ingest Template'!F700 = "Program Type - Live Event"),'Ingest Template'!M700&amp; "|Operations - Core Title|Operations - Core Title|"&amp;TEXT('Ingest Template'!C700-3, "yyyy-mm-dd")&amp;"|"&amp;TEXT('Ingest Template'!C700+3, "yyyy-mm-dd"),'Ingest Template'!M700&amp; "|Operations - Core Title|Operations - Core Title")))</f>
        <v>|Operations - Core Title|Operations - Core Title</v>
      </c>
      <c r="AK700" s="35"/>
      <c r="AL700" s="117" t="str">
        <f>if('Ingest Template'!A700="Standard",(IF(OR('Ingest Template'!F700 = "Program Type - Special", 'Ingest Template'!F700 = "Program Type - Live Event"),'Ingest Template'!Q700&amp;"|"&amp;TEXT('Ingest Template'!C700-3, "yyyy-mm-dd")&amp;"|"&amp;TEXT('Ingest Template'!C700+3, "yyyy-mm-dd"),'Ingest Template'!Q700&amp; "|2021-01-01")),(IF(OR('Ingest Template'!F700 = "Program Type - Special", 'Ingest Template'!F700 = "Program Type - Live Event"),'Ingest Template'!Q700&amp; "|"&amp;TEXT('Ingest Template'!C700-3, "yyyy-mm-dd")&amp;"|"&amp;TEXT('Ingest Template'!C700+3, "yyyy-mm-dd"),'Ingest Template'!Q700)))</f>
        <v/>
      </c>
      <c r="AM700" s="35" t="str">
        <f>'Ingest Template'!AC700</f>
        <v/>
      </c>
    </row>
    <row r="701">
      <c r="A701" s="15"/>
      <c r="B701" s="22" t="str">
        <f>'Ingest Template'!C701&amp;IF('Ingest Template'!A701 = "Standard", " - DAR","")</f>
        <v/>
      </c>
      <c r="C701" s="22" t="s">
        <v>83</v>
      </c>
      <c r="D701" s="22" t="str">
        <f t="array" ref="D701">CONCATENATE(INDEX(DropdownLists!$H$2:$H$11,MATCH(1,COUNTIF('Ingest Template'!E701,"*"&amp;DropdownLists!$I$2:$I$11&amp;"*"),0)),CHAR(10),'Ingest Template'!F701,CHAR(10),'Ingest Template'!G701,CHAR(10),VLOOKUP('Ingest Template'!D701,DropdownLists!C:D,2,FALSE))</f>
        <v>#N/A</v>
      </c>
      <c r="E701" s="22" t="str">
        <f>CONCATENATE('Ingest Template'!H701,CHAR(10),'Ingest Template'!I701,CHAR(10),'Ingest Template'!J701,CHAR(10))</f>
        <v>
</v>
      </c>
      <c r="F701" s="35" t="str">
        <f t="array" ref="F701">INDEX(DropdownLists!$O$2:$O$36,MATCH(1,COUNTIF(E701,"*"&amp;DropdownLists!$N$2:$N$36&amp;"*"),0))</f>
        <v/>
      </c>
      <c r="G701" s="35"/>
      <c r="H701" s="22" t="str">
        <f t="array" ref="H701">INDEX(DropdownLists!$E$2:$E$276,MATCH('Ingest Template'!D701,DropdownLists!$C$2:$C$276,0))</f>
        <v>#N/A</v>
      </c>
      <c r="I701" s="22"/>
      <c r="J701" s="22" t="str">
        <f t="array" ref="J701">iF('Ingest Template'!A701="Standard","Pristine Brand",INDEX(DropdownLists!$B$2:$B$246,MATCH('Ingest Template'!D701,DropdownLists!$C$2:$C$246,0)))</f>
        <v>#N/A</v>
      </c>
      <c r="K701" s="22" t="str">
        <f>iF('Ingest Template'!A701="Standard",'Ingest Template'!K701&amp;CHAR(10)&amp;'Ingest Template'!L701,"Competitive View")</f>
        <v>Competitive View</v>
      </c>
      <c r="L701" s="22" t="s">
        <v>95</v>
      </c>
      <c r="M701" s="45" t="str">
        <f>'Ingest Template'!B701</f>
        <v/>
      </c>
      <c r="N701" s="35"/>
      <c r="O701" s="35"/>
      <c r="P701" s="35"/>
      <c r="Q701" s="35"/>
      <c r="R701" s="35" t="str">
        <f>'Ingest Template'!D701</f>
        <v/>
      </c>
      <c r="S701" s="22" t="s">
        <v>101</v>
      </c>
      <c r="T701" s="35" t="str">
        <f>'Ingest Template'!V701</f>
        <v/>
      </c>
      <c r="U701" s="35" t="str">
        <f>'Ingest Template'!W701</f>
        <v/>
      </c>
      <c r="V701" s="35" t="str">
        <f>LOWER(SUBSTITUTE(SUBSTITUTE(SUBSTITUTE(SUBSTITUTE(SUBSTITUTE('Ingest Template'!X701,"https:",""),"www.",""),"/",""),"?hl=en",""),"instagram.com",""))</f>
        <v/>
      </c>
      <c r="W701" s="74" t="str">
        <f t="array" ref="W701">IF(
'Ingest Template'!Y701="",
SUBSTITUTE(
INDEX(DropdownLists!$F$2:$F$277,MATCH('Ingest Template'!D701,DropdownLists!$C$2:$C$277,0)),
CHAR(10),
"|"&amp;'Ingest Template'!C701&amp;CHAR(10)
)&amp;"|"&amp;'Ingest Template'!C701,
SUBSTITUTE(
INDEX(DropdownLists!$F$2:$F$277,MATCH('Ingest Template'!D701,DropdownLists!$C$2:$C$277,0)),
CHAR(10),
"|"&amp;'Ingest Template'!C701&amp;CHAR(10)
)&amp;"|"&amp;'Ingest Template'!C701&amp;CHAR(10)&amp;'Ingest Template'!Y701
)</f>
        <v>#N/A</v>
      </c>
      <c r="X701" s="74" t="str">
        <f>'Ingest Template'!Z701</f>
        <v/>
      </c>
      <c r="Y701" s="35" t="str">
        <f>SUBSTITUTE(SUBSTITUTE(SUBSTITUTE('Ingest Template'!AA701,"http:",""),"https:",""),"/","")</f>
        <v/>
      </c>
      <c r="Z701" s="35" t="str">
        <f t="array" ref="Z701">IF('Ingest Template'!A701="Standard",(IF(ISBLANK('Ingest Template'!AB701),"", 'Ingest Template'!AB701&amp;"|DAR")),(IF(ISBLANK('Ingest Template'!AB701),"", 'Ingest Template'!AB701&amp;"|TV Ops")))</f>
        <v/>
      </c>
      <c r="AA701" s="35"/>
      <c r="AB701" s="35" t="str">
        <f>'Ingest Template'!R701</f>
        <v/>
      </c>
      <c r="AC701" s="35" t="str">
        <f>'Ingest Template'!T701</f>
        <v/>
      </c>
      <c r="AD701" s="35" t="str">
        <f>'Ingest Template'!S701</f>
        <v/>
      </c>
      <c r="AE701" s="35" t="str">
        <f>'Ingest Template'!U701</f>
        <v/>
      </c>
      <c r="AF701" s="22"/>
      <c r="AG701" s="35" t="str">
        <f t="array" ref="AG701">IF('Ingest Template'!A701="Standard",(CONCATENATE(IF(ISBLANK('Ingest Template'!N701),"", 'Ingest Template'!N701&amp;"|DAR"),CHAR(10), IF(ISBLANK('Ingest Template'!O701),"", 'Ingest Template'!O701&amp;"|DAR"),CHAR(10), IF(ISBLANK('Ingest Template'!P701),"", 'Ingest Template'!P701&amp;"|DAR"))),(CONCATENATE(IF(ISBLANK('Ingest Template'!N701),"", 'Ingest Template'!N701&amp;"|TV Ops"),CHAR(10), IF(ISBLANK('Ingest Template'!O701),"", 'Ingest Template'!O701&amp;"|TV Ops"),CHAR(10), IF(ISBLANK('Ingest Template'!P701),"", 'Ingest Template'!P701&amp;"|TV Ops"))))</f>
        <v>
</v>
      </c>
      <c r="AH701" s="35"/>
      <c r="AI701" s="35"/>
      <c r="AJ701" s="117" t="str">
        <f>if('Ingest Template'!A701="Standard",(IF(OR('Ingest Template'!F701 = "Program Type - Special", 'Ingest Template'!F701 = "Program Type - Live Event"),'Ingest Template'!M701&amp; "|DAR|DAR|"&amp;TEXT('Ingest Template'!C701-3, "yyyy-mm-dd")&amp;"|"&amp;TEXT('Ingest Template'!C701+3, "yyyy-mm-dd"),'Ingest Template'!M701&amp; "|DAR|DAR|2021-01-01")),(IF(OR('Ingest Template'!F701 = "Program Type - Special", 'Ingest Template'!F701 = "Program Type - Live Event"),'Ingest Template'!M701&amp; "|Operations - Core Title|Operations - Core Title|"&amp;TEXT('Ingest Template'!C701-3, "yyyy-mm-dd")&amp;"|"&amp;TEXT('Ingest Template'!C701+3, "yyyy-mm-dd"),'Ingest Template'!M701&amp; "|Operations - Core Title|Operations - Core Title")))</f>
        <v>|Operations - Core Title|Operations - Core Title</v>
      </c>
      <c r="AK701" s="35"/>
      <c r="AL701" s="117" t="str">
        <f>if('Ingest Template'!A701="Standard",(IF(OR('Ingest Template'!F701 = "Program Type - Special", 'Ingest Template'!F701 = "Program Type - Live Event"),'Ingest Template'!Q701&amp;"|"&amp;TEXT('Ingest Template'!C701-3, "yyyy-mm-dd")&amp;"|"&amp;TEXT('Ingest Template'!C701+3, "yyyy-mm-dd"),'Ingest Template'!Q701&amp; "|2021-01-01")),(IF(OR('Ingest Template'!F701 = "Program Type - Special", 'Ingest Template'!F701 = "Program Type - Live Event"),'Ingest Template'!Q701&amp; "|"&amp;TEXT('Ingest Template'!C701-3, "yyyy-mm-dd")&amp;"|"&amp;TEXT('Ingest Template'!C701+3, "yyyy-mm-dd"),'Ingest Template'!Q701)))</f>
        <v/>
      </c>
      <c r="AM701" s="35" t="str">
        <f>'Ingest Template'!AC701</f>
        <v/>
      </c>
    </row>
    <row r="702">
      <c r="A702" s="15"/>
      <c r="B702" s="22" t="str">
        <f>'Ingest Template'!C702&amp;IF('Ingest Template'!A702 = "Standard", " - DAR","")</f>
        <v/>
      </c>
      <c r="C702" s="22" t="s">
        <v>83</v>
      </c>
      <c r="D702" s="22" t="str">
        <f t="array" ref="D702">CONCATENATE(INDEX(DropdownLists!$H$2:$H$11,MATCH(1,COUNTIF('Ingest Template'!E702,"*"&amp;DropdownLists!$I$2:$I$11&amp;"*"),0)),CHAR(10),'Ingest Template'!F702,CHAR(10),'Ingest Template'!G702,CHAR(10),VLOOKUP('Ingest Template'!D702,DropdownLists!C:D,2,FALSE))</f>
        <v>#N/A</v>
      </c>
      <c r="E702" s="22" t="str">
        <f>CONCATENATE('Ingest Template'!H702,CHAR(10),'Ingest Template'!I702,CHAR(10),'Ingest Template'!J702,CHAR(10))</f>
        <v>
</v>
      </c>
      <c r="F702" s="35" t="str">
        <f t="array" ref="F702">INDEX(DropdownLists!$O$2:$O$36,MATCH(1,COUNTIF(E702,"*"&amp;DropdownLists!$N$2:$N$36&amp;"*"),0))</f>
        <v/>
      </c>
      <c r="G702" s="35"/>
      <c r="H702" s="22" t="str">
        <f t="array" ref="H702">INDEX(DropdownLists!$E$2:$E$276,MATCH('Ingest Template'!D702,DropdownLists!$C$2:$C$276,0))</f>
        <v>#N/A</v>
      </c>
      <c r="I702" s="22"/>
      <c r="J702" s="22" t="str">
        <f t="array" ref="J702">iF('Ingest Template'!A702="Standard","Pristine Brand",INDEX(DropdownLists!$B$2:$B$246,MATCH('Ingest Template'!D702,DropdownLists!$C$2:$C$246,0)))</f>
        <v>#N/A</v>
      </c>
      <c r="K702" s="22" t="str">
        <f>iF('Ingest Template'!A702="Standard",'Ingest Template'!K702&amp;CHAR(10)&amp;'Ingest Template'!L702,"Competitive View")</f>
        <v>Competitive View</v>
      </c>
      <c r="L702" s="22" t="s">
        <v>95</v>
      </c>
      <c r="M702" s="45" t="str">
        <f>'Ingest Template'!B702</f>
        <v/>
      </c>
      <c r="N702" s="35"/>
      <c r="O702" s="35"/>
      <c r="P702" s="35"/>
      <c r="Q702" s="35"/>
      <c r="R702" s="35" t="str">
        <f>'Ingest Template'!D702</f>
        <v/>
      </c>
      <c r="S702" s="22" t="s">
        <v>101</v>
      </c>
      <c r="T702" s="35" t="str">
        <f>'Ingest Template'!V702</f>
        <v/>
      </c>
      <c r="U702" s="35" t="str">
        <f>'Ingest Template'!W702</f>
        <v/>
      </c>
      <c r="V702" s="35" t="str">
        <f>LOWER(SUBSTITUTE(SUBSTITUTE(SUBSTITUTE(SUBSTITUTE(SUBSTITUTE('Ingest Template'!X702,"https:",""),"www.",""),"/",""),"?hl=en",""),"instagram.com",""))</f>
        <v/>
      </c>
      <c r="W702" s="74" t="str">
        <f t="array" ref="W702">IF(
'Ingest Template'!Y702="",
SUBSTITUTE(
INDEX(DropdownLists!$F$2:$F$277,MATCH('Ingest Template'!D702,DropdownLists!$C$2:$C$277,0)),
CHAR(10),
"|"&amp;'Ingest Template'!C702&amp;CHAR(10)
)&amp;"|"&amp;'Ingest Template'!C702,
SUBSTITUTE(
INDEX(DropdownLists!$F$2:$F$277,MATCH('Ingest Template'!D702,DropdownLists!$C$2:$C$277,0)),
CHAR(10),
"|"&amp;'Ingest Template'!C702&amp;CHAR(10)
)&amp;"|"&amp;'Ingest Template'!C702&amp;CHAR(10)&amp;'Ingest Template'!Y702
)</f>
        <v>#N/A</v>
      </c>
      <c r="X702" s="74" t="str">
        <f>'Ingest Template'!Z702</f>
        <v/>
      </c>
      <c r="Y702" s="35" t="str">
        <f>SUBSTITUTE(SUBSTITUTE(SUBSTITUTE('Ingest Template'!AA702,"http:",""),"https:",""),"/","")</f>
        <v/>
      </c>
      <c r="Z702" s="35" t="str">
        <f t="array" ref="Z702">IF('Ingest Template'!A702="Standard",(IF(ISBLANK('Ingest Template'!AB702),"", 'Ingest Template'!AB702&amp;"|DAR")),(IF(ISBLANK('Ingest Template'!AB702),"", 'Ingest Template'!AB702&amp;"|TV Ops")))</f>
        <v/>
      </c>
      <c r="AA702" s="35"/>
      <c r="AB702" s="35" t="str">
        <f>'Ingest Template'!R702</f>
        <v/>
      </c>
      <c r="AC702" s="35" t="str">
        <f>'Ingest Template'!T702</f>
        <v/>
      </c>
      <c r="AD702" s="35" t="str">
        <f>'Ingest Template'!S702</f>
        <v/>
      </c>
      <c r="AE702" s="35" t="str">
        <f>'Ingest Template'!U702</f>
        <v/>
      </c>
      <c r="AF702" s="22"/>
      <c r="AG702" s="35" t="str">
        <f t="array" ref="AG702">IF('Ingest Template'!A702="Standard",(CONCATENATE(IF(ISBLANK('Ingest Template'!N702),"", 'Ingest Template'!N702&amp;"|DAR"),CHAR(10), IF(ISBLANK('Ingest Template'!O702),"", 'Ingest Template'!O702&amp;"|DAR"),CHAR(10), IF(ISBLANK('Ingest Template'!P702),"", 'Ingest Template'!P702&amp;"|DAR"))),(CONCATENATE(IF(ISBLANK('Ingest Template'!N702),"", 'Ingest Template'!N702&amp;"|TV Ops"),CHAR(10), IF(ISBLANK('Ingest Template'!O702),"", 'Ingest Template'!O702&amp;"|TV Ops"),CHAR(10), IF(ISBLANK('Ingest Template'!P702),"", 'Ingest Template'!P702&amp;"|TV Ops"))))</f>
        <v>
</v>
      </c>
      <c r="AH702" s="35"/>
      <c r="AI702" s="35"/>
      <c r="AJ702" s="117" t="str">
        <f>if('Ingest Template'!A702="Standard",(IF(OR('Ingest Template'!F702 = "Program Type - Special", 'Ingest Template'!F702 = "Program Type - Live Event"),'Ingest Template'!M702&amp; "|DAR|DAR|"&amp;TEXT('Ingest Template'!C702-3, "yyyy-mm-dd")&amp;"|"&amp;TEXT('Ingest Template'!C702+3, "yyyy-mm-dd"),'Ingest Template'!M702&amp; "|DAR|DAR|2021-01-01")),(IF(OR('Ingest Template'!F702 = "Program Type - Special", 'Ingest Template'!F702 = "Program Type - Live Event"),'Ingest Template'!M702&amp; "|Operations - Core Title|Operations - Core Title|"&amp;TEXT('Ingest Template'!C702-3, "yyyy-mm-dd")&amp;"|"&amp;TEXT('Ingest Template'!C702+3, "yyyy-mm-dd"),'Ingest Template'!M702&amp; "|Operations - Core Title|Operations - Core Title")))</f>
        <v>|Operations - Core Title|Operations - Core Title</v>
      </c>
      <c r="AK702" s="35"/>
      <c r="AL702" s="117" t="str">
        <f>if('Ingest Template'!A702="Standard",(IF(OR('Ingest Template'!F702 = "Program Type - Special", 'Ingest Template'!F702 = "Program Type - Live Event"),'Ingest Template'!Q702&amp;"|"&amp;TEXT('Ingest Template'!C702-3, "yyyy-mm-dd")&amp;"|"&amp;TEXT('Ingest Template'!C702+3, "yyyy-mm-dd"),'Ingest Template'!Q702&amp; "|2021-01-01")),(IF(OR('Ingest Template'!F702 = "Program Type - Special", 'Ingest Template'!F702 = "Program Type - Live Event"),'Ingest Template'!Q702&amp; "|"&amp;TEXT('Ingest Template'!C702-3, "yyyy-mm-dd")&amp;"|"&amp;TEXT('Ingest Template'!C702+3, "yyyy-mm-dd"),'Ingest Template'!Q702)))</f>
        <v/>
      </c>
      <c r="AM702" s="35" t="str">
        <f>'Ingest Template'!AC702</f>
        <v/>
      </c>
    </row>
    <row r="703">
      <c r="A703" s="15"/>
      <c r="B703" s="22" t="str">
        <f>'Ingest Template'!C703&amp;IF('Ingest Template'!A703 = "Standard", " - DAR","")</f>
        <v/>
      </c>
      <c r="C703" s="22" t="s">
        <v>83</v>
      </c>
      <c r="D703" s="22" t="str">
        <f t="array" ref="D703">CONCATENATE(INDEX(DropdownLists!$H$2:$H$11,MATCH(1,COUNTIF('Ingest Template'!E703,"*"&amp;DropdownLists!$I$2:$I$11&amp;"*"),0)),CHAR(10),'Ingest Template'!F703,CHAR(10),'Ingest Template'!G703,CHAR(10),VLOOKUP('Ingest Template'!D703,DropdownLists!C:D,2,FALSE))</f>
        <v>#N/A</v>
      </c>
      <c r="E703" s="22" t="str">
        <f>CONCATENATE('Ingest Template'!H703,CHAR(10),'Ingest Template'!I703,CHAR(10),'Ingest Template'!J703,CHAR(10))</f>
        <v>
</v>
      </c>
      <c r="F703" s="35" t="str">
        <f t="array" ref="F703">INDEX(DropdownLists!$O$2:$O$36,MATCH(1,COUNTIF(E703,"*"&amp;DropdownLists!$N$2:$N$36&amp;"*"),0))</f>
        <v/>
      </c>
      <c r="G703" s="35"/>
      <c r="H703" s="22" t="str">
        <f t="array" ref="H703">INDEX(DropdownLists!$E$2:$E$276,MATCH('Ingest Template'!D703,DropdownLists!$C$2:$C$276,0))</f>
        <v>#N/A</v>
      </c>
      <c r="I703" s="22"/>
      <c r="J703" s="22" t="str">
        <f t="array" ref="J703">iF('Ingest Template'!A703="Standard","Pristine Brand",INDEX(DropdownLists!$B$2:$B$246,MATCH('Ingest Template'!D703,DropdownLists!$C$2:$C$246,0)))</f>
        <v>#N/A</v>
      </c>
      <c r="K703" s="22" t="str">
        <f>iF('Ingest Template'!A703="Standard",'Ingest Template'!K703&amp;CHAR(10)&amp;'Ingest Template'!L703,"Competitive View")</f>
        <v>Competitive View</v>
      </c>
      <c r="L703" s="22" t="s">
        <v>95</v>
      </c>
      <c r="M703" s="45" t="str">
        <f>'Ingest Template'!B703</f>
        <v/>
      </c>
      <c r="N703" s="35"/>
      <c r="O703" s="35"/>
      <c r="P703" s="35"/>
      <c r="Q703" s="35"/>
      <c r="R703" s="35" t="str">
        <f>'Ingest Template'!D703</f>
        <v/>
      </c>
      <c r="S703" s="22" t="s">
        <v>101</v>
      </c>
      <c r="T703" s="35" t="str">
        <f>'Ingest Template'!V703</f>
        <v/>
      </c>
      <c r="U703" s="35" t="str">
        <f>'Ingest Template'!W703</f>
        <v/>
      </c>
      <c r="V703" s="35" t="str">
        <f>LOWER(SUBSTITUTE(SUBSTITUTE(SUBSTITUTE(SUBSTITUTE(SUBSTITUTE('Ingest Template'!X703,"https:",""),"www.",""),"/",""),"?hl=en",""),"instagram.com",""))</f>
        <v/>
      </c>
      <c r="W703" s="74" t="str">
        <f t="array" ref="W703">IF(
'Ingest Template'!Y703="",
SUBSTITUTE(
INDEX(DropdownLists!$F$2:$F$277,MATCH('Ingest Template'!D703,DropdownLists!$C$2:$C$277,0)),
CHAR(10),
"|"&amp;'Ingest Template'!C703&amp;CHAR(10)
)&amp;"|"&amp;'Ingest Template'!C703,
SUBSTITUTE(
INDEX(DropdownLists!$F$2:$F$277,MATCH('Ingest Template'!D703,DropdownLists!$C$2:$C$277,0)),
CHAR(10),
"|"&amp;'Ingest Template'!C703&amp;CHAR(10)
)&amp;"|"&amp;'Ingest Template'!C703&amp;CHAR(10)&amp;'Ingest Template'!Y703
)</f>
        <v>#N/A</v>
      </c>
      <c r="X703" s="74" t="str">
        <f>'Ingest Template'!Z703</f>
        <v/>
      </c>
      <c r="Y703" s="35" t="str">
        <f>SUBSTITUTE(SUBSTITUTE(SUBSTITUTE('Ingest Template'!AA703,"http:",""),"https:",""),"/","")</f>
        <v/>
      </c>
      <c r="Z703" s="35" t="str">
        <f t="array" ref="Z703">IF('Ingest Template'!A703="Standard",(IF(ISBLANK('Ingest Template'!AB703),"", 'Ingest Template'!AB703&amp;"|DAR")),(IF(ISBLANK('Ingest Template'!AB703),"", 'Ingest Template'!AB703&amp;"|TV Ops")))</f>
        <v/>
      </c>
      <c r="AA703" s="35"/>
      <c r="AB703" s="35" t="str">
        <f>'Ingest Template'!R703</f>
        <v/>
      </c>
      <c r="AC703" s="35" t="str">
        <f>'Ingest Template'!T703</f>
        <v/>
      </c>
      <c r="AD703" s="35" t="str">
        <f>'Ingest Template'!S703</f>
        <v/>
      </c>
      <c r="AE703" s="35" t="str">
        <f>'Ingest Template'!U703</f>
        <v/>
      </c>
      <c r="AF703" s="22"/>
      <c r="AG703" s="35" t="str">
        <f t="array" ref="AG703">IF('Ingest Template'!A703="Standard",(CONCATENATE(IF(ISBLANK('Ingest Template'!N703),"", 'Ingest Template'!N703&amp;"|DAR"),CHAR(10), IF(ISBLANK('Ingest Template'!O703),"", 'Ingest Template'!O703&amp;"|DAR"),CHAR(10), IF(ISBLANK('Ingest Template'!P703),"", 'Ingest Template'!P703&amp;"|DAR"))),(CONCATENATE(IF(ISBLANK('Ingest Template'!N703),"", 'Ingest Template'!N703&amp;"|TV Ops"),CHAR(10), IF(ISBLANK('Ingest Template'!O703),"", 'Ingest Template'!O703&amp;"|TV Ops"),CHAR(10), IF(ISBLANK('Ingest Template'!P703),"", 'Ingest Template'!P703&amp;"|TV Ops"))))</f>
        <v>
</v>
      </c>
      <c r="AH703" s="35"/>
      <c r="AI703" s="35"/>
      <c r="AJ703" s="117" t="str">
        <f>if('Ingest Template'!A703="Standard",(IF(OR('Ingest Template'!F703 = "Program Type - Special", 'Ingest Template'!F703 = "Program Type - Live Event"),'Ingest Template'!M703&amp; "|DAR|DAR|"&amp;TEXT('Ingest Template'!C703-3, "yyyy-mm-dd")&amp;"|"&amp;TEXT('Ingest Template'!C703+3, "yyyy-mm-dd"),'Ingest Template'!M703&amp; "|DAR|DAR|2021-01-01")),(IF(OR('Ingest Template'!F703 = "Program Type - Special", 'Ingest Template'!F703 = "Program Type - Live Event"),'Ingest Template'!M703&amp; "|Operations - Core Title|Operations - Core Title|"&amp;TEXT('Ingest Template'!C703-3, "yyyy-mm-dd")&amp;"|"&amp;TEXT('Ingest Template'!C703+3, "yyyy-mm-dd"),'Ingest Template'!M703&amp; "|Operations - Core Title|Operations - Core Title")))</f>
        <v>|Operations - Core Title|Operations - Core Title</v>
      </c>
      <c r="AK703" s="35"/>
      <c r="AL703" s="117" t="str">
        <f>if('Ingest Template'!A703="Standard",(IF(OR('Ingest Template'!F703 = "Program Type - Special", 'Ingest Template'!F703 = "Program Type - Live Event"),'Ingest Template'!Q703&amp;"|"&amp;TEXT('Ingest Template'!C703-3, "yyyy-mm-dd")&amp;"|"&amp;TEXT('Ingest Template'!C703+3, "yyyy-mm-dd"),'Ingest Template'!Q703&amp; "|2021-01-01")),(IF(OR('Ingest Template'!F703 = "Program Type - Special", 'Ingest Template'!F703 = "Program Type - Live Event"),'Ingest Template'!Q703&amp; "|"&amp;TEXT('Ingest Template'!C703-3, "yyyy-mm-dd")&amp;"|"&amp;TEXT('Ingest Template'!C703+3, "yyyy-mm-dd"),'Ingest Template'!Q703)))</f>
        <v/>
      </c>
      <c r="AM703" s="35" t="str">
        <f>'Ingest Template'!AC703</f>
        <v/>
      </c>
    </row>
    <row r="704">
      <c r="A704" s="15"/>
      <c r="B704" s="22" t="str">
        <f>'Ingest Template'!C704&amp;IF('Ingest Template'!A704 = "Standard", " - DAR","")</f>
        <v/>
      </c>
      <c r="C704" s="22" t="s">
        <v>83</v>
      </c>
      <c r="D704" s="22" t="str">
        <f t="array" ref="D704">CONCATENATE(INDEX(DropdownLists!$H$2:$H$11,MATCH(1,COUNTIF('Ingest Template'!E704,"*"&amp;DropdownLists!$I$2:$I$11&amp;"*"),0)),CHAR(10),'Ingest Template'!F704,CHAR(10),'Ingest Template'!G704,CHAR(10),VLOOKUP('Ingest Template'!D704,DropdownLists!C:D,2,FALSE))</f>
        <v>#N/A</v>
      </c>
      <c r="E704" s="22" t="str">
        <f>CONCATENATE('Ingest Template'!H704,CHAR(10),'Ingest Template'!I704,CHAR(10),'Ingest Template'!J704,CHAR(10))</f>
        <v>
</v>
      </c>
      <c r="F704" s="35" t="str">
        <f t="array" ref="F704">INDEX(DropdownLists!$O$2:$O$36,MATCH(1,COUNTIF(E704,"*"&amp;DropdownLists!$N$2:$N$36&amp;"*"),0))</f>
        <v/>
      </c>
      <c r="G704" s="35"/>
      <c r="H704" s="22" t="str">
        <f t="array" ref="H704">INDEX(DropdownLists!$E$2:$E$276,MATCH('Ingest Template'!D704,DropdownLists!$C$2:$C$276,0))</f>
        <v>#N/A</v>
      </c>
      <c r="I704" s="22"/>
      <c r="J704" s="22" t="str">
        <f t="array" ref="J704">iF('Ingest Template'!A704="Standard","Pristine Brand",INDEX(DropdownLists!$B$2:$B$246,MATCH('Ingest Template'!D704,DropdownLists!$C$2:$C$246,0)))</f>
        <v>#N/A</v>
      </c>
      <c r="K704" s="22" t="str">
        <f>iF('Ingest Template'!A704="Standard",'Ingest Template'!K704&amp;CHAR(10)&amp;'Ingest Template'!L704,"Competitive View")</f>
        <v>Competitive View</v>
      </c>
      <c r="L704" s="22" t="s">
        <v>95</v>
      </c>
      <c r="M704" s="45" t="str">
        <f>'Ingest Template'!B704</f>
        <v/>
      </c>
      <c r="N704" s="35"/>
      <c r="O704" s="35"/>
      <c r="P704" s="35"/>
      <c r="Q704" s="35"/>
      <c r="R704" s="35" t="str">
        <f>'Ingest Template'!D704</f>
        <v/>
      </c>
      <c r="S704" s="22" t="s">
        <v>101</v>
      </c>
      <c r="T704" s="35" t="str">
        <f>'Ingest Template'!V704</f>
        <v/>
      </c>
      <c r="U704" s="35" t="str">
        <f>'Ingest Template'!W704</f>
        <v/>
      </c>
      <c r="V704" s="35" t="str">
        <f>LOWER(SUBSTITUTE(SUBSTITUTE(SUBSTITUTE(SUBSTITUTE(SUBSTITUTE('Ingest Template'!X704,"https:",""),"www.",""),"/",""),"?hl=en",""),"instagram.com",""))</f>
        <v/>
      </c>
      <c r="W704" s="74" t="str">
        <f t="array" ref="W704">IF(
'Ingest Template'!Y704="",
SUBSTITUTE(
INDEX(DropdownLists!$F$2:$F$277,MATCH('Ingest Template'!D704,DropdownLists!$C$2:$C$277,0)),
CHAR(10),
"|"&amp;'Ingest Template'!C704&amp;CHAR(10)
)&amp;"|"&amp;'Ingest Template'!C704,
SUBSTITUTE(
INDEX(DropdownLists!$F$2:$F$277,MATCH('Ingest Template'!D704,DropdownLists!$C$2:$C$277,0)),
CHAR(10),
"|"&amp;'Ingest Template'!C704&amp;CHAR(10)
)&amp;"|"&amp;'Ingest Template'!C704&amp;CHAR(10)&amp;'Ingest Template'!Y704
)</f>
        <v>#N/A</v>
      </c>
      <c r="X704" s="74" t="str">
        <f>'Ingest Template'!Z704</f>
        <v/>
      </c>
      <c r="Y704" s="35" t="str">
        <f>SUBSTITUTE(SUBSTITUTE(SUBSTITUTE('Ingest Template'!AA704,"http:",""),"https:",""),"/","")</f>
        <v/>
      </c>
      <c r="Z704" s="35" t="str">
        <f t="array" ref="Z704">IF('Ingest Template'!A704="Standard",(IF(ISBLANK('Ingest Template'!AB704),"", 'Ingest Template'!AB704&amp;"|DAR")),(IF(ISBLANK('Ingest Template'!AB704),"", 'Ingest Template'!AB704&amp;"|TV Ops")))</f>
        <v/>
      </c>
      <c r="AA704" s="35"/>
      <c r="AB704" s="35" t="str">
        <f>'Ingest Template'!R704</f>
        <v/>
      </c>
      <c r="AC704" s="35" t="str">
        <f>'Ingest Template'!T704</f>
        <v/>
      </c>
      <c r="AD704" s="35" t="str">
        <f>'Ingest Template'!S704</f>
        <v/>
      </c>
      <c r="AE704" s="35" t="str">
        <f>'Ingest Template'!U704</f>
        <v/>
      </c>
      <c r="AF704" s="22"/>
      <c r="AG704" s="35" t="str">
        <f t="array" ref="AG704">IF('Ingest Template'!A704="Standard",(CONCATENATE(IF(ISBLANK('Ingest Template'!N704),"", 'Ingest Template'!N704&amp;"|DAR"),CHAR(10), IF(ISBLANK('Ingest Template'!O704),"", 'Ingest Template'!O704&amp;"|DAR"),CHAR(10), IF(ISBLANK('Ingest Template'!P704),"", 'Ingest Template'!P704&amp;"|DAR"))),(CONCATENATE(IF(ISBLANK('Ingest Template'!N704),"", 'Ingest Template'!N704&amp;"|TV Ops"),CHAR(10), IF(ISBLANK('Ingest Template'!O704),"", 'Ingest Template'!O704&amp;"|TV Ops"),CHAR(10), IF(ISBLANK('Ingest Template'!P704),"", 'Ingest Template'!P704&amp;"|TV Ops"))))</f>
        <v>
</v>
      </c>
      <c r="AH704" s="35"/>
      <c r="AI704" s="35"/>
      <c r="AJ704" s="117" t="str">
        <f>if('Ingest Template'!A704="Standard",(IF(OR('Ingest Template'!F704 = "Program Type - Special", 'Ingest Template'!F704 = "Program Type - Live Event"),'Ingest Template'!M704&amp; "|DAR|DAR|"&amp;TEXT('Ingest Template'!C704-3, "yyyy-mm-dd")&amp;"|"&amp;TEXT('Ingest Template'!C704+3, "yyyy-mm-dd"),'Ingest Template'!M704&amp; "|DAR|DAR|2021-01-01")),(IF(OR('Ingest Template'!F704 = "Program Type - Special", 'Ingest Template'!F704 = "Program Type - Live Event"),'Ingest Template'!M704&amp; "|Operations - Core Title|Operations - Core Title|"&amp;TEXT('Ingest Template'!C704-3, "yyyy-mm-dd")&amp;"|"&amp;TEXT('Ingest Template'!C704+3, "yyyy-mm-dd"),'Ingest Template'!M704&amp; "|Operations - Core Title|Operations - Core Title")))</f>
        <v>|Operations - Core Title|Operations - Core Title</v>
      </c>
      <c r="AK704" s="35"/>
      <c r="AL704" s="117" t="str">
        <f>if('Ingest Template'!A704="Standard",(IF(OR('Ingest Template'!F704 = "Program Type - Special", 'Ingest Template'!F704 = "Program Type - Live Event"),'Ingest Template'!Q704&amp;"|"&amp;TEXT('Ingest Template'!C704-3, "yyyy-mm-dd")&amp;"|"&amp;TEXT('Ingest Template'!C704+3, "yyyy-mm-dd"),'Ingest Template'!Q704&amp; "|2021-01-01")),(IF(OR('Ingest Template'!F704 = "Program Type - Special", 'Ingest Template'!F704 = "Program Type - Live Event"),'Ingest Template'!Q704&amp; "|"&amp;TEXT('Ingest Template'!C704-3, "yyyy-mm-dd")&amp;"|"&amp;TEXT('Ingest Template'!C704+3, "yyyy-mm-dd"),'Ingest Template'!Q704)))</f>
        <v/>
      </c>
      <c r="AM704" s="35" t="str">
        <f>'Ingest Template'!AC704</f>
        <v/>
      </c>
    </row>
    <row r="705">
      <c r="A705" s="15"/>
      <c r="B705" s="22" t="str">
        <f>'Ingest Template'!C705&amp;IF('Ingest Template'!A705 = "Standard", " - DAR","")</f>
        <v/>
      </c>
      <c r="C705" s="22" t="s">
        <v>83</v>
      </c>
      <c r="D705" s="22" t="str">
        <f t="array" ref="D705">CONCATENATE(INDEX(DropdownLists!$H$2:$H$11,MATCH(1,COUNTIF('Ingest Template'!E705,"*"&amp;DropdownLists!$I$2:$I$11&amp;"*"),0)),CHAR(10),'Ingest Template'!F705,CHAR(10),'Ingest Template'!G705,CHAR(10),VLOOKUP('Ingest Template'!D705,DropdownLists!C:D,2,FALSE))</f>
        <v>#N/A</v>
      </c>
      <c r="E705" s="22" t="str">
        <f>CONCATENATE('Ingest Template'!H705,CHAR(10),'Ingest Template'!I705,CHAR(10),'Ingest Template'!J705,CHAR(10))</f>
        <v>
</v>
      </c>
      <c r="F705" s="35" t="str">
        <f t="array" ref="F705">INDEX(DropdownLists!$O$2:$O$36,MATCH(1,COUNTIF(E705,"*"&amp;DropdownLists!$N$2:$N$36&amp;"*"),0))</f>
        <v/>
      </c>
      <c r="G705" s="35"/>
      <c r="H705" s="22" t="str">
        <f t="array" ref="H705">INDEX(DropdownLists!$E$2:$E$276,MATCH('Ingest Template'!D705,DropdownLists!$C$2:$C$276,0))</f>
        <v>#N/A</v>
      </c>
      <c r="I705" s="22"/>
      <c r="J705" s="22" t="str">
        <f t="array" ref="J705">iF('Ingest Template'!A705="Standard","Pristine Brand",INDEX(DropdownLists!$B$2:$B$246,MATCH('Ingest Template'!D705,DropdownLists!$C$2:$C$246,0)))</f>
        <v>#N/A</v>
      </c>
      <c r="K705" s="22" t="str">
        <f>iF('Ingest Template'!A705="Standard",'Ingest Template'!K705&amp;CHAR(10)&amp;'Ingest Template'!L705,"Competitive View")</f>
        <v>Competitive View</v>
      </c>
      <c r="L705" s="22" t="s">
        <v>95</v>
      </c>
      <c r="M705" s="45" t="str">
        <f>'Ingest Template'!B705</f>
        <v/>
      </c>
      <c r="N705" s="35"/>
      <c r="O705" s="35"/>
      <c r="P705" s="35"/>
      <c r="Q705" s="35"/>
      <c r="R705" s="35" t="str">
        <f>'Ingest Template'!D705</f>
        <v/>
      </c>
      <c r="S705" s="22" t="s">
        <v>101</v>
      </c>
      <c r="T705" s="35" t="str">
        <f>'Ingest Template'!V705</f>
        <v/>
      </c>
      <c r="U705" s="35" t="str">
        <f>'Ingest Template'!W705</f>
        <v/>
      </c>
      <c r="V705" s="35" t="str">
        <f>LOWER(SUBSTITUTE(SUBSTITUTE(SUBSTITUTE(SUBSTITUTE(SUBSTITUTE('Ingest Template'!X705,"https:",""),"www.",""),"/",""),"?hl=en",""),"instagram.com",""))</f>
        <v/>
      </c>
      <c r="W705" s="74" t="str">
        <f t="array" ref="W705">IF(
'Ingest Template'!Y705="",
SUBSTITUTE(
INDEX(DropdownLists!$F$2:$F$277,MATCH('Ingest Template'!D705,DropdownLists!$C$2:$C$277,0)),
CHAR(10),
"|"&amp;'Ingest Template'!C705&amp;CHAR(10)
)&amp;"|"&amp;'Ingest Template'!C705,
SUBSTITUTE(
INDEX(DropdownLists!$F$2:$F$277,MATCH('Ingest Template'!D705,DropdownLists!$C$2:$C$277,0)),
CHAR(10),
"|"&amp;'Ingest Template'!C705&amp;CHAR(10)
)&amp;"|"&amp;'Ingest Template'!C705&amp;CHAR(10)&amp;'Ingest Template'!Y705
)</f>
        <v>#N/A</v>
      </c>
      <c r="X705" s="74" t="str">
        <f>'Ingest Template'!Z705</f>
        <v/>
      </c>
      <c r="Y705" s="35" t="str">
        <f>SUBSTITUTE(SUBSTITUTE(SUBSTITUTE('Ingest Template'!AA705,"http:",""),"https:",""),"/","")</f>
        <v/>
      </c>
      <c r="Z705" s="35" t="str">
        <f t="array" ref="Z705">IF('Ingest Template'!A705="Standard",(IF(ISBLANK('Ingest Template'!AB705),"", 'Ingest Template'!AB705&amp;"|DAR")),(IF(ISBLANK('Ingest Template'!AB705),"", 'Ingest Template'!AB705&amp;"|TV Ops")))</f>
        <v/>
      </c>
      <c r="AA705" s="35"/>
      <c r="AB705" s="35" t="str">
        <f>'Ingest Template'!R705</f>
        <v/>
      </c>
      <c r="AC705" s="35" t="str">
        <f>'Ingest Template'!T705</f>
        <v/>
      </c>
      <c r="AD705" s="35" t="str">
        <f>'Ingest Template'!S705</f>
        <v/>
      </c>
      <c r="AE705" s="35" t="str">
        <f>'Ingest Template'!U705</f>
        <v/>
      </c>
      <c r="AF705" s="22"/>
      <c r="AG705" s="35" t="str">
        <f t="array" ref="AG705">IF('Ingest Template'!A705="Standard",(CONCATENATE(IF(ISBLANK('Ingest Template'!N705),"", 'Ingest Template'!N705&amp;"|DAR"),CHAR(10), IF(ISBLANK('Ingest Template'!O705),"", 'Ingest Template'!O705&amp;"|DAR"),CHAR(10), IF(ISBLANK('Ingest Template'!P705),"", 'Ingest Template'!P705&amp;"|DAR"))),(CONCATENATE(IF(ISBLANK('Ingest Template'!N705),"", 'Ingest Template'!N705&amp;"|TV Ops"),CHAR(10), IF(ISBLANK('Ingest Template'!O705),"", 'Ingest Template'!O705&amp;"|TV Ops"),CHAR(10), IF(ISBLANK('Ingest Template'!P705),"", 'Ingest Template'!P705&amp;"|TV Ops"))))</f>
        <v>
</v>
      </c>
      <c r="AH705" s="35"/>
      <c r="AI705" s="35"/>
      <c r="AJ705" s="117" t="str">
        <f>if('Ingest Template'!A705="Standard",(IF(OR('Ingest Template'!F705 = "Program Type - Special", 'Ingest Template'!F705 = "Program Type - Live Event"),'Ingest Template'!M705&amp; "|DAR|DAR|"&amp;TEXT('Ingest Template'!C705-3, "yyyy-mm-dd")&amp;"|"&amp;TEXT('Ingest Template'!C705+3, "yyyy-mm-dd"),'Ingest Template'!M705&amp; "|DAR|DAR|2021-01-01")),(IF(OR('Ingest Template'!F705 = "Program Type - Special", 'Ingest Template'!F705 = "Program Type - Live Event"),'Ingest Template'!M705&amp; "|Operations - Core Title|Operations - Core Title|"&amp;TEXT('Ingest Template'!C705-3, "yyyy-mm-dd")&amp;"|"&amp;TEXT('Ingest Template'!C705+3, "yyyy-mm-dd"),'Ingest Template'!M705&amp; "|Operations - Core Title|Operations - Core Title")))</f>
        <v>|Operations - Core Title|Operations - Core Title</v>
      </c>
      <c r="AK705" s="35"/>
      <c r="AL705" s="117" t="str">
        <f>if('Ingest Template'!A705="Standard",(IF(OR('Ingest Template'!F705 = "Program Type - Special", 'Ingest Template'!F705 = "Program Type - Live Event"),'Ingest Template'!Q705&amp;"|"&amp;TEXT('Ingest Template'!C705-3, "yyyy-mm-dd")&amp;"|"&amp;TEXT('Ingest Template'!C705+3, "yyyy-mm-dd"),'Ingest Template'!Q705&amp; "|2021-01-01")),(IF(OR('Ingest Template'!F705 = "Program Type - Special", 'Ingest Template'!F705 = "Program Type - Live Event"),'Ingest Template'!Q705&amp; "|"&amp;TEXT('Ingest Template'!C705-3, "yyyy-mm-dd")&amp;"|"&amp;TEXT('Ingest Template'!C705+3, "yyyy-mm-dd"),'Ingest Template'!Q705)))</f>
        <v/>
      </c>
      <c r="AM705" s="35" t="str">
        <f>'Ingest Template'!AC705</f>
        <v/>
      </c>
    </row>
    <row r="706">
      <c r="A706" s="15"/>
      <c r="B706" s="22" t="str">
        <f>'Ingest Template'!C706&amp;IF('Ingest Template'!A706 = "Standard", " - DAR","")</f>
        <v/>
      </c>
      <c r="C706" s="22" t="s">
        <v>83</v>
      </c>
      <c r="D706" s="22" t="str">
        <f t="array" ref="D706">CONCATENATE(INDEX(DropdownLists!$H$2:$H$11,MATCH(1,COUNTIF('Ingest Template'!E706,"*"&amp;DropdownLists!$I$2:$I$11&amp;"*"),0)),CHAR(10),'Ingest Template'!F706,CHAR(10),'Ingest Template'!G706,CHAR(10),VLOOKUP('Ingest Template'!D706,DropdownLists!C:D,2,FALSE))</f>
        <v>#N/A</v>
      </c>
      <c r="E706" s="22" t="str">
        <f>CONCATENATE('Ingest Template'!H706,CHAR(10),'Ingest Template'!I706,CHAR(10),'Ingest Template'!J706,CHAR(10))</f>
        <v>
</v>
      </c>
      <c r="F706" s="35" t="str">
        <f t="array" ref="F706">INDEX(DropdownLists!$O$2:$O$36,MATCH(1,COUNTIF(E706,"*"&amp;DropdownLists!$N$2:$N$36&amp;"*"),0))</f>
        <v/>
      </c>
      <c r="G706" s="35"/>
      <c r="H706" s="22" t="str">
        <f t="array" ref="H706">INDEX(DropdownLists!$E$2:$E$276,MATCH('Ingest Template'!D706,DropdownLists!$C$2:$C$276,0))</f>
        <v>#N/A</v>
      </c>
      <c r="I706" s="22"/>
      <c r="J706" s="22" t="str">
        <f t="array" ref="J706">iF('Ingest Template'!A706="Standard","Pristine Brand",INDEX(DropdownLists!$B$2:$B$246,MATCH('Ingest Template'!D706,DropdownLists!$C$2:$C$246,0)))</f>
        <v>#N/A</v>
      </c>
      <c r="K706" s="22" t="str">
        <f>iF('Ingest Template'!A706="Standard",'Ingest Template'!K706&amp;CHAR(10)&amp;'Ingest Template'!L706,"Competitive View")</f>
        <v>Competitive View</v>
      </c>
      <c r="L706" s="22" t="s">
        <v>95</v>
      </c>
      <c r="M706" s="45" t="str">
        <f>'Ingest Template'!B706</f>
        <v/>
      </c>
      <c r="N706" s="35"/>
      <c r="O706" s="35"/>
      <c r="P706" s="35"/>
      <c r="Q706" s="35"/>
      <c r="R706" s="35" t="str">
        <f>'Ingest Template'!D706</f>
        <v/>
      </c>
      <c r="S706" s="22" t="s">
        <v>101</v>
      </c>
      <c r="T706" s="35" t="str">
        <f>'Ingest Template'!V706</f>
        <v/>
      </c>
      <c r="U706" s="35" t="str">
        <f>'Ingest Template'!W706</f>
        <v/>
      </c>
      <c r="V706" s="35" t="str">
        <f>LOWER(SUBSTITUTE(SUBSTITUTE(SUBSTITUTE(SUBSTITUTE(SUBSTITUTE('Ingest Template'!X706,"https:",""),"www.",""),"/",""),"?hl=en",""),"instagram.com",""))</f>
        <v/>
      </c>
      <c r="W706" s="74" t="str">
        <f t="array" ref="W706">IF(
'Ingest Template'!Y706="",
SUBSTITUTE(
INDEX(DropdownLists!$F$2:$F$277,MATCH('Ingest Template'!D706,DropdownLists!$C$2:$C$277,0)),
CHAR(10),
"|"&amp;'Ingest Template'!C706&amp;CHAR(10)
)&amp;"|"&amp;'Ingest Template'!C706,
SUBSTITUTE(
INDEX(DropdownLists!$F$2:$F$277,MATCH('Ingest Template'!D706,DropdownLists!$C$2:$C$277,0)),
CHAR(10),
"|"&amp;'Ingest Template'!C706&amp;CHAR(10)
)&amp;"|"&amp;'Ingest Template'!C706&amp;CHAR(10)&amp;'Ingest Template'!Y706
)</f>
        <v>#N/A</v>
      </c>
      <c r="X706" s="74" t="str">
        <f>'Ingest Template'!Z706</f>
        <v/>
      </c>
      <c r="Y706" s="35" t="str">
        <f>SUBSTITUTE(SUBSTITUTE(SUBSTITUTE('Ingest Template'!AA706,"http:",""),"https:",""),"/","")</f>
        <v/>
      </c>
      <c r="Z706" s="35" t="str">
        <f t="array" ref="Z706">IF('Ingest Template'!A706="Standard",(IF(ISBLANK('Ingest Template'!AB706),"", 'Ingest Template'!AB706&amp;"|DAR")),(IF(ISBLANK('Ingest Template'!AB706),"", 'Ingest Template'!AB706&amp;"|TV Ops")))</f>
        <v/>
      </c>
      <c r="AA706" s="35"/>
      <c r="AB706" s="35" t="str">
        <f>'Ingest Template'!R706</f>
        <v/>
      </c>
      <c r="AC706" s="35" t="str">
        <f>'Ingest Template'!T706</f>
        <v/>
      </c>
      <c r="AD706" s="35" t="str">
        <f>'Ingest Template'!S706</f>
        <v/>
      </c>
      <c r="AE706" s="35" t="str">
        <f>'Ingest Template'!U706</f>
        <v/>
      </c>
      <c r="AF706" s="22"/>
      <c r="AG706" s="35" t="str">
        <f t="array" ref="AG706">IF('Ingest Template'!A706="Standard",(CONCATENATE(IF(ISBLANK('Ingest Template'!N706),"", 'Ingest Template'!N706&amp;"|DAR"),CHAR(10), IF(ISBLANK('Ingest Template'!O706),"", 'Ingest Template'!O706&amp;"|DAR"),CHAR(10), IF(ISBLANK('Ingest Template'!P706),"", 'Ingest Template'!P706&amp;"|DAR"))),(CONCATENATE(IF(ISBLANK('Ingest Template'!N706),"", 'Ingest Template'!N706&amp;"|TV Ops"),CHAR(10), IF(ISBLANK('Ingest Template'!O706),"", 'Ingest Template'!O706&amp;"|TV Ops"),CHAR(10), IF(ISBLANK('Ingest Template'!P706),"", 'Ingest Template'!P706&amp;"|TV Ops"))))</f>
        <v>
</v>
      </c>
      <c r="AH706" s="35"/>
      <c r="AI706" s="35"/>
      <c r="AJ706" s="117" t="str">
        <f>if('Ingest Template'!A706="Standard",(IF(OR('Ingest Template'!F706 = "Program Type - Special", 'Ingest Template'!F706 = "Program Type - Live Event"),'Ingest Template'!M706&amp; "|DAR|DAR|"&amp;TEXT('Ingest Template'!C706-3, "yyyy-mm-dd")&amp;"|"&amp;TEXT('Ingest Template'!C706+3, "yyyy-mm-dd"),'Ingest Template'!M706&amp; "|DAR|DAR|2021-01-01")),(IF(OR('Ingest Template'!F706 = "Program Type - Special", 'Ingest Template'!F706 = "Program Type - Live Event"),'Ingest Template'!M706&amp; "|Operations - Core Title|Operations - Core Title|"&amp;TEXT('Ingest Template'!C706-3, "yyyy-mm-dd")&amp;"|"&amp;TEXT('Ingest Template'!C706+3, "yyyy-mm-dd"),'Ingest Template'!M706&amp; "|Operations - Core Title|Operations - Core Title")))</f>
        <v>|Operations - Core Title|Operations - Core Title</v>
      </c>
      <c r="AK706" s="35"/>
      <c r="AL706" s="117" t="str">
        <f>if('Ingest Template'!A706="Standard",(IF(OR('Ingest Template'!F706 = "Program Type - Special", 'Ingest Template'!F706 = "Program Type - Live Event"),'Ingest Template'!Q706&amp;"|"&amp;TEXT('Ingest Template'!C706-3, "yyyy-mm-dd")&amp;"|"&amp;TEXT('Ingest Template'!C706+3, "yyyy-mm-dd"),'Ingest Template'!Q706&amp; "|2021-01-01")),(IF(OR('Ingest Template'!F706 = "Program Type - Special", 'Ingest Template'!F706 = "Program Type - Live Event"),'Ingest Template'!Q706&amp; "|"&amp;TEXT('Ingest Template'!C706-3, "yyyy-mm-dd")&amp;"|"&amp;TEXT('Ingest Template'!C706+3, "yyyy-mm-dd"),'Ingest Template'!Q706)))</f>
        <v/>
      </c>
      <c r="AM706" s="35" t="str">
        <f>'Ingest Template'!AC706</f>
        <v/>
      </c>
    </row>
    <row r="707">
      <c r="A707" s="15"/>
      <c r="B707" s="22" t="str">
        <f>'Ingest Template'!C707&amp;IF('Ingest Template'!A707 = "Standard", " - DAR","")</f>
        <v/>
      </c>
      <c r="C707" s="22" t="s">
        <v>83</v>
      </c>
      <c r="D707" s="22" t="str">
        <f t="array" ref="D707">CONCATENATE(INDEX(DropdownLists!$H$2:$H$11,MATCH(1,COUNTIF('Ingest Template'!E707,"*"&amp;DropdownLists!$I$2:$I$11&amp;"*"),0)),CHAR(10),'Ingest Template'!F707,CHAR(10),'Ingest Template'!G707,CHAR(10),VLOOKUP('Ingest Template'!D707,DropdownLists!C:D,2,FALSE))</f>
        <v>#N/A</v>
      </c>
      <c r="E707" s="22" t="str">
        <f>CONCATENATE('Ingest Template'!H707,CHAR(10),'Ingest Template'!I707,CHAR(10),'Ingest Template'!J707,CHAR(10))</f>
        <v>
</v>
      </c>
      <c r="F707" s="35" t="str">
        <f t="array" ref="F707">INDEX(DropdownLists!$O$2:$O$36,MATCH(1,COUNTIF(E707,"*"&amp;DropdownLists!$N$2:$N$36&amp;"*"),0))</f>
        <v/>
      </c>
      <c r="G707" s="35"/>
      <c r="H707" s="22" t="str">
        <f t="array" ref="H707">INDEX(DropdownLists!$E$2:$E$276,MATCH('Ingest Template'!D707,DropdownLists!$C$2:$C$276,0))</f>
        <v>#N/A</v>
      </c>
      <c r="I707" s="22"/>
      <c r="J707" s="22" t="str">
        <f t="array" ref="J707">iF('Ingest Template'!A707="Standard","Pristine Brand",INDEX(DropdownLists!$B$2:$B$246,MATCH('Ingest Template'!D707,DropdownLists!$C$2:$C$246,0)))</f>
        <v>#N/A</v>
      </c>
      <c r="K707" s="22" t="str">
        <f>iF('Ingest Template'!A707="Standard",'Ingest Template'!K707&amp;CHAR(10)&amp;'Ingest Template'!L707,"Competitive View")</f>
        <v>Competitive View</v>
      </c>
      <c r="L707" s="22" t="s">
        <v>95</v>
      </c>
      <c r="M707" s="45" t="str">
        <f>'Ingest Template'!B707</f>
        <v/>
      </c>
      <c r="N707" s="35"/>
      <c r="O707" s="35"/>
      <c r="P707" s="35"/>
      <c r="Q707" s="35"/>
      <c r="R707" s="35" t="str">
        <f>'Ingest Template'!D707</f>
        <v/>
      </c>
      <c r="S707" s="22" t="s">
        <v>101</v>
      </c>
      <c r="T707" s="35" t="str">
        <f>'Ingest Template'!V707</f>
        <v/>
      </c>
      <c r="U707" s="35" t="str">
        <f>'Ingest Template'!W707</f>
        <v/>
      </c>
      <c r="V707" s="35" t="str">
        <f>LOWER(SUBSTITUTE(SUBSTITUTE(SUBSTITUTE(SUBSTITUTE(SUBSTITUTE('Ingest Template'!X707,"https:",""),"www.",""),"/",""),"?hl=en",""),"instagram.com",""))</f>
        <v/>
      </c>
      <c r="W707" s="74" t="str">
        <f t="array" ref="W707">IF(
'Ingest Template'!Y707="",
SUBSTITUTE(
INDEX(DropdownLists!$F$2:$F$277,MATCH('Ingest Template'!D707,DropdownLists!$C$2:$C$277,0)),
CHAR(10),
"|"&amp;'Ingest Template'!C707&amp;CHAR(10)
)&amp;"|"&amp;'Ingest Template'!C707,
SUBSTITUTE(
INDEX(DropdownLists!$F$2:$F$277,MATCH('Ingest Template'!D707,DropdownLists!$C$2:$C$277,0)),
CHAR(10),
"|"&amp;'Ingest Template'!C707&amp;CHAR(10)
)&amp;"|"&amp;'Ingest Template'!C707&amp;CHAR(10)&amp;'Ingest Template'!Y707
)</f>
        <v>#N/A</v>
      </c>
      <c r="X707" s="74" t="str">
        <f>'Ingest Template'!Z707</f>
        <v/>
      </c>
      <c r="Y707" s="35" t="str">
        <f>SUBSTITUTE(SUBSTITUTE(SUBSTITUTE('Ingest Template'!AA707,"http:",""),"https:",""),"/","")</f>
        <v/>
      </c>
      <c r="Z707" s="35" t="str">
        <f t="array" ref="Z707">IF('Ingest Template'!A707="Standard",(IF(ISBLANK('Ingest Template'!AB707),"", 'Ingest Template'!AB707&amp;"|DAR")),(IF(ISBLANK('Ingest Template'!AB707),"", 'Ingest Template'!AB707&amp;"|TV Ops")))</f>
        <v/>
      </c>
      <c r="AA707" s="35"/>
      <c r="AB707" s="35" t="str">
        <f>'Ingest Template'!R707</f>
        <v/>
      </c>
      <c r="AC707" s="35" t="str">
        <f>'Ingest Template'!T707</f>
        <v/>
      </c>
      <c r="AD707" s="35" t="str">
        <f>'Ingest Template'!S707</f>
        <v/>
      </c>
      <c r="AE707" s="35" t="str">
        <f>'Ingest Template'!U707</f>
        <v/>
      </c>
      <c r="AF707" s="22"/>
      <c r="AG707" s="35" t="str">
        <f t="array" ref="AG707">IF('Ingest Template'!A707="Standard",(CONCATENATE(IF(ISBLANK('Ingest Template'!N707),"", 'Ingest Template'!N707&amp;"|DAR"),CHAR(10), IF(ISBLANK('Ingest Template'!O707),"", 'Ingest Template'!O707&amp;"|DAR"),CHAR(10), IF(ISBLANK('Ingest Template'!P707),"", 'Ingest Template'!P707&amp;"|DAR"))),(CONCATENATE(IF(ISBLANK('Ingest Template'!N707),"", 'Ingest Template'!N707&amp;"|TV Ops"),CHAR(10), IF(ISBLANK('Ingest Template'!O707),"", 'Ingest Template'!O707&amp;"|TV Ops"),CHAR(10), IF(ISBLANK('Ingest Template'!P707),"", 'Ingest Template'!P707&amp;"|TV Ops"))))</f>
        <v>
</v>
      </c>
      <c r="AH707" s="35"/>
      <c r="AI707" s="35"/>
      <c r="AJ707" s="117" t="str">
        <f>if('Ingest Template'!A707="Standard",(IF(OR('Ingest Template'!F707 = "Program Type - Special", 'Ingest Template'!F707 = "Program Type - Live Event"),'Ingest Template'!M707&amp; "|DAR|DAR|"&amp;TEXT('Ingest Template'!C707-3, "yyyy-mm-dd")&amp;"|"&amp;TEXT('Ingest Template'!C707+3, "yyyy-mm-dd"),'Ingest Template'!M707&amp; "|DAR|DAR|2021-01-01")),(IF(OR('Ingest Template'!F707 = "Program Type - Special", 'Ingest Template'!F707 = "Program Type - Live Event"),'Ingest Template'!M707&amp; "|Operations - Core Title|Operations - Core Title|"&amp;TEXT('Ingest Template'!C707-3, "yyyy-mm-dd")&amp;"|"&amp;TEXT('Ingest Template'!C707+3, "yyyy-mm-dd"),'Ingest Template'!M707&amp; "|Operations - Core Title|Operations - Core Title")))</f>
        <v>|Operations - Core Title|Operations - Core Title</v>
      </c>
      <c r="AK707" s="35"/>
      <c r="AL707" s="117" t="str">
        <f>if('Ingest Template'!A707="Standard",(IF(OR('Ingest Template'!F707 = "Program Type - Special", 'Ingest Template'!F707 = "Program Type - Live Event"),'Ingest Template'!Q707&amp;"|"&amp;TEXT('Ingest Template'!C707-3, "yyyy-mm-dd")&amp;"|"&amp;TEXT('Ingest Template'!C707+3, "yyyy-mm-dd"),'Ingest Template'!Q707&amp; "|2021-01-01")),(IF(OR('Ingest Template'!F707 = "Program Type - Special", 'Ingest Template'!F707 = "Program Type - Live Event"),'Ingest Template'!Q707&amp; "|"&amp;TEXT('Ingest Template'!C707-3, "yyyy-mm-dd")&amp;"|"&amp;TEXT('Ingest Template'!C707+3, "yyyy-mm-dd"),'Ingest Template'!Q707)))</f>
        <v/>
      </c>
      <c r="AM707" s="35" t="str">
        <f>'Ingest Template'!AC707</f>
        <v/>
      </c>
    </row>
    <row r="708">
      <c r="A708" s="15"/>
      <c r="B708" s="22" t="str">
        <f>'Ingest Template'!C708&amp;IF('Ingest Template'!A708 = "Standard", " - DAR","")</f>
        <v/>
      </c>
      <c r="C708" s="22" t="s">
        <v>83</v>
      </c>
      <c r="D708" s="22" t="str">
        <f t="array" ref="D708">CONCATENATE(INDEX(DropdownLists!$H$2:$H$11,MATCH(1,COUNTIF('Ingest Template'!E708,"*"&amp;DropdownLists!$I$2:$I$11&amp;"*"),0)),CHAR(10),'Ingest Template'!F708,CHAR(10),'Ingest Template'!G708,CHAR(10),VLOOKUP('Ingest Template'!D708,DropdownLists!C:D,2,FALSE))</f>
        <v>#N/A</v>
      </c>
      <c r="E708" s="22" t="str">
        <f>CONCATENATE('Ingest Template'!H708,CHAR(10),'Ingest Template'!I708,CHAR(10),'Ingest Template'!J708,CHAR(10))</f>
        <v>
</v>
      </c>
      <c r="F708" s="35" t="str">
        <f t="array" ref="F708">INDEX(DropdownLists!$O$2:$O$36,MATCH(1,COUNTIF(E708,"*"&amp;DropdownLists!$N$2:$N$36&amp;"*"),0))</f>
        <v/>
      </c>
      <c r="G708" s="35"/>
      <c r="H708" s="22" t="str">
        <f t="array" ref="H708">INDEX(DropdownLists!$E$2:$E$276,MATCH('Ingest Template'!D708,DropdownLists!$C$2:$C$276,0))</f>
        <v>#N/A</v>
      </c>
      <c r="I708" s="22"/>
      <c r="J708" s="22" t="str">
        <f t="array" ref="J708">iF('Ingest Template'!A708="Standard","Pristine Brand",INDEX(DropdownLists!$B$2:$B$246,MATCH('Ingest Template'!D708,DropdownLists!$C$2:$C$246,0)))</f>
        <v>#N/A</v>
      </c>
      <c r="K708" s="22" t="str">
        <f>iF('Ingest Template'!A708="Standard",'Ingest Template'!K708&amp;CHAR(10)&amp;'Ingest Template'!L708,"Competitive View")</f>
        <v>Competitive View</v>
      </c>
      <c r="L708" s="22" t="s">
        <v>95</v>
      </c>
      <c r="M708" s="45" t="str">
        <f>'Ingest Template'!B708</f>
        <v/>
      </c>
      <c r="N708" s="35"/>
      <c r="O708" s="35"/>
      <c r="P708" s="35"/>
      <c r="Q708" s="35"/>
      <c r="R708" s="35" t="str">
        <f>'Ingest Template'!D708</f>
        <v/>
      </c>
      <c r="S708" s="22" t="s">
        <v>101</v>
      </c>
      <c r="T708" s="35" t="str">
        <f>'Ingest Template'!V708</f>
        <v/>
      </c>
      <c r="U708" s="35" t="str">
        <f>'Ingest Template'!W708</f>
        <v/>
      </c>
      <c r="V708" s="35" t="str">
        <f>LOWER(SUBSTITUTE(SUBSTITUTE(SUBSTITUTE(SUBSTITUTE(SUBSTITUTE('Ingest Template'!X708,"https:",""),"www.",""),"/",""),"?hl=en",""),"instagram.com",""))</f>
        <v/>
      </c>
      <c r="W708" s="74" t="str">
        <f t="array" ref="W708">IF(
'Ingest Template'!Y708="",
SUBSTITUTE(
INDEX(DropdownLists!$F$2:$F$277,MATCH('Ingest Template'!D708,DropdownLists!$C$2:$C$277,0)),
CHAR(10),
"|"&amp;'Ingest Template'!C708&amp;CHAR(10)
)&amp;"|"&amp;'Ingest Template'!C708,
SUBSTITUTE(
INDEX(DropdownLists!$F$2:$F$277,MATCH('Ingest Template'!D708,DropdownLists!$C$2:$C$277,0)),
CHAR(10),
"|"&amp;'Ingest Template'!C708&amp;CHAR(10)
)&amp;"|"&amp;'Ingest Template'!C708&amp;CHAR(10)&amp;'Ingest Template'!Y708
)</f>
        <v>#N/A</v>
      </c>
      <c r="X708" s="74" t="str">
        <f>'Ingest Template'!Z708</f>
        <v/>
      </c>
      <c r="Y708" s="35" t="str">
        <f>SUBSTITUTE(SUBSTITUTE(SUBSTITUTE('Ingest Template'!AA708,"http:",""),"https:",""),"/","")</f>
        <v/>
      </c>
      <c r="Z708" s="35" t="str">
        <f t="array" ref="Z708">IF('Ingest Template'!A708="Standard",(IF(ISBLANK('Ingest Template'!AB708),"", 'Ingest Template'!AB708&amp;"|DAR")),(IF(ISBLANK('Ingest Template'!AB708),"", 'Ingest Template'!AB708&amp;"|TV Ops")))</f>
        <v/>
      </c>
      <c r="AA708" s="35"/>
      <c r="AB708" s="35" t="str">
        <f>'Ingest Template'!R708</f>
        <v/>
      </c>
      <c r="AC708" s="35" t="str">
        <f>'Ingest Template'!T708</f>
        <v/>
      </c>
      <c r="AD708" s="35" t="str">
        <f>'Ingest Template'!S708</f>
        <v/>
      </c>
      <c r="AE708" s="35" t="str">
        <f>'Ingest Template'!U708</f>
        <v/>
      </c>
      <c r="AF708" s="22"/>
      <c r="AG708" s="35" t="str">
        <f t="array" ref="AG708">IF('Ingest Template'!A708="Standard",(CONCATENATE(IF(ISBLANK('Ingest Template'!N708),"", 'Ingest Template'!N708&amp;"|DAR"),CHAR(10), IF(ISBLANK('Ingest Template'!O708),"", 'Ingest Template'!O708&amp;"|DAR"),CHAR(10), IF(ISBLANK('Ingest Template'!P708),"", 'Ingest Template'!P708&amp;"|DAR"))),(CONCATENATE(IF(ISBLANK('Ingest Template'!N708),"", 'Ingest Template'!N708&amp;"|TV Ops"),CHAR(10), IF(ISBLANK('Ingest Template'!O708),"", 'Ingest Template'!O708&amp;"|TV Ops"),CHAR(10), IF(ISBLANK('Ingest Template'!P708),"", 'Ingest Template'!P708&amp;"|TV Ops"))))</f>
        <v>
</v>
      </c>
      <c r="AH708" s="35"/>
      <c r="AI708" s="35"/>
      <c r="AJ708" s="117" t="str">
        <f>if('Ingest Template'!A708="Standard",(IF(OR('Ingest Template'!F708 = "Program Type - Special", 'Ingest Template'!F708 = "Program Type - Live Event"),'Ingest Template'!M708&amp; "|DAR|DAR|"&amp;TEXT('Ingest Template'!C708-3, "yyyy-mm-dd")&amp;"|"&amp;TEXT('Ingest Template'!C708+3, "yyyy-mm-dd"),'Ingest Template'!M708&amp; "|DAR|DAR|2021-01-01")),(IF(OR('Ingest Template'!F708 = "Program Type - Special", 'Ingest Template'!F708 = "Program Type - Live Event"),'Ingest Template'!M708&amp; "|Operations - Core Title|Operations - Core Title|"&amp;TEXT('Ingest Template'!C708-3, "yyyy-mm-dd")&amp;"|"&amp;TEXT('Ingest Template'!C708+3, "yyyy-mm-dd"),'Ingest Template'!M708&amp; "|Operations - Core Title|Operations - Core Title")))</f>
        <v>|Operations - Core Title|Operations - Core Title</v>
      </c>
      <c r="AK708" s="35"/>
      <c r="AL708" s="117" t="str">
        <f>if('Ingest Template'!A708="Standard",(IF(OR('Ingest Template'!F708 = "Program Type - Special", 'Ingest Template'!F708 = "Program Type - Live Event"),'Ingest Template'!Q708&amp;"|"&amp;TEXT('Ingest Template'!C708-3, "yyyy-mm-dd")&amp;"|"&amp;TEXT('Ingest Template'!C708+3, "yyyy-mm-dd"),'Ingest Template'!Q708&amp; "|2021-01-01")),(IF(OR('Ingest Template'!F708 = "Program Type - Special", 'Ingest Template'!F708 = "Program Type - Live Event"),'Ingest Template'!Q708&amp; "|"&amp;TEXT('Ingest Template'!C708-3, "yyyy-mm-dd")&amp;"|"&amp;TEXT('Ingest Template'!C708+3, "yyyy-mm-dd"),'Ingest Template'!Q708)))</f>
        <v/>
      </c>
      <c r="AM708" s="35" t="str">
        <f>'Ingest Template'!AC708</f>
        <v/>
      </c>
    </row>
    <row r="709">
      <c r="A709" s="15"/>
      <c r="B709" s="22" t="str">
        <f>'Ingest Template'!C709&amp;IF('Ingest Template'!A709 = "Standard", " - DAR","")</f>
        <v/>
      </c>
      <c r="C709" s="22" t="s">
        <v>83</v>
      </c>
      <c r="D709" s="22" t="str">
        <f t="array" ref="D709">CONCATENATE(INDEX(DropdownLists!$H$2:$H$11,MATCH(1,COUNTIF('Ingest Template'!E709,"*"&amp;DropdownLists!$I$2:$I$11&amp;"*"),0)),CHAR(10),'Ingest Template'!F709,CHAR(10),'Ingest Template'!G709,CHAR(10),VLOOKUP('Ingest Template'!D709,DropdownLists!C:D,2,FALSE))</f>
        <v>#N/A</v>
      </c>
      <c r="E709" s="22" t="str">
        <f>CONCATENATE('Ingest Template'!H709,CHAR(10),'Ingest Template'!I709,CHAR(10),'Ingest Template'!J709,CHAR(10))</f>
        <v>
</v>
      </c>
      <c r="F709" s="35" t="str">
        <f t="array" ref="F709">INDEX(DropdownLists!$O$2:$O$36,MATCH(1,COUNTIF(E709,"*"&amp;DropdownLists!$N$2:$N$36&amp;"*"),0))</f>
        <v/>
      </c>
      <c r="G709" s="35"/>
      <c r="H709" s="22" t="str">
        <f t="array" ref="H709">INDEX(DropdownLists!$E$2:$E$276,MATCH('Ingest Template'!D709,DropdownLists!$C$2:$C$276,0))</f>
        <v>#N/A</v>
      </c>
      <c r="I709" s="22"/>
      <c r="J709" s="22" t="str">
        <f t="array" ref="J709">iF('Ingest Template'!A709="Standard","Pristine Brand",INDEX(DropdownLists!$B$2:$B$246,MATCH('Ingest Template'!D709,DropdownLists!$C$2:$C$246,0)))</f>
        <v>#N/A</v>
      </c>
      <c r="K709" s="22" t="str">
        <f>iF('Ingest Template'!A709="Standard",'Ingest Template'!K709&amp;CHAR(10)&amp;'Ingest Template'!L709,"Competitive View")</f>
        <v>Competitive View</v>
      </c>
      <c r="L709" s="22" t="s">
        <v>95</v>
      </c>
      <c r="M709" s="45" t="str">
        <f>'Ingest Template'!B709</f>
        <v/>
      </c>
      <c r="N709" s="35"/>
      <c r="O709" s="35"/>
      <c r="P709" s="35"/>
      <c r="Q709" s="35"/>
      <c r="R709" s="35" t="str">
        <f>'Ingest Template'!D709</f>
        <v/>
      </c>
      <c r="S709" s="22" t="s">
        <v>101</v>
      </c>
      <c r="T709" s="35" t="str">
        <f>'Ingest Template'!V709</f>
        <v/>
      </c>
      <c r="U709" s="35" t="str">
        <f>'Ingest Template'!W709</f>
        <v/>
      </c>
      <c r="V709" s="35" t="str">
        <f>LOWER(SUBSTITUTE(SUBSTITUTE(SUBSTITUTE(SUBSTITUTE(SUBSTITUTE('Ingest Template'!X709,"https:",""),"www.",""),"/",""),"?hl=en",""),"instagram.com",""))</f>
        <v/>
      </c>
      <c r="W709" s="74" t="str">
        <f t="array" ref="W709">IF(
'Ingest Template'!Y709="",
SUBSTITUTE(
INDEX(DropdownLists!$F$2:$F$277,MATCH('Ingest Template'!D709,DropdownLists!$C$2:$C$277,0)),
CHAR(10),
"|"&amp;'Ingest Template'!C709&amp;CHAR(10)
)&amp;"|"&amp;'Ingest Template'!C709,
SUBSTITUTE(
INDEX(DropdownLists!$F$2:$F$277,MATCH('Ingest Template'!D709,DropdownLists!$C$2:$C$277,0)),
CHAR(10),
"|"&amp;'Ingest Template'!C709&amp;CHAR(10)
)&amp;"|"&amp;'Ingest Template'!C709&amp;CHAR(10)&amp;'Ingest Template'!Y709
)</f>
        <v>#N/A</v>
      </c>
      <c r="X709" s="74" t="str">
        <f>'Ingest Template'!Z709</f>
        <v/>
      </c>
      <c r="Y709" s="35" t="str">
        <f>SUBSTITUTE(SUBSTITUTE(SUBSTITUTE('Ingest Template'!AA709,"http:",""),"https:",""),"/","")</f>
        <v/>
      </c>
      <c r="Z709" s="35" t="str">
        <f t="array" ref="Z709">IF('Ingest Template'!A709="Standard",(IF(ISBLANK('Ingest Template'!AB709),"", 'Ingest Template'!AB709&amp;"|DAR")),(IF(ISBLANK('Ingest Template'!AB709),"", 'Ingest Template'!AB709&amp;"|TV Ops")))</f>
        <v/>
      </c>
      <c r="AA709" s="35"/>
      <c r="AB709" s="35" t="str">
        <f>'Ingest Template'!R709</f>
        <v/>
      </c>
      <c r="AC709" s="35" t="str">
        <f>'Ingest Template'!T709</f>
        <v/>
      </c>
      <c r="AD709" s="35" t="str">
        <f>'Ingest Template'!S709</f>
        <v/>
      </c>
      <c r="AE709" s="35" t="str">
        <f>'Ingest Template'!U709</f>
        <v/>
      </c>
      <c r="AF709" s="22"/>
      <c r="AG709" s="35" t="str">
        <f t="array" ref="AG709">IF('Ingest Template'!A709="Standard",(CONCATENATE(IF(ISBLANK('Ingest Template'!N709),"", 'Ingest Template'!N709&amp;"|DAR"),CHAR(10), IF(ISBLANK('Ingest Template'!O709),"", 'Ingest Template'!O709&amp;"|DAR"),CHAR(10), IF(ISBLANK('Ingest Template'!P709),"", 'Ingest Template'!P709&amp;"|DAR"))),(CONCATENATE(IF(ISBLANK('Ingest Template'!N709),"", 'Ingest Template'!N709&amp;"|TV Ops"),CHAR(10), IF(ISBLANK('Ingest Template'!O709),"", 'Ingest Template'!O709&amp;"|TV Ops"),CHAR(10), IF(ISBLANK('Ingest Template'!P709),"", 'Ingest Template'!P709&amp;"|TV Ops"))))</f>
        <v>
</v>
      </c>
      <c r="AH709" s="35"/>
      <c r="AI709" s="35"/>
      <c r="AJ709" s="117" t="str">
        <f>if('Ingest Template'!A709="Standard",(IF(OR('Ingest Template'!F709 = "Program Type - Special", 'Ingest Template'!F709 = "Program Type - Live Event"),'Ingest Template'!M709&amp; "|DAR|DAR|"&amp;TEXT('Ingest Template'!C709-3, "yyyy-mm-dd")&amp;"|"&amp;TEXT('Ingest Template'!C709+3, "yyyy-mm-dd"),'Ingest Template'!M709&amp; "|DAR|DAR|2021-01-01")),(IF(OR('Ingest Template'!F709 = "Program Type - Special", 'Ingest Template'!F709 = "Program Type - Live Event"),'Ingest Template'!M709&amp; "|Operations - Core Title|Operations - Core Title|"&amp;TEXT('Ingest Template'!C709-3, "yyyy-mm-dd")&amp;"|"&amp;TEXT('Ingest Template'!C709+3, "yyyy-mm-dd"),'Ingest Template'!M709&amp; "|Operations - Core Title|Operations - Core Title")))</f>
        <v>|Operations - Core Title|Operations - Core Title</v>
      </c>
      <c r="AK709" s="35"/>
      <c r="AL709" s="117" t="str">
        <f>if('Ingest Template'!A709="Standard",(IF(OR('Ingest Template'!F709 = "Program Type - Special", 'Ingest Template'!F709 = "Program Type - Live Event"),'Ingest Template'!Q709&amp;"|"&amp;TEXT('Ingest Template'!C709-3, "yyyy-mm-dd")&amp;"|"&amp;TEXT('Ingest Template'!C709+3, "yyyy-mm-dd"),'Ingest Template'!Q709&amp; "|2021-01-01")),(IF(OR('Ingest Template'!F709 = "Program Type - Special", 'Ingest Template'!F709 = "Program Type - Live Event"),'Ingest Template'!Q709&amp; "|"&amp;TEXT('Ingest Template'!C709-3, "yyyy-mm-dd")&amp;"|"&amp;TEXT('Ingest Template'!C709+3, "yyyy-mm-dd"),'Ingest Template'!Q709)))</f>
        <v/>
      </c>
      <c r="AM709" s="35" t="str">
        <f>'Ingest Template'!AC709</f>
        <v/>
      </c>
    </row>
    <row r="710">
      <c r="A710" s="15"/>
      <c r="B710" s="22" t="str">
        <f>'Ingest Template'!C710&amp;IF('Ingest Template'!A710 = "Standard", " - DAR","")</f>
        <v/>
      </c>
      <c r="C710" s="22" t="s">
        <v>83</v>
      </c>
      <c r="D710" s="22" t="str">
        <f t="array" ref="D710">CONCATENATE(INDEX(DropdownLists!$H$2:$H$11,MATCH(1,COUNTIF('Ingest Template'!E710,"*"&amp;DropdownLists!$I$2:$I$11&amp;"*"),0)),CHAR(10),'Ingest Template'!F710,CHAR(10),'Ingest Template'!G710,CHAR(10),VLOOKUP('Ingest Template'!D710,DropdownLists!C:D,2,FALSE))</f>
        <v>#N/A</v>
      </c>
      <c r="E710" s="22" t="str">
        <f>CONCATENATE('Ingest Template'!H710,CHAR(10),'Ingest Template'!I710,CHAR(10),'Ingest Template'!J710,CHAR(10))</f>
        <v>
</v>
      </c>
      <c r="F710" s="35" t="str">
        <f t="array" ref="F710">INDEX(DropdownLists!$O$2:$O$36,MATCH(1,COUNTIF(E710,"*"&amp;DropdownLists!$N$2:$N$36&amp;"*"),0))</f>
        <v/>
      </c>
      <c r="G710" s="35"/>
      <c r="H710" s="22" t="str">
        <f t="array" ref="H710">INDEX(DropdownLists!$E$2:$E$276,MATCH('Ingest Template'!D710,DropdownLists!$C$2:$C$276,0))</f>
        <v>#N/A</v>
      </c>
      <c r="I710" s="22"/>
      <c r="J710" s="22" t="str">
        <f t="array" ref="J710">iF('Ingest Template'!A710="Standard","Pristine Brand",INDEX(DropdownLists!$B$2:$B$246,MATCH('Ingest Template'!D710,DropdownLists!$C$2:$C$246,0)))</f>
        <v>#N/A</v>
      </c>
      <c r="K710" s="22" t="str">
        <f>iF('Ingest Template'!A710="Standard",'Ingest Template'!K710&amp;CHAR(10)&amp;'Ingest Template'!L710,"Competitive View")</f>
        <v>Competitive View</v>
      </c>
      <c r="L710" s="22" t="s">
        <v>95</v>
      </c>
      <c r="M710" s="45" t="str">
        <f>'Ingest Template'!B710</f>
        <v/>
      </c>
      <c r="N710" s="35"/>
      <c r="O710" s="35"/>
      <c r="P710" s="35"/>
      <c r="Q710" s="35"/>
      <c r="R710" s="35" t="str">
        <f>'Ingest Template'!D710</f>
        <v/>
      </c>
      <c r="S710" s="22" t="s">
        <v>101</v>
      </c>
      <c r="T710" s="35" t="str">
        <f>'Ingest Template'!V710</f>
        <v/>
      </c>
      <c r="U710" s="35" t="str">
        <f>'Ingest Template'!W710</f>
        <v/>
      </c>
      <c r="V710" s="35" t="str">
        <f>LOWER(SUBSTITUTE(SUBSTITUTE(SUBSTITUTE(SUBSTITUTE(SUBSTITUTE('Ingest Template'!X710,"https:",""),"www.",""),"/",""),"?hl=en",""),"instagram.com",""))</f>
        <v/>
      </c>
      <c r="W710" s="74" t="str">
        <f t="array" ref="W710">IF(
'Ingest Template'!Y710="",
SUBSTITUTE(
INDEX(DropdownLists!$F$2:$F$277,MATCH('Ingest Template'!D710,DropdownLists!$C$2:$C$277,0)),
CHAR(10),
"|"&amp;'Ingest Template'!C710&amp;CHAR(10)
)&amp;"|"&amp;'Ingest Template'!C710,
SUBSTITUTE(
INDEX(DropdownLists!$F$2:$F$277,MATCH('Ingest Template'!D710,DropdownLists!$C$2:$C$277,0)),
CHAR(10),
"|"&amp;'Ingest Template'!C710&amp;CHAR(10)
)&amp;"|"&amp;'Ingest Template'!C710&amp;CHAR(10)&amp;'Ingest Template'!Y710
)</f>
        <v>#N/A</v>
      </c>
      <c r="X710" s="74" t="str">
        <f>'Ingest Template'!Z710</f>
        <v/>
      </c>
      <c r="Y710" s="35" t="str">
        <f>SUBSTITUTE(SUBSTITUTE(SUBSTITUTE('Ingest Template'!AA710,"http:",""),"https:",""),"/","")</f>
        <v/>
      </c>
      <c r="Z710" s="35" t="str">
        <f t="array" ref="Z710">IF('Ingest Template'!A710="Standard",(IF(ISBLANK('Ingest Template'!AB710),"", 'Ingest Template'!AB710&amp;"|DAR")),(IF(ISBLANK('Ingest Template'!AB710),"", 'Ingest Template'!AB710&amp;"|TV Ops")))</f>
        <v/>
      </c>
      <c r="AA710" s="35"/>
      <c r="AB710" s="35" t="str">
        <f>'Ingest Template'!R710</f>
        <v/>
      </c>
      <c r="AC710" s="35" t="str">
        <f>'Ingest Template'!T710</f>
        <v/>
      </c>
      <c r="AD710" s="35" t="str">
        <f>'Ingest Template'!S710</f>
        <v/>
      </c>
      <c r="AE710" s="35" t="str">
        <f>'Ingest Template'!U710</f>
        <v/>
      </c>
      <c r="AF710" s="22"/>
      <c r="AG710" s="35" t="str">
        <f t="array" ref="AG710">IF('Ingest Template'!A710="Standard",(CONCATENATE(IF(ISBLANK('Ingest Template'!N710),"", 'Ingest Template'!N710&amp;"|DAR"),CHAR(10), IF(ISBLANK('Ingest Template'!O710),"", 'Ingest Template'!O710&amp;"|DAR"),CHAR(10), IF(ISBLANK('Ingest Template'!P710),"", 'Ingest Template'!P710&amp;"|DAR"))),(CONCATENATE(IF(ISBLANK('Ingest Template'!N710),"", 'Ingest Template'!N710&amp;"|TV Ops"),CHAR(10), IF(ISBLANK('Ingest Template'!O710),"", 'Ingest Template'!O710&amp;"|TV Ops"),CHAR(10), IF(ISBLANK('Ingest Template'!P710),"", 'Ingest Template'!P710&amp;"|TV Ops"))))</f>
        <v>
</v>
      </c>
      <c r="AH710" s="35"/>
      <c r="AI710" s="35"/>
      <c r="AJ710" s="117" t="str">
        <f>if('Ingest Template'!A710="Standard",(IF(OR('Ingest Template'!F710 = "Program Type - Special", 'Ingest Template'!F710 = "Program Type - Live Event"),'Ingest Template'!M710&amp; "|DAR|DAR|"&amp;TEXT('Ingest Template'!C710-3, "yyyy-mm-dd")&amp;"|"&amp;TEXT('Ingest Template'!C710+3, "yyyy-mm-dd"),'Ingest Template'!M710&amp; "|DAR|DAR|2021-01-01")),(IF(OR('Ingest Template'!F710 = "Program Type - Special", 'Ingest Template'!F710 = "Program Type - Live Event"),'Ingest Template'!M710&amp; "|Operations - Core Title|Operations - Core Title|"&amp;TEXT('Ingest Template'!C710-3, "yyyy-mm-dd")&amp;"|"&amp;TEXT('Ingest Template'!C710+3, "yyyy-mm-dd"),'Ingest Template'!M710&amp; "|Operations - Core Title|Operations - Core Title")))</f>
        <v>|Operations - Core Title|Operations - Core Title</v>
      </c>
      <c r="AK710" s="35"/>
      <c r="AL710" s="117" t="str">
        <f>if('Ingest Template'!A710="Standard",(IF(OR('Ingest Template'!F710 = "Program Type - Special", 'Ingest Template'!F710 = "Program Type - Live Event"),'Ingest Template'!Q710&amp;"|"&amp;TEXT('Ingest Template'!C710-3, "yyyy-mm-dd")&amp;"|"&amp;TEXT('Ingest Template'!C710+3, "yyyy-mm-dd"),'Ingest Template'!Q710&amp; "|2021-01-01")),(IF(OR('Ingest Template'!F710 = "Program Type - Special", 'Ingest Template'!F710 = "Program Type - Live Event"),'Ingest Template'!Q710&amp; "|"&amp;TEXT('Ingest Template'!C710-3, "yyyy-mm-dd")&amp;"|"&amp;TEXT('Ingest Template'!C710+3, "yyyy-mm-dd"),'Ingest Template'!Q710)))</f>
        <v/>
      </c>
      <c r="AM710" s="35" t="str">
        <f>'Ingest Template'!AC710</f>
        <v/>
      </c>
    </row>
    <row r="711">
      <c r="A711" s="15"/>
      <c r="B711" s="22" t="str">
        <f>'Ingest Template'!C711&amp;IF('Ingest Template'!A711 = "Standard", " - DAR","")</f>
        <v/>
      </c>
      <c r="C711" s="22" t="s">
        <v>83</v>
      </c>
      <c r="D711" s="22" t="str">
        <f t="array" ref="D711">CONCATENATE(INDEX(DropdownLists!$H$2:$H$11,MATCH(1,COUNTIF('Ingest Template'!E711,"*"&amp;DropdownLists!$I$2:$I$11&amp;"*"),0)),CHAR(10),'Ingest Template'!F711,CHAR(10),'Ingest Template'!G711,CHAR(10),VLOOKUP('Ingest Template'!D711,DropdownLists!C:D,2,FALSE))</f>
        <v>#N/A</v>
      </c>
      <c r="E711" s="22" t="str">
        <f>CONCATENATE('Ingest Template'!H711,CHAR(10),'Ingest Template'!I711,CHAR(10),'Ingest Template'!J711,CHAR(10))</f>
        <v>
</v>
      </c>
      <c r="F711" s="35" t="str">
        <f t="array" ref="F711">INDEX(DropdownLists!$O$2:$O$36,MATCH(1,COUNTIF(E711,"*"&amp;DropdownLists!$N$2:$N$36&amp;"*"),0))</f>
        <v/>
      </c>
      <c r="G711" s="35"/>
      <c r="H711" s="22" t="str">
        <f t="array" ref="H711">INDEX(DropdownLists!$E$2:$E$276,MATCH('Ingest Template'!D711,DropdownLists!$C$2:$C$276,0))</f>
        <v>#N/A</v>
      </c>
      <c r="I711" s="22"/>
      <c r="J711" s="22" t="str">
        <f t="array" ref="J711">iF('Ingest Template'!A711="Standard","Pristine Brand",INDEX(DropdownLists!$B$2:$B$246,MATCH('Ingest Template'!D711,DropdownLists!$C$2:$C$246,0)))</f>
        <v>#N/A</v>
      </c>
      <c r="K711" s="22" t="str">
        <f>iF('Ingest Template'!A711="Standard",'Ingest Template'!K711&amp;CHAR(10)&amp;'Ingest Template'!L711,"Competitive View")</f>
        <v>Competitive View</v>
      </c>
      <c r="L711" s="22" t="s">
        <v>95</v>
      </c>
      <c r="M711" s="45" t="str">
        <f>'Ingest Template'!B711</f>
        <v/>
      </c>
      <c r="N711" s="35"/>
      <c r="O711" s="35"/>
      <c r="P711" s="35"/>
      <c r="Q711" s="35"/>
      <c r="R711" s="35" t="str">
        <f>'Ingest Template'!D711</f>
        <v/>
      </c>
      <c r="S711" s="22" t="s">
        <v>101</v>
      </c>
      <c r="T711" s="35" t="str">
        <f>'Ingest Template'!V711</f>
        <v/>
      </c>
      <c r="U711" s="35" t="str">
        <f>'Ingest Template'!W711</f>
        <v/>
      </c>
      <c r="V711" s="35" t="str">
        <f>LOWER(SUBSTITUTE(SUBSTITUTE(SUBSTITUTE(SUBSTITUTE(SUBSTITUTE('Ingest Template'!X711,"https:",""),"www.",""),"/",""),"?hl=en",""),"instagram.com",""))</f>
        <v/>
      </c>
      <c r="W711" s="74" t="str">
        <f t="array" ref="W711">IF(
'Ingest Template'!Y711="",
SUBSTITUTE(
INDEX(DropdownLists!$F$2:$F$277,MATCH('Ingest Template'!D711,DropdownLists!$C$2:$C$277,0)),
CHAR(10),
"|"&amp;'Ingest Template'!C711&amp;CHAR(10)
)&amp;"|"&amp;'Ingest Template'!C711,
SUBSTITUTE(
INDEX(DropdownLists!$F$2:$F$277,MATCH('Ingest Template'!D711,DropdownLists!$C$2:$C$277,0)),
CHAR(10),
"|"&amp;'Ingest Template'!C711&amp;CHAR(10)
)&amp;"|"&amp;'Ingest Template'!C711&amp;CHAR(10)&amp;'Ingest Template'!Y711
)</f>
        <v>#N/A</v>
      </c>
      <c r="X711" s="74" t="str">
        <f>'Ingest Template'!Z711</f>
        <v/>
      </c>
      <c r="Y711" s="35" t="str">
        <f>SUBSTITUTE(SUBSTITUTE(SUBSTITUTE('Ingest Template'!AA711,"http:",""),"https:",""),"/","")</f>
        <v/>
      </c>
      <c r="Z711" s="35" t="str">
        <f t="array" ref="Z711">IF('Ingest Template'!A711="Standard",(IF(ISBLANK('Ingest Template'!AB711),"", 'Ingest Template'!AB711&amp;"|DAR")),(IF(ISBLANK('Ingest Template'!AB711),"", 'Ingest Template'!AB711&amp;"|TV Ops")))</f>
        <v/>
      </c>
      <c r="AA711" s="35"/>
      <c r="AB711" s="35" t="str">
        <f>'Ingest Template'!R711</f>
        <v/>
      </c>
      <c r="AC711" s="35" t="str">
        <f>'Ingest Template'!T711</f>
        <v/>
      </c>
      <c r="AD711" s="35" t="str">
        <f>'Ingest Template'!S711</f>
        <v/>
      </c>
      <c r="AE711" s="35" t="str">
        <f>'Ingest Template'!U711</f>
        <v/>
      </c>
      <c r="AF711" s="22"/>
      <c r="AG711" s="35" t="str">
        <f t="array" ref="AG711">IF('Ingest Template'!A711="Standard",(CONCATENATE(IF(ISBLANK('Ingest Template'!N711),"", 'Ingest Template'!N711&amp;"|DAR"),CHAR(10), IF(ISBLANK('Ingest Template'!O711),"", 'Ingest Template'!O711&amp;"|DAR"),CHAR(10), IF(ISBLANK('Ingest Template'!P711),"", 'Ingest Template'!P711&amp;"|DAR"))),(CONCATENATE(IF(ISBLANK('Ingest Template'!N711),"", 'Ingest Template'!N711&amp;"|TV Ops"),CHAR(10), IF(ISBLANK('Ingest Template'!O711),"", 'Ingest Template'!O711&amp;"|TV Ops"),CHAR(10), IF(ISBLANK('Ingest Template'!P711),"", 'Ingest Template'!P711&amp;"|TV Ops"))))</f>
        <v>
</v>
      </c>
      <c r="AH711" s="35"/>
      <c r="AI711" s="35"/>
      <c r="AJ711" s="117" t="str">
        <f>if('Ingest Template'!A711="Standard",(IF(OR('Ingest Template'!F711 = "Program Type - Special", 'Ingest Template'!F711 = "Program Type - Live Event"),'Ingest Template'!M711&amp; "|DAR|DAR|"&amp;TEXT('Ingest Template'!C711-3, "yyyy-mm-dd")&amp;"|"&amp;TEXT('Ingest Template'!C711+3, "yyyy-mm-dd"),'Ingest Template'!M711&amp; "|DAR|DAR|2021-01-01")),(IF(OR('Ingest Template'!F711 = "Program Type - Special", 'Ingest Template'!F711 = "Program Type - Live Event"),'Ingest Template'!M711&amp; "|Operations - Core Title|Operations - Core Title|"&amp;TEXT('Ingest Template'!C711-3, "yyyy-mm-dd")&amp;"|"&amp;TEXT('Ingest Template'!C711+3, "yyyy-mm-dd"),'Ingest Template'!M711&amp; "|Operations - Core Title|Operations - Core Title")))</f>
        <v>|Operations - Core Title|Operations - Core Title</v>
      </c>
      <c r="AK711" s="35"/>
      <c r="AL711" s="117" t="str">
        <f>if('Ingest Template'!A711="Standard",(IF(OR('Ingest Template'!F711 = "Program Type - Special", 'Ingest Template'!F711 = "Program Type - Live Event"),'Ingest Template'!Q711&amp;"|"&amp;TEXT('Ingest Template'!C711-3, "yyyy-mm-dd")&amp;"|"&amp;TEXT('Ingest Template'!C711+3, "yyyy-mm-dd"),'Ingest Template'!Q711&amp; "|2021-01-01")),(IF(OR('Ingest Template'!F711 = "Program Type - Special", 'Ingest Template'!F711 = "Program Type - Live Event"),'Ingest Template'!Q711&amp; "|"&amp;TEXT('Ingest Template'!C711-3, "yyyy-mm-dd")&amp;"|"&amp;TEXT('Ingest Template'!C711+3, "yyyy-mm-dd"),'Ingest Template'!Q711)))</f>
        <v/>
      </c>
      <c r="AM711" s="35" t="str">
        <f>'Ingest Template'!AC711</f>
        <v/>
      </c>
    </row>
    <row r="712">
      <c r="A712" s="15"/>
      <c r="B712" s="22" t="str">
        <f>'Ingest Template'!C712&amp;IF('Ingest Template'!A712 = "Standard", " - DAR","")</f>
        <v/>
      </c>
      <c r="C712" s="22" t="s">
        <v>83</v>
      </c>
      <c r="D712" s="22" t="str">
        <f t="array" ref="D712">CONCATENATE(INDEX(DropdownLists!$H$2:$H$11,MATCH(1,COUNTIF('Ingest Template'!E712,"*"&amp;DropdownLists!$I$2:$I$11&amp;"*"),0)),CHAR(10),'Ingest Template'!F712,CHAR(10),'Ingest Template'!G712,CHAR(10),VLOOKUP('Ingest Template'!D712,DropdownLists!C:D,2,FALSE))</f>
        <v>#N/A</v>
      </c>
      <c r="E712" s="22" t="str">
        <f>CONCATENATE('Ingest Template'!H712,CHAR(10),'Ingest Template'!I712,CHAR(10),'Ingest Template'!J712,CHAR(10))</f>
        <v>
</v>
      </c>
      <c r="F712" s="35" t="str">
        <f t="array" ref="F712">INDEX(DropdownLists!$O$2:$O$36,MATCH(1,COUNTIF(E712,"*"&amp;DropdownLists!$N$2:$N$36&amp;"*"),0))</f>
        <v/>
      </c>
      <c r="G712" s="35"/>
      <c r="H712" s="22" t="str">
        <f t="array" ref="H712">INDEX(DropdownLists!$E$2:$E$276,MATCH('Ingest Template'!D712,DropdownLists!$C$2:$C$276,0))</f>
        <v>#N/A</v>
      </c>
      <c r="I712" s="22"/>
      <c r="J712" s="22" t="str">
        <f t="array" ref="J712">iF('Ingest Template'!A712="Standard","Pristine Brand",INDEX(DropdownLists!$B$2:$B$246,MATCH('Ingest Template'!D712,DropdownLists!$C$2:$C$246,0)))</f>
        <v>#N/A</v>
      </c>
      <c r="K712" s="22" t="str">
        <f>iF('Ingest Template'!A712="Standard",'Ingest Template'!K712&amp;CHAR(10)&amp;'Ingest Template'!L712,"Competitive View")</f>
        <v>Competitive View</v>
      </c>
      <c r="L712" s="22" t="s">
        <v>95</v>
      </c>
      <c r="M712" s="45" t="str">
        <f>'Ingest Template'!B712</f>
        <v/>
      </c>
      <c r="N712" s="35"/>
      <c r="O712" s="35"/>
      <c r="P712" s="35"/>
      <c r="Q712" s="35"/>
      <c r="R712" s="35" t="str">
        <f>'Ingest Template'!D712</f>
        <v/>
      </c>
      <c r="S712" s="22" t="s">
        <v>101</v>
      </c>
      <c r="T712" s="35" t="str">
        <f>'Ingest Template'!V712</f>
        <v/>
      </c>
      <c r="U712" s="35" t="str">
        <f>'Ingest Template'!W712</f>
        <v/>
      </c>
      <c r="V712" s="35" t="str">
        <f>LOWER(SUBSTITUTE(SUBSTITUTE(SUBSTITUTE(SUBSTITUTE(SUBSTITUTE('Ingest Template'!X712,"https:",""),"www.",""),"/",""),"?hl=en",""),"instagram.com",""))</f>
        <v/>
      </c>
      <c r="W712" s="74" t="str">
        <f t="array" ref="W712">IF(
'Ingest Template'!Y712="",
SUBSTITUTE(
INDEX(DropdownLists!$F$2:$F$277,MATCH('Ingest Template'!D712,DropdownLists!$C$2:$C$277,0)),
CHAR(10),
"|"&amp;'Ingest Template'!C712&amp;CHAR(10)
)&amp;"|"&amp;'Ingest Template'!C712,
SUBSTITUTE(
INDEX(DropdownLists!$F$2:$F$277,MATCH('Ingest Template'!D712,DropdownLists!$C$2:$C$277,0)),
CHAR(10),
"|"&amp;'Ingest Template'!C712&amp;CHAR(10)
)&amp;"|"&amp;'Ingest Template'!C712&amp;CHAR(10)&amp;'Ingest Template'!Y712
)</f>
        <v>#N/A</v>
      </c>
      <c r="X712" s="74" t="str">
        <f>'Ingest Template'!Z712</f>
        <v/>
      </c>
      <c r="Y712" s="35" t="str">
        <f>SUBSTITUTE(SUBSTITUTE(SUBSTITUTE('Ingest Template'!AA712,"http:",""),"https:",""),"/","")</f>
        <v/>
      </c>
      <c r="Z712" s="35" t="str">
        <f t="array" ref="Z712">IF('Ingest Template'!A712="Standard",(IF(ISBLANK('Ingest Template'!AB712),"", 'Ingest Template'!AB712&amp;"|DAR")),(IF(ISBLANK('Ingest Template'!AB712),"", 'Ingest Template'!AB712&amp;"|TV Ops")))</f>
        <v/>
      </c>
      <c r="AA712" s="35"/>
      <c r="AB712" s="35" t="str">
        <f>'Ingest Template'!R712</f>
        <v/>
      </c>
      <c r="AC712" s="35" t="str">
        <f>'Ingest Template'!T712</f>
        <v/>
      </c>
      <c r="AD712" s="35" t="str">
        <f>'Ingest Template'!S712</f>
        <v/>
      </c>
      <c r="AE712" s="35" t="str">
        <f>'Ingest Template'!U712</f>
        <v/>
      </c>
      <c r="AF712" s="22"/>
      <c r="AG712" s="35" t="str">
        <f t="array" ref="AG712">IF('Ingest Template'!A712="Standard",(CONCATENATE(IF(ISBLANK('Ingest Template'!N712),"", 'Ingest Template'!N712&amp;"|DAR"),CHAR(10), IF(ISBLANK('Ingest Template'!O712),"", 'Ingest Template'!O712&amp;"|DAR"),CHAR(10), IF(ISBLANK('Ingest Template'!P712),"", 'Ingest Template'!P712&amp;"|DAR"))),(CONCATENATE(IF(ISBLANK('Ingest Template'!N712),"", 'Ingest Template'!N712&amp;"|TV Ops"),CHAR(10), IF(ISBLANK('Ingest Template'!O712),"", 'Ingest Template'!O712&amp;"|TV Ops"),CHAR(10), IF(ISBLANK('Ingest Template'!P712),"", 'Ingest Template'!P712&amp;"|TV Ops"))))</f>
        <v>
</v>
      </c>
      <c r="AH712" s="35"/>
      <c r="AI712" s="35"/>
      <c r="AJ712" s="117" t="str">
        <f>if('Ingest Template'!A712="Standard",(IF(OR('Ingest Template'!F712 = "Program Type - Special", 'Ingest Template'!F712 = "Program Type - Live Event"),'Ingest Template'!M712&amp; "|DAR|DAR|"&amp;TEXT('Ingest Template'!C712-3, "yyyy-mm-dd")&amp;"|"&amp;TEXT('Ingest Template'!C712+3, "yyyy-mm-dd"),'Ingest Template'!M712&amp; "|DAR|DAR|2021-01-01")),(IF(OR('Ingest Template'!F712 = "Program Type - Special", 'Ingest Template'!F712 = "Program Type - Live Event"),'Ingest Template'!M712&amp; "|Operations - Core Title|Operations - Core Title|"&amp;TEXT('Ingest Template'!C712-3, "yyyy-mm-dd")&amp;"|"&amp;TEXT('Ingest Template'!C712+3, "yyyy-mm-dd"),'Ingest Template'!M712&amp; "|Operations - Core Title|Operations - Core Title")))</f>
        <v>|Operations - Core Title|Operations - Core Title</v>
      </c>
      <c r="AK712" s="35"/>
      <c r="AL712" s="117" t="str">
        <f>if('Ingest Template'!A712="Standard",(IF(OR('Ingest Template'!F712 = "Program Type - Special", 'Ingest Template'!F712 = "Program Type - Live Event"),'Ingest Template'!Q712&amp;"|"&amp;TEXT('Ingest Template'!C712-3, "yyyy-mm-dd")&amp;"|"&amp;TEXT('Ingest Template'!C712+3, "yyyy-mm-dd"),'Ingest Template'!Q712&amp; "|2021-01-01")),(IF(OR('Ingest Template'!F712 = "Program Type - Special", 'Ingest Template'!F712 = "Program Type - Live Event"),'Ingest Template'!Q712&amp; "|"&amp;TEXT('Ingest Template'!C712-3, "yyyy-mm-dd")&amp;"|"&amp;TEXT('Ingest Template'!C712+3, "yyyy-mm-dd"),'Ingest Template'!Q712)))</f>
        <v/>
      </c>
      <c r="AM712" s="35" t="str">
        <f>'Ingest Template'!AC712</f>
        <v/>
      </c>
    </row>
    <row r="713">
      <c r="A713" s="15"/>
      <c r="B713" s="22" t="str">
        <f>'Ingest Template'!C713&amp;IF('Ingest Template'!A713 = "Standard", " - DAR","")</f>
        <v/>
      </c>
      <c r="C713" s="22" t="s">
        <v>83</v>
      </c>
      <c r="D713" s="22" t="str">
        <f t="array" ref="D713">CONCATENATE(INDEX(DropdownLists!$H$2:$H$11,MATCH(1,COUNTIF('Ingest Template'!E713,"*"&amp;DropdownLists!$I$2:$I$11&amp;"*"),0)),CHAR(10),'Ingest Template'!F713,CHAR(10),'Ingest Template'!G713,CHAR(10),VLOOKUP('Ingest Template'!D713,DropdownLists!C:D,2,FALSE))</f>
        <v>#N/A</v>
      </c>
      <c r="E713" s="22" t="str">
        <f>CONCATENATE('Ingest Template'!H713,CHAR(10),'Ingest Template'!I713,CHAR(10),'Ingest Template'!J713,CHAR(10))</f>
        <v>
</v>
      </c>
      <c r="F713" s="35" t="str">
        <f t="array" ref="F713">INDEX(DropdownLists!$O$2:$O$36,MATCH(1,COUNTIF(E713,"*"&amp;DropdownLists!$N$2:$N$36&amp;"*"),0))</f>
        <v/>
      </c>
      <c r="G713" s="35"/>
      <c r="H713" s="22" t="str">
        <f t="array" ref="H713">INDEX(DropdownLists!$E$2:$E$276,MATCH('Ingest Template'!D713,DropdownLists!$C$2:$C$276,0))</f>
        <v>#N/A</v>
      </c>
      <c r="I713" s="22"/>
      <c r="J713" s="22" t="str">
        <f t="array" ref="J713">iF('Ingest Template'!A713="Standard","Pristine Brand",INDEX(DropdownLists!$B$2:$B$246,MATCH('Ingest Template'!D713,DropdownLists!$C$2:$C$246,0)))</f>
        <v>#N/A</v>
      </c>
      <c r="K713" s="22" t="str">
        <f>iF('Ingest Template'!A713="Standard",'Ingest Template'!K713&amp;CHAR(10)&amp;'Ingest Template'!L713,"Competitive View")</f>
        <v>Competitive View</v>
      </c>
      <c r="L713" s="22" t="s">
        <v>95</v>
      </c>
      <c r="M713" s="45" t="str">
        <f>'Ingest Template'!B713</f>
        <v/>
      </c>
      <c r="N713" s="35"/>
      <c r="O713" s="35"/>
      <c r="P713" s="35"/>
      <c r="Q713" s="35"/>
      <c r="R713" s="35" t="str">
        <f>'Ingest Template'!D713</f>
        <v/>
      </c>
      <c r="S713" s="22" t="s">
        <v>101</v>
      </c>
      <c r="T713" s="35" t="str">
        <f>'Ingest Template'!V713</f>
        <v/>
      </c>
      <c r="U713" s="35" t="str">
        <f>'Ingest Template'!W713</f>
        <v/>
      </c>
      <c r="V713" s="35" t="str">
        <f>LOWER(SUBSTITUTE(SUBSTITUTE(SUBSTITUTE(SUBSTITUTE(SUBSTITUTE('Ingest Template'!X713,"https:",""),"www.",""),"/",""),"?hl=en",""),"instagram.com",""))</f>
        <v/>
      </c>
      <c r="W713" s="74" t="str">
        <f t="array" ref="W713">IF(
'Ingest Template'!Y713="",
SUBSTITUTE(
INDEX(DropdownLists!$F$2:$F$277,MATCH('Ingest Template'!D713,DropdownLists!$C$2:$C$277,0)),
CHAR(10),
"|"&amp;'Ingest Template'!C713&amp;CHAR(10)
)&amp;"|"&amp;'Ingest Template'!C713,
SUBSTITUTE(
INDEX(DropdownLists!$F$2:$F$277,MATCH('Ingest Template'!D713,DropdownLists!$C$2:$C$277,0)),
CHAR(10),
"|"&amp;'Ingest Template'!C713&amp;CHAR(10)
)&amp;"|"&amp;'Ingest Template'!C713&amp;CHAR(10)&amp;'Ingest Template'!Y713
)</f>
        <v>#N/A</v>
      </c>
      <c r="X713" s="74" t="str">
        <f>'Ingest Template'!Z713</f>
        <v/>
      </c>
      <c r="Y713" s="35" t="str">
        <f>SUBSTITUTE(SUBSTITUTE(SUBSTITUTE('Ingest Template'!AA713,"http:",""),"https:",""),"/","")</f>
        <v/>
      </c>
      <c r="Z713" s="35" t="str">
        <f t="array" ref="Z713">IF('Ingest Template'!A713="Standard",(IF(ISBLANK('Ingest Template'!AB713),"", 'Ingest Template'!AB713&amp;"|DAR")),(IF(ISBLANK('Ingest Template'!AB713),"", 'Ingest Template'!AB713&amp;"|TV Ops")))</f>
        <v/>
      </c>
      <c r="AA713" s="35"/>
      <c r="AB713" s="35" t="str">
        <f>'Ingest Template'!R713</f>
        <v/>
      </c>
      <c r="AC713" s="35" t="str">
        <f>'Ingest Template'!T713</f>
        <v/>
      </c>
      <c r="AD713" s="35" t="str">
        <f>'Ingest Template'!S713</f>
        <v/>
      </c>
      <c r="AE713" s="35" t="str">
        <f>'Ingest Template'!U713</f>
        <v/>
      </c>
      <c r="AF713" s="22"/>
      <c r="AG713" s="35" t="str">
        <f t="array" ref="AG713">IF('Ingest Template'!A713="Standard",(CONCATENATE(IF(ISBLANK('Ingest Template'!N713),"", 'Ingest Template'!N713&amp;"|DAR"),CHAR(10), IF(ISBLANK('Ingest Template'!O713),"", 'Ingest Template'!O713&amp;"|DAR"),CHAR(10), IF(ISBLANK('Ingest Template'!P713),"", 'Ingest Template'!P713&amp;"|DAR"))),(CONCATENATE(IF(ISBLANK('Ingest Template'!N713),"", 'Ingest Template'!N713&amp;"|TV Ops"),CHAR(10), IF(ISBLANK('Ingest Template'!O713),"", 'Ingest Template'!O713&amp;"|TV Ops"),CHAR(10), IF(ISBLANK('Ingest Template'!P713),"", 'Ingest Template'!P713&amp;"|TV Ops"))))</f>
        <v>
</v>
      </c>
      <c r="AH713" s="35"/>
      <c r="AI713" s="35"/>
      <c r="AJ713" s="117" t="str">
        <f>if('Ingest Template'!A713="Standard",(IF(OR('Ingest Template'!F713 = "Program Type - Special", 'Ingest Template'!F713 = "Program Type - Live Event"),'Ingest Template'!M713&amp; "|DAR|DAR|"&amp;TEXT('Ingest Template'!C713-3, "yyyy-mm-dd")&amp;"|"&amp;TEXT('Ingest Template'!C713+3, "yyyy-mm-dd"),'Ingest Template'!M713&amp; "|DAR|DAR|2021-01-01")),(IF(OR('Ingest Template'!F713 = "Program Type - Special", 'Ingest Template'!F713 = "Program Type - Live Event"),'Ingest Template'!M713&amp; "|Operations - Core Title|Operations - Core Title|"&amp;TEXT('Ingest Template'!C713-3, "yyyy-mm-dd")&amp;"|"&amp;TEXT('Ingest Template'!C713+3, "yyyy-mm-dd"),'Ingest Template'!M713&amp; "|Operations - Core Title|Operations - Core Title")))</f>
        <v>|Operations - Core Title|Operations - Core Title</v>
      </c>
      <c r="AK713" s="35"/>
      <c r="AL713" s="117" t="str">
        <f>if('Ingest Template'!A713="Standard",(IF(OR('Ingest Template'!F713 = "Program Type - Special", 'Ingest Template'!F713 = "Program Type - Live Event"),'Ingest Template'!Q713&amp;"|"&amp;TEXT('Ingest Template'!C713-3, "yyyy-mm-dd")&amp;"|"&amp;TEXT('Ingest Template'!C713+3, "yyyy-mm-dd"),'Ingest Template'!Q713&amp; "|2021-01-01")),(IF(OR('Ingest Template'!F713 = "Program Type - Special", 'Ingest Template'!F713 = "Program Type - Live Event"),'Ingest Template'!Q713&amp; "|"&amp;TEXT('Ingest Template'!C713-3, "yyyy-mm-dd")&amp;"|"&amp;TEXT('Ingest Template'!C713+3, "yyyy-mm-dd"),'Ingest Template'!Q713)))</f>
        <v/>
      </c>
      <c r="AM713" s="35" t="str">
        <f>'Ingest Template'!AC713</f>
        <v/>
      </c>
    </row>
    <row r="714">
      <c r="A714" s="15"/>
      <c r="B714" s="22" t="str">
        <f>'Ingest Template'!C714&amp;IF('Ingest Template'!A714 = "Standard", " - DAR","")</f>
        <v/>
      </c>
      <c r="C714" s="22" t="s">
        <v>83</v>
      </c>
      <c r="D714" s="22" t="str">
        <f t="array" ref="D714">CONCATENATE(INDEX(DropdownLists!$H$2:$H$11,MATCH(1,COUNTIF('Ingest Template'!E714,"*"&amp;DropdownLists!$I$2:$I$11&amp;"*"),0)),CHAR(10),'Ingest Template'!F714,CHAR(10),'Ingest Template'!G714,CHAR(10),VLOOKUP('Ingest Template'!D714,DropdownLists!C:D,2,FALSE))</f>
        <v>#N/A</v>
      </c>
      <c r="E714" s="22" t="str">
        <f>CONCATENATE('Ingest Template'!H714,CHAR(10),'Ingest Template'!I714,CHAR(10),'Ingest Template'!J714,CHAR(10))</f>
        <v>
</v>
      </c>
      <c r="F714" s="35" t="str">
        <f t="array" ref="F714">INDEX(DropdownLists!$O$2:$O$36,MATCH(1,COUNTIF(E714,"*"&amp;DropdownLists!$N$2:$N$36&amp;"*"),0))</f>
        <v/>
      </c>
      <c r="G714" s="35"/>
      <c r="H714" s="22" t="str">
        <f t="array" ref="H714">INDEX(DropdownLists!$E$2:$E$276,MATCH('Ingest Template'!D714,DropdownLists!$C$2:$C$276,0))</f>
        <v>#N/A</v>
      </c>
      <c r="I714" s="22"/>
      <c r="J714" s="22" t="str">
        <f t="array" ref="J714">iF('Ingest Template'!A714="Standard","Pristine Brand",INDEX(DropdownLists!$B$2:$B$246,MATCH('Ingest Template'!D714,DropdownLists!$C$2:$C$246,0)))</f>
        <v>#N/A</v>
      </c>
      <c r="K714" s="22" t="str">
        <f>iF('Ingest Template'!A714="Standard",'Ingest Template'!K714&amp;CHAR(10)&amp;'Ingest Template'!L714,"Competitive View")</f>
        <v>Competitive View</v>
      </c>
      <c r="L714" s="22" t="s">
        <v>95</v>
      </c>
      <c r="M714" s="45" t="str">
        <f>'Ingest Template'!B714</f>
        <v/>
      </c>
      <c r="N714" s="35"/>
      <c r="O714" s="35"/>
      <c r="P714" s="35"/>
      <c r="Q714" s="35"/>
      <c r="R714" s="35" t="str">
        <f>'Ingest Template'!D714</f>
        <v/>
      </c>
      <c r="S714" s="22" t="s">
        <v>101</v>
      </c>
      <c r="T714" s="35" t="str">
        <f>'Ingest Template'!V714</f>
        <v/>
      </c>
      <c r="U714" s="35" t="str">
        <f>'Ingest Template'!W714</f>
        <v/>
      </c>
      <c r="V714" s="35" t="str">
        <f>LOWER(SUBSTITUTE(SUBSTITUTE(SUBSTITUTE(SUBSTITUTE(SUBSTITUTE('Ingest Template'!X714,"https:",""),"www.",""),"/",""),"?hl=en",""),"instagram.com",""))</f>
        <v/>
      </c>
      <c r="W714" s="74" t="str">
        <f t="array" ref="W714">IF(
'Ingest Template'!Y714="",
SUBSTITUTE(
INDEX(DropdownLists!$F$2:$F$277,MATCH('Ingest Template'!D714,DropdownLists!$C$2:$C$277,0)),
CHAR(10),
"|"&amp;'Ingest Template'!C714&amp;CHAR(10)
)&amp;"|"&amp;'Ingest Template'!C714,
SUBSTITUTE(
INDEX(DropdownLists!$F$2:$F$277,MATCH('Ingest Template'!D714,DropdownLists!$C$2:$C$277,0)),
CHAR(10),
"|"&amp;'Ingest Template'!C714&amp;CHAR(10)
)&amp;"|"&amp;'Ingest Template'!C714&amp;CHAR(10)&amp;'Ingest Template'!Y714
)</f>
        <v>#N/A</v>
      </c>
      <c r="X714" s="74" t="str">
        <f>'Ingest Template'!Z714</f>
        <v/>
      </c>
      <c r="Y714" s="35" t="str">
        <f>SUBSTITUTE(SUBSTITUTE(SUBSTITUTE('Ingest Template'!AA714,"http:",""),"https:",""),"/","")</f>
        <v/>
      </c>
      <c r="Z714" s="35" t="str">
        <f t="array" ref="Z714">IF('Ingest Template'!A714="Standard",(IF(ISBLANK('Ingest Template'!AB714),"", 'Ingest Template'!AB714&amp;"|DAR")),(IF(ISBLANK('Ingest Template'!AB714),"", 'Ingest Template'!AB714&amp;"|TV Ops")))</f>
        <v/>
      </c>
      <c r="AA714" s="35"/>
      <c r="AB714" s="35" t="str">
        <f>'Ingest Template'!R714</f>
        <v/>
      </c>
      <c r="AC714" s="35" t="str">
        <f>'Ingest Template'!T714</f>
        <v/>
      </c>
      <c r="AD714" s="35" t="str">
        <f>'Ingest Template'!S714</f>
        <v/>
      </c>
      <c r="AE714" s="35" t="str">
        <f>'Ingest Template'!U714</f>
        <v/>
      </c>
      <c r="AF714" s="22"/>
      <c r="AG714" s="35" t="str">
        <f t="array" ref="AG714">IF('Ingest Template'!A714="Standard",(CONCATENATE(IF(ISBLANK('Ingest Template'!N714),"", 'Ingest Template'!N714&amp;"|DAR"),CHAR(10), IF(ISBLANK('Ingest Template'!O714),"", 'Ingest Template'!O714&amp;"|DAR"),CHAR(10), IF(ISBLANK('Ingest Template'!P714),"", 'Ingest Template'!P714&amp;"|DAR"))),(CONCATENATE(IF(ISBLANK('Ingest Template'!N714),"", 'Ingest Template'!N714&amp;"|TV Ops"),CHAR(10), IF(ISBLANK('Ingest Template'!O714),"", 'Ingest Template'!O714&amp;"|TV Ops"),CHAR(10), IF(ISBLANK('Ingest Template'!P714),"", 'Ingest Template'!P714&amp;"|TV Ops"))))</f>
        <v>
</v>
      </c>
      <c r="AH714" s="35"/>
      <c r="AI714" s="35"/>
      <c r="AJ714" s="117" t="str">
        <f>if('Ingest Template'!A714="Standard",(IF(OR('Ingest Template'!F714 = "Program Type - Special", 'Ingest Template'!F714 = "Program Type - Live Event"),'Ingest Template'!M714&amp; "|DAR|DAR|"&amp;TEXT('Ingest Template'!C714-3, "yyyy-mm-dd")&amp;"|"&amp;TEXT('Ingest Template'!C714+3, "yyyy-mm-dd"),'Ingest Template'!M714&amp; "|DAR|DAR|2021-01-01")),(IF(OR('Ingest Template'!F714 = "Program Type - Special", 'Ingest Template'!F714 = "Program Type - Live Event"),'Ingest Template'!M714&amp; "|Operations - Core Title|Operations - Core Title|"&amp;TEXT('Ingest Template'!C714-3, "yyyy-mm-dd")&amp;"|"&amp;TEXT('Ingest Template'!C714+3, "yyyy-mm-dd"),'Ingest Template'!M714&amp; "|Operations - Core Title|Operations - Core Title")))</f>
        <v>|Operations - Core Title|Operations - Core Title</v>
      </c>
      <c r="AK714" s="35"/>
      <c r="AL714" s="117" t="str">
        <f>if('Ingest Template'!A714="Standard",(IF(OR('Ingest Template'!F714 = "Program Type - Special", 'Ingest Template'!F714 = "Program Type - Live Event"),'Ingest Template'!Q714&amp;"|"&amp;TEXT('Ingest Template'!C714-3, "yyyy-mm-dd")&amp;"|"&amp;TEXT('Ingest Template'!C714+3, "yyyy-mm-dd"),'Ingest Template'!Q714&amp; "|2021-01-01")),(IF(OR('Ingest Template'!F714 = "Program Type - Special", 'Ingest Template'!F714 = "Program Type - Live Event"),'Ingest Template'!Q714&amp; "|"&amp;TEXT('Ingest Template'!C714-3, "yyyy-mm-dd")&amp;"|"&amp;TEXT('Ingest Template'!C714+3, "yyyy-mm-dd"),'Ingest Template'!Q714)))</f>
        <v/>
      </c>
      <c r="AM714" s="35" t="str">
        <f>'Ingest Template'!AC714</f>
        <v/>
      </c>
    </row>
    <row r="715">
      <c r="A715" s="15"/>
      <c r="B715" s="22" t="str">
        <f>'Ingest Template'!C715&amp;IF('Ingest Template'!A715 = "Standard", " - DAR","")</f>
        <v/>
      </c>
      <c r="C715" s="22" t="s">
        <v>83</v>
      </c>
      <c r="D715" s="22" t="str">
        <f t="array" ref="D715">CONCATENATE(INDEX(DropdownLists!$H$2:$H$11,MATCH(1,COUNTIF('Ingest Template'!E715,"*"&amp;DropdownLists!$I$2:$I$11&amp;"*"),0)),CHAR(10),'Ingest Template'!F715,CHAR(10),'Ingest Template'!G715,CHAR(10),VLOOKUP('Ingest Template'!D715,DropdownLists!C:D,2,FALSE))</f>
        <v>#N/A</v>
      </c>
      <c r="E715" s="22" t="str">
        <f>CONCATENATE('Ingest Template'!H715,CHAR(10),'Ingest Template'!I715,CHAR(10),'Ingest Template'!J715,CHAR(10))</f>
        <v>
</v>
      </c>
      <c r="F715" s="35" t="str">
        <f t="array" ref="F715">INDEX(DropdownLists!$O$2:$O$36,MATCH(1,COUNTIF(E715,"*"&amp;DropdownLists!$N$2:$N$36&amp;"*"),0))</f>
        <v/>
      </c>
      <c r="G715" s="35"/>
      <c r="H715" s="22" t="str">
        <f t="array" ref="H715">INDEX(DropdownLists!$E$2:$E$276,MATCH('Ingest Template'!D715,DropdownLists!$C$2:$C$276,0))</f>
        <v>#N/A</v>
      </c>
      <c r="I715" s="22"/>
      <c r="J715" s="22" t="str">
        <f t="array" ref="J715">iF('Ingest Template'!A715="Standard","Pristine Brand",INDEX(DropdownLists!$B$2:$B$246,MATCH('Ingest Template'!D715,DropdownLists!$C$2:$C$246,0)))</f>
        <v>#N/A</v>
      </c>
      <c r="K715" s="22" t="str">
        <f>iF('Ingest Template'!A715="Standard",'Ingest Template'!K715&amp;CHAR(10)&amp;'Ingest Template'!L715,"Competitive View")</f>
        <v>Competitive View</v>
      </c>
      <c r="L715" s="22" t="s">
        <v>95</v>
      </c>
      <c r="M715" s="45" t="str">
        <f>'Ingest Template'!B715</f>
        <v/>
      </c>
      <c r="N715" s="35"/>
      <c r="O715" s="35"/>
      <c r="P715" s="35"/>
      <c r="Q715" s="35"/>
      <c r="R715" s="35" t="str">
        <f>'Ingest Template'!D715</f>
        <v/>
      </c>
      <c r="S715" s="22" t="s">
        <v>101</v>
      </c>
      <c r="T715" s="35" t="str">
        <f>'Ingest Template'!V715</f>
        <v/>
      </c>
      <c r="U715" s="35" t="str">
        <f>'Ingest Template'!W715</f>
        <v/>
      </c>
      <c r="V715" s="35" t="str">
        <f>LOWER(SUBSTITUTE(SUBSTITUTE(SUBSTITUTE(SUBSTITUTE(SUBSTITUTE('Ingest Template'!X715,"https:",""),"www.",""),"/",""),"?hl=en",""),"instagram.com",""))</f>
        <v/>
      </c>
      <c r="W715" s="74" t="str">
        <f t="array" ref="W715">IF(
'Ingest Template'!Y715="",
SUBSTITUTE(
INDEX(DropdownLists!$F$2:$F$277,MATCH('Ingest Template'!D715,DropdownLists!$C$2:$C$277,0)),
CHAR(10),
"|"&amp;'Ingest Template'!C715&amp;CHAR(10)
)&amp;"|"&amp;'Ingest Template'!C715,
SUBSTITUTE(
INDEX(DropdownLists!$F$2:$F$277,MATCH('Ingest Template'!D715,DropdownLists!$C$2:$C$277,0)),
CHAR(10),
"|"&amp;'Ingest Template'!C715&amp;CHAR(10)
)&amp;"|"&amp;'Ingest Template'!C715&amp;CHAR(10)&amp;'Ingest Template'!Y715
)</f>
        <v>#N/A</v>
      </c>
      <c r="X715" s="74" t="str">
        <f>'Ingest Template'!Z715</f>
        <v/>
      </c>
      <c r="Y715" s="35" t="str">
        <f>SUBSTITUTE(SUBSTITUTE(SUBSTITUTE('Ingest Template'!AA715,"http:",""),"https:",""),"/","")</f>
        <v/>
      </c>
      <c r="Z715" s="35" t="str">
        <f t="array" ref="Z715">IF('Ingest Template'!A715="Standard",(IF(ISBLANK('Ingest Template'!AB715),"", 'Ingest Template'!AB715&amp;"|DAR")),(IF(ISBLANK('Ingest Template'!AB715),"", 'Ingest Template'!AB715&amp;"|TV Ops")))</f>
        <v/>
      </c>
      <c r="AA715" s="35"/>
      <c r="AB715" s="35" t="str">
        <f>'Ingest Template'!R715</f>
        <v/>
      </c>
      <c r="AC715" s="35" t="str">
        <f>'Ingest Template'!T715</f>
        <v/>
      </c>
      <c r="AD715" s="35" t="str">
        <f>'Ingest Template'!S715</f>
        <v/>
      </c>
      <c r="AE715" s="35" t="str">
        <f>'Ingest Template'!U715</f>
        <v/>
      </c>
      <c r="AF715" s="22"/>
      <c r="AG715" s="35" t="str">
        <f t="array" ref="AG715">IF('Ingest Template'!A715="Standard",(CONCATENATE(IF(ISBLANK('Ingest Template'!N715),"", 'Ingest Template'!N715&amp;"|DAR"),CHAR(10), IF(ISBLANK('Ingest Template'!O715),"", 'Ingest Template'!O715&amp;"|DAR"),CHAR(10), IF(ISBLANK('Ingest Template'!P715),"", 'Ingest Template'!P715&amp;"|DAR"))),(CONCATENATE(IF(ISBLANK('Ingest Template'!N715),"", 'Ingest Template'!N715&amp;"|TV Ops"),CHAR(10), IF(ISBLANK('Ingest Template'!O715),"", 'Ingest Template'!O715&amp;"|TV Ops"),CHAR(10), IF(ISBLANK('Ingest Template'!P715),"", 'Ingest Template'!P715&amp;"|TV Ops"))))</f>
        <v>
</v>
      </c>
      <c r="AH715" s="35"/>
      <c r="AI715" s="35"/>
      <c r="AJ715" s="117" t="str">
        <f>if('Ingest Template'!A715="Standard",(IF(OR('Ingest Template'!F715 = "Program Type - Special", 'Ingest Template'!F715 = "Program Type - Live Event"),'Ingest Template'!M715&amp; "|DAR|DAR|"&amp;TEXT('Ingest Template'!C715-3, "yyyy-mm-dd")&amp;"|"&amp;TEXT('Ingest Template'!C715+3, "yyyy-mm-dd"),'Ingest Template'!M715&amp; "|DAR|DAR|2021-01-01")),(IF(OR('Ingest Template'!F715 = "Program Type - Special", 'Ingest Template'!F715 = "Program Type - Live Event"),'Ingest Template'!M715&amp; "|Operations - Core Title|Operations - Core Title|"&amp;TEXT('Ingest Template'!C715-3, "yyyy-mm-dd")&amp;"|"&amp;TEXT('Ingest Template'!C715+3, "yyyy-mm-dd"),'Ingest Template'!M715&amp; "|Operations - Core Title|Operations - Core Title")))</f>
        <v>|Operations - Core Title|Operations - Core Title</v>
      </c>
      <c r="AK715" s="35"/>
      <c r="AL715" s="117" t="str">
        <f>if('Ingest Template'!A715="Standard",(IF(OR('Ingest Template'!F715 = "Program Type - Special", 'Ingest Template'!F715 = "Program Type - Live Event"),'Ingest Template'!Q715&amp;"|"&amp;TEXT('Ingest Template'!C715-3, "yyyy-mm-dd")&amp;"|"&amp;TEXT('Ingest Template'!C715+3, "yyyy-mm-dd"),'Ingest Template'!Q715&amp; "|2021-01-01")),(IF(OR('Ingest Template'!F715 = "Program Type - Special", 'Ingest Template'!F715 = "Program Type - Live Event"),'Ingest Template'!Q715&amp; "|"&amp;TEXT('Ingest Template'!C715-3, "yyyy-mm-dd")&amp;"|"&amp;TEXT('Ingest Template'!C715+3, "yyyy-mm-dd"),'Ingest Template'!Q715)))</f>
        <v/>
      </c>
      <c r="AM715" s="35" t="str">
        <f>'Ingest Template'!AC715</f>
        <v/>
      </c>
    </row>
    <row r="716">
      <c r="A716" s="15"/>
      <c r="B716" s="22" t="str">
        <f>'Ingest Template'!C716&amp;IF('Ingest Template'!A716 = "Standard", " - DAR","")</f>
        <v/>
      </c>
      <c r="C716" s="22" t="s">
        <v>83</v>
      </c>
      <c r="D716" s="22" t="str">
        <f t="array" ref="D716">CONCATENATE(INDEX(DropdownLists!$H$2:$H$11,MATCH(1,COUNTIF('Ingest Template'!E716,"*"&amp;DropdownLists!$I$2:$I$11&amp;"*"),0)),CHAR(10),'Ingest Template'!F716,CHAR(10),'Ingest Template'!G716,CHAR(10),VLOOKUP('Ingest Template'!D716,DropdownLists!C:D,2,FALSE))</f>
        <v>#N/A</v>
      </c>
      <c r="E716" s="22" t="str">
        <f>CONCATENATE('Ingest Template'!H716,CHAR(10),'Ingest Template'!I716,CHAR(10),'Ingest Template'!J716,CHAR(10))</f>
        <v>
</v>
      </c>
      <c r="F716" s="35" t="str">
        <f t="array" ref="F716">INDEX(DropdownLists!$O$2:$O$36,MATCH(1,COUNTIF(E716,"*"&amp;DropdownLists!$N$2:$N$36&amp;"*"),0))</f>
        <v/>
      </c>
      <c r="G716" s="35"/>
      <c r="H716" s="22" t="str">
        <f t="array" ref="H716">INDEX(DropdownLists!$E$2:$E$276,MATCH('Ingest Template'!D716,DropdownLists!$C$2:$C$276,0))</f>
        <v>#N/A</v>
      </c>
      <c r="I716" s="22"/>
      <c r="J716" s="22" t="str">
        <f t="array" ref="J716">iF('Ingest Template'!A716="Standard","Pristine Brand",INDEX(DropdownLists!$B$2:$B$246,MATCH('Ingest Template'!D716,DropdownLists!$C$2:$C$246,0)))</f>
        <v>#N/A</v>
      </c>
      <c r="K716" s="22" t="str">
        <f>iF('Ingest Template'!A716="Standard",'Ingest Template'!K716&amp;CHAR(10)&amp;'Ingest Template'!L716,"Competitive View")</f>
        <v>Competitive View</v>
      </c>
      <c r="L716" s="22" t="s">
        <v>95</v>
      </c>
      <c r="M716" s="45" t="str">
        <f>'Ingest Template'!B716</f>
        <v/>
      </c>
      <c r="N716" s="35"/>
      <c r="O716" s="35"/>
      <c r="P716" s="35"/>
      <c r="Q716" s="35"/>
      <c r="R716" s="35" t="str">
        <f>'Ingest Template'!D716</f>
        <v/>
      </c>
      <c r="S716" s="22" t="s">
        <v>101</v>
      </c>
      <c r="T716" s="35" t="str">
        <f>'Ingest Template'!V716</f>
        <v/>
      </c>
      <c r="U716" s="35" t="str">
        <f>'Ingest Template'!W716</f>
        <v/>
      </c>
      <c r="V716" s="35" t="str">
        <f>LOWER(SUBSTITUTE(SUBSTITUTE(SUBSTITUTE(SUBSTITUTE(SUBSTITUTE('Ingest Template'!X716,"https:",""),"www.",""),"/",""),"?hl=en",""),"instagram.com",""))</f>
        <v/>
      </c>
      <c r="W716" s="74" t="str">
        <f t="array" ref="W716">IF(
'Ingest Template'!Y716="",
SUBSTITUTE(
INDEX(DropdownLists!$F$2:$F$277,MATCH('Ingest Template'!D716,DropdownLists!$C$2:$C$277,0)),
CHAR(10),
"|"&amp;'Ingest Template'!C716&amp;CHAR(10)
)&amp;"|"&amp;'Ingest Template'!C716,
SUBSTITUTE(
INDEX(DropdownLists!$F$2:$F$277,MATCH('Ingest Template'!D716,DropdownLists!$C$2:$C$277,0)),
CHAR(10),
"|"&amp;'Ingest Template'!C716&amp;CHAR(10)
)&amp;"|"&amp;'Ingest Template'!C716&amp;CHAR(10)&amp;'Ingest Template'!Y716
)</f>
        <v>#N/A</v>
      </c>
      <c r="X716" s="74" t="str">
        <f>'Ingest Template'!Z716</f>
        <v/>
      </c>
      <c r="Y716" s="35" t="str">
        <f>SUBSTITUTE(SUBSTITUTE(SUBSTITUTE('Ingest Template'!AA716,"http:",""),"https:",""),"/","")</f>
        <v/>
      </c>
      <c r="Z716" s="35" t="str">
        <f t="array" ref="Z716">IF('Ingest Template'!A716="Standard",(IF(ISBLANK('Ingest Template'!AB716),"", 'Ingest Template'!AB716&amp;"|DAR")),(IF(ISBLANK('Ingest Template'!AB716),"", 'Ingest Template'!AB716&amp;"|TV Ops")))</f>
        <v/>
      </c>
      <c r="AA716" s="35"/>
      <c r="AB716" s="35" t="str">
        <f>'Ingest Template'!R716</f>
        <v/>
      </c>
      <c r="AC716" s="35" t="str">
        <f>'Ingest Template'!T716</f>
        <v/>
      </c>
      <c r="AD716" s="35" t="str">
        <f>'Ingest Template'!S716</f>
        <v/>
      </c>
      <c r="AE716" s="35" t="str">
        <f>'Ingest Template'!U716</f>
        <v/>
      </c>
      <c r="AF716" s="22"/>
      <c r="AG716" s="35" t="str">
        <f t="array" ref="AG716">IF('Ingest Template'!A716="Standard",(CONCATENATE(IF(ISBLANK('Ingest Template'!N716),"", 'Ingest Template'!N716&amp;"|DAR"),CHAR(10), IF(ISBLANK('Ingest Template'!O716),"", 'Ingest Template'!O716&amp;"|DAR"),CHAR(10), IF(ISBLANK('Ingest Template'!P716),"", 'Ingest Template'!P716&amp;"|DAR"))),(CONCATENATE(IF(ISBLANK('Ingest Template'!N716),"", 'Ingest Template'!N716&amp;"|TV Ops"),CHAR(10), IF(ISBLANK('Ingest Template'!O716),"", 'Ingest Template'!O716&amp;"|TV Ops"),CHAR(10), IF(ISBLANK('Ingest Template'!P716),"", 'Ingest Template'!P716&amp;"|TV Ops"))))</f>
        <v>
</v>
      </c>
      <c r="AH716" s="35"/>
      <c r="AI716" s="35"/>
      <c r="AJ716" s="117" t="str">
        <f>if('Ingest Template'!A716="Standard",(IF(OR('Ingest Template'!F716 = "Program Type - Special", 'Ingest Template'!F716 = "Program Type - Live Event"),'Ingest Template'!M716&amp; "|DAR|DAR|"&amp;TEXT('Ingest Template'!C716-3, "yyyy-mm-dd")&amp;"|"&amp;TEXT('Ingest Template'!C716+3, "yyyy-mm-dd"),'Ingest Template'!M716&amp; "|DAR|DAR|2021-01-01")),(IF(OR('Ingest Template'!F716 = "Program Type - Special", 'Ingest Template'!F716 = "Program Type - Live Event"),'Ingest Template'!M716&amp; "|Operations - Core Title|Operations - Core Title|"&amp;TEXT('Ingest Template'!C716-3, "yyyy-mm-dd")&amp;"|"&amp;TEXT('Ingest Template'!C716+3, "yyyy-mm-dd"),'Ingest Template'!M716&amp; "|Operations - Core Title|Operations - Core Title")))</f>
        <v>|Operations - Core Title|Operations - Core Title</v>
      </c>
      <c r="AK716" s="35"/>
      <c r="AL716" s="117" t="str">
        <f>if('Ingest Template'!A716="Standard",(IF(OR('Ingest Template'!F716 = "Program Type - Special", 'Ingest Template'!F716 = "Program Type - Live Event"),'Ingest Template'!Q716&amp;"|"&amp;TEXT('Ingest Template'!C716-3, "yyyy-mm-dd")&amp;"|"&amp;TEXT('Ingest Template'!C716+3, "yyyy-mm-dd"),'Ingest Template'!Q716&amp; "|2021-01-01")),(IF(OR('Ingest Template'!F716 = "Program Type - Special", 'Ingest Template'!F716 = "Program Type - Live Event"),'Ingest Template'!Q716&amp; "|"&amp;TEXT('Ingest Template'!C716-3, "yyyy-mm-dd")&amp;"|"&amp;TEXT('Ingest Template'!C716+3, "yyyy-mm-dd"),'Ingest Template'!Q716)))</f>
        <v/>
      </c>
      <c r="AM716" s="35" t="str">
        <f>'Ingest Template'!AC716</f>
        <v/>
      </c>
    </row>
    <row r="717">
      <c r="A717" s="15"/>
      <c r="B717" s="22" t="str">
        <f>'Ingest Template'!C717&amp;IF('Ingest Template'!A717 = "Standard", " - DAR","")</f>
        <v/>
      </c>
      <c r="C717" s="22" t="s">
        <v>83</v>
      </c>
      <c r="D717" s="22" t="str">
        <f t="array" ref="D717">CONCATENATE(INDEX(DropdownLists!$H$2:$H$11,MATCH(1,COUNTIF('Ingest Template'!E717,"*"&amp;DropdownLists!$I$2:$I$11&amp;"*"),0)),CHAR(10),'Ingest Template'!F717,CHAR(10),'Ingest Template'!G717,CHAR(10),VLOOKUP('Ingest Template'!D717,DropdownLists!C:D,2,FALSE))</f>
        <v>#N/A</v>
      </c>
      <c r="E717" s="22" t="str">
        <f>CONCATENATE('Ingest Template'!H717,CHAR(10),'Ingest Template'!I717,CHAR(10),'Ingest Template'!J717,CHAR(10))</f>
        <v>
</v>
      </c>
      <c r="F717" s="35" t="str">
        <f t="array" ref="F717">INDEX(DropdownLists!$O$2:$O$36,MATCH(1,COUNTIF(E717,"*"&amp;DropdownLists!$N$2:$N$36&amp;"*"),0))</f>
        <v/>
      </c>
      <c r="G717" s="35"/>
      <c r="H717" s="22" t="str">
        <f t="array" ref="H717">INDEX(DropdownLists!$E$2:$E$276,MATCH('Ingest Template'!D717,DropdownLists!$C$2:$C$276,0))</f>
        <v>#N/A</v>
      </c>
      <c r="I717" s="22"/>
      <c r="J717" s="22" t="str">
        <f t="array" ref="J717">iF('Ingest Template'!A717="Standard","Pristine Brand",INDEX(DropdownLists!$B$2:$B$246,MATCH('Ingest Template'!D717,DropdownLists!$C$2:$C$246,0)))</f>
        <v>#N/A</v>
      </c>
      <c r="K717" s="22" t="str">
        <f>iF('Ingest Template'!A717="Standard",'Ingest Template'!K717&amp;CHAR(10)&amp;'Ingest Template'!L717,"Competitive View")</f>
        <v>Competitive View</v>
      </c>
      <c r="L717" s="22" t="s">
        <v>95</v>
      </c>
      <c r="M717" s="45" t="str">
        <f>'Ingest Template'!B717</f>
        <v/>
      </c>
      <c r="N717" s="35"/>
      <c r="O717" s="35"/>
      <c r="P717" s="35"/>
      <c r="Q717" s="35"/>
      <c r="R717" s="35" t="str">
        <f>'Ingest Template'!D717</f>
        <v/>
      </c>
      <c r="S717" s="22" t="s">
        <v>101</v>
      </c>
      <c r="T717" s="35" t="str">
        <f>'Ingest Template'!V717</f>
        <v/>
      </c>
      <c r="U717" s="35" t="str">
        <f>'Ingest Template'!W717</f>
        <v/>
      </c>
      <c r="V717" s="35" t="str">
        <f>LOWER(SUBSTITUTE(SUBSTITUTE(SUBSTITUTE(SUBSTITUTE(SUBSTITUTE('Ingest Template'!X717,"https:",""),"www.",""),"/",""),"?hl=en",""),"instagram.com",""))</f>
        <v/>
      </c>
      <c r="W717" s="74" t="str">
        <f t="array" ref="W717">IF(
'Ingest Template'!Y717="",
SUBSTITUTE(
INDEX(DropdownLists!$F$2:$F$277,MATCH('Ingest Template'!D717,DropdownLists!$C$2:$C$277,0)),
CHAR(10),
"|"&amp;'Ingest Template'!C717&amp;CHAR(10)
)&amp;"|"&amp;'Ingest Template'!C717,
SUBSTITUTE(
INDEX(DropdownLists!$F$2:$F$277,MATCH('Ingest Template'!D717,DropdownLists!$C$2:$C$277,0)),
CHAR(10),
"|"&amp;'Ingest Template'!C717&amp;CHAR(10)
)&amp;"|"&amp;'Ingest Template'!C717&amp;CHAR(10)&amp;'Ingest Template'!Y717
)</f>
        <v>#N/A</v>
      </c>
      <c r="X717" s="74" t="str">
        <f>'Ingest Template'!Z717</f>
        <v/>
      </c>
      <c r="Y717" s="35" t="str">
        <f>SUBSTITUTE(SUBSTITUTE(SUBSTITUTE('Ingest Template'!AA717,"http:",""),"https:",""),"/","")</f>
        <v/>
      </c>
      <c r="Z717" s="35" t="str">
        <f t="array" ref="Z717">IF('Ingest Template'!A717="Standard",(IF(ISBLANK('Ingest Template'!AB717),"", 'Ingest Template'!AB717&amp;"|DAR")),(IF(ISBLANK('Ingest Template'!AB717),"", 'Ingest Template'!AB717&amp;"|TV Ops")))</f>
        <v/>
      </c>
      <c r="AA717" s="35"/>
      <c r="AB717" s="35" t="str">
        <f>'Ingest Template'!R717</f>
        <v/>
      </c>
      <c r="AC717" s="35" t="str">
        <f>'Ingest Template'!T717</f>
        <v/>
      </c>
      <c r="AD717" s="35" t="str">
        <f>'Ingest Template'!S717</f>
        <v/>
      </c>
      <c r="AE717" s="35" t="str">
        <f>'Ingest Template'!U717</f>
        <v/>
      </c>
      <c r="AF717" s="22"/>
      <c r="AG717" s="35" t="str">
        <f t="array" ref="AG717">IF('Ingest Template'!A717="Standard",(CONCATENATE(IF(ISBLANK('Ingest Template'!N717),"", 'Ingest Template'!N717&amp;"|DAR"),CHAR(10), IF(ISBLANK('Ingest Template'!O717),"", 'Ingest Template'!O717&amp;"|DAR"),CHAR(10), IF(ISBLANK('Ingest Template'!P717),"", 'Ingest Template'!P717&amp;"|DAR"))),(CONCATENATE(IF(ISBLANK('Ingest Template'!N717),"", 'Ingest Template'!N717&amp;"|TV Ops"),CHAR(10), IF(ISBLANK('Ingest Template'!O717),"", 'Ingest Template'!O717&amp;"|TV Ops"),CHAR(10), IF(ISBLANK('Ingest Template'!P717),"", 'Ingest Template'!P717&amp;"|TV Ops"))))</f>
        <v>
</v>
      </c>
      <c r="AH717" s="35"/>
      <c r="AI717" s="35"/>
      <c r="AJ717" s="117" t="str">
        <f>if('Ingest Template'!A717="Standard",(IF(OR('Ingest Template'!F717 = "Program Type - Special", 'Ingest Template'!F717 = "Program Type - Live Event"),'Ingest Template'!M717&amp; "|DAR|DAR|"&amp;TEXT('Ingest Template'!C717-3, "yyyy-mm-dd")&amp;"|"&amp;TEXT('Ingest Template'!C717+3, "yyyy-mm-dd"),'Ingest Template'!M717&amp; "|DAR|DAR|2021-01-01")),(IF(OR('Ingest Template'!F717 = "Program Type - Special", 'Ingest Template'!F717 = "Program Type - Live Event"),'Ingest Template'!M717&amp; "|Operations - Core Title|Operations - Core Title|"&amp;TEXT('Ingest Template'!C717-3, "yyyy-mm-dd")&amp;"|"&amp;TEXT('Ingest Template'!C717+3, "yyyy-mm-dd"),'Ingest Template'!M717&amp; "|Operations - Core Title|Operations - Core Title")))</f>
        <v>|Operations - Core Title|Operations - Core Title</v>
      </c>
      <c r="AK717" s="35"/>
      <c r="AL717" s="117" t="str">
        <f>if('Ingest Template'!A717="Standard",(IF(OR('Ingest Template'!F717 = "Program Type - Special", 'Ingest Template'!F717 = "Program Type - Live Event"),'Ingest Template'!Q717&amp;"|"&amp;TEXT('Ingest Template'!C717-3, "yyyy-mm-dd")&amp;"|"&amp;TEXT('Ingest Template'!C717+3, "yyyy-mm-dd"),'Ingest Template'!Q717&amp; "|2021-01-01")),(IF(OR('Ingest Template'!F717 = "Program Type - Special", 'Ingest Template'!F717 = "Program Type - Live Event"),'Ingest Template'!Q717&amp; "|"&amp;TEXT('Ingest Template'!C717-3, "yyyy-mm-dd")&amp;"|"&amp;TEXT('Ingest Template'!C717+3, "yyyy-mm-dd"),'Ingest Template'!Q717)))</f>
        <v/>
      </c>
      <c r="AM717" s="35" t="str">
        <f>'Ingest Template'!AC717</f>
        <v/>
      </c>
    </row>
    <row r="718">
      <c r="A718" s="15"/>
      <c r="B718" s="22" t="str">
        <f>'Ingest Template'!C718&amp;IF('Ingest Template'!A718 = "Standard", " - DAR","")</f>
        <v/>
      </c>
      <c r="C718" s="22" t="s">
        <v>83</v>
      </c>
      <c r="D718" s="22" t="str">
        <f t="array" ref="D718">CONCATENATE(INDEX(DropdownLists!$H$2:$H$11,MATCH(1,COUNTIF('Ingest Template'!E718,"*"&amp;DropdownLists!$I$2:$I$11&amp;"*"),0)),CHAR(10),'Ingest Template'!F718,CHAR(10),'Ingest Template'!G718,CHAR(10),VLOOKUP('Ingest Template'!D718,DropdownLists!C:D,2,FALSE))</f>
        <v>#N/A</v>
      </c>
      <c r="E718" s="22" t="str">
        <f>CONCATENATE('Ingest Template'!H718,CHAR(10),'Ingest Template'!I718,CHAR(10),'Ingest Template'!J718,CHAR(10))</f>
        <v>
</v>
      </c>
      <c r="F718" s="35" t="str">
        <f t="array" ref="F718">INDEX(DropdownLists!$O$2:$O$36,MATCH(1,COUNTIF(E718,"*"&amp;DropdownLists!$N$2:$N$36&amp;"*"),0))</f>
        <v/>
      </c>
      <c r="G718" s="35"/>
      <c r="H718" s="22" t="str">
        <f t="array" ref="H718">INDEX(DropdownLists!$E$2:$E$276,MATCH('Ingest Template'!D718,DropdownLists!$C$2:$C$276,0))</f>
        <v>#N/A</v>
      </c>
      <c r="I718" s="22"/>
      <c r="J718" s="22" t="str">
        <f t="array" ref="J718">iF('Ingest Template'!A718="Standard","Pristine Brand",INDEX(DropdownLists!$B$2:$B$246,MATCH('Ingest Template'!D718,DropdownLists!$C$2:$C$246,0)))</f>
        <v>#N/A</v>
      </c>
      <c r="K718" s="22" t="str">
        <f>iF('Ingest Template'!A718="Standard",'Ingest Template'!K718&amp;CHAR(10)&amp;'Ingest Template'!L718,"Competitive View")</f>
        <v>Competitive View</v>
      </c>
      <c r="L718" s="22" t="s">
        <v>95</v>
      </c>
      <c r="M718" s="45" t="str">
        <f>'Ingest Template'!B718</f>
        <v/>
      </c>
      <c r="N718" s="35"/>
      <c r="O718" s="35"/>
      <c r="P718" s="35"/>
      <c r="Q718" s="35"/>
      <c r="R718" s="35" t="str">
        <f>'Ingest Template'!D718</f>
        <v/>
      </c>
      <c r="S718" s="22" t="s">
        <v>101</v>
      </c>
      <c r="T718" s="35" t="str">
        <f>'Ingest Template'!V718</f>
        <v/>
      </c>
      <c r="U718" s="35" t="str">
        <f>'Ingest Template'!W718</f>
        <v/>
      </c>
      <c r="V718" s="35" t="str">
        <f>LOWER(SUBSTITUTE(SUBSTITUTE(SUBSTITUTE(SUBSTITUTE(SUBSTITUTE('Ingest Template'!X718,"https:",""),"www.",""),"/",""),"?hl=en",""),"instagram.com",""))</f>
        <v/>
      </c>
      <c r="W718" s="74" t="str">
        <f t="array" ref="W718">IF(
'Ingest Template'!Y718="",
SUBSTITUTE(
INDEX(DropdownLists!$F$2:$F$277,MATCH('Ingest Template'!D718,DropdownLists!$C$2:$C$277,0)),
CHAR(10),
"|"&amp;'Ingest Template'!C718&amp;CHAR(10)
)&amp;"|"&amp;'Ingest Template'!C718,
SUBSTITUTE(
INDEX(DropdownLists!$F$2:$F$277,MATCH('Ingest Template'!D718,DropdownLists!$C$2:$C$277,0)),
CHAR(10),
"|"&amp;'Ingest Template'!C718&amp;CHAR(10)
)&amp;"|"&amp;'Ingest Template'!C718&amp;CHAR(10)&amp;'Ingest Template'!Y718
)</f>
        <v>#N/A</v>
      </c>
      <c r="X718" s="74" t="str">
        <f>'Ingest Template'!Z718</f>
        <v/>
      </c>
      <c r="Y718" s="35" t="str">
        <f>SUBSTITUTE(SUBSTITUTE(SUBSTITUTE('Ingest Template'!AA718,"http:",""),"https:",""),"/","")</f>
        <v/>
      </c>
      <c r="Z718" s="35" t="str">
        <f t="array" ref="Z718">IF('Ingest Template'!A718="Standard",(IF(ISBLANK('Ingest Template'!AB718),"", 'Ingest Template'!AB718&amp;"|DAR")),(IF(ISBLANK('Ingest Template'!AB718),"", 'Ingest Template'!AB718&amp;"|TV Ops")))</f>
        <v/>
      </c>
      <c r="AA718" s="35"/>
      <c r="AB718" s="35" t="str">
        <f>'Ingest Template'!R718</f>
        <v/>
      </c>
      <c r="AC718" s="35" t="str">
        <f>'Ingest Template'!T718</f>
        <v/>
      </c>
      <c r="AD718" s="35" t="str">
        <f>'Ingest Template'!S718</f>
        <v/>
      </c>
      <c r="AE718" s="35" t="str">
        <f>'Ingest Template'!U718</f>
        <v/>
      </c>
      <c r="AF718" s="22"/>
      <c r="AG718" s="35" t="str">
        <f t="array" ref="AG718">IF('Ingest Template'!A718="Standard",(CONCATENATE(IF(ISBLANK('Ingest Template'!N718),"", 'Ingest Template'!N718&amp;"|DAR"),CHAR(10), IF(ISBLANK('Ingest Template'!O718),"", 'Ingest Template'!O718&amp;"|DAR"),CHAR(10), IF(ISBLANK('Ingest Template'!P718),"", 'Ingest Template'!P718&amp;"|DAR"))),(CONCATENATE(IF(ISBLANK('Ingest Template'!N718),"", 'Ingest Template'!N718&amp;"|TV Ops"),CHAR(10), IF(ISBLANK('Ingest Template'!O718),"", 'Ingest Template'!O718&amp;"|TV Ops"),CHAR(10), IF(ISBLANK('Ingest Template'!P718),"", 'Ingest Template'!P718&amp;"|TV Ops"))))</f>
        <v>
</v>
      </c>
      <c r="AH718" s="35"/>
      <c r="AI718" s="35"/>
      <c r="AJ718" s="117" t="str">
        <f>if('Ingest Template'!A718="Standard",(IF(OR('Ingest Template'!F718 = "Program Type - Special", 'Ingest Template'!F718 = "Program Type - Live Event"),'Ingest Template'!M718&amp; "|DAR|DAR|"&amp;TEXT('Ingest Template'!C718-3, "yyyy-mm-dd")&amp;"|"&amp;TEXT('Ingest Template'!C718+3, "yyyy-mm-dd"),'Ingest Template'!M718&amp; "|DAR|DAR|2021-01-01")),(IF(OR('Ingest Template'!F718 = "Program Type - Special", 'Ingest Template'!F718 = "Program Type - Live Event"),'Ingest Template'!M718&amp; "|Operations - Core Title|Operations - Core Title|"&amp;TEXT('Ingest Template'!C718-3, "yyyy-mm-dd")&amp;"|"&amp;TEXT('Ingest Template'!C718+3, "yyyy-mm-dd"),'Ingest Template'!M718&amp; "|Operations - Core Title|Operations - Core Title")))</f>
        <v>|Operations - Core Title|Operations - Core Title</v>
      </c>
      <c r="AK718" s="35"/>
      <c r="AL718" s="117" t="str">
        <f>if('Ingest Template'!A718="Standard",(IF(OR('Ingest Template'!F718 = "Program Type - Special", 'Ingest Template'!F718 = "Program Type - Live Event"),'Ingest Template'!Q718&amp;"|"&amp;TEXT('Ingest Template'!C718-3, "yyyy-mm-dd")&amp;"|"&amp;TEXT('Ingest Template'!C718+3, "yyyy-mm-dd"),'Ingest Template'!Q718&amp; "|2021-01-01")),(IF(OR('Ingest Template'!F718 = "Program Type - Special", 'Ingest Template'!F718 = "Program Type - Live Event"),'Ingest Template'!Q718&amp; "|"&amp;TEXT('Ingest Template'!C718-3, "yyyy-mm-dd")&amp;"|"&amp;TEXT('Ingest Template'!C718+3, "yyyy-mm-dd"),'Ingest Template'!Q718)))</f>
        <v/>
      </c>
      <c r="AM718" s="35" t="str">
        <f>'Ingest Template'!AC718</f>
        <v/>
      </c>
    </row>
    <row r="719">
      <c r="A719" s="15"/>
      <c r="B719" s="22" t="str">
        <f>'Ingest Template'!C719&amp;IF('Ingest Template'!A719 = "Standard", " - DAR","")</f>
        <v/>
      </c>
      <c r="C719" s="22" t="s">
        <v>83</v>
      </c>
      <c r="D719" s="22" t="str">
        <f t="array" ref="D719">CONCATENATE(INDEX(DropdownLists!$H$2:$H$11,MATCH(1,COUNTIF('Ingest Template'!E719,"*"&amp;DropdownLists!$I$2:$I$11&amp;"*"),0)),CHAR(10),'Ingest Template'!F719,CHAR(10),'Ingest Template'!G719,CHAR(10),VLOOKUP('Ingest Template'!D719,DropdownLists!C:D,2,FALSE))</f>
        <v>#N/A</v>
      </c>
      <c r="E719" s="22" t="str">
        <f>CONCATENATE('Ingest Template'!H719,CHAR(10),'Ingest Template'!I719,CHAR(10),'Ingest Template'!J719,CHAR(10))</f>
        <v>
</v>
      </c>
      <c r="F719" s="35" t="str">
        <f t="array" ref="F719">INDEX(DropdownLists!$O$2:$O$36,MATCH(1,COUNTIF(E719,"*"&amp;DropdownLists!$N$2:$N$36&amp;"*"),0))</f>
        <v/>
      </c>
      <c r="G719" s="35"/>
      <c r="H719" s="22" t="str">
        <f t="array" ref="H719">INDEX(DropdownLists!$E$2:$E$276,MATCH('Ingest Template'!D719,DropdownLists!$C$2:$C$276,0))</f>
        <v>#N/A</v>
      </c>
      <c r="I719" s="22"/>
      <c r="J719" s="22" t="str">
        <f t="array" ref="J719">iF('Ingest Template'!A719="Standard","Pristine Brand",INDEX(DropdownLists!$B$2:$B$246,MATCH('Ingest Template'!D719,DropdownLists!$C$2:$C$246,0)))</f>
        <v>#N/A</v>
      </c>
      <c r="K719" s="22" t="str">
        <f>iF('Ingest Template'!A719="Standard",'Ingest Template'!K719&amp;CHAR(10)&amp;'Ingest Template'!L719,"Competitive View")</f>
        <v>Competitive View</v>
      </c>
      <c r="L719" s="22" t="s">
        <v>95</v>
      </c>
      <c r="M719" s="45" t="str">
        <f>'Ingest Template'!B719</f>
        <v/>
      </c>
      <c r="N719" s="35"/>
      <c r="O719" s="35"/>
      <c r="P719" s="35"/>
      <c r="Q719" s="35"/>
      <c r="R719" s="35" t="str">
        <f>'Ingest Template'!D719</f>
        <v/>
      </c>
      <c r="S719" s="22" t="s">
        <v>101</v>
      </c>
      <c r="T719" s="35" t="str">
        <f>'Ingest Template'!V719</f>
        <v/>
      </c>
      <c r="U719" s="35" t="str">
        <f>'Ingest Template'!W719</f>
        <v/>
      </c>
      <c r="V719" s="35" t="str">
        <f>LOWER(SUBSTITUTE(SUBSTITUTE(SUBSTITUTE(SUBSTITUTE(SUBSTITUTE('Ingest Template'!X719,"https:",""),"www.",""),"/",""),"?hl=en",""),"instagram.com",""))</f>
        <v/>
      </c>
      <c r="W719" s="74" t="str">
        <f t="array" ref="W719">IF(
'Ingest Template'!Y719="",
SUBSTITUTE(
INDEX(DropdownLists!$F$2:$F$277,MATCH('Ingest Template'!D719,DropdownLists!$C$2:$C$277,0)),
CHAR(10),
"|"&amp;'Ingest Template'!C719&amp;CHAR(10)
)&amp;"|"&amp;'Ingest Template'!C719,
SUBSTITUTE(
INDEX(DropdownLists!$F$2:$F$277,MATCH('Ingest Template'!D719,DropdownLists!$C$2:$C$277,0)),
CHAR(10),
"|"&amp;'Ingest Template'!C719&amp;CHAR(10)
)&amp;"|"&amp;'Ingest Template'!C719&amp;CHAR(10)&amp;'Ingest Template'!Y719
)</f>
        <v>#N/A</v>
      </c>
      <c r="X719" s="74" t="str">
        <f>'Ingest Template'!Z719</f>
        <v/>
      </c>
      <c r="Y719" s="35" t="str">
        <f>SUBSTITUTE(SUBSTITUTE(SUBSTITUTE('Ingest Template'!AA719,"http:",""),"https:",""),"/","")</f>
        <v/>
      </c>
      <c r="Z719" s="35" t="str">
        <f t="array" ref="Z719">IF('Ingest Template'!A719="Standard",(IF(ISBLANK('Ingest Template'!AB719),"", 'Ingest Template'!AB719&amp;"|DAR")),(IF(ISBLANK('Ingest Template'!AB719),"", 'Ingest Template'!AB719&amp;"|TV Ops")))</f>
        <v/>
      </c>
      <c r="AA719" s="35"/>
      <c r="AB719" s="35" t="str">
        <f>'Ingest Template'!R719</f>
        <v/>
      </c>
      <c r="AC719" s="35" t="str">
        <f>'Ingest Template'!T719</f>
        <v/>
      </c>
      <c r="AD719" s="35" t="str">
        <f>'Ingest Template'!S719</f>
        <v/>
      </c>
      <c r="AE719" s="35" t="str">
        <f>'Ingest Template'!U719</f>
        <v/>
      </c>
      <c r="AF719" s="22"/>
      <c r="AG719" s="35" t="str">
        <f t="array" ref="AG719">IF('Ingest Template'!A719="Standard",(CONCATENATE(IF(ISBLANK('Ingest Template'!N719),"", 'Ingest Template'!N719&amp;"|DAR"),CHAR(10), IF(ISBLANK('Ingest Template'!O719),"", 'Ingest Template'!O719&amp;"|DAR"),CHAR(10), IF(ISBLANK('Ingest Template'!P719),"", 'Ingest Template'!P719&amp;"|DAR"))),(CONCATENATE(IF(ISBLANK('Ingest Template'!N719),"", 'Ingest Template'!N719&amp;"|TV Ops"),CHAR(10), IF(ISBLANK('Ingest Template'!O719),"", 'Ingest Template'!O719&amp;"|TV Ops"),CHAR(10), IF(ISBLANK('Ingest Template'!P719),"", 'Ingest Template'!P719&amp;"|TV Ops"))))</f>
        <v>
</v>
      </c>
      <c r="AH719" s="35"/>
      <c r="AI719" s="35"/>
      <c r="AJ719" s="117" t="str">
        <f>if('Ingest Template'!A719="Standard",(IF(OR('Ingest Template'!F719 = "Program Type - Special", 'Ingest Template'!F719 = "Program Type - Live Event"),'Ingest Template'!M719&amp; "|DAR|DAR|"&amp;TEXT('Ingest Template'!C719-3, "yyyy-mm-dd")&amp;"|"&amp;TEXT('Ingest Template'!C719+3, "yyyy-mm-dd"),'Ingest Template'!M719&amp; "|DAR|DAR|2021-01-01")),(IF(OR('Ingest Template'!F719 = "Program Type - Special", 'Ingest Template'!F719 = "Program Type - Live Event"),'Ingest Template'!M719&amp; "|Operations - Core Title|Operations - Core Title|"&amp;TEXT('Ingest Template'!C719-3, "yyyy-mm-dd")&amp;"|"&amp;TEXT('Ingest Template'!C719+3, "yyyy-mm-dd"),'Ingest Template'!M719&amp; "|Operations - Core Title|Operations - Core Title")))</f>
        <v>|Operations - Core Title|Operations - Core Title</v>
      </c>
      <c r="AK719" s="35"/>
      <c r="AL719" s="117" t="str">
        <f>if('Ingest Template'!A719="Standard",(IF(OR('Ingest Template'!F719 = "Program Type - Special", 'Ingest Template'!F719 = "Program Type - Live Event"),'Ingest Template'!Q719&amp;"|"&amp;TEXT('Ingest Template'!C719-3, "yyyy-mm-dd")&amp;"|"&amp;TEXT('Ingest Template'!C719+3, "yyyy-mm-dd"),'Ingest Template'!Q719&amp; "|2021-01-01")),(IF(OR('Ingest Template'!F719 = "Program Type - Special", 'Ingest Template'!F719 = "Program Type - Live Event"),'Ingest Template'!Q719&amp; "|"&amp;TEXT('Ingest Template'!C719-3, "yyyy-mm-dd")&amp;"|"&amp;TEXT('Ingest Template'!C719+3, "yyyy-mm-dd"),'Ingest Template'!Q719)))</f>
        <v/>
      </c>
      <c r="AM719" s="35" t="str">
        <f>'Ingest Template'!AC719</f>
        <v/>
      </c>
    </row>
    <row r="720">
      <c r="A720" s="15"/>
      <c r="B720" s="22" t="str">
        <f>'Ingest Template'!C720&amp;IF('Ingest Template'!A720 = "Standard", " - DAR","")</f>
        <v/>
      </c>
      <c r="C720" s="22" t="s">
        <v>83</v>
      </c>
      <c r="D720" s="22" t="str">
        <f t="array" ref="D720">CONCATENATE(INDEX(DropdownLists!$H$2:$H$11,MATCH(1,COUNTIF('Ingest Template'!E720,"*"&amp;DropdownLists!$I$2:$I$11&amp;"*"),0)),CHAR(10),'Ingest Template'!F720,CHAR(10),'Ingest Template'!G720,CHAR(10),VLOOKUP('Ingest Template'!D720,DropdownLists!C:D,2,FALSE))</f>
        <v>#N/A</v>
      </c>
      <c r="E720" s="22" t="str">
        <f>CONCATENATE('Ingest Template'!H720,CHAR(10),'Ingest Template'!I720,CHAR(10),'Ingest Template'!J720,CHAR(10))</f>
        <v>
</v>
      </c>
      <c r="F720" s="35" t="str">
        <f t="array" ref="F720">INDEX(DropdownLists!$O$2:$O$36,MATCH(1,COUNTIF(E720,"*"&amp;DropdownLists!$N$2:$N$36&amp;"*"),0))</f>
        <v/>
      </c>
      <c r="G720" s="35"/>
      <c r="H720" s="22" t="str">
        <f t="array" ref="H720">INDEX(DropdownLists!$E$2:$E$276,MATCH('Ingest Template'!D720,DropdownLists!$C$2:$C$276,0))</f>
        <v>#N/A</v>
      </c>
      <c r="I720" s="22"/>
      <c r="J720" s="22" t="str">
        <f t="array" ref="J720">iF('Ingest Template'!A720="Standard","Pristine Brand",INDEX(DropdownLists!$B$2:$B$246,MATCH('Ingest Template'!D720,DropdownLists!$C$2:$C$246,0)))</f>
        <v>#N/A</v>
      </c>
      <c r="K720" s="22" t="str">
        <f>iF('Ingest Template'!A720="Standard",'Ingest Template'!K720&amp;CHAR(10)&amp;'Ingest Template'!L720,"Competitive View")</f>
        <v>Competitive View</v>
      </c>
      <c r="L720" s="22" t="s">
        <v>95</v>
      </c>
      <c r="M720" s="45" t="str">
        <f>'Ingest Template'!B720</f>
        <v/>
      </c>
      <c r="N720" s="35"/>
      <c r="O720" s="35"/>
      <c r="P720" s="35"/>
      <c r="Q720" s="35"/>
      <c r="R720" s="35" t="str">
        <f>'Ingest Template'!D720</f>
        <v/>
      </c>
      <c r="S720" s="22" t="s">
        <v>101</v>
      </c>
      <c r="T720" s="35" t="str">
        <f>'Ingest Template'!V720</f>
        <v/>
      </c>
      <c r="U720" s="35" t="str">
        <f>'Ingest Template'!W720</f>
        <v/>
      </c>
      <c r="V720" s="35" t="str">
        <f>LOWER(SUBSTITUTE(SUBSTITUTE(SUBSTITUTE(SUBSTITUTE(SUBSTITUTE('Ingest Template'!X720,"https:",""),"www.",""),"/",""),"?hl=en",""),"instagram.com",""))</f>
        <v/>
      </c>
      <c r="W720" s="74" t="str">
        <f t="array" ref="W720">IF(
'Ingest Template'!Y720="",
SUBSTITUTE(
INDEX(DropdownLists!$F$2:$F$277,MATCH('Ingest Template'!D720,DropdownLists!$C$2:$C$277,0)),
CHAR(10),
"|"&amp;'Ingest Template'!C720&amp;CHAR(10)
)&amp;"|"&amp;'Ingest Template'!C720,
SUBSTITUTE(
INDEX(DropdownLists!$F$2:$F$277,MATCH('Ingest Template'!D720,DropdownLists!$C$2:$C$277,0)),
CHAR(10),
"|"&amp;'Ingest Template'!C720&amp;CHAR(10)
)&amp;"|"&amp;'Ingest Template'!C720&amp;CHAR(10)&amp;'Ingest Template'!Y720
)</f>
        <v>#N/A</v>
      </c>
      <c r="X720" s="74" t="str">
        <f>'Ingest Template'!Z720</f>
        <v/>
      </c>
      <c r="Y720" s="35" t="str">
        <f>SUBSTITUTE(SUBSTITUTE(SUBSTITUTE('Ingest Template'!AA720,"http:",""),"https:",""),"/","")</f>
        <v/>
      </c>
      <c r="Z720" s="35" t="str">
        <f t="array" ref="Z720">IF('Ingest Template'!A720="Standard",(IF(ISBLANK('Ingest Template'!AB720),"", 'Ingest Template'!AB720&amp;"|DAR")),(IF(ISBLANK('Ingest Template'!AB720),"", 'Ingest Template'!AB720&amp;"|TV Ops")))</f>
        <v/>
      </c>
      <c r="AA720" s="35"/>
      <c r="AB720" s="35" t="str">
        <f>'Ingest Template'!R720</f>
        <v/>
      </c>
      <c r="AC720" s="35" t="str">
        <f>'Ingest Template'!T720</f>
        <v/>
      </c>
      <c r="AD720" s="35" t="str">
        <f>'Ingest Template'!S720</f>
        <v/>
      </c>
      <c r="AE720" s="35" t="str">
        <f>'Ingest Template'!U720</f>
        <v/>
      </c>
      <c r="AF720" s="22"/>
      <c r="AG720" s="35" t="str">
        <f t="array" ref="AG720">IF('Ingest Template'!A720="Standard",(CONCATENATE(IF(ISBLANK('Ingest Template'!N720),"", 'Ingest Template'!N720&amp;"|DAR"),CHAR(10), IF(ISBLANK('Ingest Template'!O720),"", 'Ingest Template'!O720&amp;"|DAR"),CHAR(10), IF(ISBLANK('Ingest Template'!P720),"", 'Ingest Template'!P720&amp;"|DAR"))),(CONCATENATE(IF(ISBLANK('Ingest Template'!N720),"", 'Ingest Template'!N720&amp;"|TV Ops"),CHAR(10), IF(ISBLANK('Ingest Template'!O720),"", 'Ingest Template'!O720&amp;"|TV Ops"),CHAR(10), IF(ISBLANK('Ingest Template'!P720),"", 'Ingest Template'!P720&amp;"|TV Ops"))))</f>
        <v>
</v>
      </c>
      <c r="AH720" s="35"/>
      <c r="AI720" s="35"/>
      <c r="AJ720" s="117" t="str">
        <f>if('Ingest Template'!A720="Standard",(IF(OR('Ingest Template'!F720 = "Program Type - Special", 'Ingest Template'!F720 = "Program Type - Live Event"),'Ingest Template'!M720&amp; "|DAR|DAR|"&amp;TEXT('Ingest Template'!C720-3, "yyyy-mm-dd")&amp;"|"&amp;TEXT('Ingest Template'!C720+3, "yyyy-mm-dd"),'Ingest Template'!M720&amp; "|DAR|DAR|2021-01-01")),(IF(OR('Ingest Template'!F720 = "Program Type - Special", 'Ingest Template'!F720 = "Program Type - Live Event"),'Ingest Template'!M720&amp; "|Operations - Core Title|Operations - Core Title|"&amp;TEXT('Ingest Template'!C720-3, "yyyy-mm-dd")&amp;"|"&amp;TEXT('Ingest Template'!C720+3, "yyyy-mm-dd"),'Ingest Template'!M720&amp; "|Operations - Core Title|Operations - Core Title")))</f>
        <v>|Operations - Core Title|Operations - Core Title</v>
      </c>
      <c r="AK720" s="35"/>
      <c r="AL720" s="117" t="str">
        <f>if('Ingest Template'!A720="Standard",(IF(OR('Ingest Template'!F720 = "Program Type - Special", 'Ingest Template'!F720 = "Program Type - Live Event"),'Ingest Template'!Q720&amp;"|"&amp;TEXT('Ingest Template'!C720-3, "yyyy-mm-dd")&amp;"|"&amp;TEXT('Ingest Template'!C720+3, "yyyy-mm-dd"),'Ingest Template'!Q720&amp; "|2021-01-01")),(IF(OR('Ingest Template'!F720 = "Program Type - Special", 'Ingest Template'!F720 = "Program Type - Live Event"),'Ingest Template'!Q720&amp; "|"&amp;TEXT('Ingest Template'!C720-3, "yyyy-mm-dd")&amp;"|"&amp;TEXT('Ingest Template'!C720+3, "yyyy-mm-dd"),'Ingest Template'!Q720)))</f>
        <v/>
      </c>
      <c r="AM720" s="35" t="str">
        <f>'Ingest Template'!AC720</f>
        <v/>
      </c>
    </row>
    <row r="721">
      <c r="A721" s="15"/>
      <c r="B721" s="22" t="str">
        <f>'Ingest Template'!C721&amp;IF('Ingest Template'!A721 = "Standard", " - DAR","")</f>
        <v/>
      </c>
      <c r="C721" s="22" t="s">
        <v>83</v>
      </c>
      <c r="D721" s="22" t="str">
        <f t="array" ref="D721">CONCATENATE(INDEX(DropdownLists!$H$2:$H$11,MATCH(1,COUNTIF('Ingest Template'!E721,"*"&amp;DropdownLists!$I$2:$I$11&amp;"*"),0)),CHAR(10),'Ingest Template'!F721,CHAR(10),'Ingest Template'!G721,CHAR(10),VLOOKUP('Ingest Template'!D721,DropdownLists!C:D,2,FALSE))</f>
        <v>#N/A</v>
      </c>
      <c r="E721" s="22" t="str">
        <f>CONCATENATE('Ingest Template'!H721,CHAR(10),'Ingest Template'!I721,CHAR(10),'Ingest Template'!J721,CHAR(10))</f>
        <v>
</v>
      </c>
      <c r="F721" s="35" t="str">
        <f t="array" ref="F721">INDEX(DropdownLists!$O$2:$O$36,MATCH(1,COUNTIF(E721,"*"&amp;DropdownLists!$N$2:$N$36&amp;"*"),0))</f>
        <v/>
      </c>
      <c r="G721" s="35"/>
      <c r="H721" s="22" t="str">
        <f t="array" ref="H721">INDEX(DropdownLists!$E$2:$E$276,MATCH('Ingest Template'!D721,DropdownLists!$C$2:$C$276,0))</f>
        <v>#N/A</v>
      </c>
      <c r="I721" s="22"/>
      <c r="J721" s="22" t="str">
        <f t="array" ref="J721">iF('Ingest Template'!A721="Standard","Pristine Brand",INDEX(DropdownLists!$B$2:$B$246,MATCH('Ingest Template'!D721,DropdownLists!$C$2:$C$246,0)))</f>
        <v>#N/A</v>
      </c>
      <c r="K721" s="22" t="str">
        <f>iF('Ingest Template'!A721="Standard",'Ingest Template'!K721&amp;CHAR(10)&amp;'Ingest Template'!L721,"Competitive View")</f>
        <v>Competitive View</v>
      </c>
      <c r="L721" s="22" t="s">
        <v>95</v>
      </c>
      <c r="M721" s="45" t="str">
        <f>'Ingest Template'!B721</f>
        <v/>
      </c>
      <c r="N721" s="35"/>
      <c r="O721" s="35"/>
      <c r="P721" s="35"/>
      <c r="Q721" s="35"/>
      <c r="R721" s="35" t="str">
        <f>'Ingest Template'!D721</f>
        <v/>
      </c>
      <c r="S721" s="22" t="s">
        <v>101</v>
      </c>
      <c r="T721" s="35" t="str">
        <f>'Ingest Template'!V721</f>
        <v/>
      </c>
      <c r="U721" s="35" t="str">
        <f>'Ingest Template'!W721</f>
        <v/>
      </c>
      <c r="V721" s="35" t="str">
        <f>LOWER(SUBSTITUTE(SUBSTITUTE(SUBSTITUTE(SUBSTITUTE(SUBSTITUTE('Ingest Template'!X721,"https:",""),"www.",""),"/",""),"?hl=en",""),"instagram.com",""))</f>
        <v/>
      </c>
      <c r="W721" s="74" t="str">
        <f t="array" ref="W721">IF(
'Ingest Template'!Y721="",
SUBSTITUTE(
INDEX(DropdownLists!$F$2:$F$277,MATCH('Ingest Template'!D721,DropdownLists!$C$2:$C$277,0)),
CHAR(10),
"|"&amp;'Ingest Template'!C721&amp;CHAR(10)
)&amp;"|"&amp;'Ingest Template'!C721,
SUBSTITUTE(
INDEX(DropdownLists!$F$2:$F$277,MATCH('Ingest Template'!D721,DropdownLists!$C$2:$C$277,0)),
CHAR(10),
"|"&amp;'Ingest Template'!C721&amp;CHAR(10)
)&amp;"|"&amp;'Ingest Template'!C721&amp;CHAR(10)&amp;'Ingest Template'!Y721
)</f>
        <v>#N/A</v>
      </c>
      <c r="X721" s="74" t="str">
        <f>'Ingest Template'!Z721</f>
        <v/>
      </c>
      <c r="Y721" s="35" t="str">
        <f>SUBSTITUTE(SUBSTITUTE(SUBSTITUTE('Ingest Template'!AA721,"http:",""),"https:",""),"/","")</f>
        <v/>
      </c>
      <c r="Z721" s="35" t="str">
        <f t="array" ref="Z721">IF('Ingest Template'!A721="Standard",(IF(ISBLANK('Ingest Template'!AB721),"", 'Ingest Template'!AB721&amp;"|DAR")),(IF(ISBLANK('Ingest Template'!AB721),"", 'Ingest Template'!AB721&amp;"|TV Ops")))</f>
        <v/>
      </c>
      <c r="AA721" s="35"/>
      <c r="AB721" s="35" t="str">
        <f>'Ingest Template'!R721</f>
        <v/>
      </c>
      <c r="AC721" s="35" t="str">
        <f>'Ingest Template'!T721</f>
        <v/>
      </c>
      <c r="AD721" s="35" t="str">
        <f>'Ingest Template'!S721</f>
        <v/>
      </c>
      <c r="AE721" s="35" t="str">
        <f>'Ingest Template'!U721</f>
        <v/>
      </c>
      <c r="AF721" s="22"/>
      <c r="AG721" s="35" t="str">
        <f t="array" ref="AG721">IF('Ingest Template'!A721="Standard",(CONCATENATE(IF(ISBLANK('Ingest Template'!N721),"", 'Ingest Template'!N721&amp;"|DAR"),CHAR(10), IF(ISBLANK('Ingest Template'!O721),"", 'Ingest Template'!O721&amp;"|DAR"),CHAR(10), IF(ISBLANK('Ingest Template'!P721),"", 'Ingest Template'!P721&amp;"|DAR"))),(CONCATENATE(IF(ISBLANK('Ingest Template'!N721),"", 'Ingest Template'!N721&amp;"|TV Ops"),CHAR(10), IF(ISBLANK('Ingest Template'!O721),"", 'Ingest Template'!O721&amp;"|TV Ops"),CHAR(10), IF(ISBLANK('Ingest Template'!P721),"", 'Ingest Template'!P721&amp;"|TV Ops"))))</f>
        <v>
</v>
      </c>
      <c r="AH721" s="35"/>
      <c r="AI721" s="35"/>
      <c r="AJ721" s="117" t="str">
        <f>if('Ingest Template'!A721="Standard",(IF(OR('Ingest Template'!F721 = "Program Type - Special", 'Ingest Template'!F721 = "Program Type - Live Event"),'Ingest Template'!M721&amp; "|DAR|DAR|"&amp;TEXT('Ingest Template'!C721-3, "yyyy-mm-dd")&amp;"|"&amp;TEXT('Ingest Template'!C721+3, "yyyy-mm-dd"),'Ingest Template'!M721&amp; "|DAR|DAR|2021-01-01")),(IF(OR('Ingest Template'!F721 = "Program Type - Special", 'Ingest Template'!F721 = "Program Type - Live Event"),'Ingest Template'!M721&amp; "|Operations - Core Title|Operations - Core Title|"&amp;TEXT('Ingest Template'!C721-3, "yyyy-mm-dd")&amp;"|"&amp;TEXT('Ingest Template'!C721+3, "yyyy-mm-dd"),'Ingest Template'!M721&amp; "|Operations - Core Title|Operations - Core Title")))</f>
        <v>|Operations - Core Title|Operations - Core Title</v>
      </c>
      <c r="AK721" s="35"/>
      <c r="AL721" s="117" t="str">
        <f>if('Ingest Template'!A721="Standard",(IF(OR('Ingest Template'!F721 = "Program Type - Special", 'Ingest Template'!F721 = "Program Type - Live Event"),'Ingest Template'!Q721&amp;"|"&amp;TEXT('Ingest Template'!C721-3, "yyyy-mm-dd")&amp;"|"&amp;TEXT('Ingest Template'!C721+3, "yyyy-mm-dd"),'Ingest Template'!Q721&amp; "|2021-01-01")),(IF(OR('Ingest Template'!F721 = "Program Type - Special", 'Ingest Template'!F721 = "Program Type - Live Event"),'Ingest Template'!Q721&amp; "|"&amp;TEXT('Ingest Template'!C721-3, "yyyy-mm-dd")&amp;"|"&amp;TEXT('Ingest Template'!C721+3, "yyyy-mm-dd"),'Ingest Template'!Q721)))</f>
        <v/>
      </c>
      <c r="AM721" s="35" t="str">
        <f>'Ingest Template'!AC721</f>
        <v/>
      </c>
    </row>
    <row r="722">
      <c r="A722" s="15"/>
      <c r="B722" s="22" t="str">
        <f>'Ingest Template'!C722&amp;IF('Ingest Template'!A722 = "Standard", " - DAR","")</f>
        <v/>
      </c>
      <c r="C722" s="22" t="s">
        <v>83</v>
      </c>
      <c r="D722" s="22" t="str">
        <f t="array" ref="D722">CONCATENATE(INDEX(DropdownLists!$H$2:$H$11,MATCH(1,COUNTIF('Ingest Template'!E722,"*"&amp;DropdownLists!$I$2:$I$11&amp;"*"),0)),CHAR(10),'Ingest Template'!F722,CHAR(10),'Ingest Template'!G722,CHAR(10),VLOOKUP('Ingest Template'!D722,DropdownLists!C:D,2,FALSE))</f>
        <v>#N/A</v>
      </c>
      <c r="E722" s="22" t="str">
        <f>CONCATENATE('Ingest Template'!H722,CHAR(10),'Ingest Template'!I722,CHAR(10),'Ingest Template'!J722,CHAR(10))</f>
        <v>
</v>
      </c>
      <c r="F722" s="35" t="str">
        <f t="array" ref="F722">INDEX(DropdownLists!$O$2:$O$36,MATCH(1,COUNTIF(E722,"*"&amp;DropdownLists!$N$2:$N$36&amp;"*"),0))</f>
        <v/>
      </c>
      <c r="G722" s="35"/>
      <c r="H722" s="22" t="str">
        <f t="array" ref="H722">INDEX(DropdownLists!$E$2:$E$276,MATCH('Ingest Template'!D722,DropdownLists!$C$2:$C$276,0))</f>
        <v>#N/A</v>
      </c>
      <c r="I722" s="22"/>
      <c r="J722" s="22" t="str">
        <f t="array" ref="J722">iF('Ingest Template'!A722="Standard","Pristine Brand",INDEX(DropdownLists!$B$2:$B$246,MATCH('Ingest Template'!D722,DropdownLists!$C$2:$C$246,0)))</f>
        <v>#N/A</v>
      </c>
      <c r="K722" s="22" t="str">
        <f>iF('Ingest Template'!A722="Standard",'Ingest Template'!K722&amp;CHAR(10)&amp;'Ingest Template'!L722,"Competitive View")</f>
        <v>Competitive View</v>
      </c>
      <c r="L722" s="22" t="s">
        <v>95</v>
      </c>
      <c r="M722" s="45" t="str">
        <f>'Ingest Template'!B722</f>
        <v/>
      </c>
      <c r="N722" s="35"/>
      <c r="O722" s="35"/>
      <c r="P722" s="35"/>
      <c r="Q722" s="35"/>
      <c r="R722" s="35" t="str">
        <f>'Ingest Template'!D722</f>
        <v/>
      </c>
      <c r="S722" s="22" t="s">
        <v>101</v>
      </c>
      <c r="T722" s="35" t="str">
        <f>'Ingest Template'!V722</f>
        <v/>
      </c>
      <c r="U722" s="35" t="str">
        <f>'Ingest Template'!W722</f>
        <v/>
      </c>
      <c r="V722" s="35" t="str">
        <f>LOWER(SUBSTITUTE(SUBSTITUTE(SUBSTITUTE(SUBSTITUTE(SUBSTITUTE('Ingest Template'!X722,"https:",""),"www.",""),"/",""),"?hl=en",""),"instagram.com",""))</f>
        <v/>
      </c>
      <c r="W722" s="74" t="str">
        <f t="array" ref="W722">IF(
'Ingest Template'!Y722="",
SUBSTITUTE(
INDEX(DropdownLists!$F$2:$F$277,MATCH('Ingest Template'!D722,DropdownLists!$C$2:$C$277,0)),
CHAR(10),
"|"&amp;'Ingest Template'!C722&amp;CHAR(10)
)&amp;"|"&amp;'Ingest Template'!C722,
SUBSTITUTE(
INDEX(DropdownLists!$F$2:$F$277,MATCH('Ingest Template'!D722,DropdownLists!$C$2:$C$277,0)),
CHAR(10),
"|"&amp;'Ingest Template'!C722&amp;CHAR(10)
)&amp;"|"&amp;'Ingest Template'!C722&amp;CHAR(10)&amp;'Ingest Template'!Y722
)</f>
        <v>#N/A</v>
      </c>
      <c r="X722" s="74" t="str">
        <f>'Ingest Template'!Z722</f>
        <v/>
      </c>
      <c r="Y722" s="35" t="str">
        <f>SUBSTITUTE(SUBSTITUTE(SUBSTITUTE('Ingest Template'!AA722,"http:",""),"https:",""),"/","")</f>
        <v/>
      </c>
      <c r="Z722" s="35" t="str">
        <f t="array" ref="Z722">IF('Ingest Template'!A722="Standard",(IF(ISBLANK('Ingest Template'!AB722),"", 'Ingest Template'!AB722&amp;"|DAR")),(IF(ISBLANK('Ingest Template'!AB722),"", 'Ingest Template'!AB722&amp;"|TV Ops")))</f>
        <v/>
      </c>
      <c r="AA722" s="35"/>
      <c r="AB722" s="35" t="str">
        <f>'Ingest Template'!R722</f>
        <v/>
      </c>
      <c r="AC722" s="35" t="str">
        <f>'Ingest Template'!T722</f>
        <v/>
      </c>
      <c r="AD722" s="35" t="str">
        <f>'Ingest Template'!S722</f>
        <v/>
      </c>
      <c r="AE722" s="35" t="str">
        <f>'Ingest Template'!U722</f>
        <v/>
      </c>
      <c r="AF722" s="22"/>
      <c r="AG722" s="35" t="str">
        <f t="array" ref="AG722">IF('Ingest Template'!A722="Standard",(CONCATENATE(IF(ISBLANK('Ingest Template'!N722),"", 'Ingest Template'!N722&amp;"|DAR"),CHAR(10), IF(ISBLANK('Ingest Template'!O722),"", 'Ingest Template'!O722&amp;"|DAR"),CHAR(10), IF(ISBLANK('Ingest Template'!P722),"", 'Ingest Template'!P722&amp;"|DAR"))),(CONCATENATE(IF(ISBLANK('Ingest Template'!N722),"", 'Ingest Template'!N722&amp;"|TV Ops"),CHAR(10), IF(ISBLANK('Ingest Template'!O722),"", 'Ingest Template'!O722&amp;"|TV Ops"),CHAR(10), IF(ISBLANK('Ingest Template'!P722),"", 'Ingest Template'!P722&amp;"|TV Ops"))))</f>
        <v>
</v>
      </c>
      <c r="AH722" s="35"/>
      <c r="AI722" s="35"/>
      <c r="AJ722" s="117" t="str">
        <f>if('Ingest Template'!A722="Standard",(IF(OR('Ingest Template'!F722 = "Program Type - Special", 'Ingest Template'!F722 = "Program Type - Live Event"),'Ingest Template'!M722&amp; "|DAR|DAR|"&amp;TEXT('Ingest Template'!C722-3, "yyyy-mm-dd")&amp;"|"&amp;TEXT('Ingest Template'!C722+3, "yyyy-mm-dd"),'Ingest Template'!M722&amp; "|DAR|DAR|2021-01-01")),(IF(OR('Ingest Template'!F722 = "Program Type - Special", 'Ingest Template'!F722 = "Program Type - Live Event"),'Ingest Template'!M722&amp; "|Operations - Core Title|Operations - Core Title|"&amp;TEXT('Ingest Template'!C722-3, "yyyy-mm-dd")&amp;"|"&amp;TEXT('Ingest Template'!C722+3, "yyyy-mm-dd"),'Ingest Template'!M722&amp; "|Operations - Core Title|Operations - Core Title")))</f>
        <v>|Operations - Core Title|Operations - Core Title</v>
      </c>
      <c r="AK722" s="35"/>
      <c r="AL722" s="117" t="str">
        <f>if('Ingest Template'!A722="Standard",(IF(OR('Ingest Template'!F722 = "Program Type - Special", 'Ingest Template'!F722 = "Program Type - Live Event"),'Ingest Template'!Q722&amp;"|"&amp;TEXT('Ingest Template'!C722-3, "yyyy-mm-dd")&amp;"|"&amp;TEXT('Ingest Template'!C722+3, "yyyy-mm-dd"),'Ingest Template'!Q722&amp; "|2021-01-01")),(IF(OR('Ingest Template'!F722 = "Program Type - Special", 'Ingest Template'!F722 = "Program Type - Live Event"),'Ingest Template'!Q722&amp; "|"&amp;TEXT('Ingest Template'!C722-3, "yyyy-mm-dd")&amp;"|"&amp;TEXT('Ingest Template'!C722+3, "yyyy-mm-dd"),'Ingest Template'!Q722)))</f>
        <v/>
      </c>
      <c r="AM722" s="35" t="str">
        <f>'Ingest Template'!AC722</f>
        <v/>
      </c>
    </row>
    <row r="723">
      <c r="A723" s="15"/>
      <c r="B723" s="22" t="str">
        <f>'Ingest Template'!C723&amp;IF('Ingest Template'!A723 = "Standard", " - DAR","")</f>
        <v/>
      </c>
      <c r="C723" s="22" t="s">
        <v>83</v>
      </c>
      <c r="D723" s="22" t="str">
        <f t="array" ref="D723">CONCATENATE(INDEX(DropdownLists!$H$2:$H$11,MATCH(1,COUNTIF('Ingest Template'!E723,"*"&amp;DropdownLists!$I$2:$I$11&amp;"*"),0)),CHAR(10),'Ingest Template'!F723,CHAR(10),'Ingest Template'!G723,CHAR(10),VLOOKUP('Ingest Template'!D723,DropdownLists!C:D,2,FALSE))</f>
        <v>#N/A</v>
      </c>
      <c r="E723" s="22" t="str">
        <f>CONCATENATE('Ingest Template'!H723,CHAR(10),'Ingest Template'!I723,CHAR(10),'Ingest Template'!J723,CHAR(10))</f>
        <v>
</v>
      </c>
      <c r="F723" s="35" t="str">
        <f t="array" ref="F723">INDEX(DropdownLists!$O$2:$O$36,MATCH(1,COUNTIF(E723,"*"&amp;DropdownLists!$N$2:$N$36&amp;"*"),0))</f>
        <v/>
      </c>
      <c r="G723" s="35"/>
      <c r="H723" s="22" t="str">
        <f t="array" ref="H723">INDEX(DropdownLists!$E$2:$E$276,MATCH('Ingest Template'!D723,DropdownLists!$C$2:$C$276,0))</f>
        <v>#N/A</v>
      </c>
      <c r="I723" s="22"/>
      <c r="J723" s="22" t="str">
        <f t="array" ref="J723">iF('Ingest Template'!A723="Standard","Pristine Brand",INDEX(DropdownLists!$B$2:$B$246,MATCH('Ingest Template'!D723,DropdownLists!$C$2:$C$246,0)))</f>
        <v>#N/A</v>
      </c>
      <c r="K723" s="22" t="str">
        <f>iF('Ingest Template'!A723="Standard",'Ingest Template'!K723&amp;CHAR(10)&amp;'Ingest Template'!L723,"Competitive View")</f>
        <v>Competitive View</v>
      </c>
      <c r="L723" s="22" t="s">
        <v>95</v>
      </c>
      <c r="M723" s="45" t="str">
        <f>'Ingest Template'!B723</f>
        <v/>
      </c>
      <c r="N723" s="35"/>
      <c r="O723" s="35"/>
      <c r="P723" s="35"/>
      <c r="Q723" s="35"/>
      <c r="R723" s="35" t="str">
        <f>'Ingest Template'!D723</f>
        <v/>
      </c>
      <c r="S723" s="22" t="s">
        <v>101</v>
      </c>
      <c r="T723" s="35" t="str">
        <f>'Ingest Template'!V723</f>
        <v/>
      </c>
      <c r="U723" s="35" t="str">
        <f>'Ingest Template'!W723</f>
        <v/>
      </c>
      <c r="V723" s="35" t="str">
        <f>LOWER(SUBSTITUTE(SUBSTITUTE(SUBSTITUTE(SUBSTITUTE(SUBSTITUTE('Ingest Template'!X723,"https:",""),"www.",""),"/",""),"?hl=en",""),"instagram.com",""))</f>
        <v/>
      </c>
      <c r="W723" s="74" t="str">
        <f t="array" ref="W723">IF(
'Ingest Template'!Y723="",
SUBSTITUTE(
INDEX(DropdownLists!$F$2:$F$277,MATCH('Ingest Template'!D723,DropdownLists!$C$2:$C$277,0)),
CHAR(10),
"|"&amp;'Ingest Template'!C723&amp;CHAR(10)
)&amp;"|"&amp;'Ingest Template'!C723,
SUBSTITUTE(
INDEX(DropdownLists!$F$2:$F$277,MATCH('Ingest Template'!D723,DropdownLists!$C$2:$C$277,0)),
CHAR(10),
"|"&amp;'Ingest Template'!C723&amp;CHAR(10)
)&amp;"|"&amp;'Ingest Template'!C723&amp;CHAR(10)&amp;'Ingest Template'!Y723
)</f>
        <v>#N/A</v>
      </c>
      <c r="X723" s="74" t="str">
        <f>'Ingest Template'!Z723</f>
        <v/>
      </c>
      <c r="Y723" s="35" t="str">
        <f>SUBSTITUTE(SUBSTITUTE(SUBSTITUTE('Ingest Template'!AA723,"http:",""),"https:",""),"/","")</f>
        <v/>
      </c>
      <c r="Z723" s="35" t="str">
        <f t="array" ref="Z723">IF('Ingest Template'!A723="Standard",(IF(ISBLANK('Ingest Template'!AB723),"", 'Ingest Template'!AB723&amp;"|DAR")),(IF(ISBLANK('Ingest Template'!AB723),"", 'Ingest Template'!AB723&amp;"|TV Ops")))</f>
        <v/>
      </c>
      <c r="AA723" s="35"/>
      <c r="AB723" s="35" t="str">
        <f>'Ingest Template'!R723</f>
        <v/>
      </c>
      <c r="AC723" s="35" t="str">
        <f>'Ingest Template'!T723</f>
        <v/>
      </c>
      <c r="AD723" s="35" t="str">
        <f>'Ingest Template'!S723</f>
        <v/>
      </c>
      <c r="AE723" s="35" t="str">
        <f>'Ingest Template'!U723</f>
        <v/>
      </c>
      <c r="AF723" s="22"/>
      <c r="AG723" s="35" t="str">
        <f t="array" ref="AG723">IF('Ingest Template'!A723="Standard",(CONCATENATE(IF(ISBLANK('Ingest Template'!N723),"", 'Ingest Template'!N723&amp;"|DAR"),CHAR(10), IF(ISBLANK('Ingest Template'!O723),"", 'Ingest Template'!O723&amp;"|DAR"),CHAR(10), IF(ISBLANK('Ingest Template'!P723),"", 'Ingest Template'!P723&amp;"|DAR"))),(CONCATENATE(IF(ISBLANK('Ingest Template'!N723),"", 'Ingest Template'!N723&amp;"|TV Ops"),CHAR(10), IF(ISBLANK('Ingest Template'!O723),"", 'Ingest Template'!O723&amp;"|TV Ops"),CHAR(10), IF(ISBLANK('Ingest Template'!P723),"", 'Ingest Template'!P723&amp;"|TV Ops"))))</f>
        <v>
</v>
      </c>
      <c r="AH723" s="35"/>
      <c r="AI723" s="35"/>
      <c r="AJ723" s="117" t="str">
        <f>if('Ingest Template'!A723="Standard",(IF(OR('Ingest Template'!F723 = "Program Type - Special", 'Ingest Template'!F723 = "Program Type - Live Event"),'Ingest Template'!M723&amp; "|DAR|DAR|"&amp;TEXT('Ingest Template'!C723-3, "yyyy-mm-dd")&amp;"|"&amp;TEXT('Ingest Template'!C723+3, "yyyy-mm-dd"),'Ingest Template'!M723&amp; "|DAR|DAR|2021-01-01")),(IF(OR('Ingest Template'!F723 = "Program Type - Special", 'Ingest Template'!F723 = "Program Type - Live Event"),'Ingest Template'!M723&amp; "|Operations - Core Title|Operations - Core Title|"&amp;TEXT('Ingest Template'!C723-3, "yyyy-mm-dd")&amp;"|"&amp;TEXT('Ingest Template'!C723+3, "yyyy-mm-dd"),'Ingest Template'!M723&amp; "|Operations - Core Title|Operations - Core Title")))</f>
        <v>|Operations - Core Title|Operations - Core Title</v>
      </c>
      <c r="AK723" s="35"/>
      <c r="AL723" s="117" t="str">
        <f>if('Ingest Template'!A723="Standard",(IF(OR('Ingest Template'!F723 = "Program Type - Special", 'Ingest Template'!F723 = "Program Type - Live Event"),'Ingest Template'!Q723&amp;"|"&amp;TEXT('Ingest Template'!C723-3, "yyyy-mm-dd")&amp;"|"&amp;TEXT('Ingest Template'!C723+3, "yyyy-mm-dd"),'Ingest Template'!Q723&amp; "|2021-01-01")),(IF(OR('Ingest Template'!F723 = "Program Type - Special", 'Ingest Template'!F723 = "Program Type - Live Event"),'Ingest Template'!Q723&amp; "|"&amp;TEXT('Ingest Template'!C723-3, "yyyy-mm-dd")&amp;"|"&amp;TEXT('Ingest Template'!C723+3, "yyyy-mm-dd"),'Ingest Template'!Q723)))</f>
        <v/>
      </c>
      <c r="AM723" s="35" t="str">
        <f>'Ingest Template'!AC723</f>
        <v/>
      </c>
    </row>
    <row r="724">
      <c r="A724" s="15"/>
      <c r="B724" s="22" t="str">
        <f>'Ingest Template'!C724&amp;IF('Ingest Template'!A724 = "Standard", " - DAR","")</f>
        <v/>
      </c>
      <c r="C724" s="22" t="s">
        <v>83</v>
      </c>
      <c r="D724" s="22" t="str">
        <f t="array" ref="D724">CONCATENATE(INDEX(DropdownLists!$H$2:$H$11,MATCH(1,COUNTIF('Ingest Template'!E724,"*"&amp;DropdownLists!$I$2:$I$11&amp;"*"),0)),CHAR(10),'Ingest Template'!F724,CHAR(10),'Ingest Template'!G724,CHAR(10),VLOOKUP('Ingest Template'!D724,DropdownLists!C:D,2,FALSE))</f>
        <v>#N/A</v>
      </c>
      <c r="E724" s="22" t="str">
        <f>CONCATENATE('Ingest Template'!H724,CHAR(10),'Ingest Template'!I724,CHAR(10),'Ingest Template'!J724,CHAR(10))</f>
        <v>
</v>
      </c>
      <c r="F724" s="35" t="str">
        <f t="array" ref="F724">INDEX(DropdownLists!$O$2:$O$36,MATCH(1,COUNTIF(E724,"*"&amp;DropdownLists!$N$2:$N$36&amp;"*"),0))</f>
        <v/>
      </c>
      <c r="G724" s="35"/>
      <c r="H724" s="22" t="str">
        <f t="array" ref="H724">INDEX(DropdownLists!$E$2:$E$276,MATCH('Ingest Template'!D724,DropdownLists!$C$2:$C$276,0))</f>
        <v>#N/A</v>
      </c>
      <c r="I724" s="22"/>
      <c r="J724" s="22" t="str">
        <f t="array" ref="J724">iF('Ingest Template'!A724="Standard","Pristine Brand",INDEX(DropdownLists!$B$2:$B$246,MATCH('Ingest Template'!D724,DropdownLists!$C$2:$C$246,0)))</f>
        <v>#N/A</v>
      </c>
      <c r="K724" s="22" t="str">
        <f>iF('Ingest Template'!A724="Standard",'Ingest Template'!K724&amp;CHAR(10)&amp;'Ingest Template'!L724,"Competitive View")</f>
        <v>Competitive View</v>
      </c>
      <c r="L724" s="22" t="s">
        <v>95</v>
      </c>
      <c r="M724" s="45" t="str">
        <f>'Ingest Template'!B724</f>
        <v/>
      </c>
      <c r="N724" s="35"/>
      <c r="O724" s="35"/>
      <c r="P724" s="35"/>
      <c r="Q724" s="35"/>
      <c r="R724" s="35" t="str">
        <f>'Ingest Template'!D724</f>
        <v/>
      </c>
      <c r="S724" s="22" t="s">
        <v>101</v>
      </c>
      <c r="T724" s="35" t="str">
        <f>'Ingest Template'!V724</f>
        <v/>
      </c>
      <c r="U724" s="35" t="str">
        <f>'Ingest Template'!W724</f>
        <v/>
      </c>
      <c r="V724" s="35" t="str">
        <f>LOWER(SUBSTITUTE(SUBSTITUTE(SUBSTITUTE(SUBSTITUTE(SUBSTITUTE('Ingest Template'!X724,"https:",""),"www.",""),"/",""),"?hl=en",""),"instagram.com",""))</f>
        <v/>
      </c>
      <c r="W724" s="74" t="str">
        <f t="array" ref="W724">IF(
'Ingest Template'!Y724="",
SUBSTITUTE(
INDEX(DropdownLists!$F$2:$F$277,MATCH('Ingest Template'!D724,DropdownLists!$C$2:$C$277,0)),
CHAR(10),
"|"&amp;'Ingest Template'!C724&amp;CHAR(10)
)&amp;"|"&amp;'Ingest Template'!C724,
SUBSTITUTE(
INDEX(DropdownLists!$F$2:$F$277,MATCH('Ingest Template'!D724,DropdownLists!$C$2:$C$277,0)),
CHAR(10),
"|"&amp;'Ingest Template'!C724&amp;CHAR(10)
)&amp;"|"&amp;'Ingest Template'!C724&amp;CHAR(10)&amp;'Ingest Template'!Y724
)</f>
        <v>#N/A</v>
      </c>
      <c r="X724" s="74" t="str">
        <f>'Ingest Template'!Z724</f>
        <v/>
      </c>
      <c r="Y724" s="35" t="str">
        <f>SUBSTITUTE(SUBSTITUTE(SUBSTITUTE('Ingest Template'!AA724,"http:",""),"https:",""),"/","")</f>
        <v/>
      </c>
      <c r="Z724" s="35" t="str">
        <f t="array" ref="Z724">IF('Ingest Template'!A724="Standard",(IF(ISBLANK('Ingest Template'!AB724),"", 'Ingest Template'!AB724&amp;"|DAR")),(IF(ISBLANK('Ingest Template'!AB724),"", 'Ingest Template'!AB724&amp;"|TV Ops")))</f>
        <v/>
      </c>
      <c r="AA724" s="35"/>
      <c r="AB724" s="35" t="str">
        <f>'Ingest Template'!R724</f>
        <v/>
      </c>
      <c r="AC724" s="35" t="str">
        <f>'Ingest Template'!T724</f>
        <v/>
      </c>
      <c r="AD724" s="35" t="str">
        <f>'Ingest Template'!S724</f>
        <v/>
      </c>
      <c r="AE724" s="35" t="str">
        <f>'Ingest Template'!U724</f>
        <v/>
      </c>
      <c r="AF724" s="22"/>
      <c r="AG724" s="35" t="str">
        <f t="array" ref="AG724">IF('Ingest Template'!A724="Standard",(CONCATENATE(IF(ISBLANK('Ingest Template'!N724),"", 'Ingest Template'!N724&amp;"|DAR"),CHAR(10), IF(ISBLANK('Ingest Template'!O724),"", 'Ingest Template'!O724&amp;"|DAR"),CHAR(10), IF(ISBLANK('Ingest Template'!P724),"", 'Ingest Template'!P724&amp;"|DAR"))),(CONCATENATE(IF(ISBLANK('Ingest Template'!N724),"", 'Ingest Template'!N724&amp;"|TV Ops"),CHAR(10), IF(ISBLANK('Ingest Template'!O724),"", 'Ingest Template'!O724&amp;"|TV Ops"),CHAR(10), IF(ISBLANK('Ingest Template'!P724),"", 'Ingest Template'!P724&amp;"|TV Ops"))))</f>
        <v>
</v>
      </c>
      <c r="AH724" s="35"/>
      <c r="AI724" s="35"/>
      <c r="AJ724" s="117" t="str">
        <f>if('Ingest Template'!A724="Standard",(IF(OR('Ingest Template'!F724 = "Program Type - Special", 'Ingest Template'!F724 = "Program Type - Live Event"),'Ingest Template'!M724&amp; "|DAR|DAR|"&amp;TEXT('Ingest Template'!C724-3, "yyyy-mm-dd")&amp;"|"&amp;TEXT('Ingest Template'!C724+3, "yyyy-mm-dd"),'Ingest Template'!M724&amp; "|DAR|DAR|2021-01-01")),(IF(OR('Ingest Template'!F724 = "Program Type - Special", 'Ingest Template'!F724 = "Program Type - Live Event"),'Ingest Template'!M724&amp; "|Operations - Core Title|Operations - Core Title|"&amp;TEXT('Ingest Template'!C724-3, "yyyy-mm-dd")&amp;"|"&amp;TEXT('Ingest Template'!C724+3, "yyyy-mm-dd"),'Ingest Template'!M724&amp; "|Operations - Core Title|Operations - Core Title")))</f>
        <v>|Operations - Core Title|Operations - Core Title</v>
      </c>
      <c r="AK724" s="35"/>
      <c r="AL724" s="117" t="str">
        <f>if('Ingest Template'!A724="Standard",(IF(OR('Ingest Template'!F724 = "Program Type - Special", 'Ingest Template'!F724 = "Program Type - Live Event"),'Ingest Template'!Q724&amp;"|"&amp;TEXT('Ingest Template'!C724-3, "yyyy-mm-dd")&amp;"|"&amp;TEXT('Ingest Template'!C724+3, "yyyy-mm-dd"),'Ingest Template'!Q724&amp; "|2021-01-01")),(IF(OR('Ingest Template'!F724 = "Program Type - Special", 'Ingest Template'!F724 = "Program Type - Live Event"),'Ingest Template'!Q724&amp; "|"&amp;TEXT('Ingest Template'!C724-3, "yyyy-mm-dd")&amp;"|"&amp;TEXT('Ingest Template'!C724+3, "yyyy-mm-dd"),'Ingest Template'!Q724)))</f>
        <v/>
      </c>
      <c r="AM724" s="35" t="str">
        <f>'Ingest Template'!AC724</f>
        <v/>
      </c>
    </row>
    <row r="725">
      <c r="A725" s="15"/>
      <c r="B725" s="22" t="str">
        <f>'Ingest Template'!C725&amp;IF('Ingest Template'!A725 = "Standard", " - DAR","")</f>
        <v/>
      </c>
      <c r="C725" s="22" t="s">
        <v>83</v>
      </c>
      <c r="D725" s="22" t="str">
        <f t="array" ref="D725">CONCATENATE(INDEX(DropdownLists!$H$2:$H$11,MATCH(1,COUNTIF('Ingest Template'!E725,"*"&amp;DropdownLists!$I$2:$I$11&amp;"*"),0)),CHAR(10),'Ingest Template'!F725,CHAR(10),'Ingest Template'!G725,CHAR(10),VLOOKUP('Ingest Template'!D725,DropdownLists!C:D,2,FALSE))</f>
        <v>#N/A</v>
      </c>
      <c r="E725" s="22" t="str">
        <f>CONCATENATE('Ingest Template'!H725,CHAR(10),'Ingest Template'!I725,CHAR(10),'Ingest Template'!J725,CHAR(10))</f>
        <v>
</v>
      </c>
      <c r="F725" s="35" t="str">
        <f t="array" ref="F725">INDEX(DropdownLists!$O$2:$O$36,MATCH(1,COUNTIF(E725,"*"&amp;DropdownLists!$N$2:$N$36&amp;"*"),0))</f>
        <v/>
      </c>
      <c r="G725" s="35"/>
      <c r="H725" s="22" t="str">
        <f t="array" ref="H725">INDEX(DropdownLists!$E$2:$E$276,MATCH('Ingest Template'!D725,DropdownLists!$C$2:$C$276,0))</f>
        <v>#N/A</v>
      </c>
      <c r="I725" s="22"/>
      <c r="J725" s="22" t="str">
        <f t="array" ref="J725">iF('Ingest Template'!A725="Standard","Pristine Brand",INDEX(DropdownLists!$B$2:$B$246,MATCH('Ingest Template'!D725,DropdownLists!$C$2:$C$246,0)))</f>
        <v>#N/A</v>
      </c>
      <c r="K725" s="22" t="str">
        <f>iF('Ingest Template'!A725="Standard",'Ingest Template'!K725&amp;CHAR(10)&amp;'Ingest Template'!L725,"Competitive View")</f>
        <v>Competitive View</v>
      </c>
      <c r="L725" s="22" t="s">
        <v>95</v>
      </c>
      <c r="M725" s="45" t="str">
        <f>'Ingest Template'!B725</f>
        <v/>
      </c>
      <c r="N725" s="35"/>
      <c r="O725" s="35"/>
      <c r="P725" s="35"/>
      <c r="Q725" s="35"/>
      <c r="R725" s="35" t="str">
        <f>'Ingest Template'!D725</f>
        <v/>
      </c>
      <c r="S725" s="22" t="s">
        <v>101</v>
      </c>
      <c r="T725" s="35" t="str">
        <f>'Ingest Template'!V725</f>
        <v/>
      </c>
      <c r="U725" s="35" t="str">
        <f>'Ingest Template'!W725</f>
        <v/>
      </c>
      <c r="V725" s="35" t="str">
        <f>LOWER(SUBSTITUTE(SUBSTITUTE(SUBSTITUTE(SUBSTITUTE(SUBSTITUTE('Ingest Template'!X725,"https:",""),"www.",""),"/",""),"?hl=en",""),"instagram.com",""))</f>
        <v/>
      </c>
      <c r="W725" s="74" t="str">
        <f t="array" ref="W725">IF(
'Ingest Template'!Y725="",
SUBSTITUTE(
INDEX(DropdownLists!$F$2:$F$277,MATCH('Ingest Template'!D725,DropdownLists!$C$2:$C$277,0)),
CHAR(10),
"|"&amp;'Ingest Template'!C725&amp;CHAR(10)
)&amp;"|"&amp;'Ingest Template'!C725,
SUBSTITUTE(
INDEX(DropdownLists!$F$2:$F$277,MATCH('Ingest Template'!D725,DropdownLists!$C$2:$C$277,0)),
CHAR(10),
"|"&amp;'Ingest Template'!C725&amp;CHAR(10)
)&amp;"|"&amp;'Ingest Template'!C725&amp;CHAR(10)&amp;'Ingest Template'!Y725
)</f>
        <v>#N/A</v>
      </c>
      <c r="X725" s="74" t="str">
        <f>'Ingest Template'!Z725</f>
        <v/>
      </c>
      <c r="Y725" s="35" t="str">
        <f>SUBSTITUTE(SUBSTITUTE(SUBSTITUTE('Ingest Template'!AA725,"http:",""),"https:",""),"/","")</f>
        <v/>
      </c>
      <c r="Z725" s="35" t="str">
        <f t="array" ref="Z725">IF('Ingest Template'!A725="Standard",(IF(ISBLANK('Ingest Template'!AB725),"", 'Ingest Template'!AB725&amp;"|DAR")),(IF(ISBLANK('Ingest Template'!AB725),"", 'Ingest Template'!AB725&amp;"|TV Ops")))</f>
        <v/>
      </c>
      <c r="AA725" s="35"/>
      <c r="AB725" s="35" t="str">
        <f>'Ingest Template'!R725</f>
        <v/>
      </c>
      <c r="AC725" s="35" t="str">
        <f>'Ingest Template'!T725</f>
        <v/>
      </c>
      <c r="AD725" s="35" t="str">
        <f>'Ingest Template'!S725</f>
        <v/>
      </c>
      <c r="AE725" s="35" t="str">
        <f>'Ingest Template'!U725</f>
        <v/>
      </c>
      <c r="AF725" s="22"/>
      <c r="AG725" s="35" t="str">
        <f t="array" ref="AG725">IF('Ingest Template'!A725="Standard",(CONCATENATE(IF(ISBLANK('Ingest Template'!N725),"", 'Ingest Template'!N725&amp;"|DAR"),CHAR(10), IF(ISBLANK('Ingest Template'!O725),"", 'Ingest Template'!O725&amp;"|DAR"),CHAR(10), IF(ISBLANK('Ingest Template'!P725),"", 'Ingest Template'!P725&amp;"|DAR"))),(CONCATENATE(IF(ISBLANK('Ingest Template'!N725),"", 'Ingest Template'!N725&amp;"|TV Ops"),CHAR(10), IF(ISBLANK('Ingest Template'!O725),"", 'Ingest Template'!O725&amp;"|TV Ops"),CHAR(10), IF(ISBLANK('Ingest Template'!P725),"", 'Ingest Template'!P725&amp;"|TV Ops"))))</f>
        <v>
</v>
      </c>
      <c r="AH725" s="35"/>
      <c r="AI725" s="35"/>
      <c r="AJ725" s="117" t="str">
        <f>if('Ingest Template'!A725="Standard",(IF(OR('Ingest Template'!F725 = "Program Type - Special", 'Ingest Template'!F725 = "Program Type - Live Event"),'Ingest Template'!M725&amp; "|DAR|DAR|"&amp;TEXT('Ingest Template'!C725-3, "yyyy-mm-dd")&amp;"|"&amp;TEXT('Ingest Template'!C725+3, "yyyy-mm-dd"),'Ingest Template'!M725&amp; "|DAR|DAR|2021-01-01")),(IF(OR('Ingest Template'!F725 = "Program Type - Special", 'Ingest Template'!F725 = "Program Type - Live Event"),'Ingest Template'!M725&amp; "|Operations - Core Title|Operations - Core Title|"&amp;TEXT('Ingest Template'!C725-3, "yyyy-mm-dd")&amp;"|"&amp;TEXT('Ingest Template'!C725+3, "yyyy-mm-dd"),'Ingest Template'!M725&amp; "|Operations - Core Title|Operations - Core Title")))</f>
        <v>|Operations - Core Title|Operations - Core Title</v>
      </c>
      <c r="AK725" s="35"/>
      <c r="AL725" s="117" t="str">
        <f>if('Ingest Template'!A725="Standard",(IF(OR('Ingest Template'!F725 = "Program Type - Special", 'Ingest Template'!F725 = "Program Type - Live Event"),'Ingest Template'!Q725&amp;"|"&amp;TEXT('Ingest Template'!C725-3, "yyyy-mm-dd")&amp;"|"&amp;TEXT('Ingest Template'!C725+3, "yyyy-mm-dd"),'Ingest Template'!Q725&amp; "|2021-01-01")),(IF(OR('Ingest Template'!F725 = "Program Type - Special", 'Ingest Template'!F725 = "Program Type - Live Event"),'Ingest Template'!Q725&amp; "|"&amp;TEXT('Ingest Template'!C725-3, "yyyy-mm-dd")&amp;"|"&amp;TEXT('Ingest Template'!C725+3, "yyyy-mm-dd"),'Ingest Template'!Q725)))</f>
        <v/>
      </c>
      <c r="AM725" s="35" t="str">
        <f>'Ingest Template'!AC725</f>
        <v/>
      </c>
    </row>
    <row r="726">
      <c r="A726" s="15"/>
      <c r="B726" s="22" t="str">
        <f>'Ingest Template'!C726&amp;IF('Ingest Template'!A726 = "Standard", " - DAR","")</f>
        <v/>
      </c>
      <c r="C726" s="22" t="s">
        <v>83</v>
      </c>
      <c r="D726" s="22" t="str">
        <f t="array" ref="D726">CONCATENATE(INDEX(DropdownLists!$H$2:$H$11,MATCH(1,COUNTIF('Ingest Template'!E726,"*"&amp;DropdownLists!$I$2:$I$11&amp;"*"),0)),CHAR(10),'Ingest Template'!F726,CHAR(10),'Ingest Template'!G726,CHAR(10),VLOOKUP('Ingest Template'!D726,DropdownLists!C:D,2,FALSE))</f>
        <v>#N/A</v>
      </c>
      <c r="E726" s="22" t="str">
        <f>CONCATENATE('Ingest Template'!H726,CHAR(10),'Ingest Template'!I726,CHAR(10),'Ingest Template'!J726,CHAR(10))</f>
        <v>
</v>
      </c>
      <c r="F726" s="35" t="str">
        <f t="array" ref="F726">INDEX(DropdownLists!$O$2:$O$36,MATCH(1,COUNTIF(E726,"*"&amp;DropdownLists!$N$2:$N$36&amp;"*"),0))</f>
        <v/>
      </c>
      <c r="G726" s="35"/>
      <c r="H726" s="22" t="str">
        <f t="array" ref="H726">INDEX(DropdownLists!$E$2:$E$276,MATCH('Ingest Template'!D726,DropdownLists!$C$2:$C$276,0))</f>
        <v>#N/A</v>
      </c>
      <c r="I726" s="22"/>
      <c r="J726" s="22" t="str">
        <f t="array" ref="J726">iF('Ingest Template'!A726="Standard","Pristine Brand",INDEX(DropdownLists!$B$2:$B$246,MATCH('Ingest Template'!D726,DropdownLists!$C$2:$C$246,0)))</f>
        <v>#N/A</v>
      </c>
      <c r="K726" s="22" t="str">
        <f>iF('Ingest Template'!A726="Standard",'Ingest Template'!K726&amp;CHAR(10)&amp;'Ingest Template'!L726,"Competitive View")</f>
        <v>Competitive View</v>
      </c>
      <c r="L726" s="22" t="s">
        <v>95</v>
      </c>
      <c r="M726" s="45" t="str">
        <f>'Ingest Template'!B726</f>
        <v/>
      </c>
      <c r="N726" s="35"/>
      <c r="O726" s="35"/>
      <c r="P726" s="35"/>
      <c r="Q726" s="35"/>
      <c r="R726" s="35" t="str">
        <f>'Ingest Template'!D726</f>
        <v/>
      </c>
      <c r="S726" s="22" t="s">
        <v>101</v>
      </c>
      <c r="T726" s="35" t="str">
        <f>'Ingest Template'!V726</f>
        <v/>
      </c>
      <c r="U726" s="35" t="str">
        <f>'Ingest Template'!W726</f>
        <v/>
      </c>
      <c r="V726" s="35" t="str">
        <f>LOWER(SUBSTITUTE(SUBSTITUTE(SUBSTITUTE(SUBSTITUTE(SUBSTITUTE('Ingest Template'!X726,"https:",""),"www.",""),"/",""),"?hl=en",""),"instagram.com",""))</f>
        <v/>
      </c>
      <c r="W726" s="74" t="str">
        <f t="array" ref="W726">IF(
'Ingest Template'!Y726="",
SUBSTITUTE(
INDEX(DropdownLists!$F$2:$F$277,MATCH('Ingest Template'!D726,DropdownLists!$C$2:$C$277,0)),
CHAR(10),
"|"&amp;'Ingest Template'!C726&amp;CHAR(10)
)&amp;"|"&amp;'Ingest Template'!C726,
SUBSTITUTE(
INDEX(DropdownLists!$F$2:$F$277,MATCH('Ingest Template'!D726,DropdownLists!$C$2:$C$277,0)),
CHAR(10),
"|"&amp;'Ingest Template'!C726&amp;CHAR(10)
)&amp;"|"&amp;'Ingest Template'!C726&amp;CHAR(10)&amp;'Ingest Template'!Y726
)</f>
        <v>#N/A</v>
      </c>
      <c r="X726" s="74" t="str">
        <f>'Ingest Template'!Z726</f>
        <v/>
      </c>
      <c r="Y726" s="35" t="str">
        <f>SUBSTITUTE(SUBSTITUTE(SUBSTITUTE('Ingest Template'!AA726,"http:",""),"https:",""),"/","")</f>
        <v/>
      </c>
      <c r="Z726" s="35" t="str">
        <f t="array" ref="Z726">IF('Ingest Template'!A726="Standard",(IF(ISBLANK('Ingest Template'!AB726),"", 'Ingest Template'!AB726&amp;"|DAR")),(IF(ISBLANK('Ingest Template'!AB726),"", 'Ingest Template'!AB726&amp;"|TV Ops")))</f>
        <v/>
      </c>
      <c r="AA726" s="35"/>
      <c r="AB726" s="35" t="str">
        <f>'Ingest Template'!R726</f>
        <v/>
      </c>
      <c r="AC726" s="35" t="str">
        <f>'Ingest Template'!T726</f>
        <v/>
      </c>
      <c r="AD726" s="35" t="str">
        <f>'Ingest Template'!S726</f>
        <v/>
      </c>
      <c r="AE726" s="35" t="str">
        <f>'Ingest Template'!U726</f>
        <v/>
      </c>
      <c r="AF726" s="22"/>
      <c r="AG726" s="35" t="str">
        <f t="array" ref="AG726">IF('Ingest Template'!A726="Standard",(CONCATENATE(IF(ISBLANK('Ingest Template'!N726),"", 'Ingest Template'!N726&amp;"|DAR"),CHAR(10), IF(ISBLANK('Ingest Template'!O726),"", 'Ingest Template'!O726&amp;"|DAR"),CHAR(10), IF(ISBLANK('Ingest Template'!P726),"", 'Ingest Template'!P726&amp;"|DAR"))),(CONCATENATE(IF(ISBLANK('Ingest Template'!N726),"", 'Ingest Template'!N726&amp;"|TV Ops"),CHAR(10), IF(ISBLANK('Ingest Template'!O726),"", 'Ingest Template'!O726&amp;"|TV Ops"),CHAR(10), IF(ISBLANK('Ingest Template'!P726),"", 'Ingest Template'!P726&amp;"|TV Ops"))))</f>
        <v>
</v>
      </c>
      <c r="AH726" s="35"/>
      <c r="AI726" s="35"/>
      <c r="AJ726" s="117" t="str">
        <f>if('Ingest Template'!A726="Standard",(IF(OR('Ingest Template'!F726 = "Program Type - Special", 'Ingest Template'!F726 = "Program Type - Live Event"),'Ingest Template'!M726&amp; "|DAR|DAR|"&amp;TEXT('Ingest Template'!C726-3, "yyyy-mm-dd")&amp;"|"&amp;TEXT('Ingest Template'!C726+3, "yyyy-mm-dd"),'Ingest Template'!M726&amp; "|DAR|DAR|2021-01-01")),(IF(OR('Ingest Template'!F726 = "Program Type - Special", 'Ingest Template'!F726 = "Program Type - Live Event"),'Ingest Template'!M726&amp; "|Operations - Core Title|Operations - Core Title|"&amp;TEXT('Ingest Template'!C726-3, "yyyy-mm-dd")&amp;"|"&amp;TEXT('Ingest Template'!C726+3, "yyyy-mm-dd"),'Ingest Template'!M726&amp; "|Operations - Core Title|Operations - Core Title")))</f>
        <v>|Operations - Core Title|Operations - Core Title</v>
      </c>
      <c r="AK726" s="35"/>
      <c r="AL726" s="117" t="str">
        <f>if('Ingest Template'!A726="Standard",(IF(OR('Ingest Template'!F726 = "Program Type - Special", 'Ingest Template'!F726 = "Program Type - Live Event"),'Ingest Template'!Q726&amp;"|"&amp;TEXT('Ingest Template'!C726-3, "yyyy-mm-dd")&amp;"|"&amp;TEXT('Ingest Template'!C726+3, "yyyy-mm-dd"),'Ingest Template'!Q726&amp; "|2021-01-01")),(IF(OR('Ingest Template'!F726 = "Program Type - Special", 'Ingest Template'!F726 = "Program Type - Live Event"),'Ingest Template'!Q726&amp; "|"&amp;TEXT('Ingest Template'!C726-3, "yyyy-mm-dd")&amp;"|"&amp;TEXT('Ingest Template'!C726+3, "yyyy-mm-dd"),'Ingest Template'!Q726)))</f>
        <v/>
      </c>
      <c r="AM726" s="35" t="str">
        <f>'Ingest Template'!AC726</f>
        <v/>
      </c>
    </row>
    <row r="727">
      <c r="A727" s="15"/>
      <c r="B727" s="22" t="str">
        <f>'Ingest Template'!C727&amp;IF('Ingest Template'!A727 = "Standard", " - DAR","")</f>
        <v/>
      </c>
      <c r="C727" s="22" t="s">
        <v>83</v>
      </c>
      <c r="D727" s="22" t="str">
        <f t="array" ref="D727">CONCATENATE(INDEX(DropdownLists!$H$2:$H$11,MATCH(1,COUNTIF('Ingest Template'!E727,"*"&amp;DropdownLists!$I$2:$I$11&amp;"*"),0)),CHAR(10),'Ingest Template'!F727,CHAR(10),'Ingest Template'!G727,CHAR(10),VLOOKUP('Ingest Template'!D727,DropdownLists!C:D,2,FALSE))</f>
        <v>#N/A</v>
      </c>
      <c r="E727" s="22" t="str">
        <f>CONCATENATE('Ingest Template'!H727,CHAR(10),'Ingest Template'!I727,CHAR(10),'Ingest Template'!J727,CHAR(10))</f>
        <v>
</v>
      </c>
      <c r="F727" s="35" t="str">
        <f t="array" ref="F727">INDEX(DropdownLists!$O$2:$O$36,MATCH(1,COUNTIF(E727,"*"&amp;DropdownLists!$N$2:$N$36&amp;"*"),0))</f>
        <v/>
      </c>
      <c r="G727" s="35"/>
      <c r="H727" s="22" t="str">
        <f t="array" ref="H727">INDEX(DropdownLists!$E$2:$E$276,MATCH('Ingest Template'!D727,DropdownLists!$C$2:$C$276,0))</f>
        <v>#N/A</v>
      </c>
      <c r="I727" s="22"/>
      <c r="J727" s="22" t="str">
        <f t="array" ref="J727">iF('Ingest Template'!A727="Standard","Pristine Brand",INDEX(DropdownLists!$B$2:$B$246,MATCH('Ingest Template'!D727,DropdownLists!$C$2:$C$246,0)))</f>
        <v>#N/A</v>
      </c>
      <c r="K727" s="22" t="str">
        <f>iF('Ingest Template'!A727="Standard",'Ingest Template'!K727&amp;CHAR(10)&amp;'Ingest Template'!L727,"Competitive View")</f>
        <v>Competitive View</v>
      </c>
      <c r="L727" s="22" t="s">
        <v>95</v>
      </c>
      <c r="M727" s="45" t="str">
        <f>'Ingest Template'!B727</f>
        <v/>
      </c>
      <c r="N727" s="35"/>
      <c r="O727" s="35"/>
      <c r="P727" s="35"/>
      <c r="Q727" s="35"/>
      <c r="R727" s="35" t="str">
        <f>'Ingest Template'!D727</f>
        <v/>
      </c>
      <c r="S727" s="22" t="s">
        <v>101</v>
      </c>
      <c r="T727" s="35" t="str">
        <f>'Ingest Template'!V727</f>
        <v/>
      </c>
      <c r="U727" s="35" t="str">
        <f>'Ingest Template'!W727</f>
        <v/>
      </c>
      <c r="V727" s="35" t="str">
        <f>LOWER(SUBSTITUTE(SUBSTITUTE(SUBSTITUTE(SUBSTITUTE(SUBSTITUTE('Ingest Template'!X727,"https:",""),"www.",""),"/",""),"?hl=en",""),"instagram.com",""))</f>
        <v/>
      </c>
      <c r="W727" s="74" t="str">
        <f t="array" ref="W727">IF(
'Ingest Template'!Y727="",
SUBSTITUTE(
INDEX(DropdownLists!$F$2:$F$277,MATCH('Ingest Template'!D727,DropdownLists!$C$2:$C$277,0)),
CHAR(10),
"|"&amp;'Ingest Template'!C727&amp;CHAR(10)
)&amp;"|"&amp;'Ingest Template'!C727,
SUBSTITUTE(
INDEX(DropdownLists!$F$2:$F$277,MATCH('Ingest Template'!D727,DropdownLists!$C$2:$C$277,0)),
CHAR(10),
"|"&amp;'Ingest Template'!C727&amp;CHAR(10)
)&amp;"|"&amp;'Ingest Template'!C727&amp;CHAR(10)&amp;'Ingest Template'!Y727
)</f>
        <v>#N/A</v>
      </c>
      <c r="X727" s="74" t="str">
        <f>'Ingest Template'!Z727</f>
        <v/>
      </c>
      <c r="Y727" s="35" t="str">
        <f>SUBSTITUTE(SUBSTITUTE(SUBSTITUTE('Ingest Template'!AA727,"http:",""),"https:",""),"/","")</f>
        <v/>
      </c>
      <c r="Z727" s="35" t="str">
        <f t="array" ref="Z727">IF('Ingest Template'!A727="Standard",(IF(ISBLANK('Ingest Template'!AB727),"", 'Ingest Template'!AB727&amp;"|DAR")),(IF(ISBLANK('Ingest Template'!AB727),"", 'Ingest Template'!AB727&amp;"|TV Ops")))</f>
        <v/>
      </c>
      <c r="AA727" s="35"/>
      <c r="AB727" s="35" t="str">
        <f>'Ingest Template'!R727</f>
        <v/>
      </c>
      <c r="AC727" s="35" t="str">
        <f>'Ingest Template'!T727</f>
        <v/>
      </c>
      <c r="AD727" s="35" t="str">
        <f>'Ingest Template'!S727</f>
        <v/>
      </c>
      <c r="AE727" s="35" t="str">
        <f>'Ingest Template'!U727</f>
        <v/>
      </c>
      <c r="AF727" s="22"/>
      <c r="AG727" s="35" t="str">
        <f t="array" ref="AG727">IF('Ingest Template'!A727="Standard",(CONCATENATE(IF(ISBLANK('Ingest Template'!N727),"", 'Ingest Template'!N727&amp;"|DAR"),CHAR(10), IF(ISBLANK('Ingest Template'!O727),"", 'Ingest Template'!O727&amp;"|DAR"),CHAR(10), IF(ISBLANK('Ingest Template'!P727),"", 'Ingest Template'!P727&amp;"|DAR"))),(CONCATENATE(IF(ISBLANK('Ingest Template'!N727),"", 'Ingest Template'!N727&amp;"|TV Ops"),CHAR(10), IF(ISBLANK('Ingest Template'!O727),"", 'Ingest Template'!O727&amp;"|TV Ops"),CHAR(10), IF(ISBLANK('Ingest Template'!P727),"", 'Ingest Template'!P727&amp;"|TV Ops"))))</f>
        <v>
</v>
      </c>
      <c r="AH727" s="35"/>
      <c r="AI727" s="35"/>
      <c r="AJ727" s="117" t="str">
        <f>if('Ingest Template'!A727="Standard",(IF(OR('Ingest Template'!F727 = "Program Type - Special", 'Ingest Template'!F727 = "Program Type - Live Event"),'Ingest Template'!M727&amp; "|DAR|DAR|"&amp;TEXT('Ingest Template'!C727-3, "yyyy-mm-dd")&amp;"|"&amp;TEXT('Ingest Template'!C727+3, "yyyy-mm-dd"),'Ingest Template'!M727&amp; "|DAR|DAR|2021-01-01")),(IF(OR('Ingest Template'!F727 = "Program Type - Special", 'Ingest Template'!F727 = "Program Type - Live Event"),'Ingest Template'!M727&amp; "|Operations - Core Title|Operations - Core Title|"&amp;TEXT('Ingest Template'!C727-3, "yyyy-mm-dd")&amp;"|"&amp;TEXT('Ingest Template'!C727+3, "yyyy-mm-dd"),'Ingest Template'!M727&amp; "|Operations - Core Title|Operations - Core Title")))</f>
        <v>|Operations - Core Title|Operations - Core Title</v>
      </c>
      <c r="AK727" s="35"/>
      <c r="AL727" s="117" t="str">
        <f>if('Ingest Template'!A727="Standard",(IF(OR('Ingest Template'!F727 = "Program Type - Special", 'Ingest Template'!F727 = "Program Type - Live Event"),'Ingest Template'!Q727&amp;"|"&amp;TEXT('Ingest Template'!C727-3, "yyyy-mm-dd")&amp;"|"&amp;TEXT('Ingest Template'!C727+3, "yyyy-mm-dd"),'Ingest Template'!Q727&amp; "|2021-01-01")),(IF(OR('Ingest Template'!F727 = "Program Type - Special", 'Ingest Template'!F727 = "Program Type - Live Event"),'Ingest Template'!Q727&amp; "|"&amp;TEXT('Ingest Template'!C727-3, "yyyy-mm-dd")&amp;"|"&amp;TEXT('Ingest Template'!C727+3, "yyyy-mm-dd"),'Ingest Template'!Q727)))</f>
        <v/>
      </c>
      <c r="AM727" s="35" t="str">
        <f>'Ingest Template'!AC727</f>
        <v/>
      </c>
    </row>
    <row r="728">
      <c r="A728" s="15"/>
      <c r="B728" s="22" t="str">
        <f>'Ingest Template'!C728&amp;IF('Ingest Template'!A728 = "Standard", " - DAR","")</f>
        <v/>
      </c>
      <c r="C728" s="22" t="s">
        <v>83</v>
      </c>
      <c r="D728" s="22" t="str">
        <f t="array" ref="D728">CONCATENATE(INDEX(DropdownLists!$H$2:$H$11,MATCH(1,COUNTIF('Ingest Template'!E728,"*"&amp;DropdownLists!$I$2:$I$11&amp;"*"),0)),CHAR(10),'Ingest Template'!F728,CHAR(10),'Ingest Template'!G728,CHAR(10),VLOOKUP('Ingest Template'!D728,DropdownLists!C:D,2,FALSE))</f>
        <v>#N/A</v>
      </c>
      <c r="E728" s="22" t="str">
        <f>CONCATENATE('Ingest Template'!H728,CHAR(10),'Ingest Template'!I728,CHAR(10),'Ingest Template'!J728,CHAR(10))</f>
        <v>
</v>
      </c>
      <c r="F728" s="35" t="str">
        <f t="array" ref="F728">INDEX(DropdownLists!$O$2:$O$36,MATCH(1,COUNTIF(E728,"*"&amp;DropdownLists!$N$2:$N$36&amp;"*"),0))</f>
        <v/>
      </c>
      <c r="G728" s="35"/>
      <c r="H728" s="22" t="str">
        <f t="array" ref="H728">INDEX(DropdownLists!$E$2:$E$276,MATCH('Ingest Template'!D728,DropdownLists!$C$2:$C$276,0))</f>
        <v>#N/A</v>
      </c>
      <c r="I728" s="22"/>
      <c r="J728" s="22" t="str">
        <f t="array" ref="J728">iF('Ingest Template'!A728="Standard","Pristine Brand",INDEX(DropdownLists!$B$2:$B$246,MATCH('Ingest Template'!D728,DropdownLists!$C$2:$C$246,0)))</f>
        <v>#N/A</v>
      </c>
      <c r="K728" s="22" t="str">
        <f>iF('Ingest Template'!A728="Standard",'Ingest Template'!K728&amp;CHAR(10)&amp;'Ingest Template'!L728,"Competitive View")</f>
        <v>Competitive View</v>
      </c>
      <c r="L728" s="22" t="s">
        <v>95</v>
      </c>
      <c r="M728" s="45" t="str">
        <f>'Ingest Template'!B728</f>
        <v/>
      </c>
      <c r="N728" s="35"/>
      <c r="O728" s="35"/>
      <c r="P728" s="35"/>
      <c r="Q728" s="35"/>
      <c r="R728" s="35" t="str">
        <f>'Ingest Template'!D728</f>
        <v/>
      </c>
      <c r="S728" s="22" t="s">
        <v>101</v>
      </c>
      <c r="T728" s="35" t="str">
        <f>'Ingest Template'!V728</f>
        <v/>
      </c>
      <c r="U728" s="35" t="str">
        <f>'Ingest Template'!W728</f>
        <v/>
      </c>
      <c r="V728" s="35" t="str">
        <f>LOWER(SUBSTITUTE(SUBSTITUTE(SUBSTITUTE(SUBSTITUTE(SUBSTITUTE('Ingest Template'!X728,"https:",""),"www.",""),"/",""),"?hl=en",""),"instagram.com",""))</f>
        <v/>
      </c>
      <c r="W728" s="74" t="str">
        <f t="array" ref="W728">IF(
'Ingest Template'!Y728="",
SUBSTITUTE(
INDEX(DropdownLists!$F$2:$F$277,MATCH('Ingest Template'!D728,DropdownLists!$C$2:$C$277,0)),
CHAR(10),
"|"&amp;'Ingest Template'!C728&amp;CHAR(10)
)&amp;"|"&amp;'Ingest Template'!C728,
SUBSTITUTE(
INDEX(DropdownLists!$F$2:$F$277,MATCH('Ingest Template'!D728,DropdownLists!$C$2:$C$277,0)),
CHAR(10),
"|"&amp;'Ingest Template'!C728&amp;CHAR(10)
)&amp;"|"&amp;'Ingest Template'!C728&amp;CHAR(10)&amp;'Ingest Template'!Y728
)</f>
        <v>#N/A</v>
      </c>
      <c r="X728" s="74" t="str">
        <f>'Ingest Template'!Z728</f>
        <v/>
      </c>
      <c r="Y728" s="35" t="str">
        <f>SUBSTITUTE(SUBSTITUTE(SUBSTITUTE('Ingest Template'!AA728,"http:",""),"https:",""),"/","")</f>
        <v/>
      </c>
      <c r="Z728" s="35" t="str">
        <f t="array" ref="Z728">IF('Ingest Template'!A728="Standard",(IF(ISBLANK('Ingest Template'!AB728),"", 'Ingest Template'!AB728&amp;"|DAR")),(IF(ISBLANK('Ingest Template'!AB728),"", 'Ingest Template'!AB728&amp;"|TV Ops")))</f>
        <v/>
      </c>
      <c r="AA728" s="35"/>
      <c r="AB728" s="35" t="str">
        <f>'Ingest Template'!R728</f>
        <v/>
      </c>
      <c r="AC728" s="35" t="str">
        <f>'Ingest Template'!T728</f>
        <v/>
      </c>
      <c r="AD728" s="35" t="str">
        <f>'Ingest Template'!S728</f>
        <v/>
      </c>
      <c r="AE728" s="35" t="str">
        <f>'Ingest Template'!U728</f>
        <v/>
      </c>
      <c r="AF728" s="22"/>
      <c r="AG728" s="35" t="str">
        <f t="array" ref="AG728">IF('Ingest Template'!A728="Standard",(CONCATENATE(IF(ISBLANK('Ingest Template'!N728),"", 'Ingest Template'!N728&amp;"|DAR"),CHAR(10), IF(ISBLANK('Ingest Template'!O728),"", 'Ingest Template'!O728&amp;"|DAR"),CHAR(10), IF(ISBLANK('Ingest Template'!P728),"", 'Ingest Template'!P728&amp;"|DAR"))),(CONCATENATE(IF(ISBLANK('Ingest Template'!N728),"", 'Ingest Template'!N728&amp;"|TV Ops"),CHAR(10), IF(ISBLANK('Ingest Template'!O728),"", 'Ingest Template'!O728&amp;"|TV Ops"),CHAR(10), IF(ISBLANK('Ingest Template'!P728),"", 'Ingest Template'!P728&amp;"|TV Ops"))))</f>
        <v>
</v>
      </c>
      <c r="AH728" s="35"/>
      <c r="AI728" s="35"/>
      <c r="AJ728" s="117" t="str">
        <f>if('Ingest Template'!A728="Standard",(IF(OR('Ingest Template'!F728 = "Program Type - Special", 'Ingest Template'!F728 = "Program Type - Live Event"),'Ingest Template'!M728&amp; "|DAR|DAR|"&amp;TEXT('Ingest Template'!C728-3, "yyyy-mm-dd")&amp;"|"&amp;TEXT('Ingest Template'!C728+3, "yyyy-mm-dd"),'Ingest Template'!M728&amp; "|DAR|DAR|2021-01-01")),(IF(OR('Ingest Template'!F728 = "Program Type - Special", 'Ingest Template'!F728 = "Program Type - Live Event"),'Ingest Template'!M728&amp; "|Operations - Core Title|Operations - Core Title|"&amp;TEXT('Ingest Template'!C728-3, "yyyy-mm-dd")&amp;"|"&amp;TEXT('Ingest Template'!C728+3, "yyyy-mm-dd"),'Ingest Template'!M728&amp; "|Operations - Core Title|Operations - Core Title")))</f>
        <v>|Operations - Core Title|Operations - Core Title</v>
      </c>
      <c r="AK728" s="35"/>
      <c r="AL728" s="117" t="str">
        <f>if('Ingest Template'!A728="Standard",(IF(OR('Ingest Template'!F728 = "Program Type - Special", 'Ingest Template'!F728 = "Program Type - Live Event"),'Ingest Template'!Q728&amp;"|"&amp;TEXT('Ingest Template'!C728-3, "yyyy-mm-dd")&amp;"|"&amp;TEXT('Ingest Template'!C728+3, "yyyy-mm-dd"),'Ingest Template'!Q728&amp; "|2021-01-01")),(IF(OR('Ingest Template'!F728 = "Program Type - Special", 'Ingest Template'!F728 = "Program Type - Live Event"),'Ingest Template'!Q728&amp; "|"&amp;TEXT('Ingest Template'!C728-3, "yyyy-mm-dd")&amp;"|"&amp;TEXT('Ingest Template'!C728+3, "yyyy-mm-dd"),'Ingest Template'!Q728)))</f>
        <v/>
      </c>
      <c r="AM728" s="35" t="str">
        <f>'Ingest Template'!AC728</f>
        <v/>
      </c>
    </row>
    <row r="729">
      <c r="A729" s="15"/>
      <c r="B729" s="22" t="str">
        <f>'Ingest Template'!C729&amp;IF('Ingest Template'!A729 = "Standard", " - DAR","")</f>
        <v/>
      </c>
      <c r="C729" s="22" t="s">
        <v>83</v>
      </c>
      <c r="D729" s="22" t="str">
        <f t="array" ref="D729">CONCATENATE(INDEX(DropdownLists!$H$2:$H$11,MATCH(1,COUNTIF('Ingest Template'!E729,"*"&amp;DropdownLists!$I$2:$I$11&amp;"*"),0)),CHAR(10),'Ingest Template'!F729,CHAR(10),'Ingest Template'!G729,CHAR(10),VLOOKUP('Ingest Template'!D729,DropdownLists!C:D,2,FALSE))</f>
        <v>#N/A</v>
      </c>
      <c r="E729" s="22" t="str">
        <f>CONCATENATE('Ingest Template'!H729,CHAR(10),'Ingest Template'!I729,CHAR(10),'Ingest Template'!J729,CHAR(10))</f>
        <v>
</v>
      </c>
      <c r="F729" s="35" t="str">
        <f t="array" ref="F729">INDEX(DropdownLists!$O$2:$O$36,MATCH(1,COUNTIF(E729,"*"&amp;DropdownLists!$N$2:$N$36&amp;"*"),0))</f>
        <v/>
      </c>
      <c r="G729" s="35"/>
      <c r="H729" s="22" t="str">
        <f t="array" ref="H729">INDEX(DropdownLists!$E$2:$E$276,MATCH('Ingest Template'!D729,DropdownLists!$C$2:$C$276,0))</f>
        <v>#N/A</v>
      </c>
      <c r="I729" s="22"/>
      <c r="J729" s="22" t="str">
        <f t="array" ref="J729">iF('Ingest Template'!A729="Standard","Pristine Brand",INDEX(DropdownLists!$B$2:$B$246,MATCH('Ingest Template'!D729,DropdownLists!$C$2:$C$246,0)))</f>
        <v>#N/A</v>
      </c>
      <c r="K729" s="22" t="str">
        <f>iF('Ingest Template'!A729="Standard",'Ingest Template'!K729&amp;CHAR(10)&amp;'Ingest Template'!L729,"Competitive View")</f>
        <v>Competitive View</v>
      </c>
      <c r="L729" s="22" t="s">
        <v>95</v>
      </c>
      <c r="M729" s="45" t="str">
        <f>'Ingest Template'!B729</f>
        <v/>
      </c>
      <c r="N729" s="35"/>
      <c r="O729" s="35"/>
      <c r="P729" s="35"/>
      <c r="Q729" s="35"/>
      <c r="R729" s="35" t="str">
        <f>'Ingest Template'!D729</f>
        <v/>
      </c>
      <c r="S729" s="22" t="s">
        <v>101</v>
      </c>
      <c r="T729" s="35" t="str">
        <f>'Ingest Template'!V729</f>
        <v/>
      </c>
      <c r="U729" s="35" t="str">
        <f>'Ingest Template'!W729</f>
        <v/>
      </c>
      <c r="V729" s="35" t="str">
        <f>LOWER(SUBSTITUTE(SUBSTITUTE(SUBSTITUTE(SUBSTITUTE(SUBSTITUTE('Ingest Template'!X729,"https:",""),"www.",""),"/",""),"?hl=en",""),"instagram.com",""))</f>
        <v/>
      </c>
      <c r="W729" s="74" t="str">
        <f t="array" ref="W729">IF(
'Ingest Template'!Y729="",
SUBSTITUTE(
INDEX(DropdownLists!$F$2:$F$277,MATCH('Ingest Template'!D729,DropdownLists!$C$2:$C$277,0)),
CHAR(10),
"|"&amp;'Ingest Template'!C729&amp;CHAR(10)
)&amp;"|"&amp;'Ingest Template'!C729,
SUBSTITUTE(
INDEX(DropdownLists!$F$2:$F$277,MATCH('Ingest Template'!D729,DropdownLists!$C$2:$C$277,0)),
CHAR(10),
"|"&amp;'Ingest Template'!C729&amp;CHAR(10)
)&amp;"|"&amp;'Ingest Template'!C729&amp;CHAR(10)&amp;'Ingest Template'!Y729
)</f>
        <v>#N/A</v>
      </c>
      <c r="X729" s="74" t="str">
        <f>'Ingest Template'!Z729</f>
        <v/>
      </c>
      <c r="Y729" s="35" t="str">
        <f>SUBSTITUTE(SUBSTITUTE(SUBSTITUTE('Ingest Template'!AA729,"http:",""),"https:",""),"/","")</f>
        <v/>
      </c>
      <c r="Z729" s="35" t="str">
        <f t="array" ref="Z729">IF('Ingest Template'!A729="Standard",(IF(ISBLANK('Ingest Template'!AB729),"", 'Ingest Template'!AB729&amp;"|DAR")),(IF(ISBLANK('Ingest Template'!AB729),"", 'Ingest Template'!AB729&amp;"|TV Ops")))</f>
        <v/>
      </c>
      <c r="AA729" s="35"/>
      <c r="AB729" s="35" t="str">
        <f>'Ingest Template'!R729</f>
        <v/>
      </c>
      <c r="AC729" s="35" t="str">
        <f>'Ingest Template'!T729</f>
        <v/>
      </c>
      <c r="AD729" s="35" t="str">
        <f>'Ingest Template'!S729</f>
        <v/>
      </c>
      <c r="AE729" s="35" t="str">
        <f>'Ingest Template'!U729</f>
        <v/>
      </c>
      <c r="AF729" s="22"/>
      <c r="AG729" s="35" t="str">
        <f t="array" ref="AG729">IF('Ingest Template'!A729="Standard",(CONCATENATE(IF(ISBLANK('Ingest Template'!N729),"", 'Ingest Template'!N729&amp;"|DAR"),CHAR(10), IF(ISBLANK('Ingest Template'!O729),"", 'Ingest Template'!O729&amp;"|DAR"),CHAR(10), IF(ISBLANK('Ingest Template'!P729),"", 'Ingest Template'!P729&amp;"|DAR"))),(CONCATENATE(IF(ISBLANK('Ingest Template'!N729),"", 'Ingest Template'!N729&amp;"|TV Ops"),CHAR(10), IF(ISBLANK('Ingest Template'!O729),"", 'Ingest Template'!O729&amp;"|TV Ops"),CHAR(10), IF(ISBLANK('Ingest Template'!P729),"", 'Ingest Template'!P729&amp;"|TV Ops"))))</f>
        <v>
</v>
      </c>
      <c r="AH729" s="35"/>
      <c r="AI729" s="35"/>
      <c r="AJ729" s="117" t="str">
        <f>if('Ingest Template'!A729="Standard",(IF(OR('Ingest Template'!F729 = "Program Type - Special", 'Ingest Template'!F729 = "Program Type - Live Event"),'Ingest Template'!M729&amp; "|DAR|DAR|"&amp;TEXT('Ingest Template'!C729-3, "yyyy-mm-dd")&amp;"|"&amp;TEXT('Ingest Template'!C729+3, "yyyy-mm-dd"),'Ingest Template'!M729&amp; "|DAR|DAR|2021-01-01")),(IF(OR('Ingest Template'!F729 = "Program Type - Special", 'Ingest Template'!F729 = "Program Type - Live Event"),'Ingest Template'!M729&amp; "|Operations - Core Title|Operations - Core Title|"&amp;TEXT('Ingest Template'!C729-3, "yyyy-mm-dd")&amp;"|"&amp;TEXT('Ingest Template'!C729+3, "yyyy-mm-dd"),'Ingest Template'!M729&amp; "|Operations - Core Title|Operations - Core Title")))</f>
        <v>|Operations - Core Title|Operations - Core Title</v>
      </c>
      <c r="AK729" s="35"/>
      <c r="AL729" s="117" t="str">
        <f>if('Ingest Template'!A729="Standard",(IF(OR('Ingest Template'!F729 = "Program Type - Special", 'Ingest Template'!F729 = "Program Type - Live Event"),'Ingest Template'!Q729&amp;"|"&amp;TEXT('Ingest Template'!C729-3, "yyyy-mm-dd")&amp;"|"&amp;TEXT('Ingest Template'!C729+3, "yyyy-mm-dd"),'Ingest Template'!Q729&amp; "|2021-01-01")),(IF(OR('Ingest Template'!F729 = "Program Type - Special", 'Ingest Template'!F729 = "Program Type - Live Event"),'Ingest Template'!Q729&amp; "|"&amp;TEXT('Ingest Template'!C729-3, "yyyy-mm-dd")&amp;"|"&amp;TEXT('Ingest Template'!C729+3, "yyyy-mm-dd"),'Ingest Template'!Q729)))</f>
        <v/>
      </c>
      <c r="AM729" s="35" t="str">
        <f>'Ingest Template'!AC729</f>
        <v/>
      </c>
    </row>
    <row r="730">
      <c r="A730" s="15"/>
      <c r="B730" s="22" t="str">
        <f>'Ingest Template'!C730&amp;IF('Ingest Template'!A730 = "Standard", " - DAR","")</f>
        <v/>
      </c>
      <c r="C730" s="22" t="s">
        <v>83</v>
      </c>
      <c r="D730" s="22" t="str">
        <f t="array" ref="D730">CONCATENATE(INDEX(DropdownLists!$H$2:$H$11,MATCH(1,COUNTIF('Ingest Template'!E730,"*"&amp;DropdownLists!$I$2:$I$11&amp;"*"),0)),CHAR(10),'Ingest Template'!F730,CHAR(10),'Ingest Template'!G730,CHAR(10),VLOOKUP('Ingest Template'!D730,DropdownLists!C:D,2,FALSE))</f>
        <v>#N/A</v>
      </c>
      <c r="E730" s="22" t="str">
        <f>CONCATENATE('Ingest Template'!H730,CHAR(10),'Ingest Template'!I730,CHAR(10),'Ingest Template'!J730,CHAR(10))</f>
        <v>
</v>
      </c>
      <c r="F730" s="35" t="str">
        <f t="array" ref="F730">INDEX(DropdownLists!$O$2:$O$36,MATCH(1,COUNTIF(E730,"*"&amp;DropdownLists!$N$2:$N$36&amp;"*"),0))</f>
        <v/>
      </c>
      <c r="G730" s="35"/>
      <c r="H730" s="22" t="str">
        <f t="array" ref="H730">INDEX(DropdownLists!$E$2:$E$276,MATCH('Ingest Template'!D730,DropdownLists!$C$2:$C$276,0))</f>
        <v>#N/A</v>
      </c>
      <c r="I730" s="22"/>
      <c r="J730" s="22" t="str">
        <f t="array" ref="J730">iF('Ingest Template'!A730="Standard","Pristine Brand",INDEX(DropdownLists!$B$2:$B$246,MATCH('Ingest Template'!D730,DropdownLists!$C$2:$C$246,0)))</f>
        <v>#N/A</v>
      </c>
      <c r="K730" s="22" t="str">
        <f>iF('Ingest Template'!A730="Standard",'Ingest Template'!K730&amp;CHAR(10)&amp;'Ingest Template'!L730,"Competitive View")</f>
        <v>Competitive View</v>
      </c>
      <c r="L730" s="22" t="s">
        <v>95</v>
      </c>
      <c r="M730" s="45" t="str">
        <f>'Ingest Template'!B730</f>
        <v/>
      </c>
      <c r="N730" s="35"/>
      <c r="O730" s="35"/>
      <c r="P730" s="35"/>
      <c r="Q730" s="35"/>
      <c r="R730" s="35" t="str">
        <f>'Ingest Template'!D730</f>
        <v/>
      </c>
      <c r="S730" s="22" t="s">
        <v>101</v>
      </c>
      <c r="T730" s="35" t="str">
        <f>'Ingest Template'!V730</f>
        <v/>
      </c>
      <c r="U730" s="35" t="str">
        <f>'Ingest Template'!W730</f>
        <v/>
      </c>
      <c r="V730" s="35" t="str">
        <f>LOWER(SUBSTITUTE(SUBSTITUTE(SUBSTITUTE(SUBSTITUTE(SUBSTITUTE('Ingest Template'!X730,"https:",""),"www.",""),"/",""),"?hl=en",""),"instagram.com",""))</f>
        <v/>
      </c>
      <c r="W730" s="74" t="str">
        <f t="array" ref="W730">IF(
'Ingest Template'!Y730="",
SUBSTITUTE(
INDEX(DropdownLists!$F$2:$F$277,MATCH('Ingest Template'!D730,DropdownLists!$C$2:$C$277,0)),
CHAR(10),
"|"&amp;'Ingest Template'!C730&amp;CHAR(10)
)&amp;"|"&amp;'Ingest Template'!C730,
SUBSTITUTE(
INDEX(DropdownLists!$F$2:$F$277,MATCH('Ingest Template'!D730,DropdownLists!$C$2:$C$277,0)),
CHAR(10),
"|"&amp;'Ingest Template'!C730&amp;CHAR(10)
)&amp;"|"&amp;'Ingest Template'!C730&amp;CHAR(10)&amp;'Ingest Template'!Y730
)</f>
        <v>#N/A</v>
      </c>
      <c r="X730" s="74" t="str">
        <f>'Ingest Template'!Z730</f>
        <v/>
      </c>
      <c r="Y730" s="35" t="str">
        <f>SUBSTITUTE(SUBSTITUTE(SUBSTITUTE('Ingest Template'!AA730,"http:",""),"https:",""),"/","")</f>
        <v/>
      </c>
      <c r="Z730" s="35" t="str">
        <f t="array" ref="Z730">IF('Ingest Template'!A730="Standard",(IF(ISBLANK('Ingest Template'!AB730),"", 'Ingest Template'!AB730&amp;"|DAR")),(IF(ISBLANK('Ingest Template'!AB730),"", 'Ingest Template'!AB730&amp;"|TV Ops")))</f>
        <v/>
      </c>
      <c r="AA730" s="35"/>
      <c r="AB730" s="35" t="str">
        <f>'Ingest Template'!R730</f>
        <v/>
      </c>
      <c r="AC730" s="35" t="str">
        <f>'Ingest Template'!T730</f>
        <v/>
      </c>
      <c r="AD730" s="35" t="str">
        <f>'Ingest Template'!S730</f>
        <v/>
      </c>
      <c r="AE730" s="35" t="str">
        <f>'Ingest Template'!U730</f>
        <v/>
      </c>
      <c r="AF730" s="22"/>
      <c r="AG730" s="35" t="str">
        <f t="array" ref="AG730">IF('Ingest Template'!A730="Standard",(CONCATENATE(IF(ISBLANK('Ingest Template'!N730),"", 'Ingest Template'!N730&amp;"|DAR"),CHAR(10), IF(ISBLANK('Ingest Template'!O730),"", 'Ingest Template'!O730&amp;"|DAR"),CHAR(10), IF(ISBLANK('Ingest Template'!P730),"", 'Ingest Template'!P730&amp;"|DAR"))),(CONCATENATE(IF(ISBLANK('Ingest Template'!N730),"", 'Ingest Template'!N730&amp;"|TV Ops"),CHAR(10), IF(ISBLANK('Ingest Template'!O730),"", 'Ingest Template'!O730&amp;"|TV Ops"),CHAR(10), IF(ISBLANK('Ingest Template'!P730),"", 'Ingest Template'!P730&amp;"|TV Ops"))))</f>
        <v>
</v>
      </c>
      <c r="AH730" s="35"/>
      <c r="AI730" s="35"/>
      <c r="AJ730" s="117" t="str">
        <f>if('Ingest Template'!A730="Standard",(IF(OR('Ingest Template'!F730 = "Program Type - Special", 'Ingest Template'!F730 = "Program Type - Live Event"),'Ingest Template'!M730&amp; "|DAR|DAR|"&amp;TEXT('Ingest Template'!C730-3, "yyyy-mm-dd")&amp;"|"&amp;TEXT('Ingest Template'!C730+3, "yyyy-mm-dd"),'Ingest Template'!M730&amp; "|DAR|DAR|2021-01-01")),(IF(OR('Ingest Template'!F730 = "Program Type - Special", 'Ingest Template'!F730 = "Program Type - Live Event"),'Ingest Template'!M730&amp; "|Operations - Core Title|Operations - Core Title|"&amp;TEXT('Ingest Template'!C730-3, "yyyy-mm-dd")&amp;"|"&amp;TEXT('Ingest Template'!C730+3, "yyyy-mm-dd"),'Ingest Template'!M730&amp; "|Operations - Core Title|Operations - Core Title")))</f>
        <v>|Operations - Core Title|Operations - Core Title</v>
      </c>
      <c r="AK730" s="35"/>
      <c r="AL730" s="117" t="str">
        <f>if('Ingest Template'!A730="Standard",(IF(OR('Ingest Template'!F730 = "Program Type - Special", 'Ingest Template'!F730 = "Program Type - Live Event"),'Ingest Template'!Q730&amp;"|"&amp;TEXT('Ingest Template'!C730-3, "yyyy-mm-dd")&amp;"|"&amp;TEXT('Ingest Template'!C730+3, "yyyy-mm-dd"),'Ingest Template'!Q730&amp; "|2021-01-01")),(IF(OR('Ingest Template'!F730 = "Program Type - Special", 'Ingest Template'!F730 = "Program Type - Live Event"),'Ingest Template'!Q730&amp; "|"&amp;TEXT('Ingest Template'!C730-3, "yyyy-mm-dd")&amp;"|"&amp;TEXT('Ingest Template'!C730+3, "yyyy-mm-dd"),'Ingest Template'!Q730)))</f>
        <v/>
      </c>
      <c r="AM730" s="35" t="str">
        <f>'Ingest Template'!AC730</f>
        <v/>
      </c>
    </row>
    <row r="731">
      <c r="A731" s="15"/>
      <c r="B731" s="22" t="str">
        <f>'Ingest Template'!C731&amp;IF('Ingest Template'!A731 = "Standard", " - DAR","")</f>
        <v/>
      </c>
      <c r="C731" s="22" t="s">
        <v>83</v>
      </c>
      <c r="D731" s="22" t="str">
        <f t="array" ref="D731">CONCATENATE(INDEX(DropdownLists!$H$2:$H$11,MATCH(1,COUNTIF('Ingest Template'!E731,"*"&amp;DropdownLists!$I$2:$I$11&amp;"*"),0)),CHAR(10),'Ingest Template'!F731,CHAR(10),'Ingest Template'!G731,CHAR(10),VLOOKUP('Ingest Template'!D731,DropdownLists!C:D,2,FALSE))</f>
        <v>#N/A</v>
      </c>
      <c r="E731" s="22" t="str">
        <f>CONCATENATE('Ingest Template'!H731,CHAR(10),'Ingest Template'!I731,CHAR(10),'Ingest Template'!J731,CHAR(10))</f>
        <v>
</v>
      </c>
      <c r="F731" s="35" t="str">
        <f t="array" ref="F731">INDEX(DropdownLists!$O$2:$O$36,MATCH(1,COUNTIF(E731,"*"&amp;DropdownLists!$N$2:$N$36&amp;"*"),0))</f>
        <v/>
      </c>
      <c r="G731" s="35"/>
      <c r="H731" s="22" t="str">
        <f t="array" ref="H731">INDEX(DropdownLists!$E$2:$E$276,MATCH('Ingest Template'!D731,DropdownLists!$C$2:$C$276,0))</f>
        <v>#N/A</v>
      </c>
      <c r="I731" s="22"/>
      <c r="J731" s="22" t="str">
        <f t="array" ref="J731">iF('Ingest Template'!A731="Standard","Pristine Brand",INDEX(DropdownLists!$B$2:$B$246,MATCH('Ingest Template'!D731,DropdownLists!$C$2:$C$246,0)))</f>
        <v>#N/A</v>
      </c>
      <c r="K731" s="22" t="str">
        <f>iF('Ingest Template'!A731="Standard",'Ingest Template'!K731&amp;CHAR(10)&amp;'Ingest Template'!L731,"Competitive View")</f>
        <v>Competitive View</v>
      </c>
      <c r="L731" s="22" t="s">
        <v>95</v>
      </c>
      <c r="M731" s="45" t="str">
        <f>'Ingest Template'!B731</f>
        <v/>
      </c>
      <c r="N731" s="35"/>
      <c r="O731" s="35"/>
      <c r="P731" s="35"/>
      <c r="Q731" s="35"/>
      <c r="R731" s="35" t="str">
        <f>'Ingest Template'!D731</f>
        <v/>
      </c>
      <c r="S731" s="22" t="s">
        <v>101</v>
      </c>
      <c r="T731" s="35" t="str">
        <f>'Ingest Template'!V731</f>
        <v/>
      </c>
      <c r="U731" s="35" t="str">
        <f>'Ingest Template'!W731</f>
        <v/>
      </c>
      <c r="V731" s="35" t="str">
        <f>LOWER(SUBSTITUTE(SUBSTITUTE(SUBSTITUTE(SUBSTITUTE(SUBSTITUTE('Ingest Template'!X731,"https:",""),"www.",""),"/",""),"?hl=en",""),"instagram.com",""))</f>
        <v/>
      </c>
      <c r="W731" s="74" t="str">
        <f t="array" ref="W731">IF(
'Ingest Template'!Y731="",
SUBSTITUTE(
INDEX(DropdownLists!$F$2:$F$277,MATCH('Ingest Template'!D731,DropdownLists!$C$2:$C$277,0)),
CHAR(10),
"|"&amp;'Ingest Template'!C731&amp;CHAR(10)
)&amp;"|"&amp;'Ingest Template'!C731,
SUBSTITUTE(
INDEX(DropdownLists!$F$2:$F$277,MATCH('Ingest Template'!D731,DropdownLists!$C$2:$C$277,0)),
CHAR(10),
"|"&amp;'Ingest Template'!C731&amp;CHAR(10)
)&amp;"|"&amp;'Ingest Template'!C731&amp;CHAR(10)&amp;'Ingest Template'!Y731
)</f>
        <v>#N/A</v>
      </c>
      <c r="X731" s="74" t="str">
        <f>'Ingest Template'!Z731</f>
        <v/>
      </c>
      <c r="Y731" s="35" t="str">
        <f>SUBSTITUTE(SUBSTITUTE(SUBSTITUTE('Ingest Template'!AA731,"http:",""),"https:",""),"/","")</f>
        <v/>
      </c>
      <c r="Z731" s="35" t="str">
        <f t="array" ref="Z731">IF('Ingest Template'!A731="Standard",(IF(ISBLANK('Ingest Template'!AB731),"", 'Ingest Template'!AB731&amp;"|DAR")),(IF(ISBLANK('Ingest Template'!AB731),"", 'Ingest Template'!AB731&amp;"|TV Ops")))</f>
        <v/>
      </c>
      <c r="AA731" s="35"/>
      <c r="AB731" s="35" t="str">
        <f>'Ingest Template'!R731</f>
        <v/>
      </c>
      <c r="AC731" s="35" t="str">
        <f>'Ingest Template'!T731</f>
        <v/>
      </c>
      <c r="AD731" s="35" t="str">
        <f>'Ingest Template'!S731</f>
        <v/>
      </c>
      <c r="AE731" s="35" t="str">
        <f>'Ingest Template'!U731</f>
        <v/>
      </c>
      <c r="AF731" s="22"/>
      <c r="AG731" s="35" t="str">
        <f t="array" ref="AG731">IF('Ingest Template'!A731="Standard",(CONCATENATE(IF(ISBLANK('Ingest Template'!N731),"", 'Ingest Template'!N731&amp;"|DAR"),CHAR(10), IF(ISBLANK('Ingest Template'!O731),"", 'Ingest Template'!O731&amp;"|DAR"),CHAR(10), IF(ISBLANK('Ingest Template'!P731),"", 'Ingest Template'!P731&amp;"|DAR"))),(CONCATENATE(IF(ISBLANK('Ingest Template'!N731),"", 'Ingest Template'!N731&amp;"|TV Ops"),CHAR(10), IF(ISBLANK('Ingest Template'!O731),"", 'Ingest Template'!O731&amp;"|TV Ops"),CHAR(10), IF(ISBLANK('Ingest Template'!P731),"", 'Ingest Template'!P731&amp;"|TV Ops"))))</f>
        <v>
</v>
      </c>
      <c r="AH731" s="35"/>
      <c r="AI731" s="35"/>
      <c r="AJ731" s="117" t="str">
        <f>if('Ingest Template'!A731="Standard",(IF(OR('Ingest Template'!F731 = "Program Type - Special", 'Ingest Template'!F731 = "Program Type - Live Event"),'Ingest Template'!M731&amp; "|DAR|DAR|"&amp;TEXT('Ingest Template'!C731-3, "yyyy-mm-dd")&amp;"|"&amp;TEXT('Ingest Template'!C731+3, "yyyy-mm-dd"),'Ingest Template'!M731&amp; "|DAR|DAR|2021-01-01")),(IF(OR('Ingest Template'!F731 = "Program Type - Special", 'Ingest Template'!F731 = "Program Type - Live Event"),'Ingest Template'!M731&amp; "|Operations - Core Title|Operations - Core Title|"&amp;TEXT('Ingest Template'!C731-3, "yyyy-mm-dd")&amp;"|"&amp;TEXT('Ingest Template'!C731+3, "yyyy-mm-dd"),'Ingest Template'!M731&amp; "|Operations - Core Title|Operations - Core Title")))</f>
        <v>|Operations - Core Title|Operations - Core Title</v>
      </c>
      <c r="AK731" s="35"/>
      <c r="AL731" s="117" t="str">
        <f>if('Ingest Template'!A731="Standard",(IF(OR('Ingest Template'!F731 = "Program Type - Special", 'Ingest Template'!F731 = "Program Type - Live Event"),'Ingest Template'!Q731&amp;"|"&amp;TEXT('Ingest Template'!C731-3, "yyyy-mm-dd")&amp;"|"&amp;TEXT('Ingest Template'!C731+3, "yyyy-mm-dd"),'Ingest Template'!Q731&amp; "|2021-01-01")),(IF(OR('Ingest Template'!F731 = "Program Type - Special", 'Ingest Template'!F731 = "Program Type - Live Event"),'Ingest Template'!Q731&amp; "|"&amp;TEXT('Ingest Template'!C731-3, "yyyy-mm-dd")&amp;"|"&amp;TEXT('Ingest Template'!C731+3, "yyyy-mm-dd"),'Ingest Template'!Q731)))</f>
        <v/>
      </c>
      <c r="AM731" s="35" t="str">
        <f>'Ingest Template'!AC731</f>
        <v/>
      </c>
    </row>
    <row r="732">
      <c r="A732" s="15"/>
      <c r="B732" s="22" t="str">
        <f>'Ingest Template'!C732&amp;IF('Ingest Template'!A732 = "Standard", " - DAR","")</f>
        <v/>
      </c>
      <c r="C732" s="22" t="s">
        <v>83</v>
      </c>
      <c r="D732" s="22" t="str">
        <f t="array" ref="D732">CONCATENATE(INDEX(DropdownLists!$H$2:$H$11,MATCH(1,COUNTIF('Ingest Template'!E732,"*"&amp;DropdownLists!$I$2:$I$11&amp;"*"),0)),CHAR(10),'Ingest Template'!F732,CHAR(10),'Ingest Template'!G732,CHAR(10),VLOOKUP('Ingest Template'!D732,DropdownLists!C:D,2,FALSE))</f>
        <v>#N/A</v>
      </c>
      <c r="E732" s="22" t="str">
        <f>CONCATENATE('Ingest Template'!H732,CHAR(10),'Ingest Template'!I732,CHAR(10),'Ingest Template'!J732,CHAR(10))</f>
        <v>
</v>
      </c>
      <c r="F732" s="35" t="str">
        <f t="array" ref="F732">INDEX(DropdownLists!$O$2:$O$36,MATCH(1,COUNTIF(E732,"*"&amp;DropdownLists!$N$2:$N$36&amp;"*"),0))</f>
        <v/>
      </c>
      <c r="G732" s="35"/>
      <c r="H732" s="22" t="str">
        <f t="array" ref="H732">INDEX(DropdownLists!$E$2:$E$276,MATCH('Ingest Template'!D732,DropdownLists!$C$2:$C$276,0))</f>
        <v>#N/A</v>
      </c>
      <c r="I732" s="22"/>
      <c r="J732" s="22" t="str">
        <f t="array" ref="J732">iF('Ingest Template'!A732="Standard","Pristine Brand",INDEX(DropdownLists!$B$2:$B$246,MATCH('Ingest Template'!D732,DropdownLists!$C$2:$C$246,0)))</f>
        <v>#N/A</v>
      </c>
      <c r="K732" s="22" t="str">
        <f>iF('Ingest Template'!A732="Standard",'Ingest Template'!K732&amp;CHAR(10)&amp;'Ingest Template'!L732,"Competitive View")</f>
        <v>Competitive View</v>
      </c>
      <c r="L732" s="22" t="s">
        <v>95</v>
      </c>
      <c r="M732" s="45" t="str">
        <f>'Ingest Template'!B732</f>
        <v/>
      </c>
      <c r="N732" s="35"/>
      <c r="O732" s="35"/>
      <c r="P732" s="35"/>
      <c r="Q732" s="35"/>
      <c r="R732" s="35" t="str">
        <f>'Ingest Template'!D732</f>
        <v/>
      </c>
      <c r="S732" s="22" t="s">
        <v>101</v>
      </c>
      <c r="T732" s="35" t="str">
        <f>'Ingest Template'!V732</f>
        <v/>
      </c>
      <c r="U732" s="35" t="str">
        <f>'Ingest Template'!W732</f>
        <v/>
      </c>
      <c r="V732" s="35" t="str">
        <f>LOWER(SUBSTITUTE(SUBSTITUTE(SUBSTITUTE(SUBSTITUTE(SUBSTITUTE('Ingest Template'!X732,"https:",""),"www.",""),"/",""),"?hl=en",""),"instagram.com",""))</f>
        <v/>
      </c>
      <c r="W732" s="74" t="str">
        <f t="array" ref="W732">IF(
'Ingest Template'!Y732="",
SUBSTITUTE(
INDEX(DropdownLists!$F$2:$F$277,MATCH('Ingest Template'!D732,DropdownLists!$C$2:$C$277,0)),
CHAR(10),
"|"&amp;'Ingest Template'!C732&amp;CHAR(10)
)&amp;"|"&amp;'Ingest Template'!C732,
SUBSTITUTE(
INDEX(DropdownLists!$F$2:$F$277,MATCH('Ingest Template'!D732,DropdownLists!$C$2:$C$277,0)),
CHAR(10),
"|"&amp;'Ingest Template'!C732&amp;CHAR(10)
)&amp;"|"&amp;'Ingest Template'!C732&amp;CHAR(10)&amp;'Ingest Template'!Y732
)</f>
        <v>#N/A</v>
      </c>
      <c r="X732" s="74" t="str">
        <f>'Ingest Template'!Z732</f>
        <v/>
      </c>
      <c r="Y732" s="35" t="str">
        <f>SUBSTITUTE(SUBSTITUTE(SUBSTITUTE('Ingest Template'!AA732,"http:",""),"https:",""),"/","")</f>
        <v/>
      </c>
      <c r="Z732" s="35" t="str">
        <f t="array" ref="Z732">IF('Ingest Template'!A732="Standard",(IF(ISBLANK('Ingest Template'!AB732),"", 'Ingest Template'!AB732&amp;"|DAR")),(IF(ISBLANK('Ingest Template'!AB732),"", 'Ingest Template'!AB732&amp;"|TV Ops")))</f>
        <v/>
      </c>
      <c r="AA732" s="35"/>
      <c r="AB732" s="35" t="str">
        <f>'Ingest Template'!R732</f>
        <v/>
      </c>
      <c r="AC732" s="35" t="str">
        <f>'Ingest Template'!T732</f>
        <v/>
      </c>
      <c r="AD732" s="35" t="str">
        <f>'Ingest Template'!S732</f>
        <v/>
      </c>
      <c r="AE732" s="35" t="str">
        <f>'Ingest Template'!U732</f>
        <v/>
      </c>
      <c r="AF732" s="22"/>
      <c r="AG732" s="35" t="str">
        <f t="array" ref="AG732">IF('Ingest Template'!A732="Standard",(CONCATENATE(IF(ISBLANK('Ingest Template'!N732),"", 'Ingest Template'!N732&amp;"|DAR"),CHAR(10), IF(ISBLANK('Ingest Template'!O732),"", 'Ingest Template'!O732&amp;"|DAR"),CHAR(10), IF(ISBLANK('Ingest Template'!P732),"", 'Ingest Template'!P732&amp;"|DAR"))),(CONCATENATE(IF(ISBLANK('Ingest Template'!N732),"", 'Ingest Template'!N732&amp;"|TV Ops"),CHAR(10), IF(ISBLANK('Ingest Template'!O732),"", 'Ingest Template'!O732&amp;"|TV Ops"),CHAR(10), IF(ISBLANK('Ingest Template'!P732),"", 'Ingest Template'!P732&amp;"|TV Ops"))))</f>
        <v>
</v>
      </c>
      <c r="AH732" s="35"/>
      <c r="AI732" s="35"/>
      <c r="AJ732" s="117" t="str">
        <f>if('Ingest Template'!A732="Standard",(IF(OR('Ingest Template'!F732 = "Program Type - Special", 'Ingest Template'!F732 = "Program Type - Live Event"),'Ingest Template'!M732&amp; "|DAR|DAR|"&amp;TEXT('Ingest Template'!C732-3, "yyyy-mm-dd")&amp;"|"&amp;TEXT('Ingest Template'!C732+3, "yyyy-mm-dd"),'Ingest Template'!M732&amp; "|DAR|DAR|2021-01-01")),(IF(OR('Ingest Template'!F732 = "Program Type - Special", 'Ingest Template'!F732 = "Program Type - Live Event"),'Ingest Template'!M732&amp; "|Operations - Core Title|Operations - Core Title|"&amp;TEXT('Ingest Template'!C732-3, "yyyy-mm-dd")&amp;"|"&amp;TEXT('Ingest Template'!C732+3, "yyyy-mm-dd"),'Ingest Template'!M732&amp; "|Operations - Core Title|Operations - Core Title")))</f>
        <v>|Operations - Core Title|Operations - Core Title</v>
      </c>
      <c r="AK732" s="35"/>
      <c r="AL732" s="117" t="str">
        <f>if('Ingest Template'!A732="Standard",(IF(OR('Ingest Template'!F732 = "Program Type - Special", 'Ingest Template'!F732 = "Program Type - Live Event"),'Ingest Template'!Q732&amp;"|"&amp;TEXT('Ingest Template'!C732-3, "yyyy-mm-dd")&amp;"|"&amp;TEXT('Ingest Template'!C732+3, "yyyy-mm-dd"),'Ingest Template'!Q732&amp; "|2021-01-01")),(IF(OR('Ingest Template'!F732 = "Program Type - Special", 'Ingest Template'!F732 = "Program Type - Live Event"),'Ingest Template'!Q732&amp; "|"&amp;TEXT('Ingest Template'!C732-3, "yyyy-mm-dd")&amp;"|"&amp;TEXT('Ingest Template'!C732+3, "yyyy-mm-dd"),'Ingest Template'!Q732)))</f>
        <v/>
      </c>
      <c r="AM732" s="35" t="str">
        <f>'Ingest Template'!AC732</f>
        <v/>
      </c>
    </row>
    <row r="733">
      <c r="A733" s="15"/>
      <c r="B733" s="22" t="str">
        <f>'Ingest Template'!C733&amp;IF('Ingest Template'!A733 = "Standard", " - DAR","")</f>
        <v/>
      </c>
      <c r="C733" s="22" t="s">
        <v>83</v>
      </c>
      <c r="D733" s="22" t="str">
        <f t="array" ref="D733">CONCATENATE(INDEX(DropdownLists!$H$2:$H$11,MATCH(1,COUNTIF('Ingest Template'!E733,"*"&amp;DropdownLists!$I$2:$I$11&amp;"*"),0)),CHAR(10),'Ingest Template'!F733,CHAR(10),'Ingest Template'!G733,CHAR(10),VLOOKUP('Ingest Template'!D733,DropdownLists!C:D,2,FALSE))</f>
        <v>#N/A</v>
      </c>
      <c r="E733" s="22" t="str">
        <f>CONCATENATE('Ingest Template'!H733,CHAR(10),'Ingest Template'!I733,CHAR(10),'Ingest Template'!J733,CHAR(10))</f>
        <v>
</v>
      </c>
      <c r="F733" s="35" t="str">
        <f t="array" ref="F733">INDEX(DropdownLists!$O$2:$O$36,MATCH(1,COUNTIF(E733,"*"&amp;DropdownLists!$N$2:$N$36&amp;"*"),0))</f>
        <v/>
      </c>
      <c r="G733" s="35"/>
      <c r="H733" s="22" t="str">
        <f t="array" ref="H733">INDEX(DropdownLists!$E$2:$E$276,MATCH('Ingest Template'!D733,DropdownLists!$C$2:$C$276,0))</f>
        <v>#N/A</v>
      </c>
      <c r="I733" s="22"/>
      <c r="J733" s="22" t="str">
        <f t="array" ref="J733">iF('Ingest Template'!A733="Standard","Pristine Brand",INDEX(DropdownLists!$B$2:$B$246,MATCH('Ingest Template'!D733,DropdownLists!$C$2:$C$246,0)))</f>
        <v>#N/A</v>
      </c>
      <c r="K733" s="22" t="str">
        <f>iF('Ingest Template'!A733="Standard",'Ingest Template'!K733&amp;CHAR(10)&amp;'Ingest Template'!L733,"Competitive View")</f>
        <v>Competitive View</v>
      </c>
      <c r="L733" s="22" t="s">
        <v>95</v>
      </c>
      <c r="M733" s="45" t="str">
        <f>'Ingest Template'!B733</f>
        <v/>
      </c>
      <c r="N733" s="35"/>
      <c r="O733" s="35"/>
      <c r="P733" s="35"/>
      <c r="Q733" s="35"/>
      <c r="R733" s="35" t="str">
        <f>'Ingest Template'!D733</f>
        <v/>
      </c>
      <c r="S733" s="22" t="s">
        <v>101</v>
      </c>
      <c r="T733" s="35" t="str">
        <f>'Ingest Template'!V733</f>
        <v/>
      </c>
      <c r="U733" s="35" t="str">
        <f>'Ingest Template'!W733</f>
        <v/>
      </c>
      <c r="V733" s="35" t="str">
        <f>LOWER(SUBSTITUTE(SUBSTITUTE(SUBSTITUTE(SUBSTITUTE(SUBSTITUTE('Ingest Template'!X733,"https:",""),"www.",""),"/",""),"?hl=en",""),"instagram.com",""))</f>
        <v/>
      </c>
      <c r="W733" s="74" t="str">
        <f t="array" ref="W733">IF(
'Ingest Template'!Y733="",
SUBSTITUTE(
INDEX(DropdownLists!$F$2:$F$277,MATCH('Ingest Template'!D733,DropdownLists!$C$2:$C$277,0)),
CHAR(10),
"|"&amp;'Ingest Template'!C733&amp;CHAR(10)
)&amp;"|"&amp;'Ingest Template'!C733,
SUBSTITUTE(
INDEX(DropdownLists!$F$2:$F$277,MATCH('Ingest Template'!D733,DropdownLists!$C$2:$C$277,0)),
CHAR(10),
"|"&amp;'Ingest Template'!C733&amp;CHAR(10)
)&amp;"|"&amp;'Ingest Template'!C733&amp;CHAR(10)&amp;'Ingest Template'!Y733
)</f>
        <v>#N/A</v>
      </c>
      <c r="X733" s="74" t="str">
        <f>'Ingest Template'!Z733</f>
        <v/>
      </c>
      <c r="Y733" s="35" t="str">
        <f>SUBSTITUTE(SUBSTITUTE(SUBSTITUTE('Ingest Template'!AA733,"http:",""),"https:",""),"/","")</f>
        <v/>
      </c>
      <c r="Z733" s="35" t="str">
        <f t="array" ref="Z733">IF('Ingest Template'!A733="Standard",(IF(ISBLANK('Ingest Template'!AB733),"", 'Ingest Template'!AB733&amp;"|DAR")),(IF(ISBLANK('Ingest Template'!AB733),"", 'Ingest Template'!AB733&amp;"|TV Ops")))</f>
        <v/>
      </c>
      <c r="AA733" s="35"/>
      <c r="AB733" s="35" t="str">
        <f>'Ingest Template'!R733</f>
        <v/>
      </c>
      <c r="AC733" s="35" t="str">
        <f>'Ingest Template'!T733</f>
        <v/>
      </c>
      <c r="AD733" s="35" t="str">
        <f>'Ingest Template'!S733</f>
        <v/>
      </c>
      <c r="AE733" s="35" t="str">
        <f>'Ingest Template'!U733</f>
        <v/>
      </c>
      <c r="AF733" s="22"/>
      <c r="AG733" s="35" t="str">
        <f t="array" ref="AG733">IF('Ingest Template'!A733="Standard",(CONCATENATE(IF(ISBLANK('Ingest Template'!N733),"", 'Ingest Template'!N733&amp;"|DAR"),CHAR(10), IF(ISBLANK('Ingest Template'!O733),"", 'Ingest Template'!O733&amp;"|DAR"),CHAR(10), IF(ISBLANK('Ingest Template'!P733),"", 'Ingest Template'!P733&amp;"|DAR"))),(CONCATENATE(IF(ISBLANK('Ingest Template'!N733),"", 'Ingest Template'!N733&amp;"|TV Ops"),CHAR(10), IF(ISBLANK('Ingest Template'!O733),"", 'Ingest Template'!O733&amp;"|TV Ops"),CHAR(10), IF(ISBLANK('Ingest Template'!P733),"", 'Ingest Template'!P733&amp;"|TV Ops"))))</f>
        <v>
</v>
      </c>
      <c r="AH733" s="35"/>
      <c r="AI733" s="35"/>
      <c r="AJ733" s="117" t="str">
        <f>if('Ingest Template'!A733="Standard",(IF(OR('Ingest Template'!F733 = "Program Type - Special", 'Ingest Template'!F733 = "Program Type - Live Event"),'Ingest Template'!M733&amp; "|DAR|DAR|"&amp;TEXT('Ingest Template'!C733-3, "yyyy-mm-dd")&amp;"|"&amp;TEXT('Ingest Template'!C733+3, "yyyy-mm-dd"),'Ingest Template'!M733&amp; "|DAR|DAR|2021-01-01")),(IF(OR('Ingest Template'!F733 = "Program Type - Special", 'Ingest Template'!F733 = "Program Type - Live Event"),'Ingest Template'!M733&amp; "|Operations - Core Title|Operations - Core Title|"&amp;TEXT('Ingest Template'!C733-3, "yyyy-mm-dd")&amp;"|"&amp;TEXT('Ingest Template'!C733+3, "yyyy-mm-dd"),'Ingest Template'!M733&amp; "|Operations - Core Title|Operations - Core Title")))</f>
        <v>|Operations - Core Title|Operations - Core Title</v>
      </c>
      <c r="AK733" s="35"/>
      <c r="AL733" s="117" t="str">
        <f>if('Ingest Template'!A733="Standard",(IF(OR('Ingest Template'!F733 = "Program Type - Special", 'Ingest Template'!F733 = "Program Type - Live Event"),'Ingest Template'!Q733&amp;"|"&amp;TEXT('Ingest Template'!C733-3, "yyyy-mm-dd")&amp;"|"&amp;TEXT('Ingest Template'!C733+3, "yyyy-mm-dd"),'Ingest Template'!Q733&amp; "|2021-01-01")),(IF(OR('Ingest Template'!F733 = "Program Type - Special", 'Ingest Template'!F733 = "Program Type - Live Event"),'Ingest Template'!Q733&amp; "|"&amp;TEXT('Ingest Template'!C733-3, "yyyy-mm-dd")&amp;"|"&amp;TEXT('Ingest Template'!C733+3, "yyyy-mm-dd"),'Ingest Template'!Q733)))</f>
        <v/>
      </c>
      <c r="AM733" s="35" t="str">
        <f>'Ingest Template'!AC733</f>
        <v/>
      </c>
    </row>
    <row r="734">
      <c r="A734" s="15"/>
      <c r="B734" s="22" t="str">
        <f>'Ingest Template'!C734&amp;IF('Ingest Template'!A734 = "Standard", " - DAR","")</f>
        <v/>
      </c>
      <c r="C734" s="22" t="s">
        <v>83</v>
      </c>
      <c r="D734" s="22" t="str">
        <f t="array" ref="D734">CONCATENATE(INDEX(DropdownLists!$H$2:$H$11,MATCH(1,COUNTIF('Ingest Template'!E734,"*"&amp;DropdownLists!$I$2:$I$11&amp;"*"),0)),CHAR(10),'Ingest Template'!F734,CHAR(10),'Ingest Template'!G734,CHAR(10),VLOOKUP('Ingest Template'!D734,DropdownLists!C:D,2,FALSE))</f>
        <v>#N/A</v>
      </c>
      <c r="E734" s="22" t="str">
        <f>CONCATENATE('Ingest Template'!H734,CHAR(10),'Ingest Template'!I734,CHAR(10),'Ingest Template'!J734,CHAR(10))</f>
        <v>
</v>
      </c>
      <c r="F734" s="35" t="str">
        <f t="array" ref="F734">INDEX(DropdownLists!$O$2:$O$36,MATCH(1,COUNTIF(E734,"*"&amp;DropdownLists!$N$2:$N$36&amp;"*"),0))</f>
        <v/>
      </c>
      <c r="G734" s="35"/>
      <c r="H734" s="22" t="str">
        <f t="array" ref="H734">INDEX(DropdownLists!$E$2:$E$276,MATCH('Ingest Template'!D734,DropdownLists!$C$2:$C$276,0))</f>
        <v>#N/A</v>
      </c>
      <c r="I734" s="22"/>
      <c r="J734" s="22" t="str">
        <f t="array" ref="J734">iF('Ingest Template'!A734="Standard","Pristine Brand",INDEX(DropdownLists!$B$2:$B$246,MATCH('Ingest Template'!D734,DropdownLists!$C$2:$C$246,0)))</f>
        <v>#N/A</v>
      </c>
      <c r="K734" s="22" t="str">
        <f>iF('Ingest Template'!A734="Standard",'Ingest Template'!K734&amp;CHAR(10)&amp;'Ingest Template'!L734,"Competitive View")</f>
        <v>Competitive View</v>
      </c>
      <c r="L734" s="22" t="s">
        <v>95</v>
      </c>
      <c r="M734" s="45" t="str">
        <f>'Ingest Template'!B734</f>
        <v/>
      </c>
      <c r="N734" s="35"/>
      <c r="O734" s="35"/>
      <c r="P734" s="35"/>
      <c r="Q734" s="35"/>
      <c r="R734" s="35" t="str">
        <f>'Ingest Template'!D734</f>
        <v/>
      </c>
      <c r="S734" s="22" t="s">
        <v>101</v>
      </c>
      <c r="T734" s="35" t="str">
        <f>'Ingest Template'!V734</f>
        <v/>
      </c>
      <c r="U734" s="35" t="str">
        <f>'Ingest Template'!W734</f>
        <v/>
      </c>
      <c r="V734" s="35" t="str">
        <f>LOWER(SUBSTITUTE(SUBSTITUTE(SUBSTITUTE(SUBSTITUTE(SUBSTITUTE('Ingest Template'!X734,"https:",""),"www.",""),"/",""),"?hl=en",""),"instagram.com",""))</f>
        <v/>
      </c>
      <c r="W734" s="74" t="str">
        <f t="array" ref="W734">IF(
'Ingest Template'!Y734="",
SUBSTITUTE(
INDEX(DropdownLists!$F$2:$F$277,MATCH('Ingest Template'!D734,DropdownLists!$C$2:$C$277,0)),
CHAR(10),
"|"&amp;'Ingest Template'!C734&amp;CHAR(10)
)&amp;"|"&amp;'Ingest Template'!C734,
SUBSTITUTE(
INDEX(DropdownLists!$F$2:$F$277,MATCH('Ingest Template'!D734,DropdownLists!$C$2:$C$277,0)),
CHAR(10),
"|"&amp;'Ingest Template'!C734&amp;CHAR(10)
)&amp;"|"&amp;'Ingest Template'!C734&amp;CHAR(10)&amp;'Ingest Template'!Y734
)</f>
        <v>#N/A</v>
      </c>
      <c r="X734" s="74" t="str">
        <f>'Ingest Template'!Z734</f>
        <v/>
      </c>
      <c r="Y734" s="35" t="str">
        <f>SUBSTITUTE(SUBSTITUTE(SUBSTITUTE('Ingest Template'!AA734,"http:",""),"https:",""),"/","")</f>
        <v/>
      </c>
      <c r="Z734" s="35" t="str">
        <f t="array" ref="Z734">IF('Ingest Template'!A734="Standard",(IF(ISBLANK('Ingest Template'!AB734),"", 'Ingest Template'!AB734&amp;"|DAR")),(IF(ISBLANK('Ingest Template'!AB734),"", 'Ingest Template'!AB734&amp;"|TV Ops")))</f>
        <v/>
      </c>
      <c r="AA734" s="35"/>
      <c r="AB734" s="35" t="str">
        <f>'Ingest Template'!R734</f>
        <v/>
      </c>
      <c r="AC734" s="35" t="str">
        <f>'Ingest Template'!T734</f>
        <v/>
      </c>
      <c r="AD734" s="35" t="str">
        <f>'Ingest Template'!S734</f>
        <v/>
      </c>
      <c r="AE734" s="35" t="str">
        <f>'Ingest Template'!U734</f>
        <v/>
      </c>
      <c r="AF734" s="22"/>
      <c r="AG734" s="35" t="str">
        <f t="array" ref="AG734">IF('Ingest Template'!A734="Standard",(CONCATENATE(IF(ISBLANK('Ingest Template'!N734),"", 'Ingest Template'!N734&amp;"|DAR"),CHAR(10), IF(ISBLANK('Ingest Template'!O734),"", 'Ingest Template'!O734&amp;"|DAR"),CHAR(10), IF(ISBLANK('Ingest Template'!P734),"", 'Ingest Template'!P734&amp;"|DAR"))),(CONCATENATE(IF(ISBLANK('Ingest Template'!N734),"", 'Ingest Template'!N734&amp;"|TV Ops"),CHAR(10), IF(ISBLANK('Ingest Template'!O734),"", 'Ingest Template'!O734&amp;"|TV Ops"),CHAR(10), IF(ISBLANK('Ingest Template'!P734),"", 'Ingest Template'!P734&amp;"|TV Ops"))))</f>
        <v>
</v>
      </c>
      <c r="AH734" s="35"/>
      <c r="AI734" s="35"/>
      <c r="AJ734" s="117" t="str">
        <f>if('Ingest Template'!A734="Standard",(IF(OR('Ingest Template'!F734 = "Program Type - Special", 'Ingest Template'!F734 = "Program Type - Live Event"),'Ingest Template'!M734&amp; "|DAR|DAR|"&amp;TEXT('Ingest Template'!C734-3, "yyyy-mm-dd")&amp;"|"&amp;TEXT('Ingest Template'!C734+3, "yyyy-mm-dd"),'Ingest Template'!M734&amp; "|DAR|DAR|2021-01-01")),(IF(OR('Ingest Template'!F734 = "Program Type - Special", 'Ingest Template'!F734 = "Program Type - Live Event"),'Ingest Template'!M734&amp; "|Operations - Core Title|Operations - Core Title|"&amp;TEXT('Ingest Template'!C734-3, "yyyy-mm-dd")&amp;"|"&amp;TEXT('Ingest Template'!C734+3, "yyyy-mm-dd"),'Ingest Template'!M734&amp; "|Operations - Core Title|Operations - Core Title")))</f>
        <v>|Operations - Core Title|Operations - Core Title</v>
      </c>
      <c r="AK734" s="35"/>
      <c r="AL734" s="117" t="str">
        <f>if('Ingest Template'!A734="Standard",(IF(OR('Ingest Template'!F734 = "Program Type - Special", 'Ingest Template'!F734 = "Program Type - Live Event"),'Ingest Template'!Q734&amp;"|"&amp;TEXT('Ingest Template'!C734-3, "yyyy-mm-dd")&amp;"|"&amp;TEXT('Ingest Template'!C734+3, "yyyy-mm-dd"),'Ingest Template'!Q734&amp; "|2021-01-01")),(IF(OR('Ingest Template'!F734 = "Program Type - Special", 'Ingest Template'!F734 = "Program Type - Live Event"),'Ingest Template'!Q734&amp; "|"&amp;TEXT('Ingest Template'!C734-3, "yyyy-mm-dd")&amp;"|"&amp;TEXT('Ingest Template'!C734+3, "yyyy-mm-dd"),'Ingest Template'!Q734)))</f>
        <v/>
      </c>
      <c r="AM734" s="35" t="str">
        <f>'Ingest Template'!AC734</f>
        <v/>
      </c>
    </row>
    <row r="735">
      <c r="A735" s="15"/>
      <c r="B735" s="22" t="str">
        <f>'Ingest Template'!C735&amp;IF('Ingest Template'!A735 = "Standard", " - DAR","")</f>
        <v/>
      </c>
      <c r="C735" s="22" t="s">
        <v>83</v>
      </c>
      <c r="D735" s="22" t="str">
        <f t="array" ref="D735">CONCATENATE(INDEX(DropdownLists!$H$2:$H$11,MATCH(1,COUNTIF('Ingest Template'!E735,"*"&amp;DropdownLists!$I$2:$I$11&amp;"*"),0)),CHAR(10),'Ingest Template'!F735,CHAR(10),'Ingest Template'!G735,CHAR(10),VLOOKUP('Ingest Template'!D735,DropdownLists!C:D,2,FALSE))</f>
        <v>#N/A</v>
      </c>
      <c r="E735" s="22" t="str">
        <f>CONCATENATE('Ingest Template'!H735,CHAR(10),'Ingest Template'!I735,CHAR(10),'Ingest Template'!J735,CHAR(10))</f>
        <v>
</v>
      </c>
      <c r="F735" s="35" t="str">
        <f t="array" ref="F735">INDEX(DropdownLists!$O$2:$O$36,MATCH(1,COUNTIF(E735,"*"&amp;DropdownLists!$N$2:$N$36&amp;"*"),0))</f>
        <v/>
      </c>
      <c r="G735" s="35"/>
      <c r="H735" s="22" t="str">
        <f t="array" ref="H735">INDEX(DropdownLists!$E$2:$E$276,MATCH('Ingest Template'!D735,DropdownLists!$C$2:$C$276,0))</f>
        <v>#N/A</v>
      </c>
      <c r="I735" s="22"/>
      <c r="J735" s="22" t="str">
        <f t="array" ref="J735">iF('Ingest Template'!A735="Standard","Pristine Brand",INDEX(DropdownLists!$B$2:$B$246,MATCH('Ingest Template'!D735,DropdownLists!$C$2:$C$246,0)))</f>
        <v>#N/A</v>
      </c>
      <c r="K735" s="22" t="str">
        <f>iF('Ingest Template'!A735="Standard",'Ingest Template'!K735&amp;CHAR(10)&amp;'Ingest Template'!L735,"Competitive View")</f>
        <v>Competitive View</v>
      </c>
      <c r="L735" s="22" t="s">
        <v>95</v>
      </c>
      <c r="M735" s="45" t="str">
        <f>'Ingest Template'!B735</f>
        <v/>
      </c>
      <c r="N735" s="35"/>
      <c r="O735" s="35"/>
      <c r="P735" s="35"/>
      <c r="Q735" s="35"/>
      <c r="R735" s="35" t="str">
        <f>'Ingest Template'!D735</f>
        <v/>
      </c>
      <c r="S735" s="22" t="s">
        <v>101</v>
      </c>
      <c r="T735" s="35" t="str">
        <f>'Ingest Template'!V735</f>
        <v/>
      </c>
      <c r="U735" s="35" t="str">
        <f>'Ingest Template'!W735</f>
        <v/>
      </c>
      <c r="V735" s="35" t="str">
        <f>LOWER(SUBSTITUTE(SUBSTITUTE(SUBSTITUTE(SUBSTITUTE(SUBSTITUTE('Ingest Template'!X735,"https:",""),"www.",""),"/",""),"?hl=en",""),"instagram.com",""))</f>
        <v/>
      </c>
      <c r="W735" s="74" t="str">
        <f t="array" ref="W735">IF(
'Ingest Template'!Y735="",
SUBSTITUTE(
INDEX(DropdownLists!$F$2:$F$277,MATCH('Ingest Template'!D735,DropdownLists!$C$2:$C$277,0)),
CHAR(10),
"|"&amp;'Ingest Template'!C735&amp;CHAR(10)
)&amp;"|"&amp;'Ingest Template'!C735,
SUBSTITUTE(
INDEX(DropdownLists!$F$2:$F$277,MATCH('Ingest Template'!D735,DropdownLists!$C$2:$C$277,0)),
CHAR(10),
"|"&amp;'Ingest Template'!C735&amp;CHAR(10)
)&amp;"|"&amp;'Ingest Template'!C735&amp;CHAR(10)&amp;'Ingest Template'!Y735
)</f>
        <v>#N/A</v>
      </c>
      <c r="X735" s="74" t="str">
        <f>'Ingest Template'!Z735</f>
        <v/>
      </c>
      <c r="Y735" s="35" t="str">
        <f>SUBSTITUTE(SUBSTITUTE(SUBSTITUTE('Ingest Template'!AA735,"http:",""),"https:",""),"/","")</f>
        <v/>
      </c>
      <c r="Z735" s="35" t="str">
        <f t="array" ref="Z735">IF('Ingest Template'!A735="Standard",(IF(ISBLANK('Ingest Template'!AB735),"", 'Ingest Template'!AB735&amp;"|DAR")),(IF(ISBLANK('Ingest Template'!AB735),"", 'Ingest Template'!AB735&amp;"|TV Ops")))</f>
        <v/>
      </c>
      <c r="AA735" s="35"/>
      <c r="AB735" s="35" t="str">
        <f>'Ingest Template'!R735</f>
        <v/>
      </c>
      <c r="AC735" s="35" t="str">
        <f>'Ingest Template'!T735</f>
        <v/>
      </c>
      <c r="AD735" s="35" t="str">
        <f>'Ingest Template'!S735</f>
        <v/>
      </c>
      <c r="AE735" s="35" t="str">
        <f>'Ingest Template'!U735</f>
        <v/>
      </c>
      <c r="AF735" s="22"/>
      <c r="AG735" s="35" t="str">
        <f t="array" ref="AG735">IF('Ingest Template'!A735="Standard",(CONCATENATE(IF(ISBLANK('Ingest Template'!N735),"", 'Ingest Template'!N735&amp;"|DAR"),CHAR(10), IF(ISBLANK('Ingest Template'!O735),"", 'Ingest Template'!O735&amp;"|DAR"),CHAR(10), IF(ISBLANK('Ingest Template'!P735),"", 'Ingest Template'!P735&amp;"|DAR"))),(CONCATENATE(IF(ISBLANK('Ingest Template'!N735),"", 'Ingest Template'!N735&amp;"|TV Ops"),CHAR(10), IF(ISBLANK('Ingest Template'!O735),"", 'Ingest Template'!O735&amp;"|TV Ops"),CHAR(10), IF(ISBLANK('Ingest Template'!P735),"", 'Ingest Template'!P735&amp;"|TV Ops"))))</f>
        <v>
</v>
      </c>
      <c r="AH735" s="35"/>
      <c r="AI735" s="35"/>
      <c r="AJ735" s="117" t="str">
        <f>if('Ingest Template'!A735="Standard",(IF(OR('Ingest Template'!F735 = "Program Type - Special", 'Ingest Template'!F735 = "Program Type - Live Event"),'Ingest Template'!M735&amp; "|DAR|DAR|"&amp;TEXT('Ingest Template'!C735-3, "yyyy-mm-dd")&amp;"|"&amp;TEXT('Ingest Template'!C735+3, "yyyy-mm-dd"),'Ingest Template'!M735&amp; "|DAR|DAR|2021-01-01")),(IF(OR('Ingest Template'!F735 = "Program Type - Special", 'Ingest Template'!F735 = "Program Type - Live Event"),'Ingest Template'!M735&amp; "|Operations - Core Title|Operations - Core Title|"&amp;TEXT('Ingest Template'!C735-3, "yyyy-mm-dd")&amp;"|"&amp;TEXT('Ingest Template'!C735+3, "yyyy-mm-dd"),'Ingest Template'!M735&amp; "|Operations - Core Title|Operations - Core Title")))</f>
        <v>|Operations - Core Title|Operations - Core Title</v>
      </c>
      <c r="AK735" s="35"/>
      <c r="AL735" s="117" t="str">
        <f>if('Ingest Template'!A735="Standard",(IF(OR('Ingest Template'!F735 = "Program Type - Special", 'Ingest Template'!F735 = "Program Type - Live Event"),'Ingest Template'!Q735&amp;"|"&amp;TEXT('Ingest Template'!C735-3, "yyyy-mm-dd")&amp;"|"&amp;TEXT('Ingest Template'!C735+3, "yyyy-mm-dd"),'Ingest Template'!Q735&amp; "|2021-01-01")),(IF(OR('Ingest Template'!F735 = "Program Type - Special", 'Ingest Template'!F735 = "Program Type - Live Event"),'Ingest Template'!Q735&amp; "|"&amp;TEXT('Ingest Template'!C735-3, "yyyy-mm-dd")&amp;"|"&amp;TEXT('Ingest Template'!C735+3, "yyyy-mm-dd"),'Ingest Template'!Q735)))</f>
        <v/>
      </c>
      <c r="AM735" s="35" t="str">
        <f>'Ingest Template'!AC735</f>
        <v/>
      </c>
    </row>
    <row r="736">
      <c r="A736" s="15"/>
      <c r="B736" s="22" t="str">
        <f>'Ingest Template'!C736&amp;IF('Ingest Template'!A736 = "Standard", " - DAR","")</f>
        <v/>
      </c>
      <c r="C736" s="22" t="s">
        <v>83</v>
      </c>
      <c r="D736" s="22" t="str">
        <f t="array" ref="D736">CONCATENATE(INDEX(DropdownLists!$H$2:$H$11,MATCH(1,COUNTIF('Ingest Template'!E736,"*"&amp;DropdownLists!$I$2:$I$11&amp;"*"),0)),CHAR(10),'Ingest Template'!F736,CHAR(10),'Ingest Template'!G736,CHAR(10),VLOOKUP('Ingest Template'!D736,DropdownLists!C:D,2,FALSE))</f>
        <v>#N/A</v>
      </c>
      <c r="E736" s="22" t="str">
        <f>CONCATENATE('Ingest Template'!H736,CHAR(10),'Ingest Template'!I736,CHAR(10),'Ingest Template'!J736,CHAR(10))</f>
        <v>
</v>
      </c>
      <c r="F736" s="35" t="str">
        <f t="array" ref="F736">INDEX(DropdownLists!$O$2:$O$36,MATCH(1,COUNTIF(E736,"*"&amp;DropdownLists!$N$2:$N$36&amp;"*"),0))</f>
        <v/>
      </c>
      <c r="G736" s="35"/>
      <c r="H736" s="22" t="str">
        <f t="array" ref="H736">INDEX(DropdownLists!$E$2:$E$276,MATCH('Ingest Template'!D736,DropdownLists!$C$2:$C$276,0))</f>
        <v>#N/A</v>
      </c>
      <c r="I736" s="22"/>
      <c r="J736" s="22" t="str">
        <f t="array" ref="J736">iF('Ingest Template'!A736="Standard","Pristine Brand",INDEX(DropdownLists!$B$2:$B$246,MATCH('Ingest Template'!D736,DropdownLists!$C$2:$C$246,0)))</f>
        <v>#N/A</v>
      </c>
      <c r="K736" s="22" t="str">
        <f>iF('Ingest Template'!A736="Standard",'Ingest Template'!K736&amp;CHAR(10)&amp;'Ingest Template'!L736,"Competitive View")</f>
        <v>Competitive View</v>
      </c>
      <c r="L736" s="22" t="s">
        <v>95</v>
      </c>
      <c r="M736" s="45" t="str">
        <f>'Ingest Template'!B736</f>
        <v/>
      </c>
      <c r="N736" s="35"/>
      <c r="O736" s="35"/>
      <c r="P736" s="35"/>
      <c r="Q736" s="35"/>
      <c r="R736" s="35" t="str">
        <f>'Ingest Template'!D736</f>
        <v/>
      </c>
      <c r="S736" s="22" t="s">
        <v>101</v>
      </c>
      <c r="T736" s="35" t="str">
        <f>'Ingest Template'!V736</f>
        <v/>
      </c>
      <c r="U736" s="35" t="str">
        <f>'Ingest Template'!W736</f>
        <v/>
      </c>
      <c r="V736" s="35" t="str">
        <f>LOWER(SUBSTITUTE(SUBSTITUTE(SUBSTITUTE(SUBSTITUTE(SUBSTITUTE('Ingest Template'!X736,"https:",""),"www.",""),"/",""),"?hl=en",""),"instagram.com",""))</f>
        <v/>
      </c>
      <c r="W736" s="74" t="str">
        <f t="array" ref="W736">IF(
'Ingest Template'!Y736="",
SUBSTITUTE(
INDEX(DropdownLists!$F$2:$F$277,MATCH('Ingest Template'!D736,DropdownLists!$C$2:$C$277,0)),
CHAR(10),
"|"&amp;'Ingest Template'!C736&amp;CHAR(10)
)&amp;"|"&amp;'Ingest Template'!C736,
SUBSTITUTE(
INDEX(DropdownLists!$F$2:$F$277,MATCH('Ingest Template'!D736,DropdownLists!$C$2:$C$277,0)),
CHAR(10),
"|"&amp;'Ingest Template'!C736&amp;CHAR(10)
)&amp;"|"&amp;'Ingest Template'!C736&amp;CHAR(10)&amp;'Ingest Template'!Y736
)</f>
        <v>#N/A</v>
      </c>
      <c r="X736" s="74" t="str">
        <f>'Ingest Template'!Z736</f>
        <v/>
      </c>
      <c r="Y736" s="35" t="str">
        <f>SUBSTITUTE(SUBSTITUTE(SUBSTITUTE('Ingest Template'!AA736,"http:",""),"https:",""),"/","")</f>
        <v/>
      </c>
      <c r="Z736" s="35" t="str">
        <f t="array" ref="Z736">IF('Ingest Template'!A736="Standard",(IF(ISBLANK('Ingest Template'!AB736),"", 'Ingest Template'!AB736&amp;"|DAR")),(IF(ISBLANK('Ingest Template'!AB736),"", 'Ingest Template'!AB736&amp;"|TV Ops")))</f>
        <v/>
      </c>
      <c r="AA736" s="35"/>
      <c r="AB736" s="35" t="str">
        <f>'Ingest Template'!R736</f>
        <v/>
      </c>
      <c r="AC736" s="35" t="str">
        <f>'Ingest Template'!T736</f>
        <v/>
      </c>
      <c r="AD736" s="35" t="str">
        <f>'Ingest Template'!S736</f>
        <v/>
      </c>
      <c r="AE736" s="35" t="str">
        <f>'Ingest Template'!U736</f>
        <v/>
      </c>
      <c r="AF736" s="22"/>
      <c r="AG736" s="35" t="str">
        <f t="array" ref="AG736">IF('Ingest Template'!A736="Standard",(CONCATENATE(IF(ISBLANK('Ingest Template'!N736),"", 'Ingest Template'!N736&amp;"|DAR"),CHAR(10), IF(ISBLANK('Ingest Template'!O736),"", 'Ingest Template'!O736&amp;"|DAR"),CHAR(10), IF(ISBLANK('Ingest Template'!P736),"", 'Ingest Template'!P736&amp;"|DAR"))),(CONCATENATE(IF(ISBLANK('Ingest Template'!N736),"", 'Ingest Template'!N736&amp;"|TV Ops"),CHAR(10), IF(ISBLANK('Ingest Template'!O736),"", 'Ingest Template'!O736&amp;"|TV Ops"),CHAR(10), IF(ISBLANK('Ingest Template'!P736),"", 'Ingest Template'!P736&amp;"|TV Ops"))))</f>
        <v>
</v>
      </c>
      <c r="AH736" s="35"/>
      <c r="AI736" s="35"/>
      <c r="AJ736" s="117" t="str">
        <f>if('Ingest Template'!A736="Standard",(IF(OR('Ingest Template'!F736 = "Program Type - Special", 'Ingest Template'!F736 = "Program Type - Live Event"),'Ingest Template'!M736&amp; "|DAR|DAR|"&amp;TEXT('Ingest Template'!C736-3, "yyyy-mm-dd")&amp;"|"&amp;TEXT('Ingest Template'!C736+3, "yyyy-mm-dd"),'Ingest Template'!M736&amp; "|DAR|DAR|2021-01-01")),(IF(OR('Ingest Template'!F736 = "Program Type - Special", 'Ingest Template'!F736 = "Program Type - Live Event"),'Ingest Template'!M736&amp; "|Operations - Core Title|Operations - Core Title|"&amp;TEXT('Ingest Template'!C736-3, "yyyy-mm-dd")&amp;"|"&amp;TEXT('Ingest Template'!C736+3, "yyyy-mm-dd"),'Ingest Template'!M736&amp; "|Operations - Core Title|Operations - Core Title")))</f>
        <v>|Operations - Core Title|Operations - Core Title</v>
      </c>
      <c r="AK736" s="35"/>
      <c r="AL736" s="117" t="str">
        <f>if('Ingest Template'!A736="Standard",(IF(OR('Ingest Template'!F736 = "Program Type - Special", 'Ingest Template'!F736 = "Program Type - Live Event"),'Ingest Template'!Q736&amp;"|"&amp;TEXT('Ingest Template'!C736-3, "yyyy-mm-dd")&amp;"|"&amp;TEXT('Ingest Template'!C736+3, "yyyy-mm-dd"),'Ingest Template'!Q736&amp; "|2021-01-01")),(IF(OR('Ingest Template'!F736 = "Program Type - Special", 'Ingest Template'!F736 = "Program Type - Live Event"),'Ingest Template'!Q736&amp; "|"&amp;TEXT('Ingest Template'!C736-3, "yyyy-mm-dd")&amp;"|"&amp;TEXT('Ingest Template'!C736+3, "yyyy-mm-dd"),'Ingest Template'!Q736)))</f>
        <v/>
      </c>
      <c r="AM736" s="35" t="str">
        <f>'Ingest Template'!AC736</f>
        <v/>
      </c>
    </row>
    <row r="737">
      <c r="A737" s="15"/>
      <c r="B737" s="22" t="str">
        <f>'Ingest Template'!C737&amp;IF('Ingest Template'!A737 = "Standard", " - DAR","")</f>
        <v/>
      </c>
      <c r="C737" s="22" t="s">
        <v>83</v>
      </c>
      <c r="D737" s="22" t="str">
        <f t="array" ref="D737">CONCATENATE(INDEX(DropdownLists!$H$2:$H$11,MATCH(1,COUNTIF('Ingest Template'!E737,"*"&amp;DropdownLists!$I$2:$I$11&amp;"*"),0)),CHAR(10),'Ingest Template'!F737,CHAR(10),'Ingest Template'!G737,CHAR(10),VLOOKUP('Ingest Template'!D737,DropdownLists!C:D,2,FALSE))</f>
        <v>#N/A</v>
      </c>
      <c r="E737" s="22" t="str">
        <f>CONCATENATE('Ingest Template'!H737,CHAR(10),'Ingest Template'!I737,CHAR(10),'Ingest Template'!J737,CHAR(10))</f>
        <v>
</v>
      </c>
      <c r="F737" s="35" t="str">
        <f t="array" ref="F737">INDEX(DropdownLists!$O$2:$O$36,MATCH(1,COUNTIF(E737,"*"&amp;DropdownLists!$N$2:$N$36&amp;"*"),0))</f>
        <v/>
      </c>
      <c r="G737" s="35"/>
      <c r="H737" s="22" t="str">
        <f t="array" ref="H737">INDEX(DropdownLists!$E$2:$E$276,MATCH('Ingest Template'!D737,DropdownLists!$C$2:$C$276,0))</f>
        <v>#N/A</v>
      </c>
      <c r="I737" s="22"/>
      <c r="J737" s="22" t="str">
        <f t="array" ref="J737">iF('Ingest Template'!A737="Standard","Pristine Brand",INDEX(DropdownLists!$B$2:$B$246,MATCH('Ingest Template'!D737,DropdownLists!$C$2:$C$246,0)))</f>
        <v>#N/A</v>
      </c>
      <c r="K737" s="22" t="str">
        <f>iF('Ingest Template'!A737="Standard",'Ingest Template'!K737&amp;CHAR(10)&amp;'Ingest Template'!L737,"Competitive View")</f>
        <v>Competitive View</v>
      </c>
      <c r="L737" s="22" t="s">
        <v>95</v>
      </c>
      <c r="M737" s="45" t="str">
        <f>'Ingest Template'!B737</f>
        <v/>
      </c>
      <c r="N737" s="35"/>
      <c r="O737" s="35"/>
      <c r="P737" s="35"/>
      <c r="Q737" s="35"/>
      <c r="R737" s="35" t="str">
        <f>'Ingest Template'!D737</f>
        <v/>
      </c>
      <c r="S737" s="22" t="s">
        <v>101</v>
      </c>
      <c r="T737" s="35" t="str">
        <f>'Ingest Template'!V737</f>
        <v/>
      </c>
      <c r="U737" s="35" t="str">
        <f>'Ingest Template'!W737</f>
        <v/>
      </c>
      <c r="V737" s="35" t="str">
        <f>LOWER(SUBSTITUTE(SUBSTITUTE(SUBSTITUTE(SUBSTITUTE(SUBSTITUTE('Ingest Template'!X737,"https:",""),"www.",""),"/",""),"?hl=en",""),"instagram.com",""))</f>
        <v/>
      </c>
      <c r="W737" s="74" t="str">
        <f t="array" ref="W737">IF(
'Ingest Template'!Y737="",
SUBSTITUTE(
INDEX(DropdownLists!$F$2:$F$277,MATCH('Ingest Template'!D737,DropdownLists!$C$2:$C$277,0)),
CHAR(10),
"|"&amp;'Ingest Template'!C737&amp;CHAR(10)
)&amp;"|"&amp;'Ingest Template'!C737,
SUBSTITUTE(
INDEX(DropdownLists!$F$2:$F$277,MATCH('Ingest Template'!D737,DropdownLists!$C$2:$C$277,0)),
CHAR(10),
"|"&amp;'Ingest Template'!C737&amp;CHAR(10)
)&amp;"|"&amp;'Ingest Template'!C737&amp;CHAR(10)&amp;'Ingest Template'!Y737
)</f>
        <v>#N/A</v>
      </c>
      <c r="X737" s="74" t="str">
        <f>'Ingest Template'!Z737</f>
        <v/>
      </c>
      <c r="Y737" s="35" t="str">
        <f>SUBSTITUTE(SUBSTITUTE(SUBSTITUTE('Ingest Template'!AA737,"http:",""),"https:",""),"/","")</f>
        <v/>
      </c>
      <c r="Z737" s="35" t="str">
        <f t="array" ref="Z737">IF('Ingest Template'!A737="Standard",(IF(ISBLANK('Ingest Template'!AB737),"", 'Ingest Template'!AB737&amp;"|DAR")),(IF(ISBLANK('Ingest Template'!AB737),"", 'Ingest Template'!AB737&amp;"|TV Ops")))</f>
        <v/>
      </c>
      <c r="AA737" s="35"/>
      <c r="AB737" s="35" t="str">
        <f>'Ingest Template'!R737</f>
        <v/>
      </c>
      <c r="AC737" s="35" t="str">
        <f>'Ingest Template'!T737</f>
        <v/>
      </c>
      <c r="AD737" s="35" t="str">
        <f>'Ingest Template'!S737</f>
        <v/>
      </c>
      <c r="AE737" s="35" t="str">
        <f>'Ingest Template'!U737</f>
        <v/>
      </c>
      <c r="AF737" s="22"/>
      <c r="AG737" s="35" t="str">
        <f t="array" ref="AG737">IF('Ingest Template'!A737="Standard",(CONCATENATE(IF(ISBLANK('Ingest Template'!N737),"", 'Ingest Template'!N737&amp;"|DAR"),CHAR(10), IF(ISBLANK('Ingest Template'!O737),"", 'Ingest Template'!O737&amp;"|DAR"),CHAR(10), IF(ISBLANK('Ingest Template'!P737),"", 'Ingest Template'!P737&amp;"|DAR"))),(CONCATENATE(IF(ISBLANK('Ingest Template'!N737),"", 'Ingest Template'!N737&amp;"|TV Ops"),CHAR(10), IF(ISBLANK('Ingest Template'!O737),"", 'Ingest Template'!O737&amp;"|TV Ops"),CHAR(10), IF(ISBLANK('Ingest Template'!P737),"", 'Ingest Template'!P737&amp;"|TV Ops"))))</f>
        <v>
</v>
      </c>
      <c r="AH737" s="35"/>
      <c r="AI737" s="35"/>
      <c r="AJ737" s="117" t="str">
        <f>if('Ingest Template'!A737="Standard",(IF(OR('Ingest Template'!F737 = "Program Type - Special", 'Ingest Template'!F737 = "Program Type - Live Event"),'Ingest Template'!M737&amp; "|DAR|DAR|"&amp;TEXT('Ingest Template'!C737-3, "yyyy-mm-dd")&amp;"|"&amp;TEXT('Ingest Template'!C737+3, "yyyy-mm-dd"),'Ingest Template'!M737&amp; "|DAR|DAR|2021-01-01")),(IF(OR('Ingest Template'!F737 = "Program Type - Special", 'Ingest Template'!F737 = "Program Type - Live Event"),'Ingest Template'!M737&amp; "|Operations - Core Title|Operations - Core Title|"&amp;TEXT('Ingest Template'!C737-3, "yyyy-mm-dd")&amp;"|"&amp;TEXT('Ingest Template'!C737+3, "yyyy-mm-dd"),'Ingest Template'!M737&amp; "|Operations - Core Title|Operations - Core Title")))</f>
        <v>|Operations - Core Title|Operations - Core Title</v>
      </c>
      <c r="AK737" s="35"/>
      <c r="AL737" s="117" t="str">
        <f>if('Ingest Template'!A737="Standard",(IF(OR('Ingest Template'!F737 = "Program Type - Special", 'Ingest Template'!F737 = "Program Type - Live Event"),'Ingest Template'!Q737&amp;"|"&amp;TEXT('Ingest Template'!C737-3, "yyyy-mm-dd")&amp;"|"&amp;TEXT('Ingest Template'!C737+3, "yyyy-mm-dd"),'Ingest Template'!Q737&amp; "|2021-01-01")),(IF(OR('Ingest Template'!F737 = "Program Type - Special", 'Ingest Template'!F737 = "Program Type - Live Event"),'Ingest Template'!Q737&amp; "|"&amp;TEXT('Ingest Template'!C737-3, "yyyy-mm-dd")&amp;"|"&amp;TEXT('Ingest Template'!C737+3, "yyyy-mm-dd"),'Ingest Template'!Q737)))</f>
        <v/>
      </c>
      <c r="AM737" s="35" t="str">
        <f>'Ingest Template'!AC737</f>
        <v/>
      </c>
    </row>
    <row r="738">
      <c r="A738" s="15"/>
      <c r="B738" s="22" t="str">
        <f>'Ingest Template'!C738&amp;IF('Ingest Template'!A738 = "Standard", " - DAR","")</f>
        <v/>
      </c>
      <c r="C738" s="22" t="s">
        <v>83</v>
      </c>
      <c r="D738" s="22" t="str">
        <f t="array" ref="D738">CONCATENATE(INDEX(DropdownLists!$H$2:$H$11,MATCH(1,COUNTIF('Ingest Template'!E738,"*"&amp;DropdownLists!$I$2:$I$11&amp;"*"),0)),CHAR(10),'Ingest Template'!F738,CHAR(10),'Ingest Template'!G738,CHAR(10),VLOOKUP('Ingest Template'!D738,DropdownLists!C:D,2,FALSE))</f>
        <v>#N/A</v>
      </c>
      <c r="E738" s="22" t="str">
        <f>CONCATENATE('Ingest Template'!H738,CHAR(10),'Ingest Template'!I738,CHAR(10),'Ingest Template'!J738,CHAR(10))</f>
        <v>
</v>
      </c>
      <c r="F738" s="35" t="str">
        <f t="array" ref="F738">INDEX(DropdownLists!$O$2:$O$36,MATCH(1,COUNTIF(E738,"*"&amp;DropdownLists!$N$2:$N$36&amp;"*"),0))</f>
        <v/>
      </c>
      <c r="G738" s="35"/>
      <c r="H738" s="22" t="str">
        <f t="array" ref="H738">INDEX(DropdownLists!$E$2:$E$276,MATCH('Ingest Template'!D738,DropdownLists!$C$2:$C$276,0))</f>
        <v>#N/A</v>
      </c>
      <c r="I738" s="22"/>
      <c r="J738" s="22" t="str">
        <f t="array" ref="J738">iF('Ingest Template'!A738="Standard","Pristine Brand",INDEX(DropdownLists!$B$2:$B$246,MATCH('Ingest Template'!D738,DropdownLists!$C$2:$C$246,0)))</f>
        <v>#N/A</v>
      </c>
      <c r="K738" s="22" t="str">
        <f>iF('Ingest Template'!A738="Standard",'Ingest Template'!K738&amp;CHAR(10)&amp;'Ingest Template'!L738,"Competitive View")</f>
        <v>Competitive View</v>
      </c>
      <c r="L738" s="22" t="s">
        <v>95</v>
      </c>
      <c r="M738" s="45" t="str">
        <f>'Ingest Template'!B738</f>
        <v/>
      </c>
      <c r="N738" s="35"/>
      <c r="O738" s="35"/>
      <c r="P738" s="35"/>
      <c r="Q738" s="35"/>
      <c r="R738" s="35" t="str">
        <f>'Ingest Template'!D738</f>
        <v/>
      </c>
      <c r="S738" s="22" t="s">
        <v>101</v>
      </c>
      <c r="T738" s="35" t="str">
        <f>'Ingest Template'!V738</f>
        <v/>
      </c>
      <c r="U738" s="35" t="str">
        <f>'Ingest Template'!W738</f>
        <v/>
      </c>
      <c r="V738" s="35" t="str">
        <f>LOWER(SUBSTITUTE(SUBSTITUTE(SUBSTITUTE(SUBSTITUTE(SUBSTITUTE('Ingest Template'!X738,"https:",""),"www.",""),"/",""),"?hl=en",""),"instagram.com",""))</f>
        <v/>
      </c>
      <c r="W738" s="74" t="str">
        <f t="array" ref="W738">IF(
'Ingest Template'!Y738="",
SUBSTITUTE(
INDEX(DropdownLists!$F$2:$F$277,MATCH('Ingest Template'!D738,DropdownLists!$C$2:$C$277,0)),
CHAR(10),
"|"&amp;'Ingest Template'!C738&amp;CHAR(10)
)&amp;"|"&amp;'Ingest Template'!C738,
SUBSTITUTE(
INDEX(DropdownLists!$F$2:$F$277,MATCH('Ingest Template'!D738,DropdownLists!$C$2:$C$277,0)),
CHAR(10),
"|"&amp;'Ingest Template'!C738&amp;CHAR(10)
)&amp;"|"&amp;'Ingest Template'!C738&amp;CHAR(10)&amp;'Ingest Template'!Y738
)</f>
        <v>#N/A</v>
      </c>
      <c r="X738" s="74" t="str">
        <f>'Ingest Template'!Z738</f>
        <v/>
      </c>
      <c r="Y738" s="35" t="str">
        <f>SUBSTITUTE(SUBSTITUTE(SUBSTITUTE('Ingest Template'!AA738,"http:",""),"https:",""),"/","")</f>
        <v/>
      </c>
      <c r="Z738" s="35" t="str">
        <f t="array" ref="Z738">IF('Ingest Template'!A738="Standard",(IF(ISBLANK('Ingest Template'!AB738),"", 'Ingest Template'!AB738&amp;"|DAR")),(IF(ISBLANK('Ingest Template'!AB738),"", 'Ingest Template'!AB738&amp;"|TV Ops")))</f>
        <v/>
      </c>
      <c r="AA738" s="35"/>
      <c r="AB738" s="35" t="str">
        <f>'Ingest Template'!R738</f>
        <v/>
      </c>
      <c r="AC738" s="35" t="str">
        <f>'Ingest Template'!T738</f>
        <v/>
      </c>
      <c r="AD738" s="35" t="str">
        <f>'Ingest Template'!S738</f>
        <v/>
      </c>
      <c r="AE738" s="35" t="str">
        <f>'Ingest Template'!U738</f>
        <v/>
      </c>
      <c r="AF738" s="22"/>
      <c r="AG738" s="35" t="str">
        <f t="array" ref="AG738">IF('Ingest Template'!A738="Standard",(CONCATENATE(IF(ISBLANK('Ingest Template'!N738),"", 'Ingest Template'!N738&amp;"|DAR"),CHAR(10), IF(ISBLANK('Ingest Template'!O738),"", 'Ingest Template'!O738&amp;"|DAR"),CHAR(10), IF(ISBLANK('Ingest Template'!P738),"", 'Ingest Template'!P738&amp;"|DAR"))),(CONCATENATE(IF(ISBLANK('Ingest Template'!N738),"", 'Ingest Template'!N738&amp;"|TV Ops"),CHAR(10), IF(ISBLANK('Ingest Template'!O738),"", 'Ingest Template'!O738&amp;"|TV Ops"),CHAR(10), IF(ISBLANK('Ingest Template'!P738),"", 'Ingest Template'!P738&amp;"|TV Ops"))))</f>
        <v>
</v>
      </c>
      <c r="AH738" s="35"/>
      <c r="AI738" s="35"/>
      <c r="AJ738" s="117" t="str">
        <f>if('Ingest Template'!A738="Standard",(IF(OR('Ingest Template'!F738 = "Program Type - Special", 'Ingest Template'!F738 = "Program Type - Live Event"),'Ingest Template'!M738&amp; "|DAR|DAR|"&amp;TEXT('Ingest Template'!C738-3, "yyyy-mm-dd")&amp;"|"&amp;TEXT('Ingest Template'!C738+3, "yyyy-mm-dd"),'Ingest Template'!M738&amp; "|DAR|DAR|2021-01-01")),(IF(OR('Ingest Template'!F738 = "Program Type - Special", 'Ingest Template'!F738 = "Program Type - Live Event"),'Ingest Template'!M738&amp; "|Operations - Core Title|Operations - Core Title|"&amp;TEXT('Ingest Template'!C738-3, "yyyy-mm-dd")&amp;"|"&amp;TEXT('Ingest Template'!C738+3, "yyyy-mm-dd"),'Ingest Template'!M738&amp; "|Operations - Core Title|Operations - Core Title")))</f>
        <v>|Operations - Core Title|Operations - Core Title</v>
      </c>
      <c r="AK738" s="35"/>
      <c r="AL738" s="117" t="str">
        <f>if('Ingest Template'!A738="Standard",(IF(OR('Ingest Template'!F738 = "Program Type - Special", 'Ingest Template'!F738 = "Program Type - Live Event"),'Ingest Template'!Q738&amp;"|"&amp;TEXT('Ingest Template'!C738-3, "yyyy-mm-dd")&amp;"|"&amp;TEXT('Ingest Template'!C738+3, "yyyy-mm-dd"),'Ingest Template'!Q738&amp; "|2021-01-01")),(IF(OR('Ingest Template'!F738 = "Program Type - Special", 'Ingest Template'!F738 = "Program Type - Live Event"),'Ingest Template'!Q738&amp; "|"&amp;TEXT('Ingest Template'!C738-3, "yyyy-mm-dd")&amp;"|"&amp;TEXT('Ingest Template'!C738+3, "yyyy-mm-dd"),'Ingest Template'!Q738)))</f>
        <v/>
      </c>
      <c r="AM738" s="35" t="str">
        <f>'Ingest Template'!AC738</f>
        <v/>
      </c>
    </row>
    <row r="739">
      <c r="A739" s="15"/>
      <c r="B739" s="22" t="str">
        <f>'Ingest Template'!C739&amp;IF('Ingest Template'!A739 = "Standard", " - DAR","")</f>
        <v/>
      </c>
      <c r="C739" s="22" t="s">
        <v>83</v>
      </c>
      <c r="D739" s="22" t="str">
        <f t="array" ref="D739">CONCATENATE(INDEX(DropdownLists!$H$2:$H$11,MATCH(1,COUNTIF('Ingest Template'!E739,"*"&amp;DropdownLists!$I$2:$I$11&amp;"*"),0)),CHAR(10),'Ingest Template'!F739,CHAR(10),'Ingest Template'!G739,CHAR(10),VLOOKUP('Ingest Template'!D739,DropdownLists!C:D,2,FALSE))</f>
        <v>#N/A</v>
      </c>
      <c r="E739" s="22" t="str">
        <f>CONCATENATE('Ingest Template'!H739,CHAR(10),'Ingest Template'!I739,CHAR(10),'Ingest Template'!J739,CHAR(10))</f>
        <v>
</v>
      </c>
      <c r="F739" s="35" t="str">
        <f t="array" ref="F739">INDEX(DropdownLists!$O$2:$O$36,MATCH(1,COUNTIF(E739,"*"&amp;DropdownLists!$N$2:$N$36&amp;"*"),0))</f>
        <v/>
      </c>
      <c r="G739" s="35"/>
      <c r="H739" s="22" t="str">
        <f t="array" ref="H739">INDEX(DropdownLists!$E$2:$E$276,MATCH('Ingest Template'!D739,DropdownLists!$C$2:$C$276,0))</f>
        <v>#N/A</v>
      </c>
      <c r="I739" s="22"/>
      <c r="J739" s="22" t="str">
        <f t="array" ref="J739">iF('Ingest Template'!A739="Standard","Pristine Brand",INDEX(DropdownLists!$B$2:$B$246,MATCH('Ingest Template'!D739,DropdownLists!$C$2:$C$246,0)))</f>
        <v>#N/A</v>
      </c>
      <c r="K739" s="22" t="str">
        <f>iF('Ingest Template'!A739="Standard",'Ingest Template'!K739&amp;CHAR(10)&amp;'Ingest Template'!L739,"Competitive View")</f>
        <v>Competitive View</v>
      </c>
      <c r="L739" s="22" t="s">
        <v>95</v>
      </c>
      <c r="M739" s="45" t="str">
        <f>'Ingest Template'!B739</f>
        <v/>
      </c>
      <c r="N739" s="35"/>
      <c r="O739" s="35"/>
      <c r="P739" s="35"/>
      <c r="Q739" s="35"/>
      <c r="R739" s="35" t="str">
        <f>'Ingest Template'!D739</f>
        <v/>
      </c>
      <c r="S739" s="22" t="s">
        <v>101</v>
      </c>
      <c r="T739" s="35" t="str">
        <f>'Ingest Template'!V739</f>
        <v/>
      </c>
      <c r="U739" s="35" t="str">
        <f>'Ingest Template'!W739</f>
        <v/>
      </c>
      <c r="V739" s="35" t="str">
        <f>LOWER(SUBSTITUTE(SUBSTITUTE(SUBSTITUTE(SUBSTITUTE(SUBSTITUTE('Ingest Template'!X739,"https:",""),"www.",""),"/",""),"?hl=en",""),"instagram.com",""))</f>
        <v/>
      </c>
      <c r="W739" s="74" t="str">
        <f t="array" ref="W739">IF(
'Ingest Template'!Y739="",
SUBSTITUTE(
INDEX(DropdownLists!$F$2:$F$277,MATCH('Ingest Template'!D739,DropdownLists!$C$2:$C$277,0)),
CHAR(10),
"|"&amp;'Ingest Template'!C739&amp;CHAR(10)
)&amp;"|"&amp;'Ingest Template'!C739,
SUBSTITUTE(
INDEX(DropdownLists!$F$2:$F$277,MATCH('Ingest Template'!D739,DropdownLists!$C$2:$C$277,0)),
CHAR(10),
"|"&amp;'Ingest Template'!C739&amp;CHAR(10)
)&amp;"|"&amp;'Ingest Template'!C739&amp;CHAR(10)&amp;'Ingest Template'!Y739
)</f>
        <v>#N/A</v>
      </c>
      <c r="X739" s="74" t="str">
        <f>'Ingest Template'!Z739</f>
        <v/>
      </c>
      <c r="Y739" s="35" t="str">
        <f>SUBSTITUTE(SUBSTITUTE(SUBSTITUTE('Ingest Template'!AA739,"http:",""),"https:",""),"/","")</f>
        <v/>
      </c>
      <c r="Z739" s="35" t="str">
        <f t="array" ref="Z739">IF('Ingest Template'!A739="Standard",(IF(ISBLANK('Ingest Template'!AB739),"", 'Ingest Template'!AB739&amp;"|DAR")),(IF(ISBLANK('Ingest Template'!AB739),"", 'Ingest Template'!AB739&amp;"|TV Ops")))</f>
        <v/>
      </c>
      <c r="AA739" s="35"/>
      <c r="AB739" s="35" t="str">
        <f>'Ingest Template'!R739</f>
        <v/>
      </c>
      <c r="AC739" s="35" t="str">
        <f>'Ingest Template'!T739</f>
        <v/>
      </c>
      <c r="AD739" s="35" t="str">
        <f>'Ingest Template'!S739</f>
        <v/>
      </c>
      <c r="AE739" s="35" t="str">
        <f>'Ingest Template'!U739</f>
        <v/>
      </c>
      <c r="AF739" s="22"/>
      <c r="AG739" s="35" t="str">
        <f t="array" ref="AG739">IF('Ingest Template'!A739="Standard",(CONCATENATE(IF(ISBLANK('Ingest Template'!N739),"", 'Ingest Template'!N739&amp;"|DAR"),CHAR(10), IF(ISBLANK('Ingest Template'!O739),"", 'Ingest Template'!O739&amp;"|DAR"),CHAR(10), IF(ISBLANK('Ingest Template'!P739),"", 'Ingest Template'!P739&amp;"|DAR"))),(CONCATENATE(IF(ISBLANK('Ingest Template'!N739),"", 'Ingest Template'!N739&amp;"|TV Ops"),CHAR(10), IF(ISBLANK('Ingest Template'!O739),"", 'Ingest Template'!O739&amp;"|TV Ops"),CHAR(10), IF(ISBLANK('Ingest Template'!P739),"", 'Ingest Template'!P739&amp;"|TV Ops"))))</f>
        <v>
</v>
      </c>
      <c r="AH739" s="35"/>
      <c r="AI739" s="35"/>
      <c r="AJ739" s="117" t="str">
        <f>if('Ingest Template'!A739="Standard",(IF(OR('Ingest Template'!F739 = "Program Type - Special", 'Ingest Template'!F739 = "Program Type - Live Event"),'Ingest Template'!M739&amp; "|DAR|DAR|"&amp;TEXT('Ingest Template'!C739-3, "yyyy-mm-dd")&amp;"|"&amp;TEXT('Ingest Template'!C739+3, "yyyy-mm-dd"),'Ingest Template'!M739&amp; "|DAR|DAR|2021-01-01")),(IF(OR('Ingest Template'!F739 = "Program Type - Special", 'Ingest Template'!F739 = "Program Type - Live Event"),'Ingest Template'!M739&amp; "|Operations - Core Title|Operations - Core Title|"&amp;TEXT('Ingest Template'!C739-3, "yyyy-mm-dd")&amp;"|"&amp;TEXT('Ingest Template'!C739+3, "yyyy-mm-dd"),'Ingest Template'!M739&amp; "|Operations - Core Title|Operations - Core Title")))</f>
        <v>|Operations - Core Title|Operations - Core Title</v>
      </c>
      <c r="AK739" s="35"/>
      <c r="AL739" s="117" t="str">
        <f>if('Ingest Template'!A739="Standard",(IF(OR('Ingest Template'!F739 = "Program Type - Special", 'Ingest Template'!F739 = "Program Type - Live Event"),'Ingest Template'!Q739&amp;"|"&amp;TEXT('Ingest Template'!C739-3, "yyyy-mm-dd")&amp;"|"&amp;TEXT('Ingest Template'!C739+3, "yyyy-mm-dd"),'Ingest Template'!Q739&amp; "|2021-01-01")),(IF(OR('Ingest Template'!F739 = "Program Type - Special", 'Ingest Template'!F739 = "Program Type - Live Event"),'Ingest Template'!Q739&amp; "|"&amp;TEXT('Ingest Template'!C739-3, "yyyy-mm-dd")&amp;"|"&amp;TEXT('Ingest Template'!C739+3, "yyyy-mm-dd"),'Ingest Template'!Q739)))</f>
        <v/>
      </c>
      <c r="AM739" s="35" t="str">
        <f>'Ingest Template'!AC739</f>
        <v/>
      </c>
    </row>
    <row r="740">
      <c r="A740" s="15"/>
      <c r="B740" s="22" t="str">
        <f>'Ingest Template'!C740&amp;IF('Ingest Template'!A740 = "Standard", " - DAR","")</f>
        <v/>
      </c>
      <c r="C740" s="22" t="s">
        <v>83</v>
      </c>
      <c r="D740" s="22" t="str">
        <f t="array" ref="D740">CONCATENATE(INDEX(DropdownLists!$H$2:$H$11,MATCH(1,COUNTIF('Ingest Template'!E740,"*"&amp;DropdownLists!$I$2:$I$11&amp;"*"),0)),CHAR(10),'Ingest Template'!F740,CHAR(10),'Ingest Template'!G740,CHAR(10),VLOOKUP('Ingest Template'!D740,DropdownLists!C:D,2,FALSE))</f>
        <v>#N/A</v>
      </c>
      <c r="E740" s="22" t="str">
        <f>CONCATENATE('Ingest Template'!H740,CHAR(10),'Ingest Template'!I740,CHAR(10),'Ingest Template'!J740,CHAR(10))</f>
        <v>
</v>
      </c>
      <c r="F740" s="35" t="str">
        <f t="array" ref="F740">INDEX(DropdownLists!$O$2:$O$36,MATCH(1,COUNTIF(E740,"*"&amp;DropdownLists!$N$2:$N$36&amp;"*"),0))</f>
        <v/>
      </c>
      <c r="G740" s="35"/>
      <c r="H740" s="22" t="str">
        <f t="array" ref="H740">INDEX(DropdownLists!$E$2:$E$276,MATCH('Ingest Template'!D740,DropdownLists!$C$2:$C$276,0))</f>
        <v>#N/A</v>
      </c>
      <c r="I740" s="22"/>
      <c r="J740" s="22" t="str">
        <f t="array" ref="J740">iF('Ingest Template'!A740="Standard","Pristine Brand",INDEX(DropdownLists!$B$2:$B$246,MATCH('Ingest Template'!D740,DropdownLists!$C$2:$C$246,0)))</f>
        <v>#N/A</v>
      </c>
      <c r="K740" s="22" t="str">
        <f>iF('Ingest Template'!A740="Standard",'Ingest Template'!K740&amp;CHAR(10)&amp;'Ingest Template'!L740,"Competitive View")</f>
        <v>Competitive View</v>
      </c>
      <c r="L740" s="22" t="s">
        <v>95</v>
      </c>
      <c r="M740" s="45" t="str">
        <f>'Ingest Template'!B740</f>
        <v/>
      </c>
      <c r="N740" s="35"/>
      <c r="O740" s="35"/>
      <c r="P740" s="35"/>
      <c r="Q740" s="35"/>
      <c r="R740" s="35" t="str">
        <f>'Ingest Template'!D740</f>
        <v/>
      </c>
      <c r="S740" s="22" t="s">
        <v>101</v>
      </c>
      <c r="T740" s="35" t="str">
        <f>'Ingest Template'!V740</f>
        <v/>
      </c>
      <c r="U740" s="35" t="str">
        <f>'Ingest Template'!W740</f>
        <v/>
      </c>
      <c r="V740" s="35" t="str">
        <f>LOWER(SUBSTITUTE(SUBSTITUTE(SUBSTITUTE(SUBSTITUTE(SUBSTITUTE('Ingest Template'!X740,"https:",""),"www.",""),"/",""),"?hl=en",""),"instagram.com",""))</f>
        <v/>
      </c>
      <c r="W740" s="74" t="str">
        <f t="array" ref="W740">IF(
'Ingest Template'!Y740="",
SUBSTITUTE(
INDEX(DropdownLists!$F$2:$F$277,MATCH('Ingest Template'!D740,DropdownLists!$C$2:$C$277,0)),
CHAR(10),
"|"&amp;'Ingest Template'!C740&amp;CHAR(10)
)&amp;"|"&amp;'Ingest Template'!C740,
SUBSTITUTE(
INDEX(DropdownLists!$F$2:$F$277,MATCH('Ingest Template'!D740,DropdownLists!$C$2:$C$277,0)),
CHAR(10),
"|"&amp;'Ingest Template'!C740&amp;CHAR(10)
)&amp;"|"&amp;'Ingest Template'!C740&amp;CHAR(10)&amp;'Ingest Template'!Y740
)</f>
        <v>#N/A</v>
      </c>
      <c r="X740" s="74" t="str">
        <f>'Ingest Template'!Z740</f>
        <v/>
      </c>
      <c r="Y740" s="35" t="str">
        <f>SUBSTITUTE(SUBSTITUTE(SUBSTITUTE('Ingest Template'!AA740,"http:",""),"https:",""),"/","")</f>
        <v/>
      </c>
      <c r="Z740" s="35" t="str">
        <f t="array" ref="Z740">IF('Ingest Template'!A740="Standard",(IF(ISBLANK('Ingest Template'!AB740),"", 'Ingest Template'!AB740&amp;"|DAR")),(IF(ISBLANK('Ingest Template'!AB740),"", 'Ingest Template'!AB740&amp;"|TV Ops")))</f>
        <v/>
      </c>
      <c r="AA740" s="35"/>
      <c r="AB740" s="35" t="str">
        <f>'Ingest Template'!R740</f>
        <v/>
      </c>
      <c r="AC740" s="35" t="str">
        <f>'Ingest Template'!T740</f>
        <v/>
      </c>
      <c r="AD740" s="35" t="str">
        <f>'Ingest Template'!S740</f>
        <v/>
      </c>
      <c r="AE740" s="35" t="str">
        <f>'Ingest Template'!U740</f>
        <v/>
      </c>
      <c r="AF740" s="22"/>
      <c r="AG740" s="35" t="str">
        <f t="array" ref="AG740">IF('Ingest Template'!A740="Standard",(CONCATENATE(IF(ISBLANK('Ingest Template'!N740),"", 'Ingest Template'!N740&amp;"|DAR"),CHAR(10), IF(ISBLANK('Ingest Template'!O740),"", 'Ingest Template'!O740&amp;"|DAR"),CHAR(10), IF(ISBLANK('Ingest Template'!P740),"", 'Ingest Template'!P740&amp;"|DAR"))),(CONCATENATE(IF(ISBLANK('Ingest Template'!N740),"", 'Ingest Template'!N740&amp;"|TV Ops"),CHAR(10), IF(ISBLANK('Ingest Template'!O740),"", 'Ingest Template'!O740&amp;"|TV Ops"),CHAR(10), IF(ISBLANK('Ingest Template'!P740),"", 'Ingest Template'!P740&amp;"|TV Ops"))))</f>
        <v>
</v>
      </c>
      <c r="AH740" s="35"/>
      <c r="AI740" s="35"/>
      <c r="AJ740" s="117" t="str">
        <f>if('Ingest Template'!A740="Standard",(IF(OR('Ingest Template'!F740 = "Program Type - Special", 'Ingest Template'!F740 = "Program Type - Live Event"),'Ingest Template'!M740&amp; "|DAR|DAR|"&amp;TEXT('Ingest Template'!C740-3, "yyyy-mm-dd")&amp;"|"&amp;TEXT('Ingest Template'!C740+3, "yyyy-mm-dd"),'Ingest Template'!M740&amp; "|DAR|DAR|2021-01-01")),(IF(OR('Ingest Template'!F740 = "Program Type - Special", 'Ingest Template'!F740 = "Program Type - Live Event"),'Ingest Template'!M740&amp; "|Operations - Core Title|Operations - Core Title|"&amp;TEXT('Ingest Template'!C740-3, "yyyy-mm-dd")&amp;"|"&amp;TEXT('Ingest Template'!C740+3, "yyyy-mm-dd"),'Ingest Template'!M740&amp; "|Operations - Core Title|Operations - Core Title")))</f>
        <v>|Operations - Core Title|Operations - Core Title</v>
      </c>
      <c r="AK740" s="35"/>
      <c r="AL740" s="117" t="str">
        <f>if('Ingest Template'!A740="Standard",(IF(OR('Ingest Template'!F740 = "Program Type - Special", 'Ingest Template'!F740 = "Program Type - Live Event"),'Ingest Template'!Q740&amp;"|"&amp;TEXT('Ingest Template'!C740-3, "yyyy-mm-dd")&amp;"|"&amp;TEXT('Ingest Template'!C740+3, "yyyy-mm-dd"),'Ingest Template'!Q740&amp; "|2021-01-01")),(IF(OR('Ingest Template'!F740 = "Program Type - Special", 'Ingest Template'!F740 = "Program Type - Live Event"),'Ingest Template'!Q740&amp; "|"&amp;TEXT('Ingest Template'!C740-3, "yyyy-mm-dd")&amp;"|"&amp;TEXT('Ingest Template'!C740+3, "yyyy-mm-dd"),'Ingest Template'!Q740)))</f>
        <v/>
      </c>
      <c r="AM740" s="35" t="str">
        <f>'Ingest Template'!AC740</f>
        <v/>
      </c>
    </row>
    <row r="741">
      <c r="A741" s="15"/>
      <c r="B741" s="22" t="str">
        <f>'Ingest Template'!C741&amp;IF('Ingest Template'!A741 = "Standard", " - DAR","")</f>
        <v/>
      </c>
      <c r="C741" s="22" t="s">
        <v>83</v>
      </c>
      <c r="D741" s="22" t="str">
        <f t="array" ref="D741">CONCATENATE(INDEX(DropdownLists!$H$2:$H$11,MATCH(1,COUNTIF('Ingest Template'!E741,"*"&amp;DropdownLists!$I$2:$I$11&amp;"*"),0)),CHAR(10),'Ingest Template'!F741,CHAR(10),'Ingest Template'!G741,CHAR(10),VLOOKUP('Ingest Template'!D741,DropdownLists!C:D,2,FALSE))</f>
        <v>#N/A</v>
      </c>
      <c r="E741" s="22" t="str">
        <f>CONCATENATE('Ingest Template'!H741,CHAR(10),'Ingest Template'!I741,CHAR(10),'Ingest Template'!J741,CHAR(10))</f>
        <v>
</v>
      </c>
      <c r="F741" s="35" t="str">
        <f t="array" ref="F741">INDEX(DropdownLists!$O$2:$O$36,MATCH(1,COUNTIF(E741,"*"&amp;DropdownLists!$N$2:$N$36&amp;"*"),0))</f>
        <v/>
      </c>
      <c r="G741" s="35"/>
      <c r="H741" s="22" t="str">
        <f t="array" ref="H741">INDEX(DropdownLists!$E$2:$E$276,MATCH('Ingest Template'!D741,DropdownLists!$C$2:$C$276,0))</f>
        <v>#N/A</v>
      </c>
      <c r="I741" s="22"/>
      <c r="J741" s="22" t="str">
        <f t="array" ref="J741">iF('Ingest Template'!A741="Standard","Pristine Brand",INDEX(DropdownLists!$B$2:$B$246,MATCH('Ingest Template'!D741,DropdownLists!$C$2:$C$246,0)))</f>
        <v>#N/A</v>
      </c>
      <c r="K741" s="22" t="str">
        <f>iF('Ingest Template'!A741="Standard",'Ingest Template'!K741&amp;CHAR(10)&amp;'Ingest Template'!L741,"Competitive View")</f>
        <v>Competitive View</v>
      </c>
      <c r="L741" s="22" t="s">
        <v>95</v>
      </c>
      <c r="M741" s="45" t="str">
        <f>'Ingest Template'!B741</f>
        <v/>
      </c>
      <c r="N741" s="35"/>
      <c r="O741" s="35"/>
      <c r="P741" s="35"/>
      <c r="Q741" s="35"/>
      <c r="R741" s="35" t="str">
        <f>'Ingest Template'!D741</f>
        <v/>
      </c>
      <c r="S741" s="22" t="s">
        <v>101</v>
      </c>
      <c r="T741" s="35" t="str">
        <f>'Ingest Template'!V741</f>
        <v/>
      </c>
      <c r="U741" s="35" t="str">
        <f>'Ingest Template'!W741</f>
        <v/>
      </c>
      <c r="V741" s="35" t="str">
        <f>LOWER(SUBSTITUTE(SUBSTITUTE(SUBSTITUTE(SUBSTITUTE(SUBSTITUTE('Ingest Template'!X741,"https:",""),"www.",""),"/",""),"?hl=en",""),"instagram.com",""))</f>
        <v/>
      </c>
      <c r="W741" s="74" t="str">
        <f t="array" ref="W741">IF(
'Ingest Template'!Y741="",
SUBSTITUTE(
INDEX(DropdownLists!$F$2:$F$277,MATCH('Ingest Template'!D741,DropdownLists!$C$2:$C$277,0)),
CHAR(10),
"|"&amp;'Ingest Template'!C741&amp;CHAR(10)
)&amp;"|"&amp;'Ingest Template'!C741,
SUBSTITUTE(
INDEX(DropdownLists!$F$2:$F$277,MATCH('Ingest Template'!D741,DropdownLists!$C$2:$C$277,0)),
CHAR(10),
"|"&amp;'Ingest Template'!C741&amp;CHAR(10)
)&amp;"|"&amp;'Ingest Template'!C741&amp;CHAR(10)&amp;'Ingest Template'!Y741
)</f>
        <v>#N/A</v>
      </c>
      <c r="X741" s="74" t="str">
        <f>'Ingest Template'!Z741</f>
        <v/>
      </c>
      <c r="Y741" s="35" t="str">
        <f>SUBSTITUTE(SUBSTITUTE(SUBSTITUTE('Ingest Template'!AA741,"http:",""),"https:",""),"/","")</f>
        <v/>
      </c>
      <c r="Z741" s="35" t="str">
        <f t="array" ref="Z741">IF('Ingest Template'!A741="Standard",(IF(ISBLANK('Ingest Template'!AB741),"", 'Ingest Template'!AB741&amp;"|DAR")),(IF(ISBLANK('Ingest Template'!AB741),"", 'Ingest Template'!AB741&amp;"|TV Ops")))</f>
        <v/>
      </c>
      <c r="AA741" s="35"/>
      <c r="AB741" s="35" t="str">
        <f>'Ingest Template'!R741</f>
        <v/>
      </c>
      <c r="AC741" s="35" t="str">
        <f>'Ingest Template'!T741</f>
        <v/>
      </c>
      <c r="AD741" s="35" t="str">
        <f>'Ingest Template'!S741</f>
        <v/>
      </c>
      <c r="AE741" s="35" t="str">
        <f>'Ingest Template'!U741</f>
        <v/>
      </c>
      <c r="AF741" s="22"/>
      <c r="AG741" s="35" t="str">
        <f t="array" ref="AG741">IF('Ingest Template'!A741="Standard",(CONCATENATE(IF(ISBLANK('Ingest Template'!N741),"", 'Ingest Template'!N741&amp;"|DAR"),CHAR(10), IF(ISBLANK('Ingest Template'!O741),"", 'Ingest Template'!O741&amp;"|DAR"),CHAR(10), IF(ISBLANK('Ingest Template'!P741),"", 'Ingest Template'!P741&amp;"|DAR"))),(CONCATENATE(IF(ISBLANK('Ingest Template'!N741),"", 'Ingest Template'!N741&amp;"|TV Ops"),CHAR(10), IF(ISBLANK('Ingest Template'!O741),"", 'Ingest Template'!O741&amp;"|TV Ops"),CHAR(10), IF(ISBLANK('Ingest Template'!P741),"", 'Ingest Template'!P741&amp;"|TV Ops"))))</f>
        <v>
</v>
      </c>
      <c r="AH741" s="35"/>
      <c r="AI741" s="35"/>
      <c r="AJ741" s="117" t="str">
        <f>if('Ingest Template'!A741="Standard",(IF(OR('Ingest Template'!F741 = "Program Type - Special", 'Ingest Template'!F741 = "Program Type - Live Event"),'Ingest Template'!M741&amp; "|DAR|DAR|"&amp;TEXT('Ingest Template'!C741-3, "yyyy-mm-dd")&amp;"|"&amp;TEXT('Ingest Template'!C741+3, "yyyy-mm-dd"),'Ingest Template'!M741&amp; "|DAR|DAR|2021-01-01")),(IF(OR('Ingest Template'!F741 = "Program Type - Special", 'Ingest Template'!F741 = "Program Type - Live Event"),'Ingest Template'!M741&amp; "|Operations - Core Title|Operations - Core Title|"&amp;TEXT('Ingest Template'!C741-3, "yyyy-mm-dd")&amp;"|"&amp;TEXT('Ingest Template'!C741+3, "yyyy-mm-dd"),'Ingest Template'!M741&amp; "|Operations - Core Title|Operations - Core Title")))</f>
        <v>|Operations - Core Title|Operations - Core Title</v>
      </c>
      <c r="AK741" s="35"/>
      <c r="AL741" s="117" t="str">
        <f>if('Ingest Template'!A741="Standard",(IF(OR('Ingest Template'!F741 = "Program Type - Special", 'Ingest Template'!F741 = "Program Type - Live Event"),'Ingest Template'!Q741&amp;"|"&amp;TEXT('Ingest Template'!C741-3, "yyyy-mm-dd")&amp;"|"&amp;TEXT('Ingest Template'!C741+3, "yyyy-mm-dd"),'Ingest Template'!Q741&amp; "|2021-01-01")),(IF(OR('Ingest Template'!F741 = "Program Type - Special", 'Ingest Template'!F741 = "Program Type - Live Event"),'Ingest Template'!Q741&amp; "|"&amp;TEXT('Ingest Template'!C741-3, "yyyy-mm-dd")&amp;"|"&amp;TEXT('Ingest Template'!C741+3, "yyyy-mm-dd"),'Ingest Template'!Q741)))</f>
        <v/>
      </c>
      <c r="AM741" s="35" t="str">
        <f>'Ingest Template'!AC741</f>
        <v/>
      </c>
    </row>
    <row r="742">
      <c r="A742" s="15"/>
      <c r="B742" s="22" t="str">
        <f>'Ingest Template'!C742&amp;IF('Ingest Template'!A742 = "Standard", " - DAR","")</f>
        <v/>
      </c>
      <c r="C742" s="22" t="s">
        <v>83</v>
      </c>
      <c r="D742" s="22" t="str">
        <f t="array" ref="D742">CONCATENATE(INDEX(DropdownLists!$H$2:$H$11,MATCH(1,COUNTIF('Ingest Template'!E742,"*"&amp;DropdownLists!$I$2:$I$11&amp;"*"),0)),CHAR(10),'Ingest Template'!F742,CHAR(10),'Ingest Template'!G742,CHAR(10),VLOOKUP('Ingest Template'!D742,DropdownLists!C:D,2,FALSE))</f>
        <v>#N/A</v>
      </c>
      <c r="E742" s="22" t="str">
        <f>CONCATENATE('Ingest Template'!H742,CHAR(10),'Ingest Template'!I742,CHAR(10),'Ingest Template'!J742,CHAR(10))</f>
        <v>
</v>
      </c>
      <c r="F742" s="35" t="str">
        <f t="array" ref="F742">INDEX(DropdownLists!$O$2:$O$36,MATCH(1,COUNTIF(E742,"*"&amp;DropdownLists!$N$2:$N$36&amp;"*"),0))</f>
        <v/>
      </c>
      <c r="G742" s="35"/>
      <c r="H742" s="22" t="str">
        <f t="array" ref="H742">INDEX(DropdownLists!$E$2:$E$276,MATCH('Ingest Template'!D742,DropdownLists!$C$2:$C$276,0))</f>
        <v>#N/A</v>
      </c>
      <c r="I742" s="22"/>
      <c r="J742" s="22" t="str">
        <f t="array" ref="J742">iF('Ingest Template'!A742="Standard","Pristine Brand",INDEX(DropdownLists!$B$2:$B$246,MATCH('Ingest Template'!D742,DropdownLists!$C$2:$C$246,0)))</f>
        <v>#N/A</v>
      </c>
      <c r="K742" s="22" t="str">
        <f>iF('Ingest Template'!A742="Standard",'Ingest Template'!K742&amp;CHAR(10)&amp;'Ingest Template'!L742,"Competitive View")</f>
        <v>Competitive View</v>
      </c>
      <c r="L742" s="22" t="s">
        <v>95</v>
      </c>
      <c r="M742" s="45" t="str">
        <f>'Ingest Template'!B742</f>
        <v/>
      </c>
      <c r="N742" s="35"/>
      <c r="O742" s="35"/>
      <c r="P742" s="35"/>
      <c r="Q742" s="35"/>
      <c r="R742" s="35" t="str">
        <f>'Ingest Template'!D742</f>
        <v/>
      </c>
      <c r="S742" s="22" t="s">
        <v>101</v>
      </c>
      <c r="T742" s="35" t="str">
        <f>'Ingest Template'!V742</f>
        <v/>
      </c>
      <c r="U742" s="35" t="str">
        <f>'Ingest Template'!W742</f>
        <v/>
      </c>
      <c r="V742" s="35" t="str">
        <f>LOWER(SUBSTITUTE(SUBSTITUTE(SUBSTITUTE(SUBSTITUTE(SUBSTITUTE('Ingest Template'!X742,"https:",""),"www.",""),"/",""),"?hl=en",""),"instagram.com",""))</f>
        <v/>
      </c>
      <c r="W742" s="74" t="str">
        <f t="array" ref="W742">IF(
'Ingest Template'!Y742="",
SUBSTITUTE(
INDEX(DropdownLists!$F$2:$F$277,MATCH('Ingest Template'!D742,DropdownLists!$C$2:$C$277,0)),
CHAR(10),
"|"&amp;'Ingest Template'!C742&amp;CHAR(10)
)&amp;"|"&amp;'Ingest Template'!C742,
SUBSTITUTE(
INDEX(DropdownLists!$F$2:$F$277,MATCH('Ingest Template'!D742,DropdownLists!$C$2:$C$277,0)),
CHAR(10),
"|"&amp;'Ingest Template'!C742&amp;CHAR(10)
)&amp;"|"&amp;'Ingest Template'!C742&amp;CHAR(10)&amp;'Ingest Template'!Y742
)</f>
        <v>#N/A</v>
      </c>
      <c r="X742" s="74" t="str">
        <f>'Ingest Template'!Z742</f>
        <v/>
      </c>
      <c r="Y742" s="35" t="str">
        <f>SUBSTITUTE(SUBSTITUTE(SUBSTITUTE('Ingest Template'!AA742,"http:",""),"https:",""),"/","")</f>
        <v/>
      </c>
      <c r="Z742" s="35" t="str">
        <f t="array" ref="Z742">IF('Ingest Template'!A742="Standard",(IF(ISBLANK('Ingest Template'!AB742),"", 'Ingest Template'!AB742&amp;"|DAR")),(IF(ISBLANK('Ingest Template'!AB742),"", 'Ingest Template'!AB742&amp;"|TV Ops")))</f>
        <v/>
      </c>
      <c r="AA742" s="35"/>
      <c r="AB742" s="35" t="str">
        <f>'Ingest Template'!R742</f>
        <v/>
      </c>
      <c r="AC742" s="35" t="str">
        <f>'Ingest Template'!T742</f>
        <v/>
      </c>
      <c r="AD742" s="35" t="str">
        <f>'Ingest Template'!S742</f>
        <v/>
      </c>
      <c r="AE742" s="35" t="str">
        <f>'Ingest Template'!U742</f>
        <v/>
      </c>
      <c r="AF742" s="22"/>
      <c r="AG742" s="35" t="str">
        <f t="array" ref="AG742">IF('Ingest Template'!A742="Standard",(CONCATENATE(IF(ISBLANK('Ingest Template'!N742),"", 'Ingest Template'!N742&amp;"|DAR"),CHAR(10), IF(ISBLANK('Ingest Template'!O742),"", 'Ingest Template'!O742&amp;"|DAR"),CHAR(10), IF(ISBLANK('Ingest Template'!P742),"", 'Ingest Template'!P742&amp;"|DAR"))),(CONCATENATE(IF(ISBLANK('Ingest Template'!N742),"", 'Ingest Template'!N742&amp;"|TV Ops"),CHAR(10), IF(ISBLANK('Ingest Template'!O742),"", 'Ingest Template'!O742&amp;"|TV Ops"),CHAR(10), IF(ISBLANK('Ingest Template'!P742),"", 'Ingest Template'!P742&amp;"|TV Ops"))))</f>
        <v>
</v>
      </c>
      <c r="AH742" s="35"/>
      <c r="AI742" s="35"/>
      <c r="AJ742" s="117" t="str">
        <f>if('Ingest Template'!A742="Standard",(IF(OR('Ingest Template'!F742 = "Program Type - Special", 'Ingest Template'!F742 = "Program Type - Live Event"),'Ingest Template'!M742&amp; "|DAR|DAR|"&amp;TEXT('Ingest Template'!C742-3, "yyyy-mm-dd")&amp;"|"&amp;TEXT('Ingest Template'!C742+3, "yyyy-mm-dd"),'Ingest Template'!M742&amp; "|DAR|DAR|2021-01-01")),(IF(OR('Ingest Template'!F742 = "Program Type - Special", 'Ingest Template'!F742 = "Program Type - Live Event"),'Ingest Template'!M742&amp; "|Operations - Core Title|Operations - Core Title|"&amp;TEXT('Ingest Template'!C742-3, "yyyy-mm-dd")&amp;"|"&amp;TEXT('Ingest Template'!C742+3, "yyyy-mm-dd"),'Ingest Template'!M742&amp; "|Operations - Core Title|Operations - Core Title")))</f>
        <v>|Operations - Core Title|Operations - Core Title</v>
      </c>
      <c r="AK742" s="35"/>
      <c r="AL742" s="117" t="str">
        <f>if('Ingest Template'!A742="Standard",(IF(OR('Ingest Template'!F742 = "Program Type - Special", 'Ingest Template'!F742 = "Program Type - Live Event"),'Ingest Template'!Q742&amp;"|"&amp;TEXT('Ingest Template'!C742-3, "yyyy-mm-dd")&amp;"|"&amp;TEXT('Ingest Template'!C742+3, "yyyy-mm-dd"),'Ingest Template'!Q742&amp; "|2021-01-01")),(IF(OR('Ingest Template'!F742 = "Program Type - Special", 'Ingest Template'!F742 = "Program Type - Live Event"),'Ingest Template'!Q742&amp; "|"&amp;TEXT('Ingest Template'!C742-3, "yyyy-mm-dd")&amp;"|"&amp;TEXT('Ingest Template'!C742+3, "yyyy-mm-dd"),'Ingest Template'!Q742)))</f>
        <v/>
      </c>
      <c r="AM742" s="35" t="str">
        <f>'Ingest Template'!AC742</f>
        <v/>
      </c>
    </row>
    <row r="743">
      <c r="A743" s="15"/>
      <c r="B743" s="22" t="str">
        <f>'Ingest Template'!C743&amp;IF('Ingest Template'!A743 = "Standard", " - DAR","")</f>
        <v/>
      </c>
      <c r="C743" s="22" t="s">
        <v>83</v>
      </c>
      <c r="D743" s="22" t="str">
        <f t="array" ref="D743">CONCATENATE(INDEX(DropdownLists!$H$2:$H$11,MATCH(1,COUNTIF('Ingest Template'!E743,"*"&amp;DropdownLists!$I$2:$I$11&amp;"*"),0)),CHAR(10),'Ingest Template'!F743,CHAR(10),'Ingest Template'!G743,CHAR(10),VLOOKUP('Ingest Template'!D743,DropdownLists!C:D,2,FALSE))</f>
        <v>#N/A</v>
      </c>
      <c r="E743" s="22" t="str">
        <f>CONCATENATE('Ingest Template'!H743,CHAR(10),'Ingest Template'!I743,CHAR(10),'Ingest Template'!J743,CHAR(10))</f>
        <v>
</v>
      </c>
      <c r="F743" s="35" t="str">
        <f t="array" ref="F743">INDEX(DropdownLists!$O$2:$O$36,MATCH(1,COUNTIF(E743,"*"&amp;DropdownLists!$N$2:$N$36&amp;"*"),0))</f>
        <v/>
      </c>
      <c r="G743" s="35"/>
      <c r="H743" s="22" t="str">
        <f t="array" ref="H743">INDEX(DropdownLists!$E$2:$E$276,MATCH('Ingest Template'!D743,DropdownLists!$C$2:$C$276,0))</f>
        <v>#N/A</v>
      </c>
      <c r="I743" s="22"/>
      <c r="J743" s="22" t="str">
        <f t="array" ref="J743">iF('Ingest Template'!A743="Standard","Pristine Brand",INDEX(DropdownLists!$B$2:$B$246,MATCH('Ingest Template'!D743,DropdownLists!$C$2:$C$246,0)))</f>
        <v>#N/A</v>
      </c>
      <c r="K743" s="22" t="str">
        <f>iF('Ingest Template'!A743="Standard",'Ingest Template'!K743&amp;CHAR(10)&amp;'Ingest Template'!L743,"Competitive View")</f>
        <v>Competitive View</v>
      </c>
      <c r="L743" s="22" t="s">
        <v>95</v>
      </c>
      <c r="M743" s="45" t="str">
        <f>'Ingest Template'!B743</f>
        <v/>
      </c>
      <c r="N743" s="35"/>
      <c r="O743" s="35"/>
      <c r="P743" s="35"/>
      <c r="Q743" s="35"/>
      <c r="R743" s="35" t="str">
        <f>'Ingest Template'!D743</f>
        <v/>
      </c>
      <c r="S743" s="22" t="s">
        <v>101</v>
      </c>
      <c r="T743" s="35" t="str">
        <f>'Ingest Template'!V743</f>
        <v/>
      </c>
      <c r="U743" s="35" t="str">
        <f>'Ingest Template'!W743</f>
        <v/>
      </c>
      <c r="V743" s="35" t="str">
        <f>LOWER(SUBSTITUTE(SUBSTITUTE(SUBSTITUTE(SUBSTITUTE(SUBSTITUTE('Ingest Template'!X743,"https:",""),"www.",""),"/",""),"?hl=en",""),"instagram.com",""))</f>
        <v/>
      </c>
      <c r="W743" s="74" t="str">
        <f t="array" ref="W743">IF(
'Ingest Template'!Y743="",
SUBSTITUTE(
INDEX(DropdownLists!$F$2:$F$277,MATCH('Ingest Template'!D743,DropdownLists!$C$2:$C$277,0)),
CHAR(10),
"|"&amp;'Ingest Template'!C743&amp;CHAR(10)
)&amp;"|"&amp;'Ingest Template'!C743,
SUBSTITUTE(
INDEX(DropdownLists!$F$2:$F$277,MATCH('Ingest Template'!D743,DropdownLists!$C$2:$C$277,0)),
CHAR(10),
"|"&amp;'Ingest Template'!C743&amp;CHAR(10)
)&amp;"|"&amp;'Ingest Template'!C743&amp;CHAR(10)&amp;'Ingest Template'!Y743
)</f>
        <v>#N/A</v>
      </c>
      <c r="X743" s="74" t="str">
        <f>'Ingest Template'!Z743</f>
        <v/>
      </c>
      <c r="Y743" s="35" t="str">
        <f>SUBSTITUTE(SUBSTITUTE(SUBSTITUTE('Ingest Template'!AA743,"http:",""),"https:",""),"/","")</f>
        <v/>
      </c>
      <c r="Z743" s="35" t="str">
        <f t="array" ref="Z743">IF('Ingest Template'!A743="Standard",(IF(ISBLANK('Ingest Template'!AB743),"", 'Ingest Template'!AB743&amp;"|DAR")),(IF(ISBLANK('Ingest Template'!AB743),"", 'Ingest Template'!AB743&amp;"|TV Ops")))</f>
        <v/>
      </c>
      <c r="AA743" s="35"/>
      <c r="AB743" s="35" t="str">
        <f>'Ingest Template'!R743</f>
        <v/>
      </c>
      <c r="AC743" s="35" t="str">
        <f>'Ingest Template'!T743</f>
        <v/>
      </c>
      <c r="AD743" s="35" t="str">
        <f>'Ingest Template'!S743</f>
        <v/>
      </c>
      <c r="AE743" s="35" t="str">
        <f>'Ingest Template'!U743</f>
        <v/>
      </c>
      <c r="AF743" s="22"/>
      <c r="AG743" s="35" t="str">
        <f t="array" ref="AG743">IF('Ingest Template'!A743="Standard",(CONCATENATE(IF(ISBLANK('Ingest Template'!N743),"", 'Ingest Template'!N743&amp;"|DAR"),CHAR(10), IF(ISBLANK('Ingest Template'!O743),"", 'Ingest Template'!O743&amp;"|DAR"),CHAR(10), IF(ISBLANK('Ingest Template'!P743),"", 'Ingest Template'!P743&amp;"|DAR"))),(CONCATENATE(IF(ISBLANK('Ingest Template'!N743),"", 'Ingest Template'!N743&amp;"|TV Ops"),CHAR(10), IF(ISBLANK('Ingest Template'!O743),"", 'Ingest Template'!O743&amp;"|TV Ops"),CHAR(10), IF(ISBLANK('Ingest Template'!P743),"", 'Ingest Template'!P743&amp;"|TV Ops"))))</f>
        <v>
</v>
      </c>
      <c r="AH743" s="35"/>
      <c r="AI743" s="35"/>
      <c r="AJ743" s="117" t="str">
        <f>if('Ingest Template'!A743="Standard",(IF(OR('Ingest Template'!F743 = "Program Type - Special", 'Ingest Template'!F743 = "Program Type - Live Event"),'Ingest Template'!M743&amp; "|DAR|DAR|"&amp;TEXT('Ingest Template'!C743-3, "yyyy-mm-dd")&amp;"|"&amp;TEXT('Ingest Template'!C743+3, "yyyy-mm-dd"),'Ingest Template'!M743&amp; "|DAR|DAR|2021-01-01")),(IF(OR('Ingest Template'!F743 = "Program Type - Special", 'Ingest Template'!F743 = "Program Type - Live Event"),'Ingest Template'!M743&amp; "|Operations - Core Title|Operations - Core Title|"&amp;TEXT('Ingest Template'!C743-3, "yyyy-mm-dd")&amp;"|"&amp;TEXT('Ingest Template'!C743+3, "yyyy-mm-dd"),'Ingest Template'!M743&amp; "|Operations - Core Title|Operations - Core Title")))</f>
        <v>|Operations - Core Title|Operations - Core Title</v>
      </c>
      <c r="AK743" s="35"/>
      <c r="AL743" s="117" t="str">
        <f>if('Ingest Template'!A743="Standard",(IF(OR('Ingest Template'!F743 = "Program Type - Special", 'Ingest Template'!F743 = "Program Type - Live Event"),'Ingest Template'!Q743&amp;"|"&amp;TEXT('Ingest Template'!C743-3, "yyyy-mm-dd")&amp;"|"&amp;TEXT('Ingest Template'!C743+3, "yyyy-mm-dd"),'Ingest Template'!Q743&amp; "|2021-01-01")),(IF(OR('Ingest Template'!F743 = "Program Type - Special", 'Ingest Template'!F743 = "Program Type - Live Event"),'Ingest Template'!Q743&amp; "|"&amp;TEXT('Ingest Template'!C743-3, "yyyy-mm-dd")&amp;"|"&amp;TEXT('Ingest Template'!C743+3, "yyyy-mm-dd"),'Ingest Template'!Q743)))</f>
        <v/>
      </c>
      <c r="AM743" s="35" t="str">
        <f>'Ingest Template'!AC743</f>
        <v/>
      </c>
    </row>
    <row r="744">
      <c r="A744" s="15"/>
      <c r="B744" s="22" t="str">
        <f>'Ingest Template'!C744&amp;IF('Ingest Template'!A744 = "Standard", " - DAR","")</f>
        <v/>
      </c>
      <c r="C744" s="22" t="s">
        <v>83</v>
      </c>
      <c r="D744" s="22" t="str">
        <f t="array" ref="D744">CONCATENATE(INDEX(DropdownLists!$H$2:$H$11,MATCH(1,COUNTIF('Ingest Template'!E744,"*"&amp;DropdownLists!$I$2:$I$11&amp;"*"),0)),CHAR(10),'Ingest Template'!F744,CHAR(10),'Ingest Template'!G744,CHAR(10),VLOOKUP('Ingest Template'!D744,DropdownLists!C:D,2,FALSE))</f>
        <v>#N/A</v>
      </c>
      <c r="E744" s="22" t="str">
        <f>CONCATENATE('Ingest Template'!H744,CHAR(10),'Ingest Template'!I744,CHAR(10),'Ingest Template'!J744,CHAR(10))</f>
        <v>
</v>
      </c>
      <c r="F744" s="35" t="str">
        <f t="array" ref="F744">INDEX(DropdownLists!$O$2:$O$36,MATCH(1,COUNTIF(E744,"*"&amp;DropdownLists!$N$2:$N$36&amp;"*"),0))</f>
        <v/>
      </c>
      <c r="G744" s="35"/>
      <c r="H744" s="22" t="str">
        <f t="array" ref="H744">INDEX(DropdownLists!$E$2:$E$276,MATCH('Ingest Template'!D744,DropdownLists!$C$2:$C$276,0))</f>
        <v>#N/A</v>
      </c>
      <c r="I744" s="22"/>
      <c r="J744" s="22" t="str">
        <f t="array" ref="J744">iF('Ingest Template'!A744="Standard","Pristine Brand",INDEX(DropdownLists!$B$2:$B$246,MATCH('Ingest Template'!D744,DropdownLists!$C$2:$C$246,0)))</f>
        <v>#N/A</v>
      </c>
      <c r="K744" s="22" t="str">
        <f>iF('Ingest Template'!A744="Standard",'Ingest Template'!K744&amp;CHAR(10)&amp;'Ingest Template'!L744,"Competitive View")</f>
        <v>Competitive View</v>
      </c>
      <c r="L744" s="22" t="s">
        <v>95</v>
      </c>
      <c r="M744" s="45" t="str">
        <f>'Ingest Template'!B744</f>
        <v/>
      </c>
      <c r="N744" s="35"/>
      <c r="O744" s="35"/>
      <c r="P744" s="35"/>
      <c r="Q744" s="35"/>
      <c r="R744" s="35" t="str">
        <f>'Ingest Template'!D744</f>
        <v/>
      </c>
      <c r="S744" s="22" t="s">
        <v>101</v>
      </c>
      <c r="T744" s="35" t="str">
        <f>'Ingest Template'!V744</f>
        <v/>
      </c>
      <c r="U744" s="35" t="str">
        <f>'Ingest Template'!W744</f>
        <v/>
      </c>
      <c r="V744" s="35" t="str">
        <f>LOWER(SUBSTITUTE(SUBSTITUTE(SUBSTITUTE(SUBSTITUTE(SUBSTITUTE('Ingest Template'!X744,"https:",""),"www.",""),"/",""),"?hl=en",""),"instagram.com",""))</f>
        <v/>
      </c>
      <c r="W744" s="74" t="str">
        <f t="array" ref="W744">IF(
'Ingest Template'!Y744="",
SUBSTITUTE(
INDEX(DropdownLists!$F$2:$F$277,MATCH('Ingest Template'!D744,DropdownLists!$C$2:$C$277,0)),
CHAR(10),
"|"&amp;'Ingest Template'!C744&amp;CHAR(10)
)&amp;"|"&amp;'Ingest Template'!C744,
SUBSTITUTE(
INDEX(DropdownLists!$F$2:$F$277,MATCH('Ingest Template'!D744,DropdownLists!$C$2:$C$277,0)),
CHAR(10),
"|"&amp;'Ingest Template'!C744&amp;CHAR(10)
)&amp;"|"&amp;'Ingest Template'!C744&amp;CHAR(10)&amp;'Ingest Template'!Y744
)</f>
        <v>#N/A</v>
      </c>
      <c r="X744" s="74" t="str">
        <f>'Ingest Template'!Z744</f>
        <v/>
      </c>
      <c r="Y744" s="35" t="str">
        <f>SUBSTITUTE(SUBSTITUTE(SUBSTITUTE('Ingest Template'!AA744,"http:",""),"https:",""),"/","")</f>
        <v/>
      </c>
      <c r="Z744" s="35" t="str">
        <f t="array" ref="Z744">IF('Ingest Template'!A744="Standard",(IF(ISBLANK('Ingest Template'!AB744),"", 'Ingest Template'!AB744&amp;"|DAR")),(IF(ISBLANK('Ingest Template'!AB744),"", 'Ingest Template'!AB744&amp;"|TV Ops")))</f>
        <v/>
      </c>
      <c r="AA744" s="35"/>
      <c r="AB744" s="35" t="str">
        <f>'Ingest Template'!R744</f>
        <v/>
      </c>
      <c r="AC744" s="35" t="str">
        <f>'Ingest Template'!T744</f>
        <v/>
      </c>
      <c r="AD744" s="35" t="str">
        <f>'Ingest Template'!S744</f>
        <v/>
      </c>
      <c r="AE744" s="35" t="str">
        <f>'Ingest Template'!U744</f>
        <v/>
      </c>
      <c r="AF744" s="22"/>
      <c r="AG744" s="35" t="str">
        <f t="array" ref="AG744">IF('Ingest Template'!A744="Standard",(CONCATENATE(IF(ISBLANK('Ingest Template'!N744),"", 'Ingest Template'!N744&amp;"|DAR"),CHAR(10), IF(ISBLANK('Ingest Template'!O744),"", 'Ingest Template'!O744&amp;"|DAR"),CHAR(10), IF(ISBLANK('Ingest Template'!P744),"", 'Ingest Template'!P744&amp;"|DAR"))),(CONCATENATE(IF(ISBLANK('Ingest Template'!N744),"", 'Ingest Template'!N744&amp;"|TV Ops"),CHAR(10), IF(ISBLANK('Ingest Template'!O744),"", 'Ingest Template'!O744&amp;"|TV Ops"),CHAR(10), IF(ISBLANK('Ingest Template'!P744),"", 'Ingest Template'!P744&amp;"|TV Ops"))))</f>
        <v>
</v>
      </c>
      <c r="AH744" s="35"/>
      <c r="AI744" s="35"/>
      <c r="AJ744" s="117" t="str">
        <f>if('Ingest Template'!A744="Standard",(IF(OR('Ingest Template'!F744 = "Program Type - Special", 'Ingest Template'!F744 = "Program Type - Live Event"),'Ingest Template'!M744&amp; "|DAR|DAR|"&amp;TEXT('Ingest Template'!C744-3, "yyyy-mm-dd")&amp;"|"&amp;TEXT('Ingest Template'!C744+3, "yyyy-mm-dd"),'Ingest Template'!M744&amp; "|DAR|DAR|2021-01-01")),(IF(OR('Ingest Template'!F744 = "Program Type - Special", 'Ingest Template'!F744 = "Program Type - Live Event"),'Ingest Template'!M744&amp; "|Operations - Core Title|Operations - Core Title|"&amp;TEXT('Ingest Template'!C744-3, "yyyy-mm-dd")&amp;"|"&amp;TEXT('Ingest Template'!C744+3, "yyyy-mm-dd"),'Ingest Template'!M744&amp; "|Operations - Core Title|Operations - Core Title")))</f>
        <v>|Operations - Core Title|Operations - Core Title</v>
      </c>
      <c r="AK744" s="35"/>
      <c r="AL744" s="117" t="str">
        <f>if('Ingest Template'!A744="Standard",(IF(OR('Ingest Template'!F744 = "Program Type - Special", 'Ingest Template'!F744 = "Program Type - Live Event"),'Ingest Template'!Q744&amp;"|"&amp;TEXT('Ingest Template'!C744-3, "yyyy-mm-dd")&amp;"|"&amp;TEXT('Ingest Template'!C744+3, "yyyy-mm-dd"),'Ingest Template'!Q744&amp; "|2021-01-01")),(IF(OR('Ingest Template'!F744 = "Program Type - Special", 'Ingest Template'!F744 = "Program Type - Live Event"),'Ingest Template'!Q744&amp; "|"&amp;TEXT('Ingest Template'!C744-3, "yyyy-mm-dd")&amp;"|"&amp;TEXT('Ingest Template'!C744+3, "yyyy-mm-dd"),'Ingest Template'!Q744)))</f>
        <v/>
      </c>
      <c r="AM744" s="35" t="str">
        <f>'Ingest Template'!AC744</f>
        <v/>
      </c>
    </row>
    <row r="745">
      <c r="A745" s="15"/>
      <c r="B745" s="22" t="str">
        <f>'Ingest Template'!C745&amp;IF('Ingest Template'!A745 = "Standard", " - DAR","")</f>
        <v/>
      </c>
      <c r="C745" s="22" t="s">
        <v>83</v>
      </c>
      <c r="D745" s="22" t="str">
        <f t="array" ref="D745">CONCATENATE(INDEX(DropdownLists!$H$2:$H$11,MATCH(1,COUNTIF('Ingest Template'!E745,"*"&amp;DropdownLists!$I$2:$I$11&amp;"*"),0)),CHAR(10),'Ingest Template'!F745,CHAR(10),'Ingest Template'!G745,CHAR(10),VLOOKUP('Ingest Template'!D745,DropdownLists!C:D,2,FALSE))</f>
        <v>#N/A</v>
      </c>
      <c r="E745" s="22" t="str">
        <f>CONCATENATE('Ingest Template'!H745,CHAR(10),'Ingest Template'!I745,CHAR(10),'Ingest Template'!J745,CHAR(10))</f>
        <v>
</v>
      </c>
      <c r="F745" s="35" t="str">
        <f t="array" ref="F745">INDEX(DropdownLists!$O$2:$O$36,MATCH(1,COUNTIF(E745,"*"&amp;DropdownLists!$N$2:$N$36&amp;"*"),0))</f>
        <v/>
      </c>
      <c r="G745" s="35"/>
      <c r="H745" s="22" t="str">
        <f t="array" ref="H745">INDEX(DropdownLists!$E$2:$E$276,MATCH('Ingest Template'!D745,DropdownLists!$C$2:$C$276,0))</f>
        <v>#N/A</v>
      </c>
      <c r="I745" s="22"/>
      <c r="J745" s="22" t="str">
        <f t="array" ref="J745">iF('Ingest Template'!A745="Standard","Pristine Brand",INDEX(DropdownLists!$B$2:$B$246,MATCH('Ingest Template'!D745,DropdownLists!$C$2:$C$246,0)))</f>
        <v>#N/A</v>
      </c>
      <c r="K745" s="22" t="str">
        <f>iF('Ingest Template'!A745="Standard",'Ingest Template'!K745&amp;CHAR(10)&amp;'Ingest Template'!L745,"Competitive View")</f>
        <v>Competitive View</v>
      </c>
      <c r="L745" s="22" t="s">
        <v>95</v>
      </c>
      <c r="M745" s="45" t="str">
        <f>'Ingest Template'!B745</f>
        <v/>
      </c>
      <c r="N745" s="35"/>
      <c r="O745" s="35"/>
      <c r="P745" s="35"/>
      <c r="Q745" s="35"/>
      <c r="R745" s="35" t="str">
        <f>'Ingest Template'!D745</f>
        <v/>
      </c>
      <c r="S745" s="22" t="s">
        <v>101</v>
      </c>
      <c r="T745" s="35" t="str">
        <f>'Ingest Template'!V745</f>
        <v/>
      </c>
      <c r="U745" s="35" t="str">
        <f>'Ingest Template'!W745</f>
        <v/>
      </c>
      <c r="V745" s="35" t="str">
        <f>LOWER(SUBSTITUTE(SUBSTITUTE(SUBSTITUTE(SUBSTITUTE(SUBSTITUTE('Ingest Template'!X745,"https:",""),"www.",""),"/",""),"?hl=en",""),"instagram.com",""))</f>
        <v/>
      </c>
      <c r="W745" s="74" t="str">
        <f t="array" ref="W745">IF(
'Ingest Template'!Y745="",
SUBSTITUTE(
INDEX(DropdownLists!$F$2:$F$277,MATCH('Ingest Template'!D745,DropdownLists!$C$2:$C$277,0)),
CHAR(10),
"|"&amp;'Ingest Template'!C745&amp;CHAR(10)
)&amp;"|"&amp;'Ingest Template'!C745,
SUBSTITUTE(
INDEX(DropdownLists!$F$2:$F$277,MATCH('Ingest Template'!D745,DropdownLists!$C$2:$C$277,0)),
CHAR(10),
"|"&amp;'Ingest Template'!C745&amp;CHAR(10)
)&amp;"|"&amp;'Ingest Template'!C745&amp;CHAR(10)&amp;'Ingest Template'!Y745
)</f>
        <v>#N/A</v>
      </c>
      <c r="X745" s="74" t="str">
        <f>'Ingest Template'!Z745</f>
        <v/>
      </c>
      <c r="Y745" s="35" t="str">
        <f>SUBSTITUTE(SUBSTITUTE(SUBSTITUTE('Ingest Template'!AA745,"http:",""),"https:",""),"/","")</f>
        <v/>
      </c>
      <c r="Z745" s="35" t="str">
        <f t="array" ref="Z745">IF('Ingest Template'!A745="Standard",(IF(ISBLANK('Ingest Template'!AB745),"", 'Ingest Template'!AB745&amp;"|DAR")),(IF(ISBLANK('Ingest Template'!AB745),"", 'Ingest Template'!AB745&amp;"|TV Ops")))</f>
        <v/>
      </c>
      <c r="AA745" s="35"/>
      <c r="AB745" s="35" t="str">
        <f>'Ingest Template'!R745</f>
        <v/>
      </c>
      <c r="AC745" s="35" t="str">
        <f>'Ingest Template'!T745</f>
        <v/>
      </c>
      <c r="AD745" s="35" t="str">
        <f>'Ingest Template'!S745</f>
        <v/>
      </c>
      <c r="AE745" s="35" t="str">
        <f>'Ingest Template'!U745</f>
        <v/>
      </c>
      <c r="AF745" s="22"/>
      <c r="AG745" s="35" t="str">
        <f t="array" ref="AG745">IF('Ingest Template'!A745="Standard",(CONCATENATE(IF(ISBLANK('Ingest Template'!N745),"", 'Ingest Template'!N745&amp;"|DAR"),CHAR(10), IF(ISBLANK('Ingest Template'!O745),"", 'Ingest Template'!O745&amp;"|DAR"),CHAR(10), IF(ISBLANK('Ingest Template'!P745),"", 'Ingest Template'!P745&amp;"|DAR"))),(CONCATENATE(IF(ISBLANK('Ingest Template'!N745),"", 'Ingest Template'!N745&amp;"|TV Ops"),CHAR(10), IF(ISBLANK('Ingest Template'!O745),"", 'Ingest Template'!O745&amp;"|TV Ops"),CHAR(10), IF(ISBLANK('Ingest Template'!P745),"", 'Ingest Template'!P745&amp;"|TV Ops"))))</f>
        <v>
</v>
      </c>
      <c r="AH745" s="35"/>
      <c r="AI745" s="35"/>
      <c r="AJ745" s="117" t="str">
        <f>if('Ingest Template'!A745="Standard",(IF(OR('Ingest Template'!F745 = "Program Type - Special", 'Ingest Template'!F745 = "Program Type - Live Event"),'Ingest Template'!M745&amp; "|DAR|DAR|"&amp;TEXT('Ingest Template'!C745-3, "yyyy-mm-dd")&amp;"|"&amp;TEXT('Ingest Template'!C745+3, "yyyy-mm-dd"),'Ingest Template'!M745&amp; "|DAR|DAR|2021-01-01")),(IF(OR('Ingest Template'!F745 = "Program Type - Special", 'Ingest Template'!F745 = "Program Type - Live Event"),'Ingest Template'!M745&amp; "|Operations - Core Title|Operations - Core Title|"&amp;TEXT('Ingest Template'!C745-3, "yyyy-mm-dd")&amp;"|"&amp;TEXT('Ingest Template'!C745+3, "yyyy-mm-dd"),'Ingest Template'!M745&amp; "|Operations - Core Title|Operations - Core Title")))</f>
        <v>|Operations - Core Title|Operations - Core Title</v>
      </c>
      <c r="AK745" s="35"/>
      <c r="AL745" s="117" t="str">
        <f>if('Ingest Template'!A745="Standard",(IF(OR('Ingest Template'!F745 = "Program Type - Special", 'Ingest Template'!F745 = "Program Type - Live Event"),'Ingest Template'!Q745&amp;"|"&amp;TEXT('Ingest Template'!C745-3, "yyyy-mm-dd")&amp;"|"&amp;TEXT('Ingest Template'!C745+3, "yyyy-mm-dd"),'Ingest Template'!Q745&amp; "|2021-01-01")),(IF(OR('Ingest Template'!F745 = "Program Type - Special", 'Ingest Template'!F745 = "Program Type - Live Event"),'Ingest Template'!Q745&amp; "|"&amp;TEXT('Ingest Template'!C745-3, "yyyy-mm-dd")&amp;"|"&amp;TEXT('Ingest Template'!C745+3, "yyyy-mm-dd"),'Ingest Template'!Q745)))</f>
        <v/>
      </c>
      <c r="AM745" s="35" t="str">
        <f>'Ingest Template'!AC745</f>
        <v/>
      </c>
    </row>
    <row r="746">
      <c r="A746" s="15"/>
      <c r="B746" s="22" t="str">
        <f>'Ingest Template'!C746&amp;IF('Ingest Template'!A746 = "Standard", " - DAR","")</f>
        <v/>
      </c>
      <c r="C746" s="22" t="s">
        <v>83</v>
      </c>
      <c r="D746" s="22" t="str">
        <f t="array" ref="D746">CONCATENATE(INDEX(DropdownLists!$H$2:$H$11,MATCH(1,COUNTIF('Ingest Template'!E746,"*"&amp;DropdownLists!$I$2:$I$11&amp;"*"),0)),CHAR(10),'Ingest Template'!F746,CHAR(10),'Ingest Template'!G746,CHAR(10),VLOOKUP('Ingest Template'!D746,DropdownLists!C:D,2,FALSE))</f>
        <v>#N/A</v>
      </c>
      <c r="E746" s="22" t="str">
        <f>CONCATENATE('Ingest Template'!H746,CHAR(10),'Ingest Template'!I746,CHAR(10),'Ingest Template'!J746,CHAR(10))</f>
        <v>
</v>
      </c>
      <c r="F746" s="35" t="str">
        <f t="array" ref="F746">INDEX(DropdownLists!$O$2:$O$36,MATCH(1,COUNTIF(E746,"*"&amp;DropdownLists!$N$2:$N$36&amp;"*"),0))</f>
        <v/>
      </c>
      <c r="G746" s="35"/>
      <c r="H746" s="22" t="str">
        <f t="array" ref="H746">INDEX(DropdownLists!$E$2:$E$276,MATCH('Ingest Template'!D746,DropdownLists!$C$2:$C$276,0))</f>
        <v>#N/A</v>
      </c>
      <c r="I746" s="22"/>
      <c r="J746" s="22" t="str">
        <f t="array" ref="J746">iF('Ingest Template'!A746="Standard","Pristine Brand",INDEX(DropdownLists!$B$2:$B$246,MATCH('Ingest Template'!D746,DropdownLists!$C$2:$C$246,0)))</f>
        <v>#N/A</v>
      </c>
      <c r="K746" s="22" t="str">
        <f>iF('Ingest Template'!A746="Standard",'Ingest Template'!K746&amp;CHAR(10)&amp;'Ingest Template'!L746,"Competitive View")</f>
        <v>Competitive View</v>
      </c>
      <c r="L746" s="22" t="s">
        <v>95</v>
      </c>
      <c r="M746" s="45" t="str">
        <f>'Ingest Template'!B746</f>
        <v/>
      </c>
      <c r="N746" s="35"/>
      <c r="O746" s="35"/>
      <c r="P746" s="35"/>
      <c r="Q746" s="35"/>
      <c r="R746" s="35" t="str">
        <f>'Ingest Template'!D746</f>
        <v/>
      </c>
      <c r="S746" s="22" t="s">
        <v>101</v>
      </c>
      <c r="T746" s="35" t="str">
        <f>'Ingest Template'!V746</f>
        <v/>
      </c>
      <c r="U746" s="35" t="str">
        <f>'Ingest Template'!W746</f>
        <v/>
      </c>
      <c r="V746" s="35" t="str">
        <f>LOWER(SUBSTITUTE(SUBSTITUTE(SUBSTITUTE(SUBSTITUTE(SUBSTITUTE('Ingest Template'!X746,"https:",""),"www.",""),"/",""),"?hl=en",""),"instagram.com",""))</f>
        <v/>
      </c>
      <c r="W746" s="74" t="str">
        <f t="array" ref="W746">IF(
'Ingest Template'!Y746="",
SUBSTITUTE(
INDEX(DropdownLists!$F$2:$F$277,MATCH('Ingest Template'!D746,DropdownLists!$C$2:$C$277,0)),
CHAR(10),
"|"&amp;'Ingest Template'!C746&amp;CHAR(10)
)&amp;"|"&amp;'Ingest Template'!C746,
SUBSTITUTE(
INDEX(DropdownLists!$F$2:$F$277,MATCH('Ingest Template'!D746,DropdownLists!$C$2:$C$277,0)),
CHAR(10),
"|"&amp;'Ingest Template'!C746&amp;CHAR(10)
)&amp;"|"&amp;'Ingest Template'!C746&amp;CHAR(10)&amp;'Ingest Template'!Y746
)</f>
        <v>#N/A</v>
      </c>
      <c r="X746" s="74" t="str">
        <f>'Ingest Template'!Z746</f>
        <v/>
      </c>
      <c r="Y746" s="35" t="str">
        <f>SUBSTITUTE(SUBSTITUTE(SUBSTITUTE('Ingest Template'!AA746,"http:",""),"https:",""),"/","")</f>
        <v/>
      </c>
      <c r="Z746" s="35" t="str">
        <f t="array" ref="Z746">IF('Ingest Template'!A746="Standard",(IF(ISBLANK('Ingest Template'!AB746),"", 'Ingest Template'!AB746&amp;"|DAR")),(IF(ISBLANK('Ingest Template'!AB746),"", 'Ingest Template'!AB746&amp;"|TV Ops")))</f>
        <v/>
      </c>
      <c r="AA746" s="35"/>
      <c r="AB746" s="35" t="str">
        <f>'Ingest Template'!R746</f>
        <v/>
      </c>
      <c r="AC746" s="35" t="str">
        <f>'Ingest Template'!T746</f>
        <v/>
      </c>
      <c r="AD746" s="35" t="str">
        <f>'Ingest Template'!S746</f>
        <v/>
      </c>
      <c r="AE746" s="35" t="str">
        <f>'Ingest Template'!U746</f>
        <v/>
      </c>
      <c r="AF746" s="22"/>
      <c r="AG746" s="35" t="str">
        <f t="array" ref="AG746">IF('Ingest Template'!A746="Standard",(CONCATENATE(IF(ISBLANK('Ingest Template'!N746),"", 'Ingest Template'!N746&amp;"|DAR"),CHAR(10), IF(ISBLANK('Ingest Template'!O746),"", 'Ingest Template'!O746&amp;"|DAR"),CHAR(10), IF(ISBLANK('Ingest Template'!P746),"", 'Ingest Template'!P746&amp;"|DAR"))),(CONCATENATE(IF(ISBLANK('Ingest Template'!N746),"", 'Ingest Template'!N746&amp;"|TV Ops"),CHAR(10), IF(ISBLANK('Ingest Template'!O746),"", 'Ingest Template'!O746&amp;"|TV Ops"),CHAR(10), IF(ISBLANK('Ingest Template'!P746),"", 'Ingest Template'!P746&amp;"|TV Ops"))))</f>
        <v>
</v>
      </c>
      <c r="AH746" s="35"/>
      <c r="AI746" s="35"/>
      <c r="AJ746" s="117" t="str">
        <f>if('Ingest Template'!A746="Standard",(IF(OR('Ingest Template'!F746 = "Program Type - Special", 'Ingest Template'!F746 = "Program Type - Live Event"),'Ingest Template'!M746&amp; "|DAR|DAR|"&amp;TEXT('Ingest Template'!C746-3, "yyyy-mm-dd")&amp;"|"&amp;TEXT('Ingest Template'!C746+3, "yyyy-mm-dd"),'Ingest Template'!M746&amp; "|DAR|DAR|2021-01-01")),(IF(OR('Ingest Template'!F746 = "Program Type - Special", 'Ingest Template'!F746 = "Program Type - Live Event"),'Ingest Template'!M746&amp; "|Operations - Core Title|Operations - Core Title|"&amp;TEXT('Ingest Template'!C746-3, "yyyy-mm-dd")&amp;"|"&amp;TEXT('Ingest Template'!C746+3, "yyyy-mm-dd"),'Ingest Template'!M746&amp; "|Operations - Core Title|Operations - Core Title")))</f>
        <v>|Operations - Core Title|Operations - Core Title</v>
      </c>
      <c r="AK746" s="35"/>
      <c r="AL746" s="117" t="str">
        <f>if('Ingest Template'!A746="Standard",(IF(OR('Ingest Template'!F746 = "Program Type - Special", 'Ingest Template'!F746 = "Program Type - Live Event"),'Ingest Template'!Q746&amp;"|"&amp;TEXT('Ingest Template'!C746-3, "yyyy-mm-dd")&amp;"|"&amp;TEXT('Ingest Template'!C746+3, "yyyy-mm-dd"),'Ingest Template'!Q746&amp; "|2021-01-01")),(IF(OR('Ingest Template'!F746 = "Program Type - Special", 'Ingest Template'!F746 = "Program Type - Live Event"),'Ingest Template'!Q746&amp; "|"&amp;TEXT('Ingest Template'!C746-3, "yyyy-mm-dd")&amp;"|"&amp;TEXT('Ingest Template'!C746+3, "yyyy-mm-dd"),'Ingest Template'!Q746)))</f>
        <v/>
      </c>
      <c r="AM746" s="35" t="str">
        <f>'Ingest Template'!AC746</f>
        <v/>
      </c>
    </row>
    <row r="747">
      <c r="A747" s="15"/>
      <c r="B747" s="22" t="str">
        <f>'Ingest Template'!C747&amp;IF('Ingest Template'!A747 = "Standard", " - DAR","")</f>
        <v/>
      </c>
      <c r="C747" s="22" t="s">
        <v>83</v>
      </c>
      <c r="D747" s="22" t="str">
        <f t="array" ref="D747">CONCATENATE(INDEX(DropdownLists!$H$2:$H$11,MATCH(1,COUNTIF('Ingest Template'!E747,"*"&amp;DropdownLists!$I$2:$I$11&amp;"*"),0)),CHAR(10),'Ingest Template'!F747,CHAR(10),'Ingest Template'!G747,CHAR(10),VLOOKUP('Ingest Template'!D747,DropdownLists!C:D,2,FALSE))</f>
        <v>#N/A</v>
      </c>
      <c r="E747" s="22" t="str">
        <f>CONCATENATE('Ingest Template'!H747,CHAR(10),'Ingest Template'!I747,CHAR(10),'Ingest Template'!J747,CHAR(10))</f>
        <v>
</v>
      </c>
      <c r="F747" s="35" t="str">
        <f t="array" ref="F747">INDEX(DropdownLists!$O$2:$O$36,MATCH(1,COUNTIF(E747,"*"&amp;DropdownLists!$N$2:$N$36&amp;"*"),0))</f>
        <v/>
      </c>
      <c r="G747" s="35"/>
      <c r="H747" s="22" t="str">
        <f t="array" ref="H747">INDEX(DropdownLists!$E$2:$E$276,MATCH('Ingest Template'!D747,DropdownLists!$C$2:$C$276,0))</f>
        <v>#N/A</v>
      </c>
      <c r="I747" s="22"/>
      <c r="J747" s="22" t="str">
        <f t="array" ref="J747">iF('Ingest Template'!A747="Standard","Pristine Brand",INDEX(DropdownLists!$B$2:$B$246,MATCH('Ingest Template'!D747,DropdownLists!$C$2:$C$246,0)))</f>
        <v>#N/A</v>
      </c>
      <c r="K747" s="22" t="str">
        <f>iF('Ingest Template'!A747="Standard",'Ingest Template'!K747&amp;CHAR(10)&amp;'Ingest Template'!L747,"Competitive View")</f>
        <v>Competitive View</v>
      </c>
      <c r="L747" s="22" t="s">
        <v>95</v>
      </c>
      <c r="M747" s="45" t="str">
        <f>'Ingest Template'!B747</f>
        <v/>
      </c>
      <c r="N747" s="35"/>
      <c r="O747" s="35"/>
      <c r="P747" s="35"/>
      <c r="Q747" s="35"/>
      <c r="R747" s="35" t="str">
        <f>'Ingest Template'!D747</f>
        <v/>
      </c>
      <c r="S747" s="22" t="s">
        <v>101</v>
      </c>
      <c r="T747" s="35" t="str">
        <f>'Ingest Template'!V747</f>
        <v/>
      </c>
      <c r="U747" s="35" t="str">
        <f>'Ingest Template'!W747</f>
        <v/>
      </c>
      <c r="V747" s="35" t="str">
        <f>LOWER(SUBSTITUTE(SUBSTITUTE(SUBSTITUTE(SUBSTITUTE(SUBSTITUTE('Ingest Template'!X747,"https:",""),"www.",""),"/",""),"?hl=en",""),"instagram.com",""))</f>
        <v/>
      </c>
      <c r="W747" s="74" t="str">
        <f t="array" ref="W747">IF(
'Ingest Template'!Y747="",
SUBSTITUTE(
INDEX(DropdownLists!$F$2:$F$277,MATCH('Ingest Template'!D747,DropdownLists!$C$2:$C$277,0)),
CHAR(10),
"|"&amp;'Ingest Template'!C747&amp;CHAR(10)
)&amp;"|"&amp;'Ingest Template'!C747,
SUBSTITUTE(
INDEX(DropdownLists!$F$2:$F$277,MATCH('Ingest Template'!D747,DropdownLists!$C$2:$C$277,0)),
CHAR(10),
"|"&amp;'Ingest Template'!C747&amp;CHAR(10)
)&amp;"|"&amp;'Ingest Template'!C747&amp;CHAR(10)&amp;'Ingest Template'!Y747
)</f>
        <v>#N/A</v>
      </c>
      <c r="X747" s="74" t="str">
        <f>'Ingest Template'!Z747</f>
        <v/>
      </c>
      <c r="Y747" s="35" t="str">
        <f>SUBSTITUTE(SUBSTITUTE(SUBSTITUTE('Ingest Template'!AA747,"http:",""),"https:",""),"/","")</f>
        <v/>
      </c>
      <c r="Z747" s="35" t="str">
        <f t="array" ref="Z747">IF('Ingest Template'!A747="Standard",(IF(ISBLANK('Ingest Template'!AB747),"", 'Ingest Template'!AB747&amp;"|DAR")),(IF(ISBLANK('Ingest Template'!AB747),"", 'Ingest Template'!AB747&amp;"|TV Ops")))</f>
        <v/>
      </c>
      <c r="AA747" s="35"/>
      <c r="AB747" s="35" t="str">
        <f>'Ingest Template'!R747</f>
        <v/>
      </c>
      <c r="AC747" s="35" t="str">
        <f>'Ingest Template'!T747</f>
        <v/>
      </c>
      <c r="AD747" s="35" t="str">
        <f>'Ingest Template'!S747</f>
        <v/>
      </c>
      <c r="AE747" s="35" t="str">
        <f>'Ingest Template'!U747</f>
        <v/>
      </c>
      <c r="AF747" s="22"/>
      <c r="AG747" s="35" t="str">
        <f t="array" ref="AG747">IF('Ingest Template'!A747="Standard",(CONCATENATE(IF(ISBLANK('Ingest Template'!N747),"", 'Ingest Template'!N747&amp;"|DAR"),CHAR(10), IF(ISBLANK('Ingest Template'!O747),"", 'Ingest Template'!O747&amp;"|DAR"),CHAR(10), IF(ISBLANK('Ingest Template'!P747),"", 'Ingest Template'!P747&amp;"|DAR"))),(CONCATENATE(IF(ISBLANK('Ingest Template'!N747),"", 'Ingest Template'!N747&amp;"|TV Ops"),CHAR(10), IF(ISBLANK('Ingest Template'!O747),"", 'Ingest Template'!O747&amp;"|TV Ops"),CHAR(10), IF(ISBLANK('Ingest Template'!P747),"", 'Ingest Template'!P747&amp;"|TV Ops"))))</f>
        <v>
</v>
      </c>
      <c r="AH747" s="35"/>
      <c r="AI747" s="35"/>
      <c r="AJ747" s="117" t="str">
        <f>if('Ingest Template'!A747="Standard",(IF(OR('Ingest Template'!F747 = "Program Type - Special", 'Ingest Template'!F747 = "Program Type - Live Event"),'Ingest Template'!M747&amp; "|DAR|DAR|"&amp;TEXT('Ingest Template'!C747-3, "yyyy-mm-dd")&amp;"|"&amp;TEXT('Ingest Template'!C747+3, "yyyy-mm-dd"),'Ingest Template'!M747&amp; "|DAR|DAR|2021-01-01")),(IF(OR('Ingest Template'!F747 = "Program Type - Special", 'Ingest Template'!F747 = "Program Type - Live Event"),'Ingest Template'!M747&amp; "|Operations - Core Title|Operations - Core Title|"&amp;TEXT('Ingest Template'!C747-3, "yyyy-mm-dd")&amp;"|"&amp;TEXT('Ingest Template'!C747+3, "yyyy-mm-dd"),'Ingest Template'!M747&amp; "|Operations - Core Title|Operations - Core Title")))</f>
        <v>|Operations - Core Title|Operations - Core Title</v>
      </c>
      <c r="AK747" s="35"/>
      <c r="AL747" s="117" t="str">
        <f>if('Ingest Template'!A747="Standard",(IF(OR('Ingest Template'!F747 = "Program Type - Special", 'Ingest Template'!F747 = "Program Type - Live Event"),'Ingest Template'!Q747&amp;"|"&amp;TEXT('Ingest Template'!C747-3, "yyyy-mm-dd")&amp;"|"&amp;TEXT('Ingest Template'!C747+3, "yyyy-mm-dd"),'Ingest Template'!Q747&amp; "|2021-01-01")),(IF(OR('Ingest Template'!F747 = "Program Type - Special", 'Ingest Template'!F747 = "Program Type - Live Event"),'Ingest Template'!Q747&amp; "|"&amp;TEXT('Ingest Template'!C747-3, "yyyy-mm-dd")&amp;"|"&amp;TEXT('Ingest Template'!C747+3, "yyyy-mm-dd"),'Ingest Template'!Q747)))</f>
        <v/>
      </c>
      <c r="AM747" s="35" t="str">
        <f>'Ingest Template'!AC747</f>
        <v/>
      </c>
    </row>
    <row r="748">
      <c r="A748" s="15"/>
      <c r="B748" s="22" t="str">
        <f>'Ingest Template'!C748&amp;IF('Ingest Template'!A748 = "Standard", " - DAR","")</f>
        <v/>
      </c>
      <c r="C748" s="22" t="s">
        <v>83</v>
      </c>
      <c r="D748" s="22" t="str">
        <f t="array" ref="D748">CONCATENATE(INDEX(DropdownLists!$H$2:$H$11,MATCH(1,COUNTIF('Ingest Template'!E748,"*"&amp;DropdownLists!$I$2:$I$11&amp;"*"),0)),CHAR(10),'Ingest Template'!F748,CHAR(10),'Ingest Template'!G748,CHAR(10),VLOOKUP('Ingest Template'!D748,DropdownLists!C:D,2,FALSE))</f>
        <v>#N/A</v>
      </c>
      <c r="E748" s="22" t="str">
        <f>CONCATENATE('Ingest Template'!H748,CHAR(10),'Ingest Template'!I748,CHAR(10),'Ingest Template'!J748,CHAR(10))</f>
        <v>
</v>
      </c>
      <c r="F748" s="35" t="str">
        <f t="array" ref="F748">INDEX(DropdownLists!$O$2:$O$36,MATCH(1,COUNTIF(E748,"*"&amp;DropdownLists!$N$2:$N$36&amp;"*"),0))</f>
        <v/>
      </c>
      <c r="G748" s="35"/>
      <c r="H748" s="22" t="str">
        <f t="array" ref="H748">INDEX(DropdownLists!$E$2:$E$276,MATCH('Ingest Template'!D748,DropdownLists!$C$2:$C$276,0))</f>
        <v>#N/A</v>
      </c>
      <c r="I748" s="22"/>
      <c r="J748" s="22" t="str">
        <f t="array" ref="J748">iF('Ingest Template'!A748="Standard","Pristine Brand",INDEX(DropdownLists!$B$2:$B$246,MATCH('Ingest Template'!D748,DropdownLists!$C$2:$C$246,0)))</f>
        <v>#N/A</v>
      </c>
      <c r="K748" s="22" t="str">
        <f>iF('Ingest Template'!A748="Standard",'Ingest Template'!K748&amp;CHAR(10)&amp;'Ingest Template'!L748,"Competitive View")</f>
        <v>Competitive View</v>
      </c>
      <c r="L748" s="22" t="s">
        <v>95</v>
      </c>
      <c r="M748" s="45" t="str">
        <f>'Ingest Template'!B748</f>
        <v/>
      </c>
      <c r="N748" s="35"/>
      <c r="O748" s="35"/>
      <c r="P748" s="35"/>
      <c r="Q748" s="35"/>
      <c r="R748" s="35" t="str">
        <f>'Ingest Template'!D748</f>
        <v/>
      </c>
      <c r="S748" s="22" t="s">
        <v>101</v>
      </c>
      <c r="T748" s="35" t="str">
        <f>'Ingest Template'!V748</f>
        <v/>
      </c>
      <c r="U748" s="35" t="str">
        <f>'Ingest Template'!W748</f>
        <v/>
      </c>
      <c r="V748" s="35" t="str">
        <f>LOWER(SUBSTITUTE(SUBSTITUTE(SUBSTITUTE(SUBSTITUTE(SUBSTITUTE('Ingest Template'!X748,"https:",""),"www.",""),"/",""),"?hl=en",""),"instagram.com",""))</f>
        <v/>
      </c>
      <c r="W748" s="74" t="str">
        <f t="array" ref="W748">IF(
'Ingest Template'!Y748="",
SUBSTITUTE(
INDEX(DropdownLists!$F$2:$F$277,MATCH('Ingest Template'!D748,DropdownLists!$C$2:$C$277,0)),
CHAR(10),
"|"&amp;'Ingest Template'!C748&amp;CHAR(10)
)&amp;"|"&amp;'Ingest Template'!C748,
SUBSTITUTE(
INDEX(DropdownLists!$F$2:$F$277,MATCH('Ingest Template'!D748,DropdownLists!$C$2:$C$277,0)),
CHAR(10),
"|"&amp;'Ingest Template'!C748&amp;CHAR(10)
)&amp;"|"&amp;'Ingest Template'!C748&amp;CHAR(10)&amp;'Ingest Template'!Y748
)</f>
        <v>#N/A</v>
      </c>
      <c r="X748" s="74" t="str">
        <f>'Ingest Template'!Z748</f>
        <v/>
      </c>
      <c r="Y748" s="35" t="str">
        <f>SUBSTITUTE(SUBSTITUTE(SUBSTITUTE('Ingest Template'!AA748,"http:",""),"https:",""),"/","")</f>
        <v/>
      </c>
      <c r="Z748" s="35" t="str">
        <f t="array" ref="Z748">IF('Ingest Template'!A748="Standard",(IF(ISBLANK('Ingest Template'!AB748),"", 'Ingest Template'!AB748&amp;"|DAR")),(IF(ISBLANK('Ingest Template'!AB748),"", 'Ingest Template'!AB748&amp;"|TV Ops")))</f>
        <v/>
      </c>
      <c r="AA748" s="35"/>
      <c r="AB748" s="35" t="str">
        <f>'Ingest Template'!R748</f>
        <v/>
      </c>
      <c r="AC748" s="35" t="str">
        <f>'Ingest Template'!T748</f>
        <v/>
      </c>
      <c r="AD748" s="35" t="str">
        <f>'Ingest Template'!S748</f>
        <v/>
      </c>
      <c r="AE748" s="35" t="str">
        <f>'Ingest Template'!U748</f>
        <v/>
      </c>
      <c r="AF748" s="22"/>
      <c r="AG748" s="35" t="str">
        <f t="array" ref="AG748">IF('Ingest Template'!A748="Standard",(CONCATENATE(IF(ISBLANK('Ingest Template'!N748),"", 'Ingest Template'!N748&amp;"|DAR"),CHAR(10), IF(ISBLANK('Ingest Template'!O748),"", 'Ingest Template'!O748&amp;"|DAR"),CHAR(10), IF(ISBLANK('Ingest Template'!P748),"", 'Ingest Template'!P748&amp;"|DAR"))),(CONCATENATE(IF(ISBLANK('Ingest Template'!N748),"", 'Ingest Template'!N748&amp;"|TV Ops"),CHAR(10), IF(ISBLANK('Ingest Template'!O748),"", 'Ingest Template'!O748&amp;"|TV Ops"),CHAR(10), IF(ISBLANK('Ingest Template'!P748),"", 'Ingest Template'!P748&amp;"|TV Ops"))))</f>
        <v>
</v>
      </c>
      <c r="AH748" s="35"/>
      <c r="AI748" s="35"/>
      <c r="AJ748" s="117" t="str">
        <f>if('Ingest Template'!A748="Standard",(IF(OR('Ingest Template'!F748 = "Program Type - Special", 'Ingest Template'!F748 = "Program Type - Live Event"),'Ingest Template'!M748&amp; "|DAR|DAR|"&amp;TEXT('Ingest Template'!C748-3, "yyyy-mm-dd")&amp;"|"&amp;TEXT('Ingest Template'!C748+3, "yyyy-mm-dd"),'Ingest Template'!M748&amp; "|DAR|DAR|2021-01-01")),(IF(OR('Ingest Template'!F748 = "Program Type - Special", 'Ingest Template'!F748 = "Program Type - Live Event"),'Ingest Template'!M748&amp; "|Operations - Core Title|Operations - Core Title|"&amp;TEXT('Ingest Template'!C748-3, "yyyy-mm-dd")&amp;"|"&amp;TEXT('Ingest Template'!C748+3, "yyyy-mm-dd"),'Ingest Template'!M748&amp; "|Operations - Core Title|Operations - Core Title")))</f>
        <v>|Operations - Core Title|Operations - Core Title</v>
      </c>
      <c r="AK748" s="35"/>
      <c r="AL748" s="117" t="str">
        <f>if('Ingest Template'!A748="Standard",(IF(OR('Ingest Template'!F748 = "Program Type - Special", 'Ingest Template'!F748 = "Program Type - Live Event"),'Ingest Template'!Q748&amp;"|"&amp;TEXT('Ingest Template'!C748-3, "yyyy-mm-dd")&amp;"|"&amp;TEXT('Ingest Template'!C748+3, "yyyy-mm-dd"),'Ingest Template'!Q748&amp; "|2021-01-01")),(IF(OR('Ingest Template'!F748 = "Program Type - Special", 'Ingest Template'!F748 = "Program Type - Live Event"),'Ingest Template'!Q748&amp; "|"&amp;TEXT('Ingest Template'!C748-3, "yyyy-mm-dd")&amp;"|"&amp;TEXT('Ingest Template'!C748+3, "yyyy-mm-dd"),'Ingest Template'!Q748)))</f>
        <v/>
      </c>
      <c r="AM748" s="35" t="str">
        <f>'Ingest Template'!AC748</f>
        <v/>
      </c>
    </row>
    <row r="749">
      <c r="A749" s="15"/>
      <c r="B749" s="22" t="str">
        <f>'Ingest Template'!C749&amp;IF('Ingest Template'!A749 = "Standard", " - DAR","")</f>
        <v/>
      </c>
      <c r="C749" s="22" t="s">
        <v>83</v>
      </c>
      <c r="D749" s="22" t="str">
        <f t="array" ref="D749">CONCATENATE(INDEX(DropdownLists!$H$2:$H$11,MATCH(1,COUNTIF('Ingest Template'!E749,"*"&amp;DropdownLists!$I$2:$I$11&amp;"*"),0)),CHAR(10),'Ingest Template'!F749,CHAR(10),'Ingest Template'!G749,CHAR(10),VLOOKUP('Ingest Template'!D749,DropdownLists!C:D,2,FALSE))</f>
        <v>#N/A</v>
      </c>
      <c r="E749" s="22" t="str">
        <f>CONCATENATE('Ingest Template'!H749,CHAR(10),'Ingest Template'!I749,CHAR(10),'Ingest Template'!J749,CHAR(10))</f>
        <v>
</v>
      </c>
      <c r="F749" s="35" t="str">
        <f t="array" ref="F749">INDEX(DropdownLists!$O$2:$O$36,MATCH(1,COUNTIF(E749,"*"&amp;DropdownLists!$N$2:$N$36&amp;"*"),0))</f>
        <v/>
      </c>
      <c r="G749" s="35"/>
      <c r="H749" s="22" t="str">
        <f t="array" ref="H749">INDEX(DropdownLists!$E$2:$E$276,MATCH('Ingest Template'!D749,DropdownLists!$C$2:$C$276,0))</f>
        <v>#N/A</v>
      </c>
      <c r="I749" s="22"/>
      <c r="J749" s="22" t="str">
        <f t="array" ref="J749">iF('Ingest Template'!A749="Standard","Pristine Brand",INDEX(DropdownLists!$B$2:$B$246,MATCH('Ingest Template'!D749,DropdownLists!$C$2:$C$246,0)))</f>
        <v>#N/A</v>
      </c>
      <c r="K749" s="22" t="str">
        <f>iF('Ingest Template'!A749="Standard",'Ingest Template'!K749&amp;CHAR(10)&amp;'Ingest Template'!L749,"Competitive View")</f>
        <v>Competitive View</v>
      </c>
      <c r="L749" s="22" t="s">
        <v>95</v>
      </c>
      <c r="M749" s="45" t="str">
        <f>'Ingest Template'!B749</f>
        <v/>
      </c>
      <c r="N749" s="35"/>
      <c r="O749" s="35"/>
      <c r="P749" s="35"/>
      <c r="Q749" s="35"/>
      <c r="R749" s="35" t="str">
        <f>'Ingest Template'!D749</f>
        <v/>
      </c>
      <c r="S749" s="22" t="s">
        <v>101</v>
      </c>
      <c r="T749" s="35" t="str">
        <f>'Ingest Template'!V749</f>
        <v/>
      </c>
      <c r="U749" s="35" t="str">
        <f>'Ingest Template'!W749</f>
        <v/>
      </c>
      <c r="V749" s="35" t="str">
        <f>LOWER(SUBSTITUTE(SUBSTITUTE(SUBSTITUTE(SUBSTITUTE(SUBSTITUTE('Ingest Template'!X749,"https:",""),"www.",""),"/",""),"?hl=en",""),"instagram.com",""))</f>
        <v/>
      </c>
      <c r="W749" s="74" t="str">
        <f t="array" ref="W749">IF(
'Ingest Template'!Y749="",
SUBSTITUTE(
INDEX(DropdownLists!$F$2:$F$277,MATCH('Ingest Template'!D749,DropdownLists!$C$2:$C$277,0)),
CHAR(10),
"|"&amp;'Ingest Template'!C749&amp;CHAR(10)
)&amp;"|"&amp;'Ingest Template'!C749,
SUBSTITUTE(
INDEX(DropdownLists!$F$2:$F$277,MATCH('Ingest Template'!D749,DropdownLists!$C$2:$C$277,0)),
CHAR(10),
"|"&amp;'Ingest Template'!C749&amp;CHAR(10)
)&amp;"|"&amp;'Ingest Template'!C749&amp;CHAR(10)&amp;'Ingest Template'!Y749
)</f>
        <v>#N/A</v>
      </c>
      <c r="X749" s="74" t="str">
        <f>'Ingest Template'!Z749</f>
        <v/>
      </c>
      <c r="Y749" s="35" t="str">
        <f>SUBSTITUTE(SUBSTITUTE(SUBSTITUTE('Ingest Template'!AA749,"http:",""),"https:",""),"/","")</f>
        <v/>
      </c>
      <c r="Z749" s="35" t="str">
        <f t="array" ref="Z749">IF('Ingest Template'!A749="Standard",(IF(ISBLANK('Ingest Template'!AB749),"", 'Ingest Template'!AB749&amp;"|DAR")),(IF(ISBLANK('Ingest Template'!AB749),"", 'Ingest Template'!AB749&amp;"|TV Ops")))</f>
        <v/>
      </c>
      <c r="AA749" s="35"/>
      <c r="AB749" s="35" t="str">
        <f>'Ingest Template'!R749</f>
        <v/>
      </c>
      <c r="AC749" s="35" t="str">
        <f>'Ingest Template'!T749</f>
        <v/>
      </c>
      <c r="AD749" s="35" t="str">
        <f>'Ingest Template'!S749</f>
        <v/>
      </c>
      <c r="AE749" s="35" t="str">
        <f>'Ingest Template'!U749</f>
        <v/>
      </c>
      <c r="AF749" s="22"/>
      <c r="AG749" s="35" t="str">
        <f t="array" ref="AG749">IF('Ingest Template'!A749="Standard",(CONCATENATE(IF(ISBLANK('Ingest Template'!N749),"", 'Ingest Template'!N749&amp;"|DAR"),CHAR(10), IF(ISBLANK('Ingest Template'!O749),"", 'Ingest Template'!O749&amp;"|DAR"),CHAR(10), IF(ISBLANK('Ingest Template'!P749),"", 'Ingest Template'!P749&amp;"|DAR"))),(CONCATENATE(IF(ISBLANK('Ingest Template'!N749),"", 'Ingest Template'!N749&amp;"|TV Ops"),CHAR(10), IF(ISBLANK('Ingest Template'!O749),"", 'Ingest Template'!O749&amp;"|TV Ops"),CHAR(10), IF(ISBLANK('Ingest Template'!P749),"", 'Ingest Template'!P749&amp;"|TV Ops"))))</f>
        <v>
</v>
      </c>
      <c r="AH749" s="35"/>
      <c r="AI749" s="35"/>
      <c r="AJ749" s="117" t="str">
        <f>if('Ingest Template'!A749="Standard",(IF(OR('Ingest Template'!F749 = "Program Type - Special", 'Ingest Template'!F749 = "Program Type - Live Event"),'Ingest Template'!M749&amp; "|DAR|DAR|"&amp;TEXT('Ingest Template'!C749-3, "yyyy-mm-dd")&amp;"|"&amp;TEXT('Ingest Template'!C749+3, "yyyy-mm-dd"),'Ingest Template'!M749&amp; "|DAR|DAR|2021-01-01")),(IF(OR('Ingest Template'!F749 = "Program Type - Special", 'Ingest Template'!F749 = "Program Type - Live Event"),'Ingest Template'!M749&amp; "|Operations - Core Title|Operations - Core Title|"&amp;TEXT('Ingest Template'!C749-3, "yyyy-mm-dd")&amp;"|"&amp;TEXT('Ingest Template'!C749+3, "yyyy-mm-dd"),'Ingest Template'!M749&amp; "|Operations - Core Title|Operations - Core Title")))</f>
        <v>|Operations - Core Title|Operations - Core Title</v>
      </c>
      <c r="AK749" s="35"/>
      <c r="AL749" s="117" t="str">
        <f>if('Ingest Template'!A749="Standard",(IF(OR('Ingest Template'!F749 = "Program Type - Special", 'Ingest Template'!F749 = "Program Type - Live Event"),'Ingest Template'!Q749&amp;"|"&amp;TEXT('Ingest Template'!C749-3, "yyyy-mm-dd")&amp;"|"&amp;TEXT('Ingest Template'!C749+3, "yyyy-mm-dd"),'Ingest Template'!Q749&amp; "|2021-01-01")),(IF(OR('Ingest Template'!F749 = "Program Type - Special", 'Ingest Template'!F749 = "Program Type - Live Event"),'Ingest Template'!Q749&amp; "|"&amp;TEXT('Ingest Template'!C749-3, "yyyy-mm-dd")&amp;"|"&amp;TEXT('Ingest Template'!C749+3, "yyyy-mm-dd"),'Ingest Template'!Q749)))</f>
        <v/>
      </c>
      <c r="AM749" s="35" t="str">
        <f>'Ingest Template'!AC749</f>
        <v/>
      </c>
    </row>
    <row r="750">
      <c r="A750" s="15"/>
      <c r="B750" s="22" t="str">
        <f>'Ingest Template'!C750&amp;IF('Ingest Template'!A750 = "Standard", " - DAR","")</f>
        <v/>
      </c>
      <c r="C750" s="22" t="s">
        <v>83</v>
      </c>
      <c r="D750" s="22" t="str">
        <f t="array" ref="D750">CONCATENATE(INDEX(DropdownLists!$H$2:$H$11,MATCH(1,COUNTIF('Ingest Template'!E750,"*"&amp;DropdownLists!$I$2:$I$11&amp;"*"),0)),CHAR(10),'Ingest Template'!F750,CHAR(10),'Ingest Template'!G750,CHAR(10),VLOOKUP('Ingest Template'!D750,DropdownLists!C:D,2,FALSE))</f>
        <v>#N/A</v>
      </c>
      <c r="E750" s="22" t="str">
        <f>CONCATENATE('Ingest Template'!H750,CHAR(10),'Ingest Template'!I750,CHAR(10),'Ingest Template'!J750,CHAR(10))</f>
        <v>
</v>
      </c>
      <c r="F750" s="35" t="str">
        <f t="array" ref="F750">INDEX(DropdownLists!$O$2:$O$36,MATCH(1,COUNTIF(E750,"*"&amp;DropdownLists!$N$2:$N$36&amp;"*"),0))</f>
        <v/>
      </c>
      <c r="G750" s="35"/>
      <c r="H750" s="22" t="str">
        <f t="array" ref="H750">INDEX(DropdownLists!$E$2:$E$276,MATCH('Ingest Template'!D750,DropdownLists!$C$2:$C$276,0))</f>
        <v>#N/A</v>
      </c>
      <c r="I750" s="22"/>
      <c r="J750" s="22" t="str">
        <f t="array" ref="J750">iF('Ingest Template'!A750="Standard","Pristine Brand",INDEX(DropdownLists!$B$2:$B$246,MATCH('Ingest Template'!D750,DropdownLists!$C$2:$C$246,0)))</f>
        <v>#N/A</v>
      </c>
      <c r="K750" s="22" t="str">
        <f>iF('Ingest Template'!A750="Standard",'Ingest Template'!K750&amp;CHAR(10)&amp;'Ingest Template'!L750,"Competitive View")</f>
        <v>Competitive View</v>
      </c>
      <c r="L750" s="22" t="s">
        <v>95</v>
      </c>
      <c r="M750" s="45" t="str">
        <f>'Ingest Template'!B750</f>
        <v/>
      </c>
      <c r="N750" s="35"/>
      <c r="O750" s="35"/>
      <c r="P750" s="35"/>
      <c r="Q750" s="35"/>
      <c r="R750" s="35" t="str">
        <f>'Ingest Template'!D750</f>
        <v/>
      </c>
      <c r="S750" s="22" t="s">
        <v>101</v>
      </c>
      <c r="T750" s="35" t="str">
        <f>'Ingest Template'!V750</f>
        <v/>
      </c>
      <c r="U750" s="35" t="str">
        <f>'Ingest Template'!W750</f>
        <v/>
      </c>
      <c r="V750" s="35" t="str">
        <f>LOWER(SUBSTITUTE(SUBSTITUTE(SUBSTITUTE(SUBSTITUTE(SUBSTITUTE('Ingest Template'!X750,"https:",""),"www.",""),"/",""),"?hl=en",""),"instagram.com",""))</f>
        <v/>
      </c>
      <c r="W750" s="74" t="str">
        <f t="array" ref="W750">IF(
'Ingest Template'!Y750="",
SUBSTITUTE(
INDEX(DropdownLists!$F$2:$F$277,MATCH('Ingest Template'!D750,DropdownLists!$C$2:$C$277,0)),
CHAR(10),
"|"&amp;'Ingest Template'!C750&amp;CHAR(10)
)&amp;"|"&amp;'Ingest Template'!C750,
SUBSTITUTE(
INDEX(DropdownLists!$F$2:$F$277,MATCH('Ingest Template'!D750,DropdownLists!$C$2:$C$277,0)),
CHAR(10),
"|"&amp;'Ingest Template'!C750&amp;CHAR(10)
)&amp;"|"&amp;'Ingest Template'!C750&amp;CHAR(10)&amp;'Ingest Template'!Y750
)</f>
        <v>#N/A</v>
      </c>
      <c r="X750" s="74" t="str">
        <f>'Ingest Template'!Z750</f>
        <v/>
      </c>
      <c r="Y750" s="35" t="str">
        <f>SUBSTITUTE(SUBSTITUTE(SUBSTITUTE('Ingest Template'!AA750,"http:",""),"https:",""),"/","")</f>
        <v/>
      </c>
      <c r="Z750" s="35" t="str">
        <f t="array" ref="Z750">IF('Ingest Template'!A750="Standard",(IF(ISBLANK('Ingest Template'!AB750),"", 'Ingest Template'!AB750&amp;"|DAR")),(IF(ISBLANK('Ingest Template'!AB750),"", 'Ingest Template'!AB750&amp;"|TV Ops")))</f>
        <v/>
      </c>
      <c r="AA750" s="35"/>
      <c r="AB750" s="35" t="str">
        <f>'Ingest Template'!R750</f>
        <v/>
      </c>
      <c r="AC750" s="35" t="str">
        <f>'Ingest Template'!T750</f>
        <v/>
      </c>
      <c r="AD750" s="35" t="str">
        <f>'Ingest Template'!S750</f>
        <v/>
      </c>
      <c r="AE750" s="35" t="str">
        <f>'Ingest Template'!U750</f>
        <v/>
      </c>
      <c r="AF750" s="22"/>
      <c r="AG750" s="35" t="str">
        <f t="array" ref="AG750">IF('Ingest Template'!A750="Standard",(CONCATENATE(IF(ISBLANK('Ingest Template'!N750),"", 'Ingest Template'!N750&amp;"|DAR"),CHAR(10), IF(ISBLANK('Ingest Template'!O750),"", 'Ingest Template'!O750&amp;"|DAR"),CHAR(10), IF(ISBLANK('Ingest Template'!P750),"", 'Ingest Template'!P750&amp;"|DAR"))),(CONCATENATE(IF(ISBLANK('Ingest Template'!N750),"", 'Ingest Template'!N750&amp;"|TV Ops"),CHAR(10), IF(ISBLANK('Ingest Template'!O750),"", 'Ingest Template'!O750&amp;"|TV Ops"),CHAR(10), IF(ISBLANK('Ingest Template'!P750),"", 'Ingest Template'!P750&amp;"|TV Ops"))))</f>
        <v>
</v>
      </c>
      <c r="AH750" s="35"/>
      <c r="AI750" s="35"/>
      <c r="AJ750" s="117" t="str">
        <f>if('Ingest Template'!A750="Standard",(IF(OR('Ingest Template'!F750 = "Program Type - Special", 'Ingest Template'!F750 = "Program Type - Live Event"),'Ingest Template'!M750&amp; "|DAR|DAR|"&amp;TEXT('Ingest Template'!C750-3, "yyyy-mm-dd")&amp;"|"&amp;TEXT('Ingest Template'!C750+3, "yyyy-mm-dd"),'Ingest Template'!M750&amp; "|DAR|DAR|2021-01-01")),(IF(OR('Ingest Template'!F750 = "Program Type - Special", 'Ingest Template'!F750 = "Program Type - Live Event"),'Ingest Template'!M750&amp; "|Operations - Core Title|Operations - Core Title|"&amp;TEXT('Ingest Template'!C750-3, "yyyy-mm-dd")&amp;"|"&amp;TEXT('Ingest Template'!C750+3, "yyyy-mm-dd"),'Ingest Template'!M750&amp; "|Operations - Core Title|Operations - Core Title")))</f>
        <v>|Operations - Core Title|Operations - Core Title</v>
      </c>
      <c r="AK750" s="35"/>
      <c r="AL750" s="117" t="str">
        <f>if('Ingest Template'!A750="Standard",(IF(OR('Ingest Template'!F750 = "Program Type - Special", 'Ingest Template'!F750 = "Program Type - Live Event"),'Ingest Template'!Q750&amp;"|"&amp;TEXT('Ingest Template'!C750-3, "yyyy-mm-dd")&amp;"|"&amp;TEXT('Ingest Template'!C750+3, "yyyy-mm-dd"),'Ingest Template'!Q750&amp; "|2021-01-01")),(IF(OR('Ingest Template'!F750 = "Program Type - Special", 'Ingest Template'!F750 = "Program Type - Live Event"),'Ingest Template'!Q750&amp; "|"&amp;TEXT('Ingest Template'!C750-3, "yyyy-mm-dd")&amp;"|"&amp;TEXT('Ingest Template'!C750+3, "yyyy-mm-dd"),'Ingest Template'!Q750)))</f>
        <v/>
      </c>
      <c r="AM750" s="35" t="str">
        <f>'Ingest Template'!AC750</f>
        <v/>
      </c>
    </row>
    <row r="751">
      <c r="A751" s="15"/>
      <c r="B751" s="22" t="str">
        <f>'Ingest Template'!C751&amp;IF('Ingest Template'!A751 = "Standard", " - DAR","")</f>
        <v/>
      </c>
      <c r="C751" s="22" t="s">
        <v>83</v>
      </c>
      <c r="D751" s="22" t="str">
        <f t="array" ref="D751">CONCATENATE(INDEX(DropdownLists!$H$2:$H$11,MATCH(1,COUNTIF('Ingest Template'!E751,"*"&amp;DropdownLists!$I$2:$I$11&amp;"*"),0)),CHAR(10),'Ingest Template'!F751,CHAR(10),'Ingest Template'!G751,CHAR(10),VLOOKUP('Ingest Template'!D751,DropdownLists!C:D,2,FALSE))</f>
        <v>#N/A</v>
      </c>
      <c r="E751" s="22" t="str">
        <f>CONCATENATE('Ingest Template'!H751,CHAR(10),'Ingest Template'!I751,CHAR(10),'Ingest Template'!J751,CHAR(10))</f>
        <v>
</v>
      </c>
      <c r="F751" s="35" t="str">
        <f t="array" ref="F751">INDEX(DropdownLists!$O$2:$O$36,MATCH(1,COUNTIF(E751,"*"&amp;DropdownLists!$N$2:$N$36&amp;"*"),0))</f>
        <v/>
      </c>
      <c r="G751" s="35"/>
      <c r="H751" s="22" t="str">
        <f t="array" ref="H751">INDEX(DropdownLists!$E$2:$E$276,MATCH('Ingest Template'!D751,DropdownLists!$C$2:$C$276,0))</f>
        <v>#N/A</v>
      </c>
      <c r="I751" s="22"/>
      <c r="J751" s="22" t="str">
        <f t="array" ref="J751">iF('Ingest Template'!A751="Standard","Pristine Brand",INDEX(DropdownLists!$B$2:$B$246,MATCH('Ingest Template'!D751,DropdownLists!$C$2:$C$246,0)))</f>
        <v>#N/A</v>
      </c>
      <c r="K751" s="22" t="str">
        <f>iF('Ingest Template'!A751="Standard",'Ingest Template'!K751&amp;CHAR(10)&amp;'Ingest Template'!L751,"Competitive View")</f>
        <v>Competitive View</v>
      </c>
      <c r="L751" s="22" t="s">
        <v>95</v>
      </c>
      <c r="M751" s="45" t="str">
        <f>'Ingest Template'!B751</f>
        <v/>
      </c>
      <c r="N751" s="35"/>
      <c r="O751" s="35"/>
      <c r="P751" s="35"/>
      <c r="Q751" s="35"/>
      <c r="R751" s="35" t="str">
        <f>'Ingest Template'!D751</f>
        <v/>
      </c>
      <c r="S751" s="22" t="s">
        <v>101</v>
      </c>
      <c r="T751" s="35" t="str">
        <f>'Ingest Template'!V751</f>
        <v/>
      </c>
      <c r="U751" s="35" t="str">
        <f>'Ingest Template'!W751</f>
        <v/>
      </c>
      <c r="V751" s="35" t="str">
        <f>LOWER(SUBSTITUTE(SUBSTITUTE(SUBSTITUTE(SUBSTITUTE(SUBSTITUTE('Ingest Template'!X751,"https:",""),"www.",""),"/",""),"?hl=en",""),"instagram.com",""))</f>
        <v/>
      </c>
      <c r="W751" s="74" t="str">
        <f t="array" ref="W751">IF(
'Ingest Template'!Y751="",
SUBSTITUTE(
INDEX(DropdownLists!$F$2:$F$277,MATCH('Ingest Template'!D751,DropdownLists!$C$2:$C$277,0)),
CHAR(10),
"|"&amp;'Ingest Template'!C751&amp;CHAR(10)
)&amp;"|"&amp;'Ingest Template'!C751,
SUBSTITUTE(
INDEX(DropdownLists!$F$2:$F$277,MATCH('Ingest Template'!D751,DropdownLists!$C$2:$C$277,0)),
CHAR(10),
"|"&amp;'Ingest Template'!C751&amp;CHAR(10)
)&amp;"|"&amp;'Ingest Template'!C751&amp;CHAR(10)&amp;'Ingest Template'!Y751
)</f>
        <v>#N/A</v>
      </c>
      <c r="X751" s="74" t="str">
        <f>'Ingest Template'!Z751</f>
        <v/>
      </c>
      <c r="Y751" s="35" t="str">
        <f>SUBSTITUTE(SUBSTITUTE(SUBSTITUTE('Ingest Template'!AA751,"http:",""),"https:",""),"/","")</f>
        <v/>
      </c>
      <c r="Z751" s="35" t="str">
        <f t="array" ref="Z751">IF('Ingest Template'!A751="Standard",(IF(ISBLANK('Ingest Template'!AB751),"", 'Ingest Template'!AB751&amp;"|DAR")),(IF(ISBLANK('Ingest Template'!AB751),"", 'Ingest Template'!AB751&amp;"|TV Ops")))</f>
        <v/>
      </c>
      <c r="AA751" s="35"/>
      <c r="AB751" s="35" t="str">
        <f>'Ingest Template'!R751</f>
        <v/>
      </c>
      <c r="AC751" s="35" t="str">
        <f>'Ingest Template'!T751</f>
        <v/>
      </c>
      <c r="AD751" s="35" t="str">
        <f>'Ingest Template'!S751</f>
        <v/>
      </c>
      <c r="AE751" s="35" t="str">
        <f>'Ingest Template'!U751</f>
        <v/>
      </c>
      <c r="AF751" s="22"/>
      <c r="AG751" s="35" t="str">
        <f t="array" ref="AG751">IF('Ingest Template'!A751="Standard",(CONCATENATE(IF(ISBLANK('Ingest Template'!N751),"", 'Ingest Template'!N751&amp;"|DAR"),CHAR(10), IF(ISBLANK('Ingest Template'!O751),"", 'Ingest Template'!O751&amp;"|DAR"),CHAR(10), IF(ISBLANK('Ingest Template'!P751),"", 'Ingest Template'!P751&amp;"|DAR"))),(CONCATENATE(IF(ISBLANK('Ingest Template'!N751),"", 'Ingest Template'!N751&amp;"|TV Ops"),CHAR(10), IF(ISBLANK('Ingest Template'!O751),"", 'Ingest Template'!O751&amp;"|TV Ops"),CHAR(10), IF(ISBLANK('Ingest Template'!P751),"", 'Ingest Template'!P751&amp;"|TV Ops"))))</f>
        <v>
</v>
      </c>
      <c r="AH751" s="35"/>
      <c r="AI751" s="35"/>
      <c r="AJ751" s="117" t="str">
        <f>if('Ingest Template'!A751="Standard",(IF(OR('Ingest Template'!F751 = "Program Type - Special", 'Ingest Template'!F751 = "Program Type - Live Event"),'Ingest Template'!M751&amp; "|DAR|DAR|"&amp;TEXT('Ingest Template'!C751-3, "yyyy-mm-dd")&amp;"|"&amp;TEXT('Ingest Template'!C751+3, "yyyy-mm-dd"),'Ingest Template'!M751&amp; "|DAR|DAR|2021-01-01")),(IF(OR('Ingest Template'!F751 = "Program Type - Special", 'Ingest Template'!F751 = "Program Type - Live Event"),'Ingest Template'!M751&amp; "|Operations - Core Title|Operations - Core Title|"&amp;TEXT('Ingest Template'!C751-3, "yyyy-mm-dd")&amp;"|"&amp;TEXT('Ingest Template'!C751+3, "yyyy-mm-dd"),'Ingest Template'!M751&amp; "|Operations - Core Title|Operations - Core Title")))</f>
        <v>|Operations - Core Title|Operations - Core Title</v>
      </c>
      <c r="AK751" s="35"/>
      <c r="AL751" s="117" t="str">
        <f>if('Ingest Template'!A751="Standard",(IF(OR('Ingest Template'!F751 = "Program Type - Special", 'Ingest Template'!F751 = "Program Type - Live Event"),'Ingest Template'!Q751&amp;"|"&amp;TEXT('Ingest Template'!C751-3, "yyyy-mm-dd")&amp;"|"&amp;TEXT('Ingest Template'!C751+3, "yyyy-mm-dd"),'Ingest Template'!Q751&amp; "|2021-01-01")),(IF(OR('Ingest Template'!F751 = "Program Type - Special", 'Ingest Template'!F751 = "Program Type - Live Event"),'Ingest Template'!Q751&amp; "|"&amp;TEXT('Ingest Template'!C751-3, "yyyy-mm-dd")&amp;"|"&amp;TEXT('Ingest Template'!C751+3, "yyyy-mm-dd"),'Ingest Template'!Q751)))</f>
        <v/>
      </c>
      <c r="AM751" s="35" t="str">
        <f>'Ingest Template'!AC751</f>
        <v/>
      </c>
    </row>
    <row r="752">
      <c r="A752" s="15"/>
      <c r="B752" s="22" t="str">
        <f>'Ingest Template'!C752&amp;IF('Ingest Template'!A752 = "Standard", " - DAR","")</f>
        <v/>
      </c>
      <c r="C752" s="22" t="s">
        <v>83</v>
      </c>
      <c r="D752" s="22" t="str">
        <f t="array" ref="D752">CONCATENATE(INDEX(DropdownLists!$H$2:$H$11,MATCH(1,COUNTIF('Ingest Template'!E752,"*"&amp;DropdownLists!$I$2:$I$11&amp;"*"),0)),CHAR(10),'Ingest Template'!F752,CHAR(10),'Ingest Template'!G752,CHAR(10),VLOOKUP('Ingest Template'!D752,DropdownLists!C:D,2,FALSE))</f>
        <v>#N/A</v>
      </c>
      <c r="E752" s="22" t="str">
        <f>CONCATENATE('Ingest Template'!H752,CHAR(10),'Ingest Template'!I752,CHAR(10),'Ingest Template'!J752,CHAR(10))</f>
        <v>
</v>
      </c>
      <c r="F752" s="35" t="str">
        <f t="array" ref="F752">INDEX(DropdownLists!$O$2:$O$36,MATCH(1,COUNTIF(E752,"*"&amp;DropdownLists!$N$2:$N$36&amp;"*"),0))</f>
        <v/>
      </c>
      <c r="G752" s="35"/>
      <c r="H752" s="22" t="str">
        <f t="array" ref="H752">INDEX(DropdownLists!$E$2:$E$276,MATCH('Ingest Template'!D752,DropdownLists!$C$2:$C$276,0))</f>
        <v>#N/A</v>
      </c>
      <c r="I752" s="22"/>
      <c r="J752" s="22" t="str">
        <f t="array" ref="J752">iF('Ingest Template'!A752="Standard","Pristine Brand",INDEX(DropdownLists!$B$2:$B$246,MATCH('Ingest Template'!D752,DropdownLists!$C$2:$C$246,0)))</f>
        <v>#N/A</v>
      </c>
      <c r="K752" s="22" t="str">
        <f>iF('Ingest Template'!A752="Standard",'Ingest Template'!K752&amp;CHAR(10)&amp;'Ingest Template'!L752,"Competitive View")</f>
        <v>Competitive View</v>
      </c>
      <c r="L752" s="22" t="s">
        <v>95</v>
      </c>
      <c r="M752" s="45" t="str">
        <f>'Ingest Template'!B752</f>
        <v/>
      </c>
      <c r="N752" s="35"/>
      <c r="O752" s="35"/>
      <c r="P752" s="35"/>
      <c r="Q752" s="35"/>
      <c r="R752" s="35" t="str">
        <f>'Ingest Template'!D752</f>
        <v/>
      </c>
      <c r="S752" s="22" t="s">
        <v>101</v>
      </c>
      <c r="T752" s="35" t="str">
        <f>'Ingest Template'!V752</f>
        <v/>
      </c>
      <c r="U752" s="35" t="str">
        <f>'Ingest Template'!W752</f>
        <v/>
      </c>
      <c r="V752" s="35" t="str">
        <f>LOWER(SUBSTITUTE(SUBSTITUTE(SUBSTITUTE(SUBSTITUTE(SUBSTITUTE('Ingest Template'!X752,"https:",""),"www.",""),"/",""),"?hl=en",""),"instagram.com",""))</f>
        <v/>
      </c>
      <c r="W752" s="74" t="str">
        <f t="array" ref="W752">IF(
'Ingest Template'!Y752="",
SUBSTITUTE(
INDEX(DropdownLists!$F$2:$F$277,MATCH('Ingest Template'!D752,DropdownLists!$C$2:$C$277,0)),
CHAR(10),
"|"&amp;'Ingest Template'!C752&amp;CHAR(10)
)&amp;"|"&amp;'Ingest Template'!C752,
SUBSTITUTE(
INDEX(DropdownLists!$F$2:$F$277,MATCH('Ingest Template'!D752,DropdownLists!$C$2:$C$277,0)),
CHAR(10),
"|"&amp;'Ingest Template'!C752&amp;CHAR(10)
)&amp;"|"&amp;'Ingest Template'!C752&amp;CHAR(10)&amp;'Ingest Template'!Y752
)</f>
        <v>#N/A</v>
      </c>
      <c r="X752" s="74" t="str">
        <f>'Ingest Template'!Z752</f>
        <v/>
      </c>
      <c r="Y752" s="35" t="str">
        <f>SUBSTITUTE(SUBSTITUTE(SUBSTITUTE('Ingest Template'!AA752,"http:",""),"https:",""),"/","")</f>
        <v/>
      </c>
      <c r="Z752" s="35" t="str">
        <f t="array" ref="Z752">IF('Ingest Template'!A752="Standard",(IF(ISBLANK('Ingest Template'!AB752),"", 'Ingest Template'!AB752&amp;"|DAR")),(IF(ISBLANK('Ingest Template'!AB752),"", 'Ingest Template'!AB752&amp;"|TV Ops")))</f>
        <v/>
      </c>
      <c r="AA752" s="35"/>
      <c r="AB752" s="35" t="str">
        <f>'Ingest Template'!R752</f>
        <v/>
      </c>
      <c r="AC752" s="35" t="str">
        <f>'Ingest Template'!T752</f>
        <v/>
      </c>
      <c r="AD752" s="35" t="str">
        <f>'Ingest Template'!S752</f>
        <v/>
      </c>
      <c r="AE752" s="35" t="str">
        <f>'Ingest Template'!U752</f>
        <v/>
      </c>
      <c r="AF752" s="22"/>
      <c r="AG752" s="35" t="str">
        <f t="array" ref="AG752">IF('Ingest Template'!A752="Standard",(CONCATENATE(IF(ISBLANK('Ingest Template'!N752),"", 'Ingest Template'!N752&amp;"|DAR"),CHAR(10), IF(ISBLANK('Ingest Template'!O752),"", 'Ingest Template'!O752&amp;"|DAR"),CHAR(10), IF(ISBLANK('Ingest Template'!P752),"", 'Ingest Template'!P752&amp;"|DAR"))),(CONCATENATE(IF(ISBLANK('Ingest Template'!N752),"", 'Ingest Template'!N752&amp;"|TV Ops"),CHAR(10), IF(ISBLANK('Ingest Template'!O752),"", 'Ingest Template'!O752&amp;"|TV Ops"),CHAR(10), IF(ISBLANK('Ingest Template'!P752),"", 'Ingest Template'!P752&amp;"|TV Ops"))))</f>
        <v>
</v>
      </c>
      <c r="AH752" s="35"/>
      <c r="AI752" s="35"/>
      <c r="AJ752" s="117" t="str">
        <f>if('Ingest Template'!A752="Standard",(IF(OR('Ingest Template'!F752 = "Program Type - Special", 'Ingest Template'!F752 = "Program Type - Live Event"),'Ingest Template'!M752&amp; "|DAR|DAR|"&amp;TEXT('Ingest Template'!C752-3, "yyyy-mm-dd")&amp;"|"&amp;TEXT('Ingest Template'!C752+3, "yyyy-mm-dd"),'Ingest Template'!M752&amp; "|DAR|DAR|2021-01-01")),(IF(OR('Ingest Template'!F752 = "Program Type - Special", 'Ingest Template'!F752 = "Program Type - Live Event"),'Ingest Template'!M752&amp; "|Operations - Core Title|Operations - Core Title|"&amp;TEXT('Ingest Template'!C752-3, "yyyy-mm-dd")&amp;"|"&amp;TEXT('Ingest Template'!C752+3, "yyyy-mm-dd"),'Ingest Template'!M752&amp; "|Operations - Core Title|Operations - Core Title")))</f>
        <v>|Operations - Core Title|Operations - Core Title</v>
      </c>
      <c r="AK752" s="35"/>
      <c r="AL752" s="117" t="str">
        <f>if('Ingest Template'!A752="Standard",(IF(OR('Ingest Template'!F752 = "Program Type - Special", 'Ingest Template'!F752 = "Program Type - Live Event"),'Ingest Template'!Q752&amp;"|"&amp;TEXT('Ingest Template'!C752-3, "yyyy-mm-dd")&amp;"|"&amp;TEXT('Ingest Template'!C752+3, "yyyy-mm-dd"),'Ingest Template'!Q752&amp; "|2021-01-01")),(IF(OR('Ingest Template'!F752 = "Program Type - Special", 'Ingest Template'!F752 = "Program Type - Live Event"),'Ingest Template'!Q752&amp; "|"&amp;TEXT('Ingest Template'!C752-3, "yyyy-mm-dd")&amp;"|"&amp;TEXT('Ingest Template'!C752+3, "yyyy-mm-dd"),'Ingest Template'!Q752)))</f>
        <v/>
      </c>
      <c r="AM752" s="35" t="str">
        <f>'Ingest Template'!AC752</f>
        <v/>
      </c>
    </row>
    <row r="753">
      <c r="A753" s="15"/>
      <c r="B753" s="22" t="str">
        <f>'Ingest Template'!C753&amp;IF('Ingest Template'!A753 = "Standard", " - DAR","")</f>
        <v/>
      </c>
      <c r="C753" s="22" t="s">
        <v>83</v>
      </c>
      <c r="D753" s="22" t="str">
        <f t="array" ref="D753">CONCATENATE(INDEX(DropdownLists!$H$2:$H$11,MATCH(1,COUNTIF('Ingest Template'!E753,"*"&amp;DropdownLists!$I$2:$I$11&amp;"*"),0)),CHAR(10),'Ingest Template'!F753,CHAR(10),'Ingest Template'!G753,CHAR(10),VLOOKUP('Ingest Template'!D753,DropdownLists!C:D,2,FALSE))</f>
        <v>#N/A</v>
      </c>
      <c r="E753" s="22" t="str">
        <f>CONCATENATE('Ingest Template'!H753,CHAR(10),'Ingest Template'!I753,CHAR(10),'Ingest Template'!J753,CHAR(10))</f>
        <v>
</v>
      </c>
      <c r="F753" s="35" t="str">
        <f t="array" ref="F753">INDEX(DropdownLists!$O$2:$O$36,MATCH(1,COUNTIF(E753,"*"&amp;DropdownLists!$N$2:$N$36&amp;"*"),0))</f>
        <v/>
      </c>
      <c r="G753" s="35"/>
      <c r="H753" s="22" t="str">
        <f t="array" ref="H753">INDEX(DropdownLists!$E$2:$E$276,MATCH('Ingest Template'!D753,DropdownLists!$C$2:$C$276,0))</f>
        <v>#N/A</v>
      </c>
      <c r="I753" s="22"/>
      <c r="J753" s="22" t="str">
        <f t="array" ref="J753">iF('Ingest Template'!A753="Standard","Pristine Brand",INDEX(DropdownLists!$B$2:$B$246,MATCH('Ingest Template'!D753,DropdownLists!$C$2:$C$246,0)))</f>
        <v>#N/A</v>
      </c>
      <c r="K753" s="22" t="str">
        <f>iF('Ingest Template'!A753="Standard",'Ingest Template'!K753&amp;CHAR(10)&amp;'Ingest Template'!L753,"Competitive View")</f>
        <v>Competitive View</v>
      </c>
      <c r="L753" s="22" t="s">
        <v>95</v>
      </c>
      <c r="M753" s="45" t="str">
        <f>'Ingest Template'!B753</f>
        <v/>
      </c>
      <c r="N753" s="35"/>
      <c r="O753" s="35"/>
      <c r="P753" s="35"/>
      <c r="Q753" s="35"/>
      <c r="R753" s="35" t="str">
        <f>'Ingest Template'!D753</f>
        <v/>
      </c>
      <c r="S753" s="22" t="s">
        <v>101</v>
      </c>
      <c r="T753" s="35" t="str">
        <f>'Ingest Template'!V753</f>
        <v/>
      </c>
      <c r="U753" s="35" t="str">
        <f>'Ingest Template'!W753</f>
        <v/>
      </c>
      <c r="V753" s="35" t="str">
        <f>LOWER(SUBSTITUTE(SUBSTITUTE(SUBSTITUTE(SUBSTITUTE(SUBSTITUTE('Ingest Template'!X753,"https:",""),"www.",""),"/",""),"?hl=en",""),"instagram.com",""))</f>
        <v/>
      </c>
      <c r="W753" s="74" t="str">
        <f t="array" ref="W753">IF(
'Ingest Template'!Y753="",
SUBSTITUTE(
INDEX(DropdownLists!$F$2:$F$277,MATCH('Ingest Template'!D753,DropdownLists!$C$2:$C$277,0)),
CHAR(10),
"|"&amp;'Ingest Template'!C753&amp;CHAR(10)
)&amp;"|"&amp;'Ingest Template'!C753,
SUBSTITUTE(
INDEX(DropdownLists!$F$2:$F$277,MATCH('Ingest Template'!D753,DropdownLists!$C$2:$C$277,0)),
CHAR(10),
"|"&amp;'Ingest Template'!C753&amp;CHAR(10)
)&amp;"|"&amp;'Ingest Template'!C753&amp;CHAR(10)&amp;'Ingest Template'!Y753
)</f>
        <v>#N/A</v>
      </c>
      <c r="X753" s="74" t="str">
        <f>'Ingest Template'!Z753</f>
        <v/>
      </c>
      <c r="Y753" s="35" t="str">
        <f>SUBSTITUTE(SUBSTITUTE(SUBSTITUTE('Ingest Template'!AA753,"http:",""),"https:",""),"/","")</f>
        <v/>
      </c>
      <c r="Z753" s="35" t="str">
        <f t="array" ref="Z753">IF('Ingest Template'!A753="Standard",(IF(ISBLANK('Ingest Template'!AB753),"", 'Ingest Template'!AB753&amp;"|DAR")),(IF(ISBLANK('Ingest Template'!AB753),"", 'Ingest Template'!AB753&amp;"|TV Ops")))</f>
        <v/>
      </c>
      <c r="AA753" s="35"/>
      <c r="AB753" s="35" t="str">
        <f>'Ingest Template'!R753</f>
        <v/>
      </c>
      <c r="AC753" s="35" t="str">
        <f>'Ingest Template'!T753</f>
        <v/>
      </c>
      <c r="AD753" s="35" t="str">
        <f>'Ingest Template'!S753</f>
        <v/>
      </c>
      <c r="AE753" s="35" t="str">
        <f>'Ingest Template'!U753</f>
        <v/>
      </c>
      <c r="AF753" s="22"/>
      <c r="AG753" s="35" t="str">
        <f t="array" ref="AG753">IF('Ingest Template'!A753="Standard",(CONCATENATE(IF(ISBLANK('Ingest Template'!N753),"", 'Ingest Template'!N753&amp;"|DAR"),CHAR(10), IF(ISBLANK('Ingest Template'!O753),"", 'Ingest Template'!O753&amp;"|DAR"),CHAR(10), IF(ISBLANK('Ingest Template'!P753),"", 'Ingest Template'!P753&amp;"|DAR"))),(CONCATENATE(IF(ISBLANK('Ingest Template'!N753),"", 'Ingest Template'!N753&amp;"|TV Ops"),CHAR(10), IF(ISBLANK('Ingest Template'!O753),"", 'Ingest Template'!O753&amp;"|TV Ops"),CHAR(10), IF(ISBLANK('Ingest Template'!P753),"", 'Ingest Template'!P753&amp;"|TV Ops"))))</f>
        <v>
</v>
      </c>
      <c r="AH753" s="35"/>
      <c r="AI753" s="35"/>
      <c r="AJ753" s="117" t="str">
        <f>if('Ingest Template'!A753="Standard",(IF(OR('Ingest Template'!F753 = "Program Type - Special", 'Ingest Template'!F753 = "Program Type - Live Event"),'Ingest Template'!M753&amp; "|DAR|DAR|"&amp;TEXT('Ingest Template'!C753-3, "yyyy-mm-dd")&amp;"|"&amp;TEXT('Ingest Template'!C753+3, "yyyy-mm-dd"),'Ingest Template'!M753&amp; "|DAR|DAR|2021-01-01")),(IF(OR('Ingest Template'!F753 = "Program Type - Special", 'Ingest Template'!F753 = "Program Type - Live Event"),'Ingest Template'!M753&amp; "|Operations - Core Title|Operations - Core Title|"&amp;TEXT('Ingest Template'!C753-3, "yyyy-mm-dd")&amp;"|"&amp;TEXT('Ingest Template'!C753+3, "yyyy-mm-dd"),'Ingest Template'!M753&amp; "|Operations - Core Title|Operations - Core Title")))</f>
        <v>|Operations - Core Title|Operations - Core Title</v>
      </c>
      <c r="AK753" s="35"/>
      <c r="AL753" s="117" t="str">
        <f>if('Ingest Template'!A753="Standard",(IF(OR('Ingest Template'!F753 = "Program Type - Special", 'Ingest Template'!F753 = "Program Type - Live Event"),'Ingest Template'!Q753&amp;"|"&amp;TEXT('Ingest Template'!C753-3, "yyyy-mm-dd")&amp;"|"&amp;TEXT('Ingest Template'!C753+3, "yyyy-mm-dd"),'Ingest Template'!Q753&amp; "|2021-01-01")),(IF(OR('Ingest Template'!F753 = "Program Type - Special", 'Ingest Template'!F753 = "Program Type - Live Event"),'Ingest Template'!Q753&amp; "|"&amp;TEXT('Ingest Template'!C753-3, "yyyy-mm-dd")&amp;"|"&amp;TEXT('Ingest Template'!C753+3, "yyyy-mm-dd"),'Ingest Template'!Q753)))</f>
        <v/>
      </c>
      <c r="AM753" s="35" t="str">
        <f>'Ingest Template'!AC753</f>
        <v/>
      </c>
    </row>
    <row r="754">
      <c r="A754" s="15"/>
      <c r="B754" s="22" t="str">
        <f>'Ingest Template'!C754&amp;IF('Ingest Template'!A754 = "Standard", " - DAR","")</f>
        <v/>
      </c>
      <c r="C754" s="22" t="s">
        <v>83</v>
      </c>
      <c r="D754" s="22" t="str">
        <f t="array" ref="D754">CONCATENATE(INDEX(DropdownLists!$H$2:$H$11,MATCH(1,COUNTIF('Ingest Template'!E754,"*"&amp;DropdownLists!$I$2:$I$11&amp;"*"),0)),CHAR(10),'Ingest Template'!F754,CHAR(10),'Ingest Template'!G754,CHAR(10),VLOOKUP('Ingest Template'!D754,DropdownLists!C:D,2,FALSE))</f>
        <v>#N/A</v>
      </c>
      <c r="E754" s="22" t="str">
        <f>CONCATENATE('Ingest Template'!H754,CHAR(10),'Ingest Template'!I754,CHAR(10),'Ingest Template'!J754,CHAR(10))</f>
        <v>
</v>
      </c>
      <c r="F754" s="35" t="str">
        <f t="array" ref="F754">INDEX(DropdownLists!$O$2:$O$36,MATCH(1,COUNTIF(E754,"*"&amp;DropdownLists!$N$2:$N$36&amp;"*"),0))</f>
        <v/>
      </c>
      <c r="G754" s="35"/>
      <c r="H754" s="22" t="str">
        <f t="array" ref="H754">INDEX(DropdownLists!$E$2:$E$276,MATCH('Ingest Template'!D754,DropdownLists!$C$2:$C$276,0))</f>
        <v>#N/A</v>
      </c>
      <c r="I754" s="22"/>
      <c r="J754" s="22" t="str">
        <f t="array" ref="J754">iF('Ingest Template'!A754="Standard","Pristine Brand",INDEX(DropdownLists!$B$2:$B$246,MATCH('Ingest Template'!D754,DropdownLists!$C$2:$C$246,0)))</f>
        <v>#N/A</v>
      </c>
      <c r="K754" s="22" t="str">
        <f>iF('Ingest Template'!A754="Standard",'Ingest Template'!K754&amp;CHAR(10)&amp;'Ingest Template'!L754,"Competitive View")</f>
        <v>Competitive View</v>
      </c>
      <c r="L754" s="22" t="s">
        <v>95</v>
      </c>
      <c r="M754" s="45" t="str">
        <f>'Ingest Template'!B754</f>
        <v/>
      </c>
      <c r="N754" s="35"/>
      <c r="O754" s="35"/>
      <c r="P754" s="35"/>
      <c r="Q754" s="35"/>
      <c r="R754" s="35" t="str">
        <f>'Ingest Template'!D754</f>
        <v/>
      </c>
      <c r="S754" s="22" t="s">
        <v>101</v>
      </c>
      <c r="T754" s="35" t="str">
        <f>'Ingest Template'!V754</f>
        <v/>
      </c>
      <c r="U754" s="35" t="str">
        <f>'Ingest Template'!W754</f>
        <v/>
      </c>
      <c r="V754" s="35" t="str">
        <f>LOWER(SUBSTITUTE(SUBSTITUTE(SUBSTITUTE(SUBSTITUTE(SUBSTITUTE('Ingest Template'!X754,"https:",""),"www.",""),"/",""),"?hl=en",""),"instagram.com",""))</f>
        <v/>
      </c>
      <c r="W754" s="74" t="str">
        <f t="array" ref="W754">IF(
'Ingest Template'!Y754="",
SUBSTITUTE(
INDEX(DropdownLists!$F$2:$F$277,MATCH('Ingest Template'!D754,DropdownLists!$C$2:$C$277,0)),
CHAR(10),
"|"&amp;'Ingest Template'!C754&amp;CHAR(10)
)&amp;"|"&amp;'Ingest Template'!C754,
SUBSTITUTE(
INDEX(DropdownLists!$F$2:$F$277,MATCH('Ingest Template'!D754,DropdownLists!$C$2:$C$277,0)),
CHAR(10),
"|"&amp;'Ingest Template'!C754&amp;CHAR(10)
)&amp;"|"&amp;'Ingest Template'!C754&amp;CHAR(10)&amp;'Ingest Template'!Y754
)</f>
        <v>#N/A</v>
      </c>
      <c r="X754" s="74" t="str">
        <f>'Ingest Template'!Z754</f>
        <v/>
      </c>
      <c r="Y754" s="35" t="str">
        <f>SUBSTITUTE(SUBSTITUTE(SUBSTITUTE('Ingest Template'!AA754,"http:",""),"https:",""),"/","")</f>
        <v/>
      </c>
      <c r="Z754" s="35" t="str">
        <f t="array" ref="Z754">IF('Ingest Template'!A754="Standard",(IF(ISBLANK('Ingest Template'!AB754),"", 'Ingest Template'!AB754&amp;"|DAR")),(IF(ISBLANK('Ingest Template'!AB754),"", 'Ingest Template'!AB754&amp;"|TV Ops")))</f>
        <v/>
      </c>
      <c r="AA754" s="35"/>
      <c r="AB754" s="35" t="str">
        <f>'Ingest Template'!R754</f>
        <v/>
      </c>
      <c r="AC754" s="35" t="str">
        <f>'Ingest Template'!T754</f>
        <v/>
      </c>
      <c r="AD754" s="35" t="str">
        <f>'Ingest Template'!S754</f>
        <v/>
      </c>
      <c r="AE754" s="35" t="str">
        <f>'Ingest Template'!U754</f>
        <v/>
      </c>
      <c r="AF754" s="22"/>
      <c r="AG754" s="35" t="str">
        <f t="array" ref="AG754">IF('Ingest Template'!A754="Standard",(CONCATENATE(IF(ISBLANK('Ingest Template'!N754),"", 'Ingest Template'!N754&amp;"|DAR"),CHAR(10), IF(ISBLANK('Ingest Template'!O754),"", 'Ingest Template'!O754&amp;"|DAR"),CHAR(10), IF(ISBLANK('Ingest Template'!P754),"", 'Ingest Template'!P754&amp;"|DAR"))),(CONCATENATE(IF(ISBLANK('Ingest Template'!N754),"", 'Ingest Template'!N754&amp;"|TV Ops"),CHAR(10), IF(ISBLANK('Ingest Template'!O754),"", 'Ingest Template'!O754&amp;"|TV Ops"),CHAR(10), IF(ISBLANK('Ingest Template'!P754),"", 'Ingest Template'!P754&amp;"|TV Ops"))))</f>
        <v>
</v>
      </c>
      <c r="AH754" s="35"/>
      <c r="AI754" s="35"/>
      <c r="AJ754" s="117" t="str">
        <f>if('Ingest Template'!A754="Standard",(IF(OR('Ingest Template'!F754 = "Program Type - Special", 'Ingest Template'!F754 = "Program Type - Live Event"),'Ingest Template'!M754&amp; "|DAR|DAR|"&amp;TEXT('Ingest Template'!C754-3, "yyyy-mm-dd")&amp;"|"&amp;TEXT('Ingest Template'!C754+3, "yyyy-mm-dd"),'Ingest Template'!M754&amp; "|DAR|DAR|2021-01-01")),(IF(OR('Ingest Template'!F754 = "Program Type - Special", 'Ingest Template'!F754 = "Program Type - Live Event"),'Ingest Template'!M754&amp; "|Operations - Core Title|Operations - Core Title|"&amp;TEXT('Ingest Template'!C754-3, "yyyy-mm-dd")&amp;"|"&amp;TEXT('Ingest Template'!C754+3, "yyyy-mm-dd"),'Ingest Template'!M754&amp; "|Operations - Core Title|Operations - Core Title")))</f>
        <v>|Operations - Core Title|Operations - Core Title</v>
      </c>
      <c r="AK754" s="35"/>
      <c r="AL754" s="117" t="str">
        <f>if('Ingest Template'!A754="Standard",(IF(OR('Ingest Template'!F754 = "Program Type - Special", 'Ingest Template'!F754 = "Program Type - Live Event"),'Ingest Template'!Q754&amp;"|"&amp;TEXT('Ingest Template'!C754-3, "yyyy-mm-dd")&amp;"|"&amp;TEXT('Ingest Template'!C754+3, "yyyy-mm-dd"),'Ingest Template'!Q754&amp; "|2021-01-01")),(IF(OR('Ingest Template'!F754 = "Program Type - Special", 'Ingest Template'!F754 = "Program Type - Live Event"),'Ingest Template'!Q754&amp; "|"&amp;TEXT('Ingest Template'!C754-3, "yyyy-mm-dd")&amp;"|"&amp;TEXT('Ingest Template'!C754+3, "yyyy-mm-dd"),'Ingest Template'!Q754)))</f>
        <v/>
      </c>
      <c r="AM754" s="35" t="str">
        <f>'Ingest Template'!AC754</f>
        <v/>
      </c>
    </row>
    <row r="755">
      <c r="A755" s="15"/>
      <c r="B755" s="22" t="str">
        <f>'Ingest Template'!C755&amp;IF('Ingest Template'!A755 = "Standard", " - DAR","")</f>
        <v/>
      </c>
      <c r="C755" s="22" t="s">
        <v>83</v>
      </c>
      <c r="D755" s="22" t="str">
        <f t="array" ref="D755">CONCATENATE(INDEX(DropdownLists!$H$2:$H$11,MATCH(1,COUNTIF('Ingest Template'!E755,"*"&amp;DropdownLists!$I$2:$I$11&amp;"*"),0)),CHAR(10),'Ingest Template'!F755,CHAR(10),'Ingest Template'!G755,CHAR(10),VLOOKUP('Ingest Template'!D755,DropdownLists!C:D,2,FALSE))</f>
        <v>#N/A</v>
      </c>
      <c r="E755" s="22" t="str">
        <f>CONCATENATE('Ingest Template'!H755,CHAR(10),'Ingest Template'!I755,CHAR(10),'Ingest Template'!J755,CHAR(10))</f>
        <v>
</v>
      </c>
      <c r="F755" s="35" t="str">
        <f t="array" ref="F755">INDEX(DropdownLists!$O$2:$O$36,MATCH(1,COUNTIF(E755,"*"&amp;DropdownLists!$N$2:$N$36&amp;"*"),0))</f>
        <v/>
      </c>
      <c r="G755" s="35"/>
      <c r="H755" s="22" t="str">
        <f t="array" ref="H755">INDEX(DropdownLists!$E$2:$E$276,MATCH('Ingest Template'!D755,DropdownLists!$C$2:$C$276,0))</f>
        <v>#N/A</v>
      </c>
      <c r="I755" s="22"/>
      <c r="J755" s="22" t="str">
        <f t="array" ref="J755">iF('Ingest Template'!A755="Standard","Pristine Brand",INDEX(DropdownLists!$B$2:$B$246,MATCH('Ingest Template'!D755,DropdownLists!$C$2:$C$246,0)))</f>
        <v>#N/A</v>
      </c>
      <c r="K755" s="22" t="str">
        <f>iF('Ingest Template'!A755="Standard",'Ingest Template'!K755&amp;CHAR(10)&amp;'Ingest Template'!L755,"Competitive View")</f>
        <v>Competitive View</v>
      </c>
      <c r="L755" s="22" t="s">
        <v>95</v>
      </c>
      <c r="M755" s="45" t="str">
        <f>'Ingest Template'!B755</f>
        <v/>
      </c>
      <c r="N755" s="35"/>
      <c r="O755" s="35"/>
      <c r="P755" s="35"/>
      <c r="Q755" s="35"/>
      <c r="R755" s="35" t="str">
        <f>'Ingest Template'!D755</f>
        <v/>
      </c>
      <c r="S755" s="22" t="s">
        <v>101</v>
      </c>
      <c r="T755" s="35" t="str">
        <f>'Ingest Template'!V755</f>
        <v/>
      </c>
      <c r="U755" s="35" t="str">
        <f>'Ingest Template'!W755</f>
        <v/>
      </c>
      <c r="V755" s="35" t="str">
        <f>LOWER(SUBSTITUTE(SUBSTITUTE(SUBSTITUTE(SUBSTITUTE(SUBSTITUTE('Ingest Template'!X755,"https:",""),"www.",""),"/",""),"?hl=en",""),"instagram.com",""))</f>
        <v/>
      </c>
      <c r="W755" s="74" t="str">
        <f t="array" ref="W755">IF(
'Ingest Template'!Y755="",
SUBSTITUTE(
INDEX(DropdownLists!$F$2:$F$277,MATCH('Ingest Template'!D755,DropdownLists!$C$2:$C$277,0)),
CHAR(10),
"|"&amp;'Ingest Template'!C755&amp;CHAR(10)
)&amp;"|"&amp;'Ingest Template'!C755,
SUBSTITUTE(
INDEX(DropdownLists!$F$2:$F$277,MATCH('Ingest Template'!D755,DropdownLists!$C$2:$C$277,0)),
CHAR(10),
"|"&amp;'Ingest Template'!C755&amp;CHAR(10)
)&amp;"|"&amp;'Ingest Template'!C755&amp;CHAR(10)&amp;'Ingest Template'!Y755
)</f>
        <v>#N/A</v>
      </c>
      <c r="X755" s="74" t="str">
        <f>'Ingest Template'!Z755</f>
        <v/>
      </c>
      <c r="Y755" s="35" t="str">
        <f>SUBSTITUTE(SUBSTITUTE(SUBSTITUTE('Ingest Template'!AA755,"http:",""),"https:",""),"/","")</f>
        <v/>
      </c>
      <c r="Z755" s="35" t="str">
        <f t="array" ref="Z755">IF('Ingest Template'!A755="Standard",(IF(ISBLANK('Ingest Template'!AB755),"", 'Ingest Template'!AB755&amp;"|DAR")),(IF(ISBLANK('Ingest Template'!AB755),"", 'Ingest Template'!AB755&amp;"|TV Ops")))</f>
        <v/>
      </c>
      <c r="AA755" s="35"/>
      <c r="AB755" s="35" t="str">
        <f>'Ingest Template'!R755</f>
        <v/>
      </c>
      <c r="AC755" s="35" t="str">
        <f>'Ingest Template'!T755</f>
        <v/>
      </c>
      <c r="AD755" s="35" t="str">
        <f>'Ingest Template'!S755</f>
        <v/>
      </c>
      <c r="AE755" s="35" t="str">
        <f>'Ingest Template'!U755</f>
        <v/>
      </c>
      <c r="AF755" s="22"/>
      <c r="AG755" s="35" t="str">
        <f t="array" ref="AG755">IF('Ingest Template'!A755="Standard",(CONCATENATE(IF(ISBLANK('Ingest Template'!N755),"", 'Ingest Template'!N755&amp;"|DAR"),CHAR(10), IF(ISBLANK('Ingest Template'!O755),"", 'Ingest Template'!O755&amp;"|DAR"),CHAR(10), IF(ISBLANK('Ingest Template'!P755),"", 'Ingest Template'!P755&amp;"|DAR"))),(CONCATENATE(IF(ISBLANK('Ingest Template'!N755),"", 'Ingest Template'!N755&amp;"|TV Ops"),CHAR(10), IF(ISBLANK('Ingest Template'!O755),"", 'Ingest Template'!O755&amp;"|TV Ops"),CHAR(10), IF(ISBLANK('Ingest Template'!P755),"", 'Ingest Template'!P755&amp;"|TV Ops"))))</f>
        <v>
</v>
      </c>
      <c r="AH755" s="35"/>
      <c r="AI755" s="35"/>
      <c r="AJ755" s="117" t="str">
        <f>if('Ingest Template'!A755="Standard",(IF(OR('Ingest Template'!F755 = "Program Type - Special", 'Ingest Template'!F755 = "Program Type - Live Event"),'Ingest Template'!M755&amp; "|DAR|DAR|"&amp;TEXT('Ingest Template'!C755-3, "yyyy-mm-dd")&amp;"|"&amp;TEXT('Ingest Template'!C755+3, "yyyy-mm-dd"),'Ingest Template'!M755&amp; "|DAR|DAR|2021-01-01")),(IF(OR('Ingest Template'!F755 = "Program Type - Special", 'Ingest Template'!F755 = "Program Type - Live Event"),'Ingest Template'!M755&amp; "|Operations - Core Title|Operations - Core Title|"&amp;TEXT('Ingest Template'!C755-3, "yyyy-mm-dd")&amp;"|"&amp;TEXT('Ingest Template'!C755+3, "yyyy-mm-dd"),'Ingest Template'!M755&amp; "|Operations - Core Title|Operations - Core Title")))</f>
        <v>|Operations - Core Title|Operations - Core Title</v>
      </c>
      <c r="AK755" s="35"/>
      <c r="AL755" s="117" t="str">
        <f>if('Ingest Template'!A755="Standard",(IF(OR('Ingest Template'!F755 = "Program Type - Special", 'Ingest Template'!F755 = "Program Type - Live Event"),'Ingest Template'!Q755&amp;"|"&amp;TEXT('Ingest Template'!C755-3, "yyyy-mm-dd")&amp;"|"&amp;TEXT('Ingest Template'!C755+3, "yyyy-mm-dd"),'Ingest Template'!Q755&amp; "|2021-01-01")),(IF(OR('Ingest Template'!F755 = "Program Type - Special", 'Ingest Template'!F755 = "Program Type - Live Event"),'Ingest Template'!Q755&amp; "|"&amp;TEXT('Ingest Template'!C755-3, "yyyy-mm-dd")&amp;"|"&amp;TEXT('Ingest Template'!C755+3, "yyyy-mm-dd"),'Ingest Template'!Q755)))</f>
        <v/>
      </c>
      <c r="AM755" s="35" t="str">
        <f>'Ingest Template'!AC755</f>
        <v/>
      </c>
    </row>
    <row r="756">
      <c r="A756" s="15"/>
      <c r="B756" s="22" t="str">
        <f>'Ingest Template'!C756&amp;IF('Ingest Template'!A756 = "Standard", " - DAR","")</f>
        <v/>
      </c>
      <c r="C756" s="22" t="s">
        <v>83</v>
      </c>
      <c r="D756" s="22" t="str">
        <f t="array" ref="D756">CONCATENATE(INDEX(DropdownLists!$H$2:$H$11,MATCH(1,COUNTIF('Ingest Template'!E756,"*"&amp;DropdownLists!$I$2:$I$11&amp;"*"),0)),CHAR(10),'Ingest Template'!F756,CHAR(10),'Ingest Template'!G756,CHAR(10),VLOOKUP('Ingest Template'!D756,DropdownLists!C:D,2,FALSE))</f>
        <v>#N/A</v>
      </c>
      <c r="E756" s="22" t="str">
        <f>CONCATENATE('Ingest Template'!H756,CHAR(10),'Ingest Template'!I756,CHAR(10),'Ingest Template'!J756,CHAR(10))</f>
        <v>
</v>
      </c>
      <c r="F756" s="35" t="str">
        <f t="array" ref="F756">INDEX(DropdownLists!$O$2:$O$36,MATCH(1,COUNTIF(E756,"*"&amp;DropdownLists!$N$2:$N$36&amp;"*"),0))</f>
        <v/>
      </c>
      <c r="G756" s="35"/>
      <c r="H756" s="22" t="str">
        <f t="array" ref="H756">INDEX(DropdownLists!$E$2:$E$276,MATCH('Ingest Template'!D756,DropdownLists!$C$2:$C$276,0))</f>
        <v>#N/A</v>
      </c>
      <c r="I756" s="22"/>
      <c r="J756" s="22" t="str">
        <f t="array" ref="J756">iF('Ingest Template'!A756="Standard","Pristine Brand",INDEX(DropdownLists!$B$2:$B$246,MATCH('Ingest Template'!D756,DropdownLists!$C$2:$C$246,0)))</f>
        <v>#N/A</v>
      </c>
      <c r="K756" s="22" t="str">
        <f>iF('Ingest Template'!A756="Standard",'Ingest Template'!K756&amp;CHAR(10)&amp;'Ingest Template'!L756,"Competitive View")</f>
        <v>Competitive View</v>
      </c>
      <c r="L756" s="22" t="s">
        <v>95</v>
      </c>
      <c r="M756" s="45" t="str">
        <f>'Ingest Template'!B756</f>
        <v/>
      </c>
      <c r="N756" s="35"/>
      <c r="O756" s="35"/>
      <c r="P756" s="35"/>
      <c r="Q756" s="35"/>
      <c r="R756" s="35" t="str">
        <f>'Ingest Template'!D756</f>
        <v/>
      </c>
      <c r="S756" s="22" t="s">
        <v>101</v>
      </c>
      <c r="T756" s="35" t="str">
        <f>'Ingest Template'!V756</f>
        <v/>
      </c>
      <c r="U756" s="35" t="str">
        <f>'Ingest Template'!W756</f>
        <v/>
      </c>
      <c r="V756" s="35" t="str">
        <f>LOWER(SUBSTITUTE(SUBSTITUTE(SUBSTITUTE(SUBSTITUTE(SUBSTITUTE('Ingest Template'!X756,"https:",""),"www.",""),"/",""),"?hl=en",""),"instagram.com",""))</f>
        <v/>
      </c>
      <c r="W756" s="74" t="str">
        <f t="array" ref="W756">IF(
'Ingest Template'!Y756="",
SUBSTITUTE(
INDEX(DropdownLists!$F$2:$F$277,MATCH('Ingest Template'!D756,DropdownLists!$C$2:$C$277,0)),
CHAR(10),
"|"&amp;'Ingest Template'!C756&amp;CHAR(10)
)&amp;"|"&amp;'Ingest Template'!C756,
SUBSTITUTE(
INDEX(DropdownLists!$F$2:$F$277,MATCH('Ingest Template'!D756,DropdownLists!$C$2:$C$277,0)),
CHAR(10),
"|"&amp;'Ingest Template'!C756&amp;CHAR(10)
)&amp;"|"&amp;'Ingest Template'!C756&amp;CHAR(10)&amp;'Ingest Template'!Y756
)</f>
        <v>#N/A</v>
      </c>
      <c r="X756" s="74" t="str">
        <f>'Ingest Template'!Z756</f>
        <v/>
      </c>
      <c r="Y756" s="35" t="str">
        <f>SUBSTITUTE(SUBSTITUTE(SUBSTITUTE('Ingest Template'!AA756,"http:",""),"https:",""),"/","")</f>
        <v/>
      </c>
      <c r="Z756" s="35" t="str">
        <f t="array" ref="Z756">IF('Ingest Template'!A756="Standard",(IF(ISBLANK('Ingest Template'!AB756),"", 'Ingest Template'!AB756&amp;"|DAR")),(IF(ISBLANK('Ingest Template'!AB756),"", 'Ingest Template'!AB756&amp;"|TV Ops")))</f>
        <v/>
      </c>
      <c r="AA756" s="35"/>
      <c r="AB756" s="35" t="str">
        <f>'Ingest Template'!R756</f>
        <v/>
      </c>
      <c r="AC756" s="35" t="str">
        <f>'Ingest Template'!T756</f>
        <v/>
      </c>
      <c r="AD756" s="35" t="str">
        <f>'Ingest Template'!S756</f>
        <v/>
      </c>
      <c r="AE756" s="35" t="str">
        <f>'Ingest Template'!U756</f>
        <v/>
      </c>
      <c r="AF756" s="22"/>
      <c r="AG756" s="35" t="str">
        <f t="array" ref="AG756">IF('Ingest Template'!A756="Standard",(CONCATENATE(IF(ISBLANK('Ingest Template'!N756),"", 'Ingest Template'!N756&amp;"|DAR"),CHAR(10), IF(ISBLANK('Ingest Template'!O756),"", 'Ingest Template'!O756&amp;"|DAR"),CHAR(10), IF(ISBLANK('Ingest Template'!P756),"", 'Ingest Template'!P756&amp;"|DAR"))),(CONCATENATE(IF(ISBLANK('Ingest Template'!N756),"", 'Ingest Template'!N756&amp;"|TV Ops"),CHAR(10), IF(ISBLANK('Ingest Template'!O756),"", 'Ingest Template'!O756&amp;"|TV Ops"),CHAR(10), IF(ISBLANK('Ingest Template'!P756),"", 'Ingest Template'!P756&amp;"|TV Ops"))))</f>
        <v>
</v>
      </c>
      <c r="AH756" s="35"/>
      <c r="AI756" s="35"/>
      <c r="AJ756" s="117" t="str">
        <f>if('Ingest Template'!A756="Standard",(IF(OR('Ingest Template'!F756 = "Program Type - Special", 'Ingest Template'!F756 = "Program Type - Live Event"),'Ingest Template'!M756&amp; "|DAR|DAR|"&amp;TEXT('Ingest Template'!C756-3, "yyyy-mm-dd")&amp;"|"&amp;TEXT('Ingest Template'!C756+3, "yyyy-mm-dd"),'Ingest Template'!M756&amp; "|DAR|DAR|2021-01-01")),(IF(OR('Ingest Template'!F756 = "Program Type - Special", 'Ingest Template'!F756 = "Program Type - Live Event"),'Ingest Template'!M756&amp; "|Operations - Core Title|Operations - Core Title|"&amp;TEXT('Ingest Template'!C756-3, "yyyy-mm-dd")&amp;"|"&amp;TEXT('Ingest Template'!C756+3, "yyyy-mm-dd"),'Ingest Template'!M756&amp; "|Operations - Core Title|Operations - Core Title")))</f>
        <v>|Operations - Core Title|Operations - Core Title</v>
      </c>
      <c r="AK756" s="35"/>
      <c r="AL756" s="117" t="str">
        <f>if('Ingest Template'!A756="Standard",(IF(OR('Ingest Template'!F756 = "Program Type - Special", 'Ingest Template'!F756 = "Program Type - Live Event"),'Ingest Template'!Q756&amp;"|"&amp;TEXT('Ingest Template'!C756-3, "yyyy-mm-dd")&amp;"|"&amp;TEXT('Ingest Template'!C756+3, "yyyy-mm-dd"),'Ingest Template'!Q756&amp; "|2021-01-01")),(IF(OR('Ingest Template'!F756 = "Program Type - Special", 'Ingest Template'!F756 = "Program Type - Live Event"),'Ingest Template'!Q756&amp; "|"&amp;TEXT('Ingest Template'!C756-3, "yyyy-mm-dd")&amp;"|"&amp;TEXT('Ingest Template'!C756+3, "yyyy-mm-dd"),'Ingest Template'!Q756)))</f>
        <v/>
      </c>
      <c r="AM756" s="35" t="str">
        <f>'Ingest Template'!AC756</f>
        <v/>
      </c>
    </row>
    <row r="757">
      <c r="A757" s="15"/>
      <c r="B757" s="22" t="str">
        <f>'Ingest Template'!C757&amp;IF('Ingest Template'!A757 = "Standard", " - DAR","")</f>
        <v/>
      </c>
      <c r="C757" s="22" t="s">
        <v>83</v>
      </c>
      <c r="D757" s="22" t="str">
        <f t="array" ref="D757">CONCATENATE(INDEX(DropdownLists!$H$2:$H$11,MATCH(1,COUNTIF('Ingest Template'!E757,"*"&amp;DropdownLists!$I$2:$I$11&amp;"*"),0)),CHAR(10),'Ingest Template'!F757,CHAR(10),'Ingest Template'!G757,CHAR(10),VLOOKUP('Ingest Template'!D757,DropdownLists!C:D,2,FALSE))</f>
        <v>#N/A</v>
      </c>
      <c r="E757" s="22" t="str">
        <f>CONCATENATE('Ingest Template'!H757,CHAR(10),'Ingest Template'!I757,CHAR(10),'Ingest Template'!J757,CHAR(10))</f>
        <v>
</v>
      </c>
      <c r="F757" s="35" t="str">
        <f t="array" ref="F757">INDEX(DropdownLists!$O$2:$O$36,MATCH(1,COUNTIF(E757,"*"&amp;DropdownLists!$N$2:$N$36&amp;"*"),0))</f>
        <v/>
      </c>
      <c r="G757" s="35"/>
      <c r="H757" s="22" t="str">
        <f t="array" ref="H757">INDEX(DropdownLists!$E$2:$E$276,MATCH('Ingest Template'!D757,DropdownLists!$C$2:$C$276,0))</f>
        <v>#N/A</v>
      </c>
      <c r="I757" s="22"/>
      <c r="J757" s="22" t="str">
        <f t="array" ref="J757">iF('Ingest Template'!A757="Standard","Pristine Brand",INDEX(DropdownLists!$B$2:$B$246,MATCH('Ingest Template'!D757,DropdownLists!$C$2:$C$246,0)))</f>
        <v>#N/A</v>
      </c>
      <c r="K757" s="22" t="str">
        <f>iF('Ingest Template'!A757="Standard",'Ingest Template'!K757&amp;CHAR(10)&amp;'Ingest Template'!L757,"Competitive View")</f>
        <v>Competitive View</v>
      </c>
      <c r="L757" s="22" t="s">
        <v>95</v>
      </c>
      <c r="M757" s="45" t="str">
        <f>'Ingest Template'!B757</f>
        <v/>
      </c>
      <c r="N757" s="35"/>
      <c r="O757" s="35"/>
      <c r="P757" s="35"/>
      <c r="Q757" s="35"/>
      <c r="R757" s="35" t="str">
        <f>'Ingest Template'!D757</f>
        <v/>
      </c>
      <c r="S757" s="22" t="s">
        <v>101</v>
      </c>
      <c r="T757" s="35" t="str">
        <f>'Ingest Template'!V757</f>
        <v/>
      </c>
      <c r="U757" s="35" t="str">
        <f>'Ingest Template'!W757</f>
        <v/>
      </c>
      <c r="V757" s="35" t="str">
        <f>LOWER(SUBSTITUTE(SUBSTITUTE(SUBSTITUTE(SUBSTITUTE(SUBSTITUTE('Ingest Template'!X757,"https:",""),"www.",""),"/",""),"?hl=en",""),"instagram.com",""))</f>
        <v/>
      </c>
      <c r="W757" s="74" t="str">
        <f t="array" ref="W757">IF(
'Ingest Template'!Y757="",
SUBSTITUTE(
INDEX(DropdownLists!$F$2:$F$277,MATCH('Ingest Template'!D757,DropdownLists!$C$2:$C$277,0)),
CHAR(10),
"|"&amp;'Ingest Template'!C757&amp;CHAR(10)
)&amp;"|"&amp;'Ingest Template'!C757,
SUBSTITUTE(
INDEX(DropdownLists!$F$2:$F$277,MATCH('Ingest Template'!D757,DropdownLists!$C$2:$C$277,0)),
CHAR(10),
"|"&amp;'Ingest Template'!C757&amp;CHAR(10)
)&amp;"|"&amp;'Ingest Template'!C757&amp;CHAR(10)&amp;'Ingest Template'!Y757
)</f>
        <v>#N/A</v>
      </c>
      <c r="X757" s="74" t="str">
        <f>'Ingest Template'!Z757</f>
        <v/>
      </c>
      <c r="Y757" s="35" t="str">
        <f>SUBSTITUTE(SUBSTITUTE(SUBSTITUTE('Ingest Template'!AA757,"http:",""),"https:",""),"/","")</f>
        <v/>
      </c>
      <c r="Z757" s="35" t="str">
        <f t="array" ref="Z757">IF('Ingest Template'!A757="Standard",(IF(ISBLANK('Ingest Template'!AB757),"", 'Ingest Template'!AB757&amp;"|DAR")),(IF(ISBLANK('Ingest Template'!AB757),"", 'Ingest Template'!AB757&amp;"|TV Ops")))</f>
        <v/>
      </c>
      <c r="AA757" s="35"/>
      <c r="AB757" s="35" t="str">
        <f>'Ingest Template'!R757</f>
        <v/>
      </c>
      <c r="AC757" s="35" t="str">
        <f>'Ingest Template'!T757</f>
        <v/>
      </c>
      <c r="AD757" s="35" t="str">
        <f>'Ingest Template'!S757</f>
        <v/>
      </c>
      <c r="AE757" s="35" t="str">
        <f>'Ingest Template'!U757</f>
        <v/>
      </c>
      <c r="AF757" s="22"/>
      <c r="AG757" s="35" t="str">
        <f t="array" ref="AG757">IF('Ingest Template'!A757="Standard",(CONCATENATE(IF(ISBLANK('Ingest Template'!N757),"", 'Ingest Template'!N757&amp;"|DAR"),CHAR(10), IF(ISBLANK('Ingest Template'!O757),"", 'Ingest Template'!O757&amp;"|DAR"),CHAR(10), IF(ISBLANK('Ingest Template'!P757),"", 'Ingest Template'!P757&amp;"|DAR"))),(CONCATENATE(IF(ISBLANK('Ingest Template'!N757),"", 'Ingest Template'!N757&amp;"|TV Ops"),CHAR(10), IF(ISBLANK('Ingest Template'!O757),"", 'Ingest Template'!O757&amp;"|TV Ops"),CHAR(10), IF(ISBLANK('Ingest Template'!P757),"", 'Ingest Template'!P757&amp;"|TV Ops"))))</f>
        <v>
</v>
      </c>
      <c r="AH757" s="35"/>
      <c r="AI757" s="35"/>
      <c r="AJ757" s="117" t="str">
        <f>if('Ingest Template'!A757="Standard",(IF(OR('Ingest Template'!F757 = "Program Type - Special", 'Ingest Template'!F757 = "Program Type - Live Event"),'Ingest Template'!M757&amp; "|DAR|DAR|"&amp;TEXT('Ingest Template'!C757-3, "yyyy-mm-dd")&amp;"|"&amp;TEXT('Ingest Template'!C757+3, "yyyy-mm-dd"),'Ingest Template'!M757&amp; "|DAR|DAR|2021-01-01")),(IF(OR('Ingest Template'!F757 = "Program Type - Special", 'Ingest Template'!F757 = "Program Type - Live Event"),'Ingest Template'!M757&amp; "|Operations - Core Title|Operations - Core Title|"&amp;TEXT('Ingest Template'!C757-3, "yyyy-mm-dd")&amp;"|"&amp;TEXT('Ingest Template'!C757+3, "yyyy-mm-dd"),'Ingest Template'!M757&amp; "|Operations - Core Title|Operations - Core Title")))</f>
        <v>|Operations - Core Title|Operations - Core Title</v>
      </c>
      <c r="AK757" s="35"/>
      <c r="AL757" s="117" t="str">
        <f>if('Ingest Template'!A757="Standard",(IF(OR('Ingest Template'!F757 = "Program Type - Special", 'Ingest Template'!F757 = "Program Type - Live Event"),'Ingest Template'!Q757&amp;"|"&amp;TEXT('Ingest Template'!C757-3, "yyyy-mm-dd")&amp;"|"&amp;TEXT('Ingest Template'!C757+3, "yyyy-mm-dd"),'Ingest Template'!Q757&amp; "|2021-01-01")),(IF(OR('Ingest Template'!F757 = "Program Type - Special", 'Ingest Template'!F757 = "Program Type - Live Event"),'Ingest Template'!Q757&amp; "|"&amp;TEXT('Ingest Template'!C757-3, "yyyy-mm-dd")&amp;"|"&amp;TEXT('Ingest Template'!C757+3, "yyyy-mm-dd"),'Ingest Template'!Q757)))</f>
        <v/>
      </c>
      <c r="AM757" s="35" t="str">
        <f>'Ingest Template'!AC757</f>
        <v/>
      </c>
    </row>
    <row r="758">
      <c r="A758" s="15"/>
      <c r="B758" s="22" t="str">
        <f>'Ingest Template'!C758&amp;IF('Ingest Template'!A758 = "Standard", " - DAR","")</f>
        <v/>
      </c>
      <c r="C758" s="22" t="s">
        <v>83</v>
      </c>
      <c r="D758" s="22" t="str">
        <f t="array" ref="D758">CONCATENATE(INDEX(DropdownLists!$H$2:$H$11,MATCH(1,COUNTIF('Ingest Template'!E758,"*"&amp;DropdownLists!$I$2:$I$11&amp;"*"),0)),CHAR(10),'Ingest Template'!F758,CHAR(10),'Ingest Template'!G758,CHAR(10),VLOOKUP('Ingest Template'!D758,DropdownLists!C:D,2,FALSE))</f>
        <v>#N/A</v>
      </c>
      <c r="E758" s="22" t="str">
        <f>CONCATENATE('Ingest Template'!H758,CHAR(10),'Ingest Template'!I758,CHAR(10),'Ingest Template'!J758,CHAR(10))</f>
        <v>
</v>
      </c>
      <c r="F758" s="35" t="str">
        <f t="array" ref="F758">INDEX(DropdownLists!$O$2:$O$36,MATCH(1,COUNTIF(E758,"*"&amp;DropdownLists!$N$2:$N$36&amp;"*"),0))</f>
        <v/>
      </c>
      <c r="G758" s="35"/>
      <c r="H758" s="22" t="str">
        <f t="array" ref="H758">INDEX(DropdownLists!$E$2:$E$276,MATCH('Ingest Template'!D758,DropdownLists!$C$2:$C$276,0))</f>
        <v>#N/A</v>
      </c>
      <c r="I758" s="22"/>
      <c r="J758" s="22" t="str">
        <f t="array" ref="J758">iF('Ingest Template'!A758="Standard","Pristine Brand",INDEX(DropdownLists!$B$2:$B$246,MATCH('Ingest Template'!D758,DropdownLists!$C$2:$C$246,0)))</f>
        <v>#N/A</v>
      </c>
      <c r="K758" s="22" t="str">
        <f>iF('Ingest Template'!A758="Standard",'Ingest Template'!K758&amp;CHAR(10)&amp;'Ingest Template'!L758,"Competitive View")</f>
        <v>Competitive View</v>
      </c>
      <c r="L758" s="22" t="s">
        <v>95</v>
      </c>
      <c r="M758" s="45" t="str">
        <f>'Ingest Template'!B758</f>
        <v/>
      </c>
      <c r="N758" s="35"/>
      <c r="O758" s="35"/>
      <c r="P758" s="35"/>
      <c r="Q758" s="35"/>
      <c r="R758" s="35" t="str">
        <f>'Ingest Template'!D758</f>
        <v/>
      </c>
      <c r="S758" s="22" t="s">
        <v>101</v>
      </c>
      <c r="T758" s="35" t="str">
        <f>'Ingest Template'!V758</f>
        <v/>
      </c>
      <c r="U758" s="35" t="str">
        <f>'Ingest Template'!W758</f>
        <v/>
      </c>
      <c r="V758" s="35" t="str">
        <f>LOWER(SUBSTITUTE(SUBSTITUTE(SUBSTITUTE(SUBSTITUTE(SUBSTITUTE('Ingest Template'!X758,"https:",""),"www.",""),"/",""),"?hl=en",""),"instagram.com",""))</f>
        <v/>
      </c>
      <c r="W758" s="74" t="str">
        <f t="array" ref="W758">IF(
'Ingest Template'!Y758="",
SUBSTITUTE(
INDEX(DropdownLists!$F$2:$F$277,MATCH('Ingest Template'!D758,DropdownLists!$C$2:$C$277,0)),
CHAR(10),
"|"&amp;'Ingest Template'!C758&amp;CHAR(10)
)&amp;"|"&amp;'Ingest Template'!C758,
SUBSTITUTE(
INDEX(DropdownLists!$F$2:$F$277,MATCH('Ingest Template'!D758,DropdownLists!$C$2:$C$277,0)),
CHAR(10),
"|"&amp;'Ingest Template'!C758&amp;CHAR(10)
)&amp;"|"&amp;'Ingest Template'!C758&amp;CHAR(10)&amp;'Ingest Template'!Y758
)</f>
        <v>#N/A</v>
      </c>
      <c r="X758" s="74" t="str">
        <f>'Ingest Template'!Z758</f>
        <v/>
      </c>
      <c r="Y758" s="35" t="str">
        <f>SUBSTITUTE(SUBSTITUTE(SUBSTITUTE('Ingest Template'!AA758,"http:",""),"https:",""),"/","")</f>
        <v/>
      </c>
      <c r="Z758" s="35" t="str">
        <f t="array" ref="Z758">IF('Ingest Template'!A758="Standard",(IF(ISBLANK('Ingest Template'!AB758),"", 'Ingest Template'!AB758&amp;"|DAR")),(IF(ISBLANK('Ingest Template'!AB758),"", 'Ingest Template'!AB758&amp;"|TV Ops")))</f>
        <v/>
      </c>
      <c r="AA758" s="35"/>
      <c r="AB758" s="35" t="str">
        <f>'Ingest Template'!R758</f>
        <v/>
      </c>
      <c r="AC758" s="35" t="str">
        <f>'Ingest Template'!T758</f>
        <v/>
      </c>
      <c r="AD758" s="35" t="str">
        <f>'Ingest Template'!S758</f>
        <v/>
      </c>
      <c r="AE758" s="35" t="str">
        <f>'Ingest Template'!U758</f>
        <v/>
      </c>
      <c r="AF758" s="22"/>
      <c r="AG758" s="35" t="str">
        <f t="array" ref="AG758">IF('Ingest Template'!A758="Standard",(CONCATENATE(IF(ISBLANK('Ingest Template'!N758),"", 'Ingest Template'!N758&amp;"|DAR"),CHAR(10), IF(ISBLANK('Ingest Template'!O758),"", 'Ingest Template'!O758&amp;"|DAR"),CHAR(10), IF(ISBLANK('Ingest Template'!P758),"", 'Ingest Template'!P758&amp;"|DAR"))),(CONCATENATE(IF(ISBLANK('Ingest Template'!N758),"", 'Ingest Template'!N758&amp;"|TV Ops"),CHAR(10), IF(ISBLANK('Ingest Template'!O758),"", 'Ingest Template'!O758&amp;"|TV Ops"),CHAR(10), IF(ISBLANK('Ingest Template'!P758),"", 'Ingest Template'!P758&amp;"|TV Ops"))))</f>
        <v>
</v>
      </c>
      <c r="AH758" s="35"/>
      <c r="AI758" s="35"/>
      <c r="AJ758" s="117" t="str">
        <f>if('Ingest Template'!A758="Standard",(IF(OR('Ingest Template'!F758 = "Program Type - Special", 'Ingest Template'!F758 = "Program Type - Live Event"),'Ingest Template'!M758&amp; "|DAR|DAR|"&amp;TEXT('Ingest Template'!C758-3, "yyyy-mm-dd")&amp;"|"&amp;TEXT('Ingest Template'!C758+3, "yyyy-mm-dd"),'Ingest Template'!M758&amp; "|DAR|DAR|2021-01-01")),(IF(OR('Ingest Template'!F758 = "Program Type - Special", 'Ingest Template'!F758 = "Program Type - Live Event"),'Ingest Template'!M758&amp; "|Operations - Core Title|Operations - Core Title|"&amp;TEXT('Ingest Template'!C758-3, "yyyy-mm-dd")&amp;"|"&amp;TEXT('Ingest Template'!C758+3, "yyyy-mm-dd"),'Ingest Template'!M758&amp; "|Operations - Core Title|Operations - Core Title")))</f>
        <v>|Operations - Core Title|Operations - Core Title</v>
      </c>
      <c r="AK758" s="35"/>
      <c r="AL758" s="117" t="str">
        <f>if('Ingest Template'!A758="Standard",(IF(OR('Ingest Template'!F758 = "Program Type - Special", 'Ingest Template'!F758 = "Program Type - Live Event"),'Ingest Template'!Q758&amp;"|"&amp;TEXT('Ingest Template'!C758-3, "yyyy-mm-dd")&amp;"|"&amp;TEXT('Ingest Template'!C758+3, "yyyy-mm-dd"),'Ingest Template'!Q758&amp; "|2021-01-01")),(IF(OR('Ingest Template'!F758 = "Program Type - Special", 'Ingest Template'!F758 = "Program Type - Live Event"),'Ingest Template'!Q758&amp; "|"&amp;TEXT('Ingest Template'!C758-3, "yyyy-mm-dd")&amp;"|"&amp;TEXT('Ingest Template'!C758+3, "yyyy-mm-dd"),'Ingest Template'!Q758)))</f>
        <v/>
      </c>
      <c r="AM758" s="35" t="str">
        <f>'Ingest Template'!AC758</f>
        <v/>
      </c>
    </row>
    <row r="759">
      <c r="A759" s="15"/>
      <c r="B759" s="22" t="str">
        <f>'Ingest Template'!C759&amp;IF('Ingest Template'!A759 = "Standard", " - DAR","")</f>
        <v/>
      </c>
      <c r="C759" s="22" t="s">
        <v>83</v>
      </c>
      <c r="D759" s="22" t="str">
        <f t="array" ref="D759">CONCATENATE(INDEX(DropdownLists!$H$2:$H$11,MATCH(1,COUNTIF('Ingest Template'!E759,"*"&amp;DropdownLists!$I$2:$I$11&amp;"*"),0)),CHAR(10),'Ingest Template'!F759,CHAR(10),'Ingest Template'!G759,CHAR(10),VLOOKUP('Ingest Template'!D759,DropdownLists!C:D,2,FALSE))</f>
        <v>#N/A</v>
      </c>
      <c r="E759" s="22" t="str">
        <f>CONCATENATE('Ingest Template'!H759,CHAR(10),'Ingest Template'!I759,CHAR(10),'Ingest Template'!J759,CHAR(10))</f>
        <v>
</v>
      </c>
      <c r="F759" s="35" t="str">
        <f t="array" ref="F759">INDEX(DropdownLists!$O$2:$O$36,MATCH(1,COUNTIF(E759,"*"&amp;DropdownLists!$N$2:$N$36&amp;"*"),0))</f>
        <v/>
      </c>
      <c r="G759" s="35"/>
      <c r="H759" s="22" t="str">
        <f t="array" ref="H759">INDEX(DropdownLists!$E$2:$E$276,MATCH('Ingest Template'!D759,DropdownLists!$C$2:$C$276,0))</f>
        <v>#N/A</v>
      </c>
      <c r="I759" s="22"/>
      <c r="J759" s="22" t="str">
        <f t="array" ref="J759">iF('Ingest Template'!A759="Standard","Pristine Brand",INDEX(DropdownLists!$B$2:$B$246,MATCH('Ingest Template'!D759,DropdownLists!$C$2:$C$246,0)))</f>
        <v>#N/A</v>
      </c>
      <c r="K759" s="22" t="str">
        <f>iF('Ingest Template'!A759="Standard",'Ingest Template'!K759&amp;CHAR(10)&amp;'Ingest Template'!L759,"Competitive View")</f>
        <v>Competitive View</v>
      </c>
      <c r="L759" s="22" t="s">
        <v>95</v>
      </c>
      <c r="M759" s="45" t="str">
        <f>'Ingest Template'!B759</f>
        <v/>
      </c>
      <c r="N759" s="35"/>
      <c r="O759" s="35"/>
      <c r="P759" s="35"/>
      <c r="Q759" s="35"/>
      <c r="R759" s="35" t="str">
        <f>'Ingest Template'!D759</f>
        <v/>
      </c>
      <c r="S759" s="22" t="s">
        <v>101</v>
      </c>
      <c r="T759" s="35" t="str">
        <f>'Ingest Template'!V759</f>
        <v/>
      </c>
      <c r="U759" s="35" t="str">
        <f>'Ingest Template'!W759</f>
        <v/>
      </c>
      <c r="V759" s="35" t="str">
        <f>LOWER(SUBSTITUTE(SUBSTITUTE(SUBSTITUTE(SUBSTITUTE(SUBSTITUTE('Ingest Template'!X759,"https:",""),"www.",""),"/",""),"?hl=en",""),"instagram.com",""))</f>
        <v/>
      </c>
      <c r="W759" s="74" t="str">
        <f t="array" ref="W759">IF(
'Ingest Template'!Y759="",
SUBSTITUTE(
INDEX(DropdownLists!$F$2:$F$277,MATCH('Ingest Template'!D759,DropdownLists!$C$2:$C$277,0)),
CHAR(10),
"|"&amp;'Ingest Template'!C759&amp;CHAR(10)
)&amp;"|"&amp;'Ingest Template'!C759,
SUBSTITUTE(
INDEX(DropdownLists!$F$2:$F$277,MATCH('Ingest Template'!D759,DropdownLists!$C$2:$C$277,0)),
CHAR(10),
"|"&amp;'Ingest Template'!C759&amp;CHAR(10)
)&amp;"|"&amp;'Ingest Template'!C759&amp;CHAR(10)&amp;'Ingest Template'!Y759
)</f>
        <v>#N/A</v>
      </c>
      <c r="X759" s="74" t="str">
        <f>'Ingest Template'!Z759</f>
        <v/>
      </c>
      <c r="Y759" s="35" t="str">
        <f>SUBSTITUTE(SUBSTITUTE(SUBSTITUTE('Ingest Template'!AA759,"http:",""),"https:",""),"/","")</f>
        <v/>
      </c>
      <c r="Z759" s="35" t="str">
        <f t="array" ref="Z759">IF('Ingest Template'!A759="Standard",(IF(ISBLANK('Ingest Template'!AB759),"", 'Ingest Template'!AB759&amp;"|DAR")),(IF(ISBLANK('Ingest Template'!AB759),"", 'Ingest Template'!AB759&amp;"|TV Ops")))</f>
        <v/>
      </c>
      <c r="AA759" s="35"/>
      <c r="AB759" s="35" t="str">
        <f>'Ingest Template'!R759</f>
        <v/>
      </c>
      <c r="AC759" s="35" t="str">
        <f>'Ingest Template'!T759</f>
        <v/>
      </c>
      <c r="AD759" s="35" t="str">
        <f>'Ingest Template'!S759</f>
        <v/>
      </c>
      <c r="AE759" s="35" t="str">
        <f>'Ingest Template'!U759</f>
        <v/>
      </c>
      <c r="AF759" s="22"/>
      <c r="AG759" s="35" t="str">
        <f t="array" ref="AG759">IF('Ingest Template'!A759="Standard",(CONCATENATE(IF(ISBLANK('Ingest Template'!N759),"", 'Ingest Template'!N759&amp;"|DAR"),CHAR(10), IF(ISBLANK('Ingest Template'!O759),"", 'Ingest Template'!O759&amp;"|DAR"),CHAR(10), IF(ISBLANK('Ingest Template'!P759),"", 'Ingest Template'!P759&amp;"|DAR"))),(CONCATENATE(IF(ISBLANK('Ingest Template'!N759),"", 'Ingest Template'!N759&amp;"|TV Ops"),CHAR(10), IF(ISBLANK('Ingest Template'!O759),"", 'Ingest Template'!O759&amp;"|TV Ops"),CHAR(10), IF(ISBLANK('Ingest Template'!P759),"", 'Ingest Template'!P759&amp;"|TV Ops"))))</f>
        <v>
</v>
      </c>
      <c r="AH759" s="35"/>
      <c r="AI759" s="35"/>
      <c r="AJ759" s="117" t="str">
        <f>if('Ingest Template'!A759="Standard",(IF(OR('Ingest Template'!F759 = "Program Type - Special", 'Ingest Template'!F759 = "Program Type - Live Event"),'Ingest Template'!M759&amp; "|DAR|DAR|"&amp;TEXT('Ingest Template'!C759-3, "yyyy-mm-dd")&amp;"|"&amp;TEXT('Ingest Template'!C759+3, "yyyy-mm-dd"),'Ingest Template'!M759&amp; "|DAR|DAR|2021-01-01")),(IF(OR('Ingest Template'!F759 = "Program Type - Special", 'Ingest Template'!F759 = "Program Type - Live Event"),'Ingest Template'!M759&amp; "|Operations - Core Title|Operations - Core Title|"&amp;TEXT('Ingest Template'!C759-3, "yyyy-mm-dd")&amp;"|"&amp;TEXT('Ingest Template'!C759+3, "yyyy-mm-dd"),'Ingest Template'!M759&amp; "|Operations - Core Title|Operations - Core Title")))</f>
        <v>|Operations - Core Title|Operations - Core Title</v>
      </c>
      <c r="AK759" s="35"/>
      <c r="AL759" s="117" t="str">
        <f>if('Ingest Template'!A759="Standard",(IF(OR('Ingest Template'!F759 = "Program Type - Special", 'Ingest Template'!F759 = "Program Type - Live Event"),'Ingest Template'!Q759&amp;"|"&amp;TEXT('Ingest Template'!C759-3, "yyyy-mm-dd")&amp;"|"&amp;TEXT('Ingest Template'!C759+3, "yyyy-mm-dd"),'Ingest Template'!Q759&amp; "|2021-01-01")),(IF(OR('Ingest Template'!F759 = "Program Type - Special", 'Ingest Template'!F759 = "Program Type - Live Event"),'Ingest Template'!Q759&amp; "|"&amp;TEXT('Ingest Template'!C759-3, "yyyy-mm-dd")&amp;"|"&amp;TEXT('Ingest Template'!C759+3, "yyyy-mm-dd"),'Ingest Template'!Q759)))</f>
        <v/>
      </c>
      <c r="AM759" s="35" t="str">
        <f>'Ingest Template'!AC759</f>
        <v/>
      </c>
    </row>
    <row r="760">
      <c r="A760" s="15"/>
      <c r="B760" s="22" t="str">
        <f>'Ingest Template'!C760&amp;IF('Ingest Template'!A760 = "Standard", " - DAR","")</f>
        <v/>
      </c>
      <c r="C760" s="22" t="s">
        <v>83</v>
      </c>
      <c r="D760" s="22" t="str">
        <f t="array" ref="D760">CONCATENATE(INDEX(DropdownLists!$H$2:$H$11,MATCH(1,COUNTIF('Ingest Template'!E760,"*"&amp;DropdownLists!$I$2:$I$11&amp;"*"),0)),CHAR(10),'Ingest Template'!F760,CHAR(10),'Ingest Template'!G760,CHAR(10),VLOOKUP('Ingest Template'!D760,DropdownLists!C:D,2,FALSE))</f>
        <v>#N/A</v>
      </c>
      <c r="E760" s="22" t="str">
        <f>CONCATENATE('Ingest Template'!H760,CHAR(10),'Ingest Template'!I760,CHAR(10),'Ingest Template'!J760,CHAR(10))</f>
        <v>
</v>
      </c>
      <c r="F760" s="35" t="str">
        <f t="array" ref="F760">INDEX(DropdownLists!$O$2:$O$36,MATCH(1,COUNTIF(E760,"*"&amp;DropdownLists!$N$2:$N$36&amp;"*"),0))</f>
        <v/>
      </c>
      <c r="G760" s="35"/>
      <c r="H760" s="22" t="str">
        <f t="array" ref="H760">INDEX(DropdownLists!$E$2:$E$276,MATCH('Ingest Template'!D760,DropdownLists!$C$2:$C$276,0))</f>
        <v>#N/A</v>
      </c>
      <c r="I760" s="22"/>
      <c r="J760" s="22" t="str">
        <f t="array" ref="J760">iF('Ingest Template'!A760="Standard","Pristine Brand",INDEX(DropdownLists!$B$2:$B$246,MATCH('Ingest Template'!D760,DropdownLists!$C$2:$C$246,0)))</f>
        <v>#N/A</v>
      </c>
      <c r="K760" s="22" t="str">
        <f>iF('Ingest Template'!A760="Standard",'Ingest Template'!K760&amp;CHAR(10)&amp;'Ingest Template'!L760,"Competitive View")</f>
        <v>Competitive View</v>
      </c>
      <c r="L760" s="22" t="s">
        <v>95</v>
      </c>
      <c r="M760" s="45" t="str">
        <f>'Ingest Template'!B760</f>
        <v/>
      </c>
      <c r="N760" s="35"/>
      <c r="O760" s="35"/>
      <c r="P760" s="35"/>
      <c r="Q760" s="35"/>
      <c r="R760" s="35" t="str">
        <f>'Ingest Template'!D760</f>
        <v/>
      </c>
      <c r="S760" s="22" t="s">
        <v>101</v>
      </c>
      <c r="T760" s="35" t="str">
        <f>'Ingest Template'!V760</f>
        <v/>
      </c>
      <c r="U760" s="35" t="str">
        <f>'Ingest Template'!W760</f>
        <v/>
      </c>
      <c r="V760" s="35" t="str">
        <f>LOWER(SUBSTITUTE(SUBSTITUTE(SUBSTITUTE(SUBSTITUTE(SUBSTITUTE('Ingest Template'!X760,"https:",""),"www.",""),"/",""),"?hl=en",""),"instagram.com",""))</f>
        <v/>
      </c>
      <c r="W760" s="74" t="str">
        <f t="array" ref="W760">IF(
'Ingest Template'!Y760="",
SUBSTITUTE(
INDEX(DropdownLists!$F$2:$F$277,MATCH('Ingest Template'!D760,DropdownLists!$C$2:$C$277,0)),
CHAR(10),
"|"&amp;'Ingest Template'!C760&amp;CHAR(10)
)&amp;"|"&amp;'Ingest Template'!C760,
SUBSTITUTE(
INDEX(DropdownLists!$F$2:$F$277,MATCH('Ingest Template'!D760,DropdownLists!$C$2:$C$277,0)),
CHAR(10),
"|"&amp;'Ingest Template'!C760&amp;CHAR(10)
)&amp;"|"&amp;'Ingest Template'!C760&amp;CHAR(10)&amp;'Ingest Template'!Y760
)</f>
        <v>#N/A</v>
      </c>
      <c r="X760" s="74" t="str">
        <f>'Ingest Template'!Z760</f>
        <v/>
      </c>
      <c r="Y760" s="35" t="str">
        <f>SUBSTITUTE(SUBSTITUTE(SUBSTITUTE('Ingest Template'!AA760,"http:",""),"https:",""),"/","")</f>
        <v/>
      </c>
      <c r="Z760" s="35" t="str">
        <f t="array" ref="Z760">IF('Ingest Template'!A760="Standard",(IF(ISBLANK('Ingest Template'!AB760),"", 'Ingest Template'!AB760&amp;"|DAR")),(IF(ISBLANK('Ingest Template'!AB760),"", 'Ingest Template'!AB760&amp;"|TV Ops")))</f>
        <v/>
      </c>
      <c r="AA760" s="35"/>
      <c r="AB760" s="35" t="str">
        <f>'Ingest Template'!R760</f>
        <v/>
      </c>
      <c r="AC760" s="35" t="str">
        <f>'Ingest Template'!T760</f>
        <v/>
      </c>
      <c r="AD760" s="35" t="str">
        <f>'Ingest Template'!S760</f>
        <v/>
      </c>
      <c r="AE760" s="35" t="str">
        <f>'Ingest Template'!U760</f>
        <v/>
      </c>
      <c r="AF760" s="22"/>
      <c r="AG760" s="35" t="str">
        <f t="array" ref="AG760">IF('Ingest Template'!A760="Standard",(CONCATENATE(IF(ISBLANK('Ingest Template'!N760),"", 'Ingest Template'!N760&amp;"|DAR"),CHAR(10), IF(ISBLANK('Ingest Template'!O760),"", 'Ingest Template'!O760&amp;"|DAR"),CHAR(10), IF(ISBLANK('Ingest Template'!P760),"", 'Ingest Template'!P760&amp;"|DAR"))),(CONCATENATE(IF(ISBLANK('Ingest Template'!N760),"", 'Ingest Template'!N760&amp;"|TV Ops"),CHAR(10), IF(ISBLANK('Ingest Template'!O760),"", 'Ingest Template'!O760&amp;"|TV Ops"),CHAR(10), IF(ISBLANK('Ingest Template'!P760),"", 'Ingest Template'!P760&amp;"|TV Ops"))))</f>
        <v>
</v>
      </c>
      <c r="AH760" s="35"/>
      <c r="AI760" s="35"/>
      <c r="AJ760" s="117" t="str">
        <f>if('Ingest Template'!A760="Standard",(IF(OR('Ingest Template'!F760 = "Program Type - Special", 'Ingest Template'!F760 = "Program Type - Live Event"),'Ingest Template'!M760&amp; "|DAR|DAR|"&amp;TEXT('Ingest Template'!C760-3, "yyyy-mm-dd")&amp;"|"&amp;TEXT('Ingest Template'!C760+3, "yyyy-mm-dd"),'Ingest Template'!M760&amp; "|DAR|DAR|2021-01-01")),(IF(OR('Ingest Template'!F760 = "Program Type - Special", 'Ingest Template'!F760 = "Program Type - Live Event"),'Ingest Template'!M760&amp; "|Operations - Core Title|Operations - Core Title|"&amp;TEXT('Ingest Template'!C760-3, "yyyy-mm-dd")&amp;"|"&amp;TEXT('Ingest Template'!C760+3, "yyyy-mm-dd"),'Ingest Template'!M760&amp; "|Operations - Core Title|Operations - Core Title")))</f>
        <v>|Operations - Core Title|Operations - Core Title</v>
      </c>
      <c r="AK760" s="35"/>
      <c r="AL760" s="117" t="str">
        <f>if('Ingest Template'!A760="Standard",(IF(OR('Ingest Template'!F760 = "Program Type - Special", 'Ingest Template'!F760 = "Program Type - Live Event"),'Ingest Template'!Q760&amp;"|"&amp;TEXT('Ingest Template'!C760-3, "yyyy-mm-dd")&amp;"|"&amp;TEXT('Ingest Template'!C760+3, "yyyy-mm-dd"),'Ingest Template'!Q760&amp; "|2021-01-01")),(IF(OR('Ingest Template'!F760 = "Program Type - Special", 'Ingest Template'!F760 = "Program Type - Live Event"),'Ingest Template'!Q760&amp; "|"&amp;TEXT('Ingest Template'!C760-3, "yyyy-mm-dd")&amp;"|"&amp;TEXT('Ingest Template'!C760+3, "yyyy-mm-dd"),'Ingest Template'!Q760)))</f>
        <v/>
      </c>
      <c r="AM760" s="35" t="str">
        <f>'Ingest Template'!AC760</f>
        <v/>
      </c>
    </row>
    <row r="761">
      <c r="A761" s="15"/>
      <c r="B761" s="22" t="str">
        <f>'Ingest Template'!C761&amp;IF('Ingest Template'!A761 = "Standard", " - DAR","")</f>
        <v/>
      </c>
      <c r="C761" s="22" t="s">
        <v>83</v>
      </c>
      <c r="D761" s="22" t="str">
        <f t="array" ref="D761">CONCATENATE(INDEX(DropdownLists!$H$2:$H$11,MATCH(1,COUNTIF('Ingest Template'!E761,"*"&amp;DropdownLists!$I$2:$I$11&amp;"*"),0)),CHAR(10),'Ingest Template'!F761,CHAR(10),'Ingest Template'!G761,CHAR(10),VLOOKUP('Ingest Template'!D761,DropdownLists!C:D,2,FALSE))</f>
        <v>#N/A</v>
      </c>
      <c r="E761" s="22" t="str">
        <f>CONCATENATE('Ingest Template'!H761,CHAR(10),'Ingest Template'!I761,CHAR(10),'Ingest Template'!J761,CHAR(10))</f>
        <v>
</v>
      </c>
      <c r="F761" s="35" t="str">
        <f t="array" ref="F761">INDEX(DropdownLists!$O$2:$O$36,MATCH(1,COUNTIF(E761,"*"&amp;DropdownLists!$N$2:$N$36&amp;"*"),0))</f>
        <v/>
      </c>
      <c r="G761" s="35"/>
      <c r="H761" s="22" t="str">
        <f t="array" ref="H761">INDEX(DropdownLists!$E$2:$E$276,MATCH('Ingest Template'!D761,DropdownLists!$C$2:$C$276,0))</f>
        <v>#N/A</v>
      </c>
      <c r="I761" s="22"/>
      <c r="J761" s="22" t="str">
        <f t="array" ref="J761">iF('Ingest Template'!A761="Standard","Pristine Brand",INDEX(DropdownLists!$B$2:$B$246,MATCH('Ingest Template'!D761,DropdownLists!$C$2:$C$246,0)))</f>
        <v>#N/A</v>
      </c>
      <c r="K761" s="22" t="str">
        <f>iF('Ingest Template'!A761="Standard",'Ingest Template'!K761&amp;CHAR(10)&amp;'Ingest Template'!L761,"Competitive View")</f>
        <v>Competitive View</v>
      </c>
      <c r="L761" s="22" t="s">
        <v>95</v>
      </c>
      <c r="M761" s="45" t="str">
        <f>'Ingest Template'!B761</f>
        <v/>
      </c>
      <c r="N761" s="35"/>
      <c r="O761" s="35"/>
      <c r="P761" s="35"/>
      <c r="Q761" s="35"/>
      <c r="R761" s="35" t="str">
        <f>'Ingest Template'!D761</f>
        <v/>
      </c>
      <c r="S761" s="22" t="s">
        <v>101</v>
      </c>
      <c r="T761" s="35" t="str">
        <f>'Ingest Template'!V761</f>
        <v/>
      </c>
      <c r="U761" s="35" t="str">
        <f>'Ingest Template'!W761</f>
        <v/>
      </c>
      <c r="V761" s="35" t="str">
        <f>LOWER(SUBSTITUTE(SUBSTITUTE(SUBSTITUTE(SUBSTITUTE(SUBSTITUTE('Ingest Template'!X761,"https:",""),"www.",""),"/",""),"?hl=en",""),"instagram.com",""))</f>
        <v/>
      </c>
      <c r="W761" s="74" t="str">
        <f t="array" ref="W761">IF(
'Ingest Template'!Y761="",
SUBSTITUTE(
INDEX(DropdownLists!$F$2:$F$277,MATCH('Ingest Template'!D761,DropdownLists!$C$2:$C$277,0)),
CHAR(10),
"|"&amp;'Ingest Template'!C761&amp;CHAR(10)
)&amp;"|"&amp;'Ingest Template'!C761,
SUBSTITUTE(
INDEX(DropdownLists!$F$2:$F$277,MATCH('Ingest Template'!D761,DropdownLists!$C$2:$C$277,0)),
CHAR(10),
"|"&amp;'Ingest Template'!C761&amp;CHAR(10)
)&amp;"|"&amp;'Ingest Template'!C761&amp;CHAR(10)&amp;'Ingest Template'!Y761
)</f>
        <v>#N/A</v>
      </c>
      <c r="X761" s="74" t="str">
        <f>'Ingest Template'!Z761</f>
        <v/>
      </c>
      <c r="Y761" s="35" t="str">
        <f>SUBSTITUTE(SUBSTITUTE(SUBSTITUTE('Ingest Template'!AA761,"http:",""),"https:",""),"/","")</f>
        <v/>
      </c>
      <c r="Z761" s="35" t="str">
        <f t="array" ref="Z761">IF('Ingest Template'!A761="Standard",(IF(ISBLANK('Ingest Template'!AB761),"", 'Ingest Template'!AB761&amp;"|DAR")),(IF(ISBLANK('Ingest Template'!AB761),"", 'Ingest Template'!AB761&amp;"|TV Ops")))</f>
        <v/>
      </c>
      <c r="AA761" s="35"/>
      <c r="AB761" s="35" t="str">
        <f>'Ingest Template'!R761</f>
        <v/>
      </c>
      <c r="AC761" s="35" t="str">
        <f>'Ingest Template'!T761</f>
        <v/>
      </c>
      <c r="AD761" s="35" t="str">
        <f>'Ingest Template'!S761</f>
        <v/>
      </c>
      <c r="AE761" s="35" t="str">
        <f>'Ingest Template'!U761</f>
        <v/>
      </c>
      <c r="AF761" s="22"/>
      <c r="AG761" s="35" t="str">
        <f t="array" ref="AG761">IF('Ingest Template'!A761="Standard",(CONCATENATE(IF(ISBLANK('Ingest Template'!N761),"", 'Ingest Template'!N761&amp;"|DAR"),CHAR(10), IF(ISBLANK('Ingest Template'!O761),"", 'Ingest Template'!O761&amp;"|DAR"),CHAR(10), IF(ISBLANK('Ingest Template'!P761),"", 'Ingest Template'!P761&amp;"|DAR"))),(CONCATENATE(IF(ISBLANK('Ingest Template'!N761),"", 'Ingest Template'!N761&amp;"|TV Ops"),CHAR(10), IF(ISBLANK('Ingest Template'!O761),"", 'Ingest Template'!O761&amp;"|TV Ops"),CHAR(10), IF(ISBLANK('Ingest Template'!P761),"", 'Ingest Template'!P761&amp;"|TV Ops"))))</f>
        <v>
</v>
      </c>
      <c r="AH761" s="35"/>
      <c r="AI761" s="35"/>
      <c r="AJ761" s="117" t="str">
        <f>if('Ingest Template'!A761="Standard",(IF(OR('Ingest Template'!F761 = "Program Type - Special", 'Ingest Template'!F761 = "Program Type - Live Event"),'Ingest Template'!M761&amp; "|DAR|DAR|"&amp;TEXT('Ingest Template'!C761-3, "yyyy-mm-dd")&amp;"|"&amp;TEXT('Ingest Template'!C761+3, "yyyy-mm-dd"),'Ingest Template'!M761&amp; "|DAR|DAR|2021-01-01")),(IF(OR('Ingest Template'!F761 = "Program Type - Special", 'Ingest Template'!F761 = "Program Type - Live Event"),'Ingest Template'!M761&amp; "|Operations - Core Title|Operations - Core Title|"&amp;TEXT('Ingest Template'!C761-3, "yyyy-mm-dd")&amp;"|"&amp;TEXT('Ingest Template'!C761+3, "yyyy-mm-dd"),'Ingest Template'!M761&amp; "|Operations - Core Title|Operations - Core Title")))</f>
        <v>|Operations - Core Title|Operations - Core Title</v>
      </c>
      <c r="AK761" s="35"/>
      <c r="AL761" s="117" t="str">
        <f>if('Ingest Template'!A761="Standard",(IF(OR('Ingest Template'!F761 = "Program Type - Special", 'Ingest Template'!F761 = "Program Type - Live Event"),'Ingest Template'!Q761&amp;"|"&amp;TEXT('Ingest Template'!C761-3, "yyyy-mm-dd")&amp;"|"&amp;TEXT('Ingest Template'!C761+3, "yyyy-mm-dd"),'Ingest Template'!Q761&amp; "|2021-01-01")),(IF(OR('Ingest Template'!F761 = "Program Type - Special", 'Ingest Template'!F761 = "Program Type - Live Event"),'Ingest Template'!Q761&amp; "|"&amp;TEXT('Ingest Template'!C761-3, "yyyy-mm-dd")&amp;"|"&amp;TEXT('Ingest Template'!C761+3, "yyyy-mm-dd"),'Ingest Template'!Q761)))</f>
        <v/>
      </c>
      <c r="AM761" s="35" t="str">
        <f>'Ingest Template'!AC761</f>
        <v/>
      </c>
    </row>
    <row r="762">
      <c r="A762" s="15"/>
      <c r="B762" s="22" t="str">
        <f>'Ingest Template'!C762&amp;IF('Ingest Template'!A762 = "Standard", " - DAR","")</f>
        <v/>
      </c>
      <c r="C762" s="22" t="s">
        <v>83</v>
      </c>
      <c r="D762" s="22" t="str">
        <f t="array" ref="D762">CONCATENATE(INDEX(DropdownLists!$H$2:$H$11,MATCH(1,COUNTIF('Ingest Template'!E762,"*"&amp;DropdownLists!$I$2:$I$11&amp;"*"),0)),CHAR(10),'Ingest Template'!F762,CHAR(10),'Ingest Template'!G762,CHAR(10),VLOOKUP('Ingest Template'!D762,DropdownLists!C:D,2,FALSE))</f>
        <v>#N/A</v>
      </c>
      <c r="E762" s="22" t="str">
        <f>CONCATENATE('Ingest Template'!H762,CHAR(10),'Ingest Template'!I762,CHAR(10),'Ingest Template'!J762,CHAR(10))</f>
        <v>
</v>
      </c>
      <c r="F762" s="35" t="str">
        <f t="array" ref="F762">INDEX(DropdownLists!$O$2:$O$36,MATCH(1,COUNTIF(E762,"*"&amp;DropdownLists!$N$2:$N$36&amp;"*"),0))</f>
        <v/>
      </c>
      <c r="G762" s="35"/>
      <c r="H762" s="22" t="str">
        <f t="array" ref="H762">INDEX(DropdownLists!$E$2:$E$276,MATCH('Ingest Template'!D762,DropdownLists!$C$2:$C$276,0))</f>
        <v>#N/A</v>
      </c>
      <c r="I762" s="22"/>
      <c r="J762" s="22" t="str">
        <f t="array" ref="J762">iF('Ingest Template'!A762="Standard","Pristine Brand",INDEX(DropdownLists!$B$2:$B$246,MATCH('Ingest Template'!D762,DropdownLists!$C$2:$C$246,0)))</f>
        <v>#N/A</v>
      </c>
      <c r="K762" s="22" t="str">
        <f>iF('Ingest Template'!A762="Standard",'Ingest Template'!K762&amp;CHAR(10)&amp;'Ingest Template'!L762,"Competitive View")</f>
        <v>Competitive View</v>
      </c>
      <c r="L762" s="22" t="s">
        <v>95</v>
      </c>
      <c r="M762" s="45" t="str">
        <f>'Ingest Template'!B762</f>
        <v/>
      </c>
      <c r="N762" s="35"/>
      <c r="O762" s="35"/>
      <c r="P762" s="35"/>
      <c r="Q762" s="35"/>
      <c r="R762" s="35" t="str">
        <f>'Ingest Template'!D762</f>
        <v/>
      </c>
      <c r="S762" s="22" t="s">
        <v>101</v>
      </c>
      <c r="T762" s="35" t="str">
        <f>'Ingest Template'!V762</f>
        <v/>
      </c>
      <c r="U762" s="35" t="str">
        <f>'Ingest Template'!W762</f>
        <v/>
      </c>
      <c r="V762" s="35" t="str">
        <f>LOWER(SUBSTITUTE(SUBSTITUTE(SUBSTITUTE(SUBSTITUTE(SUBSTITUTE('Ingest Template'!X762,"https:",""),"www.",""),"/",""),"?hl=en",""),"instagram.com",""))</f>
        <v/>
      </c>
      <c r="W762" s="74" t="str">
        <f t="array" ref="W762">IF(
'Ingest Template'!Y762="",
SUBSTITUTE(
INDEX(DropdownLists!$F$2:$F$277,MATCH('Ingest Template'!D762,DropdownLists!$C$2:$C$277,0)),
CHAR(10),
"|"&amp;'Ingest Template'!C762&amp;CHAR(10)
)&amp;"|"&amp;'Ingest Template'!C762,
SUBSTITUTE(
INDEX(DropdownLists!$F$2:$F$277,MATCH('Ingest Template'!D762,DropdownLists!$C$2:$C$277,0)),
CHAR(10),
"|"&amp;'Ingest Template'!C762&amp;CHAR(10)
)&amp;"|"&amp;'Ingest Template'!C762&amp;CHAR(10)&amp;'Ingest Template'!Y762
)</f>
        <v>#N/A</v>
      </c>
      <c r="X762" s="74" t="str">
        <f>'Ingest Template'!Z762</f>
        <v/>
      </c>
      <c r="Y762" s="35" t="str">
        <f>SUBSTITUTE(SUBSTITUTE(SUBSTITUTE('Ingest Template'!AA762,"http:",""),"https:",""),"/","")</f>
        <v/>
      </c>
      <c r="Z762" s="35" t="str">
        <f t="array" ref="Z762">IF('Ingest Template'!A762="Standard",(IF(ISBLANK('Ingest Template'!AB762),"", 'Ingest Template'!AB762&amp;"|DAR")),(IF(ISBLANK('Ingest Template'!AB762),"", 'Ingest Template'!AB762&amp;"|TV Ops")))</f>
        <v/>
      </c>
      <c r="AA762" s="35"/>
      <c r="AB762" s="35" t="str">
        <f>'Ingest Template'!R762</f>
        <v/>
      </c>
      <c r="AC762" s="35" t="str">
        <f>'Ingest Template'!T762</f>
        <v/>
      </c>
      <c r="AD762" s="35" t="str">
        <f>'Ingest Template'!S762</f>
        <v/>
      </c>
      <c r="AE762" s="35" t="str">
        <f>'Ingest Template'!U762</f>
        <v/>
      </c>
      <c r="AF762" s="22"/>
      <c r="AG762" s="35" t="str">
        <f t="array" ref="AG762">IF('Ingest Template'!A762="Standard",(CONCATENATE(IF(ISBLANK('Ingest Template'!N762),"", 'Ingest Template'!N762&amp;"|DAR"),CHAR(10), IF(ISBLANK('Ingest Template'!O762),"", 'Ingest Template'!O762&amp;"|DAR"),CHAR(10), IF(ISBLANK('Ingest Template'!P762),"", 'Ingest Template'!P762&amp;"|DAR"))),(CONCATENATE(IF(ISBLANK('Ingest Template'!N762),"", 'Ingest Template'!N762&amp;"|TV Ops"),CHAR(10), IF(ISBLANK('Ingest Template'!O762),"", 'Ingest Template'!O762&amp;"|TV Ops"),CHAR(10), IF(ISBLANK('Ingest Template'!P762),"", 'Ingest Template'!P762&amp;"|TV Ops"))))</f>
        <v>
</v>
      </c>
      <c r="AH762" s="35"/>
      <c r="AI762" s="35"/>
      <c r="AJ762" s="117" t="str">
        <f>if('Ingest Template'!A762="Standard",(IF(OR('Ingest Template'!F762 = "Program Type - Special", 'Ingest Template'!F762 = "Program Type - Live Event"),'Ingest Template'!M762&amp; "|DAR|DAR|"&amp;TEXT('Ingest Template'!C762-3, "yyyy-mm-dd")&amp;"|"&amp;TEXT('Ingest Template'!C762+3, "yyyy-mm-dd"),'Ingest Template'!M762&amp; "|DAR|DAR|2021-01-01")),(IF(OR('Ingest Template'!F762 = "Program Type - Special", 'Ingest Template'!F762 = "Program Type - Live Event"),'Ingest Template'!M762&amp; "|Operations - Core Title|Operations - Core Title|"&amp;TEXT('Ingest Template'!C762-3, "yyyy-mm-dd")&amp;"|"&amp;TEXT('Ingest Template'!C762+3, "yyyy-mm-dd"),'Ingest Template'!M762&amp; "|Operations - Core Title|Operations - Core Title")))</f>
        <v>|Operations - Core Title|Operations - Core Title</v>
      </c>
      <c r="AK762" s="35"/>
      <c r="AL762" s="117" t="str">
        <f>if('Ingest Template'!A762="Standard",(IF(OR('Ingest Template'!F762 = "Program Type - Special", 'Ingest Template'!F762 = "Program Type - Live Event"),'Ingest Template'!Q762&amp;"|"&amp;TEXT('Ingest Template'!C762-3, "yyyy-mm-dd")&amp;"|"&amp;TEXT('Ingest Template'!C762+3, "yyyy-mm-dd"),'Ingest Template'!Q762&amp; "|2021-01-01")),(IF(OR('Ingest Template'!F762 = "Program Type - Special", 'Ingest Template'!F762 = "Program Type - Live Event"),'Ingest Template'!Q762&amp; "|"&amp;TEXT('Ingest Template'!C762-3, "yyyy-mm-dd")&amp;"|"&amp;TEXT('Ingest Template'!C762+3, "yyyy-mm-dd"),'Ingest Template'!Q762)))</f>
        <v/>
      </c>
      <c r="AM762" s="35" t="str">
        <f>'Ingest Template'!AC762</f>
        <v/>
      </c>
    </row>
    <row r="763">
      <c r="A763" s="15"/>
      <c r="B763" s="22" t="str">
        <f>'Ingest Template'!C763&amp;IF('Ingest Template'!A763 = "Standard", " - DAR","")</f>
        <v/>
      </c>
      <c r="C763" s="22" t="s">
        <v>83</v>
      </c>
      <c r="D763" s="22" t="str">
        <f t="array" ref="D763">CONCATENATE(INDEX(DropdownLists!$H$2:$H$11,MATCH(1,COUNTIF('Ingest Template'!E763,"*"&amp;DropdownLists!$I$2:$I$11&amp;"*"),0)),CHAR(10),'Ingest Template'!F763,CHAR(10),'Ingest Template'!G763,CHAR(10),VLOOKUP('Ingest Template'!D763,DropdownLists!C:D,2,FALSE))</f>
        <v>#N/A</v>
      </c>
      <c r="E763" s="22" t="str">
        <f>CONCATENATE('Ingest Template'!H763,CHAR(10),'Ingest Template'!I763,CHAR(10),'Ingest Template'!J763,CHAR(10))</f>
        <v>
</v>
      </c>
      <c r="F763" s="35" t="str">
        <f t="array" ref="F763">INDEX(DropdownLists!$O$2:$O$36,MATCH(1,COUNTIF(E763,"*"&amp;DropdownLists!$N$2:$N$36&amp;"*"),0))</f>
        <v/>
      </c>
      <c r="G763" s="35"/>
      <c r="H763" s="22" t="str">
        <f t="array" ref="H763">INDEX(DropdownLists!$E$2:$E$276,MATCH('Ingest Template'!D763,DropdownLists!$C$2:$C$276,0))</f>
        <v>#N/A</v>
      </c>
      <c r="I763" s="22"/>
      <c r="J763" s="22" t="str">
        <f t="array" ref="J763">iF('Ingest Template'!A763="Standard","Pristine Brand",INDEX(DropdownLists!$B$2:$B$246,MATCH('Ingest Template'!D763,DropdownLists!$C$2:$C$246,0)))</f>
        <v>#N/A</v>
      </c>
      <c r="K763" s="22" t="str">
        <f>iF('Ingest Template'!A763="Standard",'Ingest Template'!K763&amp;CHAR(10)&amp;'Ingest Template'!L763,"Competitive View")</f>
        <v>Competitive View</v>
      </c>
      <c r="L763" s="22" t="s">
        <v>95</v>
      </c>
      <c r="M763" s="45" t="str">
        <f>'Ingest Template'!B763</f>
        <v/>
      </c>
      <c r="N763" s="35"/>
      <c r="O763" s="35"/>
      <c r="P763" s="35"/>
      <c r="Q763" s="35"/>
      <c r="R763" s="35" t="str">
        <f>'Ingest Template'!D763</f>
        <v/>
      </c>
      <c r="S763" s="22" t="s">
        <v>101</v>
      </c>
      <c r="T763" s="35" t="str">
        <f>'Ingest Template'!V763</f>
        <v/>
      </c>
      <c r="U763" s="35" t="str">
        <f>'Ingest Template'!W763</f>
        <v/>
      </c>
      <c r="V763" s="35" t="str">
        <f>LOWER(SUBSTITUTE(SUBSTITUTE(SUBSTITUTE(SUBSTITUTE(SUBSTITUTE('Ingest Template'!X763,"https:",""),"www.",""),"/",""),"?hl=en",""),"instagram.com",""))</f>
        <v/>
      </c>
      <c r="W763" s="74" t="str">
        <f t="array" ref="W763">IF(
'Ingest Template'!Y763="",
SUBSTITUTE(
INDEX(DropdownLists!$F$2:$F$277,MATCH('Ingest Template'!D763,DropdownLists!$C$2:$C$277,0)),
CHAR(10),
"|"&amp;'Ingest Template'!C763&amp;CHAR(10)
)&amp;"|"&amp;'Ingest Template'!C763,
SUBSTITUTE(
INDEX(DropdownLists!$F$2:$F$277,MATCH('Ingest Template'!D763,DropdownLists!$C$2:$C$277,0)),
CHAR(10),
"|"&amp;'Ingest Template'!C763&amp;CHAR(10)
)&amp;"|"&amp;'Ingest Template'!C763&amp;CHAR(10)&amp;'Ingest Template'!Y763
)</f>
        <v>#N/A</v>
      </c>
      <c r="X763" s="74" t="str">
        <f>'Ingest Template'!Z763</f>
        <v/>
      </c>
      <c r="Y763" s="35" t="str">
        <f>SUBSTITUTE(SUBSTITUTE(SUBSTITUTE('Ingest Template'!AA763,"http:",""),"https:",""),"/","")</f>
        <v/>
      </c>
      <c r="Z763" s="35" t="str">
        <f t="array" ref="Z763">IF('Ingest Template'!A763="Standard",(IF(ISBLANK('Ingest Template'!AB763),"", 'Ingest Template'!AB763&amp;"|DAR")),(IF(ISBLANK('Ingest Template'!AB763),"", 'Ingest Template'!AB763&amp;"|TV Ops")))</f>
        <v/>
      </c>
      <c r="AA763" s="35"/>
      <c r="AB763" s="35" t="str">
        <f>'Ingest Template'!R763</f>
        <v/>
      </c>
      <c r="AC763" s="35" t="str">
        <f>'Ingest Template'!T763</f>
        <v/>
      </c>
      <c r="AD763" s="35" t="str">
        <f>'Ingest Template'!S763</f>
        <v/>
      </c>
      <c r="AE763" s="35" t="str">
        <f>'Ingest Template'!U763</f>
        <v/>
      </c>
      <c r="AF763" s="22"/>
      <c r="AG763" s="35" t="str">
        <f t="array" ref="AG763">IF('Ingest Template'!A763="Standard",(CONCATENATE(IF(ISBLANK('Ingest Template'!N763),"", 'Ingest Template'!N763&amp;"|DAR"),CHAR(10), IF(ISBLANK('Ingest Template'!O763),"", 'Ingest Template'!O763&amp;"|DAR"),CHAR(10), IF(ISBLANK('Ingest Template'!P763),"", 'Ingest Template'!P763&amp;"|DAR"))),(CONCATENATE(IF(ISBLANK('Ingest Template'!N763),"", 'Ingest Template'!N763&amp;"|TV Ops"),CHAR(10), IF(ISBLANK('Ingest Template'!O763),"", 'Ingest Template'!O763&amp;"|TV Ops"),CHAR(10), IF(ISBLANK('Ingest Template'!P763),"", 'Ingest Template'!P763&amp;"|TV Ops"))))</f>
        <v>
</v>
      </c>
      <c r="AH763" s="35"/>
      <c r="AI763" s="35"/>
      <c r="AJ763" s="117" t="str">
        <f>if('Ingest Template'!A763="Standard",(IF(OR('Ingest Template'!F763 = "Program Type - Special", 'Ingest Template'!F763 = "Program Type - Live Event"),'Ingest Template'!M763&amp; "|DAR|DAR|"&amp;TEXT('Ingest Template'!C763-3, "yyyy-mm-dd")&amp;"|"&amp;TEXT('Ingest Template'!C763+3, "yyyy-mm-dd"),'Ingest Template'!M763&amp; "|DAR|DAR|2021-01-01")),(IF(OR('Ingest Template'!F763 = "Program Type - Special", 'Ingest Template'!F763 = "Program Type - Live Event"),'Ingest Template'!M763&amp; "|Operations - Core Title|Operations - Core Title|"&amp;TEXT('Ingest Template'!C763-3, "yyyy-mm-dd")&amp;"|"&amp;TEXT('Ingest Template'!C763+3, "yyyy-mm-dd"),'Ingest Template'!M763&amp; "|Operations - Core Title|Operations - Core Title")))</f>
        <v>|Operations - Core Title|Operations - Core Title</v>
      </c>
      <c r="AK763" s="35"/>
      <c r="AL763" s="117" t="str">
        <f>if('Ingest Template'!A763="Standard",(IF(OR('Ingest Template'!F763 = "Program Type - Special", 'Ingest Template'!F763 = "Program Type - Live Event"),'Ingest Template'!Q763&amp;"|"&amp;TEXT('Ingest Template'!C763-3, "yyyy-mm-dd")&amp;"|"&amp;TEXT('Ingest Template'!C763+3, "yyyy-mm-dd"),'Ingest Template'!Q763&amp; "|2021-01-01")),(IF(OR('Ingest Template'!F763 = "Program Type - Special", 'Ingest Template'!F763 = "Program Type - Live Event"),'Ingest Template'!Q763&amp; "|"&amp;TEXT('Ingest Template'!C763-3, "yyyy-mm-dd")&amp;"|"&amp;TEXT('Ingest Template'!C763+3, "yyyy-mm-dd"),'Ingest Template'!Q763)))</f>
        <v/>
      </c>
      <c r="AM763" s="35" t="str">
        <f>'Ingest Template'!AC763</f>
        <v/>
      </c>
    </row>
    <row r="764">
      <c r="A764" s="15"/>
      <c r="B764" s="22" t="str">
        <f>'Ingest Template'!C764&amp;IF('Ingest Template'!A764 = "Standard", " - DAR","")</f>
        <v/>
      </c>
      <c r="C764" s="22" t="s">
        <v>83</v>
      </c>
      <c r="D764" s="22" t="str">
        <f t="array" ref="D764">CONCATENATE(INDEX(DropdownLists!$H$2:$H$11,MATCH(1,COUNTIF('Ingest Template'!E764,"*"&amp;DropdownLists!$I$2:$I$11&amp;"*"),0)),CHAR(10),'Ingest Template'!F764,CHAR(10),'Ingest Template'!G764,CHAR(10),VLOOKUP('Ingest Template'!D764,DropdownLists!C:D,2,FALSE))</f>
        <v>#N/A</v>
      </c>
      <c r="E764" s="22" t="str">
        <f>CONCATENATE('Ingest Template'!H764,CHAR(10),'Ingest Template'!I764,CHAR(10),'Ingest Template'!J764,CHAR(10))</f>
        <v>
</v>
      </c>
      <c r="F764" s="35" t="str">
        <f t="array" ref="F764">INDEX(DropdownLists!$O$2:$O$36,MATCH(1,COUNTIF(E764,"*"&amp;DropdownLists!$N$2:$N$36&amp;"*"),0))</f>
        <v/>
      </c>
      <c r="G764" s="35"/>
      <c r="H764" s="22" t="str">
        <f t="array" ref="H764">INDEX(DropdownLists!$E$2:$E$276,MATCH('Ingest Template'!D764,DropdownLists!$C$2:$C$276,0))</f>
        <v>#N/A</v>
      </c>
      <c r="I764" s="22"/>
      <c r="J764" s="22" t="str">
        <f t="array" ref="J764">iF('Ingest Template'!A764="Standard","Pristine Brand",INDEX(DropdownLists!$B$2:$B$246,MATCH('Ingest Template'!D764,DropdownLists!$C$2:$C$246,0)))</f>
        <v>#N/A</v>
      </c>
      <c r="K764" s="22" t="str">
        <f>iF('Ingest Template'!A764="Standard",'Ingest Template'!K764&amp;CHAR(10)&amp;'Ingest Template'!L764,"Competitive View")</f>
        <v>Competitive View</v>
      </c>
      <c r="L764" s="22" t="s">
        <v>95</v>
      </c>
      <c r="M764" s="45" t="str">
        <f>'Ingest Template'!B764</f>
        <v/>
      </c>
      <c r="N764" s="35"/>
      <c r="O764" s="35"/>
      <c r="P764" s="35"/>
      <c r="Q764" s="35"/>
      <c r="R764" s="35" t="str">
        <f>'Ingest Template'!D764</f>
        <v/>
      </c>
      <c r="S764" s="22" t="s">
        <v>101</v>
      </c>
      <c r="T764" s="35" t="str">
        <f>'Ingest Template'!V764</f>
        <v/>
      </c>
      <c r="U764" s="35" t="str">
        <f>'Ingest Template'!W764</f>
        <v/>
      </c>
      <c r="V764" s="35" t="str">
        <f>LOWER(SUBSTITUTE(SUBSTITUTE(SUBSTITUTE(SUBSTITUTE(SUBSTITUTE('Ingest Template'!X764,"https:",""),"www.",""),"/",""),"?hl=en",""),"instagram.com",""))</f>
        <v/>
      </c>
      <c r="W764" s="74" t="str">
        <f t="array" ref="W764">IF(
'Ingest Template'!Y764="",
SUBSTITUTE(
INDEX(DropdownLists!$F$2:$F$277,MATCH('Ingest Template'!D764,DropdownLists!$C$2:$C$277,0)),
CHAR(10),
"|"&amp;'Ingest Template'!C764&amp;CHAR(10)
)&amp;"|"&amp;'Ingest Template'!C764,
SUBSTITUTE(
INDEX(DropdownLists!$F$2:$F$277,MATCH('Ingest Template'!D764,DropdownLists!$C$2:$C$277,0)),
CHAR(10),
"|"&amp;'Ingest Template'!C764&amp;CHAR(10)
)&amp;"|"&amp;'Ingest Template'!C764&amp;CHAR(10)&amp;'Ingest Template'!Y764
)</f>
        <v>#N/A</v>
      </c>
      <c r="X764" s="74" t="str">
        <f>'Ingest Template'!Z764</f>
        <v/>
      </c>
      <c r="Y764" s="35" t="str">
        <f>SUBSTITUTE(SUBSTITUTE(SUBSTITUTE('Ingest Template'!AA764,"http:",""),"https:",""),"/","")</f>
        <v/>
      </c>
      <c r="Z764" s="35" t="str">
        <f t="array" ref="Z764">IF('Ingest Template'!A764="Standard",(IF(ISBLANK('Ingest Template'!AB764),"", 'Ingest Template'!AB764&amp;"|DAR")),(IF(ISBLANK('Ingest Template'!AB764),"", 'Ingest Template'!AB764&amp;"|TV Ops")))</f>
        <v/>
      </c>
      <c r="AA764" s="35"/>
      <c r="AB764" s="35" t="str">
        <f>'Ingest Template'!R764</f>
        <v/>
      </c>
      <c r="AC764" s="35" t="str">
        <f>'Ingest Template'!T764</f>
        <v/>
      </c>
      <c r="AD764" s="35" t="str">
        <f>'Ingest Template'!S764</f>
        <v/>
      </c>
      <c r="AE764" s="35" t="str">
        <f>'Ingest Template'!U764</f>
        <v/>
      </c>
      <c r="AF764" s="22"/>
      <c r="AG764" s="35" t="str">
        <f t="array" ref="AG764">IF('Ingest Template'!A764="Standard",(CONCATENATE(IF(ISBLANK('Ingest Template'!N764),"", 'Ingest Template'!N764&amp;"|DAR"),CHAR(10), IF(ISBLANK('Ingest Template'!O764),"", 'Ingest Template'!O764&amp;"|DAR"),CHAR(10), IF(ISBLANK('Ingest Template'!P764),"", 'Ingest Template'!P764&amp;"|DAR"))),(CONCATENATE(IF(ISBLANK('Ingest Template'!N764),"", 'Ingest Template'!N764&amp;"|TV Ops"),CHAR(10), IF(ISBLANK('Ingest Template'!O764),"", 'Ingest Template'!O764&amp;"|TV Ops"),CHAR(10), IF(ISBLANK('Ingest Template'!P764),"", 'Ingest Template'!P764&amp;"|TV Ops"))))</f>
        <v>
</v>
      </c>
      <c r="AH764" s="35"/>
      <c r="AI764" s="35"/>
      <c r="AJ764" s="117" t="str">
        <f>if('Ingest Template'!A764="Standard",(IF(OR('Ingest Template'!F764 = "Program Type - Special", 'Ingest Template'!F764 = "Program Type - Live Event"),'Ingest Template'!M764&amp; "|DAR|DAR|"&amp;TEXT('Ingest Template'!C764-3, "yyyy-mm-dd")&amp;"|"&amp;TEXT('Ingest Template'!C764+3, "yyyy-mm-dd"),'Ingest Template'!M764&amp; "|DAR|DAR|2021-01-01")),(IF(OR('Ingest Template'!F764 = "Program Type - Special", 'Ingest Template'!F764 = "Program Type - Live Event"),'Ingest Template'!M764&amp; "|Operations - Core Title|Operations - Core Title|"&amp;TEXT('Ingest Template'!C764-3, "yyyy-mm-dd")&amp;"|"&amp;TEXT('Ingest Template'!C764+3, "yyyy-mm-dd"),'Ingest Template'!M764&amp; "|Operations - Core Title|Operations - Core Title")))</f>
        <v>|Operations - Core Title|Operations - Core Title</v>
      </c>
      <c r="AK764" s="35"/>
      <c r="AL764" s="117" t="str">
        <f>if('Ingest Template'!A764="Standard",(IF(OR('Ingest Template'!F764 = "Program Type - Special", 'Ingest Template'!F764 = "Program Type - Live Event"),'Ingest Template'!Q764&amp;"|"&amp;TEXT('Ingest Template'!C764-3, "yyyy-mm-dd")&amp;"|"&amp;TEXT('Ingest Template'!C764+3, "yyyy-mm-dd"),'Ingest Template'!Q764&amp; "|2021-01-01")),(IF(OR('Ingest Template'!F764 = "Program Type - Special", 'Ingest Template'!F764 = "Program Type - Live Event"),'Ingest Template'!Q764&amp; "|"&amp;TEXT('Ingest Template'!C764-3, "yyyy-mm-dd")&amp;"|"&amp;TEXT('Ingest Template'!C764+3, "yyyy-mm-dd"),'Ingest Template'!Q764)))</f>
        <v/>
      </c>
      <c r="AM764" s="35" t="str">
        <f>'Ingest Template'!AC764</f>
        <v/>
      </c>
    </row>
    <row r="765">
      <c r="A765" s="15"/>
      <c r="B765" s="22" t="str">
        <f>'Ingest Template'!C765&amp;IF('Ingest Template'!A765 = "Standard", " - DAR","")</f>
        <v/>
      </c>
      <c r="C765" s="22" t="s">
        <v>83</v>
      </c>
      <c r="D765" s="22" t="str">
        <f t="array" ref="D765">CONCATENATE(INDEX(DropdownLists!$H$2:$H$11,MATCH(1,COUNTIF('Ingest Template'!E765,"*"&amp;DropdownLists!$I$2:$I$11&amp;"*"),0)),CHAR(10),'Ingest Template'!F765,CHAR(10),'Ingest Template'!G765,CHAR(10),VLOOKUP('Ingest Template'!D765,DropdownLists!C:D,2,FALSE))</f>
        <v>#N/A</v>
      </c>
      <c r="E765" s="22" t="str">
        <f>CONCATENATE('Ingest Template'!H765,CHAR(10),'Ingest Template'!I765,CHAR(10),'Ingest Template'!J765,CHAR(10))</f>
        <v>
</v>
      </c>
      <c r="F765" s="35" t="str">
        <f t="array" ref="F765">INDEX(DropdownLists!$O$2:$O$36,MATCH(1,COUNTIF(E765,"*"&amp;DropdownLists!$N$2:$N$36&amp;"*"),0))</f>
        <v/>
      </c>
      <c r="G765" s="35"/>
      <c r="H765" s="22" t="str">
        <f t="array" ref="H765">INDEX(DropdownLists!$E$2:$E$276,MATCH('Ingest Template'!D765,DropdownLists!$C$2:$C$276,0))</f>
        <v>#N/A</v>
      </c>
      <c r="I765" s="22"/>
      <c r="J765" s="22" t="str">
        <f t="array" ref="J765">iF('Ingest Template'!A765="Standard","Pristine Brand",INDEX(DropdownLists!$B$2:$B$246,MATCH('Ingest Template'!D765,DropdownLists!$C$2:$C$246,0)))</f>
        <v>#N/A</v>
      </c>
      <c r="K765" s="22" t="str">
        <f>iF('Ingest Template'!A765="Standard",'Ingest Template'!K765&amp;CHAR(10)&amp;'Ingest Template'!L765,"Competitive View")</f>
        <v>Competitive View</v>
      </c>
      <c r="L765" s="22" t="s">
        <v>95</v>
      </c>
      <c r="M765" s="45" t="str">
        <f>'Ingest Template'!B765</f>
        <v/>
      </c>
      <c r="N765" s="35"/>
      <c r="O765" s="35"/>
      <c r="P765" s="35"/>
      <c r="Q765" s="35"/>
      <c r="R765" s="35" t="str">
        <f>'Ingest Template'!D765</f>
        <v/>
      </c>
      <c r="S765" s="22" t="s">
        <v>101</v>
      </c>
      <c r="T765" s="35" t="str">
        <f>'Ingest Template'!V765</f>
        <v/>
      </c>
      <c r="U765" s="35" t="str">
        <f>'Ingest Template'!W765</f>
        <v/>
      </c>
      <c r="V765" s="35" t="str">
        <f>LOWER(SUBSTITUTE(SUBSTITUTE(SUBSTITUTE(SUBSTITUTE(SUBSTITUTE('Ingest Template'!X765,"https:",""),"www.",""),"/",""),"?hl=en",""),"instagram.com",""))</f>
        <v/>
      </c>
      <c r="W765" s="74" t="str">
        <f t="array" ref="W765">IF(
'Ingest Template'!Y765="",
SUBSTITUTE(
INDEX(DropdownLists!$F$2:$F$277,MATCH('Ingest Template'!D765,DropdownLists!$C$2:$C$277,0)),
CHAR(10),
"|"&amp;'Ingest Template'!C765&amp;CHAR(10)
)&amp;"|"&amp;'Ingest Template'!C765,
SUBSTITUTE(
INDEX(DropdownLists!$F$2:$F$277,MATCH('Ingest Template'!D765,DropdownLists!$C$2:$C$277,0)),
CHAR(10),
"|"&amp;'Ingest Template'!C765&amp;CHAR(10)
)&amp;"|"&amp;'Ingest Template'!C765&amp;CHAR(10)&amp;'Ingest Template'!Y765
)</f>
        <v>#N/A</v>
      </c>
      <c r="X765" s="74" t="str">
        <f>'Ingest Template'!Z765</f>
        <v/>
      </c>
      <c r="Y765" s="35" t="str">
        <f>SUBSTITUTE(SUBSTITUTE(SUBSTITUTE('Ingest Template'!AA765,"http:",""),"https:",""),"/","")</f>
        <v/>
      </c>
      <c r="Z765" s="35" t="str">
        <f t="array" ref="Z765">IF('Ingest Template'!A765="Standard",(IF(ISBLANK('Ingest Template'!AB765),"", 'Ingest Template'!AB765&amp;"|DAR")),(IF(ISBLANK('Ingest Template'!AB765),"", 'Ingest Template'!AB765&amp;"|TV Ops")))</f>
        <v/>
      </c>
      <c r="AA765" s="35"/>
      <c r="AB765" s="35" t="str">
        <f>'Ingest Template'!R765</f>
        <v/>
      </c>
      <c r="AC765" s="35" t="str">
        <f>'Ingest Template'!T765</f>
        <v/>
      </c>
      <c r="AD765" s="35" t="str">
        <f>'Ingest Template'!S765</f>
        <v/>
      </c>
      <c r="AE765" s="35" t="str">
        <f>'Ingest Template'!U765</f>
        <v/>
      </c>
      <c r="AF765" s="22"/>
      <c r="AG765" s="35" t="str">
        <f t="array" ref="AG765">IF('Ingest Template'!A765="Standard",(CONCATENATE(IF(ISBLANK('Ingest Template'!N765),"", 'Ingest Template'!N765&amp;"|DAR"),CHAR(10), IF(ISBLANK('Ingest Template'!O765),"", 'Ingest Template'!O765&amp;"|DAR"),CHAR(10), IF(ISBLANK('Ingest Template'!P765),"", 'Ingest Template'!P765&amp;"|DAR"))),(CONCATENATE(IF(ISBLANK('Ingest Template'!N765),"", 'Ingest Template'!N765&amp;"|TV Ops"),CHAR(10), IF(ISBLANK('Ingest Template'!O765),"", 'Ingest Template'!O765&amp;"|TV Ops"),CHAR(10), IF(ISBLANK('Ingest Template'!P765),"", 'Ingest Template'!P765&amp;"|TV Ops"))))</f>
        <v>
</v>
      </c>
      <c r="AH765" s="35"/>
      <c r="AI765" s="35"/>
      <c r="AJ765" s="117" t="str">
        <f>if('Ingest Template'!A765="Standard",(IF(OR('Ingest Template'!F765 = "Program Type - Special", 'Ingest Template'!F765 = "Program Type - Live Event"),'Ingest Template'!M765&amp; "|DAR|DAR|"&amp;TEXT('Ingest Template'!C765-3, "yyyy-mm-dd")&amp;"|"&amp;TEXT('Ingest Template'!C765+3, "yyyy-mm-dd"),'Ingest Template'!M765&amp; "|DAR|DAR|2021-01-01")),(IF(OR('Ingest Template'!F765 = "Program Type - Special", 'Ingest Template'!F765 = "Program Type - Live Event"),'Ingest Template'!M765&amp; "|Operations - Core Title|Operations - Core Title|"&amp;TEXT('Ingest Template'!C765-3, "yyyy-mm-dd")&amp;"|"&amp;TEXT('Ingest Template'!C765+3, "yyyy-mm-dd"),'Ingest Template'!M765&amp; "|Operations - Core Title|Operations - Core Title")))</f>
        <v>|Operations - Core Title|Operations - Core Title</v>
      </c>
      <c r="AK765" s="35"/>
      <c r="AL765" s="117" t="str">
        <f>if('Ingest Template'!A765="Standard",(IF(OR('Ingest Template'!F765 = "Program Type - Special", 'Ingest Template'!F765 = "Program Type - Live Event"),'Ingest Template'!Q765&amp;"|"&amp;TEXT('Ingest Template'!C765-3, "yyyy-mm-dd")&amp;"|"&amp;TEXT('Ingest Template'!C765+3, "yyyy-mm-dd"),'Ingest Template'!Q765&amp; "|2021-01-01")),(IF(OR('Ingest Template'!F765 = "Program Type - Special", 'Ingest Template'!F765 = "Program Type - Live Event"),'Ingest Template'!Q765&amp; "|"&amp;TEXT('Ingest Template'!C765-3, "yyyy-mm-dd")&amp;"|"&amp;TEXT('Ingest Template'!C765+3, "yyyy-mm-dd"),'Ingest Template'!Q765)))</f>
        <v/>
      </c>
      <c r="AM765" s="35" t="str">
        <f>'Ingest Template'!AC765</f>
        <v/>
      </c>
    </row>
    <row r="766">
      <c r="A766" s="15"/>
      <c r="B766" s="22" t="str">
        <f>'Ingest Template'!C766&amp;IF('Ingest Template'!A766 = "Standard", " - DAR","")</f>
        <v/>
      </c>
      <c r="C766" s="22" t="s">
        <v>83</v>
      </c>
      <c r="D766" s="22" t="str">
        <f t="array" ref="D766">CONCATENATE(INDEX(DropdownLists!$H$2:$H$11,MATCH(1,COUNTIF('Ingest Template'!E766,"*"&amp;DropdownLists!$I$2:$I$11&amp;"*"),0)),CHAR(10),'Ingest Template'!F766,CHAR(10),'Ingest Template'!G766,CHAR(10),VLOOKUP('Ingest Template'!D766,DropdownLists!C:D,2,FALSE))</f>
        <v>#N/A</v>
      </c>
      <c r="E766" s="22" t="str">
        <f>CONCATENATE('Ingest Template'!H766,CHAR(10),'Ingest Template'!I766,CHAR(10),'Ingest Template'!J766,CHAR(10))</f>
        <v>
</v>
      </c>
      <c r="F766" s="35" t="str">
        <f t="array" ref="F766">INDEX(DropdownLists!$O$2:$O$36,MATCH(1,COUNTIF(E766,"*"&amp;DropdownLists!$N$2:$N$36&amp;"*"),0))</f>
        <v/>
      </c>
      <c r="G766" s="35"/>
      <c r="H766" s="22" t="str">
        <f t="array" ref="H766">INDEX(DropdownLists!$E$2:$E$276,MATCH('Ingest Template'!D766,DropdownLists!$C$2:$C$276,0))</f>
        <v>#N/A</v>
      </c>
      <c r="I766" s="22"/>
      <c r="J766" s="22" t="str">
        <f t="array" ref="J766">iF('Ingest Template'!A766="Standard","Pristine Brand",INDEX(DropdownLists!$B$2:$B$246,MATCH('Ingest Template'!D766,DropdownLists!$C$2:$C$246,0)))</f>
        <v>#N/A</v>
      </c>
      <c r="K766" s="22" t="str">
        <f>iF('Ingest Template'!A766="Standard",'Ingest Template'!K766&amp;CHAR(10)&amp;'Ingest Template'!L766,"Competitive View")</f>
        <v>Competitive View</v>
      </c>
      <c r="L766" s="22" t="s">
        <v>95</v>
      </c>
      <c r="M766" s="45" t="str">
        <f>'Ingest Template'!B766</f>
        <v/>
      </c>
      <c r="N766" s="35"/>
      <c r="O766" s="35"/>
      <c r="P766" s="35"/>
      <c r="Q766" s="35"/>
      <c r="R766" s="35" t="str">
        <f>'Ingest Template'!D766</f>
        <v/>
      </c>
      <c r="S766" s="22" t="s">
        <v>101</v>
      </c>
      <c r="T766" s="35" t="str">
        <f>'Ingest Template'!V766</f>
        <v/>
      </c>
      <c r="U766" s="35" t="str">
        <f>'Ingest Template'!W766</f>
        <v/>
      </c>
      <c r="V766" s="35" t="str">
        <f>LOWER(SUBSTITUTE(SUBSTITUTE(SUBSTITUTE(SUBSTITUTE(SUBSTITUTE('Ingest Template'!X766,"https:",""),"www.",""),"/",""),"?hl=en",""),"instagram.com",""))</f>
        <v/>
      </c>
      <c r="W766" s="74" t="str">
        <f t="array" ref="W766">IF(
'Ingest Template'!Y766="",
SUBSTITUTE(
INDEX(DropdownLists!$F$2:$F$277,MATCH('Ingest Template'!D766,DropdownLists!$C$2:$C$277,0)),
CHAR(10),
"|"&amp;'Ingest Template'!C766&amp;CHAR(10)
)&amp;"|"&amp;'Ingest Template'!C766,
SUBSTITUTE(
INDEX(DropdownLists!$F$2:$F$277,MATCH('Ingest Template'!D766,DropdownLists!$C$2:$C$277,0)),
CHAR(10),
"|"&amp;'Ingest Template'!C766&amp;CHAR(10)
)&amp;"|"&amp;'Ingest Template'!C766&amp;CHAR(10)&amp;'Ingest Template'!Y766
)</f>
        <v>#N/A</v>
      </c>
      <c r="X766" s="74" t="str">
        <f>'Ingest Template'!Z766</f>
        <v/>
      </c>
      <c r="Y766" s="35" t="str">
        <f>SUBSTITUTE(SUBSTITUTE(SUBSTITUTE('Ingest Template'!AA766,"http:",""),"https:",""),"/","")</f>
        <v/>
      </c>
      <c r="Z766" s="35" t="str">
        <f t="array" ref="Z766">IF('Ingest Template'!A766="Standard",(IF(ISBLANK('Ingest Template'!AB766),"", 'Ingest Template'!AB766&amp;"|DAR")),(IF(ISBLANK('Ingest Template'!AB766),"", 'Ingest Template'!AB766&amp;"|TV Ops")))</f>
        <v/>
      </c>
      <c r="AA766" s="35"/>
      <c r="AB766" s="35" t="str">
        <f>'Ingest Template'!R766</f>
        <v/>
      </c>
      <c r="AC766" s="35" t="str">
        <f>'Ingest Template'!T766</f>
        <v/>
      </c>
      <c r="AD766" s="35" t="str">
        <f>'Ingest Template'!S766</f>
        <v/>
      </c>
      <c r="AE766" s="35" t="str">
        <f>'Ingest Template'!U766</f>
        <v/>
      </c>
      <c r="AF766" s="22"/>
      <c r="AG766" s="35" t="str">
        <f t="array" ref="AG766">IF('Ingest Template'!A766="Standard",(CONCATENATE(IF(ISBLANK('Ingest Template'!N766),"", 'Ingest Template'!N766&amp;"|DAR"),CHAR(10), IF(ISBLANK('Ingest Template'!O766),"", 'Ingest Template'!O766&amp;"|DAR"),CHAR(10), IF(ISBLANK('Ingest Template'!P766),"", 'Ingest Template'!P766&amp;"|DAR"))),(CONCATENATE(IF(ISBLANK('Ingest Template'!N766),"", 'Ingest Template'!N766&amp;"|TV Ops"),CHAR(10), IF(ISBLANK('Ingest Template'!O766),"", 'Ingest Template'!O766&amp;"|TV Ops"),CHAR(10), IF(ISBLANK('Ingest Template'!P766),"", 'Ingest Template'!P766&amp;"|TV Ops"))))</f>
        <v>
</v>
      </c>
      <c r="AH766" s="35"/>
      <c r="AI766" s="35"/>
      <c r="AJ766" s="117" t="str">
        <f>if('Ingest Template'!A766="Standard",(IF(OR('Ingest Template'!F766 = "Program Type - Special", 'Ingest Template'!F766 = "Program Type - Live Event"),'Ingest Template'!M766&amp; "|DAR|DAR|"&amp;TEXT('Ingest Template'!C766-3, "yyyy-mm-dd")&amp;"|"&amp;TEXT('Ingest Template'!C766+3, "yyyy-mm-dd"),'Ingest Template'!M766&amp; "|DAR|DAR|2021-01-01")),(IF(OR('Ingest Template'!F766 = "Program Type - Special", 'Ingest Template'!F766 = "Program Type - Live Event"),'Ingest Template'!M766&amp; "|Operations - Core Title|Operations - Core Title|"&amp;TEXT('Ingest Template'!C766-3, "yyyy-mm-dd")&amp;"|"&amp;TEXT('Ingest Template'!C766+3, "yyyy-mm-dd"),'Ingest Template'!M766&amp; "|Operations - Core Title|Operations - Core Title")))</f>
        <v>|Operations - Core Title|Operations - Core Title</v>
      </c>
      <c r="AK766" s="35"/>
      <c r="AL766" s="117" t="str">
        <f>if('Ingest Template'!A766="Standard",(IF(OR('Ingest Template'!F766 = "Program Type - Special", 'Ingest Template'!F766 = "Program Type - Live Event"),'Ingest Template'!Q766&amp;"|"&amp;TEXT('Ingest Template'!C766-3, "yyyy-mm-dd")&amp;"|"&amp;TEXT('Ingest Template'!C766+3, "yyyy-mm-dd"),'Ingest Template'!Q766&amp; "|2021-01-01")),(IF(OR('Ingest Template'!F766 = "Program Type - Special", 'Ingest Template'!F766 = "Program Type - Live Event"),'Ingest Template'!Q766&amp; "|"&amp;TEXT('Ingest Template'!C766-3, "yyyy-mm-dd")&amp;"|"&amp;TEXT('Ingest Template'!C766+3, "yyyy-mm-dd"),'Ingest Template'!Q766)))</f>
        <v/>
      </c>
      <c r="AM766" s="35" t="str">
        <f>'Ingest Template'!AC766</f>
        <v/>
      </c>
    </row>
    <row r="767">
      <c r="A767" s="15"/>
      <c r="B767" s="22" t="str">
        <f>'Ingest Template'!C767&amp;IF('Ingest Template'!A767 = "Standard", " - DAR","")</f>
        <v/>
      </c>
      <c r="C767" s="22" t="s">
        <v>83</v>
      </c>
      <c r="D767" s="22" t="str">
        <f t="array" ref="D767">CONCATENATE(INDEX(DropdownLists!$H$2:$H$11,MATCH(1,COUNTIF('Ingest Template'!E767,"*"&amp;DropdownLists!$I$2:$I$11&amp;"*"),0)),CHAR(10),'Ingest Template'!F767,CHAR(10),'Ingest Template'!G767,CHAR(10),VLOOKUP('Ingest Template'!D767,DropdownLists!C:D,2,FALSE))</f>
        <v>#N/A</v>
      </c>
      <c r="E767" s="22" t="str">
        <f>CONCATENATE('Ingest Template'!H767,CHAR(10),'Ingest Template'!I767,CHAR(10),'Ingest Template'!J767,CHAR(10))</f>
        <v>
</v>
      </c>
      <c r="F767" s="35" t="str">
        <f t="array" ref="F767">INDEX(DropdownLists!$O$2:$O$36,MATCH(1,COUNTIF(E767,"*"&amp;DropdownLists!$N$2:$N$36&amp;"*"),0))</f>
        <v/>
      </c>
      <c r="G767" s="35"/>
      <c r="H767" s="22" t="str">
        <f t="array" ref="H767">INDEX(DropdownLists!$E$2:$E$276,MATCH('Ingest Template'!D767,DropdownLists!$C$2:$C$276,0))</f>
        <v>#N/A</v>
      </c>
      <c r="I767" s="22"/>
      <c r="J767" s="22" t="str">
        <f t="array" ref="J767">iF('Ingest Template'!A767="Standard","Pristine Brand",INDEX(DropdownLists!$B$2:$B$246,MATCH('Ingest Template'!D767,DropdownLists!$C$2:$C$246,0)))</f>
        <v>#N/A</v>
      </c>
      <c r="K767" s="22" t="str">
        <f>iF('Ingest Template'!A767="Standard",'Ingest Template'!K767&amp;CHAR(10)&amp;'Ingest Template'!L767,"Competitive View")</f>
        <v>Competitive View</v>
      </c>
      <c r="L767" s="22" t="s">
        <v>95</v>
      </c>
      <c r="M767" s="45" t="str">
        <f>'Ingest Template'!B767</f>
        <v/>
      </c>
      <c r="N767" s="35"/>
      <c r="O767" s="35"/>
      <c r="P767" s="35"/>
      <c r="Q767" s="35"/>
      <c r="R767" s="35" t="str">
        <f>'Ingest Template'!D767</f>
        <v/>
      </c>
      <c r="S767" s="22" t="s">
        <v>101</v>
      </c>
      <c r="T767" s="35" t="str">
        <f>'Ingest Template'!V767</f>
        <v/>
      </c>
      <c r="U767" s="35" t="str">
        <f>'Ingest Template'!W767</f>
        <v/>
      </c>
      <c r="V767" s="35" t="str">
        <f>LOWER(SUBSTITUTE(SUBSTITUTE(SUBSTITUTE(SUBSTITUTE(SUBSTITUTE('Ingest Template'!X767,"https:",""),"www.",""),"/",""),"?hl=en",""),"instagram.com",""))</f>
        <v/>
      </c>
      <c r="W767" s="74" t="str">
        <f t="array" ref="W767">IF(
'Ingest Template'!Y767="",
SUBSTITUTE(
INDEX(DropdownLists!$F$2:$F$277,MATCH('Ingest Template'!D767,DropdownLists!$C$2:$C$277,0)),
CHAR(10),
"|"&amp;'Ingest Template'!C767&amp;CHAR(10)
)&amp;"|"&amp;'Ingest Template'!C767,
SUBSTITUTE(
INDEX(DropdownLists!$F$2:$F$277,MATCH('Ingest Template'!D767,DropdownLists!$C$2:$C$277,0)),
CHAR(10),
"|"&amp;'Ingest Template'!C767&amp;CHAR(10)
)&amp;"|"&amp;'Ingest Template'!C767&amp;CHAR(10)&amp;'Ingest Template'!Y767
)</f>
        <v>#N/A</v>
      </c>
      <c r="X767" s="74" t="str">
        <f>'Ingest Template'!Z767</f>
        <v/>
      </c>
      <c r="Y767" s="35" t="str">
        <f>SUBSTITUTE(SUBSTITUTE(SUBSTITUTE('Ingest Template'!AA767,"http:",""),"https:",""),"/","")</f>
        <v/>
      </c>
      <c r="Z767" s="35" t="str">
        <f t="array" ref="Z767">IF('Ingest Template'!A767="Standard",(IF(ISBLANK('Ingest Template'!AB767),"", 'Ingest Template'!AB767&amp;"|DAR")),(IF(ISBLANK('Ingest Template'!AB767),"", 'Ingest Template'!AB767&amp;"|TV Ops")))</f>
        <v/>
      </c>
      <c r="AA767" s="35"/>
      <c r="AB767" s="35" t="str">
        <f>'Ingest Template'!R767</f>
        <v/>
      </c>
      <c r="AC767" s="35" t="str">
        <f>'Ingest Template'!T767</f>
        <v/>
      </c>
      <c r="AD767" s="35" t="str">
        <f>'Ingest Template'!S767</f>
        <v/>
      </c>
      <c r="AE767" s="35" t="str">
        <f>'Ingest Template'!U767</f>
        <v/>
      </c>
      <c r="AF767" s="22"/>
      <c r="AG767" s="35" t="str">
        <f t="array" ref="AG767">IF('Ingest Template'!A767="Standard",(CONCATENATE(IF(ISBLANK('Ingest Template'!N767),"", 'Ingest Template'!N767&amp;"|DAR"),CHAR(10), IF(ISBLANK('Ingest Template'!O767),"", 'Ingest Template'!O767&amp;"|DAR"),CHAR(10), IF(ISBLANK('Ingest Template'!P767),"", 'Ingest Template'!P767&amp;"|DAR"))),(CONCATENATE(IF(ISBLANK('Ingest Template'!N767),"", 'Ingest Template'!N767&amp;"|TV Ops"),CHAR(10), IF(ISBLANK('Ingest Template'!O767),"", 'Ingest Template'!O767&amp;"|TV Ops"),CHAR(10), IF(ISBLANK('Ingest Template'!P767),"", 'Ingest Template'!P767&amp;"|TV Ops"))))</f>
        <v>
</v>
      </c>
      <c r="AH767" s="35"/>
      <c r="AI767" s="35"/>
      <c r="AJ767" s="117" t="str">
        <f>if('Ingest Template'!A767="Standard",(IF(OR('Ingest Template'!F767 = "Program Type - Special", 'Ingest Template'!F767 = "Program Type - Live Event"),'Ingest Template'!M767&amp; "|DAR|DAR|"&amp;TEXT('Ingest Template'!C767-3, "yyyy-mm-dd")&amp;"|"&amp;TEXT('Ingest Template'!C767+3, "yyyy-mm-dd"),'Ingest Template'!M767&amp; "|DAR|DAR|2021-01-01")),(IF(OR('Ingest Template'!F767 = "Program Type - Special", 'Ingest Template'!F767 = "Program Type - Live Event"),'Ingest Template'!M767&amp; "|Operations - Core Title|Operations - Core Title|"&amp;TEXT('Ingest Template'!C767-3, "yyyy-mm-dd")&amp;"|"&amp;TEXT('Ingest Template'!C767+3, "yyyy-mm-dd"),'Ingest Template'!M767&amp; "|Operations - Core Title|Operations - Core Title")))</f>
        <v>|Operations - Core Title|Operations - Core Title</v>
      </c>
      <c r="AK767" s="35"/>
      <c r="AL767" s="117" t="str">
        <f>if('Ingest Template'!A767="Standard",(IF(OR('Ingest Template'!F767 = "Program Type - Special", 'Ingest Template'!F767 = "Program Type - Live Event"),'Ingest Template'!Q767&amp;"|"&amp;TEXT('Ingest Template'!C767-3, "yyyy-mm-dd")&amp;"|"&amp;TEXT('Ingest Template'!C767+3, "yyyy-mm-dd"),'Ingest Template'!Q767&amp; "|2021-01-01")),(IF(OR('Ingest Template'!F767 = "Program Type - Special", 'Ingest Template'!F767 = "Program Type - Live Event"),'Ingest Template'!Q767&amp; "|"&amp;TEXT('Ingest Template'!C767-3, "yyyy-mm-dd")&amp;"|"&amp;TEXT('Ingest Template'!C767+3, "yyyy-mm-dd"),'Ingest Template'!Q767)))</f>
        <v/>
      </c>
      <c r="AM767" s="35" t="str">
        <f>'Ingest Template'!AC767</f>
        <v/>
      </c>
    </row>
    <row r="768">
      <c r="A768" s="15"/>
      <c r="B768" s="22" t="str">
        <f>'Ingest Template'!C768&amp;IF('Ingest Template'!A768 = "Standard", " - DAR","")</f>
        <v/>
      </c>
      <c r="C768" s="22" t="s">
        <v>83</v>
      </c>
      <c r="D768" s="22" t="str">
        <f t="array" ref="D768">CONCATENATE(INDEX(DropdownLists!$H$2:$H$11,MATCH(1,COUNTIF('Ingest Template'!E768,"*"&amp;DropdownLists!$I$2:$I$11&amp;"*"),0)),CHAR(10),'Ingest Template'!F768,CHAR(10),'Ingest Template'!G768,CHAR(10),VLOOKUP('Ingest Template'!D768,DropdownLists!C:D,2,FALSE))</f>
        <v>#N/A</v>
      </c>
      <c r="E768" s="22" t="str">
        <f>CONCATENATE('Ingest Template'!H768,CHAR(10),'Ingest Template'!I768,CHAR(10),'Ingest Template'!J768,CHAR(10))</f>
        <v>
</v>
      </c>
      <c r="F768" s="35" t="str">
        <f t="array" ref="F768">INDEX(DropdownLists!$O$2:$O$36,MATCH(1,COUNTIF(E768,"*"&amp;DropdownLists!$N$2:$N$36&amp;"*"),0))</f>
        <v/>
      </c>
      <c r="G768" s="35"/>
      <c r="H768" s="22" t="str">
        <f t="array" ref="H768">INDEX(DropdownLists!$E$2:$E$276,MATCH('Ingest Template'!D768,DropdownLists!$C$2:$C$276,0))</f>
        <v>#N/A</v>
      </c>
      <c r="I768" s="22"/>
      <c r="J768" s="22" t="str">
        <f t="array" ref="J768">iF('Ingest Template'!A768="Standard","Pristine Brand",INDEX(DropdownLists!$B$2:$B$246,MATCH('Ingest Template'!D768,DropdownLists!$C$2:$C$246,0)))</f>
        <v>#N/A</v>
      </c>
      <c r="K768" s="22" t="str">
        <f>iF('Ingest Template'!A768="Standard",'Ingest Template'!K768&amp;CHAR(10)&amp;'Ingest Template'!L768,"Competitive View")</f>
        <v>Competitive View</v>
      </c>
      <c r="L768" s="22" t="s">
        <v>95</v>
      </c>
      <c r="M768" s="45" t="str">
        <f>'Ingest Template'!B768</f>
        <v/>
      </c>
      <c r="N768" s="35"/>
      <c r="O768" s="35"/>
      <c r="P768" s="35"/>
      <c r="Q768" s="35"/>
      <c r="R768" s="35" t="str">
        <f>'Ingest Template'!D768</f>
        <v/>
      </c>
      <c r="S768" s="22" t="s">
        <v>101</v>
      </c>
      <c r="T768" s="35" t="str">
        <f>'Ingest Template'!V768</f>
        <v/>
      </c>
      <c r="U768" s="35" t="str">
        <f>'Ingest Template'!W768</f>
        <v/>
      </c>
      <c r="V768" s="35" t="str">
        <f>LOWER(SUBSTITUTE(SUBSTITUTE(SUBSTITUTE(SUBSTITUTE(SUBSTITUTE('Ingest Template'!X768,"https:",""),"www.",""),"/",""),"?hl=en",""),"instagram.com",""))</f>
        <v/>
      </c>
      <c r="W768" s="74" t="str">
        <f t="array" ref="W768">IF(
'Ingest Template'!Y768="",
SUBSTITUTE(
INDEX(DropdownLists!$F$2:$F$277,MATCH('Ingest Template'!D768,DropdownLists!$C$2:$C$277,0)),
CHAR(10),
"|"&amp;'Ingest Template'!C768&amp;CHAR(10)
)&amp;"|"&amp;'Ingest Template'!C768,
SUBSTITUTE(
INDEX(DropdownLists!$F$2:$F$277,MATCH('Ingest Template'!D768,DropdownLists!$C$2:$C$277,0)),
CHAR(10),
"|"&amp;'Ingest Template'!C768&amp;CHAR(10)
)&amp;"|"&amp;'Ingest Template'!C768&amp;CHAR(10)&amp;'Ingest Template'!Y768
)</f>
        <v>#N/A</v>
      </c>
      <c r="X768" s="74" t="str">
        <f>'Ingest Template'!Z768</f>
        <v/>
      </c>
      <c r="Y768" s="35" t="str">
        <f>SUBSTITUTE(SUBSTITUTE(SUBSTITUTE('Ingest Template'!AA768,"http:",""),"https:",""),"/","")</f>
        <v/>
      </c>
      <c r="Z768" s="35" t="str">
        <f t="array" ref="Z768">IF('Ingest Template'!A768="Standard",(IF(ISBLANK('Ingest Template'!AB768),"", 'Ingest Template'!AB768&amp;"|DAR")),(IF(ISBLANK('Ingest Template'!AB768),"", 'Ingest Template'!AB768&amp;"|TV Ops")))</f>
        <v/>
      </c>
      <c r="AA768" s="35"/>
      <c r="AB768" s="35" t="str">
        <f>'Ingest Template'!R768</f>
        <v/>
      </c>
      <c r="AC768" s="35" t="str">
        <f>'Ingest Template'!T768</f>
        <v/>
      </c>
      <c r="AD768" s="35" t="str">
        <f>'Ingest Template'!S768</f>
        <v/>
      </c>
      <c r="AE768" s="35" t="str">
        <f>'Ingest Template'!U768</f>
        <v/>
      </c>
      <c r="AF768" s="22"/>
      <c r="AG768" s="35" t="str">
        <f t="array" ref="AG768">IF('Ingest Template'!A768="Standard",(CONCATENATE(IF(ISBLANK('Ingest Template'!N768),"", 'Ingest Template'!N768&amp;"|DAR"),CHAR(10), IF(ISBLANK('Ingest Template'!O768),"", 'Ingest Template'!O768&amp;"|DAR"),CHAR(10), IF(ISBLANK('Ingest Template'!P768),"", 'Ingest Template'!P768&amp;"|DAR"))),(CONCATENATE(IF(ISBLANK('Ingest Template'!N768),"", 'Ingest Template'!N768&amp;"|TV Ops"),CHAR(10), IF(ISBLANK('Ingest Template'!O768),"", 'Ingest Template'!O768&amp;"|TV Ops"),CHAR(10), IF(ISBLANK('Ingest Template'!P768),"", 'Ingest Template'!P768&amp;"|TV Ops"))))</f>
        <v>
</v>
      </c>
      <c r="AH768" s="35"/>
      <c r="AI768" s="35"/>
      <c r="AJ768" s="117" t="str">
        <f>if('Ingest Template'!A768="Standard",(IF(OR('Ingest Template'!F768 = "Program Type - Special", 'Ingest Template'!F768 = "Program Type - Live Event"),'Ingest Template'!M768&amp; "|DAR|DAR|"&amp;TEXT('Ingest Template'!C768-3, "yyyy-mm-dd")&amp;"|"&amp;TEXT('Ingest Template'!C768+3, "yyyy-mm-dd"),'Ingest Template'!M768&amp; "|DAR|DAR|2021-01-01")),(IF(OR('Ingest Template'!F768 = "Program Type - Special", 'Ingest Template'!F768 = "Program Type - Live Event"),'Ingest Template'!M768&amp; "|Operations - Core Title|Operations - Core Title|"&amp;TEXT('Ingest Template'!C768-3, "yyyy-mm-dd")&amp;"|"&amp;TEXT('Ingest Template'!C768+3, "yyyy-mm-dd"),'Ingest Template'!M768&amp; "|Operations - Core Title|Operations - Core Title")))</f>
        <v>|Operations - Core Title|Operations - Core Title</v>
      </c>
      <c r="AK768" s="35"/>
      <c r="AL768" s="117" t="str">
        <f>if('Ingest Template'!A768="Standard",(IF(OR('Ingest Template'!F768 = "Program Type - Special", 'Ingest Template'!F768 = "Program Type - Live Event"),'Ingest Template'!Q768&amp;"|"&amp;TEXT('Ingest Template'!C768-3, "yyyy-mm-dd")&amp;"|"&amp;TEXT('Ingest Template'!C768+3, "yyyy-mm-dd"),'Ingest Template'!Q768&amp; "|2021-01-01")),(IF(OR('Ingest Template'!F768 = "Program Type - Special", 'Ingest Template'!F768 = "Program Type - Live Event"),'Ingest Template'!Q768&amp; "|"&amp;TEXT('Ingest Template'!C768-3, "yyyy-mm-dd")&amp;"|"&amp;TEXT('Ingest Template'!C768+3, "yyyy-mm-dd"),'Ingest Template'!Q768)))</f>
        <v/>
      </c>
      <c r="AM768" s="35" t="str">
        <f>'Ingest Template'!AC768</f>
        <v/>
      </c>
    </row>
    <row r="769">
      <c r="A769" s="15"/>
      <c r="B769" s="22" t="str">
        <f>'Ingest Template'!C769&amp;IF('Ingest Template'!A769 = "Standard", " - DAR","")</f>
        <v/>
      </c>
      <c r="C769" s="22" t="s">
        <v>83</v>
      </c>
      <c r="D769" s="22" t="str">
        <f t="array" ref="D769">CONCATENATE(INDEX(DropdownLists!$H$2:$H$11,MATCH(1,COUNTIF('Ingest Template'!E769,"*"&amp;DropdownLists!$I$2:$I$11&amp;"*"),0)),CHAR(10),'Ingest Template'!F769,CHAR(10),'Ingest Template'!G769,CHAR(10),VLOOKUP('Ingest Template'!D769,DropdownLists!C:D,2,FALSE))</f>
        <v>#N/A</v>
      </c>
      <c r="E769" s="22" t="str">
        <f>CONCATENATE('Ingest Template'!H769,CHAR(10),'Ingest Template'!I769,CHAR(10),'Ingest Template'!J769,CHAR(10))</f>
        <v>
</v>
      </c>
      <c r="F769" s="35" t="str">
        <f t="array" ref="F769">INDEX(DropdownLists!$O$2:$O$36,MATCH(1,COUNTIF(E769,"*"&amp;DropdownLists!$N$2:$N$36&amp;"*"),0))</f>
        <v/>
      </c>
      <c r="G769" s="35"/>
      <c r="H769" s="22" t="str">
        <f t="array" ref="H769">INDEX(DropdownLists!$E$2:$E$276,MATCH('Ingest Template'!D769,DropdownLists!$C$2:$C$276,0))</f>
        <v>#N/A</v>
      </c>
      <c r="I769" s="22"/>
      <c r="J769" s="22" t="str">
        <f t="array" ref="J769">iF('Ingest Template'!A769="Standard","Pristine Brand",INDEX(DropdownLists!$B$2:$B$246,MATCH('Ingest Template'!D769,DropdownLists!$C$2:$C$246,0)))</f>
        <v>#N/A</v>
      </c>
      <c r="K769" s="22" t="str">
        <f>iF('Ingest Template'!A769="Standard",'Ingest Template'!K769&amp;CHAR(10)&amp;'Ingest Template'!L769,"Competitive View")</f>
        <v>Competitive View</v>
      </c>
      <c r="L769" s="22" t="s">
        <v>95</v>
      </c>
      <c r="M769" s="45" t="str">
        <f>'Ingest Template'!B769</f>
        <v/>
      </c>
      <c r="N769" s="35"/>
      <c r="O769" s="35"/>
      <c r="P769" s="35"/>
      <c r="Q769" s="35"/>
      <c r="R769" s="35" t="str">
        <f>'Ingest Template'!D769</f>
        <v/>
      </c>
      <c r="S769" s="22" t="s">
        <v>101</v>
      </c>
      <c r="T769" s="35" t="str">
        <f>'Ingest Template'!V769</f>
        <v/>
      </c>
      <c r="U769" s="35" t="str">
        <f>'Ingest Template'!W769</f>
        <v/>
      </c>
      <c r="V769" s="35" t="str">
        <f>LOWER(SUBSTITUTE(SUBSTITUTE(SUBSTITUTE(SUBSTITUTE(SUBSTITUTE('Ingest Template'!X769,"https:",""),"www.",""),"/",""),"?hl=en",""),"instagram.com",""))</f>
        <v/>
      </c>
      <c r="W769" s="74" t="str">
        <f t="array" ref="W769">IF(
'Ingest Template'!Y769="",
SUBSTITUTE(
INDEX(DropdownLists!$F$2:$F$277,MATCH('Ingest Template'!D769,DropdownLists!$C$2:$C$277,0)),
CHAR(10),
"|"&amp;'Ingest Template'!C769&amp;CHAR(10)
)&amp;"|"&amp;'Ingest Template'!C769,
SUBSTITUTE(
INDEX(DropdownLists!$F$2:$F$277,MATCH('Ingest Template'!D769,DropdownLists!$C$2:$C$277,0)),
CHAR(10),
"|"&amp;'Ingest Template'!C769&amp;CHAR(10)
)&amp;"|"&amp;'Ingest Template'!C769&amp;CHAR(10)&amp;'Ingest Template'!Y769
)</f>
        <v>#N/A</v>
      </c>
      <c r="X769" s="74" t="str">
        <f>'Ingest Template'!Z769</f>
        <v/>
      </c>
      <c r="Y769" s="35" t="str">
        <f>SUBSTITUTE(SUBSTITUTE(SUBSTITUTE('Ingest Template'!AA769,"http:",""),"https:",""),"/","")</f>
        <v/>
      </c>
      <c r="Z769" s="35" t="str">
        <f t="array" ref="Z769">IF('Ingest Template'!A769="Standard",(IF(ISBLANK('Ingest Template'!AB769),"", 'Ingest Template'!AB769&amp;"|DAR")),(IF(ISBLANK('Ingest Template'!AB769),"", 'Ingest Template'!AB769&amp;"|TV Ops")))</f>
        <v/>
      </c>
      <c r="AA769" s="35"/>
      <c r="AB769" s="35" t="str">
        <f>'Ingest Template'!R769</f>
        <v/>
      </c>
      <c r="AC769" s="35" t="str">
        <f>'Ingest Template'!T769</f>
        <v/>
      </c>
      <c r="AD769" s="35" t="str">
        <f>'Ingest Template'!S769</f>
        <v/>
      </c>
      <c r="AE769" s="35" t="str">
        <f>'Ingest Template'!U769</f>
        <v/>
      </c>
      <c r="AF769" s="22"/>
      <c r="AG769" s="35" t="str">
        <f t="array" ref="AG769">IF('Ingest Template'!A769="Standard",(CONCATENATE(IF(ISBLANK('Ingest Template'!N769),"", 'Ingest Template'!N769&amp;"|DAR"),CHAR(10), IF(ISBLANK('Ingest Template'!O769),"", 'Ingest Template'!O769&amp;"|DAR"),CHAR(10), IF(ISBLANK('Ingest Template'!P769),"", 'Ingest Template'!P769&amp;"|DAR"))),(CONCATENATE(IF(ISBLANK('Ingest Template'!N769),"", 'Ingest Template'!N769&amp;"|TV Ops"),CHAR(10), IF(ISBLANK('Ingest Template'!O769),"", 'Ingest Template'!O769&amp;"|TV Ops"),CHAR(10), IF(ISBLANK('Ingest Template'!P769),"", 'Ingest Template'!P769&amp;"|TV Ops"))))</f>
        <v>
</v>
      </c>
      <c r="AH769" s="35"/>
      <c r="AI769" s="35"/>
      <c r="AJ769" s="117" t="str">
        <f>if('Ingest Template'!A769="Standard",(IF(OR('Ingest Template'!F769 = "Program Type - Special", 'Ingest Template'!F769 = "Program Type - Live Event"),'Ingest Template'!M769&amp; "|DAR|DAR|"&amp;TEXT('Ingest Template'!C769-3, "yyyy-mm-dd")&amp;"|"&amp;TEXT('Ingest Template'!C769+3, "yyyy-mm-dd"),'Ingest Template'!M769&amp; "|DAR|DAR|2021-01-01")),(IF(OR('Ingest Template'!F769 = "Program Type - Special", 'Ingest Template'!F769 = "Program Type - Live Event"),'Ingest Template'!M769&amp; "|Operations - Core Title|Operations - Core Title|"&amp;TEXT('Ingest Template'!C769-3, "yyyy-mm-dd")&amp;"|"&amp;TEXT('Ingest Template'!C769+3, "yyyy-mm-dd"),'Ingest Template'!M769&amp; "|Operations - Core Title|Operations - Core Title")))</f>
        <v>|Operations - Core Title|Operations - Core Title</v>
      </c>
      <c r="AK769" s="35"/>
      <c r="AL769" s="117" t="str">
        <f>if('Ingest Template'!A769="Standard",(IF(OR('Ingest Template'!F769 = "Program Type - Special", 'Ingest Template'!F769 = "Program Type - Live Event"),'Ingest Template'!Q769&amp;"|"&amp;TEXT('Ingest Template'!C769-3, "yyyy-mm-dd")&amp;"|"&amp;TEXT('Ingest Template'!C769+3, "yyyy-mm-dd"),'Ingest Template'!Q769&amp; "|2021-01-01")),(IF(OR('Ingest Template'!F769 = "Program Type - Special", 'Ingest Template'!F769 = "Program Type - Live Event"),'Ingest Template'!Q769&amp; "|"&amp;TEXT('Ingest Template'!C769-3, "yyyy-mm-dd")&amp;"|"&amp;TEXT('Ingest Template'!C769+3, "yyyy-mm-dd"),'Ingest Template'!Q769)))</f>
        <v/>
      </c>
      <c r="AM769" s="35" t="str">
        <f>'Ingest Template'!AC769</f>
        <v/>
      </c>
    </row>
    <row r="770">
      <c r="A770" s="15"/>
      <c r="B770" s="22" t="str">
        <f>'Ingest Template'!C770&amp;IF('Ingest Template'!A770 = "Standard", " - DAR","")</f>
        <v/>
      </c>
      <c r="C770" s="22" t="s">
        <v>83</v>
      </c>
      <c r="D770" s="22" t="str">
        <f t="array" ref="D770">CONCATENATE(INDEX(DropdownLists!$H$2:$H$11,MATCH(1,COUNTIF('Ingest Template'!E770,"*"&amp;DropdownLists!$I$2:$I$11&amp;"*"),0)),CHAR(10),'Ingest Template'!F770,CHAR(10),'Ingest Template'!G770,CHAR(10),VLOOKUP('Ingest Template'!D770,DropdownLists!C:D,2,FALSE))</f>
        <v>#N/A</v>
      </c>
      <c r="E770" s="22" t="str">
        <f>CONCATENATE('Ingest Template'!H770,CHAR(10),'Ingest Template'!I770,CHAR(10),'Ingest Template'!J770,CHAR(10))</f>
        <v>
</v>
      </c>
      <c r="F770" s="35" t="str">
        <f t="array" ref="F770">INDEX(DropdownLists!$O$2:$O$36,MATCH(1,COUNTIF(E770,"*"&amp;DropdownLists!$N$2:$N$36&amp;"*"),0))</f>
        <v/>
      </c>
      <c r="G770" s="35"/>
      <c r="H770" s="22" t="str">
        <f t="array" ref="H770">INDEX(DropdownLists!$E$2:$E$276,MATCH('Ingest Template'!D770,DropdownLists!$C$2:$C$276,0))</f>
        <v>#N/A</v>
      </c>
      <c r="I770" s="22"/>
      <c r="J770" s="22" t="str">
        <f t="array" ref="J770">iF('Ingest Template'!A770="Standard","Pristine Brand",INDEX(DropdownLists!$B$2:$B$246,MATCH('Ingest Template'!D770,DropdownLists!$C$2:$C$246,0)))</f>
        <v>#N/A</v>
      </c>
      <c r="K770" s="22" t="str">
        <f>iF('Ingest Template'!A770="Standard",'Ingest Template'!K770&amp;CHAR(10)&amp;'Ingest Template'!L770,"Competitive View")</f>
        <v>Competitive View</v>
      </c>
      <c r="L770" s="22" t="s">
        <v>95</v>
      </c>
      <c r="M770" s="45" t="str">
        <f>'Ingest Template'!B770</f>
        <v/>
      </c>
      <c r="N770" s="35"/>
      <c r="O770" s="35"/>
      <c r="P770" s="35"/>
      <c r="Q770" s="35"/>
      <c r="R770" s="35" t="str">
        <f>'Ingest Template'!D770</f>
        <v/>
      </c>
      <c r="S770" s="22" t="s">
        <v>101</v>
      </c>
      <c r="T770" s="35" t="str">
        <f>'Ingest Template'!V770</f>
        <v/>
      </c>
      <c r="U770" s="35" t="str">
        <f>'Ingest Template'!W770</f>
        <v/>
      </c>
      <c r="V770" s="35" t="str">
        <f>LOWER(SUBSTITUTE(SUBSTITUTE(SUBSTITUTE(SUBSTITUTE(SUBSTITUTE('Ingest Template'!X770,"https:",""),"www.",""),"/",""),"?hl=en",""),"instagram.com",""))</f>
        <v/>
      </c>
      <c r="W770" s="74" t="str">
        <f t="array" ref="W770">IF(
'Ingest Template'!Y770="",
SUBSTITUTE(
INDEX(DropdownLists!$F$2:$F$277,MATCH('Ingest Template'!D770,DropdownLists!$C$2:$C$277,0)),
CHAR(10),
"|"&amp;'Ingest Template'!C770&amp;CHAR(10)
)&amp;"|"&amp;'Ingest Template'!C770,
SUBSTITUTE(
INDEX(DropdownLists!$F$2:$F$277,MATCH('Ingest Template'!D770,DropdownLists!$C$2:$C$277,0)),
CHAR(10),
"|"&amp;'Ingest Template'!C770&amp;CHAR(10)
)&amp;"|"&amp;'Ingest Template'!C770&amp;CHAR(10)&amp;'Ingest Template'!Y770
)</f>
        <v>#N/A</v>
      </c>
      <c r="X770" s="74" t="str">
        <f>'Ingest Template'!Z770</f>
        <v/>
      </c>
      <c r="Y770" s="35" t="str">
        <f>SUBSTITUTE(SUBSTITUTE(SUBSTITUTE('Ingest Template'!AA770,"http:",""),"https:",""),"/","")</f>
        <v/>
      </c>
      <c r="Z770" s="35" t="str">
        <f t="array" ref="Z770">IF('Ingest Template'!A770="Standard",(IF(ISBLANK('Ingest Template'!AB770),"", 'Ingest Template'!AB770&amp;"|DAR")),(IF(ISBLANK('Ingest Template'!AB770),"", 'Ingest Template'!AB770&amp;"|TV Ops")))</f>
        <v/>
      </c>
      <c r="AA770" s="35"/>
      <c r="AB770" s="35" t="str">
        <f>'Ingest Template'!R770</f>
        <v/>
      </c>
      <c r="AC770" s="35" t="str">
        <f>'Ingest Template'!T770</f>
        <v/>
      </c>
      <c r="AD770" s="35" t="str">
        <f>'Ingest Template'!S770</f>
        <v/>
      </c>
      <c r="AE770" s="35" t="str">
        <f>'Ingest Template'!U770</f>
        <v/>
      </c>
      <c r="AF770" s="22"/>
      <c r="AG770" s="35" t="str">
        <f t="array" ref="AG770">IF('Ingest Template'!A770="Standard",(CONCATENATE(IF(ISBLANK('Ingest Template'!N770),"", 'Ingest Template'!N770&amp;"|DAR"),CHAR(10), IF(ISBLANK('Ingest Template'!O770),"", 'Ingest Template'!O770&amp;"|DAR"),CHAR(10), IF(ISBLANK('Ingest Template'!P770),"", 'Ingest Template'!P770&amp;"|DAR"))),(CONCATENATE(IF(ISBLANK('Ingest Template'!N770),"", 'Ingest Template'!N770&amp;"|TV Ops"),CHAR(10), IF(ISBLANK('Ingest Template'!O770),"", 'Ingest Template'!O770&amp;"|TV Ops"),CHAR(10), IF(ISBLANK('Ingest Template'!P770),"", 'Ingest Template'!P770&amp;"|TV Ops"))))</f>
        <v>
</v>
      </c>
      <c r="AH770" s="35"/>
      <c r="AI770" s="35"/>
      <c r="AJ770" s="117" t="str">
        <f>if('Ingest Template'!A770="Standard",(IF(OR('Ingest Template'!F770 = "Program Type - Special", 'Ingest Template'!F770 = "Program Type - Live Event"),'Ingest Template'!M770&amp; "|DAR|DAR|"&amp;TEXT('Ingest Template'!C770-3, "yyyy-mm-dd")&amp;"|"&amp;TEXT('Ingest Template'!C770+3, "yyyy-mm-dd"),'Ingest Template'!M770&amp; "|DAR|DAR|2021-01-01")),(IF(OR('Ingest Template'!F770 = "Program Type - Special", 'Ingest Template'!F770 = "Program Type - Live Event"),'Ingest Template'!M770&amp; "|Operations - Core Title|Operations - Core Title|"&amp;TEXT('Ingest Template'!C770-3, "yyyy-mm-dd")&amp;"|"&amp;TEXT('Ingest Template'!C770+3, "yyyy-mm-dd"),'Ingest Template'!M770&amp; "|Operations - Core Title|Operations - Core Title")))</f>
        <v>|Operations - Core Title|Operations - Core Title</v>
      </c>
      <c r="AK770" s="35"/>
      <c r="AL770" s="117" t="str">
        <f>if('Ingest Template'!A770="Standard",(IF(OR('Ingest Template'!F770 = "Program Type - Special", 'Ingest Template'!F770 = "Program Type - Live Event"),'Ingest Template'!Q770&amp;"|"&amp;TEXT('Ingest Template'!C770-3, "yyyy-mm-dd")&amp;"|"&amp;TEXT('Ingest Template'!C770+3, "yyyy-mm-dd"),'Ingest Template'!Q770&amp; "|2021-01-01")),(IF(OR('Ingest Template'!F770 = "Program Type - Special", 'Ingest Template'!F770 = "Program Type - Live Event"),'Ingest Template'!Q770&amp; "|"&amp;TEXT('Ingest Template'!C770-3, "yyyy-mm-dd")&amp;"|"&amp;TEXT('Ingest Template'!C770+3, "yyyy-mm-dd"),'Ingest Template'!Q770)))</f>
        <v/>
      </c>
      <c r="AM770" s="35" t="str">
        <f>'Ingest Template'!AC770</f>
        <v/>
      </c>
    </row>
    <row r="771">
      <c r="A771" s="15"/>
      <c r="B771" s="22" t="str">
        <f>'Ingest Template'!C771&amp;IF('Ingest Template'!A771 = "Standard", " - DAR","")</f>
        <v/>
      </c>
      <c r="C771" s="22" t="s">
        <v>83</v>
      </c>
      <c r="D771" s="22" t="str">
        <f t="array" ref="D771">CONCATENATE(INDEX(DropdownLists!$H$2:$H$11,MATCH(1,COUNTIF('Ingest Template'!E771,"*"&amp;DropdownLists!$I$2:$I$11&amp;"*"),0)),CHAR(10),'Ingest Template'!F771,CHAR(10),'Ingest Template'!G771,CHAR(10),VLOOKUP('Ingest Template'!D771,DropdownLists!C:D,2,FALSE))</f>
        <v>#N/A</v>
      </c>
      <c r="E771" s="22" t="str">
        <f>CONCATENATE('Ingest Template'!H771,CHAR(10),'Ingest Template'!I771,CHAR(10),'Ingest Template'!J771,CHAR(10))</f>
        <v>
</v>
      </c>
      <c r="F771" s="35" t="str">
        <f t="array" ref="F771">INDEX(DropdownLists!$O$2:$O$36,MATCH(1,COUNTIF(E771,"*"&amp;DropdownLists!$N$2:$N$36&amp;"*"),0))</f>
        <v/>
      </c>
      <c r="G771" s="35"/>
      <c r="H771" s="22" t="str">
        <f t="array" ref="H771">INDEX(DropdownLists!$E$2:$E$276,MATCH('Ingest Template'!D771,DropdownLists!$C$2:$C$276,0))</f>
        <v>#N/A</v>
      </c>
      <c r="I771" s="22"/>
      <c r="J771" s="22" t="str">
        <f t="array" ref="J771">iF('Ingest Template'!A771="Standard","Pristine Brand",INDEX(DropdownLists!$B$2:$B$246,MATCH('Ingest Template'!D771,DropdownLists!$C$2:$C$246,0)))</f>
        <v>#N/A</v>
      </c>
      <c r="K771" s="22" t="str">
        <f>iF('Ingest Template'!A771="Standard",'Ingest Template'!K771&amp;CHAR(10)&amp;'Ingest Template'!L771,"Competitive View")</f>
        <v>Competitive View</v>
      </c>
      <c r="L771" s="22" t="s">
        <v>95</v>
      </c>
      <c r="M771" s="45" t="str">
        <f>'Ingest Template'!B771</f>
        <v/>
      </c>
      <c r="N771" s="35"/>
      <c r="O771" s="35"/>
      <c r="P771" s="35"/>
      <c r="Q771" s="35"/>
      <c r="R771" s="35" t="str">
        <f>'Ingest Template'!D771</f>
        <v/>
      </c>
      <c r="S771" s="22" t="s">
        <v>101</v>
      </c>
      <c r="T771" s="35" t="str">
        <f>'Ingest Template'!V771</f>
        <v/>
      </c>
      <c r="U771" s="35" t="str">
        <f>'Ingest Template'!W771</f>
        <v/>
      </c>
      <c r="V771" s="35" t="str">
        <f>LOWER(SUBSTITUTE(SUBSTITUTE(SUBSTITUTE(SUBSTITUTE(SUBSTITUTE('Ingest Template'!X771,"https:",""),"www.",""),"/",""),"?hl=en",""),"instagram.com",""))</f>
        <v/>
      </c>
      <c r="W771" s="74" t="str">
        <f t="array" ref="W771">IF(
'Ingest Template'!Y771="",
SUBSTITUTE(
INDEX(DropdownLists!$F$2:$F$277,MATCH('Ingest Template'!D771,DropdownLists!$C$2:$C$277,0)),
CHAR(10),
"|"&amp;'Ingest Template'!C771&amp;CHAR(10)
)&amp;"|"&amp;'Ingest Template'!C771,
SUBSTITUTE(
INDEX(DropdownLists!$F$2:$F$277,MATCH('Ingest Template'!D771,DropdownLists!$C$2:$C$277,0)),
CHAR(10),
"|"&amp;'Ingest Template'!C771&amp;CHAR(10)
)&amp;"|"&amp;'Ingest Template'!C771&amp;CHAR(10)&amp;'Ingest Template'!Y771
)</f>
        <v>#N/A</v>
      </c>
      <c r="X771" s="74" t="str">
        <f>'Ingest Template'!Z771</f>
        <v/>
      </c>
      <c r="Y771" s="35" t="str">
        <f>SUBSTITUTE(SUBSTITUTE(SUBSTITUTE('Ingest Template'!AA771,"http:",""),"https:",""),"/","")</f>
        <v/>
      </c>
      <c r="Z771" s="35" t="str">
        <f t="array" ref="Z771">IF('Ingest Template'!A771="Standard",(IF(ISBLANK('Ingest Template'!AB771),"", 'Ingest Template'!AB771&amp;"|DAR")),(IF(ISBLANK('Ingest Template'!AB771),"", 'Ingest Template'!AB771&amp;"|TV Ops")))</f>
        <v/>
      </c>
      <c r="AA771" s="35"/>
      <c r="AB771" s="35" t="str">
        <f>'Ingest Template'!R771</f>
        <v/>
      </c>
      <c r="AC771" s="35" t="str">
        <f>'Ingest Template'!T771</f>
        <v/>
      </c>
      <c r="AD771" s="35" t="str">
        <f>'Ingest Template'!S771</f>
        <v/>
      </c>
      <c r="AE771" s="35" t="str">
        <f>'Ingest Template'!U771</f>
        <v/>
      </c>
      <c r="AF771" s="22"/>
      <c r="AG771" s="35" t="str">
        <f t="array" ref="AG771">IF('Ingest Template'!A771="Standard",(CONCATENATE(IF(ISBLANK('Ingest Template'!N771),"", 'Ingest Template'!N771&amp;"|DAR"),CHAR(10), IF(ISBLANK('Ingest Template'!O771),"", 'Ingest Template'!O771&amp;"|DAR"),CHAR(10), IF(ISBLANK('Ingest Template'!P771),"", 'Ingest Template'!P771&amp;"|DAR"))),(CONCATENATE(IF(ISBLANK('Ingest Template'!N771),"", 'Ingest Template'!N771&amp;"|TV Ops"),CHAR(10), IF(ISBLANK('Ingest Template'!O771),"", 'Ingest Template'!O771&amp;"|TV Ops"),CHAR(10), IF(ISBLANK('Ingest Template'!P771),"", 'Ingest Template'!P771&amp;"|TV Ops"))))</f>
        <v>
</v>
      </c>
      <c r="AH771" s="35"/>
      <c r="AI771" s="35"/>
      <c r="AJ771" s="117" t="str">
        <f>if('Ingest Template'!A771="Standard",(IF(OR('Ingest Template'!F771 = "Program Type - Special", 'Ingest Template'!F771 = "Program Type - Live Event"),'Ingest Template'!M771&amp; "|DAR|DAR|"&amp;TEXT('Ingest Template'!C771-3, "yyyy-mm-dd")&amp;"|"&amp;TEXT('Ingest Template'!C771+3, "yyyy-mm-dd"),'Ingest Template'!M771&amp; "|DAR|DAR|2021-01-01")),(IF(OR('Ingest Template'!F771 = "Program Type - Special", 'Ingest Template'!F771 = "Program Type - Live Event"),'Ingest Template'!M771&amp; "|Operations - Core Title|Operations - Core Title|"&amp;TEXT('Ingest Template'!C771-3, "yyyy-mm-dd")&amp;"|"&amp;TEXT('Ingest Template'!C771+3, "yyyy-mm-dd"),'Ingest Template'!M771&amp; "|Operations - Core Title|Operations - Core Title")))</f>
        <v>|Operations - Core Title|Operations - Core Title</v>
      </c>
      <c r="AK771" s="35"/>
      <c r="AL771" s="117" t="str">
        <f>if('Ingest Template'!A771="Standard",(IF(OR('Ingest Template'!F771 = "Program Type - Special", 'Ingest Template'!F771 = "Program Type - Live Event"),'Ingest Template'!Q771&amp;"|"&amp;TEXT('Ingest Template'!C771-3, "yyyy-mm-dd")&amp;"|"&amp;TEXT('Ingest Template'!C771+3, "yyyy-mm-dd"),'Ingest Template'!Q771&amp; "|2021-01-01")),(IF(OR('Ingest Template'!F771 = "Program Type - Special", 'Ingest Template'!F771 = "Program Type - Live Event"),'Ingest Template'!Q771&amp; "|"&amp;TEXT('Ingest Template'!C771-3, "yyyy-mm-dd")&amp;"|"&amp;TEXT('Ingest Template'!C771+3, "yyyy-mm-dd"),'Ingest Template'!Q771)))</f>
        <v/>
      </c>
      <c r="AM771" s="35" t="str">
        <f>'Ingest Template'!AC771</f>
        <v/>
      </c>
    </row>
    <row r="772">
      <c r="A772" s="15"/>
      <c r="B772" s="22" t="str">
        <f>'Ingest Template'!C772&amp;IF('Ingest Template'!A772 = "Standard", " - DAR","")</f>
        <v/>
      </c>
      <c r="C772" s="22" t="s">
        <v>83</v>
      </c>
      <c r="D772" s="22" t="str">
        <f t="array" ref="D772">CONCATENATE(INDEX(DropdownLists!$H$2:$H$11,MATCH(1,COUNTIF('Ingest Template'!E772,"*"&amp;DropdownLists!$I$2:$I$11&amp;"*"),0)),CHAR(10),'Ingest Template'!F772,CHAR(10),'Ingest Template'!G772,CHAR(10),VLOOKUP('Ingest Template'!D772,DropdownLists!C:D,2,FALSE))</f>
        <v>#N/A</v>
      </c>
      <c r="E772" s="22" t="str">
        <f>CONCATENATE('Ingest Template'!H772,CHAR(10),'Ingest Template'!I772,CHAR(10),'Ingest Template'!J772,CHAR(10))</f>
        <v>
</v>
      </c>
      <c r="F772" s="35" t="str">
        <f t="array" ref="F772">INDEX(DropdownLists!$O$2:$O$36,MATCH(1,COUNTIF(E772,"*"&amp;DropdownLists!$N$2:$N$36&amp;"*"),0))</f>
        <v/>
      </c>
      <c r="G772" s="35"/>
      <c r="H772" s="22" t="str">
        <f t="array" ref="H772">INDEX(DropdownLists!$E$2:$E$276,MATCH('Ingest Template'!D772,DropdownLists!$C$2:$C$276,0))</f>
        <v>#N/A</v>
      </c>
      <c r="I772" s="22"/>
      <c r="J772" s="22" t="str">
        <f t="array" ref="J772">iF('Ingest Template'!A772="Standard","Pristine Brand",INDEX(DropdownLists!$B$2:$B$246,MATCH('Ingest Template'!D772,DropdownLists!$C$2:$C$246,0)))</f>
        <v>#N/A</v>
      </c>
      <c r="K772" s="22" t="str">
        <f>iF('Ingest Template'!A772="Standard",'Ingest Template'!K772&amp;CHAR(10)&amp;'Ingest Template'!L772,"Competitive View")</f>
        <v>Competitive View</v>
      </c>
      <c r="L772" s="22" t="s">
        <v>95</v>
      </c>
      <c r="M772" s="45" t="str">
        <f>'Ingest Template'!B772</f>
        <v/>
      </c>
      <c r="N772" s="35"/>
      <c r="O772" s="35"/>
      <c r="P772" s="35"/>
      <c r="Q772" s="35"/>
      <c r="R772" s="35" t="str">
        <f>'Ingest Template'!D772</f>
        <v/>
      </c>
      <c r="S772" s="22" t="s">
        <v>101</v>
      </c>
      <c r="T772" s="35" t="str">
        <f>'Ingest Template'!V772</f>
        <v/>
      </c>
      <c r="U772" s="35" t="str">
        <f>'Ingest Template'!W772</f>
        <v/>
      </c>
      <c r="V772" s="35" t="str">
        <f>LOWER(SUBSTITUTE(SUBSTITUTE(SUBSTITUTE(SUBSTITUTE(SUBSTITUTE('Ingest Template'!X772,"https:",""),"www.",""),"/",""),"?hl=en",""),"instagram.com",""))</f>
        <v/>
      </c>
      <c r="W772" s="74" t="str">
        <f t="array" ref="W772">IF(
'Ingest Template'!Y772="",
SUBSTITUTE(
INDEX(DropdownLists!$F$2:$F$277,MATCH('Ingest Template'!D772,DropdownLists!$C$2:$C$277,0)),
CHAR(10),
"|"&amp;'Ingest Template'!C772&amp;CHAR(10)
)&amp;"|"&amp;'Ingest Template'!C772,
SUBSTITUTE(
INDEX(DropdownLists!$F$2:$F$277,MATCH('Ingest Template'!D772,DropdownLists!$C$2:$C$277,0)),
CHAR(10),
"|"&amp;'Ingest Template'!C772&amp;CHAR(10)
)&amp;"|"&amp;'Ingest Template'!C772&amp;CHAR(10)&amp;'Ingest Template'!Y772
)</f>
        <v>#N/A</v>
      </c>
      <c r="X772" s="74" t="str">
        <f>'Ingest Template'!Z772</f>
        <v/>
      </c>
      <c r="Y772" s="35" t="str">
        <f>SUBSTITUTE(SUBSTITUTE(SUBSTITUTE('Ingest Template'!AA772,"http:",""),"https:",""),"/","")</f>
        <v/>
      </c>
      <c r="Z772" s="35" t="str">
        <f t="array" ref="Z772">IF('Ingest Template'!A772="Standard",(IF(ISBLANK('Ingest Template'!AB772),"", 'Ingest Template'!AB772&amp;"|DAR")),(IF(ISBLANK('Ingest Template'!AB772),"", 'Ingest Template'!AB772&amp;"|TV Ops")))</f>
        <v/>
      </c>
      <c r="AA772" s="35"/>
      <c r="AB772" s="35" t="str">
        <f>'Ingest Template'!R772</f>
        <v/>
      </c>
      <c r="AC772" s="35" t="str">
        <f>'Ingest Template'!T772</f>
        <v/>
      </c>
      <c r="AD772" s="35" t="str">
        <f>'Ingest Template'!S772</f>
        <v/>
      </c>
      <c r="AE772" s="35" t="str">
        <f>'Ingest Template'!U772</f>
        <v/>
      </c>
      <c r="AF772" s="22"/>
      <c r="AG772" s="35" t="str">
        <f t="array" ref="AG772">IF('Ingest Template'!A772="Standard",(CONCATENATE(IF(ISBLANK('Ingest Template'!N772),"", 'Ingest Template'!N772&amp;"|DAR"),CHAR(10), IF(ISBLANK('Ingest Template'!O772),"", 'Ingest Template'!O772&amp;"|DAR"),CHAR(10), IF(ISBLANK('Ingest Template'!P772),"", 'Ingest Template'!P772&amp;"|DAR"))),(CONCATENATE(IF(ISBLANK('Ingest Template'!N772),"", 'Ingest Template'!N772&amp;"|TV Ops"),CHAR(10), IF(ISBLANK('Ingest Template'!O772),"", 'Ingest Template'!O772&amp;"|TV Ops"),CHAR(10), IF(ISBLANK('Ingest Template'!P772),"", 'Ingest Template'!P772&amp;"|TV Ops"))))</f>
        <v>
</v>
      </c>
      <c r="AH772" s="35"/>
      <c r="AI772" s="35"/>
      <c r="AJ772" s="117" t="str">
        <f>if('Ingest Template'!A772="Standard",(IF(OR('Ingest Template'!F772 = "Program Type - Special", 'Ingest Template'!F772 = "Program Type - Live Event"),'Ingest Template'!M772&amp; "|DAR|DAR|"&amp;TEXT('Ingest Template'!C772-3, "yyyy-mm-dd")&amp;"|"&amp;TEXT('Ingest Template'!C772+3, "yyyy-mm-dd"),'Ingest Template'!M772&amp; "|DAR|DAR|2021-01-01")),(IF(OR('Ingest Template'!F772 = "Program Type - Special", 'Ingest Template'!F772 = "Program Type - Live Event"),'Ingest Template'!M772&amp; "|Operations - Core Title|Operations - Core Title|"&amp;TEXT('Ingest Template'!C772-3, "yyyy-mm-dd")&amp;"|"&amp;TEXT('Ingest Template'!C772+3, "yyyy-mm-dd"),'Ingest Template'!M772&amp; "|Operations - Core Title|Operations - Core Title")))</f>
        <v>|Operations - Core Title|Operations - Core Title</v>
      </c>
      <c r="AK772" s="35"/>
      <c r="AL772" s="117" t="str">
        <f>if('Ingest Template'!A772="Standard",(IF(OR('Ingest Template'!F772 = "Program Type - Special", 'Ingest Template'!F772 = "Program Type - Live Event"),'Ingest Template'!Q772&amp;"|"&amp;TEXT('Ingest Template'!C772-3, "yyyy-mm-dd")&amp;"|"&amp;TEXT('Ingest Template'!C772+3, "yyyy-mm-dd"),'Ingest Template'!Q772&amp; "|2021-01-01")),(IF(OR('Ingest Template'!F772 = "Program Type - Special", 'Ingest Template'!F772 = "Program Type - Live Event"),'Ingest Template'!Q772&amp; "|"&amp;TEXT('Ingest Template'!C772-3, "yyyy-mm-dd")&amp;"|"&amp;TEXT('Ingest Template'!C772+3, "yyyy-mm-dd"),'Ingest Template'!Q772)))</f>
        <v/>
      </c>
      <c r="AM772" s="35" t="str">
        <f>'Ingest Template'!AC772</f>
        <v/>
      </c>
    </row>
    <row r="773">
      <c r="A773" s="15"/>
      <c r="B773" s="22" t="str">
        <f>'Ingest Template'!C773&amp;IF('Ingest Template'!A773 = "Standard", " - DAR","")</f>
        <v/>
      </c>
      <c r="C773" s="22" t="s">
        <v>83</v>
      </c>
      <c r="D773" s="22" t="str">
        <f t="array" ref="D773">CONCATENATE(INDEX(DropdownLists!$H$2:$H$11,MATCH(1,COUNTIF('Ingest Template'!E773,"*"&amp;DropdownLists!$I$2:$I$11&amp;"*"),0)),CHAR(10),'Ingest Template'!F773,CHAR(10),'Ingest Template'!G773,CHAR(10),VLOOKUP('Ingest Template'!D773,DropdownLists!C:D,2,FALSE))</f>
        <v>#N/A</v>
      </c>
      <c r="E773" s="22" t="str">
        <f>CONCATENATE('Ingest Template'!H773,CHAR(10),'Ingest Template'!I773,CHAR(10),'Ingest Template'!J773,CHAR(10))</f>
        <v>
</v>
      </c>
      <c r="F773" s="35" t="str">
        <f t="array" ref="F773">INDEX(DropdownLists!$O$2:$O$36,MATCH(1,COUNTIF(E773,"*"&amp;DropdownLists!$N$2:$N$36&amp;"*"),0))</f>
        <v/>
      </c>
      <c r="G773" s="35"/>
      <c r="H773" s="22" t="str">
        <f t="array" ref="H773">INDEX(DropdownLists!$E$2:$E$276,MATCH('Ingest Template'!D773,DropdownLists!$C$2:$C$276,0))</f>
        <v>#N/A</v>
      </c>
      <c r="I773" s="22"/>
      <c r="J773" s="22" t="str">
        <f t="array" ref="J773">iF('Ingest Template'!A773="Standard","Pristine Brand",INDEX(DropdownLists!$B$2:$B$246,MATCH('Ingest Template'!D773,DropdownLists!$C$2:$C$246,0)))</f>
        <v>#N/A</v>
      </c>
      <c r="K773" s="22" t="str">
        <f>iF('Ingest Template'!A773="Standard",'Ingest Template'!K773&amp;CHAR(10)&amp;'Ingest Template'!L773,"Competitive View")</f>
        <v>Competitive View</v>
      </c>
      <c r="L773" s="22" t="s">
        <v>95</v>
      </c>
      <c r="M773" s="45" t="str">
        <f>'Ingest Template'!B773</f>
        <v/>
      </c>
      <c r="N773" s="35"/>
      <c r="O773" s="35"/>
      <c r="P773" s="35"/>
      <c r="Q773" s="35"/>
      <c r="R773" s="35" t="str">
        <f>'Ingest Template'!D773</f>
        <v/>
      </c>
      <c r="S773" s="22" t="s">
        <v>101</v>
      </c>
      <c r="T773" s="35" t="str">
        <f>'Ingest Template'!V773</f>
        <v/>
      </c>
      <c r="U773" s="35" t="str">
        <f>'Ingest Template'!W773</f>
        <v/>
      </c>
      <c r="V773" s="35" t="str">
        <f>LOWER(SUBSTITUTE(SUBSTITUTE(SUBSTITUTE(SUBSTITUTE(SUBSTITUTE('Ingest Template'!X773,"https:",""),"www.",""),"/",""),"?hl=en",""),"instagram.com",""))</f>
        <v/>
      </c>
      <c r="W773" s="74" t="str">
        <f t="array" ref="W773">IF(
'Ingest Template'!Y773="",
SUBSTITUTE(
INDEX(DropdownLists!$F$2:$F$277,MATCH('Ingest Template'!D773,DropdownLists!$C$2:$C$277,0)),
CHAR(10),
"|"&amp;'Ingest Template'!C773&amp;CHAR(10)
)&amp;"|"&amp;'Ingest Template'!C773,
SUBSTITUTE(
INDEX(DropdownLists!$F$2:$F$277,MATCH('Ingest Template'!D773,DropdownLists!$C$2:$C$277,0)),
CHAR(10),
"|"&amp;'Ingest Template'!C773&amp;CHAR(10)
)&amp;"|"&amp;'Ingest Template'!C773&amp;CHAR(10)&amp;'Ingest Template'!Y773
)</f>
        <v>#N/A</v>
      </c>
      <c r="X773" s="74" t="str">
        <f>'Ingest Template'!Z773</f>
        <v/>
      </c>
      <c r="Y773" s="35" t="str">
        <f>SUBSTITUTE(SUBSTITUTE(SUBSTITUTE('Ingest Template'!AA773,"http:",""),"https:",""),"/","")</f>
        <v/>
      </c>
      <c r="Z773" s="35" t="str">
        <f t="array" ref="Z773">IF('Ingest Template'!A773="Standard",(IF(ISBLANK('Ingest Template'!AB773),"", 'Ingest Template'!AB773&amp;"|DAR")),(IF(ISBLANK('Ingest Template'!AB773),"", 'Ingest Template'!AB773&amp;"|TV Ops")))</f>
        <v/>
      </c>
      <c r="AA773" s="35"/>
      <c r="AB773" s="35" t="str">
        <f>'Ingest Template'!R773</f>
        <v/>
      </c>
      <c r="AC773" s="35" t="str">
        <f>'Ingest Template'!T773</f>
        <v/>
      </c>
      <c r="AD773" s="35" t="str">
        <f>'Ingest Template'!S773</f>
        <v/>
      </c>
      <c r="AE773" s="35" t="str">
        <f>'Ingest Template'!U773</f>
        <v/>
      </c>
      <c r="AF773" s="22"/>
      <c r="AG773" s="35" t="str">
        <f t="array" ref="AG773">IF('Ingest Template'!A773="Standard",(CONCATENATE(IF(ISBLANK('Ingest Template'!N773),"", 'Ingest Template'!N773&amp;"|DAR"),CHAR(10), IF(ISBLANK('Ingest Template'!O773),"", 'Ingest Template'!O773&amp;"|DAR"),CHAR(10), IF(ISBLANK('Ingest Template'!P773),"", 'Ingest Template'!P773&amp;"|DAR"))),(CONCATENATE(IF(ISBLANK('Ingest Template'!N773),"", 'Ingest Template'!N773&amp;"|TV Ops"),CHAR(10), IF(ISBLANK('Ingest Template'!O773),"", 'Ingest Template'!O773&amp;"|TV Ops"),CHAR(10), IF(ISBLANK('Ingest Template'!P773),"", 'Ingest Template'!P773&amp;"|TV Ops"))))</f>
        <v>
</v>
      </c>
      <c r="AH773" s="35"/>
      <c r="AI773" s="35"/>
      <c r="AJ773" s="117" t="str">
        <f>if('Ingest Template'!A773="Standard",(IF(OR('Ingest Template'!F773 = "Program Type - Special", 'Ingest Template'!F773 = "Program Type - Live Event"),'Ingest Template'!M773&amp; "|DAR|DAR|"&amp;TEXT('Ingest Template'!C773-3, "yyyy-mm-dd")&amp;"|"&amp;TEXT('Ingest Template'!C773+3, "yyyy-mm-dd"),'Ingest Template'!M773&amp; "|DAR|DAR|2021-01-01")),(IF(OR('Ingest Template'!F773 = "Program Type - Special", 'Ingest Template'!F773 = "Program Type - Live Event"),'Ingest Template'!M773&amp; "|Operations - Core Title|Operations - Core Title|"&amp;TEXT('Ingest Template'!C773-3, "yyyy-mm-dd")&amp;"|"&amp;TEXT('Ingest Template'!C773+3, "yyyy-mm-dd"),'Ingest Template'!M773&amp; "|Operations - Core Title|Operations - Core Title")))</f>
        <v>|Operations - Core Title|Operations - Core Title</v>
      </c>
      <c r="AK773" s="35"/>
      <c r="AL773" s="117" t="str">
        <f>if('Ingest Template'!A773="Standard",(IF(OR('Ingest Template'!F773 = "Program Type - Special", 'Ingest Template'!F773 = "Program Type - Live Event"),'Ingest Template'!Q773&amp;"|"&amp;TEXT('Ingest Template'!C773-3, "yyyy-mm-dd")&amp;"|"&amp;TEXT('Ingest Template'!C773+3, "yyyy-mm-dd"),'Ingest Template'!Q773&amp; "|2021-01-01")),(IF(OR('Ingest Template'!F773 = "Program Type - Special", 'Ingest Template'!F773 = "Program Type - Live Event"),'Ingest Template'!Q773&amp; "|"&amp;TEXT('Ingest Template'!C773-3, "yyyy-mm-dd")&amp;"|"&amp;TEXT('Ingest Template'!C773+3, "yyyy-mm-dd"),'Ingest Template'!Q773)))</f>
        <v/>
      </c>
      <c r="AM773" s="35" t="str">
        <f>'Ingest Template'!AC773</f>
        <v/>
      </c>
    </row>
    <row r="774">
      <c r="A774" s="15"/>
      <c r="B774" s="22" t="str">
        <f>'Ingest Template'!C774&amp;IF('Ingest Template'!A774 = "Standard", " - DAR","")</f>
        <v/>
      </c>
      <c r="C774" s="22" t="s">
        <v>83</v>
      </c>
      <c r="D774" s="22" t="str">
        <f t="array" ref="D774">CONCATENATE(INDEX(DropdownLists!$H$2:$H$11,MATCH(1,COUNTIF('Ingest Template'!E774,"*"&amp;DropdownLists!$I$2:$I$11&amp;"*"),0)),CHAR(10),'Ingest Template'!F774,CHAR(10),'Ingest Template'!G774,CHAR(10),VLOOKUP('Ingest Template'!D774,DropdownLists!C:D,2,FALSE))</f>
        <v>#N/A</v>
      </c>
      <c r="E774" s="22" t="str">
        <f>CONCATENATE('Ingest Template'!H774,CHAR(10),'Ingest Template'!I774,CHAR(10),'Ingest Template'!J774,CHAR(10))</f>
        <v>
</v>
      </c>
      <c r="F774" s="35" t="str">
        <f t="array" ref="F774">INDEX(DropdownLists!$O$2:$O$36,MATCH(1,COUNTIF(E774,"*"&amp;DropdownLists!$N$2:$N$36&amp;"*"),0))</f>
        <v/>
      </c>
      <c r="G774" s="35"/>
      <c r="H774" s="22" t="str">
        <f t="array" ref="H774">INDEX(DropdownLists!$E$2:$E$276,MATCH('Ingest Template'!D774,DropdownLists!$C$2:$C$276,0))</f>
        <v>#N/A</v>
      </c>
      <c r="I774" s="22"/>
      <c r="J774" s="22" t="str">
        <f t="array" ref="J774">iF('Ingest Template'!A774="Standard","Pristine Brand",INDEX(DropdownLists!$B$2:$B$246,MATCH('Ingest Template'!D774,DropdownLists!$C$2:$C$246,0)))</f>
        <v>#N/A</v>
      </c>
      <c r="K774" s="22" t="str">
        <f>iF('Ingest Template'!A774="Standard",'Ingest Template'!K774&amp;CHAR(10)&amp;'Ingest Template'!L774,"Competitive View")</f>
        <v>Competitive View</v>
      </c>
      <c r="L774" s="22" t="s">
        <v>95</v>
      </c>
      <c r="M774" s="45" t="str">
        <f>'Ingest Template'!B774</f>
        <v/>
      </c>
      <c r="N774" s="35"/>
      <c r="O774" s="35"/>
      <c r="P774" s="35"/>
      <c r="Q774" s="35"/>
      <c r="R774" s="35" t="str">
        <f>'Ingest Template'!D774</f>
        <v/>
      </c>
      <c r="S774" s="22" t="s">
        <v>101</v>
      </c>
      <c r="T774" s="35" t="str">
        <f>'Ingest Template'!V774</f>
        <v/>
      </c>
      <c r="U774" s="35" t="str">
        <f>'Ingest Template'!W774</f>
        <v/>
      </c>
      <c r="V774" s="35" t="str">
        <f>LOWER(SUBSTITUTE(SUBSTITUTE(SUBSTITUTE(SUBSTITUTE(SUBSTITUTE('Ingest Template'!X774,"https:",""),"www.",""),"/",""),"?hl=en",""),"instagram.com",""))</f>
        <v/>
      </c>
      <c r="W774" s="74" t="str">
        <f t="array" ref="W774">IF(
'Ingest Template'!Y774="",
SUBSTITUTE(
INDEX(DropdownLists!$F$2:$F$277,MATCH('Ingest Template'!D774,DropdownLists!$C$2:$C$277,0)),
CHAR(10),
"|"&amp;'Ingest Template'!C774&amp;CHAR(10)
)&amp;"|"&amp;'Ingest Template'!C774,
SUBSTITUTE(
INDEX(DropdownLists!$F$2:$F$277,MATCH('Ingest Template'!D774,DropdownLists!$C$2:$C$277,0)),
CHAR(10),
"|"&amp;'Ingest Template'!C774&amp;CHAR(10)
)&amp;"|"&amp;'Ingest Template'!C774&amp;CHAR(10)&amp;'Ingest Template'!Y774
)</f>
        <v>#N/A</v>
      </c>
      <c r="X774" s="74" t="str">
        <f>'Ingest Template'!Z774</f>
        <v/>
      </c>
      <c r="Y774" s="35" t="str">
        <f>SUBSTITUTE(SUBSTITUTE(SUBSTITUTE('Ingest Template'!AA774,"http:",""),"https:",""),"/","")</f>
        <v/>
      </c>
      <c r="Z774" s="35" t="str">
        <f t="array" ref="Z774">IF('Ingest Template'!A774="Standard",(IF(ISBLANK('Ingest Template'!AB774),"", 'Ingest Template'!AB774&amp;"|DAR")),(IF(ISBLANK('Ingest Template'!AB774),"", 'Ingest Template'!AB774&amp;"|TV Ops")))</f>
        <v/>
      </c>
      <c r="AA774" s="35"/>
      <c r="AB774" s="35" t="str">
        <f>'Ingest Template'!R774</f>
        <v/>
      </c>
      <c r="AC774" s="35" t="str">
        <f>'Ingest Template'!T774</f>
        <v/>
      </c>
      <c r="AD774" s="35" t="str">
        <f>'Ingest Template'!S774</f>
        <v/>
      </c>
      <c r="AE774" s="35" t="str">
        <f>'Ingest Template'!U774</f>
        <v/>
      </c>
      <c r="AF774" s="22"/>
      <c r="AG774" s="35" t="str">
        <f t="array" ref="AG774">IF('Ingest Template'!A774="Standard",(CONCATENATE(IF(ISBLANK('Ingest Template'!N774),"", 'Ingest Template'!N774&amp;"|DAR"),CHAR(10), IF(ISBLANK('Ingest Template'!O774),"", 'Ingest Template'!O774&amp;"|DAR"),CHAR(10), IF(ISBLANK('Ingest Template'!P774),"", 'Ingest Template'!P774&amp;"|DAR"))),(CONCATENATE(IF(ISBLANK('Ingest Template'!N774),"", 'Ingest Template'!N774&amp;"|TV Ops"),CHAR(10), IF(ISBLANK('Ingest Template'!O774),"", 'Ingest Template'!O774&amp;"|TV Ops"),CHAR(10), IF(ISBLANK('Ingest Template'!P774),"", 'Ingest Template'!P774&amp;"|TV Ops"))))</f>
        <v>
</v>
      </c>
      <c r="AH774" s="35"/>
      <c r="AI774" s="35"/>
      <c r="AJ774" s="117" t="str">
        <f>if('Ingest Template'!A774="Standard",(IF(OR('Ingest Template'!F774 = "Program Type - Special", 'Ingest Template'!F774 = "Program Type - Live Event"),'Ingest Template'!M774&amp; "|DAR|DAR|"&amp;TEXT('Ingest Template'!C774-3, "yyyy-mm-dd")&amp;"|"&amp;TEXT('Ingest Template'!C774+3, "yyyy-mm-dd"),'Ingest Template'!M774&amp; "|DAR|DAR|2021-01-01")),(IF(OR('Ingest Template'!F774 = "Program Type - Special", 'Ingest Template'!F774 = "Program Type - Live Event"),'Ingest Template'!M774&amp; "|Operations - Core Title|Operations - Core Title|"&amp;TEXT('Ingest Template'!C774-3, "yyyy-mm-dd")&amp;"|"&amp;TEXT('Ingest Template'!C774+3, "yyyy-mm-dd"),'Ingest Template'!M774&amp; "|Operations - Core Title|Operations - Core Title")))</f>
        <v>|Operations - Core Title|Operations - Core Title</v>
      </c>
      <c r="AK774" s="35"/>
      <c r="AL774" s="117" t="str">
        <f>if('Ingest Template'!A774="Standard",(IF(OR('Ingest Template'!F774 = "Program Type - Special", 'Ingest Template'!F774 = "Program Type - Live Event"),'Ingest Template'!Q774&amp;"|"&amp;TEXT('Ingest Template'!C774-3, "yyyy-mm-dd")&amp;"|"&amp;TEXT('Ingest Template'!C774+3, "yyyy-mm-dd"),'Ingest Template'!Q774&amp; "|2021-01-01")),(IF(OR('Ingest Template'!F774 = "Program Type - Special", 'Ingest Template'!F774 = "Program Type - Live Event"),'Ingest Template'!Q774&amp; "|"&amp;TEXT('Ingest Template'!C774-3, "yyyy-mm-dd")&amp;"|"&amp;TEXT('Ingest Template'!C774+3, "yyyy-mm-dd"),'Ingest Template'!Q774)))</f>
        <v/>
      </c>
      <c r="AM774" s="35" t="str">
        <f>'Ingest Template'!AC774</f>
        <v/>
      </c>
    </row>
    <row r="775">
      <c r="A775" s="15"/>
      <c r="B775" s="22" t="str">
        <f>'Ingest Template'!C775&amp;IF('Ingest Template'!A775 = "Standard", " - DAR","")</f>
        <v/>
      </c>
      <c r="C775" s="22" t="s">
        <v>83</v>
      </c>
      <c r="D775" s="22" t="str">
        <f t="array" ref="D775">CONCATENATE(INDEX(DropdownLists!$H$2:$H$11,MATCH(1,COUNTIF('Ingest Template'!E775,"*"&amp;DropdownLists!$I$2:$I$11&amp;"*"),0)),CHAR(10),'Ingest Template'!F775,CHAR(10),'Ingest Template'!G775,CHAR(10),VLOOKUP('Ingest Template'!D775,DropdownLists!C:D,2,FALSE))</f>
        <v>#N/A</v>
      </c>
      <c r="E775" s="22" t="str">
        <f>CONCATENATE('Ingest Template'!H775,CHAR(10),'Ingest Template'!I775,CHAR(10),'Ingest Template'!J775,CHAR(10))</f>
        <v>
</v>
      </c>
      <c r="F775" s="35" t="str">
        <f t="array" ref="F775">INDEX(DropdownLists!$O$2:$O$36,MATCH(1,COUNTIF(E775,"*"&amp;DropdownLists!$N$2:$N$36&amp;"*"),0))</f>
        <v/>
      </c>
      <c r="G775" s="35"/>
      <c r="H775" s="22" t="str">
        <f t="array" ref="H775">INDEX(DropdownLists!$E$2:$E$276,MATCH('Ingest Template'!D775,DropdownLists!$C$2:$C$276,0))</f>
        <v>#N/A</v>
      </c>
      <c r="I775" s="22"/>
      <c r="J775" s="22" t="str">
        <f t="array" ref="J775">iF('Ingest Template'!A775="Standard","Pristine Brand",INDEX(DropdownLists!$B$2:$B$246,MATCH('Ingest Template'!D775,DropdownLists!$C$2:$C$246,0)))</f>
        <v>#N/A</v>
      </c>
      <c r="K775" s="22" t="str">
        <f>iF('Ingest Template'!A775="Standard",'Ingest Template'!K775&amp;CHAR(10)&amp;'Ingest Template'!L775,"Competitive View")</f>
        <v>Competitive View</v>
      </c>
      <c r="L775" s="22" t="s">
        <v>95</v>
      </c>
      <c r="M775" s="45" t="str">
        <f>'Ingest Template'!B775</f>
        <v/>
      </c>
      <c r="N775" s="35"/>
      <c r="O775" s="35"/>
      <c r="P775" s="35"/>
      <c r="Q775" s="35"/>
      <c r="R775" s="35" t="str">
        <f>'Ingest Template'!D775</f>
        <v/>
      </c>
      <c r="S775" s="22" t="s">
        <v>101</v>
      </c>
      <c r="T775" s="35" t="str">
        <f>'Ingest Template'!V775</f>
        <v/>
      </c>
      <c r="U775" s="35" t="str">
        <f>'Ingest Template'!W775</f>
        <v/>
      </c>
      <c r="V775" s="35" t="str">
        <f>LOWER(SUBSTITUTE(SUBSTITUTE(SUBSTITUTE(SUBSTITUTE(SUBSTITUTE('Ingest Template'!X775,"https:",""),"www.",""),"/",""),"?hl=en",""),"instagram.com",""))</f>
        <v/>
      </c>
      <c r="W775" s="74" t="str">
        <f t="array" ref="W775">IF(
'Ingest Template'!Y775="",
SUBSTITUTE(
INDEX(DropdownLists!$F$2:$F$277,MATCH('Ingest Template'!D775,DropdownLists!$C$2:$C$277,0)),
CHAR(10),
"|"&amp;'Ingest Template'!C775&amp;CHAR(10)
)&amp;"|"&amp;'Ingest Template'!C775,
SUBSTITUTE(
INDEX(DropdownLists!$F$2:$F$277,MATCH('Ingest Template'!D775,DropdownLists!$C$2:$C$277,0)),
CHAR(10),
"|"&amp;'Ingest Template'!C775&amp;CHAR(10)
)&amp;"|"&amp;'Ingest Template'!C775&amp;CHAR(10)&amp;'Ingest Template'!Y775
)</f>
        <v>#N/A</v>
      </c>
      <c r="X775" s="74" t="str">
        <f>'Ingest Template'!Z775</f>
        <v/>
      </c>
      <c r="Y775" s="35" t="str">
        <f>SUBSTITUTE(SUBSTITUTE(SUBSTITUTE('Ingest Template'!AA775,"http:",""),"https:",""),"/","")</f>
        <v/>
      </c>
      <c r="Z775" s="35" t="str">
        <f t="array" ref="Z775">IF('Ingest Template'!A775="Standard",(IF(ISBLANK('Ingest Template'!AB775),"", 'Ingest Template'!AB775&amp;"|DAR")),(IF(ISBLANK('Ingest Template'!AB775),"", 'Ingest Template'!AB775&amp;"|TV Ops")))</f>
        <v/>
      </c>
      <c r="AA775" s="35"/>
      <c r="AB775" s="35" t="str">
        <f>'Ingest Template'!R775</f>
        <v/>
      </c>
      <c r="AC775" s="35" t="str">
        <f>'Ingest Template'!T775</f>
        <v/>
      </c>
      <c r="AD775" s="35" t="str">
        <f>'Ingest Template'!S775</f>
        <v/>
      </c>
      <c r="AE775" s="35" t="str">
        <f>'Ingest Template'!U775</f>
        <v/>
      </c>
      <c r="AF775" s="22"/>
      <c r="AG775" s="35" t="str">
        <f t="array" ref="AG775">IF('Ingest Template'!A775="Standard",(CONCATENATE(IF(ISBLANK('Ingest Template'!N775),"", 'Ingest Template'!N775&amp;"|DAR"),CHAR(10), IF(ISBLANK('Ingest Template'!O775),"", 'Ingest Template'!O775&amp;"|DAR"),CHAR(10), IF(ISBLANK('Ingest Template'!P775),"", 'Ingest Template'!P775&amp;"|DAR"))),(CONCATENATE(IF(ISBLANK('Ingest Template'!N775),"", 'Ingest Template'!N775&amp;"|TV Ops"),CHAR(10), IF(ISBLANK('Ingest Template'!O775),"", 'Ingest Template'!O775&amp;"|TV Ops"),CHAR(10), IF(ISBLANK('Ingest Template'!P775),"", 'Ingest Template'!P775&amp;"|TV Ops"))))</f>
        <v>
</v>
      </c>
      <c r="AH775" s="35"/>
      <c r="AI775" s="35"/>
      <c r="AJ775" s="117" t="str">
        <f>if('Ingest Template'!A775="Standard",(IF(OR('Ingest Template'!F775 = "Program Type - Special", 'Ingest Template'!F775 = "Program Type - Live Event"),'Ingest Template'!M775&amp; "|DAR|DAR|"&amp;TEXT('Ingest Template'!C775-3, "yyyy-mm-dd")&amp;"|"&amp;TEXT('Ingest Template'!C775+3, "yyyy-mm-dd"),'Ingest Template'!M775&amp; "|DAR|DAR|2021-01-01")),(IF(OR('Ingest Template'!F775 = "Program Type - Special", 'Ingest Template'!F775 = "Program Type - Live Event"),'Ingest Template'!M775&amp; "|Operations - Core Title|Operations - Core Title|"&amp;TEXT('Ingest Template'!C775-3, "yyyy-mm-dd")&amp;"|"&amp;TEXT('Ingest Template'!C775+3, "yyyy-mm-dd"),'Ingest Template'!M775&amp; "|Operations - Core Title|Operations - Core Title")))</f>
        <v>|Operations - Core Title|Operations - Core Title</v>
      </c>
      <c r="AK775" s="35"/>
      <c r="AL775" s="117" t="str">
        <f>if('Ingest Template'!A775="Standard",(IF(OR('Ingest Template'!F775 = "Program Type - Special", 'Ingest Template'!F775 = "Program Type - Live Event"),'Ingest Template'!Q775&amp;"|"&amp;TEXT('Ingest Template'!C775-3, "yyyy-mm-dd")&amp;"|"&amp;TEXT('Ingest Template'!C775+3, "yyyy-mm-dd"),'Ingest Template'!Q775&amp; "|2021-01-01")),(IF(OR('Ingest Template'!F775 = "Program Type - Special", 'Ingest Template'!F775 = "Program Type - Live Event"),'Ingest Template'!Q775&amp; "|"&amp;TEXT('Ingest Template'!C775-3, "yyyy-mm-dd")&amp;"|"&amp;TEXT('Ingest Template'!C775+3, "yyyy-mm-dd"),'Ingest Template'!Q775)))</f>
        <v/>
      </c>
      <c r="AM775" s="35" t="str">
        <f>'Ingest Template'!AC775</f>
        <v/>
      </c>
    </row>
    <row r="776">
      <c r="A776" s="15"/>
      <c r="B776" s="22" t="str">
        <f>'Ingest Template'!C776&amp;IF('Ingest Template'!A776 = "Standard", " - DAR","")</f>
        <v/>
      </c>
      <c r="C776" s="22" t="s">
        <v>83</v>
      </c>
      <c r="D776" s="22" t="str">
        <f t="array" ref="D776">CONCATENATE(INDEX(DropdownLists!$H$2:$H$11,MATCH(1,COUNTIF('Ingest Template'!E776,"*"&amp;DropdownLists!$I$2:$I$11&amp;"*"),0)),CHAR(10),'Ingest Template'!F776,CHAR(10),'Ingest Template'!G776,CHAR(10),VLOOKUP('Ingest Template'!D776,DropdownLists!C:D,2,FALSE))</f>
        <v>#N/A</v>
      </c>
      <c r="E776" s="22" t="str">
        <f>CONCATENATE('Ingest Template'!H776,CHAR(10),'Ingest Template'!I776,CHAR(10),'Ingest Template'!J776,CHAR(10))</f>
        <v>
</v>
      </c>
      <c r="F776" s="35" t="str">
        <f t="array" ref="F776">INDEX(DropdownLists!$O$2:$O$36,MATCH(1,COUNTIF(E776,"*"&amp;DropdownLists!$N$2:$N$36&amp;"*"),0))</f>
        <v/>
      </c>
      <c r="G776" s="35"/>
      <c r="H776" s="22" t="str">
        <f t="array" ref="H776">INDEX(DropdownLists!$E$2:$E$276,MATCH('Ingest Template'!D776,DropdownLists!$C$2:$C$276,0))</f>
        <v>#N/A</v>
      </c>
      <c r="I776" s="22"/>
      <c r="J776" s="22" t="str">
        <f t="array" ref="J776">iF('Ingest Template'!A776="Standard","Pristine Brand",INDEX(DropdownLists!$B$2:$B$246,MATCH('Ingest Template'!D776,DropdownLists!$C$2:$C$246,0)))</f>
        <v>#N/A</v>
      </c>
      <c r="K776" s="22" t="str">
        <f>iF('Ingest Template'!A776="Standard",'Ingest Template'!K776&amp;CHAR(10)&amp;'Ingest Template'!L776,"Competitive View")</f>
        <v>Competitive View</v>
      </c>
      <c r="L776" s="22" t="s">
        <v>95</v>
      </c>
      <c r="M776" s="45" t="str">
        <f>'Ingest Template'!B776</f>
        <v/>
      </c>
      <c r="N776" s="35"/>
      <c r="O776" s="35"/>
      <c r="P776" s="35"/>
      <c r="Q776" s="35"/>
      <c r="R776" s="35" t="str">
        <f>'Ingest Template'!D776</f>
        <v/>
      </c>
      <c r="S776" s="22" t="s">
        <v>101</v>
      </c>
      <c r="T776" s="35" t="str">
        <f>'Ingest Template'!V776</f>
        <v/>
      </c>
      <c r="U776" s="35" t="str">
        <f>'Ingest Template'!W776</f>
        <v/>
      </c>
      <c r="V776" s="35" t="str">
        <f>LOWER(SUBSTITUTE(SUBSTITUTE(SUBSTITUTE(SUBSTITUTE(SUBSTITUTE('Ingest Template'!X776,"https:",""),"www.",""),"/",""),"?hl=en",""),"instagram.com",""))</f>
        <v/>
      </c>
      <c r="W776" s="74" t="str">
        <f t="array" ref="W776">IF(
'Ingest Template'!Y776="",
SUBSTITUTE(
INDEX(DropdownLists!$F$2:$F$277,MATCH('Ingest Template'!D776,DropdownLists!$C$2:$C$277,0)),
CHAR(10),
"|"&amp;'Ingest Template'!C776&amp;CHAR(10)
)&amp;"|"&amp;'Ingest Template'!C776,
SUBSTITUTE(
INDEX(DropdownLists!$F$2:$F$277,MATCH('Ingest Template'!D776,DropdownLists!$C$2:$C$277,0)),
CHAR(10),
"|"&amp;'Ingest Template'!C776&amp;CHAR(10)
)&amp;"|"&amp;'Ingest Template'!C776&amp;CHAR(10)&amp;'Ingest Template'!Y776
)</f>
        <v>#N/A</v>
      </c>
      <c r="X776" s="74" t="str">
        <f>'Ingest Template'!Z776</f>
        <v/>
      </c>
      <c r="Y776" s="35" t="str">
        <f>SUBSTITUTE(SUBSTITUTE(SUBSTITUTE('Ingest Template'!AA776,"http:",""),"https:",""),"/","")</f>
        <v/>
      </c>
      <c r="Z776" s="35" t="str">
        <f t="array" ref="Z776">IF('Ingest Template'!A776="Standard",(IF(ISBLANK('Ingest Template'!AB776),"", 'Ingest Template'!AB776&amp;"|DAR")),(IF(ISBLANK('Ingest Template'!AB776),"", 'Ingest Template'!AB776&amp;"|TV Ops")))</f>
        <v/>
      </c>
      <c r="AA776" s="35"/>
      <c r="AB776" s="35" t="str">
        <f>'Ingest Template'!R776</f>
        <v/>
      </c>
      <c r="AC776" s="35" t="str">
        <f>'Ingest Template'!T776</f>
        <v/>
      </c>
      <c r="AD776" s="35" t="str">
        <f>'Ingest Template'!S776</f>
        <v/>
      </c>
      <c r="AE776" s="35" t="str">
        <f>'Ingest Template'!U776</f>
        <v/>
      </c>
      <c r="AF776" s="22"/>
      <c r="AG776" s="35" t="str">
        <f t="array" ref="AG776">IF('Ingest Template'!A776="Standard",(CONCATENATE(IF(ISBLANK('Ingest Template'!N776),"", 'Ingest Template'!N776&amp;"|DAR"),CHAR(10), IF(ISBLANK('Ingest Template'!O776),"", 'Ingest Template'!O776&amp;"|DAR"),CHAR(10), IF(ISBLANK('Ingest Template'!P776),"", 'Ingest Template'!P776&amp;"|DAR"))),(CONCATENATE(IF(ISBLANK('Ingest Template'!N776),"", 'Ingest Template'!N776&amp;"|TV Ops"),CHAR(10), IF(ISBLANK('Ingest Template'!O776),"", 'Ingest Template'!O776&amp;"|TV Ops"),CHAR(10), IF(ISBLANK('Ingest Template'!P776),"", 'Ingest Template'!P776&amp;"|TV Ops"))))</f>
        <v>
</v>
      </c>
      <c r="AH776" s="35"/>
      <c r="AI776" s="35"/>
      <c r="AJ776" s="117" t="str">
        <f>if('Ingest Template'!A776="Standard",(IF(OR('Ingest Template'!F776 = "Program Type - Special", 'Ingest Template'!F776 = "Program Type - Live Event"),'Ingest Template'!M776&amp; "|DAR|DAR|"&amp;TEXT('Ingest Template'!C776-3, "yyyy-mm-dd")&amp;"|"&amp;TEXT('Ingest Template'!C776+3, "yyyy-mm-dd"),'Ingest Template'!M776&amp; "|DAR|DAR|2021-01-01")),(IF(OR('Ingest Template'!F776 = "Program Type - Special", 'Ingest Template'!F776 = "Program Type - Live Event"),'Ingest Template'!M776&amp; "|Operations - Core Title|Operations - Core Title|"&amp;TEXT('Ingest Template'!C776-3, "yyyy-mm-dd")&amp;"|"&amp;TEXT('Ingest Template'!C776+3, "yyyy-mm-dd"),'Ingest Template'!M776&amp; "|Operations - Core Title|Operations - Core Title")))</f>
        <v>|Operations - Core Title|Operations - Core Title</v>
      </c>
      <c r="AK776" s="35"/>
      <c r="AL776" s="117" t="str">
        <f>if('Ingest Template'!A776="Standard",(IF(OR('Ingest Template'!F776 = "Program Type - Special", 'Ingest Template'!F776 = "Program Type - Live Event"),'Ingest Template'!Q776&amp;"|"&amp;TEXT('Ingest Template'!C776-3, "yyyy-mm-dd")&amp;"|"&amp;TEXT('Ingest Template'!C776+3, "yyyy-mm-dd"),'Ingest Template'!Q776&amp; "|2021-01-01")),(IF(OR('Ingest Template'!F776 = "Program Type - Special", 'Ingest Template'!F776 = "Program Type - Live Event"),'Ingest Template'!Q776&amp; "|"&amp;TEXT('Ingest Template'!C776-3, "yyyy-mm-dd")&amp;"|"&amp;TEXT('Ingest Template'!C776+3, "yyyy-mm-dd"),'Ingest Template'!Q776)))</f>
        <v/>
      </c>
      <c r="AM776" s="35" t="str">
        <f>'Ingest Template'!AC776</f>
        <v/>
      </c>
    </row>
    <row r="777">
      <c r="A777" s="15"/>
      <c r="B777" s="22" t="str">
        <f>'Ingest Template'!C777&amp;IF('Ingest Template'!A777 = "Standard", " - DAR","")</f>
        <v/>
      </c>
      <c r="C777" s="22" t="s">
        <v>83</v>
      </c>
      <c r="D777" s="22" t="str">
        <f t="array" ref="D777">CONCATENATE(INDEX(DropdownLists!$H$2:$H$11,MATCH(1,COUNTIF('Ingest Template'!E777,"*"&amp;DropdownLists!$I$2:$I$11&amp;"*"),0)),CHAR(10),'Ingest Template'!F777,CHAR(10),'Ingest Template'!G777,CHAR(10),VLOOKUP('Ingest Template'!D777,DropdownLists!C:D,2,FALSE))</f>
        <v>#N/A</v>
      </c>
      <c r="E777" s="22" t="str">
        <f>CONCATENATE('Ingest Template'!H777,CHAR(10),'Ingest Template'!I777,CHAR(10),'Ingest Template'!J777,CHAR(10))</f>
        <v>
</v>
      </c>
      <c r="F777" s="35" t="str">
        <f t="array" ref="F777">INDEX(DropdownLists!$O$2:$O$36,MATCH(1,COUNTIF(E777,"*"&amp;DropdownLists!$N$2:$N$36&amp;"*"),0))</f>
        <v/>
      </c>
      <c r="G777" s="35"/>
      <c r="H777" s="22" t="str">
        <f t="array" ref="H777">INDEX(DropdownLists!$E$2:$E$276,MATCH('Ingest Template'!D777,DropdownLists!$C$2:$C$276,0))</f>
        <v>#N/A</v>
      </c>
      <c r="I777" s="22"/>
      <c r="J777" s="22" t="str">
        <f t="array" ref="J777">iF('Ingest Template'!A777="Standard","Pristine Brand",INDEX(DropdownLists!$B$2:$B$246,MATCH('Ingest Template'!D777,DropdownLists!$C$2:$C$246,0)))</f>
        <v>#N/A</v>
      </c>
      <c r="K777" s="22" t="str">
        <f>iF('Ingest Template'!A777="Standard",'Ingest Template'!K777&amp;CHAR(10)&amp;'Ingest Template'!L777,"Competitive View")</f>
        <v>Competitive View</v>
      </c>
      <c r="L777" s="22" t="s">
        <v>95</v>
      </c>
      <c r="M777" s="45" t="str">
        <f>'Ingest Template'!B777</f>
        <v/>
      </c>
      <c r="N777" s="35"/>
      <c r="O777" s="35"/>
      <c r="P777" s="35"/>
      <c r="Q777" s="35"/>
      <c r="R777" s="35" t="str">
        <f>'Ingest Template'!D777</f>
        <v/>
      </c>
      <c r="S777" s="22" t="s">
        <v>101</v>
      </c>
      <c r="T777" s="35" t="str">
        <f>'Ingest Template'!V777</f>
        <v/>
      </c>
      <c r="U777" s="35" t="str">
        <f>'Ingest Template'!W777</f>
        <v/>
      </c>
      <c r="V777" s="35" t="str">
        <f>LOWER(SUBSTITUTE(SUBSTITUTE(SUBSTITUTE(SUBSTITUTE(SUBSTITUTE('Ingest Template'!X777,"https:",""),"www.",""),"/",""),"?hl=en",""),"instagram.com",""))</f>
        <v/>
      </c>
      <c r="W777" s="74" t="str">
        <f t="array" ref="W777">IF(
'Ingest Template'!Y777="",
SUBSTITUTE(
INDEX(DropdownLists!$F$2:$F$277,MATCH('Ingest Template'!D777,DropdownLists!$C$2:$C$277,0)),
CHAR(10),
"|"&amp;'Ingest Template'!C777&amp;CHAR(10)
)&amp;"|"&amp;'Ingest Template'!C777,
SUBSTITUTE(
INDEX(DropdownLists!$F$2:$F$277,MATCH('Ingest Template'!D777,DropdownLists!$C$2:$C$277,0)),
CHAR(10),
"|"&amp;'Ingest Template'!C777&amp;CHAR(10)
)&amp;"|"&amp;'Ingest Template'!C777&amp;CHAR(10)&amp;'Ingest Template'!Y777
)</f>
        <v>#N/A</v>
      </c>
      <c r="X777" s="74" t="str">
        <f>'Ingest Template'!Z777</f>
        <v/>
      </c>
      <c r="Y777" s="35" t="str">
        <f>SUBSTITUTE(SUBSTITUTE(SUBSTITUTE('Ingest Template'!AA777,"http:",""),"https:",""),"/","")</f>
        <v/>
      </c>
      <c r="Z777" s="35" t="str">
        <f t="array" ref="Z777">IF('Ingest Template'!A777="Standard",(IF(ISBLANK('Ingest Template'!AB777),"", 'Ingest Template'!AB777&amp;"|DAR")),(IF(ISBLANK('Ingest Template'!AB777),"", 'Ingest Template'!AB777&amp;"|TV Ops")))</f>
        <v/>
      </c>
      <c r="AA777" s="35"/>
      <c r="AB777" s="35" t="str">
        <f>'Ingest Template'!R777</f>
        <v/>
      </c>
      <c r="AC777" s="35" t="str">
        <f>'Ingest Template'!T777</f>
        <v/>
      </c>
      <c r="AD777" s="35" t="str">
        <f>'Ingest Template'!S777</f>
        <v/>
      </c>
      <c r="AE777" s="35" t="str">
        <f>'Ingest Template'!U777</f>
        <v/>
      </c>
      <c r="AF777" s="22"/>
      <c r="AG777" s="35" t="str">
        <f t="array" ref="AG777">IF('Ingest Template'!A777="Standard",(CONCATENATE(IF(ISBLANK('Ingest Template'!N777),"", 'Ingest Template'!N777&amp;"|DAR"),CHAR(10), IF(ISBLANK('Ingest Template'!O777),"", 'Ingest Template'!O777&amp;"|DAR"),CHAR(10), IF(ISBLANK('Ingest Template'!P777),"", 'Ingest Template'!P777&amp;"|DAR"))),(CONCATENATE(IF(ISBLANK('Ingest Template'!N777),"", 'Ingest Template'!N777&amp;"|TV Ops"),CHAR(10), IF(ISBLANK('Ingest Template'!O777),"", 'Ingest Template'!O777&amp;"|TV Ops"),CHAR(10), IF(ISBLANK('Ingest Template'!P777),"", 'Ingest Template'!P777&amp;"|TV Ops"))))</f>
        <v>
</v>
      </c>
      <c r="AH777" s="35"/>
      <c r="AI777" s="35"/>
      <c r="AJ777" s="117" t="str">
        <f>if('Ingest Template'!A777="Standard",(IF(OR('Ingest Template'!F777 = "Program Type - Special", 'Ingest Template'!F777 = "Program Type - Live Event"),'Ingest Template'!M777&amp; "|DAR|DAR|"&amp;TEXT('Ingest Template'!C777-3, "yyyy-mm-dd")&amp;"|"&amp;TEXT('Ingest Template'!C777+3, "yyyy-mm-dd"),'Ingest Template'!M777&amp; "|DAR|DAR|2021-01-01")),(IF(OR('Ingest Template'!F777 = "Program Type - Special", 'Ingest Template'!F777 = "Program Type - Live Event"),'Ingest Template'!M777&amp; "|Operations - Core Title|Operations - Core Title|"&amp;TEXT('Ingest Template'!C777-3, "yyyy-mm-dd")&amp;"|"&amp;TEXT('Ingest Template'!C777+3, "yyyy-mm-dd"),'Ingest Template'!M777&amp; "|Operations - Core Title|Operations - Core Title")))</f>
        <v>|Operations - Core Title|Operations - Core Title</v>
      </c>
      <c r="AK777" s="35"/>
      <c r="AL777" s="117" t="str">
        <f>if('Ingest Template'!A777="Standard",(IF(OR('Ingest Template'!F777 = "Program Type - Special", 'Ingest Template'!F777 = "Program Type - Live Event"),'Ingest Template'!Q777&amp;"|"&amp;TEXT('Ingest Template'!C777-3, "yyyy-mm-dd")&amp;"|"&amp;TEXT('Ingest Template'!C777+3, "yyyy-mm-dd"),'Ingest Template'!Q777&amp; "|2021-01-01")),(IF(OR('Ingest Template'!F777 = "Program Type - Special", 'Ingest Template'!F777 = "Program Type - Live Event"),'Ingest Template'!Q777&amp; "|"&amp;TEXT('Ingest Template'!C777-3, "yyyy-mm-dd")&amp;"|"&amp;TEXT('Ingest Template'!C777+3, "yyyy-mm-dd"),'Ingest Template'!Q777)))</f>
        <v/>
      </c>
      <c r="AM777" s="35" t="str">
        <f>'Ingest Template'!AC777</f>
        <v/>
      </c>
    </row>
    <row r="778">
      <c r="A778" s="15"/>
      <c r="B778" s="22" t="str">
        <f>'Ingest Template'!C778&amp;IF('Ingest Template'!A778 = "Standard", " - DAR","")</f>
        <v/>
      </c>
      <c r="C778" s="22" t="s">
        <v>83</v>
      </c>
      <c r="D778" s="22" t="str">
        <f t="array" ref="D778">CONCATENATE(INDEX(DropdownLists!$H$2:$H$11,MATCH(1,COUNTIF('Ingest Template'!E778,"*"&amp;DropdownLists!$I$2:$I$11&amp;"*"),0)),CHAR(10),'Ingest Template'!F778,CHAR(10),'Ingest Template'!G778,CHAR(10),VLOOKUP('Ingest Template'!D778,DropdownLists!C:D,2,FALSE))</f>
        <v>#N/A</v>
      </c>
      <c r="E778" s="22" t="str">
        <f>CONCATENATE('Ingest Template'!H778,CHAR(10),'Ingest Template'!I778,CHAR(10),'Ingest Template'!J778,CHAR(10))</f>
        <v>
</v>
      </c>
      <c r="F778" s="35" t="str">
        <f t="array" ref="F778">INDEX(DropdownLists!$O$2:$O$36,MATCH(1,COUNTIF(E778,"*"&amp;DropdownLists!$N$2:$N$36&amp;"*"),0))</f>
        <v/>
      </c>
      <c r="G778" s="35"/>
      <c r="H778" s="22" t="str">
        <f t="array" ref="H778">INDEX(DropdownLists!$E$2:$E$276,MATCH('Ingest Template'!D778,DropdownLists!$C$2:$C$276,0))</f>
        <v>#N/A</v>
      </c>
      <c r="I778" s="22"/>
      <c r="J778" s="22" t="str">
        <f t="array" ref="J778">iF('Ingest Template'!A778="Standard","Pristine Brand",INDEX(DropdownLists!$B$2:$B$246,MATCH('Ingest Template'!D778,DropdownLists!$C$2:$C$246,0)))</f>
        <v>#N/A</v>
      </c>
      <c r="K778" s="22" t="str">
        <f>iF('Ingest Template'!A778="Standard",'Ingest Template'!K778&amp;CHAR(10)&amp;'Ingest Template'!L778,"Competitive View")</f>
        <v>Competitive View</v>
      </c>
      <c r="L778" s="22" t="s">
        <v>95</v>
      </c>
      <c r="M778" s="45" t="str">
        <f>'Ingest Template'!B778</f>
        <v/>
      </c>
      <c r="N778" s="35"/>
      <c r="O778" s="35"/>
      <c r="P778" s="35"/>
      <c r="Q778" s="35"/>
      <c r="R778" s="35" t="str">
        <f>'Ingest Template'!D778</f>
        <v/>
      </c>
      <c r="S778" s="22" t="s">
        <v>101</v>
      </c>
      <c r="T778" s="35" t="str">
        <f>'Ingest Template'!V778</f>
        <v/>
      </c>
      <c r="U778" s="35" t="str">
        <f>'Ingest Template'!W778</f>
        <v/>
      </c>
      <c r="V778" s="35" t="str">
        <f>LOWER(SUBSTITUTE(SUBSTITUTE(SUBSTITUTE(SUBSTITUTE(SUBSTITUTE('Ingest Template'!X778,"https:",""),"www.",""),"/",""),"?hl=en",""),"instagram.com",""))</f>
        <v/>
      </c>
      <c r="W778" s="74" t="str">
        <f t="array" ref="W778">IF(
'Ingest Template'!Y778="",
SUBSTITUTE(
INDEX(DropdownLists!$F$2:$F$277,MATCH('Ingest Template'!D778,DropdownLists!$C$2:$C$277,0)),
CHAR(10),
"|"&amp;'Ingest Template'!C778&amp;CHAR(10)
)&amp;"|"&amp;'Ingest Template'!C778,
SUBSTITUTE(
INDEX(DropdownLists!$F$2:$F$277,MATCH('Ingest Template'!D778,DropdownLists!$C$2:$C$277,0)),
CHAR(10),
"|"&amp;'Ingest Template'!C778&amp;CHAR(10)
)&amp;"|"&amp;'Ingest Template'!C778&amp;CHAR(10)&amp;'Ingest Template'!Y778
)</f>
        <v>#N/A</v>
      </c>
      <c r="X778" s="74" t="str">
        <f>'Ingest Template'!Z778</f>
        <v/>
      </c>
      <c r="Y778" s="35" t="str">
        <f>SUBSTITUTE(SUBSTITUTE(SUBSTITUTE('Ingest Template'!AA778,"http:",""),"https:",""),"/","")</f>
        <v/>
      </c>
      <c r="Z778" s="35" t="str">
        <f t="array" ref="Z778">IF('Ingest Template'!A778="Standard",(IF(ISBLANK('Ingest Template'!AB778),"", 'Ingest Template'!AB778&amp;"|DAR")),(IF(ISBLANK('Ingest Template'!AB778),"", 'Ingest Template'!AB778&amp;"|TV Ops")))</f>
        <v/>
      </c>
      <c r="AA778" s="35"/>
      <c r="AB778" s="35" t="str">
        <f>'Ingest Template'!R778</f>
        <v/>
      </c>
      <c r="AC778" s="35" t="str">
        <f>'Ingest Template'!T778</f>
        <v/>
      </c>
      <c r="AD778" s="35" t="str">
        <f>'Ingest Template'!S778</f>
        <v/>
      </c>
      <c r="AE778" s="35" t="str">
        <f>'Ingest Template'!U778</f>
        <v/>
      </c>
      <c r="AF778" s="22"/>
      <c r="AG778" s="35" t="str">
        <f t="array" ref="AG778">IF('Ingest Template'!A778="Standard",(CONCATENATE(IF(ISBLANK('Ingest Template'!N778),"", 'Ingest Template'!N778&amp;"|DAR"),CHAR(10), IF(ISBLANK('Ingest Template'!O778),"", 'Ingest Template'!O778&amp;"|DAR"),CHAR(10), IF(ISBLANK('Ingest Template'!P778),"", 'Ingest Template'!P778&amp;"|DAR"))),(CONCATENATE(IF(ISBLANK('Ingest Template'!N778),"", 'Ingest Template'!N778&amp;"|TV Ops"),CHAR(10), IF(ISBLANK('Ingest Template'!O778),"", 'Ingest Template'!O778&amp;"|TV Ops"),CHAR(10), IF(ISBLANK('Ingest Template'!P778),"", 'Ingest Template'!P778&amp;"|TV Ops"))))</f>
        <v>
</v>
      </c>
      <c r="AH778" s="35"/>
      <c r="AI778" s="35"/>
      <c r="AJ778" s="117" t="str">
        <f>if('Ingest Template'!A778="Standard",(IF(OR('Ingest Template'!F778 = "Program Type - Special", 'Ingest Template'!F778 = "Program Type - Live Event"),'Ingest Template'!M778&amp; "|DAR|DAR|"&amp;TEXT('Ingest Template'!C778-3, "yyyy-mm-dd")&amp;"|"&amp;TEXT('Ingest Template'!C778+3, "yyyy-mm-dd"),'Ingest Template'!M778&amp; "|DAR|DAR|2021-01-01")),(IF(OR('Ingest Template'!F778 = "Program Type - Special", 'Ingest Template'!F778 = "Program Type - Live Event"),'Ingest Template'!M778&amp; "|Operations - Core Title|Operations - Core Title|"&amp;TEXT('Ingest Template'!C778-3, "yyyy-mm-dd")&amp;"|"&amp;TEXT('Ingest Template'!C778+3, "yyyy-mm-dd"),'Ingest Template'!M778&amp; "|Operations - Core Title|Operations - Core Title")))</f>
        <v>|Operations - Core Title|Operations - Core Title</v>
      </c>
      <c r="AK778" s="35"/>
      <c r="AL778" s="117" t="str">
        <f>if('Ingest Template'!A778="Standard",(IF(OR('Ingest Template'!F778 = "Program Type - Special", 'Ingest Template'!F778 = "Program Type - Live Event"),'Ingest Template'!Q778&amp;"|"&amp;TEXT('Ingest Template'!C778-3, "yyyy-mm-dd")&amp;"|"&amp;TEXT('Ingest Template'!C778+3, "yyyy-mm-dd"),'Ingest Template'!Q778&amp; "|2021-01-01")),(IF(OR('Ingest Template'!F778 = "Program Type - Special", 'Ingest Template'!F778 = "Program Type - Live Event"),'Ingest Template'!Q778&amp; "|"&amp;TEXT('Ingest Template'!C778-3, "yyyy-mm-dd")&amp;"|"&amp;TEXT('Ingest Template'!C778+3, "yyyy-mm-dd"),'Ingest Template'!Q778)))</f>
        <v/>
      </c>
      <c r="AM778" s="35" t="str">
        <f>'Ingest Template'!AC778</f>
        <v/>
      </c>
    </row>
    <row r="779">
      <c r="A779" s="15"/>
      <c r="B779" s="22" t="str">
        <f>'Ingest Template'!C779&amp;IF('Ingest Template'!A779 = "Standard", " - DAR","")</f>
        <v/>
      </c>
      <c r="C779" s="22" t="s">
        <v>83</v>
      </c>
      <c r="D779" s="22" t="str">
        <f t="array" ref="D779">CONCATENATE(INDEX(DropdownLists!$H$2:$H$11,MATCH(1,COUNTIF('Ingest Template'!E779,"*"&amp;DropdownLists!$I$2:$I$11&amp;"*"),0)),CHAR(10),'Ingest Template'!F779,CHAR(10),'Ingest Template'!G779,CHAR(10),VLOOKUP('Ingest Template'!D779,DropdownLists!C:D,2,FALSE))</f>
        <v>#N/A</v>
      </c>
      <c r="E779" s="22" t="str">
        <f>CONCATENATE('Ingest Template'!H779,CHAR(10),'Ingest Template'!I779,CHAR(10),'Ingest Template'!J779,CHAR(10))</f>
        <v>
</v>
      </c>
      <c r="F779" s="35" t="str">
        <f t="array" ref="F779">INDEX(DropdownLists!$O$2:$O$36,MATCH(1,COUNTIF(E779,"*"&amp;DropdownLists!$N$2:$N$36&amp;"*"),0))</f>
        <v/>
      </c>
      <c r="G779" s="35"/>
      <c r="H779" s="22" t="str">
        <f t="array" ref="H779">INDEX(DropdownLists!$E$2:$E$276,MATCH('Ingest Template'!D779,DropdownLists!$C$2:$C$276,0))</f>
        <v>#N/A</v>
      </c>
      <c r="I779" s="22"/>
      <c r="J779" s="22" t="str">
        <f t="array" ref="J779">iF('Ingest Template'!A779="Standard","Pristine Brand",INDEX(DropdownLists!$B$2:$B$246,MATCH('Ingest Template'!D779,DropdownLists!$C$2:$C$246,0)))</f>
        <v>#N/A</v>
      </c>
      <c r="K779" s="22" t="str">
        <f>iF('Ingest Template'!A779="Standard",'Ingest Template'!K779&amp;CHAR(10)&amp;'Ingest Template'!L779,"Competitive View")</f>
        <v>Competitive View</v>
      </c>
      <c r="L779" s="22" t="s">
        <v>95</v>
      </c>
      <c r="M779" s="45" t="str">
        <f>'Ingest Template'!B779</f>
        <v/>
      </c>
      <c r="N779" s="35"/>
      <c r="O779" s="35"/>
      <c r="P779" s="35"/>
      <c r="Q779" s="35"/>
      <c r="R779" s="35" t="str">
        <f>'Ingest Template'!D779</f>
        <v/>
      </c>
      <c r="S779" s="22" t="s">
        <v>101</v>
      </c>
      <c r="T779" s="35" t="str">
        <f>'Ingest Template'!V779</f>
        <v/>
      </c>
      <c r="U779" s="35" t="str">
        <f>'Ingest Template'!W779</f>
        <v/>
      </c>
      <c r="V779" s="35" t="str">
        <f>LOWER(SUBSTITUTE(SUBSTITUTE(SUBSTITUTE(SUBSTITUTE(SUBSTITUTE('Ingest Template'!X779,"https:",""),"www.",""),"/",""),"?hl=en",""),"instagram.com",""))</f>
        <v/>
      </c>
      <c r="W779" s="74" t="str">
        <f t="array" ref="W779">IF(
'Ingest Template'!Y779="",
SUBSTITUTE(
INDEX(DropdownLists!$F$2:$F$277,MATCH('Ingest Template'!D779,DropdownLists!$C$2:$C$277,0)),
CHAR(10),
"|"&amp;'Ingest Template'!C779&amp;CHAR(10)
)&amp;"|"&amp;'Ingest Template'!C779,
SUBSTITUTE(
INDEX(DropdownLists!$F$2:$F$277,MATCH('Ingest Template'!D779,DropdownLists!$C$2:$C$277,0)),
CHAR(10),
"|"&amp;'Ingest Template'!C779&amp;CHAR(10)
)&amp;"|"&amp;'Ingest Template'!C779&amp;CHAR(10)&amp;'Ingest Template'!Y779
)</f>
        <v>#N/A</v>
      </c>
      <c r="X779" s="74" t="str">
        <f>'Ingest Template'!Z779</f>
        <v/>
      </c>
      <c r="Y779" s="35" t="str">
        <f>SUBSTITUTE(SUBSTITUTE(SUBSTITUTE('Ingest Template'!AA779,"http:",""),"https:",""),"/","")</f>
        <v/>
      </c>
      <c r="Z779" s="35" t="str">
        <f t="array" ref="Z779">IF('Ingest Template'!A779="Standard",(IF(ISBLANK('Ingest Template'!AB779),"", 'Ingest Template'!AB779&amp;"|DAR")),(IF(ISBLANK('Ingest Template'!AB779),"", 'Ingest Template'!AB779&amp;"|TV Ops")))</f>
        <v/>
      </c>
      <c r="AA779" s="35"/>
      <c r="AB779" s="35" t="str">
        <f>'Ingest Template'!R779</f>
        <v/>
      </c>
      <c r="AC779" s="35" t="str">
        <f>'Ingest Template'!T779</f>
        <v/>
      </c>
      <c r="AD779" s="35" t="str">
        <f>'Ingest Template'!S779</f>
        <v/>
      </c>
      <c r="AE779" s="35" t="str">
        <f>'Ingest Template'!U779</f>
        <v/>
      </c>
      <c r="AF779" s="22"/>
      <c r="AG779" s="35" t="str">
        <f t="array" ref="AG779">IF('Ingest Template'!A779="Standard",(CONCATENATE(IF(ISBLANK('Ingest Template'!N779),"", 'Ingest Template'!N779&amp;"|DAR"),CHAR(10), IF(ISBLANK('Ingest Template'!O779),"", 'Ingest Template'!O779&amp;"|DAR"),CHAR(10), IF(ISBLANK('Ingest Template'!P779),"", 'Ingest Template'!P779&amp;"|DAR"))),(CONCATENATE(IF(ISBLANK('Ingest Template'!N779),"", 'Ingest Template'!N779&amp;"|TV Ops"),CHAR(10), IF(ISBLANK('Ingest Template'!O779),"", 'Ingest Template'!O779&amp;"|TV Ops"),CHAR(10), IF(ISBLANK('Ingest Template'!P779),"", 'Ingest Template'!P779&amp;"|TV Ops"))))</f>
        <v>
</v>
      </c>
      <c r="AH779" s="35"/>
      <c r="AI779" s="35"/>
      <c r="AJ779" s="117" t="str">
        <f>if('Ingest Template'!A779="Standard",(IF(OR('Ingest Template'!F779 = "Program Type - Special", 'Ingest Template'!F779 = "Program Type - Live Event"),'Ingest Template'!M779&amp; "|DAR|DAR|"&amp;TEXT('Ingest Template'!C779-3, "yyyy-mm-dd")&amp;"|"&amp;TEXT('Ingest Template'!C779+3, "yyyy-mm-dd"),'Ingest Template'!M779&amp; "|DAR|DAR|2021-01-01")),(IF(OR('Ingest Template'!F779 = "Program Type - Special", 'Ingest Template'!F779 = "Program Type - Live Event"),'Ingest Template'!M779&amp; "|Operations - Core Title|Operations - Core Title|"&amp;TEXT('Ingest Template'!C779-3, "yyyy-mm-dd")&amp;"|"&amp;TEXT('Ingest Template'!C779+3, "yyyy-mm-dd"),'Ingest Template'!M779&amp; "|Operations - Core Title|Operations - Core Title")))</f>
        <v>|Operations - Core Title|Operations - Core Title</v>
      </c>
      <c r="AK779" s="35"/>
      <c r="AL779" s="117" t="str">
        <f>if('Ingest Template'!A779="Standard",(IF(OR('Ingest Template'!F779 = "Program Type - Special", 'Ingest Template'!F779 = "Program Type - Live Event"),'Ingest Template'!Q779&amp;"|"&amp;TEXT('Ingest Template'!C779-3, "yyyy-mm-dd")&amp;"|"&amp;TEXT('Ingest Template'!C779+3, "yyyy-mm-dd"),'Ingest Template'!Q779&amp; "|2021-01-01")),(IF(OR('Ingest Template'!F779 = "Program Type - Special", 'Ingest Template'!F779 = "Program Type - Live Event"),'Ingest Template'!Q779&amp; "|"&amp;TEXT('Ingest Template'!C779-3, "yyyy-mm-dd")&amp;"|"&amp;TEXT('Ingest Template'!C779+3, "yyyy-mm-dd"),'Ingest Template'!Q779)))</f>
        <v/>
      </c>
      <c r="AM779" s="35" t="str">
        <f>'Ingest Template'!AC779</f>
        <v/>
      </c>
    </row>
    <row r="780">
      <c r="A780" s="15"/>
      <c r="B780" s="22" t="str">
        <f>'Ingest Template'!C780&amp;IF('Ingest Template'!A780 = "Standard", " - DAR","")</f>
        <v/>
      </c>
      <c r="C780" s="22" t="s">
        <v>83</v>
      </c>
      <c r="D780" s="22" t="str">
        <f t="array" ref="D780">CONCATENATE(INDEX(DropdownLists!$H$2:$H$11,MATCH(1,COUNTIF('Ingest Template'!E780,"*"&amp;DropdownLists!$I$2:$I$11&amp;"*"),0)),CHAR(10),'Ingest Template'!F780,CHAR(10),'Ingest Template'!G780,CHAR(10),VLOOKUP('Ingest Template'!D780,DropdownLists!C:D,2,FALSE))</f>
        <v>#N/A</v>
      </c>
      <c r="E780" s="22" t="str">
        <f>CONCATENATE('Ingest Template'!H780,CHAR(10),'Ingest Template'!I780,CHAR(10),'Ingest Template'!J780,CHAR(10))</f>
        <v>
</v>
      </c>
      <c r="F780" s="35" t="str">
        <f t="array" ref="F780">INDEX(DropdownLists!$O$2:$O$36,MATCH(1,COUNTIF(E780,"*"&amp;DropdownLists!$N$2:$N$36&amp;"*"),0))</f>
        <v/>
      </c>
      <c r="G780" s="35"/>
      <c r="H780" s="22" t="str">
        <f t="array" ref="H780">INDEX(DropdownLists!$E$2:$E$276,MATCH('Ingest Template'!D780,DropdownLists!$C$2:$C$276,0))</f>
        <v>#N/A</v>
      </c>
      <c r="I780" s="22"/>
      <c r="J780" s="22" t="str">
        <f t="array" ref="J780">iF('Ingest Template'!A780="Standard","Pristine Brand",INDEX(DropdownLists!$B$2:$B$246,MATCH('Ingest Template'!D780,DropdownLists!$C$2:$C$246,0)))</f>
        <v>#N/A</v>
      </c>
      <c r="K780" s="22" t="str">
        <f>iF('Ingest Template'!A780="Standard",'Ingest Template'!K780&amp;CHAR(10)&amp;'Ingest Template'!L780,"Competitive View")</f>
        <v>Competitive View</v>
      </c>
      <c r="L780" s="22" t="s">
        <v>95</v>
      </c>
      <c r="M780" s="45" t="str">
        <f>'Ingest Template'!B780</f>
        <v/>
      </c>
      <c r="N780" s="35"/>
      <c r="O780" s="35"/>
      <c r="P780" s="35"/>
      <c r="Q780" s="35"/>
      <c r="R780" s="35" t="str">
        <f>'Ingest Template'!D780</f>
        <v/>
      </c>
      <c r="S780" s="22" t="s">
        <v>101</v>
      </c>
      <c r="T780" s="35" t="str">
        <f>'Ingest Template'!V780</f>
        <v/>
      </c>
      <c r="U780" s="35" t="str">
        <f>'Ingest Template'!W780</f>
        <v/>
      </c>
      <c r="V780" s="35" t="str">
        <f>LOWER(SUBSTITUTE(SUBSTITUTE(SUBSTITUTE(SUBSTITUTE(SUBSTITUTE('Ingest Template'!X780,"https:",""),"www.",""),"/",""),"?hl=en",""),"instagram.com",""))</f>
        <v/>
      </c>
      <c r="W780" s="74" t="str">
        <f t="array" ref="W780">IF(
'Ingest Template'!Y780="",
SUBSTITUTE(
INDEX(DropdownLists!$F$2:$F$277,MATCH('Ingest Template'!D780,DropdownLists!$C$2:$C$277,0)),
CHAR(10),
"|"&amp;'Ingest Template'!C780&amp;CHAR(10)
)&amp;"|"&amp;'Ingest Template'!C780,
SUBSTITUTE(
INDEX(DropdownLists!$F$2:$F$277,MATCH('Ingest Template'!D780,DropdownLists!$C$2:$C$277,0)),
CHAR(10),
"|"&amp;'Ingest Template'!C780&amp;CHAR(10)
)&amp;"|"&amp;'Ingest Template'!C780&amp;CHAR(10)&amp;'Ingest Template'!Y780
)</f>
        <v>#N/A</v>
      </c>
      <c r="X780" s="74" t="str">
        <f>'Ingest Template'!Z780</f>
        <v/>
      </c>
      <c r="Y780" s="35" t="str">
        <f>SUBSTITUTE(SUBSTITUTE(SUBSTITUTE('Ingest Template'!AA780,"http:",""),"https:",""),"/","")</f>
        <v/>
      </c>
      <c r="Z780" s="35" t="str">
        <f t="array" ref="Z780">IF('Ingest Template'!A780="Standard",(IF(ISBLANK('Ingest Template'!AB780),"", 'Ingest Template'!AB780&amp;"|DAR")),(IF(ISBLANK('Ingest Template'!AB780),"", 'Ingest Template'!AB780&amp;"|TV Ops")))</f>
        <v/>
      </c>
      <c r="AA780" s="35"/>
      <c r="AB780" s="35" t="str">
        <f>'Ingest Template'!R780</f>
        <v/>
      </c>
      <c r="AC780" s="35" t="str">
        <f>'Ingest Template'!T780</f>
        <v/>
      </c>
      <c r="AD780" s="35" t="str">
        <f>'Ingest Template'!S780</f>
        <v/>
      </c>
      <c r="AE780" s="35" t="str">
        <f>'Ingest Template'!U780</f>
        <v/>
      </c>
      <c r="AF780" s="22"/>
      <c r="AG780" s="35" t="str">
        <f t="array" ref="AG780">IF('Ingest Template'!A780="Standard",(CONCATENATE(IF(ISBLANK('Ingest Template'!N780),"", 'Ingest Template'!N780&amp;"|DAR"),CHAR(10), IF(ISBLANK('Ingest Template'!O780),"", 'Ingest Template'!O780&amp;"|DAR"),CHAR(10), IF(ISBLANK('Ingest Template'!P780),"", 'Ingest Template'!P780&amp;"|DAR"))),(CONCATENATE(IF(ISBLANK('Ingest Template'!N780),"", 'Ingest Template'!N780&amp;"|TV Ops"),CHAR(10), IF(ISBLANK('Ingest Template'!O780),"", 'Ingest Template'!O780&amp;"|TV Ops"),CHAR(10), IF(ISBLANK('Ingest Template'!P780),"", 'Ingest Template'!P780&amp;"|TV Ops"))))</f>
        <v>
</v>
      </c>
      <c r="AH780" s="35"/>
      <c r="AI780" s="35"/>
      <c r="AJ780" s="117" t="str">
        <f>if('Ingest Template'!A780="Standard",(IF(OR('Ingest Template'!F780 = "Program Type - Special", 'Ingest Template'!F780 = "Program Type - Live Event"),'Ingest Template'!M780&amp; "|DAR|DAR|"&amp;TEXT('Ingest Template'!C780-3, "yyyy-mm-dd")&amp;"|"&amp;TEXT('Ingest Template'!C780+3, "yyyy-mm-dd"),'Ingest Template'!M780&amp; "|DAR|DAR|2021-01-01")),(IF(OR('Ingest Template'!F780 = "Program Type - Special", 'Ingest Template'!F780 = "Program Type - Live Event"),'Ingest Template'!M780&amp; "|Operations - Core Title|Operations - Core Title|"&amp;TEXT('Ingest Template'!C780-3, "yyyy-mm-dd")&amp;"|"&amp;TEXT('Ingest Template'!C780+3, "yyyy-mm-dd"),'Ingest Template'!M780&amp; "|Operations - Core Title|Operations - Core Title")))</f>
        <v>|Operations - Core Title|Operations - Core Title</v>
      </c>
      <c r="AK780" s="35"/>
      <c r="AL780" s="117" t="str">
        <f>if('Ingest Template'!A780="Standard",(IF(OR('Ingest Template'!F780 = "Program Type - Special", 'Ingest Template'!F780 = "Program Type - Live Event"),'Ingest Template'!Q780&amp;"|"&amp;TEXT('Ingest Template'!C780-3, "yyyy-mm-dd")&amp;"|"&amp;TEXT('Ingest Template'!C780+3, "yyyy-mm-dd"),'Ingest Template'!Q780&amp; "|2021-01-01")),(IF(OR('Ingest Template'!F780 = "Program Type - Special", 'Ingest Template'!F780 = "Program Type - Live Event"),'Ingest Template'!Q780&amp; "|"&amp;TEXT('Ingest Template'!C780-3, "yyyy-mm-dd")&amp;"|"&amp;TEXT('Ingest Template'!C780+3, "yyyy-mm-dd"),'Ingest Template'!Q780)))</f>
        <v/>
      </c>
      <c r="AM780" s="35" t="str">
        <f>'Ingest Template'!AC780</f>
        <v/>
      </c>
    </row>
    <row r="781">
      <c r="A781" s="15"/>
      <c r="B781" s="22" t="str">
        <f>'Ingest Template'!C781&amp;IF('Ingest Template'!A781 = "Standard", " - DAR","")</f>
        <v/>
      </c>
      <c r="C781" s="22" t="s">
        <v>83</v>
      </c>
      <c r="D781" s="22" t="str">
        <f t="array" ref="D781">CONCATENATE(INDEX(DropdownLists!$H$2:$H$11,MATCH(1,COUNTIF('Ingest Template'!E781,"*"&amp;DropdownLists!$I$2:$I$11&amp;"*"),0)),CHAR(10),'Ingest Template'!F781,CHAR(10),'Ingest Template'!G781,CHAR(10),VLOOKUP('Ingest Template'!D781,DropdownLists!C:D,2,FALSE))</f>
        <v>#N/A</v>
      </c>
      <c r="E781" s="22" t="str">
        <f>CONCATENATE('Ingest Template'!H781,CHAR(10),'Ingest Template'!I781,CHAR(10),'Ingest Template'!J781,CHAR(10))</f>
        <v>
</v>
      </c>
      <c r="F781" s="35" t="str">
        <f t="array" ref="F781">INDEX(DropdownLists!$O$2:$O$36,MATCH(1,COUNTIF(E781,"*"&amp;DropdownLists!$N$2:$N$36&amp;"*"),0))</f>
        <v/>
      </c>
      <c r="G781" s="35"/>
      <c r="H781" s="22" t="str">
        <f t="array" ref="H781">INDEX(DropdownLists!$E$2:$E$276,MATCH('Ingest Template'!D781,DropdownLists!$C$2:$C$276,0))</f>
        <v>#N/A</v>
      </c>
      <c r="I781" s="22"/>
      <c r="J781" s="22" t="str">
        <f t="array" ref="J781">iF('Ingest Template'!A781="Standard","Pristine Brand",INDEX(DropdownLists!$B$2:$B$246,MATCH('Ingest Template'!D781,DropdownLists!$C$2:$C$246,0)))</f>
        <v>#N/A</v>
      </c>
      <c r="K781" s="22" t="str">
        <f>iF('Ingest Template'!A781="Standard",'Ingest Template'!K781&amp;CHAR(10)&amp;'Ingest Template'!L781,"Competitive View")</f>
        <v>Competitive View</v>
      </c>
      <c r="L781" s="22" t="s">
        <v>95</v>
      </c>
      <c r="M781" s="45" t="str">
        <f>'Ingest Template'!B781</f>
        <v/>
      </c>
      <c r="N781" s="35"/>
      <c r="O781" s="35"/>
      <c r="P781" s="35"/>
      <c r="Q781" s="35"/>
      <c r="R781" s="35" t="str">
        <f>'Ingest Template'!D781</f>
        <v/>
      </c>
      <c r="S781" s="22" t="s">
        <v>101</v>
      </c>
      <c r="T781" s="35" t="str">
        <f>'Ingest Template'!V781</f>
        <v/>
      </c>
      <c r="U781" s="35" t="str">
        <f>'Ingest Template'!W781</f>
        <v/>
      </c>
      <c r="V781" s="35" t="str">
        <f>LOWER(SUBSTITUTE(SUBSTITUTE(SUBSTITUTE(SUBSTITUTE(SUBSTITUTE('Ingest Template'!X781,"https:",""),"www.",""),"/",""),"?hl=en",""),"instagram.com",""))</f>
        <v/>
      </c>
      <c r="W781" s="74" t="str">
        <f t="array" ref="W781">IF(
'Ingest Template'!Y781="",
SUBSTITUTE(
INDEX(DropdownLists!$F$2:$F$277,MATCH('Ingest Template'!D781,DropdownLists!$C$2:$C$277,0)),
CHAR(10),
"|"&amp;'Ingest Template'!C781&amp;CHAR(10)
)&amp;"|"&amp;'Ingest Template'!C781,
SUBSTITUTE(
INDEX(DropdownLists!$F$2:$F$277,MATCH('Ingest Template'!D781,DropdownLists!$C$2:$C$277,0)),
CHAR(10),
"|"&amp;'Ingest Template'!C781&amp;CHAR(10)
)&amp;"|"&amp;'Ingest Template'!C781&amp;CHAR(10)&amp;'Ingest Template'!Y781
)</f>
        <v>#N/A</v>
      </c>
      <c r="X781" s="74" t="str">
        <f>'Ingest Template'!Z781</f>
        <v/>
      </c>
      <c r="Y781" s="35" t="str">
        <f>SUBSTITUTE(SUBSTITUTE(SUBSTITUTE('Ingest Template'!AA781,"http:",""),"https:",""),"/","")</f>
        <v/>
      </c>
      <c r="Z781" s="35" t="str">
        <f t="array" ref="Z781">IF('Ingest Template'!A781="Standard",(IF(ISBLANK('Ingest Template'!AB781),"", 'Ingest Template'!AB781&amp;"|DAR")),(IF(ISBLANK('Ingest Template'!AB781),"", 'Ingest Template'!AB781&amp;"|TV Ops")))</f>
        <v/>
      </c>
      <c r="AA781" s="35"/>
      <c r="AB781" s="35" t="str">
        <f>'Ingest Template'!R781</f>
        <v/>
      </c>
      <c r="AC781" s="35" t="str">
        <f>'Ingest Template'!T781</f>
        <v/>
      </c>
      <c r="AD781" s="35" t="str">
        <f>'Ingest Template'!S781</f>
        <v/>
      </c>
      <c r="AE781" s="35" t="str">
        <f>'Ingest Template'!U781</f>
        <v/>
      </c>
      <c r="AF781" s="22"/>
      <c r="AG781" s="35" t="str">
        <f t="array" ref="AG781">IF('Ingest Template'!A781="Standard",(CONCATENATE(IF(ISBLANK('Ingest Template'!N781),"", 'Ingest Template'!N781&amp;"|DAR"),CHAR(10), IF(ISBLANK('Ingest Template'!O781),"", 'Ingest Template'!O781&amp;"|DAR"),CHAR(10), IF(ISBLANK('Ingest Template'!P781),"", 'Ingest Template'!P781&amp;"|DAR"))),(CONCATENATE(IF(ISBLANK('Ingest Template'!N781),"", 'Ingest Template'!N781&amp;"|TV Ops"),CHAR(10), IF(ISBLANK('Ingest Template'!O781),"", 'Ingest Template'!O781&amp;"|TV Ops"),CHAR(10), IF(ISBLANK('Ingest Template'!P781),"", 'Ingest Template'!P781&amp;"|TV Ops"))))</f>
        <v>
</v>
      </c>
      <c r="AH781" s="35"/>
      <c r="AI781" s="35"/>
      <c r="AJ781" s="117" t="str">
        <f>if('Ingest Template'!A781="Standard",(IF(OR('Ingest Template'!F781 = "Program Type - Special", 'Ingest Template'!F781 = "Program Type - Live Event"),'Ingest Template'!M781&amp; "|DAR|DAR|"&amp;TEXT('Ingest Template'!C781-3, "yyyy-mm-dd")&amp;"|"&amp;TEXT('Ingest Template'!C781+3, "yyyy-mm-dd"),'Ingest Template'!M781&amp; "|DAR|DAR|2021-01-01")),(IF(OR('Ingest Template'!F781 = "Program Type - Special", 'Ingest Template'!F781 = "Program Type - Live Event"),'Ingest Template'!M781&amp; "|Operations - Core Title|Operations - Core Title|"&amp;TEXT('Ingest Template'!C781-3, "yyyy-mm-dd")&amp;"|"&amp;TEXT('Ingest Template'!C781+3, "yyyy-mm-dd"),'Ingest Template'!M781&amp; "|Operations - Core Title|Operations - Core Title")))</f>
        <v>|Operations - Core Title|Operations - Core Title</v>
      </c>
      <c r="AK781" s="35"/>
      <c r="AL781" s="117" t="str">
        <f>if('Ingest Template'!A781="Standard",(IF(OR('Ingest Template'!F781 = "Program Type - Special", 'Ingest Template'!F781 = "Program Type - Live Event"),'Ingest Template'!Q781&amp;"|"&amp;TEXT('Ingest Template'!C781-3, "yyyy-mm-dd")&amp;"|"&amp;TEXT('Ingest Template'!C781+3, "yyyy-mm-dd"),'Ingest Template'!Q781&amp; "|2021-01-01")),(IF(OR('Ingest Template'!F781 = "Program Type - Special", 'Ingest Template'!F781 = "Program Type - Live Event"),'Ingest Template'!Q781&amp; "|"&amp;TEXT('Ingest Template'!C781-3, "yyyy-mm-dd")&amp;"|"&amp;TEXT('Ingest Template'!C781+3, "yyyy-mm-dd"),'Ingest Template'!Q781)))</f>
        <v/>
      </c>
      <c r="AM781" s="35" t="str">
        <f>'Ingest Template'!AC781</f>
        <v/>
      </c>
    </row>
    <row r="782">
      <c r="A782" s="15"/>
      <c r="B782" s="22" t="str">
        <f>'Ingest Template'!C782&amp;IF('Ingest Template'!A782 = "Standard", " - DAR","")</f>
        <v/>
      </c>
      <c r="C782" s="22" t="s">
        <v>83</v>
      </c>
      <c r="D782" s="22" t="str">
        <f t="array" ref="D782">CONCATENATE(INDEX(DropdownLists!$H$2:$H$11,MATCH(1,COUNTIF('Ingest Template'!E782,"*"&amp;DropdownLists!$I$2:$I$11&amp;"*"),0)),CHAR(10),'Ingest Template'!F782,CHAR(10),'Ingest Template'!G782,CHAR(10),VLOOKUP('Ingest Template'!D782,DropdownLists!C:D,2,FALSE))</f>
        <v>#N/A</v>
      </c>
      <c r="E782" s="22" t="str">
        <f>CONCATENATE('Ingest Template'!H782,CHAR(10),'Ingest Template'!I782,CHAR(10),'Ingest Template'!J782,CHAR(10))</f>
        <v>
</v>
      </c>
      <c r="F782" s="35" t="str">
        <f t="array" ref="F782">INDEX(DropdownLists!$O$2:$O$36,MATCH(1,COUNTIF(E782,"*"&amp;DropdownLists!$N$2:$N$36&amp;"*"),0))</f>
        <v/>
      </c>
      <c r="G782" s="35"/>
      <c r="H782" s="22" t="str">
        <f t="array" ref="H782">INDEX(DropdownLists!$E$2:$E$276,MATCH('Ingest Template'!D782,DropdownLists!$C$2:$C$276,0))</f>
        <v>#N/A</v>
      </c>
      <c r="I782" s="22"/>
      <c r="J782" s="22" t="str">
        <f t="array" ref="J782">iF('Ingest Template'!A782="Standard","Pristine Brand",INDEX(DropdownLists!$B$2:$B$246,MATCH('Ingest Template'!D782,DropdownLists!$C$2:$C$246,0)))</f>
        <v>#N/A</v>
      </c>
      <c r="K782" s="22" t="str">
        <f>iF('Ingest Template'!A782="Standard",'Ingest Template'!K782&amp;CHAR(10)&amp;'Ingest Template'!L782,"Competitive View")</f>
        <v>Competitive View</v>
      </c>
      <c r="L782" s="22" t="s">
        <v>95</v>
      </c>
      <c r="M782" s="45" t="str">
        <f>'Ingest Template'!B782</f>
        <v/>
      </c>
      <c r="N782" s="35"/>
      <c r="O782" s="35"/>
      <c r="P782" s="35"/>
      <c r="Q782" s="35"/>
      <c r="R782" s="35" t="str">
        <f>'Ingest Template'!D782</f>
        <v/>
      </c>
      <c r="S782" s="22" t="s">
        <v>101</v>
      </c>
      <c r="T782" s="35" t="str">
        <f>'Ingest Template'!V782</f>
        <v/>
      </c>
      <c r="U782" s="35" t="str">
        <f>'Ingest Template'!W782</f>
        <v/>
      </c>
      <c r="V782" s="35" t="str">
        <f>LOWER(SUBSTITUTE(SUBSTITUTE(SUBSTITUTE(SUBSTITUTE(SUBSTITUTE('Ingest Template'!X782,"https:",""),"www.",""),"/",""),"?hl=en",""),"instagram.com",""))</f>
        <v/>
      </c>
      <c r="W782" s="74" t="str">
        <f t="array" ref="W782">IF(
'Ingest Template'!Y782="",
SUBSTITUTE(
INDEX(DropdownLists!$F$2:$F$277,MATCH('Ingest Template'!D782,DropdownLists!$C$2:$C$277,0)),
CHAR(10),
"|"&amp;'Ingest Template'!C782&amp;CHAR(10)
)&amp;"|"&amp;'Ingest Template'!C782,
SUBSTITUTE(
INDEX(DropdownLists!$F$2:$F$277,MATCH('Ingest Template'!D782,DropdownLists!$C$2:$C$277,0)),
CHAR(10),
"|"&amp;'Ingest Template'!C782&amp;CHAR(10)
)&amp;"|"&amp;'Ingest Template'!C782&amp;CHAR(10)&amp;'Ingest Template'!Y782
)</f>
        <v>#N/A</v>
      </c>
      <c r="X782" s="74" t="str">
        <f>'Ingest Template'!Z782</f>
        <v/>
      </c>
      <c r="Y782" s="35" t="str">
        <f>SUBSTITUTE(SUBSTITUTE(SUBSTITUTE('Ingest Template'!AA782,"http:",""),"https:",""),"/","")</f>
        <v/>
      </c>
      <c r="Z782" s="35" t="str">
        <f t="array" ref="Z782">IF('Ingest Template'!A782="Standard",(IF(ISBLANK('Ingest Template'!AB782),"", 'Ingest Template'!AB782&amp;"|DAR")),(IF(ISBLANK('Ingest Template'!AB782),"", 'Ingest Template'!AB782&amp;"|TV Ops")))</f>
        <v/>
      </c>
      <c r="AA782" s="35"/>
      <c r="AB782" s="35" t="str">
        <f>'Ingest Template'!R782</f>
        <v/>
      </c>
      <c r="AC782" s="35" t="str">
        <f>'Ingest Template'!T782</f>
        <v/>
      </c>
      <c r="AD782" s="35" t="str">
        <f>'Ingest Template'!S782</f>
        <v/>
      </c>
      <c r="AE782" s="35" t="str">
        <f>'Ingest Template'!U782</f>
        <v/>
      </c>
      <c r="AF782" s="22"/>
      <c r="AG782" s="35" t="str">
        <f t="array" ref="AG782">IF('Ingest Template'!A782="Standard",(CONCATENATE(IF(ISBLANK('Ingest Template'!N782),"", 'Ingest Template'!N782&amp;"|DAR"),CHAR(10), IF(ISBLANK('Ingest Template'!O782),"", 'Ingest Template'!O782&amp;"|DAR"),CHAR(10), IF(ISBLANK('Ingest Template'!P782),"", 'Ingest Template'!P782&amp;"|DAR"))),(CONCATENATE(IF(ISBLANK('Ingest Template'!N782),"", 'Ingest Template'!N782&amp;"|TV Ops"),CHAR(10), IF(ISBLANK('Ingest Template'!O782),"", 'Ingest Template'!O782&amp;"|TV Ops"),CHAR(10), IF(ISBLANK('Ingest Template'!P782),"", 'Ingest Template'!P782&amp;"|TV Ops"))))</f>
        <v>
</v>
      </c>
      <c r="AH782" s="35"/>
      <c r="AI782" s="35"/>
      <c r="AJ782" s="117" t="str">
        <f>if('Ingest Template'!A782="Standard",(IF(OR('Ingest Template'!F782 = "Program Type - Special", 'Ingest Template'!F782 = "Program Type - Live Event"),'Ingest Template'!M782&amp; "|DAR|DAR|"&amp;TEXT('Ingest Template'!C782-3, "yyyy-mm-dd")&amp;"|"&amp;TEXT('Ingest Template'!C782+3, "yyyy-mm-dd"),'Ingest Template'!M782&amp; "|DAR|DAR|2021-01-01")),(IF(OR('Ingest Template'!F782 = "Program Type - Special", 'Ingest Template'!F782 = "Program Type - Live Event"),'Ingest Template'!M782&amp; "|Operations - Core Title|Operations - Core Title|"&amp;TEXT('Ingest Template'!C782-3, "yyyy-mm-dd")&amp;"|"&amp;TEXT('Ingest Template'!C782+3, "yyyy-mm-dd"),'Ingest Template'!M782&amp; "|Operations - Core Title|Operations - Core Title")))</f>
        <v>|Operations - Core Title|Operations - Core Title</v>
      </c>
      <c r="AK782" s="35"/>
      <c r="AL782" s="117" t="str">
        <f>if('Ingest Template'!A782="Standard",(IF(OR('Ingest Template'!F782 = "Program Type - Special", 'Ingest Template'!F782 = "Program Type - Live Event"),'Ingest Template'!Q782&amp;"|"&amp;TEXT('Ingest Template'!C782-3, "yyyy-mm-dd")&amp;"|"&amp;TEXT('Ingest Template'!C782+3, "yyyy-mm-dd"),'Ingest Template'!Q782&amp; "|2021-01-01")),(IF(OR('Ingest Template'!F782 = "Program Type - Special", 'Ingest Template'!F782 = "Program Type - Live Event"),'Ingest Template'!Q782&amp; "|"&amp;TEXT('Ingest Template'!C782-3, "yyyy-mm-dd")&amp;"|"&amp;TEXT('Ingest Template'!C782+3, "yyyy-mm-dd"),'Ingest Template'!Q782)))</f>
        <v/>
      </c>
      <c r="AM782" s="35" t="str">
        <f>'Ingest Template'!AC782</f>
        <v/>
      </c>
    </row>
    <row r="783">
      <c r="A783" s="15"/>
      <c r="B783" s="22" t="str">
        <f>'Ingest Template'!C783&amp;IF('Ingest Template'!A783 = "Standard", " - DAR","")</f>
        <v/>
      </c>
      <c r="C783" s="22" t="s">
        <v>83</v>
      </c>
      <c r="D783" s="22" t="str">
        <f t="array" ref="D783">CONCATENATE(INDEX(DropdownLists!$H$2:$H$11,MATCH(1,COUNTIF('Ingest Template'!E783,"*"&amp;DropdownLists!$I$2:$I$11&amp;"*"),0)),CHAR(10),'Ingest Template'!F783,CHAR(10),'Ingest Template'!G783,CHAR(10),VLOOKUP('Ingest Template'!D783,DropdownLists!C:D,2,FALSE))</f>
        <v>#N/A</v>
      </c>
      <c r="E783" s="22" t="str">
        <f>CONCATENATE('Ingest Template'!H783,CHAR(10),'Ingest Template'!I783,CHAR(10),'Ingest Template'!J783,CHAR(10))</f>
        <v>
</v>
      </c>
      <c r="F783" s="35" t="str">
        <f t="array" ref="F783">INDEX(DropdownLists!$O$2:$O$36,MATCH(1,COUNTIF(E783,"*"&amp;DropdownLists!$N$2:$N$36&amp;"*"),0))</f>
        <v/>
      </c>
      <c r="G783" s="35"/>
      <c r="H783" s="22" t="str">
        <f t="array" ref="H783">INDEX(DropdownLists!$E$2:$E$276,MATCH('Ingest Template'!D783,DropdownLists!$C$2:$C$276,0))</f>
        <v>#N/A</v>
      </c>
      <c r="I783" s="22"/>
      <c r="J783" s="22" t="str">
        <f t="array" ref="J783">iF('Ingest Template'!A783="Standard","Pristine Brand",INDEX(DropdownLists!$B$2:$B$246,MATCH('Ingest Template'!D783,DropdownLists!$C$2:$C$246,0)))</f>
        <v>#N/A</v>
      </c>
      <c r="K783" s="22" t="str">
        <f>iF('Ingest Template'!A783="Standard",'Ingest Template'!K783&amp;CHAR(10)&amp;'Ingest Template'!L783,"Competitive View")</f>
        <v>Competitive View</v>
      </c>
      <c r="L783" s="22" t="s">
        <v>95</v>
      </c>
      <c r="M783" s="45" t="str">
        <f>'Ingest Template'!B783</f>
        <v/>
      </c>
      <c r="N783" s="35"/>
      <c r="O783" s="35"/>
      <c r="P783" s="35"/>
      <c r="Q783" s="35"/>
      <c r="R783" s="35" t="str">
        <f>'Ingest Template'!D783</f>
        <v/>
      </c>
      <c r="S783" s="22" t="s">
        <v>101</v>
      </c>
      <c r="T783" s="35" t="str">
        <f>'Ingest Template'!V783</f>
        <v/>
      </c>
      <c r="U783" s="35" t="str">
        <f>'Ingest Template'!W783</f>
        <v/>
      </c>
      <c r="V783" s="35" t="str">
        <f>LOWER(SUBSTITUTE(SUBSTITUTE(SUBSTITUTE(SUBSTITUTE(SUBSTITUTE('Ingest Template'!X783,"https:",""),"www.",""),"/",""),"?hl=en",""),"instagram.com",""))</f>
        <v/>
      </c>
      <c r="W783" s="74" t="str">
        <f t="array" ref="W783">IF(
'Ingest Template'!Y783="",
SUBSTITUTE(
INDEX(DropdownLists!$F$2:$F$277,MATCH('Ingest Template'!D783,DropdownLists!$C$2:$C$277,0)),
CHAR(10),
"|"&amp;'Ingest Template'!C783&amp;CHAR(10)
)&amp;"|"&amp;'Ingest Template'!C783,
SUBSTITUTE(
INDEX(DropdownLists!$F$2:$F$277,MATCH('Ingest Template'!D783,DropdownLists!$C$2:$C$277,0)),
CHAR(10),
"|"&amp;'Ingest Template'!C783&amp;CHAR(10)
)&amp;"|"&amp;'Ingest Template'!C783&amp;CHAR(10)&amp;'Ingest Template'!Y783
)</f>
        <v>#N/A</v>
      </c>
      <c r="X783" s="74" t="str">
        <f>'Ingest Template'!Z783</f>
        <v/>
      </c>
      <c r="Y783" s="35" t="str">
        <f>SUBSTITUTE(SUBSTITUTE(SUBSTITUTE('Ingest Template'!AA783,"http:",""),"https:",""),"/","")</f>
        <v/>
      </c>
      <c r="Z783" s="35" t="str">
        <f t="array" ref="Z783">IF('Ingest Template'!A783="Standard",(IF(ISBLANK('Ingest Template'!AB783),"", 'Ingest Template'!AB783&amp;"|DAR")),(IF(ISBLANK('Ingest Template'!AB783),"", 'Ingest Template'!AB783&amp;"|TV Ops")))</f>
        <v/>
      </c>
      <c r="AA783" s="35"/>
      <c r="AB783" s="35" t="str">
        <f>'Ingest Template'!R783</f>
        <v/>
      </c>
      <c r="AC783" s="35" t="str">
        <f>'Ingest Template'!T783</f>
        <v/>
      </c>
      <c r="AD783" s="35" t="str">
        <f>'Ingest Template'!S783</f>
        <v/>
      </c>
      <c r="AE783" s="35" t="str">
        <f>'Ingest Template'!U783</f>
        <v/>
      </c>
      <c r="AF783" s="22"/>
      <c r="AG783" s="35" t="str">
        <f t="array" ref="AG783">IF('Ingest Template'!A783="Standard",(CONCATENATE(IF(ISBLANK('Ingest Template'!N783),"", 'Ingest Template'!N783&amp;"|DAR"),CHAR(10), IF(ISBLANK('Ingest Template'!O783),"", 'Ingest Template'!O783&amp;"|DAR"),CHAR(10), IF(ISBLANK('Ingest Template'!P783),"", 'Ingest Template'!P783&amp;"|DAR"))),(CONCATENATE(IF(ISBLANK('Ingest Template'!N783),"", 'Ingest Template'!N783&amp;"|TV Ops"),CHAR(10), IF(ISBLANK('Ingest Template'!O783),"", 'Ingest Template'!O783&amp;"|TV Ops"),CHAR(10), IF(ISBLANK('Ingest Template'!P783),"", 'Ingest Template'!P783&amp;"|TV Ops"))))</f>
        <v>
</v>
      </c>
      <c r="AH783" s="35"/>
      <c r="AI783" s="35"/>
      <c r="AJ783" s="117" t="str">
        <f>if('Ingest Template'!A783="Standard",(IF(OR('Ingest Template'!F783 = "Program Type - Special", 'Ingest Template'!F783 = "Program Type - Live Event"),'Ingest Template'!M783&amp; "|DAR|DAR|"&amp;TEXT('Ingest Template'!C783-3, "yyyy-mm-dd")&amp;"|"&amp;TEXT('Ingest Template'!C783+3, "yyyy-mm-dd"),'Ingest Template'!M783&amp; "|DAR|DAR|2021-01-01")),(IF(OR('Ingest Template'!F783 = "Program Type - Special", 'Ingest Template'!F783 = "Program Type - Live Event"),'Ingest Template'!M783&amp; "|Operations - Core Title|Operations - Core Title|"&amp;TEXT('Ingest Template'!C783-3, "yyyy-mm-dd")&amp;"|"&amp;TEXT('Ingest Template'!C783+3, "yyyy-mm-dd"),'Ingest Template'!M783&amp; "|Operations - Core Title|Operations - Core Title")))</f>
        <v>|Operations - Core Title|Operations - Core Title</v>
      </c>
      <c r="AK783" s="35"/>
      <c r="AL783" s="117" t="str">
        <f>if('Ingest Template'!A783="Standard",(IF(OR('Ingest Template'!F783 = "Program Type - Special", 'Ingest Template'!F783 = "Program Type - Live Event"),'Ingest Template'!Q783&amp;"|"&amp;TEXT('Ingest Template'!C783-3, "yyyy-mm-dd")&amp;"|"&amp;TEXT('Ingest Template'!C783+3, "yyyy-mm-dd"),'Ingest Template'!Q783&amp; "|2021-01-01")),(IF(OR('Ingest Template'!F783 = "Program Type - Special", 'Ingest Template'!F783 = "Program Type - Live Event"),'Ingest Template'!Q783&amp; "|"&amp;TEXT('Ingest Template'!C783-3, "yyyy-mm-dd")&amp;"|"&amp;TEXT('Ingest Template'!C783+3, "yyyy-mm-dd"),'Ingest Template'!Q783)))</f>
        <v/>
      </c>
      <c r="AM783" s="35" t="str">
        <f>'Ingest Template'!AC783</f>
        <v/>
      </c>
    </row>
    <row r="784">
      <c r="A784" s="15"/>
      <c r="B784" s="22" t="str">
        <f>'Ingest Template'!C784&amp;IF('Ingest Template'!A784 = "Standard", " - DAR","")</f>
        <v/>
      </c>
      <c r="C784" s="22" t="s">
        <v>83</v>
      </c>
      <c r="D784" s="22" t="str">
        <f t="array" ref="D784">CONCATENATE(INDEX(DropdownLists!$H$2:$H$11,MATCH(1,COUNTIF('Ingest Template'!E784,"*"&amp;DropdownLists!$I$2:$I$11&amp;"*"),0)),CHAR(10),'Ingest Template'!F784,CHAR(10),'Ingest Template'!G784,CHAR(10),VLOOKUP('Ingest Template'!D784,DropdownLists!C:D,2,FALSE))</f>
        <v>#N/A</v>
      </c>
      <c r="E784" s="22" t="str">
        <f>CONCATENATE('Ingest Template'!H784,CHAR(10),'Ingest Template'!I784,CHAR(10),'Ingest Template'!J784,CHAR(10))</f>
        <v>
</v>
      </c>
      <c r="F784" s="35" t="str">
        <f t="array" ref="F784">INDEX(DropdownLists!$O$2:$O$36,MATCH(1,COUNTIF(E784,"*"&amp;DropdownLists!$N$2:$N$36&amp;"*"),0))</f>
        <v/>
      </c>
      <c r="G784" s="35"/>
      <c r="H784" s="22" t="str">
        <f t="array" ref="H784">INDEX(DropdownLists!$E$2:$E$276,MATCH('Ingest Template'!D784,DropdownLists!$C$2:$C$276,0))</f>
        <v>#N/A</v>
      </c>
      <c r="I784" s="22"/>
      <c r="J784" s="22" t="str">
        <f t="array" ref="J784">iF('Ingest Template'!A784="Standard","Pristine Brand",INDEX(DropdownLists!$B$2:$B$246,MATCH('Ingest Template'!D784,DropdownLists!$C$2:$C$246,0)))</f>
        <v>#N/A</v>
      </c>
      <c r="K784" s="22" t="str">
        <f>iF('Ingest Template'!A784="Standard",'Ingest Template'!K784&amp;CHAR(10)&amp;'Ingest Template'!L784,"Competitive View")</f>
        <v>Competitive View</v>
      </c>
      <c r="L784" s="22" t="s">
        <v>95</v>
      </c>
      <c r="M784" s="45" t="str">
        <f>'Ingest Template'!B784</f>
        <v/>
      </c>
      <c r="N784" s="35"/>
      <c r="O784" s="35"/>
      <c r="P784" s="35"/>
      <c r="Q784" s="35"/>
      <c r="R784" s="35" t="str">
        <f>'Ingest Template'!D784</f>
        <v/>
      </c>
      <c r="S784" s="22" t="s">
        <v>101</v>
      </c>
      <c r="T784" s="35" t="str">
        <f>'Ingest Template'!V784</f>
        <v/>
      </c>
      <c r="U784" s="35" t="str">
        <f>'Ingest Template'!W784</f>
        <v/>
      </c>
      <c r="V784" s="35" t="str">
        <f>LOWER(SUBSTITUTE(SUBSTITUTE(SUBSTITUTE(SUBSTITUTE(SUBSTITUTE('Ingest Template'!X784,"https:",""),"www.",""),"/",""),"?hl=en",""),"instagram.com",""))</f>
        <v/>
      </c>
      <c r="W784" s="74" t="str">
        <f t="array" ref="W784">IF(
'Ingest Template'!Y784="",
SUBSTITUTE(
INDEX(DropdownLists!$F$2:$F$277,MATCH('Ingest Template'!D784,DropdownLists!$C$2:$C$277,0)),
CHAR(10),
"|"&amp;'Ingest Template'!C784&amp;CHAR(10)
)&amp;"|"&amp;'Ingest Template'!C784,
SUBSTITUTE(
INDEX(DropdownLists!$F$2:$F$277,MATCH('Ingest Template'!D784,DropdownLists!$C$2:$C$277,0)),
CHAR(10),
"|"&amp;'Ingest Template'!C784&amp;CHAR(10)
)&amp;"|"&amp;'Ingest Template'!C784&amp;CHAR(10)&amp;'Ingest Template'!Y784
)</f>
        <v>#N/A</v>
      </c>
      <c r="X784" s="74" t="str">
        <f>'Ingest Template'!Z784</f>
        <v/>
      </c>
      <c r="Y784" s="35" t="str">
        <f>SUBSTITUTE(SUBSTITUTE(SUBSTITUTE('Ingest Template'!AA784,"http:",""),"https:",""),"/","")</f>
        <v/>
      </c>
      <c r="Z784" s="35" t="str">
        <f t="array" ref="Z784">IF('Ingest Template'!A784="Standard",(IF(ISBLANK('Ingest Template'!AB784),"", 'Ingest Template'!AB784&amp;"|DAR")),(IF(ISBLANK('Ingest Template'!AB784),"", 'Ingest Template'!AB784&amp;"|TV Ops")))</f>
        <v/>
      </c>
      <c r="AA784" s="35"/>
      <c r="AB784" s="35" t="str">
        <f>'Ingest Template'!R784</f>
        <v/>
      </c>
      <c r="AC784" s="35" t="str">
        <f>'Ingest Template'!T784</f>
        <v/>
      </c>
      <c r="AD784" s="35" t="str">
        <f>'Ingest Template'!S784</f>
        <v/>
      </c>
      <c r="AE784" s="35" t="str">
        <f>'Ingest Template'!U784</f>
        <v/>
      </c>
      <c r="AF784" s="22"/>
      <c r="AG784" s="35" t="str">
        <f t="array" ref="AG784">IF('Ingest Template'!A784="Standard",(CONCATENATE(IF(ISBLANK('Ingest Template'!N784),"", 'Ingest Template'!N784&amp;"|DAR"),CHAR(10), IF(ISBLANK('Ingest Template'!O784),"", 'Ingest Template'!O784&amp;"|DAR"),CHAR(10), IF(ISBLANK('Ingest Template'!P784),"", 'Ingest Template'!P784&amp;"|DAR"))),(CONCATENATE(IF(ISBLANK('Ingest Template'!N784),"", 'Ingest Template'!N784&amp;"|TV Ops"),CHAR(10), IF(ISBLANK('Ingest Template'!O784),"", 'Ingest Template'!O784&amp;"|TV Ops"),CHAR(10), IF(ISBLANK('Ingest Template'!P784),"", 'Ingest Template'!P784&amp;"|TV Ops"))))</f>
        <v>
</v>
      </c>
      <c r="AH784" s="35"/>
      <c r="AI784" s="35"/>
      <c r="AJ784" s="117" t="str">
        <f>if('Ingest Template'!A784="Standard",(IF(OR('Ingest Template'!F784 = "Program Type - Special", 'Ingest Template'!F784 = "Program Type - Live Event"),'Ingest Template'!M784&amp; "|DAR|DAR|"&amp;TEXT('Ingest Template'!C784-3, "yyyy-mm-dd")&amp;"|"&amp;TEXT('Ingest Template'!C784+3, "yyyy-mm-dd"),'Ingest Template'!M784&amp; "|DAR|DAR|2021-01-01")),(IF(OR('Ingest Template'!F784 = "Program Type - Special", 'Ingest Template'!F784 = "Program Type - Live Event"),'Ingest Template'!M784&amp; "|Operations - Core Title|Operations - Core Title|"&amp;TEXT('Ingest Template'!C784-3, "yyyy-mm-dd")&amp;"|"&amp;TEXT('Ingest Template'!C784+3, "yyyy-mm-dd"),'Ingest Template'!M784&amp; "|Operations - Core Title|Operations - Core Title")))</f>
        <v>|Operations - Core Title|Operations - Core Title</v>
      </c>
      <c r="AK784" s="35"/>
      <c r="AL784" s="117" t="str">
        <f>if('Ingest Template'!A784="Standard",(IF(OR('Ingest Template'!F784 = "Program Type - Special", 'Ingest Template'!F784 = "Program Type - Live Event"),'Ingest Template'!Q784&amp;"|"&amp;TEXT('Ingest Template'!C784-3, "yyyy-mm-dd")&amp;"|"&amp;TEXT('Ingest Template'!C784+3, "yyyy-mm-dd"),'Ingest Template'!Q784&amp; "|2021-01-01")),(IF(OR('Ingest Template'!F784 = "Program Type - Special", 'Ingest Template'!F784 = "Program Type - Live Event"),'Ingest Template'!Q784&amp; "|"&amp;TEXT('Ingest Template'!C784-3, "yyyy-mm-dd")&amp;"|"&amp;TEXT('Ingest Template'!C784+3, "yyyy-mm-dd"),'Ingest Template'!Q784)))</f>
        <v/>
      </c>
      <c r="AM784" s="35" t="str">
        <f>'Ingest Template'!AC784</f>
        <v/>
      </c>
    </row>
    <row r="785">
      <c r="A785" s="15"/>
      <c r="B785" s="22" t="str">
        <f>'Ingest Template'!C785&amp;IF('Ingest Template'!A785 = "Standard", " - DAR","")</f>
        <v/>
      </c>
      <c r="C785" s="22" t="s">
        <v>83</v>
      </c>
      <c r="D785" s="22" t="str">
        <f t="array" ref="D785">CONCATENATE(INDEX(DropdownLists!$H$2:$H$11,MATCH(1,COUNTIF('Ingest Template'!E785,"*"&amp;DropdownLists!$I$2:$I$11&amp;"*"),0)),CHAR(10),'Ingest Template'!F785,CHAR(10),'Ingest Template'!G785,CHAR(10),VLOOKUP('Ingest Template'!D785,DropdownLists!C:D,2,FALSE))</f>
        <v>#N/A</v>
      </c>
      <c r="E785" s="22" t="str">
        <f>CONCATENATE('Ingest Template'!H785,CHAR(10),'Ingest Template'!I785,CHAR(10),'Ingest Template'!J785,CHAR(10))</f>
        <v>
</v>
      </c>
      <c r="F785" s="35" t="str">
        <f t="array" ref="F785">INDEX(DropdownLists!$O$2:$O$36,MATCH(1,COUNTIF(E785,"*"&amp;DropdownLists!$N$2:$N$36&amp;"*"),0))</f>
        <v/>
      </c>
      <c r="G785" s="35"/>
      <c r="H785" s="22" t="str">
        <f t="array" ref="H785">INDEX(DropdownLists!$E$2:$E$276,MATCH('Ingest Template'!D785,DropdownLists!$C$2:$C$276,0))</f>
        <v>#N/A</v>
      </c>
      <c r="I785" s="22"/>
      <c r="J785" s="22" t="str">
        <f t="array" ref="J785">iF('Ingest Template'!A785="Standard","Pristine Brand",INDEX(DropdownLists!$B$2:$B$246,MATCH('Ingest Template'!D785,DropdownLists!$C$2:$C$246,0)))</f>
        <v>#N/A</v>
      </c>
      <c r="K785" s="22" t="str">
        <f>iF('Ingest Template'!A785="Standard",'Ingest Template'!K785&amp;CHAR(10)&amp;'Ingest Template'!L785,"Competitive View")</f>
        <v>Competitive View</v>
      </c>
      <c r="L785" s="22" t="s">
        <v>95</v>
      </c>
      <c r="M785" s="45" t="str">
        <f>'Ingest Template'!B785</f>
        <v/>
      </c>
      <c r="N785" s="35"/>
      <c r="O785" s="35"/>
      <c r="P785" s="35"/>
      <c r="Q785" s="35"/>
      <c r="R785" s="35" t="str">
        <f>'Ingest Template'!D785</f>
        <v/>
      </c>
      <c r="S785" s="22" t="s">
        <v>101</v>
      </c>
      <c r="T785" s="35" t="str">
        <f>'Ingest Template'!V785</f>
        <v/>
      </c>
      <c r="U785" s="35" t="str">
        <f>'Ingest Template'!W785</f>
        <v/>
      </c>
      <c r="V785" s="35" t="str">
        <f>LOWER(SUBSTITUTE(SUBSTITUTE(SUBSTITUTE(SUBSTITUTE(SUBSTITUTE('Ingest Template'!X785,"https:",""),"www.",""),"/",""),"?hl=en",""),"instagram.com",""))</f>
        <v/>
      </c>
      <c r="W785" s="74" t="str">
        <f t="array" ref="W785">IF(
'Ingest Template'!Y785="",
SUBSTITUTE(
INDEX(DropdownLists!$F$2:$F$277,MATCH('Ingest Template'!D785,DropdownLists!$C$2:$C$277,0)),
CHAR(10),
"|"&amp;'Ingest Template'!C785&amp;CHAR(10)
)&amp;"|"&amp;'Ingest Template'!C785,
SUBSTITUTE(
INDEX(DropdownLists!$F$2:$F$277,MATCH('Ingest Template'!D785,DropdownLists!$C$2:$C$277,0)),
CHAR(10),
"|"&amp;'Ingest Template'!C785&amp;CHAR(10)
)&amp;"|"&amp;'Ingest Template'!C785&amp;CHAR(10)&amp;'Ingest Template'!Y785
)</f>
        <v>#N/A</v>
      </c>
      <c r="X785" s="74" t="str">
        <f>'Ingest Template'!Z785</f>
        <v/>
      </c>
      <c r="Y785" s="35" t="str">
        <f>SUBSTITUTE(SUBSTITUTE(SUBSTITUTE('Ingest Template'!AA785,"http:",""),"https:",""),"/","")</f>
        <v/>
      </c>
      <c r="Z785" s="35" t="str">
        <f t="array" ref="Z785">IF('Ingest Template'!A785="Standard",(IF(ISBLANK('Ingest Template'!AB785),"", 'Ingest Template'!AB785&amp;"|DAR")),(IF(ISBLANK('Ingest Template'!AB785),"", 'Ingest Template'!AB785&amp;"|TV Ops")))</f>
        <v/>
      </c>
      <c r="AA785" s="35"/>
      <c r="AB785" s="35" t="str">
        <f>'Ingest Template'!R785</f>
        <v/>
      </c>
      <c r="AC785" s="35" t="str">
        <f>'Ingest Template'!T785</f>
        <v/>
      </c>
      <c r="AD785" s="35" t="str">
        <f>'Ingest Template'!S785</f>
        <v/>
      </c>
      <c r="AE785" s="35" t="str">
        <f>'Ingest Template'!U785</f>
        <v/>
      </c>
      <c r="AF785" s="22"/>
      <c r="AG785" s="35" t="str">
        <f t="array" ref="AG785">IF('Ingest Template'!A785="Standard",(CONCATENATE(IF(ISBLANK('Ingest Template'!N785),"", 'Ingest Template'!N785&amp;"|DAR"),CHAR(10), IF(ISBLANK('Ingest Template'!O785),"", 'Ingest Template'!O785&amp;"|DAR"),CHAR(10), IF(ISBLANK('Ingest Template'!P785),"", 'Ingest Template'!P785&amp;"|DAR"))),(CONCATENATE(IF(ISBLANK('Ingest Template'!N785),"", 'Ingest Template'!N785&amp;"|TV Ops"),CHAR(10), IF(ISBLANK('Ingest Template'!O785),"", 'Ingest Template'!O785&amp;"|TV Ops"),CHAR(10), IF(ISBLANK('Ingest Template'!P785),"", 'Ingest Template'!P785&amp;"|TV Ops"))))</f>
        <v>
</v>
      </c>
      <c r="AH785" s="35"/>
      <c r="AI785" s="35"/>
      <c r="AJ785" s="117" t="str">
        <f>if('Ingest Template'!A785="Standard",(IF(OR('Ingest Template'!F785 = "Program Type - Special", 'Ingest Template'!F785 = "Program Type - Live Event"),'Ingest Template'!M785&amp; "|DAR|DAR|"&amp;TEXT('Ingest Template'!C785-3, "yyyy-mm-dd")&amp;"|"&amp;TEXT('Ingest Template'!C785+3, "yyyy-mm-dd"),'Ingest Template'!M785&amp; "|DAR|DAR|2021-01-01")),(IF(OR('Ingest Template'!F785 = "Program Type - Special", 'Ingest Template'!F785 = "Program Type - Live Event"),'Ingest Template'!M785&amp; "|Operations - Core Title|Operations - Core Title|"&amp;TEXT('Ingest Template'!C785-3, "yyyy-mm-dd")&amp;"|"&amp;TEXT('Ingest Template'!C785+3, "yyyy-mm-dd"),'Ingest Template'!M785&amp; "|Operations - Core Title|Operations - Core Title")))</f>
        <v>|Operations - Core Title|Operations - Core Title</v>
      </c>
      <c r="AK785" s="35"/>
      <c r="AL785" s="117" t="str">
        <f>if('Ingest Template'!A785="Standard",(IF(OR('Ingest Template'!F785 = "Program Type - Special", 'Ingest Template'!F785 = "Program Type - Live Event"),'Ingest Template'!Q785&amp;"|"&amp;TEXT('Ingest Template'!C785-3, "yyyy-mm-dd")&amp;"|"&amp;TEXT('Ingest Template'!C785+3, "yyyy-mm-dd"),'Ingest Template'!Q785&amp; "|2021-01-01")),(IF(OR('Ingest Template'!F785 = "Program Type - Special", 'Ingest Template'!F785 = "Program Type - Live Event"),'Ingest Template'!Q785&amp; "|"&amp;TEXT('Ingest Template'!C785-3, "yyyy-mm-dd")&amp;"|"&amp;TEXT('Ingest Template'!C785+3, "yyyy-mm-dd"),'Ingest Template'!Q785)))</f>
        <v/>
      </c>
      <c r="AM785" s="35" t="str">
        <f>'Ingest Template'!AC785</f>
        <v/>
      </c>
    </row>
    <row r="786">
      <c r="A786" s="15"/>
      <c r="B786" s="22" t="str">
        <f>'Ingest Template'!C786&amp;IF('Ingest Template'!A786 = "Standard", " - DAR","")</f>
        <v/>
      </c>
      <c r="C786" s="22" t="s">
        <v>83</v>
      </c>
      <c r="D786" s="22" t="str">
        <f t="array" ref="D786">CONCATENATE(INDEX(DropdownLists!$H$2:$H$11,MATCH(1,COUNTIF('Ingest Template'!E786,"*"&amp;DropdownLists!$I$2:$I$11&amp;"*"),0)),CHAR(10),'Ingest Template'!F786,CHAR(10),'Ingest Template'!G786,CHAR(10),VLOOKUP('Ingest Template'!D786,DropdownLists!C:D,2,FALSE))</f>
        <v>#N/A</v>
      </c>
      <c r="E786" s="22" t="str">
        <f>CONCATENATE('Ingest Template'!H786,CHAR(10),'Ingest Template'!I786,CHAR(10),'Ingest Template'!J786,CHAR(10))</f>
        <v>
</v>
      </c>
      <c r="F786" s="35" t="str">
        <f t="array" ref="F786">INDEX(DropdownLists!$O$2:$O$36,MATCH(1,COUNTIF(E786,"*"&amp;DropdownLists!$N$2:$N$36&amp;"*"),0))</f>
        <v/>
      </c>
      <c r="G786" s="35"/>
      <c r="H786" s="22" t="str">
        <f t="array" ref="H786">INDEX(DropdownLists!$E$2:$E$276,MATCH('Ingest Template'!D786,DropdownLists!$C$2:$C$276,0))</f>
        <v>#N/A</v>
      </c>
      <c r="I786" s="22"/>
      <c r="J786" s="22" t="str">
        <f t="array" ref="J786">iF('Ingest Template'!A786="Standard","Pristine Brand",INDEX(DropdownLists!$B$2:$B$246,MATCH('Ingest Template'!D786,DropdownLists!$C$2:$C$246,0)))</f>
        <v>#N/A</v>
      </c>
      <c r="K786" s="22" t="str">
        <f>iF('Ingest Template'!A786="Standard",'Ingest Template'!K786&amp;CHAR(10)&amp;'Ingest Template'!L786,"Competitive View")</f>
        <v>Competitive View</v>
      </c>
      <c r="L786" s="22" t="s">
        <v>95</v>
      </c>
      <c r="M786" s="45" t="str">
        <f>'Ingest Template'!B786</f>
        <v/>
      </c>
      <c r="N786" s="35"/>
      <c r="O786" s="35"/>
      <c r="P786" s="35"/>
      <c r="Q786" s="35"/>
      <c r="R786" s="35" t="str">
        <f>'Ingest Template'!D786</f>
        <v/>
      </c>
      <c r="S786" s="22" t="s">
        <v>101</v>
      </c>
      <c r="T786" s="35" t="str">
        <f>'Ingest Template'!V786</f>
        <v/>
      </c>
      <c r="U786" s="35" t="str">
        <f>'Ingest Template'!W786</f>
        <v/>
      </c>
      <c r="V786" s="35" t="str">
        <f>LOWER(SUBSTITUTE(SUBSTITUTE(SUBSTITUTE(SUBSTITUTE(SUBSTITUTE('Ingest Template'!X786,"https:",""),"www.",""),"/",""),"?hl=en",""),"instagram.com",""))</f>
        <v/>
      </c>
      <c r="W786" s="74" t="str">
        <f t="array" ref="W786">IF(
'Ingest Template'!Y786="",
SUBSTITUTE(
INDEX(DropdownLists!$F$2:$F$277,MATCH('Ingest Template'!D786,DropdownLists!$C$2:$C$277,0)),
CHAR(10),
"|"&amp;'Ingest Template'!C786&amp;CHAR(10)
)&amp;"|"&amp;'Ingest Template'!C786,
SUBSTITUTE(
INDEX(DropdownLists!$F$2:$F$277,MATCH('Ingest Template'!D786,DropdownLists!$C$2:$C$277,0)),
CHAR(10),
"|"&amp;'Ingest Template'!C786&amp;CHAR(10)
)&amp;"|"&amp;'Ingest Template'!C786&amp;CHAR(10)&amp;'Ingest Template'!Y786
)</f>
        <v>#N/A</v>
      </c>
      <c r="X786" s="74" t="str">
        <f>'Ingest Template'!Z786</f>
        <v/>
      </c>
      <c r="Y786" s="35" t="str">
        <f>SUBSTITUTE(SUBSTITUTE(SUBSTITUTE('Ingest Template'!AA786,"http:",""),"https:",""),"/","")</f>
        <v/>
      </c>
      <c r="Z786" s="35" t="str">
        <f t="array" ref="Z786">IF('Ingest Template'!A786="Standard",(IF(ISBLANK('Ingest Template'!AB786),"", 'Ingest Template'!AB786&amp;"|DAR")),(IF(ISBLANK('Ingest Template'!AB786),"", 'Ingest Template'!AB786&amp;"|TV Ops")))</f>
        <v/>
      </c>
      <c r="AA786" s="35"/>
      <c r="AB786" s="35" t="str">
        <f>'Ingest Template'!R786</f>
        <v/>
      </c>
      <c r="AC786" s="35" t="str">
        <f>'Ingest Template'!T786</f>
        <v/>
      </c>
      <c r="AD786" s="35" t="str">
        <f>'Ingest Template'!S786</f>
        <v/>
      </c>
      <c r="AE786" s="35" t="str">
        <f>'Ingest Template'!U786</f>
        <v/>
      </c>
      <c r="AF786" s="22"/>
      <c r="AG786" s="35" t="str">
        <f t="array" ref="AG786">IF('Ingest Template'!A786="Standard",(CONCATENATE(IF(ISBLANK('Ingest Template'!N786),"", 'Ingest Template'!N786&amp;"|DAR"),CHAR(10), IF(ISBLANK('Ingest Template'!O786),"", 'Ingest Template'!O786&amp;"|DAR"),CHAR(10), IF(ISBLANK('Ingest Template'!P786),"", 'Ingest Template'!P786&amp;"|DAR"))),(CONCATENATE(IF(ISBLANK('Ingest Template'!N786),"", 'Ingest Template'!N786&amp;"|TV Ops"),CHAR(10), IF(ISBLANK('Ingest Template'!O786),"", 'Ingest Template'!O786&amp;"|TV Ops"),CHAR(10), IF(ISBLANK('Ingest Template'!P786),"", 'Ingest Template'!P786&amp;"|TV Ops"))))</f>
        <v>
</v>
      </c>
      <c r="AH786" s="35"/>
      <c r="AI786" s="35"/>
      <c r="AJ786" s="117" t="str">
        <f>if('Ingest Template'!A786="Standard",(IF(OR('Ingest Template'!F786 = "Program Type - Special", 'Ingest Template'!F786 = "Program Type - Live Event"),'Ingest Template'!M786&amp; "|DAR|DAR|"&amp;TEXT('Ingest Template'!C786-3, "yyyy-mm-dd")&amp;"|"&amp;TEXT('Ingest Template'!C786+3, "yyyy-mm-dd"),'Ingest Template'!M786&amp; "|DAR|DAR|2021-01-01")),(IF(OR('Ingest Template'!F786 = "Program Type - Special", 'Ingest Template'!F786 = "Program Type - Live Event"),'Ingest Template'!M786&amp; "|Operations - Core Title|Operations - Core Title|"&amp;TEXT('Ingest Template'!C786-3, "yyyy-mm-dd")&amp;"|"&amp;TEXT('Ingest Template'!C786+3, "yyyy-mm-dd"),'Ingest Template'!M786&amp; "|Operations - Core Title|Operations - Core Title")))</f>
        <v>|Operations - Core Title|Operations - Core Title</v>
      </c>
      <c r="AK786" s="35"/>
      <c r="AL786" s="117" t="str">
        <f>if('Ingest Template'!A786="Standard",(IF(OR('Ingest Template'!F786 = "Program Type - Special", 'Ingest Template'!F786 = "Program Type - Live Event"),'Ingest Template'!Q786&amp;"|"&amp;TEXT('Ingest Template'!C786-3, "yyyy-mm-dd")&amp;"|"&amp;TEXT('Ingest Template'!C786+3, "yyyy-mm-dd"),'Ingest Template'!Q786&amp; "|2021-01-01")),(IF(OR('Ingest Template'!F786 = "Program Type - Special", 'Ingest Template'!F786 = "Program Type - Live Event"),'Ingest Template'!Q786&amp; "|"&amp;TEXT('Ingest Template'!C786-3, "yyyy-mm-dd")&amp;"|"&amp;TEXT('Ingest Template'!C786+3, "yyyy-mm-dd"),'Ingest Template'!Q786)))</f>
        <v/>
      </c>
      <c r="AM786" s="35" t="str">
        <f>'Ingest Template'!AC786</f>
        <v/>
      </c>
    </row>
    <row r="787">
      <c r="A787" s="15"/>
      <c r="B787" s="22" t="str">
        <f>'Ingest Template'!C787&amp;IF('Ingest Template'!A787 = "Standard", " - DAR","")</f>
        <v/>
      </c>
      <c r="C787" s="22" t="s">
        <v>83</v>
      </c>
      <c r="D787" s="22" t="str">
        <f t="array" ref="D787">CONCATENATE(INDEX(DropdownLists!$H$2:$H$11,MATCH(1,COUNTIF('Ingest Template'!E787,"*"&amp;DropdownLists!$I$2:$I$11&amp;"*"),0)),CHAR(10),'Ingest Template'!F787,CHAR(10),'Ingest Template'!G787,CHAR(10),VLOOKUP('Ingest Template'!D787,DropdownLists!C:D,2,FALSE))</f>
        <v>#N/A</v>
      </c>
      <c r="E787" s="22" t="str">
        <f>CONCATENATE('Ingest Template'!H787,CHAR(10),'Ingest Template'!I787,CHAR(10),'Ingest Template'!J787,CHAR(10))</f>
        <v>
</v>
      </c>
      <c r="F787" s="35" t="str">
        <f t="array" ref="F787">INDEX(DropdownLists!$O$2:$O$36,MATCH(1,COUNTIF(E787,"*"&amp;DropdownLists!$N$2:$N$36&amp;"*"),0))</f>
        <v/>
      </c>
      <c r="G787" s="35"/>
      <c r="H787" s="22" t="str">
        <f t="array" ref="H787">INDEX(DropdownLists!$E$2:$E$276,MATCH('Ingest Template'!D787,DropdownLists!$C$2:$C$276,0))</f>
        <v>#N/A</v>
      </c>
      <c r="I787" s="22"/>
      <c r="J787" s="22" t="str">
        <f t="array" ref="J787">iF('Ingest Template'!A787="Standard","Pristine Brand",INDEX(DropdownLists!$B$2:$B$246,MATCH('Ingest Template'!D787,DropdownLists!$C$2:$C$246,0)))</f>
        <v>#N/A</v>
      </c>
      <c r="K787" s="22" t="str">
        <f>iF('Ingest Template'!A787="Standard",'Ingest Template'!K787&amp;CHAR(10)&amp;'Ingest Template'!L787,"Competitive View")</f>
        <v>Competitive View</v>
      </c>
      <c r="L787" s="22" t="s">
        <v>95</v>
      </c>
      <c r="M787" s="45" t="str">
        <f>'Ingest Template'!B787</f>
        <v/>
      </c>
      <c r="N787" s="35"/>
      <c r="O787" s="35"/>
      <c r="P787" s="35"/>
      <c r="Q787" s="35"/>
      <c r="R787" s="35" t="str">
        <f>'Ingest Template'!D787</f>
        <v/>
      </c>
      <c r="S787" s="22" t="s">
        <v>101</v>
      </c>
      <c r="T787" s="35" t="str">
        <f>'Ingest Template'!V787</f>
        <v/>
      </c>
      <c r="U787" s="35" t="str">
        <f>'Ingest Template'!W787</f>
        <v/>
      </c>
      <c r="V787" s="35" t="str">
        <f>LOWER(SUBSTITUTE(SUBSTITUTE(SUBSTITUTE(SUBSTITUTE(SUBSTITUTE('Ingest Template'!X787,"https:",""),"www.",""),"/",""),"?hl=en",""),"instagram.com",""))</f>
        <v/>
      </c>
      <c r="W787" s="74" t="str">
        <f t="array" ref="W787">IF(
'Ingest Template'!Y787="",
SUBSTITUTE(
INDEX(DropdownLists!$F$2:$F$277,MATCH('Ingest Template'!D787,DropdownLists!$C$2:$C$277,0)),
CHAR(10),
"|"&amp;'Ingest Template'!C787&amp;CHAR(10)
)&amp;"|"&amp;'Ingest Template'!C787,
SUBSTITUTE(
INDEX(DropdownLists!$F$2:$F$277,MATCH('Ingest Template'!D787,DropdownLists!$C$2:$C$277,0)),
CHAR(10),
"|"&amp;'Ingest Template'!C787&amp;CHAR(10)
)&amp;"|"&amp;'Ingest Template'!C787&amp;CHAR(10)&amp;'Ingest Template'!Y787
)</f>
        <v>#N/A</v>
      </c>
      <c r="X787" s="74" t="str">
        <f>'Ingest Template'!Z787</f>
        <v/>
      </c>
      <c r="Y787" s="35" t="str">
        <f>SUBSTITUTE(SUBSTITUTE(SUBSTITUTE('Ingest Template'!AA787,"http:",""),"https:",""),"/","")</f>
        <v/>
      </c>
      <c r="Z787" s="35" t="str">
        <f t="array" ref="Z787">IF('Ingest Template'!A787="Standard",(IF(ISBLANK('Ingest Template'!AB787),"", 'Ingest Template'!AB787&amp;"|DAR")),(IF(ISBLANK('Ingest Template'!AB787),"", 'Ingest Template'!AB787&amp;"|TV Ops")))</f>
        <v/>
      </c>
      <c r="AA787" s="35"/>
      <c r="AB787" s="35" t="str">
        <f>'Ingest Template'!R787</f>
        <v/>
      </c>
      <c r="AC787" s="35" t="str">
        <f>'Ingest Template'!T787</f>
        <v/>
      </c>
      <c r="AD787" s="35" t="str">
        <f>'Ingest Template'!S787</f>
        <v/>
      </c>
      <c r="AE787" s="35" t="str">
        <f>'Ingest Template'!U787</f>
        <v/>
      </c>
      <c r="AF787" s="22"/>
      <c r="AG787" s="35" t="str">
        <f t="array" ref="AG787">IF('Ingest Template'!A787="Standard",(CONCATENATE(IF(ISBLANK('Ingest Template'!N787),"", 'Ingest Template'!N787&amp;"|DAR"),CHAR(10), IF(ISBLANK('Ingest Template'!O787),"", 'Ingest Template'!O787&amp;"|DAR"),CHAR(10), IF(ISBLANK('Ingest Template'!P787),"", 'Ingest Template'!P787&amp;"|DAR"))),(CONCATENATE(IF(ISBLANK('Ingest Template'!N787),"", 'Ingest Template'!N787&amp;"|TV Ops"),CHAR(10), IF(ISBLANK('Ingest Template'!O787),"", 'Ingest Template'!O787&amp;"|TV Ops"),CHAR(10), IF(ISBLANK('Ingest Template'!P787),"", 'Ingest Template'!P787&amp;"|TV Ops"))))</f>
        <v>
</v>
      </c>
      <c r="AH787" s="35"/>
      <c r="AI787" s="35"/>
      <c r="AJ787" s="117" t="str">
        <f>if('Ingest Template'!A787="Standard",(IF(OR('Ingest Template'!F787 = "Program Type - Special", 'Ingest Template'!F787 = "Program Type - Live Event"),'Ingest Template'!M787&amp; "|DAR|DAR|"&amp;TEXT('Ingest Template'!C787-3, "yyyy-mm-dd")&amp;"|"&amp;TEXT('Ingest Template'!C787+3, "yyyy-mm-dd"),'Ingest Template'!M787&amp; "|DAR|DAR|2021-01-01")),(IF(OR('Ingest Template'!F787 = "Program Type - Special", 'Ingest Template'!F787 = "Program Type - Live Event"),'Ingest Template'!M787&amp; "|Operations - Core Title|Operations - Core Title|"&amp;TEXT('Ingest Template'!C787-3, "yyyy-mm-dd")&amp;"|"&amp;TEXT('Ingest Template'!C787+3, "yyyy-mm-dd"),'Ingest Template'!M787&amp; "|Operations - Core Title|Operations - Core Title")))</f>
        <v>|Operations - Core Title|Operations - Core Title</v>
      </c>
      <c r="AK787" s="35"/>
      <c r="AL787" s="117" t="str">
        <f>if('Ingest Template'!A787="Standard",(IF(OR('Ingest Template'!F787 = "Program Type - Special", 'Ingest Template'!F787 = "Program Type - Live Event"),'Ingest Template'!Q787&amp;"|"&amp;TEXT('Ingest Template'!C787-3, "yyyy-mm-dd")&amp;"|"&amp;TEXT('Ingest Template'!C787+3, "yyyy-mm-dd"),'Ingest Template'!Q787&amp; "|2021-01-01")),(IF(OR('Ingest Template'!F787 = "Program Type - Special", 'Ingest Template'!F787 = "Program Type - Live Event"),'Ingest Template'!Q787&amp; "|"&amp;TEXT('Ingest Template'!C787-3, "yyyy-mm-dd")&amp;"|"&amp;TEXT('Ingest Template'!C787+3, "yyyy-mm-dd"),'Ingest Template'!Q787)))</f>
        <v/>
      </c>
      <c r="AM787" s="35" t="str">
        <f>'Ingest Template'!AC787</f>
        <v/>
      </c>
    </row>
    <row r="788">
      <c r="A788" s="15"/>
      <c r="B788" s="22" t="str">
        <f>'Ingest Template'!C788&amp;IF('Ingest Template'!A788 = "Standard", " - DAR","")</f>
        <v/>
      </c>
      <c r="C788" s="22" t="s">
        <v>83</v>
      </c>
      <c r="D788" s="22" t="str">
        <f t="array" ref="D788">CONCATENATE(INDEX(DropdownLists!$H$2:$H$11,MATCH(1,COUNTIF('Ingest Template'!E788,"*"&amp;DropdownLists!$I$2:$I$11&amp;"*"),0)),CHAR(10),'Ingest Template'!F788,CHAR(10),'Ingest Template'!G788,CHAR(10),VLOOKUP('Ingest Template'!D788,DropdownLists!C:D,2,FALSE))</f>
        <v>#N/A</v>
      </c>
      <c r="E788" s="22" t="str">
        <f>CONCATENATE('Ingest Template'!H788,CHAR(10),'Ingest Template'!I788,CHAR(10),'Ingest Template'!J788,CHAR(10))</f>
        <v>
</v>
      </c>
      <c r="F788" s="35" t="str">
        <f t="array" ref="F788">INDEX(DropdownLists!$O$2:$O$36,MATCH(1,COUNTIF(E788,"*"&amp;DropdownLists!$N$2:$N$36&amp;"*"),0))</f>
        <v/>
      </c>
      <c r="G788" s="35"/>
      <c r="H788" s="22" t="str">
        <f t="array" ref="H788">INDEX(DropdownLists!$E$2:$E$276,MATCH('Ingest Template'!D788,DropdownLists!$C$2:$C$276,0))</f>
        <v>#N/A</v>
      </c>
      <c r="I788" s="22"/>
      <c r="J788" s="22" t="str">
        <f t="array" ref="J788">iF('Ingest Template'!A788="Standard","Pristine Brand",INDEX(DropdownLists!$B$2:$B$246,MATCH('Ingest Template'!D788,DropdownLists!$C$2:$C$246,0)))</f>
        <v>#N/A</v>
      </c>
      <c r="K788" s="22" t="str">
        <f>iF('Ingest Template'!A788="Standard",'Ingest Template'!K788&amp;CHAR(10)&amp;'Ingest Template'!L788,"Competitive View")</f>
        <v>Competitive View</v>
      </c>
      <c r="L788" s="22" t="s">
        <v>95</v>
      </c>
      <c r="M788" s="45" t="str">
        <f>'Ingest Template'!B788</f>
        <v/>
      </c>
      <c r="N788" s="35"/>
      <c r="O788" s="35"/>
      <c r="P788" s="35"/>
      <c r="Q788" s="35"/>
      <c r="R788" s="35" t="str">
        <f>'Ingest Template'!D788</f>
        <v/>
      </c>
      <c r="S788" s="22" t="s">
        <v>101</v>
      </c>
      <c r="T788" s="35" t="str">
        <f>'Ingest Template'!V788</f>
        <v/>
      </c>
      <c r="U788" s="35" t="str">
        <f>'Ingest Template'!W788</f>
        <v/>
      </c>
      <c r="V788" s="35" t="str">
        <f>LOWER(SUBSTITUTE(SUBSTITUTE(SUBSTITUTE(SUBSTITUTE(SUBSTITUTE('Ingest Template'!X788,"https:",""),"www.",""),"/",""),"?hl=en",""),"instagram.com",""))</f>
        <v/>
      </c>
      <c r="W788" s="74" t="str">
        <f t="array" ref="W788">IF(
'Ingest Template'!Y788="",
SUBSTITUTE(
INDEX(DropdownLists!$F$2:$F$277,MATCH('Ingest Template'!D788,DropdownLists!$C$2:$C$277,0)),
CHAR(10),
"|"&amp;'Ingest Template'!C788&amp;CHAR(10)
)&amp;"|"&amp;'Ingest Template'!C788,
SUBSTITUTE(
INDEX(DropdownLists!$F$2:$F$277,MATCH('Ingest Template'!D788,DropdownLists!$C$2:$C$277,0)),
CHAR(10),
"|"&amp;'Ingest Template'!C788&amp;CHAR(10)
)&amp;"|"&amp;'Ingest Template'!C788&amp;CHAR(10)&amp;'Ingest Template'!Y788
)</f>
        <v>#N/A</v>
      </c>
      <c r="X788" s="74" t="str">
        <f>'Ingest Template'!Z788</f>
        <v/>
      </c>
      <c r="Y788" s="35" t="str">
        <f>SUBSTITUTE(SUBSTITUTE(SUBSTITUTE('Ingest Template'!AA788,"http:",""),"https:",""),"/","")</f>
        <v/>
      </c>
      <c r="Z788" s="35" t="str">
        <f t="array" ref="Z788">IF('Ingest Template'!A788="Standard",(IF(ISBLANK('Ingest Template'!AB788),"", 'Ingest Template'!AB788&amp;"|DAR")),(IF(ISBLANK('Ingest Template'!AB788),"", 'Ingest Template'!AB788&amp;"|TV Ops")))</f>
        <v/>
      </c>
      <c r="AA788" s="35"/>
      <c r="AB788" s="35" t="str">
        <f>'Ingest Template'!R788</f>
        <v/>
      </c>
      <c r="AC788" s="35" t="str">
        <f>'Ingest Template'!T788</f>
        <v/>
      </c>
      <c r="AD788" s="35" t="str">
        <f>'Ingest Template'!S788</f>
        <v/>
      </c>
      <c r="AE788" s="35" t="str">
        <f>'Ingest Template'!U788</f>
        <v/>
      </c>
      <c r="AF788" s="22"/>
      <c r="AG788" s="35" t="str">
        <f t="array" ref="AG788">IF('Ingest Template'!A788="Standard",(CONCATENATE(IF(ISBLANK('Ingest Template'!N788),"", 'Ingest Template'!N788&amp;"|DAR"),CHAR(10), IF(ISBLANK('Ingest Template'!O788),"", 'Ingest Template'!O788&amp;"|DAR"),CHAR(10), IF(ISBLANK('Ingest Template'!P788),"", 'Ingest Template'!P788&amp;"|DAR"))),(CONCATENATE(IF(ISBLANK('Ingest Template'!N788),"", 'Ingest Template'!N788&amp;"|TV Ops"),CHAR(10), IF(ISBLANK('Ingest Template'!O788),"", 'Ingest Template'!O788&amp;"|TV Ops"),CHAR(10), IF(ISBLANK('Ingest Template'!P788),"", 'Ingest Template'!P788&amp;"|TV Ops"))))</f>
        <v>
</v>
      </c>
      <c r="AH788" s="35"/>
      <c r="AI788" s="35"/>
      <c r="AJ788" s="117" t="str">
        <f>if('Ingest Template'!A788="Standard",(IF(OR('Ingest Template'!F788 = "Program Type - Special", 'Ingest Template'!F788 = "Program Type - Live Event"),'Ingest Template'!M788&amp; "|DAR|DAR|"&amp;TEXT('Ingest Template'!C788-3, "yyyy-mm-dd")&amp;"|"&amp;TEXT('Ingest Template'!C788+3, "yyyy-mm-dd"),'Ingest Template'!M788&amp; "|DAR|DAR|2021-01-01")),(IF(OR('Ingest Template'!F788 = "Program Type - Special", 'Ingest Template'!F788 = "Program Type - Live Event"),'Ingest Template'!M788&amp; "|Operations - Core Title|Operations - Core Title|"&amp;TEXT('Ingest Template'!C788-3, "yyyy-mm-dd")&amp;"|"&amp;TEXT('Ingest Template'!C788+3, "yyyy-mm-dd"),'Ingest Template'!M788&amp; "|Operations - Core Title|Operations - Core Title")))</f>
        <v>|Operations - Core Title|Operations - Core Title</v>
      </c>
      <c r="AK788" s="35"/>
      <c r="AL788" s="117" t="str">
        <f>if('Ingest Template'!A788="Standard",(IF(OR('Ingest Template'!F788 = "Program Type - Special", 'Ingest Template'!F788 = "Program Type - Live Event"),'Ingest Template'!Q788&amp;"|"&amp;TEXT('Ingest Template'!C788-3, "yyyy-mm-dd")&amp;"|"&amp;TEXT('Ingest Template'!C788+3, "yyyy-mm-dd"),'Ingest Template'!Q788&amp; "|2021-01-01")),(IF(OR('Ingest Template'!F788 = "Program Type - Special", 'Ingest Template'!F788 = "Program Type - Live Event"),'Ingest Template'!Q788&amp; "|"&amp;TEXT('Ingest Template'!C788-3, "yyyy-mm-dd")&amp;"|"&amp;TEXT('Ingest Template'!C788+3, "yyyy-mm-dd"),'Ingest Template'!Q788)))</f>
        <v/>
      </c>
      <c r="AM788" s="35" t="str">
        <f>'Ingest Template'!AC788</f>
        <v/>
      </c>
    </row>
    <row r="789">
      <c r="A789" s="15"/>
      <c r="B789" s="22" t="str">
        <f>'Ingest Template'!C789&amp;IF('Ingest Template'!A789 = "Standard", " - DAR","")</f>
        <v/>
      </c>
      <c r="C789" s="22" t="s">
        <v>83</v>
      </c>
      <c r="D789" s="22" t="str">
        <f t="array" ref="D789">CONCATENATE(INDEX(DropdownLists!$H$2:$H$11,MATCH(1,COUNTIF('Ingest Template'!E789,"*"&amp;DropdownLists!$I$2:$I$11&amp;"*"),0)),CHAR(10),'Ingest Template'!F789,CHAR(10),'Ingest Template'!G789,CHAR(10),VLOOKUP('Ingest Template'!D789,DropdownLists!C:D,2,FALSE))</f>
        <v>#N/A</v>
      </c>
      <c r="E789" s="22" t="str">
        <f>CONCATENATE('Ingest Template'!H789,CHAR(10),'Ingest Template'!I789,CHAR(10),'Ingest Template'!J789,CHAR(10))</f>
        <v>
</v>
      </c>
      <c r="F789" s="35" t="str">
        <f t="array" ref="F789">INDEX(DropdownLists!$O$2:$O$36,MATCH(1,COUNTIF(E789,"*"&amp;DropdownLists!$N$2:$N$36&amp;"*"),0))</f>
        <v/>
      </c>
      <c r="G789" s="35"/>
      <c r="H789" s="22" t="str">
        <f t="array" ref="H789">INDEX(DropdownLists!$E$2:$E$276,MATCH('Ingest Template'!D789,DropdownLists!$C$2:$C$276,0))</f>
        <v>#N/A</v>
      </c>
      <c r="I789" s="22"/>
      <c r="J789" s="22" t="str">
        <f t="array" ref="J789">iF('Ingest Template'!A789="Standard","Pristine Brand",INDEX(DropdownLists!$B$2:$B$246,MATCH('Ingest Template'!D789,DropdownLists!$C$2:$C$246,0)))</f>
        <v>#N/A</v>
      </c>
      <c r="K789" s="22" t="str">
        <f>iF('Ingest Template'!A789="Standard",'Ingest Template'!K789&amp;CHAR(10)&amp;'Ingest Template'!L789,"Competitive View")</f>
        <v>Competitive View</v>
      </c>
      <c r="L789" s="22" t="s">
        <v>95</v>
      </c>
      <c r="M789" s="45" t="str">
        <f>'Ingest Template'!B789</f>
        <v/>
      </c>
      <c r="N789" s="35"/>
      <c r="O789" s="35"/>
      <c r="P789" s="35"/>
      <c r="Q789" s="35"/>
      <c r="R789" s="35" t="str">
        <f>'Ingest Template'!D789</f>
        <v/>
      </c>
      <c r="S789" s="22" t="s">
        <v>101</v>
      </c>
      <c r="T789" s="35" t="str">
        <f>'Ingest Template'!V789</f>
        <v/>
      </c>
      <c r="U789" s="35" t="str">
        <f>'Ingest Template'!W789</f>
        <v/>
      </c>
      <c r="V789" s="35" t="str">
        <f>LOWER(SUBSTITUTE(SUBSTITUTE(SUBSTITUTE(SUBSTITUTE(SUBSTITUTE('Ingest Template'!X789,"https:",""),"www.",""),"/",""),"?hl=en",""),"instagram.com",""))</f>
        <v/>
      </c>
      <c r="W789" s="74" t="str">
        <f t="array" ref="W789">IF(
'Ingest Template'!Y789="",
SUBSTITUTE(
INDEX(DropdownLists!$F$2:$F$277,MATCH('Ingest Template'!D789,DropdownLists!$C$2:$C$277,0)),
CHAR(10),
"|"&amp;'Ingest Template'!C789&amp;CHAR(10)
)&amp;"|"&amp;'Ingest Template'!C789,
SUBSTITUTE(
INDEX(DropdownLists!$F$2:$F$277,MATCH('Ingest Template'!D789,DropdownLists!$C$2:$C$277,0)),
CHAR(10),
"|"&amp;'Ingest Template'!C789&amp;CHAR(10)
)&amp;"|"&amp;'Ingest Template'!C789&amp;CHAR(10)&amp;'Ingest Template'!Y789
)</f>
        <v>#N/A</v>
      </c>
      <c r="X789" s="74" t="str">
        <f>'Ingest Template'!Z789</f>
        <v/>
      </c>
      <c r="Y789" s="35" t="str">
        <f>SUBSTITUTE(SUBSTITUTE(SUBSTITUTE('Ingest Template'!AA789,"http:",""),"https:",""),"/","")</f>
        <v/>
      </c>
      <c r="Z789" s="35" t="str">
        <f t="array" ref="Z789">IF('Ingest Template'!A789="Standard",(IF(ISBLANK('Ingest Template'!AB789),"", 'Ingest Template'!AB789&amp;"|DAR")),(IF(ISBLANK('Ingest Template'!AB789),"", 'Ingest Template'!AB789&amp;"|TV Ops")))</f>
        <v/>
      </c>
      <c r="AA789" s="35"/>
      <c r="AB789" s="35" t="str">
        <f>'Ingest Template'!R789</f>
        <v/>
      </c>
      <c r="AC789" s="35" t="str">
        <f>'Ingest Template'!T789</f>
        <v/>
      </c>
      <c r="AD789" s="35" t="str">
        <f>'Ingest Template'!S789</f>
        <v/>
      </c>
      <c r="AE789" s="35" t="str">
        <f>'Ingest Template'!U789</f>
        <v/>
      </c>
      <c r="AF789" s="22"/>
      <c r="AG789" s="35" t="str">
        <f t="array" ref="AG789">IF('Ingest Template'!A789="Standard",(CONCATENATE(IF(ISBLANK('Ingest Template'!N789),"", 'Ingest Template'!N789&amp;"|DAR"),CHAR(10), IF(ISBLANK('Ingest Template'!O789),"", 'Ingest Template'!O789&amp;"|DAR"),CHAR(10), IF(ISBLANK('Ingest Template'!P789),"", 'Ingest Template'!P789&amp;"|DAR"))),(CONCATENATE(IF(ISBLANK('Ingest Template'!N789),"", 'Ingest Template'!N789&amp;"|TV Ops"),CHAR(10), IF(ISBLANK('Ingest Template'!O789),"", 'Ingest Template'!O789&amp;"|TV Ops"),CHAR(10), IF(ISBLANK('Ingest Template'!P789),"", 'Ingest Template'!P789&amp;"|TV Ops"))))</f>
        <v>
</v>
      </c>
      <c r="AH789" s="35"/>
      <c r="AI789" s="35"/>
      <c r="AJ789" s="117" t="str">
        <f>if('Ingest Template'!A789="Standard",(IF(OR('Ingest Template'!F789 = "Program Type - Special", 'Ingest Template'!F789 = "Program Type - Live Event"),'Ingest Template'!M789&amp; "|DAR|DAR|"&amp;TEXT('Ingest Template'!C789-3, "yyyy-mm-dd")&amp;"|"&amp;TEXT('Ingest Template'!C789+3, "yyyy-mm-dd"),'Ingest Template'!M789&amp; "|DAR|DAR|2021-01-01")),(IF(OR('Ingest Template'!F789 = "Program Type - Special", 'Ingest Template'!F789 = "Program Type - Live Event"),'Ingest Template'!M789&amp; "|Operations - Core Title|Operations - Core Title|"&amp;TEXT('Ingest Template'!C789-3, "yyyy-mm-dd")&amp;"|"&amp;TEXT('Ingest Template'!C789+3, "yyyy-mm-dd"),'Ingest Template'!M789&amp; "|Operations - Core Title|Operations - Core Title")))</f>
        <v>|Operations - Core Title|Operations - Core Title</v>
      </c>
      <c r="AK789" s="35"/>
      <c r="AL789" s="117" t="str">
        <f>if('Ingest Template'!A789="Standard",(IF(OR('Ingest Template'!F789 = "Program Type - Special", 'Ingest Template'!F789 = "Program Type - Live Event"),'Ingest Template'!Q789&amp;"|"&amp;TEXT('Ingest Template'!C789-3, "yyyy-mm-dd")&amp;"|"&amp;TEXT('Ingest Template'!C789+3, "yyyy-mm-dd"),'Ingest Template'!Q789&amp; "|2021-01-01")),(IF(OR('Ingest Template'!F789 = "Program Type - Special", 'Ingest Template'!F789 = "Program Type - Live Event"),'Ingest Template'!Q789&amp; "|"&amp;TEXT('Ingest Template'!C789-3, "yyyy-mm-dd")&amp;"|"&amp;TEXT('Ingest Template'!C789+3, "yyyy-mm-dd"),'Ingest Template'!Q789)))</f>
        <v/>
      </c>
      <c r="AM789" s="35" t="str">
        <f>'Ingest Template'!AC789</f>
        <v/>
      </c>
    </row>
    <row r="790">
      <c r="A790" s="15"/>
      <c r="B790" s="22" t="str">
        <f>'Ingest Template'!C790&amp;IF('Ingest Template'!A790 = "Standard", " - DAR","")</f>
        <v/>
      </c>
      <c r="C790" s="22" t="s">
        <v>83</v>
      </c>
      <c r="D790" s="22" t="str">
        <f t="array" ref="D790">CONCATENATE(INDEX(DropdownLists!$H$2:$H$11,MATCH(1,COUNTIF('Ingest Template'!E790,"*"&amp;DropdownLists!$I$2:$I$11&amp;"*"),0)),CHAR(10),'Ingest Template'!F790,CHAR(10),'Ingest Template'!G790,CHAR(10),VLOOKUP('Ingest Template'!D790,DropdownLists!C:D,2,FALSE))</f>
        <v>#N/A</v>
      </c>
      <c r="E790" s="22" t="str">
        <f>CONCATENATE('Ingest Template'!H790,CHAR(10),'Ingest Template'!I790,CHAR(10),'Ingest Template'!J790,CHAR(10))</f>
        <v>
</v>
      </c>
      <c r="F790" s="35" t="str">
        <f t="array" ref="F790">INDEX(DropdownLists!$O$2:$O$36,MATCH(1,COUNTIF(E790,"*"&amp;DropdownLists!$N$2:$N$36&amp;"*"),0))</f>
        <v/>
      </c>
      <c r="G790" s="35"/>
      <c r="H790" s="22" t="str">
        <f t="array" ref="H790">INDEX(DropdownLists!$E$2:$E$276,MATCH('Ingest Template'!D790,DropdownLists!$C$2:$C$276,0))</f>
        <v>#N/A</v>
      </c>
      <c r="I790" s="22"/>
      <c r="J790" s="22" t="str">
        <f t="array" ref="J790">iF('Ingest Template'!A790="Standard","Pristine Brand",INDEX(DropdownLists!$B$2:$B$246,MATCH('Ingest Template'!D790,DropdownLists!$C$2:$C$246,0)))</f>
        <v>#N/A</v>
      </c>
      <c r="K790" s="22" t="str">
        <f>iF('Ingest Template'!A790="Standard",'Ingest Template'!K790&amp;CHAR(10)&amp;'Ingest Template'!L790,"Competitive View")</f>
        <v>Competitive View</v>
      </c>
      <c r="L790" s="22" t="s">
        <v>95</v>
      </c>
      <c r="M790" s="45" t="str">
        <f>'Ingest Template'!B790</f>
        <v/>
      </c>
      <c r="N790" s="35"/>
      <c r="O790" s="35"/>
      <c r="P790" s="35"/>
      <c r="Q790" s="35"/>
      <c r="R790" s="35" t="str">
        <f>'Ingest Template'!D790</f>
        <v/>
      </c>
      <c r="S790" s="22" t="s">
        <v>101</v>
      </c>
      <c r="T790" s="35" t="str">
        <f>'Ingest Template'!V790</f>
        <v/>
      </c>
      <c r="U790" s="35" t="str">
        <f>'Ingest Template'!W790</f>
        <v/>
      </c>
      <c r="V790" s="35" t="str">
        <f>LOWER(SUBSTITUTE(SUBSTITUTE(SUBSTITUTE(SUBSTITUTE(SUBSTITUTE('Ingest Template'!X790,"https:",""),"www.",""),"/",""),"?hl=en",""),"instagram.com",""))</f>
        <v/>
      </c>
      <c r="W790" s="74" t="str">
        <f t="array" ref="W790">IF(
'Ingest Template'!Y790="",
SUBSTITUTE(
INDEX(DropdownLists!$F$2:$F$277,MATCH('Ingest Template'!D790,DropdownLists!$C$2:$C$277,0)),
CHAR(10),
"|"&amp;'Ingest Template'!C790&amp;CHAR(10)
)&amp;"|"&amp;'Ingest Template'!C790,
SUBSTITUTE(
INDEX(DropdownLists!$F$2:$F$277,MATCH('Ingest Template'!D790,DropdownLists!$C$2:$C$277,0)),
CHAR(10),
"|"&amp;'Ingest Template'!C790&amp;CHAR(10)
)&amp;"|"&amp;'Ingest Template'!C790&amp;CHAR(10)&amp;'Ingest Template'!Y790
)</f>
        <v>#N/A</v>
      </c>
      <c r="X790" s="74" t="str">
        <f>'Ingest Template'!Z790</f>
        <v/>
      </c>
      <c r="Y790" s="35" t="str">
        <f>SUBSTITUTE(SUBSTITUTE(SUBSTITUTE('Ingest Template'!AA790,"http:",""),"https:",""),"/","")</f>
        <v/>
      </c>
      <c r="Z790" s="35" t="str">
        <f t="array" ref="Z790">IF('Ingest Template'!A790="Standard",(IF(ISBLANK('Ingest Template'!AB790),"", 'Ingest Template'!AB790&amp;"|DAR")),(IF(ISBLANK('Ingest Template'!AB790),"", 'Ingest Template'!AB790&amp;"|TV Ops")))</f>
        <v/>
      </c>
      <c r="AA790" s="35"/>
      <c r="AB790" s="35" t="str">
        <f>'Ingest Template'!R790</f>
        <v/>
      </c>
      <c r="AC790" s="35" t="str">
        <f>'Ingest Template'!T790</f>
        <v/>
      </c>
      <c r="AD790" s="35" t="str">
        <f>'Ingest Template'!S790</f>
        <v/>
      </c>
      <c r="AE790" s="35" t="str">
        <f>'Ingest Template'!U790</f>
        <v/>
      </c>
      <c r="AF790" s="22"/>
      <c r="AG790" s="35" t="str">
        <f t="array" ref="AG790">IF('Ingest Template'!A790="Standard",(CONCATENATE(IF(ISBLANK('Ingest Template'!N790),"", 'Ingest Template'!N790&amp;"|DAR"),CHAR(10), IF(ISBLANK('Ingest Template'!O790),"", 'Ingest Template'!O790&amp;"|DAR"),CHAR(10), IF(ISBLANK('Ingest Template'!P790),"", 'Ingest Template'!P790&amp;"|DAR"))),(CONCATENATE(IF(ISBLANK('Ingest Template'!N790),"", 'Ingest Template'!N790&amp;"|TV Ops"),CHAR(10), IF(ISBLANK('Ingest Template'!O790),"", 'Ingest Template'!O790&amp;"|TV Ops"),CHAR(10), IF(ISBLANK('Ingest Template'!P790),"", 'Ingest Template'!P790&amp;"|TV Ops"))))</f>
        <v>
</v>
      </c>
      <c r="AH790" s="35"/>
      <c r="AI790" s="35"/>
      <c r="AJ790" s="117" t="str">
        <f>if('Ingest Template'!A790="Standard",(IF(OR('Ingest Template'!F790 = "Program Type - Special", 'Ingest Template'!F790 = "Program Type - Live Event"),'Ingest Template'!M790&amp; "|DAR|DAR|"&amp;TEXT('Ingest Template'!C790-3, "yyyy-mm-dd")&amp;"|"&amp;TEXT('Ingest Template'!C790+3, "yyyy-mm-dd"),'Ingest Template'!M790&amp; "|DAR|DAR|2021-01-01")),(IF(OR('Ingest Template'!F790 = "Program Type - Special", 'Ingest Template'!F790 = "Program Type - Live Event"),'Ingest Template'!M790&amp; "|Operations - Core Title|Operations - Core Title|"&amp;TEXT('Ingest Template'!C790-3, "yyyy-mm-dd")&amp;"|"&amp;TEXT('Ingest Template'!C790+3, "yyyy-mm-dd"),'Ingest Template'!M790&amp; "|Operations - Core Title|Operations - Core Title")))</f>
        <v>|Operations - Core Title|Operations - Core Title</v>
      </c>
      <c r="AK790" s="35"/>
      <c r="AL790" s="117" t="str">
        <f>if('Ingest Template'!A790="Standard",(IF(OR('Ingest Template'!F790 = "Program Type - Special", 'Ingest Template'!F790 = "Program Type - Live Event"),'Ingest Template'!Q790&amp;"|"&amp;TEXT('Ingest Template'!C790-3, "yyyy-mm-dd")&amp;"|"&amp;TEXT('Ingest Template'!C790+3, "yyyy-mm-dd"),'Ingest Template'!Q790&amp; "|2021-01-01")),(IF(OR('Ingest Template'!F790 = "Program Type - Special", 'Ingest Template'!F790 = "Program Type - Live Event"),'Ingest Template'!Q790&amp; "|"&amp;TEXT('Ingest Template'!C790-3, "yyyy-mm-dd")&amp;"|"&amp;TEXT('Ingest Template'!C790+3, "yyyy-mm-dd"),'Ingest Template'!Q790)))</f>
        <v/>
      </c>
      <c r="AM790" s="35" t="str">
        <f>'Ingest Template'!AC790</f>
        <v/>
      </c>
    </row>
    <row r="791">
      <c r="A791" s="15"/>
      <c r="B791" s="22" t="str">
        <f>'Ingest Template'!C791&amp;IF('Ingest Template'!A791 = "Standard", " - DAR","")</f>
        <v/>
      </c>
      <c r="C791" s="22" t="s">
        <v>83</v>
      </c>
      <c r="D791" s="22" t="str">
        <f t="array" ref="D791">CONCATENATE(INDEX(DropdownLists!$H$2:$H$11,MATCH(1,COUNTIF('Ingest Template'!E791,"*"&amp;DropdownLists!$I$2:$I$11&amp;"*"),0)),CHAR(10),'Ingest Template'!F791,CHAR(10),'Ingest Template'!G791,CHAR(10),VLOOKUP('Ingest Template'!D791,DropdownLists!C:D,2,FALSE))</f>
        <v>#N/A</v>
      </c>
      <c r="E791" s="22" t="str">
        <f>CONCATENATE('Ingest Template'!H791,CHAR(10),'Ingest Template'!I791,CHAR(10),'Ingest Template'!J791,CHAR(10))</f>
        <v>
</v>
      </c>
      <c r="F791" s="35" t="str">
        <f t="array" ref="F791">INDEX(DropdownLists!$O$2:$O$36,MATCH(1,COUNTIF(E791,"*"&amp;DropdownLists!$N$2:$N$36&amp;"*"),0))</f>
        <v/>
      </c>
      <c r="G791" s="35"/>
      <c r="H791" s="22" t="str">
        <f t="array" ref="H791">INDEX(DropdownLists!$E$2:$E$276,MATCH('Ingest Template'!D791,DropdownLists!$C$2:$C$276,0))</f>
        <v>#N/A</v>
      </c>
      <c r="I791" s="22"/>
      <c r="J791" s="22" t="str">
        <f t="array" ref="J791">iF('Ingest Template'!A791="Standard","Pristine Brand",INDEX(DropdownLists!$B$2:$B$246,MATCH('Ingest Template'!D791,DropdownLists!$C$2:$C$246,0)))</f>
        <v>#N/A</v>
      </c>
      <c r="K791" s="22" t="str">
        <f>iF('Ingest Template'!A791="Standard",'Ingest Template'!K791&amp;CHAR(10)&amp;'Ingest Template'!L791,"Competitive View")</f>
        <v>Competitive View</v>
      </c>
      <c r="L791" s="22" t="s">
        <v>95</v>
      </c>
      <c r="M791" s="45" t="str">
        <f>'Ingest Template'!B791</f>
        <v/>
      </c>
      <c r="N791" s="35"/>
      <c r="O791" s="35"/>
      <c r="P791" s="35"/>
      <c r="Q791" s="35"/>
      <c r="R791" s="35" t="str">
        <f>'Ingest Template'!D791</f>
        <v/>
      </c>
      <c r="S791" s="22" t="s">
        <v>101</v>
      </c>
      <c r="T791" s="35" t="str">
        <f>'Ingest Template'!V791</f>
        <v/>
      </c>
      <c r="U791" s="35" t="str">
        <f>'Ingest Template'!W791</f>
        <v/>
      </c>
      <c r="V791" s="35" t="str">
        <f>LOWER(SUBSTITUTE(SUBSTITUTE(SUBSTITUTE(SUBSTITUTE(SUBSTITUTE('Ingest Template'!X791,"https:",""),"www.",""),"/",""),"?hl=en",""),"instagram.com",""))</f>
        <v/>
      </c>
      <c r="W791" s="74" t="str">
        <f t="array" ref="W791">IF(
'Ingest Template'!Y791="",
SUBSTITUTE(
INDEX(DropdownLists!$F$2:$F$277,MATCH('Ingest Template'!D791,DropdownLists!$C$2:$C$277,0)),
CHAR(10),
"|"&amp;'Ingest Template'!C791&amp;CHAR(10)
)&amp;"|"&amp;'Ingest Template'!C791,
SUBSTITUTE(
INDEX(DropdownLists!$F$2:$F$277,MATCH('Ingest Template'!D791,DropdownLists!$C$2:$C$277,0)),
CHAR(10),
"|"&amp;'Ingest Template'!C791&amp;CHAR(10)
)&amp;"|"&amp;'Ingest Template'!C791&amp;CHAR(10)&amp;'Ingest Template'!Y791
)</f>
        <v>#N/A</v>
      </c>
      <c r="X791" s="74" t="str">
        <f>'Ingest Template'!Z791</f>
        <v/>
      </c>
      <c r="Y791" s="35" t="str">
        <f>SUBSTITUTE(SUBSTITUTE(SUBSTITUTE('Ingest Template'!AA791,"http:",""),"https:",""),"/","")</f>
        <v/>
      </c>
      <c r="Z791" s="35" t="str">
        <f t="array" ref="Z791">IF('Ingest Template'!A791="Standard",(IF(ISBLANK('Ingest Template'!AB791),"", 'Ingest Template'!AB791&amp;"|DAR")),(IF(ISBLANK('Ingest Template'!AB791),"", 'Ingest Template'!AB791&amp;"|TV Ops")))</f>
        <v/>
      </c>
      <c r="AA791" s="35"/>
      <c r="AB791" s="35" t="str">
        <f>'Ingest Template'!R791</f>
        <v/>
      </c>
      <c r="AC791" s="35" t="str">
        <f>'Ingest Template'!T791</f>
        <v/>
      </c>
      <c r="AD791" s="35" t="str">
        <f>'Ingest Template'!S791</f>
        <v/>
      </c>
      <c r="AE791" s="35" t="str">
        <f>'Ingest Template'!U791</f>
        <v/>
      </c>
      <c r="AF791" s="22"/>
      <c r="AG791" s="35" t="str">
        <f t="array" ref="AG791">IF('Ingest Template'!A791="Standard",(CONCATENATE(IF(ISBLANK('Ingest Template'!N791),"", 'Ingest Template'!N791&amp;"|DAR"),CHAR(10), IF(ISBLANK('Ingest Template'!O791),"", 'Ingest Template'!O791&amp;"|DAR"),CHAR(10), IF(ISBLANK('Ingest Template'!P791),"", 'Ingest Template'!P791&amp;"|DAR"))),(CONCATENATE(IF(ISBLANK('Ingest Template'!N791),"", 'Ingest Template'!N791&amp;"|TV Ops"),CHAR(10), IF(ISBLANK('Ingest Template'!O791),"", 'Ingest Template'!O791&amp;"|TV Ops"),CHAR(10), IF(ISBLANK('Ingest Template'!P791),"", 'Ingest Template'!P791&amp;"|TV Ops"))))</f>
        <v>
</v>
      </c>
      <c r="AH791" s="35"/>
      <c r="AI791" s="35"/>
      <c r="AJ791" s="117" t="str">
        <f>if('Ingest Template'!A791="Standard",(IF(OR('Ingest Template'!F791 = "Program Type - Special", 'Ingest Template'!F791 = "Program Type - Live Event"),'Ingest Template'!M791&amp; "|DAR|DAR|"&amp;TEXT('Ingest Template'!C791-3, "yyyy-mm-dd")&amp;"|"&amp;TEXT('Ingest Template'!C791+3, "yyyy-mm-dd"),'Ingest Template'!M791&amp; "|DAR|DAR|2021-01-01")),(IF(OR('Ingest Template'!F791 = "Program Type - Special", 'Ingest Template'!F791 = "Program Type - Live Event"),'Ingest Template'!M791&amp; "|Operations - Core Title|Operations - Core Title|"&amp;TEXT('Ingest Template'!C791-3, "yyyy-mm-dd")&amp;"|"&amp;TEXT('Ingest Template'!C791+3, "yyyy-mm-dd"),'Ingest Template'!M791&amp; "|Operations - Core Title|Operations - Core Title")))</f>
        <v>|Operations - Core Title|Operations - Core Title</v>
      </c>
      <c r="AK791" s="35"/>
      <c r="AL791" s="117" t="str">
        <f>if('Ingest Template'!A791="Standard",(IF(OR('Ingest Template'!F791 = "Program Type - Special", 'Ingest Template'!F791 = "Program Type - Live Event"),'Ingest Template'!Q791&amp;"|"&amp;TEXT('Ingest Template'!C791-3, "yyyy-mm-dd")&amp;"|"&amp;TEXT('Ingest Template'!C791+3, "yyyy-mm-dd"),'Ingest Template'!Q791&amp; "|2021-01-01")),(IF(OR('Ingest Template'!F791 = "Program Type - Special", 'Ingest Template'!F791 = "Program Type - Live Event"),'Ingest Template'!Q791&amp; "|"&amp;TEXT('Ingest Template'!C791-3, "yyyy-mm-dd")&amp;"|"&amp;TEXT('Ingest Template'!C791+3, "yyyy-mm-dd"),'Ingest Template'!Q791)))</f>
        <v/>
      </c>
      <c r="AM791" s="35" t="str">
        <f>'Ingest Template'!AC791</f>
        <v/>
      </c>
    </row>
    <row r="792">
      <c r="A792" s="15"/>
      <c r="B792" s="22" t="str">
        <f>'Ingest Template'!C792&amp;IF('Ingest Template'!A792 = "Standard", " - DAR","")</f>
        <v/>
      </c>
      <c r="C792" s="22" t="s">
        <v>83</v>
      </c>
      <c r="D792" s="22" t="str">
        <f t="array" ref="D792">CONCATENATE(INDEX(DropdownLists!$H$2:$H$11,MATCH(1,COUNTIF('Ingest Template'!E792,"*"&amp;DropdownLists!$I$2:$I$11&amp;"*"),0)),CHAR(10),'Ingest Template'!F792,CHAR(10),'Ingest Template'!G792,CHAR(10),VLOOKUP('Ingest Template'!D792,DropdownLists!C:D,2,FALSE))</f>
        <v>#N/A</v>
      </c>
      <c r="E792" s="22" t="str">
        <f>CONCATENATE('Ingest Template'!H792,CHAR(10),'Ingest Template'!I792,CHAR(10),'Ingest Template'!J792,CHAR(10))</f>
        <v>
</v>
      </c>
      <c r="F792" s="35" t="str">
        <f t="array" ref="F792">INDEX(DropdownLists!$O$2:$O$36,MATCH(1,COUNTIF(E792,"*"&amp;DropdownLists!$N$2:$N$36&amp;"*"),0))</f>
        <v/>
      </c>
      <c r="G792" s="35"/>
      <c r="H792" s="22" t="str">
        <f t="array" ref="H792">INDEX(DropdownLists!$E$2:$E$276,MATCH('Ingest Template'!D792,DropdownLists!$C$2:$C$276,0))</f>
        <v>#N/A</v>
      </c>
      <c r="I792" s="22"/>
      <c r="J792" s="22" t="str">
        <f t="array" ref="J792">iF('Ingest Template'!A792="Standard","Pristine Brand",INDEX(DropdownLists!$B$2:$B$246,MATCH('Ingest Template'!D792,DropdownLists!$C$2:$C$246,0)))</f>
        <v>#N/A</v>
      </c>
      <c r="K792" s="22" t="str">
        <f>iF('Ingest Template'!A792="Standard",'Ingest Template'!K792&amp;CHAR(10)&amp;'Ingest Template'!L792,"Competitive View")</f>
        <v>Competitive View</v>
      </c>
      <c r="L792" s="22" t="s">
        <v>95</v>
      </c>
      <c r="M792" s="45" t="str">
        <f>'Ingest Template'!B792</f>
        <v/>
      </c>
      <c r="N792" s="35"/>
      <c r="O792" s="35"/>
      <c r="P792" s="35"/>
      <c r="Q792" s="35"/>
      <c r="R792" s="35" t="str">
        <f>'Ingest Template'!D792</f>
        <v/>
      </c>
      <c r="S792" s="22" t="s">
        <v>101</v>
      </c>
      <c r="T792" s="35" t="str">
        <f>'Ingest Template'!V792</f>
        <v/>
      </c>
      <c r="U792" s="35" t="str">
        <f>'Ingest Template'!W792</f>
        <v/>
      </c>
      <c r="V792" s="35" t="str">
        <f>LOWER(SUBSTITUTE(SUBSTITUTE(SUBSTITUTE(SUBSTITUTE(SUBSTITUTE('Ingest Template'!X792,"https:",""),"www.",""),"/",""),"?hl=en",""),"instagram.com",""))</f>
        <v/>
      </c>
      <c r="W792" s="74" t="str">
        <f t="array" ref="W792">IF(
'Ingest Template'!Y792="",
SUBSTITUTE(
INDEX(DropdownLists!$F$2:$F$277,MATCH('Ingest Template'!D792,DropdownLists!$C$2:$C$277,0)),
CHAR(10),
"|"&amp;'Ingest Template'!C792&amp;CHAR(10)
)&amp;"|"&amp;'Ingest Template'!C792,
SUBSTITUTE(
INDEX(DropdownLists!$F$2:$F$277,MATCH('Ingest Template'!D792,DropdownLists!$C$2:$C$277,0)),
CHAR(10),
"|"&amp;'Ingest Template'!C792&amp;CHAR(10)
)&amp;"|"&amp;'Ingest Template'!C792&amp;CHAR(10)&amp;'Ingest Template'!Y792
)</f>
        <v>#N/A</v>
      </c>
      <c r="X792" s="74" t="str">
        <f>'Ingest Template'!Z792</f>
        <v/>
      </c>
      <c r="Y792" s="35" t="str">
        <f>SUBSTITUTE(SUBSTITUTE(SUBSTITUTE('Ingest Template'!AA792,"http:",""),"https:",""),"/","")</f>
        <v/>
      </c>
      <c r="Z792" s="35" t="str">
        <f t="array" ref="Z792">IF('Ingest Template'!A792="Standard",(IF(ISBLANK('Ingest Template'!AB792),"", 'Ingest Template'!AB792&amp;"|DAR")),(IF(ISBLANK('Ingest Template'!AB792),"", 'Ingest Template'!AB792&amp;"|TV Ops")))</f>
        <v/>
      </c>
      <c r="AA792" s="35"/>
      <c r="AB792" s="35" t="str">
        <f>'Ingest Template'!R792</f>
        <v/>
      </c>
      <c r="AC792" s="35" t="str">
        <f>'Ingest Template'!T792</f>
        <v/>
      </c>
      <c r="AD792" s="35" t="str">
        <f>'Ingest Template'!S792</f>
        <v/>
      </c>
      <c r="AE792" s="35" t="str">
        <f>'Ingest Template'!U792</f>
        <v/>
      </c>
      <c r="AF792" s="22"/>
      <c r="AG792" s="35" t="str">
        <f t="array" ref="AG792">IF('Ingest Template'!A792="Standard",(CONCATENATE(IF(ISBLANK('Ingest Template'!N792),"", 'Ingest Template'!N792&amp;"|DAR"),CHAR(10), IF(ISBLANK('Ingest Template'!O792),"", 'Ingest Template'!O792&amp;"|DAR"),CHAR(10), IF(ISBLANK('Ingest Template'!P792),"", 'Ingest Template'!P792&amp;"|DAR"))),(CONCATENATE(IF(ISBLANK('Ingest Template'!N792),"", 'Ingest Template'!N792&amp;"|TV Ops"),CHAR(10), IF(ISBLANK('Ingest Template'!O792),"", 'Ingest Template'!O792&amp;"|TV Ops"),CHAR(10), IF(ISBLANK('Ingest Template'!P792),"", 'Ingest Template'!P792&amp;"|TV Ops"))))</f>
        <v>
</v>
      </c>
      <c r="AH792" s="35"/>
      <c r="AI792" s="35"/>
      <c r="AJ792" s="117" t="str">
        <f>if('Ingest Template'!A792="Standard",(IF(OR('Ingest Template'!F792 = "Program Type - Special", 'Ingest Template'!F792 = "Program Type - Live Event"),'Ingest Template'!M792&amp; "|DAR|DAR|"&amp;TEXT('Ingest Template'!C792-3, "yyyy-mm-dd")&amp;"|"&amp;TEXT('Ingest Template'!C792+3, "yyyy-mm-dd"),'Ingest Template'!M792&amp; "|DAR|DAR|2021-01-01")),(IF(OR('Ingest Template'!F792 = "Program Type - Special", 'Ingest Template'!F792 = "Program Type - Live Event"),'Ingest Template'!M792&amp; "|Operations - Core Title|Operations - Core Title|"&amp;TEXT('Ingest Template'!C792-3, "yyyy-mm-dd")&amp;"|"&amp;TEXT('Ingest Template'!C792+3, "yyyy-mm-dd"),'Ingest Template'!M792&amp; "|Operations - Core Title|Operations - Core Title")))</f>
        <v>|Operations - Core Title|Operations - Core Title</v>
      </c>
      <c r="AK792" s="35"/>
      <c r="AL792" s="117" t="str">
        <f>if('Ingest Template'!A792="Standard",(IF(OR('Ingest Template'!F792 = "Program Type - Special", 'Ingest Template'!F792 = "Program Type - Live Event"),'Ingest Template'!Q792&amp;"|"&amp;TEXT('Ingest Template'!C792-3, "yyyy-mm-dd")&amp;"|"&amp;TEXT('Ingest Template'!C792+3, "yyyy-mm-dd"),'Ingest Template'!Q792&amp; "|2021-01-01")),(IF(OR('Ingest Template'!F792 = "Program Type - Special", 'Ingest Template'!F792 = "Program Type - Live Event"),'Ingest Template'!Q792&amp; "|"&amp;TEXT('Ingest Template'!C792-3, "yyyy-mm-dd")&amp;"|"&amp;TEXT('Ingest Template'!C792+3, "yyyy-mm-dd"),'Ingest Template'!Q792)))</f>
        <v/>
      </c>
      <c r="AM792" s="35" t="str">
        <f>'Ingest Template'!AC792</f>
        <v/>
      </c>
    </row>
    <row r="793">
      <c r="A793" s="15"/>
      <c r="B793" s="22" t="str">
        <f>'Ingest Template'!C793&amp;IF('Ingest Template'!A793 = "Standard", " - DAR","")</f>
        <v/>
      </c>
      <c r="C793" s="22" t="s">
        <v>83</v>
      </c>
      <c r="D793" s="22" t="str">
        <f t="array" ref="D793">CONCATENATE(INDEX(DropdownLists!$H$2:$H$11,MATCH(1,COUNTIF('Ingest Template'!E793,"*"&amp;DropdownLists!$I$2:$I$11&amp;"*"),0)),CHAR(10),'Ingest Template'!F793,CHAR(10),'Ingest Template'!G793,CHAR(10),VLOOKUP('Ingest Template'!D793,DropdownLists!C:D,2,FALSE))</f>
        <v>#N/A</v>
      </c>
      <c r="E793" s="22" t="str">
        <f>CONCATENATE('Ingest Template'!H793,CHAR(10),'Ingest Template'!I793,CHAR(10),'Ingest Template'!J793,CHAR(10))</f>
        <v>
</v>
      </c>
      <c r="F793" s="35" t="str">
        <f t="array" ref="F793">INDEX(DropdownLists!$O$2:$O$36,MATCH(1,COUNTIF(E793,"*"&amp;DropdownLists!$N$2:$N$36&amp;"*"),0))</f>
        <v/>
      </c>
      <c r="G793" s="35"/>
      <c r="H793" s="22" t="str">
        <f t="array" ref="H793">INDEX(DropdownLists!$E$2:$E$276,MATCH('Ingest Template'!D793,DropdownLists!$C$2:$C$276,0))</f>
        <v>#N/A</v>
      </c>
      <c r="I793" s="22"/>
      <c r="J793" s="22" t="str">
        <f t="array" ref="J793">iF('Ingest Template'!A793="Standard","Pristine Brand",INDEX(DropdownLists!$B$2:$B$246,MATCH('Ingest Template'!D793,DropdownLists!$C$2:$C$246,0)))</f>
        <v>#N/A</v>
      </c>
      <c r="K793" s="22" t="str">
        <f>iF('Ingest Template'!A793="Standard",'Ingest Template'!K793&amp;CHAR(10)&amp;'Ingest Template'!L793,"Competitive View")</f>
        <v>Competitive View</v>
      </c>
      <c r="L793" s="22" t="s">
        <v>95</v>
      </c>
      <c r="M793" s="45" t="str">
        <f>'Ingest Template'!B793</f>
        <v/>
      </c>
      <c r="N793" s="35"/>
      <c r="O793" s="35"/>
      <c r="P793" s="35"/>
      <c r="Q793" s="35"/>
      <c r="R793" s="35" t="str">
        <f>'Ingest Template'!D793</f>
        <v/>
      </c>
      <c r="S793" s="22" t="s">
        <v>101</v>
      </c>
      <c r="T793" s="35" t="str">
        <f>'Ingest Template'!V793</f>
        <v/>
      </c>
      <c r="U793" s="35" t="str">
        <f>'Ingest Template'!W793</f>
        <v/>
      </c>
      <c r="V793" s="35" t="str">
        <f>LOWER(SUBSTITUTE(SUBSTITUTE(SUBSTITUTE(SUBSTITUTE(SUBSTITUTE('Ingest Template'!X793,"https:",""),"www.",""),"/",""),"?hl=en",""),"instagram.com",""))</f>
        <v/>
      </c>
      <c r="W793" s="74" t="str">
        <f t="array" ref="W793">IF(
'Ingest Template'!Y793="",
SUBSTITUTE(
INDEX(DropdownLists!$F$2:$F$277,MATCH('Ingest Template'!D793,DropdownLists!$C$2:$C$277,0)),
CHAR(10),
"|"&amp;'Ingest Template'!C793&amp;CHAR(10)
)&amp;"|"&amp;'Ingest Template'!C793,
SUBSTITUTE(
INDEX(DropdownLists!$F$2:$F$277,MATCH('Ingest Template'!D793,DropdownLists!$C$2:$C$277,0)),
CHAR(10),
"|"&amp;'Ingest Template'!C793&amp;CHAR(10)
)&amp;"|"&amp;'Ingest Template'!C793&amp;CHAR(10)&amp;'Ingest Template'!Y793
)</f>
        <v>#N/A</v>
      </c>
      <c r="X793" s="74" t="str">
        <f>'Ingest Template'!Z793</f>
        <v/>
      </c>
      <c r="Y793" s="35" t="str">
        <f>SUBSTITUTE(SUBSTITUTE(SUBSTITUTE('Ingest Template'!AA793,"http:",""),"https:",""),"/","")</f>
        <v/>
      </c>
      <c r="Z793" s="35" t="str">
        <f t="array" ref="Z793">IF('Ingest Template'!A793="Standard",(IF(ISBLANK('Ingest Template'!AB793),"", 'Ingest Template'!AB793&amp;"|DAR")),(IF(ISBLANK('Ingest Template'!AB793),"", 'Ingest Template'!AB793&amp;"|TV Ops")))</f>
        <v/>
      </c>
      <c r="AA793" s="35"/>
      <c r="AB793" s="35" t="str">
        <f>'Ingest Template'!R793</f>
        <v/>
      </c>
      <c r="AC793" s="35" t="str">
        <f>'Ingest Template'!T793</f>
        <v/>
      </c>
      <c r="AD793" s="35" t="str">
        <f>'Ingest Template'!S793</f>
        <v/>
      </c>
      <c r="AE793" s="35" t="str">
        <f>'Ingest Template'!U793</f>
        <v/>
      </c>
      <c r="AF793" s="22"/>
      <c r="AG793" s="35" t="str">
        <f t="array" ref="AG793">IF('Ingest Template'!A793="Standard",(CONCATENATE(IF(ISBLANK('Ingest Template'!N793),"", 'Ingest Template'!N793&amp;"|DAR"),CHAR(10), IF(ISBLANK('Ingest Template'!O793),"", 'Ingest Template'!O793&amp;"|DAR"),CHAR(10), IF(ISBLANK('Ingest Template'!P793),"", 'Ingest Template'!P793&amp;"|DAR"))),(CONCATENATE(IF(ISBLANK('Ingest Template'!N793),"", 'Ingest Template'!N793&amp;"|TV Ops"),CHAR(10), IF(ISBLANK('Ingest Template'!O793),"", 'Ingest Template'!O793&amp;"|TV Ops"),CHAR(10), IF(ISBLANK('Ingest Template'!P793),"", 'Ingest Template'!P793&amp;"|TV Ops"))))</f>
        <v>
</v>
      </c>
      <c r="AH793" s="35"/>
      <c r="AI793" s="35"/>
      <c r="AJ793" s="117" t="str">
        <f>if('Ingest Template'!A793="Standard",(IF(OR('Ingest Template'!F793 = "Program Type - Special", 'Ingest Template'!F793 = "Program Type - Live Event"),'Ingest Template'!M793&amp; "|DAR|DAR|"&amp;TEXT('Ingest Template'!C793-3, "yyyy-mm-dd")&amp;"|"&amp;TEXT('Ingest Template'!C793+3, "yyyy-mm-dd"),'Ingest Template'!M793&amp; "|DAR|DAR|2021-01-01")),(IF(OR('Ingest Template'!F793 = "Program Type - Special", 'Ingest Template'!F793 = "Program Type - Live Event"),'Ingest Template'!M793&amp; "|Operations - Core Title|Operations - Core Title|"&amp;TEXT('Ingest Template'!C793-3, "yyyy-mm-dd")&amp;"|"&amp;TEXT('Ingest Template'!C793+3, "yyyy-mm-dd"),'Ingest Template'!M793&amp; "|Operations - Core Title|Operations - Core Title")))</f>
        <v>|Operations - Core Title|Operations - Core Title</v>
      </c>
      <c r="AK793" s="35"/>
      <c r="AL793" s="117" t="str">
        <f>if('Ingest Template'!A793="Standard",(IF(OR('Ingest Template'!F793 = "Program Type - Special", 'Ingest Template'!F793 = "Program Type - Live Event"),'Ingest Template'!Q793&amp;"|"&amp;TEXT('Ingest Template'!C793-3, "yyyy-mm-dd")&amp;"|"&amp;TEXT('Ingest Template'!C793+3, "yyyy-mm-dd"),'Ingest Template'!Q793&amp; "|2021-01-01")),(IF(OR('Ingest Template'!F793 = "Program Type - Special", 'Ingest Template'!F793 = "Program Type - Live Event"),'Ingest Template'!Q793&amp; "|"&amp;TEXT('Ingest Template'!C793-3, "yyyy-mm-dd")&amp;"|"&amp;TEXT('Ingest Template'!C793+3, "yyyy-mm-dd"),'Ingest Template'!Q793)))</f>
        <v/>
      </c>
      <c r="AM793" s="35" t="str">
        <f>'Ingest Template'!AC793</f>
        <v/>
      </c>
    </row>
    <row r="794">
      <c r="A794" s="15"/>
      <c r="B794" s="22" t="str">
        <f>'Ingest Template'!C794&amp;IF('Ingest Template'!A794 = "Standard", " - DAR","")</f>
        <v/>
      </c>
      <c r="C794" s="22" t="s">
        <v>83</v>
      </c>
      <c r="D794" s="22" t="str">
        <f t="array" ref="D794">CONCATENATE(INDEX(DropdownLists!$H$2:$H$11,MATCH(1,COUNTIF('Ingest Template'!E794,"*"&amp;DropdownLists!$I$2:$I$11&amp;"*"),0)),CHAR(10),'Ingest Template'!F794,CHAR(10),'Ingest Template'!G794,CHAR(10),VLOOKUP('Ingest Template'!D794,DropdownLists!C:D,2,FALSE))</f>
        <v>#N/A</v>
      </c>
      <c r="E794" s="22" t="str">
        <f>CONCATENATE('Ingest Template'!H794,CHAR(10),'Ingest Template'!I794,CHAR(10),'Ingest Template'!J794,CHAR(10))</f>
        <v>
</v>
      </c>
      <c r="F794" s="35" t="str">
        <f t="array" ref="F794">INDEX(DropdownLists!$O$2:$O$36,MATCH(1,COUNTIF(E794,"*"&amp;DropdownLists!$N$2:$N$36&amp;"*"),0))</f>
        <v/>
      </c>
      <c r="G794" s="35"/>
      <c r="H794" s="22" t="str">
        <f t="array" ref="H794">INDEX(DropdownLists!$E$2:$E$276,MATCH('Ingest Template'!D794,DropdownLists!$C$2:$C$276,0))</f>
        <v>#N/A</v>
      </c>
      <c r="I794" s="22"/>
      <c r="J794" s="22" t="str">
        <f t="array" ref="J794">iF('Ingest Template'!A794="Standard","Pristine Brand",INDEX(DropdownLists!$B$2:$B$246,MATCH('Ingest Template'!D794,DropdownLists!$C$2:$C$246,0)))</f>
        <v>#N/A</v>
      </c>
      <c r="K794" s="22" t="str">
        <f>iF('Ingest Template'!A794="Standard",'Ingest Template'!K794&amp;CHAR(10)&amp;'Ingest Template'!L794,"Competitive View")</f>
        <v>Competitive View</v>
      </c>
      <c r="L794" s="22" t="s">
        <v>95</v>
      </c>
      <c r="M794" s="45" t="str">
        <f>'Ingest Template'!B794</f>
        <v/>
      </c>
      <c r="N794" s="35"/>
      <c r="O794" s="35"/>
      <c r="P794" s="35"/>
      <c r="Q794" s="35"/>
      <c r="R794" s="35" t="str">
        <f>'Ingest Template'!D794</f>
        <v/>
      </c>
      <c r="S794" s="22" t="s">
        <v>101</v>
      </c>
      <c r="T794" s="35" t="str">
        <f>'Ingest Template'!V794</f>
        <v/>
      </c>
      <c r="U794" s="35" t="str">
        <f>'Ingest Template'!W794</f>
        <v/>
      </c>
      <c r="V794" s="35" t="str">
        <f>LOWER(SUBSTITUTE(SUBSTITUTE(SUBSTITUTE(SUBSTITUTE(SUBSTITUTE('Ingest Template'!X794,"https:",""),"www.",""),"/",""),"?hl=en",""),"instagram.com",""))</f>
        <v/>
      </c>
      <c r="W794" s="74" t="str">
        <f t="array" ref="W794">IF(
'Ingest Template'!Y794="",
SUBSTITUTE(
INDEX(DropdownLists!$F$2:$F$277,MATCH('Ingest Template'!D794,DropdownLists!$C$2:$C$277,0)),
CHAR(10),
"|"&amp;'Ingest Template'!C794&amp;CHAR(10)
)&amp;"|"&amp;'Ingest Template'!C794,
SUBSTITUTE(
INDEX(DropdownLists!$F$2:$F$277,MATCH('Ingest Template'!D794,DropdownLists!$C$2:$C$277,0)),
CHAR(10),
"|"&amp;'Ingest Template'!C794&amp;CHAR(10)
)&amp;"|"&amp;'Ingest Template'!C794&amp;CHAR(10)&amp;'Ingest Template'!Y794
)</f>
        <v>#N/A</v>
      </c>
      <c r="X794" s="74" t="str">
        <f>'Ingest Template'!Z794</f>
        <v/>
      </c>
      <c r="Y794" s="35" t="str">
        <f>SUBSTITUTE(SUBSTITUTE(SUBSTITUTE('Ingest Template'!AA794,"http:",""),"https:",""),"/","")</f>
        <v/>
      </c>
      <c r="Z794" s="35" t="str">
        <f t="array" ref="Z794">IF('Ingest Template'!A794="Standard",(IF(ISBLANK('Ingest Template'!AB794),"", 'Ingest Template'!AB794&amp;"|DAR")),(IF(ISBLANK('Ingest Template'!AB794),"", 'Ingest Template'!AB794&amp;"|TV Ops")))</f>
        <v/>
      </c>
      <c r="AA794" s="35"/>
      <c r="AB794" s="35" t="str">
        <f>'Ingest Template'!R794</f>
        <v/>
      </c>
      <c r="AC794" s="35" t="str">
        <f>'Ingest Template'!T794</f>
        <v/>
      </c>
      <c r="AD794" s="35" t="str">
        <f>'Ingest Template'!S794</f>
        <v/>
      </c>
      <c r="AE794" s="35" t="str">
        <f>'Ingest Template'!U794</f>
        <v/>
      </c>
      <c r="AF794" s="22"/>
      <c r="AG794" s="35" t="str">
        <f t="array" ref="AG794">IF('Ingest Template'!A794="Standard",(CONCATENATE(IF(ISBLANK('Ingest Template'!N794),"", 'Ingest Template'!N794&amp;"|DAR"),CHAR(10), IF(ISBLANK('Ingest Template'!O794),"", 'Ingest Template'!O794&amp;"|DAR"),CHAR(10), IF(ISBLANK('Ingest Template'!P794),"", 'Ingest Template'!P794&amp;"|DAR"))),(CONCATENATE(IF(ISBLANK('Ingest Template'!N794),"", 'Ingest Template'!N794&amp;"|TV Ops"),CHAR(10), IF(ISBLANK('Ingest Template'!O794),"", 'Ingest Template'!O794&amp;"|TV Ops"),CHAR(10), IF(ISBLANK('Ingest Template'!P794),"", 'Ingest Template'!P794&amp;"|TV Ops"))))</f>
        <v>
</v>
      </c>
      <c r="AH794" s="35"/>
      <c r="AI794" s="35"/>
      <c r="AJ794" s="117" t="str">
        <f>if('Ingest Template'!A794="Standard",(IF(OR('Ingest Template'!F794 = "Program Type - Special", 'Ingest Template'!F794 = "Program Type - Live Event"),'Ingest Template'!M794&amp; "|DAR|DAR|"&amp;TEXT('Ingest Template'!C794-3, "yyyy-mm-dd")&amp;"|"&amp;TEXT('Ingest Template'!C794+3, "yyyy-mm-dd"),'Ingest Template'!M794&amp; "|DAR|DAR|2021-01-01")),(IF(OR('Ingest Template'!F794 = "Program Type - Special", 'Ingest Template'!F794 = "Program Type - Live Event"),'Ingest Template'!M794&amp; "|Operations - Core Title|Operations - Core Title|"&amp;TEXT('Ingest Template'!C794-3, "yyyy-mm-dd")&amp;"|"&amp;TEXT('Ingest Template'!C794+3, "yyyy-mm-dd"),'Ingest Template'!M794&amp; "|Operations - Core Title|Operations - Core Title")))</f>
        <v>|Operations - Core Title|Operations - Core Title</v>
      </c>
      <c r="AK794" s="35"/>
      <c r="AL794" s="117" t="str">
        <f>if('Ingest Template'!A794="Standard",(IF(OR('Ingest Template'!F794 = "Program Type - Special", 'Ingest Template'!F794 = "Program Type - Live Event"),'Ingest Template'!Q794&amp;"|"&amp;TEXT('Ingest Template'!C794-3, "yyyy-mm-dd")&amp;"|"&amp;TEXT('Ingest Template'!C794+3, "yyyy-mm-dd"),'Ingest Template'!Q794&amp; "|2021-01-01")),(IF(OR('Ingest Template'!F794 = "Program Type - Special", 'Ingest Template'!F794 = "Program Type - Live Event"),'Ingest Template'!Q794&amp; "|"&amp;TEXT('Ingest Template'!C794-3, "yyyy-mm-dd")&amp;"|"&amp;TEXT('Ingest Template'!C794+3, "yyyy-mm-dd"),'Ingest Template'!Q794)))</f>
        <v/>
      </c>
      <c r="AM794" s="35" t="str">
        <f>'Ingest Template'!AC794</f>
        <v/>
      </c>
    </row>
    <row r="795">
      <c r="A795" s="15"/>
      <c r="B795" s="22" t="str">
        <f>'Ingest Template'!C795&amp;IF('Ingest Template'!A795 = "Standard", " - DAR","")</f>
        <v/>
      </c>
      <c r="C795" s="22" t="s">
        <v>83</v>
      </c>
      <c r="D795" s="22" t="str">
        <f t="array" ref="D795">CONCATENATE(INDEX(DropdownLists!$H$2:$H$11,MATCH(1,COUNTIF('Ingest Template'!E795,"*"&amp;DropdownLists!$I$2:$I$11&amp;"*"),0)),CHAR(10),'Ingest Template'!F795,CHAR(10),'Ingest Template'!G795,CHAR(10),VLOOKUP('Ingest Template'!D795,DropdownLists!C:D,2,FALSE))</f>
        <v>#N/A</v>
      </c>
      <c r="E795" s="22" t="str">
        <f>CONCATENATE('Ingest Template'!H795,CHAR(10),'Ingest Template'!I795,CHAR(10),'Ingest Template'!J795,CHAR(10))</f>
        <v>
</v>
      </c>
      <c r="F795" s="35" t="str">
        <f t="array" ref="F795">INDEX(DropdownLists!$O$2:$O$36,MATCH(1,COUNTIF(E795,"*"&amp;DropdownLists!$N$2:$N$36&amp;"*"),0))</f>
        <v/>
      </c>
      <c r="G795" s="35"/>
      <c r="H795" s="22" t="str">
        <f t="array" ref="H795">INDEX(DropdownLists!$E$2:$E$276,MATCH('Ingest Template'!D795,DropdownLists!$C$2:$C$276,0))</f>
        <v>#N/A</v>
      </c>
      <c r="I795" s="22"/>
      <c r="J795" s="22" t="str">
        <f t="array" ref="J795">iF('Ingest Template'!A795="Standard","Pristine Brand",INDEX(DropdownLists!$B$2:$B$246,MATCH('Ingest Template'!D795,DropdownLists!$C$2:$C$246,0)))</f>
        <v>#N/A</v>
      </c>
      <c r="K795" s="22" t="str">
        <f>iF('Ingest Template'!A795="Standard",'Ingest Template'!K795&amp;CHAR(10)&amp;'Ingest Template'!L795,"Competitive View")</f>
        <v>Competitive View</v>
      </c>
      <c r="L795" s="22" t="s">
        <v>95</v>
      </c>
      <c r="M795" s="45" t="str">
        <f>'Ingest Template'!B795</f>
        <v/>
      </c>
      <c r="N795" s="35"/>
      <c r="O795" s="35"/>
      <c r="P795" s="35"/>
      <c r="Q795" s="35"/>
      <c r="R795" s="35" t="str">
        <f>'Ingest Template'!D795</f>
        <v/>
      </c>
      <c r="S795" s="22" t="s">
        <v>101</v>
      </c>
      <c r="T795" s="35" t="str">
        <f>'Ingest Template'!V795</f>
        <v/>
      </c>
      <c r="U795" s="35" t="str">
        <f>'Ingest Template'!W795</f>
        <v/>
      </c>
      <c r="V795" s="35" t="str">
        <f>LOWER(SUBSTITUTE(SUBSTITUTE(SUBSTITUTE(SUBSTITUTE(SUBSTITUTE('Ingest Template'!X795,"https:",""),"www.",""),"/",""),"?hl=en",""),"instagram.com",""))</f>
        <v/>
      </c>
      <c r="W795" s="74" t="str">
        <f t="array" ref="W795">IF(
'Ingest Template'!Y795="",
SUBSTITUTE(
INDEX(DropdownLists!$F$2:$F$277,MATCH('Ingest Template'!D795,DropdownLists!$C$2:$C$277,0)),
CHAR(10),
"|"&amp;'Ingest Template'!C795&amp;CHAR(10)
)&amp;"|"&amp;'Ingest Template'!C795,
SUBSTITUTE(
INDEX(DropdownLists!$F$2:$F$277,MATCH('Ingest Template'!D795,DropdownLists!$C$2:$C$277,0)),
CHAR(10),
"|"&amp;'Ingest Template'!C795&amp;CHAR(10)
)&amp;"|"&amp;'Ingest Template'!C795&amp;CHAR(10)&amp;'Ingest Template'!Y795
)</f>
        <v>#N/A</v>
      </c>
      <c r="X795" s="74" t="str">
        <f>'Ingest Template'!Z795</f>
        <v/>
      </c>
      <c r="Y795" s="35" t="str">
        <f>SUBSTITUTE(SUBSTITUTE(SUBSTITUTE('Ingest Template'!AA795,"http:",""),"https:",""),"/","")</f>
        <v/>
      </c>
      <c r="Z795" s="35" t="str">
        <f t="array" ref="Z795">IF('Ingest Template'!A795="Standard",(IF(ISBLANK('Ingest Template'!AB795),"", 'Ingest Template'!AB795&amp;"|DAR")),(IF(ISBLANK('Ingest Template'!AB795),"", 'Ingest Template'!AB795&amp;"|TV Ops")))</f>
        <v/>
      </c>
      <c r="AA795" s="35"/>
      <c r="AB795" s="35" t="str">
        <f>'Ingest Template'!R795</f>
        <v/>
      </c>
      <c r="AC795" s="35" t="str">
        <f>'Ingest Template'!T795</f>
        <v/>
      </c>
      <c r="AD795" s="35" t="str">
        <f>'Ingest Template'!S795</f>
        <v/>
      </c>
      <c r="AE795" s="35" t="str">
        <f>'Ingest Template'!U795</f>
        <v/>
      </c>
      <c r="AF795" s="22"/>
      <c r="AG795" s="35" t="str">
        <f t="array" ref="AG795">IF('Ingest Template'!A795="Standard",(CONCATENATE(IF(ISBLANK('Ingest Template'!N795),"", 'Ingest Template'!N795&amp;"|DAR"),CHAR(10), IF(ISBLANK('Ingest Template'!O795),"", 'Ingest Template'!O795&amp;"|DAR"),CHAR(10), IF(ISBLANK('Ingest Template'!P795),"", 'Ingest Template'!P795&amp;"|DAR"))),(CONCATENATE(IF(ISBLANK('Ingest Template'!N795),"", 'Ingest Template'!N795&amp;"|TV Ops"),CHAR(10), IF(ISBLANK('Ingest Template'!O795),"", 'Ingest Template'!O795&amp;"|TV Ops"),CHAR(10), IF(ISBLANK('Ingest Template'!P795),"", 'Ingest Template'!P795&amp;"|TV Ops"))))</f>
        <v>
</v>
      </c>
      <c r="AH795" s="35"/>
      <c r="AI795" s="35"/>
      <c r="AJ795" s="117" t="str">
        <f>if('Ingest Template'!A795="Standard",(IF(OR('Ingest Template'!F795 = "Program Type - Special", 'Ingest Template'!F795 = "Program Type - Live Event"),'Ingest Template'!M795&amp; "|DAR|DAR|"&amp;TEXT('Ingest Template'!C795-3, "yyyy-mm-dd")&amp;"|"&amp;TEXT('Ingest Template'!C795+3, "yyyy-mm-dd"),'Ingest Template'!M795&amp; "|DAR|DAR|2021-01-01")),(IF(OR('Ingest Template'!F795 = "Program Type - Special", 'Ingest Template'!F795 = "Program Type - Live Event"),'Ingest Template'!M795&amp; "|Operations - Core Title|Operations - Core Title|"&amp;TEXT('Ingest Template'!C795-3, "yyyy-mm-dd")&amp;"|"&amp;TEXT('Ingest Template'!C795+3, "yyyy-mm-dd"),'Ingest Template'!M795&amp; "|Operations - Core Title|Operations - Core Title")))</f>
        <v>|Operations - Core Title|Operations - Core Title</v>
      </c>
      <c r="AK795" s="35"/>
      <c r="AL795" s="117" t="str">
        <f>if('Ingest Template'!A795="Standard",(IF(OR('Ingest Template'!F795 = "Program Type - Special", 'Ingest Template'!F795 = "Program Type - Live Event"),'Ingest Template'!Q795&amp;"|"&amp;TEXT('Ingest Template'!C795-3, "yyyy-mm-dd")&amp;"|"&amp;TEXT('Ingest Template'!C795+3, "yyyy-mm-dd"),'Ingest Template'!Q795&amp; "|2021-01-01")),(IF(OR('Ingest Template'!F795 = "Program Type - Special", 'Ingest Template'!F795 = "Program Type - Live Event"),'Ingest Template'!Q795&amp; "|"&amp;TEXT('Ingest Template'!C795-3, "yyyy-mm-dd")&amp;"|"&amp;TEXT('Ingest Template'!C795+3, "yyyy-mm-dd"),'Ingest Template'!Q795)))</f>
        <v/>
      </c>
      <c r="AM795" s="35" t="str">
        <f>'Ingest Template'!AC795</f>
        <v/>
      </c>
    </row>
    <row r="796">
      <c r="A796" s="15"/>
      <c r="B796" s="22" t="str">
        <f>'Ingest Template'!C796&amp;IF('Ingest Template'!A796 = "Standard", " - DAR","")</f>
        <v/>
      </c>
      <c r="C796" s="22" t="s">
        <v>83</v>
      </c>
      <c r="D796" s="22" t="str">
        <f t="array" ref="D796">CONCATENATE(INDEX(DropdownLists!$H$2:$H$11,MATCH(1,COUNTIF('Ingest Template'!E796,"*"&amp;DropdownLists!$I$2:$I$11&amp;"*"),0)),CHAR(10),'Ingest Template'!F796,CHAR(10),'Ingest Template'!G796,CHAR(10),VLOOKUP('Ingest Template'!D796,DropdownLists!C:D,2,FALSE))</f>
        <v>#N/A</v>
      </c>
      <c r="E796" s="22" t="str">
        <f>CONCATENATE('Ingest Template'!H796,CHAR(10),'Ingest Template'!I796,CHAR(10),'Ingest Template'!J796,CHAR(10))</f>
        <v>
</v>
      </c>
      <c r="F796" s="35" t="str">
        <f t="array" ref="F796">INDEX(DropdownLists!$O$2:$O$36,MATCH(1,COUNTIF(E796,"*"&amp;DropdownLists!$N$2:$N$36&amp;"*"),0))</f>
        <v/>
      </c>
      <c r="G796" s="35"/>
      <c r="H796" s="22" t="str">
        <f t="array" ref="H796">INDEX(DropdownLists!$E$2:$E$276,MATCH('Ingest Template'!D796,DropdownLists!$C$2:$C$276,0))</f>
        <v>#N/A</v>
      </c>
      <c r="I796" s="22"/>
      <c r="J796" s="22" t="str">
        <f t="array" ref="J796">iF('Ingest Template'!A796="Standard","Pristine Brand",INDEX(DropdownLists!$B$2:$B$246,MATCH('Ingest Template'!D796,DropdownLists!$C$2:$C$246,0)))</f>
        <v>#N/A</v>
      </c>
      <c r="K796" s="22" t="str">
        <f>iF('Ingest Template'!A796="Standard",'Ingest Template'!K796&amp;CHAR(10)&amp;'Ingest Template'!L796,"Competitive View")</f>
        <v>Competitive View</v>
      </c>
      <c r="L796" s="22" t="s">
        <v>95</v>
      </c>
      <c r="M796" s="45" t="str">
        <f>'Ingest Template'!B796</f>
        <v/>
      </c>
      <c r="N796" s="35"/>
      <c r="O796" s="35"/>
      <c r="P796" s="35"/>
      <c r="Q796" s="35"/>
      <c r="R796" s="35" t="str">
        <f>'Ingest Template'!D796</f>
        <v/>
      </c>
      <c r="S796" s="22" t="s">
        <v>101</v>
      </c>
      <c r="T796" s="35" t="str">
        <f>'Ingest Template'!V796</f>
        <v/>
      </c>
      <c r="U796" s="35" t="str">
        <f>'Ingest Template'!W796</f>
        <v/>
      </c>
      <c r="V796" s="35" t="str">
        <f>LOWER(SUBSTITUTE(SUBSTITUTE(SUBSTITUTE(SUBSTITUTE(SUBSTITUTE('Ingest Template'!X796,"https:",""),"www.",""),"/",""),"?hl=en",""),"instagram.com",""))</f>
        <v/>
      </c>
      <c r="W796" s="74" t="str">
        <f t="array" ref="W796">IF(
'Ingest Template'!Y796="",
SUBSTITUTE(
INDEX(DropdownLists!$F$2:$F$277,MATCH('Ingest Template'!D796,DropdownLists!$C$2:$C$277,0)),
CHAR(10),
"|"&amp;'Ingest Template'!C796&amp;CHAR(10)
)&amp;"|"&amp;'Ingest Template'!C796,
SUBSTITUTE(
INDEX(DropdownLists!$F$2:$F$277,MATCH('Ingest Template'!D796,DropdownLists!$C$2:$C$277,0)),
CHAR(10),
"|"&amp;'Ingest Template'!C796&amp;CHAR(10)
)&amp;"|"&amp;'Ingest Template'!C796&amp;CHAR(10)&amp;'Ingest Template'!Y796
)</f>
        <v>#N/A</v>
      </c>
      <c r="X796" s="74" t="str">
        <f>'Ingest Template'!Z796</f>
        <v/>
      </c>
      <c r="Y796" s="35" t="str">
        <f>SUBSTITUTE(SUBSTITUTE(SUBSTITUTE('Ingest Template'!AA796,"http:",""),"https:",""),"/","")</f>
        <v/>
      </c>
      <c r="Z796" s="35" t="str">
        <f t="array" ref="Z796">IF('Ingest Template'!A796="Standard",(IF(ISBLANK('Ingest Template'!AB796),"", 'Ingest Template'!AB796&amp;"|DAR")),(IF(ISBLANK('Ingest Template'!AB796),"", 'Ingest Template'!AB796&amp;"|TV Ops")))</f>
        <v/>
      </c>
      <c r="AA796" s="35"/>
      <c r="AB796" s="35" t="str">
        <f>'Ingest Template'!R796</f>
        <v/>
      </c>
      <c r="AC796" s="35" t="str">
        <f>'Ingest Template'!T796</f>
        <v/>
      </c>
      <c r="AD796" s="35" t="str">
        <f>'Ingest Template'!S796</f>
        <v/>
      </c>
      <c r="AE796" s="35" t="str">
        <f>'Ingest Template'!U796</f>
        <v/>
      </c>
      <c r="AF796" s="22"/>
      <c r="AG796" s="35" t="str">
        <f t="array" ref="AG796">IF('Ingest Template'!A796="Standard",(CONCATENATE(IF(ISBLANK('Ingest Template'!N796),"", 'Ingest Template'!N796&amp;"|DAR"),CHAR(10), IF(ISBLANK('Ingest Template'!O796),"", 'Ingest Template'!O796&amp;"|DAR"),CHAR(10), IF(ISBLANK('Ingest Template'!P796),"", 'Ingest Template'!P796&amp;"|DAR"))),(CONCATENATE(IF(ISBLANK('Ingest Template'!N796),"", 'Ingest Template'!N796&amp;"|TV Ops"),CHAR(10), IF(ISBLANK('Ingest Template'!O796),"", 'Ingest Template'!O796&amp;"|TV Ops"),CHAR(10), IF(ISBLANK('Ingest Template'!P796),"", 'Ingest Template'!P796&amp;"|TV Ops"))))</f>
        <v>
</v>
      </c>
      <c r="AH796" s="35"/>
      <c r="AI796" s="35"/>
      <c r="AJ796" s="117" t="str">
        <f>if('Ingest Template'!A796="Standard",(IF(OR('Ingest Template'!F796 = "Program Type - Special", 'Ingest Template'!F796 = "Program Type - Live Event"),'Ingest Template'!M796&amp; "|DAR|DAR|"&amp;TEXT('Ingest Template'!C796-3, "yyyy-mm-dd")&amp;"|"&amp;TEXT('Ingest Template'!C796+3, "yyyy-mm-dd"),'Ingest Template'!M796&amp; "|DAR|DAR|2021-01-01")),(IF(OR('Ingest Template'!F796 = "Program Type - Special", 'Ingest Template'!F796 = "Program Type - Live Event"),'Ingest Template'!M796&amp; "|Operations - Core Title|Operations - Core Title|"&amp;TEXT('Ingest Template'!C796-3, "yyyy-mm-dd")&amp;"|"&amp;TEXT('Ingest Template'!C796+3, "yyyy-mm-dd"),'Ingest Template'!M796&amp; "|Operations - Core Title|Operations - Core Title")))</f>
        <v>|Operations - Core Title|Operations - Core Title</v>
      </c>
      <c r="AK796" s="35"/>
      <c r="AL796" s="117" t="str">
        <f>if('Ingest Template'!A796="Standard",(IF(OR('Ingest Template'!F796 = "Program Type - Special", 'Ingest Template'!F796 = "Program Type - Live Event"),'Ingest Template'!Q796&amp;"|"&amp;TEXT('Ingest Template'!C796-3, "yyyy-mm-dd")&amp;"|"&amp;TEXT('Ingest Template'!C796+3, "yyyy-mm-dd"),'Ingest Template'!Q796&amp; "|2021-01-01")),(IF(OR('Ingest Template'!F796 = "Program Type - Special", 'Ingest Template'!F796 = "Program Type - Live Event"),'Ingest Template'!Q796&amp; "|"&amp;TEXT('Ingest Template'!C796-3, "yyyy-mm-dd")&amp;"|"&amp;TEXT('Ingest Template'!C796+3, "yyyy-mm-dd"),'Ingest Template'!Q796)))</f>
        <v/>
      </c>
      <c r="AM796" s="35" t="str">
        <f>'Ingest Template'!AC796</f>
        <v/>
      </c>
    </row>
    <row r="797">
      <c r="A797" s="15"/>
      <c r="B797" s="22" t="str">
        <f>'Ingest Template'!C797&amp;IF('Ingest Template'!A797 = "Standard", " - DAR","")</f>
        <v/>
      </c>
      <c r="C797" s="22" t="s">
        <v>83</v>
      </c>
      <c r="D797" s="22" t="str">
        <f t="array" ref="D797">CONCATENATE(INDEX(DropdownLists!$H$2:$H$11,MATCH(1,COUNTIF('Ingest Template'!E797,"*"&amp;DropdownLists!$I$2:$I$11&amp;"*"),0)),CHAR(10),'Ingest Template'!F797,CHAR(10),'Ingest Template'!G797,CHAR(10),VLOOKUP('Ingest Template'!D797,DropdownLists!C:D,2,FALSE))</f>
        <v>#N/A</v>
      </c>
      <c r="E797" s="22" t="str">
        <f>CONCATENATE('Ingest Template'!H797,CHAR(10),'Ingest Template'!I797,CHAR(10),'Ingest Template'!J797,CHAR(10))</f>
        <v>
</v>
      </c>
      <c r="F797" s="35" t="str">
        <f t="array" ref="F797">INDEX(DropdownLists!$O$2:$O$36,MATCH(1,COUNTIF(E797,"*"&amp;DropdownLists!$N$2:$N$36&amp;"*"),0))</f>
        <v/>
      </c>
      <c r="G797" s="35"/>
      <c r="H797" s="22" t="str">
        <f t="array" ref="H797">INDEX(DropdownLists!$E$2:$E$276,MATCH('Ingest Template'!D797,DropdownLists!$C$2:$C$276,0))</f>
        <v>#N/A</v>
      </c>
      <c r="I797" s="22"/>
      <c r="J797" s="22" t="str">
        <f t="array" ref="J797">iF('Ingest Template'!A797="Standard","Pristine Brand",INDEX(DropdownLists!$B$2:$B$246,MATCH('Ingest Template'!D797,DropdownLists!$C$2:$C$246,0)))</f>
        <v>#N/A</v>
      </c>
      <c r="K797" s="22" t="str">
        <f>iF('Ingest Template'!A797="Standard",'Ingest Template'!K797&amp;CHAR(10)&amp;'Ingest Template'!L797,"Competitive View")</f>
        <v>Competitive View</v>
      </c>
      <c r="L797" s="22" t="s">
        <v>95</v>
      </c>
      <c r="M797" s="45" t="str">
        <f>'Ingest Template'!B797</f>
        <v/>
      </c>
      <c r="N797" s="35"/>
      <c r="O797" s="35"/>
      <c r="P797" s="35"/>
      <c r="Q797" s="35"/>
      <c r="R797" s="35" t="str">
        <f>'Ingest Template'!D797</f>
        <v/>
      </c>
      <c r="S797" s="22" t="s">
        <v>101</v>
      </c>
      <c r="T797" s="35" t="str">
        <f>'Ingest Template'!V797</f>
        <v/>
      </c>
      <c r="U797" s="35" t="str">
        <f>'Ingest Template'!W797</f>
        <v/>
      </c>
      <c r="V797" s="35" t="str">
        <f>LOWER(SUBSTITUTE(SUBSTITUTE(SUBSTITUTE(SUBSTITUTE(SUBSTITUTE('Ingest Template'!X797,"https:",""),"www.",""),"/",""),"?hl=en",""),"instagram.com",""))</f>
        <v/>
      </c>
      <c r="W797" s="74" t="str">
        <f t="array" ref="W797">IF(
'Ingest Template'!Y797="",
SUBSTITUTE(
INDEX(DropdownLists!$F$2:$F$277,MATCH('Ingest Template'!D797,DropdownLists!$C$2:$C$277,0)),
CHAR(10),
"|"&amp;'Ingest Template'!C797&amp;CHAR(10)
)&amp;"|"&amp;'Ingest Template'!C797,
SUBSTITUTE(
INDEX(DropdownLists!$F$2:$F$277,MATCH('Ingest Template'!D797,DropdownLists!$C$2:$C$277,0)),
CHAR(10),
"|"&amp;'Ingest Template'!C797&amp;CHAR(10)
)&amp;"|"&amp;'Ingest Template'!C797&amp;CHAR(10)&amp;'Ingest Template'!Y797
)</f>
        <v>#N/A</v>
      </c>
      <c r="X797" s="74" t="str">
        <f>'Ingest Template'!Z797</f>
        <v/>
      </c>
      <c r="Y797" s="35" t="str">
        <f>SUBSTITUTE(SUBSTITUTE(SUBSTITUTE('Ingest Template'!AA797,"http:",""),"https:",""),"/","")</f>
        <v/>
      </c>
      <c r="Z797" s="35" t="str">
        <f t="array" ref="Z797">IF('Ingest Template'!A797="Standard",(IF(ISBLANK('Ingest Template'!AB797),"", 'Ingest Template'!AB797&amp;"|DAR")),(IF(ISBLANK('Ingest Template'!AB797),"", 'Ingest Template'!AB797&amp;"|TV Ops")))</f>
        <v/>
      </c>
      <c r="AA797" s="35"/>
      <c r="AB797" s="35" t="str">
        <f>'Ingest Template'!R797</f>
        <v/>
      </c>
      <c r="AC797" s="35" t="str">
        <f>'Ingest Template'!T797</f>
        <v/>
      </c>
      <c r="AD797" s="35" t="str">
        <f>'Ingest Template'!S797</f>
        <v/>
      </c>
      <c r="AE797" s="35" t="str">
        <f>'Ingest Template'!U797</f>
        <v/>
      </c>
      <c r="AF797" s="22"/>
      <c r="AG797" s="35" t="str">
        <f t="array" ref="AG797">IF('Ingest Template'!A797="Standard",(CONCATENATE(IF(ISBLANK('Ingest Template'!N797),"", 'Ingest Template'!N797&amp;"|DAR"),CHAR(10), IF(ISBLANK('Ingest Template'!O797),"", 'Ingest Template'!O797&amp;"|DAR"),CHAR(10), IF(ISBLANK('Ingest Template'!P797),"", 'Ingest Template'!P797&amp;"|DAR"))),(CONCATENATE(IF(ISBLANK('Ingest Template'!N797),"", 'Ingest Template'!N797&amp;"|TV Ops"),CHAR(10), IF(ISBLANK('Ingest Template'!O797),"", 'Ingest Template'!O797&amp;"|TV Ops"),CHAR(10), IF(ISBLANK('Ingest Template'!P797),"", 'Ingest Template'!P797&amp;"|TV Ops"))))</f>
        <v>
</v>
      </c>
      <c r="AH797" s="35"/>
      <c r="AI797" s="35"/>
      <c r="AJ797" s="117" t="str">
        <f>if('Ingest Template'!A797="Standard",(IF(OR('Ingest Template'!F797 = "Program Type - Special", 'Ingest Template'!F797 = "Program Type - Live Event"),'Ingest Template'!M797&amp; "|DAR|DAR|"&amp;TEXT('Ingest Template'!C797-3, "yyyy-mm-dd")&amp;"|"&amp;TEXT('Ingest Template'!C797+3, "yyyy-mm-dd"),'Ingest Template'!M797&amp; "|DAR|DAR|2021-01-01")),(IF(OR('Ingest Template'!F797 = "Program Type - Special", 'Ingest Template'!F797 = "Program Type - Live Event"),'Ingest Template'!M797&amp; "|Operations - Core Title|Operations - Core Title|"&amp;TEXT('Ingest Template'!C797-3, "yyyy-mm-dd")&amp;"|"&amp;TEXT('Ingest Template'!C797+3, "yyyy-mm-dd"),'Ingest Template'!M797&amp; "|Operations - Core Title|Operations - Core Title")))</f>
        <v>|Operations - Core Title|Operations - Core Title</v>
      </c>
      <c r="AK797" s="35"/>
      <c r="AL797" s="117" t="str">
        <f>if('Ingest Template'!A797="Standard",(IF(OR('Ingest Template'!F797 = "Program Type - Special", 'Ingest Template'!F797 = "Program Type - Live Event"),'Ingest Template'!Q797&amp;"|"&amp;TEXT('Ingest Template'!C797-3, "yyyy-mm-dd")&amp;"|"&amp;TEXT('Ingest Template'!C797+3, "yyyy-mm-dd"),'Ingest Template'!Q797&amp; "|2021-01-01")),(IF(OR('Ingest Template'!F797 = "Program Type - Special", 'Ingest Template'!F797 = "Program Type - Live Event"),'Ingest Template'!Q797&amp; "|"&amp;TEXT('Ingest Template'!C797-3, "yyyy-mm-dd")&amp;"|"&amp;TEXT('Ingest Template'!C797+3, "yyyy-mm-dd"),'Ingest Template'!Q797)))</f>
        <v/>
      </c>
      <c r="AM797" s="35" t="str">
        <f>'Ingest Template'!AC797</f>
        <v/>
      </c>
    </row>
    <row r="798">
      <c r="A798" s="15"/>
      <c r="B798" s="22" t="str">
        <f>'Ingest Template'!C798&amp;IF('Ingest Template'!A798 = "Standard", " - DAR","")</f>
        <v/>
      </c>
      <c r="C798" s="22" t="s">
        <v>83</v>
      </c>
      <c r="D798" s="22" t="str">
        <f t="array" ref="D798">CONCATENATE(INDEX(DropdownLists!$H$2:$H$11,MATCH(1,COUNTIF('Ingest Template'!E798,"*"&amp;DropdownLists!$I$2:$I$11&amp;"*"),0)),CHAR(10),'Ingest Template'!F798,CHAR(10),'Ingest Template'!G798,CHAR(10),VLOOKUP('Ingest Template'!D798,DropdownLists!C:D,2,FALSE))</f>
        <v>#N/A</v>
      </c>
      <c r="E798" s="22" t="str">
        <f>CONCATENATE('Ingest Template'!H798,CHAR(10),'Ingest Template'!I798,CHAR(10),'Ingest Template'!J798,CHAR(10))</f>
        <v>
</v>
      </c>
      <c r="F798" s="35" t="str">
        <f t="array" ref="F798">INDEX(DropdownLists!$O$2:$O$36,MATCH(1,COUNTIF(E798,"*"&amp;DropdownLists!$N$2:$N$36&amp;"*"),0))</f>
        <v/>
      </c>
      <c r="G798" s="35"/>
      <c r="H798" s="22" t="str">
        <f t="array" ref="H798">INDEX(DropdownLists!$E$2:$E$276,MATCH('Ingest Template'!D798,DropdownLists!$C$2:$C$276,0))</f>
        <v>#N/A</v>
      </c>
      <c r="I798" s="22"/>
      <c r="J798" s="22" t="str">
        <f t="array" ref="J798">iF('Ingest Template'!A798="Standard","Pristine Brand",INDEX(DropdownLists!$B$2:$B$246,MATCH('Ingest Template'!D798,DropdownLists!$C$2:$C$246,0)))</f>
        <v>#N/A</v>
      </c>
      <c r="K798" s="22" t="str">
        <f>iF('Ingest Template'!A798="Standard",'Ingest Template'!K798&amp;CHAR(10)&amp;'Ingest Template'!L798,"Competitive View")</f>
        <v>Competitive View</v>
      </c>
      <c r="L798" s="22" t="s">
        <v>95</v>
      </c>
      <c r="M798" s="45" t="str">
        <f>'Ingest Template'!B798</f>
        <v/>
      </c>
      <c r="N798" s="35"/>
      <c r="O798" s="35"/>
      <c r="P798" s="35"/>
      <c r="Q798" s="35"/>
      <c r="R798" s="35" t="str">
        <f>'Ingest Template'!D798</f>
        <v/>
      </c>
      <c r="S798" s="22" t="s">
        <v>101</v>
      </c>
      <c r="T798" s="35" t="str">
        <f>'Ingest Template'!V798</f>
        <v/>
      </c>
      <c r="U798" s="35" t="str">
        <f>'Ingest Template'!W798</f>
        <v/>
      </c>
      <c r="V798" s="35" t="str">
        <f>LOWER(SUBSTITUTE(SUBSTITUTE(SUBSTITUTE(SUBSTITUTE(SUBSTITUTE('Ingest Template'!X798,"https:",""),"www.",""),"/",""),"?hl=en",""),"instagram.com",""))</f>
        <v/>
      </c>
      <c r="W798" s="74" t="str">
        <f t="array" ref="W798">IF(
'Ingest Template'!Y798="",
SUBSTITUTE(
INDEX(DropdownLists!$F$2:$F$277,MATCH('Ingest Template'!D798,DropdownLists!$C$2:$C$277,0)),
CHAR(10),
"|"&amp;'Ingest Template'!C798&amp;CHAR(10)
)&amp;"|"&amp;'Ingest Template'!C798,
SUBSTITUTE(
INDEX(DropdownLists!$F$2:$F$277,MATCH('Ingest Template'!D798,DropdownLists!$C$2:$C$277,0)),
CHAR(10),
"|"&amp;'Ingest Template'!C798&amp;CHAR(10)
)&amp;"|"&amp;'Ingest Template'!C798&amp;CHAR(10)&amp;'Ingest Template'!Y798
)</f>
        <v>#N/A</v>
      </c>
      <c r="X798" s="74" t="str">
        <f>'Ingest Template'!Z798</f>
        <v/>
      </c>
      <c r="Y798" s="35" t="str">
        <f>SUBSTITUTE(SUBSTITUTE(SUBSTITUTE('Ingest Template'!AA798,"http:",""),"https:",""),"/","")</f>
        <v/>
      </c>
      <c r="Z798" s="35" t="str">
        <f t="array" ref="Z798">IF('Ingest Template'!A798="Standard",(IF(ISBLANK('Ingest Template'!AB798),"", 'Ingest Template'!AB798&amp;"|DAR")),(IF(ISBLANK('Ingest Template'!AB798),"", 'Ingest Template'!AB798&amp;"|TV Ops")))</f>
        <v/>
      </c>
      <c r="AA798" s="35"/>
      <c r="AB798" s="35" t="str">
        <f>'Ingest Template'!R798</f>
        <v/>
      </c>
      <c r="AC798" s="35" t="str">
        <f>'Ingest Template'!T798</f>
        <v/>
      </c>
      <c r="AD798" s="35" t="str">
        <f>'Ingest Template'!S798</f>
        <v/>
      </c>
      <c r="AE798" s="35" t="str">
        <f>'Ingest Template'!U798</f>
        <v/>
      </c>
      <c r="AF798" s="22"/>
      <c r="AG798" s="35" t="str">
        <f t="array" ref="AG798">IF('Ingest Template'!A798="Standard",(CONCATENATE(IF(ISBLANK('Ingest Template'!N798),"", 'Ingest Template'!N798&amp;"|DAR"),CHAR(10), IF(ISBLANK('Ingest Template'!O798),"", 'Ingest Template'!O798&amp;"|DAR"),CHAR(10), IF(ISBLANK('Ingest Template'!P798),"", 'Ingest Template'!P798&amp;"|DAR"))),(CONCATENATE(IF(ISBLANK('Ingest Template'!N798),"", 'Ingest Template'!N798&amp;"|TV Ops"),CHAR(10), IF(ISBLANK('Ingest Template'!O798),"", 'Ingest Template'!O798&amp;"|TV Ops"),CHAR(10), IF(ISBLANK('Ingest Template'!P798),"", 'Ingest Template'!P798&amp;"|TV Ops"))))</f>
        <v>
</v>
      </c>
      <c r="AH798" s="35"/>
      <c r="AI798" s="35"/>
      <c r="AJ798" s="117" t="str">
        <f>if('Ingest Template'!A798="Standard",(IF(OR('Ingest Template'!F798 = "Program Type - Special", 'Ingest Template'!F798 = "Program Type - Live Event"),'Ingest Template'!M798&amp; "|DAR|DAR|"&amp;TEXT('Ingest Template'!C798-3, "yyyy-mm-dd")&amp;"|"&amp;TEXT('Ingest Template'!C798+3, "yyyy-mm-dd"),'Ingest Template'!M798&amp; "|DAR|DAR|2021-01-01")),(IF(OR('Ingest Template'!F798 = "Program Type - Special", 'Ingest Template'!F798 = "Program Type - Live Event"),'Ingest Template'!M798&amp; "|Operations - Core Title|Operations - Core Title|"&amp;TEXT('Ingest Template'!C798-3, "yyyy-mm-dd")&amp;"|"&amp;TEXT('Ingest Template'!C798+3, "yyyy-mm-dd"),'Ingest Template'!M798&amp; "|Operations - Core Title|Operations - Core Title")))</f>
        <v>|Operations - Core Title|Operations - Core Title</v>
      </c>
      <c r="AK798" s="35"/>
      <c r="AL798" s="117" t="str">
        <f>if('Ingest Template'!A798="Standard",(IF(OR('Ingest Template'!F798 = "Program Type - Special", 'Ingest Template'!F798 = "Program Type - Live Event"),'Ingest Template'!Q798&amp;"|"&amp;TEXT('Ingest Template'!C798-3, "yyyy-mm-dd")&amp;"|"&amp;TEXT('Ingest Template'!C798+3, "yyyy-mm-dd"),'Ingest Template'!Q798&amp; "|2021-01-01")),(IF(OR('Ingest Template'!F798 = "Program Type - Special", 'Ingest Template'!F798 = "Program Type - Live Event"),'Ingest Template'!Q798&amp; "|"&amp;TEXT('Ingest Template'!C798-3, "yyyy-mm-dd")&amp;"|"&amp;TEXT('Ingest Template'!C798+3, "yyyy-mm-dd"),'Ingest Template'!Q798)))</f>
        <v/>
      </c>
      <c r="AM798" s="35" t="str">
        <f>'Ingest Template'!AC798</f>
        <v/>
      </c>
    </row>
    <row r="799">
      <c r="A799" s="15"/>
      <c r="B799" s="22" t="str">
        <f>'Ingest Template'!C799&amp;IF('Ingest Template'!A799 = "Standard", " - DAR","")</f>
        <v/>
      </c>
      <c r="C799" s="22" t="s">
        <v>83</v>
      </c>
      <c r="D799" s="22" t="str">
        <f t="array" ref="D799">CONCATENATE(INDEX(DropdownLists!$H$2:$H$11,MATCH(1,COUNTIF('Ingest Template'!E799,"*"&amp;DropdownLists!$I$2:$I$11&amp;"*"),0)),CHAR(10),'Ingest Template'!F799,CHAR(10),'Ingest Template'!G799,CHAR(10),VLOOKUP('Ingest Template'!D799,DropdownLists!C:D,2,FALSE))</f>
        <v>#N/A</v>
      </c>
      <c r="E799" s="22" t="str">
        <f>CONCATENATE('Ingest Template'!H799,CHAR(10),'Ingest Template'!I799,CHAR(10),'Ingest Template'!J799,CHAR(10))</f>
        <v>
</v>
      </c>
      <c r="F799" s="35" t="str">
        <f t="array" ref="F799">INDEX(DropdownLists!$O$2:$O$36,MATCH(1,COUNTIF(E799,"*"&amp;DropdownLists!$N$2:$N$36&amp;"*"),0))</f>
        <v/>
      </c>
      <c r="G799" s="35"/>
      <c r="H799" s="22" t="str">
        <f t="array" ref="H799">INDEX(DropdownLists!$E$2:$E$276,MATCH('Ingest Template'!D799,DropdownLists!$C$2:$C$276,0))</f>
        <v>#N/A</v>
      </c>
      <c r="I799" s="22"/>
      <c r="J799" s="22" t="str">
        <f t="array" ref="J799">iF('Ingest Template'!A799="Standard","Pristine Brand",INDEX(DropdownLists!$B$2:$B$246,MATCH('Ingest Template'!D799,DropdownLists!$C$2:$C$246,0)))</f>
        <v>#N/A</v>
      </c>
      <c r="K799" s="22" t="str">
        <f>iF('Ingest Template'!A799="Standard",'Ingest Template'!K799&amp;CHAR(10)&amp;'Ingest Template'!L799,"Competitive View")</f>
        <v>Competitive View</v>
      </c>
      <c r="L799" s="22" t="s">
        <v>95</v>
      </c>
      <c r="M799" s="45" t="str">
        <f>'Ingest Template'!B799</f>
        <v/>
      </c>
      <c r="N799" s="35"/>
      <c r="O799" s="35"/>
      <c r="P799" s="35"/>
      <c r="Q799" s="35"/>
      <c r="R799" s="35" t="str">
        <f>'Ingest Template'!D799</f>
        <v/>
      </c>
      <c r="S799" s="22" t="s">
        <v>101</v>
      </c>
      <c r="T799" s="35" t="str">
        <f>'Ingest Template'!V799</f>
        <v/>
      </c>
      <c r="U799" s="35" t="str">
        <f>'Ingest Template'!W799</f>
        <v/>
      </c>
      <c r="V799" s="35" t="str">
        <f>LOWER(SUBSTITUTE(SUBSTITUTE(SUBSTITUTE(SUBSTITUTE(SUBSTITUTE('Ingest Template'!X799,"https:",""),"www.",""),"/",""),"?hl=en",""),"instagram.com",""))</f>
        <v/>
      </c>
      <c r="W799" s="74" t="str">
        <f t="array" ref="W799">IF(
'Ingest Template'!Y799="",
SUBSTITUTE(
INDEX(DropdownLists!$F$2:$F$277,MATCH('Ingest Template'!D799,DropdownLists!$C$2:$C$277,0)),
CHAR(10),
"|"&amp;'Ingest Template'!C799&amp;CHAR(10)
)&amp;"|"&amp;'Ingest Template'!C799,
SUBSTITUTE(
INDEX(DropdownLists!$F$2:$F$277,MATCH('Ingest Template'!D799,DropdownLists!$C$2:$C$277,0)),
CHAR(10),
"|"&amp;'Ingest Template'!C799&amp;CHAR(10)
)&amp;"|"&amp;'Ingest Template'!C799&amp;CHAR(10)&amp;'Ingest Template'!Y799
)</f>
        <v>#N/A</v>
      </c>
      <c r="X799" s="74" t="str">
        <f>'Ingest Template'!Z799</f>
        <v/>
      </c>
      <c r="Y799" s="35" t="str">
        <f>SUBSTITUTE(SUBSTITUTE(SUBSTITUTE('Ingest Template'!AA799,"http:",""),"https:",""),"/","")</f>
        <v/>
      </c>
      <c r="Z799" s="35" t="str">
        <f t="array" ref="Z799">IF('Ingest Template'!A799="Standard",(IF(ISBLANK('Ingest Template'!AB799),"", 'Ingest Template'!AB799&amp;"|DAR")),(IF(ISBLANK('Ingest Template'!AB799),"", 'Ingest Template'!AB799&amp;"|TV Ops")))</f>
        <v/>
      </c>
      <c r="AA799" s="35"/>
      <c r="AB799" s="35" t="str">
        <f>'Ingest Template'!R799</f>
        <v/>
      </c>
      <c r="AC799" s="35" t="str">
        <f>'Ingest Template'!T799</f>
        <v/>
      </c>
      <c r="AD799" s="35" t="str">
        <f>'Ingest Template'!S799</f>
        <v/>
      </c>
      <c r="AE799" s="35" t="str">
        <f>'Ingest Template'!U799</f>
        <v/>
      </c>
      <c r="AF799" s="22"/>
      <c r="AG799" s="35" t="str">
        <f t="array" ref="AG799">IF('Ingest Template'!A799="Standard",(CONCATENATE(IF(ISBLANK('Ingest Template'!N799),"", 'Ingest Template'!N799&amp;"|DAR"),CHAR(10), IF(ISBLANK('Ingest Template'!O799),"", 'Ingest Template'!O799&amp;"|DAR"),CHAR(10), IF(ISBLANK('Ingest Template'!P799),"", 'Ingest Template'!P799&amp;"|DAR"))),(CONCATENATE(IF(ISBLANK('Ingest Template'!N799),"", 'Ingest Template'!N799&amp;"|TV Ops"),CHAR(10), IF(ISBLANK('Ingest Template'!O799),"", 'Ingest Template'!O799&amp;"|TV Ops"),CHAR(10), IF(ISBLANK('Ingest Template'!P799),"", 'Ingest Template'!P799&amp;"|TV Ops"))))</f>
        <v>
</v>
      </c>
      <c r="AH799" s="35"/>
      <c r="AI799" s="35"/>
      <c r="AJ799" s="117" t="str">
        <f>if('Ingest Template'!A799="Standard",(IF(OR('Ingest Template'!F799 = "Program Type - Special", 'Ingest Template'!F799 = "Program Type - Live Event"),'Ingest Template'!M799&amp; "|DAR|DAR|"&amp;TEXT('Ingest Template'!C799-3, "yyyy-mm-dd")&amp;"|"&amp;TEXT('Ingest Template'!C799+3, "yyyy-mm-dd"),'Ingest Template'!M799&amp; "|DAR|DAR|2021-01-01")),(IF(OR('Ingest Template'!F799 = "Program Type - Special", 'Ingest Template'!F799 = "Program Type - Live Event"),'Ingest Template'!M799&amp; "|Operations - Core Title|Operations - Core Title|"&amp;TEXT('Ingest Template'!C799-3, "yyyy-mm-dd")&amp;"|"&amp;TEXT('Ingest Template'!C799+3, "yyyy-mm-dd"),'Ingest Template'!M799&amp; "|Operations - Core Title|Operations - Core Title")))</f>
        <v>|Operations - Core Title|Operations - Core Title</v>
      </c>
      <c r="AK799" s="35"/>
      <c r="AL799" s="117" t="str">
        <f>if('Ingest Template'!A799="Standard",(IF(OR('Ingest Template'!F799 = "Program Type - Special", 'Ingest Template'!F799 = "Program Type - Live Event"),'Ingest Template'!Q799&amp;"|"&amp;TEXT('Ingest Template'!C799-3, "yyyy-mm-dd")&amp;"|"&amp;TEXT('Ingest Template'!C799+3, "yyyy-mm-dd"),'Ingest Template'!Q799&amp; "|2021-01-01")),(IF(OR('Ingest Template'!F799 = "Program Type - Special", 'Ingest Template'!F799 = "Program Type - Live Event"),'Ingest Template'!Q799&amp; "|"&amp;TEXT('Ingest Template'!C799-3, "yyyy-mm-dd")&amp;"|"&amp;TEXT('Ingest Template'!C799+3, "yyyy-mm-dd"),'Ingest Template'!Q799)))</f>
        <v/>
      </c>
      <c r="AM799" s="35" t="str">
        <f>'Ingest Template'!AC799</f>
        <v/>
      </c>
    </row>
    <row r="800">
      <c r="A800" s="15"/>
      <c r="B800" s="22" t="str">
        <f>'Ingest Template'!C800&amp;IF('Ingest Template'!A800 = "Standard", " - DAR","")</f>
        <v/>
      </c>
      <c r="C800" s="22" t="s">
        <v>83</v>
      </c>
      <c r="D800" s="22" t="str">
        <f t="array" ref="D800">CONCATENATE(INDEX(DropdownLists!$H$2:$H$11,MATCH(1,COUNTIF('Ingest Template'!E800,"*"&amp;DropdownLists!$I$2:$I$11&amp;"*"),0)),CHAR(10),'Ingest Template'!F800,CHAR(10),'Ingest Template'!G800,CHAR(10),VLOOKUP('Ingest Template'!D800,DropdownLists!C:D,2,FALSE))</f>
        <v>#N/A</v>
      </c>
      <c r="E800" s="22" t="str">
        <f>CONCATENATE('Ingest Template'!H800,CHAR(10),'Ingest Template'!I800,CHAR(10),'Ingest Template'!J800,CHAR(10))</f>
        <v>
</v>
      </c>
      <c r="F800" s="35" t="str">
        <f t="array" ref="F800">INDEX(DropdownLists!$O$2:$O$36,MATCH(1,COUNTIF(E800,"*"&amp;DropdownLists!$N$2:$N$36&amp;"*"),0))</f>
        <v/>
      </c>
      <c r="G800" s="35"/>
      <c r="H800" s="22" t="str">
        <f t="array" ref="H800">INDEX(DropdownLists!$E$2:$E$276,MATCH('Ingest Template'!D800,DropdownLists!$C$2:$C$276,0))</f>
        <v>#N/A</v>
      </c>
      <c r="I800" s="22"/>
      <c r="J800" s="22" t="str">
        <f t="array" ref="J800">iF('Ingest Template'!A800="Standard","Pristine Brand",INDEX(DropdownLists!$B$2:$B$246,MATCH('Ingest Template'!D800,DropdownLists!$C$2:$C$246,0)))</f>
        <v>#N/A</v>
      </c>
      <c r="K800" s="22" t="str">
        <f>iF('Ingest Template'!A800="Standard",'Ingest Template'!K800&amp;CHAR(10)&amp;'Ingest Template'!L800,"Competitive View")</f>
        <v>Competitive View</v>
      </c>
      <c r="L800" s="22" t="s">
        <v>95</v>
      </c>
      <c r="M800" s="45" t="str">
        <f>'Ingest Template'!B800</f>
        <v/>
      </c>
      <c r="N800" s="35"/>
      <c r="O800" s="35"/>
      <c r="P800" s="35"/>
      <c r="Q800" s="35"/>
      <c r="R800" s="35" t="str">
        <f>'Ingest Template'!D800</f>
        <v/>
      </c>
      <c r="S800" s="22" t="s">
        <v>101</v>
      </c>
      <c r="T800" s="35" t="str">
        <f>'Ingest Template'!V800</f>
        <v/>
      </c>
      <c r="U800" s="35" t="str">
        <f>'Ingest Template'!W800</f>
        <v/>
      </c>
      <c r="V800" s="35" t="str">
        <f>LOWER(SUBSTITUTE(SUBSTITUTE(SUBSTITUTE(SUBSTITUTE(SUBSTITUTE('Ingest Template'!X800,"https:",""),"www.",""),"/",""),"?hl=en",""),"instagram.com",""))</f>
        <v/>
      </c>
      <c r="W800" s="74" t="str">
        <f t="array" ref="W800">IF(
'Ingest Template'!Y800="",
SUBSTITUTE(
INDEX(DropdownLists!$F$2:$F$277,MATCH('Ingest Template'!D800,DropdownLists!$C$2:$C$277,0)),
CHAR(10),
"|"&amp;'Ingest Template'!C800&amp;CHAR(10)
)&amp;"|"&amp;'Ingest Template'!C800,
SUBSTITUTE(
INDEX(DropdownLists!$F$2:$F$277,MATCH('Ingest Template'!D800,DropdownLists!$C$2:$C$277,0)),
CHAR(10),
"|"&amp;'Ingest Template'!C800&amp;CHAR(10)
)&amp;"|"&amp;'Ingest Template'!C800&amp;CHAR(10)&amp;'Ingest Template'!Y800
)</f>
        <v>#N/A</v>
      </c>
      <c r="X800" s="74" t="str">
        <f>'Ingest Template'!Z800</f>
        <v/>
      </c>
      <c r="Y800" s="35" t="str">
        <f>SUBSTITUTE(SUBSTITUTE(SUBSTITUTE('Ingest Template'!AA800,"http:",""),"https:",""),"/","")</f>
        <v/>
      </c>
      <c r="Z800" s="35" t="str">
        <f t="array" ref="Z800">IF('Ingest Template'!A800="Standard",(IF(ISBLANK('Ingest Template'!AB800),"", 'Ingest Template'!AB800&amp;"|DAR")),(IF(ISBLANK('Ingest Template'!AB800),"", 'Ingest Template'!AB800&amp;"|TV Ops")))</f>
        <v/>
      </c>
      <c r="AA800" s="35"/>
      <c r="AB800" s="35" t="str">
        <f>'Ingest Template'!R800</f>
        <v/>
      </c>
      <c r="AC800" s="35" t="str">
        <f>'Ingest Template'!T800</f>
        <v/>
      </c>
      <c r="AD800" s="35" t="str">
        <f>'Ingest Template'!S800</f>
        <v/>
      </c>
      <c r="AE800" s="35" t="str">
        <f>'Ingest Template'!U800</f>
        <v/>
      </c>
      <c r="AF800" s="22"/>
      <c r="AG800" s="35" t="str">
        <f t="array" ref="AG800">IF('Ingest Template'!A800="Standard",(CONCATENATE(IF(ISBLANK('Ingest Template'!N800),"", 'Ingest Template'!N800&amp;"|DAR"),CHAR(10), IF(ISBLANK('Ingest Template'!O800),"", 'Ingest Template'!O800&amp;"|DAR"),CHAR(10), IF(ISBLANK('Ingest Template'!P800),"", 'Ingest Template'!P800&amp;"|DAR"))),(CONCATENATE(IF(ISBLANK('Ingest Template'!N800),"", 'Ingest Template'!N800&amp;"|TV Ops"),CHAR(10), IF(ISBLANK('Ingest Template'!O800),"", 'Ingest Template'!O800&amp;"|TV Ops"),CHAR(10), IF(ISBLANK('Ingest Template'!P800),"", 'Ingest Template'!P800&amp;"|TV Ops"))))</f>
        <v>
</v>
      </c>
      <c r="AH800" s="35"/>
      <c r="AI800" s="35"/>
      <c r="AJ800" s="117" t="str">
        <f>if('Ingest Template'!A800="Standard",(IF(OR('Ingest Template'!F800 = "Program Type - Special", 'Ingest Template'!F800 = "Program Type - Live Event"),'Ingest Template'!M800&amp; "|DAR|DAR|"&amp;TEXT('Ingest Template'!C800-3, "yyyy-mm-dd")&amp;"|"&amp;TEXT('Ingest Template'!C800+3, "yyyy-mm-dd"),'Ingest Template'!M800&amp; "|DAR|DAR|2021-01-01")),(IF(OR('Ingest Template'!F800 = "Program Type - Special", 'Ingest Template'!F800 = "Program Type - Live Event"),'Ingest Template'!M800&amp; "|Operations - Core Title|Operations - Core Title|"&amp;TEXT('Ingest Template'!C800-3, "yyyy-mm-dd")&amp;"|"&amp;TEXT('Ingest Template'!C800+3, "yyyy-mm-dd"),'Ingest Template'!M800&amp; "|Operations - Core Title|Operations - Core Title")))</f>
        <v>|Operations - Core Title|Operations - Core Title</v>
      </c>
      <c r="AK800" s="35"/>
      <c r="AL800" s="117" t="str">
        <f>if('Ingest Template'!A800="Standard",(IF(OR('Ingest Template'!F800 = "Program Type - Special", 'Ingest Template'!F800 = "Program Type - Live Event"),'Ingest Template'!Q800&amp;"|"&amp;TEXT('Ingest Template'!C800-3, "yyyy-mm-dd")&amp;"|"&amp;TEXT('Ingest Template'!C800+3, "yyyy-mm-dd"),'Ingest Template'!Q800&amp; "|2021-01-01")),(IF(OR('Ingest Template'!F800 = "Program Type - Special", 'Ingest Template'!F800 = "Program Type - Live Event"),'Ingest Template'!Q800&amp; "|"&amp;TEXT('Ingest Template'!C800-3, "yyyy-mm-dd")&amp;"|"&amp;TEXT('Ingest Template'!C800+3, "yyyy-mm-dd"),'Ingest Template'!Q800)))</f>
        <v/>
      </c>
      <c r="AM800" s="35" t="str">
        <f>'Ingest Template'!AC800</f>
        <v/>
      </c>
    </row>
    <row r="801">
      <c r="A801" s="15"/>
      <c r="B801" s="22" t="str">
        <f>'Ingest Template'!C801&amp;IF('Ingest Template'!A801 = "Standard", " - DAR","")</f>
        <v/>
      </c>
      <c r="C801" s="22" t="s">
        <v>83</v>
      </c>
      <c r="D801" s="22" t="str">
        <f t="array" ref="D801">CONCATENATE(INDEX(DropdownLists!$H$2:$H$11,MATCH(1,COUNTIF('Ingest Template'!E801,"*"&amp;DropdownLists!$I$2:$I$11&amp;"*"),0)),CHAR(10),'Ingest Template'!F801,CHAR(10),'Ingest Template'!G801,CHAR(10),VLOOKUP('Ingest Template'!D801,DropdownLists!C:D,2,FALSE))</f>
        <v>#N/A</v>
      </c>
      <c r="E801" s="22" t="str">
        <f>CONCATENATE('Ingest Template'!H801,CHAR(10),'Ingest Template'!I801,CHAR(10),'Ingest Template'!J801,CHAR(10))</f>
        <v>
</v>
      </c>
      <c r="F801" s="35" t="str">
        <f t="array" ref="F801">INDEX(DropdownLists!$O$2:$O$36,MATCH(1,COUNTIF(E801,"*"&amp;DropdownLists!$N$2:$N$36&amp;"*"),0))</f>
        <v/>
      </c>
      <c r="G801" s="35"/>
      <c r="H801" s="22" t="str">
        <f t="array" ref="H801">INDEX(DropdownLists!$E$2:$E$276,MATCH('Ingest Template'!D801,DropdownLists!$C$2:$C$276,0))</f>
        <v>#N/A</v>
      </c>
      <c r="I801" s="22"/>
      <c r="J801" s="22" t="str">
        <f t="array" ref="J801">iF('Ingest Template'!A801="Standard","Pristine Brand",INDEX(DropdownLists!$B$2:$B$246,MATCH('Ingest Template'!D801,DropdownLists!$C$2:$C$246,0)))</f>
        <v>#N/A</v>
      </c>
      <c r="K801" s="22" t="str">
        <f>iF('Ingest Template'!A801="Standard",'Ingest Template'!K801&amp;CHAR(10)&amp;'Ingest Template'!L801,"Competitive View")</f>
        <v>Competitive View</v>
      </c>
      <c r="L801" s="22" t="s">
        <v>95</v>
      </c>
      <c r="M801" s="45" t="str">
        <f>'Ingest Template'!B801</f>
        <v/>
      </c>
      <c r="N801" s="35"/>
      <c r="O801" s="35"/>
      <c r="P801" s="35"/>
      <c r="Q801" s="35"/>
      <c r="R801" s="35" t="str">
        <f>'Ingest Template'!D801</f>
        <v/>
      </c>
      <c r="S801" s="22" t="s">
        <v>101</v>
      </c>
      <c r="T801" s="35" t="str">
        <f>'Ingest Template'!V801</f>
        <v/>
      </c>
      <c r="U801" s="35" t="str">
        <f>'Ingest Template'!W801</f>
        <v/>
      </c>
      <c r="V801" s="35" t="str">
        <f>LOWER(SUBSTITUTE(SUBSTITUTE(SUBSTITUTE(SUBSTITUTE(SUBSTITUTE('Ingest Template'!X801,"https:",""),"www.",""),"/",""),"?hl=en",""),"instagram.com",""))</f>
        <v/>
      </c>
      <c r="W801" s="74" t="str">
        <f t="array" ref="W801">IF(
'Ingest Template'!Y801="",
SUBSTITUTE(
INDEX(DropdownLists!$F$2:$F$277,MATCH('Ingest Template'!D801,DropdownLists!$C$2:$C$277,0)),
CHAR(10),
"|"&amp;'Ingest Template'!C801&amp;CHAR(10)
)&amp;"|"&amp;'Ingest Template'!C801,
SUBSTITUTE(
INDEX(DropdownLists!$F$2:$F$277,MATCH('Ingest Template'!D801,DropdownLists!$C$2:$C$277,0)),
CHAR(10),
"|"&amp;'Ingest Template'!C801&amp;CHAR(10)
)&amp;"|"&amp;'Ingest Template'!C801&amp;CHAR(10)&amp;'Ingest Template'!Y801
)</f>
        <v>#N/A</v>
      </c>
      <c r="X801" s="74" t="str">
        <f>'Ingest Template'!Z801</f>
        <v/>
      </c>
      <c r="Y801" s="35" t="str">
        <f>SUBSTITUTE(SUBSTITUTE(SUBSTITUTE('Ingest Template'!AA801,"http:",""),"https:",""),"/","")</f>
        <v/>
      </c>
      <c r="Z801" s="35" t="str">
        <f t="array" ref="Z801">IF('Ingest Template'!A801="Standard",(IF(ISBLANK('Ingest Template'!AB801),"", 'Ingest Template'!AB801&amp;"|DAR")),(IF(ISBLANK('Ingest Template'!AB801),"", 'Ingest Template'!AB801&amp;"|TV Ops")))</f>
        <v/>
      </c>
      <c r="AA801" s="35"/>
      <c r="AB801" s="35" t="str">
        <f>'Ingest Template'!R801</f>
        <v/>
      </c>
      <c r="AC801" s="35" t="str">
        <f>'Ingest Template'!T801</f>
        <v/>
      </c>
      <c r="AD801" s="35" t="str">
        <f>'Ingest Template'!S801</f>
        <v/>
      </c>
      <c r="AE801" s="35" t="str">
        <f>'Ingest Template'!U801</f>
        <v/>
      </c>
      <c r="AF801" s="22"/>
      <c r="AG801" s="35" t="str">
        <f t="array" ref="AG801">IF('Ingest Template'!A801="Standard",(CONCATENATE(IF(ISBLANK('Ingest Template'!N801),"", 'Ingest Template'!N801&amp;"|DAR"),CHAR(10), IF(ISBLANK('Ingest Template'!O801),"", 'Ingest Template'!O801&amp;"|DAR"),CHAR(10), IF(ISBLANK('Ingest Template'!P801),"", 'Ingest Template'!P801&amp;"|DAR"))),(CONCATENATE(IF(ISBLANK('Ingest Template'!N801),"", 'Ingest Template'!N801&amp;"|TV Ops"),CHAR(10), IF(ISBLANK('Ingest Template'!O801),"", 'Ingest Template'!O801&amp;"|TV Ops"),CHAR(10), IF(ISBLANK('Ingest Template'!P801),"", 'Ingest Template'!P801&amp;"|TV Ops"))))</f>
        <v>
</v>
      </c>
      <c r="AH801" s="35"/>
      <c r="AI801" s="35"/>
      <c r="AJ801" s="117" t="str">
        <f>if('Ingest Template'!A801="Standard",(IF(OR('Ingest Template'!F801 = "Program Type - Special", 'Ingest Template'!F801 = "Program Type - Live Event"),'Ingest Template'!M801&amp; "|DAR|DAR|"&amp;TEXT('Ingest Template'!C801-3, "yyyy-mm-dd")&amp;"|"&amp;TEXT('Ingest Template'!C801+3, "yyyy-mm-dd"),'Ingest Template'!M801&amp; "|DAR|DAR|2021-01-01")),(IF(OR('Ingest Template'!F801 = "Program Type - Special", 'Ingest Template'!F801 = "Program Type - Live Event"),'Ingest Template'!M801&amp; "|Operations - Core Title|Operations - Core Title|"&amp;TEXT('Ingest Template'!C801-3, "yyyy-mm-dd")&amp;"|"&amp;TEXT('Ingest Template'!C801+3, "yyyy-mm-dd"),'Ingest Template'!M801&amp; "|Operations - Core Title|Operations - Core Title")))</f>
        <v>|Operations - Core Title|Operations - Core Title</v>
      </c>
      <c r="AK801" s="35"/>
      <c r="AL801" s="117" t="str">
        <f>if('Ingest Template'!A801="Standard",(IF(OR('Ingest Template'!F801 = "Program Type - Special", 'Ingest Template'!F801 = "Program Type - Live Event"),'Ingest Template'!Q801&amp;"|"&amp;TEXT('Ingest Template'!C801-3, "yyyy-mm-dd")&amp;"|"&amp;TEXT('Ingest Template'!C801+3, "yyyy-mm-dd"),'Ingest Template'!Q801&amp; "|2021-01-01")),(IF(OR('Ingest Template'!F801 = "Program Type - Special", 'Ingest Template'!F801 = "Program Type - Live Event"),'Ingest Template'!Q801&amp; "|"&amp;TEXT('Ingest Template'!C801-3, "yyyy-mm-dd")&amp;"|"&amp;TEXT('Ingest Template'!C801+3, "yyyy-mm-dd"),'Ingest Template'!Q801)))</f>
        <v/>
      </c>
      <c r="AM801" s="35" t="str">
        <f>'Ingest Template'!AC801</f>
        <v/>
      </c>
    </row>
    <row r="802">
      <c r="A802" s="15"/>
      <c r="B802" s="22" t="str">
        <f>'Ingest Template'!C802&amp;IF('Ingest Template'!A802 = "Standard", " - DAR","")</f>
        <v/>
      </c>
      <c r="C802" s="22" t="s">
        <v>83</v>
      </c>
      <c r="D802" s="22" t="str">
        <f t="array" ref="D802">CONCATENATE(INDEX(DropdownLists!$H$2:$H$11,MATCH(1,COUNTIF('Ingest Template'!E802,"*"&amp;DropdownLists!$I$2:$I$11&amp;"*"),0)),CHAR(10),'Ingest Template'!F802,CHAR(10),'Ingest Template'!G802,CHAR(10),VLOOKUP('Ingest Template'!D802,DropdownLists!C:D,2,FALSE))</f>
        <v>#N/A</v>
      </c>
      <c r="E802" s="22" t="str">
        <f>CONCATENATE('Ingest Template'!H802,CHAR(10),'Ingest Template'!I802,CHAR(10),'Ingest Template'!J802,CHAR(10))</f>
        <v>
</v>
      </c>
      <c r="F802" s="35" t="str">
        <f t="array" ref="F802">INDEX(DropdownLists!$O$2:$O$36,MATCH(1,COUNTIF(E802,"*"&amp;DropdownLists!$N$2:$N$36&amp;"*"),0))</f>
        <v/>
      </c>
      <c r="G802" s="35"/>
      <c r="H802" s="22" t="str">
        <f t="array" ref="H802">INDEX(DropdownLists!$E$2:$E$276,MATCH('Ingest Template'!D802,DropdownLists!$C$2:$C$276,0))</f>
        <v>#N/A</v>
      </c>
      <c r="I802" s="22"/>
      <c r="J802" s="22" t="str">
        <f t="array" ref="J802">iF('Ingest Template'!A802="Standard","Pristine Brand",INDEX(DropdownLists!$B$2:$B$246,MATCH('Ingest Template'!D802,DropdownLists!$C$2:$C$246,0)))</f>
        <v>#N/A</v>
      </c>
      <c r="K802" s="22" t="str">
        <f>iF('Ingest Template'!A802="Standard",'Ingest Template'!K802&amp;CHAR(10)&amp;'Ingest Template'!L802,"Competitive View")</f>
        <v>Competitive View</v>
      </c>
      <c r="L802" s="22" t="s">
        <v>95</v>
      </c>
      <c r="M802" s="45" t="str">
        <f>'Ingest Template'!B802</f>
        <v/>
      </c>
      <c r="N802" s="35"/>
      <c r="O802" s="35"/>
      <c r="P802" s="35"/>
      <c r="Q802" s="35"/>
      <c r="R802" s="35" t="str">
        <f>'Ingest Template'!D802</f>
        <v/>
      </c>
      <c r="S802" s="22" t="s">
        <v>101</v>
      </c>
      <c r="T802" s="35" t="str">
        <f>'Ingest Template'!V802</f>
        <v/>
      </c>
      <c r="U802" s="35" t="str">
        <f>'Ingest Template'!W802</f>
        <v/>
      </c>
      <c r="V802" s="35" t="str">
        <f>LOWER(SUBSTITUTE(SUBSTITUTE(SUBSTITUTE(SUBSTITUTE(SUBSTITUTE('Ingest Template'!X802,"https:",""),"www.",""),"/",""),"?hl=en",""),"instagram.com",""))</f>
        <v/>
      </c>
      <c r="W802" s="74" t="str">
        <f t="array" ref="W802">IF(
'Ingest Template'!Y802="",
SUBSTITUTE(
INDEX(DropdownLists!$F$2:$F$277,MATCH('Ingest Template'!D802,DropdownLists!$C$2:$C$277,0)),
CHAR(10),
"|"&amp;'Ingest Template'!C802&amp;CHAR(10)
)&amp;"|"&amp;'Ingest Template'!C802,
SUBSTITUTE(
INDEX(DropdownLists!$F$2:$F$277,MATCH('Ingest Template'!D802,DropdownLists!$C$2:$C$277,0)),
CHAR(10),
"|"&amp;'Ingest Template'!C802&amp;CHAR(10)
)&amp;"|"&amp;'Ingest Template'!C802&amp;CHAR(10)&amp;'Ingest Template'!Y802
)</f>
        <v>#N/A</v>
      </c>
      <c r="X802" s="74" t="str">
        <f>'Ingest Template'!Z802</f>
        <v/>
      </c>
      <c r="Y802" s="35" t="str">
        <f>SUBSTITUTE(SUBSTITUTE(SUBSTITUTE('Ingest Template'!AA802,"http:",""),"https:",""),"/","")</f>
        <v/>
      </c>
      <c r="Z802" s="35" t="str">
        <f t="array" ref="Z802">IF('Ingest Template'!A802="Standard",(IF(ISBLANK('Ingest Template'!AB802),"", 'Ingest Template'!AB802&amp;"|DAR")),(IF(ISBLANK('Ingest Template'!AB802),"", 'Ingest Template'!AB802&amp;"|TV Ops")))</f>
        <v/>
      </c>
      <c r="AA802" s="35"/>
      <c r="AB802" s="35" t="str">
        <f>'Ingest Template'!R802</f>
        <v/>
      </c>
      <c r="AC802" s="35" t="str">
        <f>'Ingest Template'!T802</f>
        <v/>
      </c>
      <c r="AD802" s="35" t="str">
        <f>'Ingest Template'!S802</f>
        <v/>
      </c>
      <c r="AE802" s="35" t="str">
        <f>'Ingest Template'!U802</f>
        <v/>
      </c>
      <c r="AF802" s="22"/>
      <c r="AG802" s="35" t="str">
        <f t="array" ref="AG802">IF('Ingest Template'!A802="Standard",(CONCATENATE(IF(ISBLANK('Ingest Template'!N802),"", 'Ingest Template'!N802&amp;"|DAR"),CHAR(10), IF(ISBLANK('Ingest Template'!O802),"", 'Ingest Template'!O802&amp;"|DAR"),CHAR(10), IF(ISBLANK('Ingest Template'!P802),"", 'Ingest Template'!P802&amp;"|DAR"))),(CONCATENATE(IF(ISBLANK('Ingest Template'!N802),"", 'Ingest Template'!N802&amp;"|TV Ops"),CHAR(10), IF(ISBLANK('Ingest Template'!O802),"", 'Ingest Template'!O802&amp;"|TV Ops"),CHAR(10), IF(ISBLANK('Ingest Template'!P802),"", 'Ingest Template'!P802&amp;"|TV Ops"))))</f>
        <v>
</v>
      </c>
      <c r="AH802" s="35"/>
      <c r="AI802" s="35"/>
      <c r="AJ802" s="117" t="str">
        <f>if('Ingest Template'!A802="Standard",(IF(OR('Ingest Template'!F802 = "Program Type - Special", 'Ingest Template'!F802 = "Program Type - Live Event"),'Ingest Template'!M802&amp; "|DAR|DAR|"&amp;TEXT('Ingest Template'!C802-3, "yyyy-mm-dd")&amp;"|"&amp;TEXT('Ingest Template'!C802+3, "yyyy-mm-dd"),'Ingest Template'!M802&amp; "|DAR|DAR|2021-01-01")),(IF(OR('Ingest Template'!F802 = "Program Type - Special", 'Ingest Template'!F802 = "Program Type - Live Event"),'Ingest Template'!M802&amp; "|Operations - Core Title|Operations - Core Title|"&amp;TEXT('Ingest Template'!C802-3, "yyyy-mm-dd")&amp;"|"&amp;TEXT('Ingest Template'!C802+3, "yyyy-mm-dd"),'Ingest Template'!M802&amp; "|Operations - Core Title|Operations - Core Title")))</f>
        <v>|Operations - Core Title|Operations - Core Title</v>
      </c>
      <c r="AK802" s="35"/>
      <c r="AL802" s="117" t="str">
        <f>if('Ingest Template'!A802="Standard",(IF(OR('Ingest Template'!F802 = "Program Type - Special", 'Ingest Template'!F802 = "Program Type - Live Event"),'Ingest Template'!Q802&amp;"|"&amp;TEXT('Ingest Template'!C802-3, "yyyy-mm-dd")&amp;"|"&amp;TEXT('Ingest Template'!C802+3, "yyyy-mm-dd"),'Ingest Template'!Q802&amp; "|2021-01-01")),(IF(OR('Ingest Template'!F802 = "Program Type - Special", 'Ingest Template'!F802 = "Program Type - Live Event"),'Ingest Template'!Q802&amp; "|"&amp;TEXT('Ingest Template'!C802-3, "yyyy-mm-dd")&amp;"|"&amp;TEXT('Ingest Template'!C802+3, "yyyy-mm-dd"),'Ingest Template'!Q802)))</f>
        <v/>
      </c>
      <c r="AM802" s="35" t="str">
        <f>'Ingest Template'!AC802</f>
        <v/>
      </c>
    </row>
    <row r="803">
      <c r="A803" s="15"/>
      <c r="B803" s="22" t="str">
        <f>'Ingest Template'!C803&amp;IF('Ingest Template'!A803 = "Standard", " - DAR","")</f>
        <v/>
      </c>
      <c r="C803" s="22" t="s">
        <v>83</v>
      </c>
      <c r="D803" s="22" t="str">
        <f t="array" ref="D803">CONCATENATE(INDEX(DropdownLists!$H$2:$H$11,MATCH(1,COUNTIF('Ingest Template'!E803,"*"&amp;DropdownLists!$I$2:$I$11&amp;"*"),0)),CHAR(10),'Ingest Template'!F803,CHAR(10),'Ingest Template'!G803,CHAR(10),VLOOKUP('Ingest Template'!D803,DropdownLists!C:D,2,FALSE))</f>
        <v>#N/A</v>
      </c>
      <c r="E803" s="22" t="str">
        <f>CONCATENATE('Ingest Template'!H803,CHAR(10),'Ingest Template'!I803,CHAR(10),'Ingest Template'!J803,CHAR(10))</f>
        <v>
</v>
      </c>
      <c r="F803" s="35" t="str">
        <f t="array" ref="F803">INDEX(DropdownLists!$O$2:$O$36,MATCH(1,COUNTIF(E803,"*"&amp;DropdownLists!$N$2:$N$36&amp;"*"),0))</f>
        <v/>
      </c>
      <c r="G803" s="35"/>
      <c r="H803" s="22" t="str">
        <f t="array" ref="H803">INDEX(DropdownLists!$E$2:$E$276,MATCH('Ingest Template'!D803,DropdownLists!$C$2:$C$276,0))</f>
        <v>#N/A</v>
      </c>
      <c r="I803" s="22"/>
      <c r="J803" s="22" t="str">
        <f t="array" ref="J803">iF('Ingest Template'!A803="Standard","Pristine Brand",INDEX(DropdownLists!$B$2:$B$246,MATCH('Ingest Template'!D803,DropdownLists!$C$2:$C$246,0)))</f>
        <v>#N/A</v>
      </c>
      <c r="K803" s="22" t="str">
        <f>iF('Ingest Template'!A803="Standard",'Ingest Template'!K803&amp;CHAR(10)&amp;'Ingest Template'!L803,"Competitive View")</f>
        <v>Competitive View</v>
      </c>
      <c r="L803" s="22" t="s">
        <v>95</v>
      </c>
      <c r="M803" s="45" t="str">
        <f>'Ingest Template'!B803</f>
        <v/>
      </c>
      <c r="N803" s="35"/>
      <c r="O803" s="35"/>
      <c r="P803" s="35"/>
      <c r="Q803" s="35"/>
      <c r="R803" s="35" t="str">
        <f>'Ingest Template'!D803</f>
        <v/>
      </c>
      <c r="S803" s="22" t="s">
        <v>101</v>
      </c>
      <c r="T803" s="35" t="str">
        <f>'Ingest Template'!V803</f>
        <v/>
      </c>
      <c r="U803" s="35" t="str">
        <f>'Ingest Template'!W803</f>
        <v/>
      </c>
      <c r="V803" s="35" t="str">
        <f>LOWER(SUBSTITUTE(SUBSTITUTE(SUBSTITUTE(SUBSTITUTE(SUBSTITUTE('Ingest Template'!X803,"https:",""),"www.",""),"/",""),"?hl=en",""),"instagram.com",""))</f>
        <v/>
      </c>
      <c r="W803" s="74" t="str">
        <f t="array" ref="W803">IF(
'Ingest Template'!Y803="",
SUBSTITUTE(
INDEX(DropdownLists!$F$2:$F$277,MATCH('Ingest Template'!D803,DropdownLists!$C$2:$C$277,0)),
CHAR(10),
"|"&amp;'Ingest Template'!C803&amp;CHAR(10)
)&amp;"|"&amp;'Ingest Template'!C803,
SUBSTITUTE(
INDEX(DropdownLists!$F$2:$F$277,MATCH('Ingest Template'!D803,DropdownLists!$C$2:$C$277,0)),
CHAR(10),
"|"&amp;'Ingest Template'!C803&amp;CHAR(10)
)&amp;"|"&amp;'Ingest Template'!C803&amp;CHAR(10)&amp;'Ingest Template'!Y803
)</f>
        <v>#N/A</v>
      </c>
      <c r="X803" s="74" t="str">
        <f>'Ingest Template'!Z803</f>
        <v/>
      </c>
      <c r="Y803" s="35" t="str">
        <f>SUBSTITUTE(SUBSTITUTE(SUBSTITUTE('Ingest Template'!AA803,"http:",""),"https:",""),"/","")</f>
        <v/>
      </c>
      <c r="Z803" s="35" t="str">
        <f t="array" ref="Z803">IF('Ingest Template'!A803="Standard",(IF(ISBLANK('Ingest Template'!AB803),"", 'Ingest Template'!AB803&amp;"|DAR")),(IF(ISBLANK('Ingest Template'!AB803),"", 'Ingest Template'!AB803&amp;"|TV Ops")))</f>
        <v/>
      </c>
      <c r="AA803" s="35"/>
      <c r="AB803" s="35" t="str">
        <f>'Ingest Template'!R803</f>
        <v/>
      </c>
      <c r="AC803" s="35" t="str">
        <f>'Ingest Template'!T803</f>
        <v/>
      </c>
      <c r="AD803" s="35" t="str">
        <f>'Ingest Template'!S803</f>
        <v/>
      </c>
      <c r="AE803" s="35" t="str">
        <f>'Ingest Template'!U803</f>
        <v/>
      </c>
      <c r="AF803" s="22"/>
      <c r="AG803" s="35" t="str">
        <f t="array" ref="AG803">IF('Ingest Template'!A803="Standard",(CONCATENATE(IF(ISBLANK('Ingest Template'!N803),"", 'Ingest Template'!N803&amp;"|DAR"),CHAR(10), IF(ISBLANK('Ingest Template'!O803),"", 'Ingest Template'!O803&amp;"|DAR"),CHAR(10), IF(ISBLANK('Ingest Template'!P803),"", 'Ingest Template'!P803&amp;"|DAR"))),(CONCATENATE(IF(ISBLANK('Ingest Template'!N803),"", 'Ingest Template'!N803&amp;"|TV Ops"),CHAR(10), IF(ISBLANK('Ingest Template'!O803),"", 'Ingest Template'!O803&amp;"|TV Ops"),CHAR(10), IF(ISBLANK('Ingest Template'!P803),"", 'Ingest Template'!P803&amp;"|TV Ops"))))</f>
        <v>
</v>
      </c>
      <c r="AH803" s="35"/>
      <c r="AI803" s="35"/>
      <c r="AJ803" s="117" t="str">
        <f>if('Ingest Template'!A803="Standard",(IF(OR('Ingest Template'!F803 = "Program Type - Special", 'Ingest Template'!F803 = "Program Type - Live Event"),'Ingest Template'!M803&amp; "|DAR|DAR|"&amp;TEXT('Ingest Template'!C803-3, "yyyy-mm-dd")&amp;"|"&amp;TEXT('Ingest Template'!C803+3, "yyyy-mm-dd"),'Ingest Template'!M803&amp; "|DAR|DAR|2021-01-01")),(IF(OR('Ingest Template'!F803 = "Program Type - Special", 'Ingest Template'!F803 = "Program Type - Live Event"),'Ingest Template'!M803&amp; "|Operations - Core Title|Operations - Core Title|"&amp;TEXT('Ingest Template'!C803-3, "yyyy-mm-dd")&amp;"|"&amp;TEXT('Ingest Template'!C803+3, "yyyy-mm-dd"),'Ingest Template'!M803&amp; "|Operations - Core Title|Operations - Core Title")))</f>
        <v>|Operations - Core Title|Operations - Core Title</v>
      </c>
      <c r="AK803" s="35"/>
      <c r="AL803" s="117" t="str">
        <f>if('Ingest Template'!A803="Standard",(IF(OR('Ingest Template'!F803 = "Program Type - Special", 'Ingest Template'!F803 = "Program Type - Live Event"),'Ingest Template'!Q803&amp;"|"&amp;TEXT('Ingest Template'!C803-3, "yyyy-mm-dd")&amp;"|"&amp;TEXT('Ingest Template'!C803+3, "yyyy-mm-dd"),'Ingest Template'!Q803&amp; "|2021-01-01")),(IF(OR('Ingest Template'!F803 = "Program Type - Special", 'Ingest Template'!F803 = "Program Type - Live Event"),'Ingest Template'!Q803&amp; "|"&amp;TEXT('Ingest Template'!C803-3, "yyyy-mm-dd")&amp;"|"&amp;TEXT('Ingest Template'!C803+3, "yyyy-mm-dd"),'Ingest Template'!Q803)))</f>
        <v/>
      </c>
      <c r="AM803" s="35" t="str">
        <f>'Ingest Template'!AC803</f>
        <v/>
      </c>
    </row>
    <row r="804">
      <c r="A804" s="15"/>
      <c r="B804" s="22" t="str">
        <f>'Ingest Template'!C804&amp;IF('Ingest Template'!A804 = "Standard", " - DAR","")</f>
        <v/>
      </c>
      <c r="C804" s="22" t="s">
        <v>83</v>
      </c>
      <c r="D804" s="22" t="str">
        <f t="array" ref="D804">CONCATENATE(INDEX(DropdownLists!$H$2:$H$11,MATCH(1,COUNTIF('Ingest Template'!E804,"*"&amp;DropdownLists!$I$2:$I$11&amp;"*"),0)),CHAR(10),'Ingest Template'!F804,CHAR(10),'Ingest Template'!G804,CHAR(10),VLOOKUP('Ingest Template'!D804,DropdownLists!C:D,2,FALSE))</f>
        <v>#N/A</v>
      </c>
      <c r="E804" s="22" t="str">
        <f>CONCATENATE('Ingest Template'!H804,CHAR(10),'Ingest Template'!I804,CHAR(10),'Ingest Template'!J804,CHAR(10))</f>
        <v>
</v>
      </c>
      <c r="F804" s="35" t="str">
        <f t="array" ref="F804">INDEX(DropdownLists!$O$2:$O$36,MATCH(1,COUNTIF(E804,"*"&amp;DropdownLists!$N$2:$N$36&amp;"*"),0))</f>
        <v/>
      </c>
      <c r="G804" s="35"/>
      <c r="H804" s="22" t="str">
        <f t="array" ref="H804">INDEX(DropdownLists!$E$2:$E$276,MATCH('Ingest Template'!D804,DropdownLists!$C$2:$C$276,0))</f>
        <v>#N/A</v>
      </c>
      <c r="I804" s="22"/>
      <c r="J804" s="22" t="str">
        <f t="array" ref="J804">iF('Ingest Template'!A804="Standard","Pristine Brand",INDEX(DropdownLists!$B$2:$B$246,MATCH('Ingest Template'!D804,DropdownLists!$C$2:$C$246,0)))</f>
        <v>#N/A</v>
      </c>
      <c r="K804" s="22" t="str">
        <f>iF('Ingest Template'!A804="Standard",'Ingest Template'!K804&amp;CHAR(10)&amp;'Ingest Template'!L804,"Competitive View")</f>
        <v>Competitive View</v>
      </c>
      <c r="L804" s="22" t="s">
        <v>95</v>
      </c>
      <c r="M804" s="45" t="str">
        <f>'Ingest Template'!B804</f>
        <v/>
      </c>
      <c r="N804" s="35"/>
      <c r="O804" s="35"/>
      <c r="P804" s="35"/>
      <c r="Q804" s="35"/>
      <c r="R804" s="35" t="str">
        <f>'Ingest Template'!D804</f>
        <v/>
      </c>
      <c r="S804" s="22" t="s">
        <v>101</v>
      </c>
      <c r="T804" s="35" t="str">
        <f>'Ingest Template'!V804</f>
        <v/>
      </c>
      <c r="U804" s="35" t="str">
        <f>'Ingest Template'!W804</f>
        <v/>
      </c>
      <c r="V804" s="35" t="str">
        <f>LOWER(SUBSTITUTE(SUBSTITUTE(SUBSTITUTE(SUBSTITUTE(SUBSTITUTE('Ingest Template'!X804,"https:",""),"www.",""),"/",""),"?hl=en",""),"instagram.com",""))</f>
        <v/>
      </c>
      <c r="W804" s="74" t="str">
        <f t="array" ref="W804">IF(
'Ingest Template'!Y804="",
SUBSTITUTE(
INDEX(DropdownLists!$F$2:$F$277,MATCH('Ingest Template'!D804,DropdownLists!$C$2:$C$277,0)),
CHAR(10),
"|"&amp;'Ingest Template'!C804&amp;CHAR(10)
)&amp;"|"&amp;'Ingest Template'!C804,
SUBSTITUTE(
INDEX(DropdownLists!$F$2:$F$277,MATCH('Ingest Template'!D804,DropdownLists!$C$2:$C$277,0)),
CHAR(10),
"|"&amp;'Ingest Template'!C804&amp;CHAR(10)
)&amp;"|"&amp;'Ingest Template'!C804&amp;CHAR(10)&amp;'Ingest Template'!Y804
)</f>
        <v>#N/A</v>
      </c>
      <c r="X804" s="74" t="str">
        <f>'Ingest Template'!Z804</f>
        <v/>
      </c>
      <c r="Y804" s="35" t="str">
        <f>SUBSTITUTE(SUBSTITUTE(SUBSTITUTE('Ingest Template'!AA804,"http:",""),"https:",""),"/","")</f>
        <v/>
      </c>
      <c r="Z804" s="35" t="str">
        <f t="array" ref="Z804">IF('Ingest Template'!A804="Standard",(IF(ISBLANK('Ingest Template'!AB804),"", 'Ingest Template'!AB804&amp;"|DAR")),(IF(ISBLANK('Ingest Template'!AB804),"", 'Ingest Template'!AB804&amp;"|TV Ops")))</f>
        <v/>
      </c>
      <c r="AA804" s="35"/>
      <c r="AB804" s="35" t="str">
        <f>'Ingest Template'!R804</f>
        <v/>
      </c>
      <c r="AC804" s="35" t="str">
        <f>'Ingest Template'!T804</f>
        <v/>
      </c>
      <c r="AD804" s="35" t="str">
        <f>'Ingest Template'!S804</f>
        <v/>
      </c>
      <c r="AE804" s="35" t="str">
        <f>'Ingest Template'!U804</f>
        <v/>
      </c>
      <c r="AF804" s="22"/>
      <c r="AG804" s="35" t="str">
        <f t="array" ref="AG804">IF('Ingest Template'!A804="Standard",(CONCATENATE(IF(ISBLANK('Ingest Template'!N804),"", 'Ingest Template'!N804&amp;"|DAR"),CHAR(10), IF(ISBLANK('Ingest Template'!O804),"", 'Ingest Template'!O804&amp;"|DAR"),CHAR(10), IF(ISBLANK('Ingest Template'!P804),"", 'Ingest Template'!P804&amp;"|DAR"))),(CONCATENATE(IF(ISBLANK('Ingest Template'!N804),"", 'Ingest Template'!N804&amp;"|TV Ops"),CHAR(10), IF(ISBLANK('Ingest Template'!O804),"", 'Ingest Template'!O804&amp;"|TV Ops"),CHAR(10), IF(ISBLANK('Ingest Template'!P804),"", 'Ingest Template'!P804&amp;"|TV Ops"))))</f>
        <v>
</v>
      </c>
      <c r="AH804" s="35"/>
      <c r="AI804" s="35"/>
      <c r="AJ804" s="117" t="str">
        <f>if('Ingest Template'!A804="Standard",(IF(OR('Ingest Template'!F804 = "Program Type - Special", 'Ingest Template'!F804 = "Program Type - Live Event"),'Ingest Template'!M804&amp; "|DAR|DAR|"&amp;TEXT('Ingest Template'!C804-3, "yyyy-mm-dd")&amp;"|"&amp;TEXT('Ingest Template'!C804+3, "yyyy-mm-dd"),'Ingest Template'!M804&amp; "|DAR|DAR|2021-01-01")),(IF(OR('Ingest Template'!F804 = "Program Type - Special", 'Ingest Template'!F804 = "Program Type - Live Event"),'Ingest Template'!M804&amp; "|Operations - Core Title|Operations - Core Title|"&amp;TEXT('Ingest Template'!C804-3, "yyyy-mm-dd")&amp;"|"&amp;TEXT('Ingest Template'!C804+3, "yyyy-mm-dd"),'Ingest Template'!M804&amp; "|Operations - Core Title|Operations - Core Title")))</f>
        <v>|Operations - Core Title|Operations - Core Title</v>
      </c>
      <c r="AK804" s="35"/>
      <c r="AL804" s="117" t="str">
        <f>if('Ingest Template'!A804="Standard",(IF(OR('Ingest Template'!F804 = "Program Type - Special", 'Ingest Template'!F804 = "Program Type - Live Event"),'Ingest Template'!Q804&amp;"|"&amp;TEXT('Ingest Template'!C804-3, "yyyy-mm-dd")&amp;"|"&amp;TEXT('Ingest Template'!C804+3, "yyyy-mm-dd"),'Ingest Template'!Q804&amp; "|2021-01-01")),(IF(OR('Ingest Template'!F804 = "Program Type - Special", 'Ingest Template'!F804 = "Program Type - Live Event"),'Ingest Template'!Q804&amp; "|"&amp;TEXT('Ingest Template'!C804-3, "yyyy-mm-dd")&amp;"|"&amp;TEXT('Ingest Template'!C804+3, "yyyy-mm-dd"),'Ingest Template'!Q804)))</f>
        <v/>
      </c>
      <c r="AM804" s="35" t="str">
        <f>'Ingest Template'!AC804</f>
        <v/>
      </c>
    </row>
    <row r="805">
      <c r="A805" s="15"/>
      <c r="B805" s="22" t="str">
        <f>'Ingest Template'!C805&amp;IF('Ingest Template'!A805 = "Standard", " - DAR","")</f>
        <v/>
      </c>
      <c r="C805" s="22" t="s">
        <v>83</v>
      </c>
      <c r="D805" s="22" t="str">
        <f t="array" ref="D805">CONCATENATE(INDEX(DropdownLists!$H$2:$H$11,MATCH(1,COUNTIF('Ingest Template'!E805,"*"&amp;DropdownLists!$I$2:$I$11&amp;"*"),0)),CHAR(10),'Ingest Template'!F805,CHAR(10),'Ingest Template'!G805,CHAR(10),VLOOKUP('Ingest Template'!D805,DropdownLists!C:D,2,FALSE))</f>
        <v>#N/A</v>
      </c>
      <c r="E805" s="22" t="str">
        <f>CONCATENATE('Ingest Template'!H805,CHAR(10),'Ingest Template'!I805,CHAR(10),'Ingest Template'!J805,CHAR(10))</f>
        <v>
</v>
      </c>
      <c r="F805" s="35" t="str">
        <f t="array" ref="F805">INDEX(DropdownLists!$O$2:$O$36,MATCH(1,COUNTIF(E805,"*"&amp;DropdownLists!$N$2:$N$36&amp;"*"),0))</f>
        <v/>
      </c>
      <c r="G805" s="35"/>
      <c r="H805" s="22" t="str">
        <f t="array" ref="H805">INDEX(DropdownLists!$E$2:$E$276,MATCH('Ingest Template'!D805,DropdownLists!$C$2:$C$276,0))</f>
        <v>#N/A</v>
      </c>
      <c r="I805" s="22"/>
      <c r="J805" s="22" t="str">
        <f t="array" ref="J805">iF('Ingest Template'!A805="Standard","Pristine Brand",INDEX(DropdownLists!$B$2:$B$246,MATCH('Ingest Template'!D805,DropdownLists!$C$2:$C$246,0)))</f>
        <v>#N/A</v>
      </c>
      <c r="K805" s="22" t="str">
        <f>iF('Ingest Template'!A805="Standard",'Ingest Template'!K805&amp;CHAR(10)&amp;'Ingest Template'!L805,"Competitive View")</f>
        <v>Competitive View</v>
      </c>
      <c r="L805" s="22" t="s">
        <v>95</v>
      </c>
      <c r="M805" s="45" t="str">
        <f>'Ingest Template'!B805</f>
        <v/>
      </c>
      <c r="N805" s="35"/>
      <c r="O805" s="35"/>
      <c r="P805" s="35"/>
      <c r="Q805" s="35"/>
      <c r="R805" s="35" t="str">
        <f>'Ingest Template'!D805</f>
        <v/>
      </c>
      <c r="S805" s="22" t="s">
        <v>101</v>
      </c>
      <c r="T805" s="35" t="str">
        <f>'Ingest Template'!V805</f>
        <v/>
      </c>
      <c r="U805" s="35" t="str">
        <f>'Ingest Template'!W805</f>
        <v/>
      </c>
      <c r="V805" s="35" t="str">
        <f>LOWER(SUBSTITUTE(SUBSTITUTE(SUBSTITUTE(SUBSTITUTE(SUBSTITUTE('Ingest Template'!X805,"https:",""),"www.",""),"/",""),"?hl=en",""),"instagram.com",""))</f>
        <v/>
      </c>
      <c r="W805" s="74" t="str">
        <f t="array" ref="W805">IF(
'Ingest Template'!Y805="",
SUBSTITUTE(
INDEX(DropdownLists!$F$2:$F$277,MATCH('Ingest Template'!D805,DropdownLists!$C$2:$C$277,0)),
CHAR(10),
"|"&amp;'Ingest Template'!C805&amp;CHAR(10)
)&amp;"|"&amp;'Ingest Template'!C805,
SUBSTITUTE(
INDEX(DropdownLists!$F$2:$F$277,MATCH('Ingest Template'!D805,DropdownLists!$C$2:$C$277,0)),
CHAR(10),
"|"&amp;'Ingest Template'!C805&amp;CHAR(10)
)&amp;"|"&amp;'Ingest Template'!C805&amp;CHAR(10)&amp;'Ingest Template'!Y805
)</f>
        <v>#N/A</v>
      </c>
      <c r="X805" s="74" t="str">
        <f>'Ingest Template'!Z805</f>
        <v/>
      </c>
      <c r="Y805" s="35" t="str">
        <f>SUBSTITUTE(SUBSTITUTE(SUBSTITUTE('Ingest Template'!AA805,"http:",""),"https:",""),"/","")</f>
        <v/>
      </c>
      <c r="Z805" s="35" t="str">
        <f t="array" ref="Z805">IF('Ingest Template'!A805="Standard",(IF(ISBLANK('Ingest Template'!AB805),"", 'Ingest Template'!AB805&amp;"|DAR")),(IF(ISBLANK('Ingest Template'!AB805),"", 'Ingest Template'!AB805&amp;"|TV Ops")))</f>
        <v/>
      </c>
      <c r="AA805" s="35"/>
      <c r="AB805" s="35" t="str">
        <f>'Ingest Template'!R805</f>
        <v/>
      </c>
      <c r="AC805" s="35" t="str">
        <f>'Ingest Template'!T805</f>
        <v/>
      </c>
      <c r="AD805" s="35" t="str">
        <f>'Ingest Template'!S805</f>
        <v/>
      </c>
      <c r="AE805" s="35" t="str">
        <f>'Ingest Template'!U805</f>
        <v/>
      </c>
      <c r="AF805" s="22"/>
      <c r="AG805" s="35" t="str">
        <f t="array" ref="AG805">IF('Ingest Template'!A805="Standard",(CONCATENATE(IF(ISBLANK('Ingest Template'!N805),"", 'Ingest Template'!N805&amp;"|DAR"),CHAR(10), IF(ISBLANK('Ingest Template'!O805),"", 'Ingest Template'!O805&amp;"|DAR"),CHAR(10), IF(ISBLANK('Ingest Template'!P805),"", 'Ingest Template'!P805&amp;"|DAR"))),(CONCATENATE(IF(ISBLANK('Ingest Template'!N805),"", 'Ingest Template'!N805&amp;"|TV Ops"),CHAR(10), IF(ISBLANK('Ingest Template'!O805),"", 'Ingest Template'!O805&amp;"|TV Ops"),CHAR(10), IF(ISBLANK('Ingest Template'!P805),"", 'Ingest Template'!P805&amp;"|TV Ops"))))</f>
        <v>
</v>
      </c>
      <c r="AH805" s="35"/>
      <c r="AI805" s="35"/>
      <c r="AJ805" s="117" t="str">
        <f>if('Ingest Template'!A805="Standard",(IF(OR('Ingest Template'!F805 = "Program Type - Special", 'Ingest Template'!F805 = "Program Type - Live Event"),'Ingest Template'!M805&amp; "|DAR|DAR|"&amp;TEXT('Ingest Template'!C805-3, "yyyy-mm-dd")&amp;"|"&amp;TEXT('Ingest Template'!C805+3, "yyyy-mm-dd"),'Ingest Template'!M805&amp; "|DAR|DAR|2021-01-01")),(IF(OR('Ingest Template'!F805 = "Program Type - Special", 'Ingest Template'!F805 = "Program Type - Live Event"),'Ingest Template'!M805&amp; "|Operations - Core Title|Operations - Core Title|"&amp;TEXT('Ingest Template'!C805-3, "yyyy-mm-dd")&amp;"|"&amp;TEXT('Ingest Template'!C805+3, "yyyy-mm-dd"),'Ingest Template'!M805&amp; "|Operations - Core Title|Operations - Core Title")))</f>
        <v>|Operations - Core Title|Operations - Core Title</v>
      </c>
      <c r="AK805" s="35"/>
      <c r="AL805" s="117" t="str">
        <f>if('Ingest Template'!A805="Standard",(IF(OR('Ingest Template'!F805 = "Program Type - Special", 'Ingest Template'!F805 = "Program Type - Live Event"),'Ingest Template'!Q805&amp;"|"&amp;TEXT('Ingest Template'!C805-3, "yyyy-mm-dd")&amp;"|"&amp;TEXT('Ingest Template'!C805+3, "yyyy-mm-dd"),'Ingest Template'!Q805&amp; "|2021-01-01")),(IF(OR('Ingest Template'!F805 = "Program Type - Special", 'Ingest Template'!F805 = "Program Type - Live Event"),'Ingest Template'!Q805&amp; "|"&amp;TEXT('Ingest Template'!C805-3, "yyyy-mm-dd")&amp;"|"&amp;TEXT('Ingest Template'!C805+3, "yyyy-mm-dd"),'Ingest Template'!Q805)))</f>
        <v/>
      </c>
      <c r="AM805" s="35" t="str">
        <f>'Ingest Template'!AC805</f>
        <v/>
      </c>
    </row>
    <row r="806">
      <c r="A806" s="15"/>
      <c r="B806" s="22" t="str">
        <f>'Ingest Template'!C806&amp;IF('Ingest Template'!A806 = "Standard", " - DAR","")</f>
        <v/>
      </c>
      <c r="C806" s="22" t="s">
        <v>83</v>
      </c>
      <c r="D806" s="22" t="str">
        <f t="array" ref="D806">CONCATENATE(INDEX(DropdownLists!$H$2:$H$11,MATCH(1,COUNTIF('Ingest Template'!E806,"*"&amp;DropdownLists!$I$2:$I$11&amp;"*"),0)),CHAR(10),'Ingest Template'!F806,CHAR(10),'Ingest Template'!G806,CHAR(10),VLOOKUP('Ingest Template'!D806,DropdownLists!C:D,2,FALSE))</f>
        <v>#N/A</v>
      </c>
      <c r="E806" s="22" t="str">
        <f>CONCATENATE('Ingest Template'!H806,CHAR(10),'Ingest Template'!I806,CHAR(10),'Ingest Template'!J806,CHAR(10))</f>
        <v>
</v>
      </c>
      <c r="F806" s="35" t="str">
        <f t="array" ref="F806">INDEX(DropdownLists!$O$2:$O$36,MATCH(1,COUNTIF(E806,"*"&amp;DropdownLists!$N$2:$N$36&amp;"*"),0))</f>
        <v/>
      </c>
      <c r="G806" s="35"/>
      <c r="H806" s="22" t="str">
        <f t="array" ref="H806">INDEX(DropdownLists!$E$2:$E$276,MATCH('Ingest Template'!D806,DropdownLists!$C$2:$C$276,0))</f>
        <v>#N/A</v>
      </c>
      <c r="I806" s="22"/>
      <c r="J806" s="22" t="str">
        <f t="array" ref="J806">iF('Ingest Template'!A806="Standard","Pristine Brand",INDEX(DropdownLists!$B$2:$B$246,MATCH('Ingest Template'!D806,DropdownLists!$C$2:$C$246,0)))</f>
        <v>#N/A</v>
      </c>
      <c r="K806" s="22" t="str">
        <f>iF('Ingest Template'!A806="Standard",'Ingest Template'!K806&amp;CHAR(10)&amp;'Ingest Template'!L806,"Competitive View")</f>
        <v>Competitive View</v>
      </c>
      <c r="L806" s="22" t="s">
        <v>95</v>
      </c>
      <c r="M806" s="45" t="str">
        <f>'Ingest Template'!B806</f>
        <v/>
      </c>
      <c r="N806" s="35"/>
      <c r="O806" s="35"/>
      <c r="P806" s="35"/>
      <c r="Q806" s="35"/>
      <c r="R806" s="35" t="str">
        <f>'Ingest Template'!D806</f>
        <v/>
      </c>
      <c r="S806" s="22" t="s">
        <v>101</v>
      </c>
      <c r="T806" s="35" t="str">
        <f>'Ingest Template'!V806</f>
        <v/>
      </c>
      <c r="U806" s="35" t="str">
        <f>'Ingest Template'!W806</f>
        <v/>
      </c>
      <c r="V806" s="35" t="str">
        <f>LOWER(SUBSTITUTE(SUBSTITUTE(SUBSTITUTE(SUBSTITUTE(SUBSTITUTE('Ingest Template'!X806,"https:",""),"www.",""),"/",""),"?hl=en",""),"instagram.com",""))</f>
        <v/>
      </c>
      <c r="W806" s="74" t="str">
        <f t="array" ref="W806">IF(
'Ingest Template'!Y806="",
SUBSTITUTE(
INDEX(DropdownLists!$F$2:$F$277,MATCH('Ingest Template'!D806,DropdownLists!$C$2:$C$277,0)),
CHAR(10),
"|"&amp;'Ingest Template'!C806&amp;CHAR(10)
)&amp;"|"&amp;'Ingest Template'!C806,
SUBSTITUTE(
INDEX(DropdownLists!$F$2:$F$277,MATCH('Ingest Template'!D806,DropdownLists!$C$2:$C$277,0)),
CHAR(10),
"|"&amp;'Ingest Template'!C806&amp;CHAR(10)
)&amp;"|"&amp;'Ingest Template'!C806&amp;CHAR(10)&amp;'Ingest Template'!Y806
)</f>
        <v>#N/A</v>
      </c>
      <c r="X806" s="74" t="str">
        <f>'Ingest Template'!Z806</f>
        <v/>
      </c>
      <c r="Y806" s="35" t="str">
        <f>SUBSTITUTE(SUBSTITUTE(SUBSTITUTE('Ingest Template'!AA806,"http:",""),"https:",""),"/","")</f>
        <v/>
      </c>
      <c r="Z806" s="35" t="str">
        <f t="array" ref="Z806">IF('Ingest Template'!A806="Standard",(IF(ISBLANK('Ingest Template'!AB806),"", 'Ingest Template'!AB806&amp;"|DAR")),(IF(ISBLANK('Ingest Template'!AB806),"", 'Ingest Template'!AB806&amp;"|TV Ops")))</f>
        <v/>
      </c>
      <c r="AA806" s="35"/>
      <c r="AB806" s="35" t="str">
        <f>'Ingest Template'!R806</f>
        <v/>
      </c>
      <c r="AC806" s="35" t="str">
        <f>'Ingest Template'!T806</f>
        <v/>
      </c>
      <c r="AD806" s="35" t="str">
        <f>'Ingest Template'!S806</f>
        <v/>
      </c>
      <c r="AE806" s="35" t="str">
        <f>'Ingest Template'!U806</f>
        <v/>
      </c>
      <c r="AF806" s="22"/>
      <c r="AG806" s="35" t="str">
        <f t="array" ref="AG806">IF('Ingest Template'!A806="Standard",(CONCATENATE(IF(ISBLANK('Ingest Template'!N806),"", 'Ingest Template'!N806&amp;"|DAR"),CHAR(10), IF(ISBLANK('Ingest Template'!O806),"", 'Ingest Template'!O806&amp;"|DAR"),CHAR(10), IF(ISBLANK('Ingest Template'!P806),"", 'Ingest Template'!P806&amp;"|DAR"))),(CONCATENATE(IF(ISBLANK('Ingest Template'!N806),"", 'Ingest Template'!N806&amp;"|TV Ops"),CHAR(10), IF(ISBLANK('Ingest Template'!O806),"", 'Ingest Template'!O806&amp;"|TV Ops"),CHAR(10), IF(ISBLANK('Ingest Template'!P806),"", 'Ingest Template'!P806&amp;"|TV Ops"))))</f>
        <v>
</v>
      </c>
      <c r="AH806" s="35"/>
      <c r="AI806" s="35"/>
      <c r="AJ806" s="117" t="str">
        <f>if('Ingest Template'!A806="Standard",(IF(OR('Ingest Template'!F806 = "Program Type - Special", 'Ingest Template'!F806 = "Program Type - Live Event"),'Ingest Template'!M806&amp; "|DAR|DAR|"&amp;TEXT('Ingest Template'!C806-3, "yyyy-mm-dd")&amp;"|"&amp;TEXT('Ingest Template'!C806+3, "yyyy-mm-dd"),'Ingest Template'!M806&amp; "|DAR|DAR|2021-01-01")),(IF(OR('Ingest Template'!F806 = "Program Type - Special", 'Ingest Template'!F806 = "Program Type - Live Event"),'Ingest Template'!M806&amp; "|Operations - Core Title|Operations - Core Title|"&amp;TEXT('Ingest Template'!C806-3, "yyyy-mm-dd")&amp;"|"&amp;TEXT('Ingest Template'!C806+3, "yyyy-mm-dd"),'Ingest Template'!M806&amp; "|Operations - Core Title|Operations - Core Title")))</f>
        <v>|Operations - Core Title|Operations - Core Title</v>
      </c>
      <c r="AK806" s="35"/>
      <c r="AL806" s="117" t="str">
        <f>if('Ingest Template'!A806="Standard",(IF(OR('Ingest Template'!F806 = "Program Type - Special", 'Ingest Template'!F806 = "Program Type - Live Event"),'Ingest Template'!Q806&amp;"|"&amp;TEXT('Ingest Template'!C806-3, "yyyy-mm-dd")&amp;"|"&amp;TEXT('Ingest Template'!C806+3, "yyyy-mm-dd"),'Ingest Template'!Q806&amp; "|2021-01-01")),(IF(OR('Ingest Template'!F806 = "Program Type - Special", 'Ingest Template'!F806 = "Program Type - Live Event"),'Ingest Template'!Q806&amp; "|"&amp;TEXT('Ingest Template'!C806-3, "yyyy-mm-dd")&amp;"|"&amp;TEXT('Ingest Template'!C806+3, "yyyy-mm-dd"),'Ingest Template'!Q806)))</f>
        <v/>
      </c>
      <c r="AM806" s="35" t="str">
        <f>'Ingest Template'!AC806</f>
        <v/>
      </c>
    </row>
    <row r="807">
      <c r="A807" s="15"/>
      <c r="B807" s="22" t="str">
        <f>'Ingest Template'!C807&amp;IF('Ingest Template'!A807 = "Standard", " - DAR","")</f>
        <v/>
      </c>
      <c r="C807" s="22" t="s">
        <v>83</v>
      </c>
      <c r="D807" s="22" t="str">
        <f t="array" ref="D807">CONCATENATE(INDEX(DropdownLists!$H$2:$H$11,MATCH(1,COUNTIF('Ingest Template'!E807,"*"&amp;DropdownLists!$I$2:$I$11&amp;"*"),0)),CHAR(10),'Ingest Template'!F807,CHAR(10),'Ingest Template'!G807,CHAR(10),VLOOKUP('Ingest Template'!D807,DropdownLists!C:D,2,FALSE))</f>
        <v>#N/A</v>
      </c>
      <c r="E807" s="22" t="str">
        <f>CONCATENATE('Ingest Template'!H807,CHAR(10),'Ingest Template'!I807,CHAR(10),'Ingest Template'!J807,CHAR(10))</f>
        <v>
</v>
      </c>
      <c r="F807" s="35" t="str">
        <f t="array" ref="F807">INDEX(DropdownLists!$O$2:$O$36,MATCH(1,COUNTIF(E807,"*"&amp;DropdownLists!$N$2:$N$36&amp;"*"),0))</f>
        <v/>
      </c>
      <c r="G807" s="35"/>
      <c r="H807" s="22" t="str">
        <f t="array" ref="H807">INDEX(DropdownLists!$E$2:$E$276,MATCH('Ingest Template'!D807,DropdownLists!$C$2:$C$276,0))</f>
        <v>#N/A</v>
      </c>
      <c r="I807" s="22"/>
      <c r="J807" s="22" t="str">
        <f t="array" ref="J807">iF('Ingest Template'!A807="Standard","Pristine Brand",INDEX(DropdownLists!$B$2:$B$246,MATCH('Ingest Template'!D807,DropdownLists!$C$2:$C$246,0)))</f>
        <v>#N/A</v>
      </c>
      <c r="K807" s="22" t="str">
        <f>iF('Ingest Template'!A807="Standard",'Ingest Template'!K807&amp;CHAR(10)&amp;'Ingest Template'!L807,"Competitive View")</f>
        <v>Competitive View</v>
      </c>
      <c r="L807" s="22" t="s">
        <v>95</v>
      </c>
      <c r="M807" s="45" t="str">
        <f>'Ingest Template'!B807</f>
        <v/>
      </c>
      <c r="N807" s="35"/>
      <c r="O807" s="35"/>
      <c r="P807" s="35"/>
      <c r="Q807" s="35"/>
      <c r="R807" s="35" t="str">
        <f>'Ingest Template'!D807</f>
        <v/>
      </c>
      <c r="S807" s="22" t="s">
        <v>101</v>
      </c>
      <c r="T807" s="35" t="str">
        <f>'Ingest Template'!V807</f>
        <v/>
      </c>
      <c r="U807" s="35" t="str">
        <f>'Ingest Template'!W807</f>
        <v/>
      </c>
      <c r="V807" s="35" t="str">
        <f>LOWER(SUBSTITUTE(SUBSTITUTE(SUBSTITUTE(SUBSTITUTE(SUBSTITUTE('Ingest Template'!X807,"https:",""),"www.",""),"/",""),"?hl=en",""),"instagram.com",""))</f>
        <v/>
      </c>
      <c r="W807" s="74" t="str">
        <f t="array" ref="W807">IF(
'Ingest Template'!Y807="",
SUBSTITUTE(
INDEX(DropdownLists!$F$2:$F$277,MATCH('Ingest Template'!D807,DropdownLists!$C$2:$C$277,0)),
CHAR(10),
"|"&amp;'Ingest Template'!C807&amp;CHAR(10)
)&amp;"|"&amp;'Ingest Template'!C807,
SUBSTITUTE(
INDEX(DropdownLists!$F$2:$F$277,MATCH('Ingest Template'!D807,DropdownLists!$C$2:$C$277,0)),
CHAR(10),
"|"&amp;'Ingest Template'!C807&amp;CHAR(10)
)&amp;"|"&amp;'Ingest Template'!C807&amp;CHAR(10)&amp;'Ingest Template'!Y807
)</f>
        <v>#N/A</v>
      </c>
      <c r="X807" s="74" t="str">
        <f>'Ingest Template'!Z807</f>
        <v/>
      </c>
      <c r="Y807" s="35" t="str">
        <f>SUBSTITUTE(SUBSTITUTE(SUBSTITUTE('Ingest Template'!AA807,"http:",""),"https:",""),"/","")</f>
        <v/>
      </c>
      <c r="Z807" s="35" t="str">
        <f t="array" ref="Z807">IF('Ingest Template'!A807="Standard",(IF(ISBLANK('Ingest Template'!AB807),"", 'Ingest Template'!AB807&amp;"|DAR")),(IF(ISBLANK('Ingest Template'!AB807),"", 'Ingest Template'!AB807&amp;"|TV Ops")))</f>
        <v/>
      </c>
      <c r="AA807" s="35"/>
      <c r="AB807" s="35" t="str">
        <f>'Ingest Template'!R807</f>
        <v/>
      </c>
      <c r="AC807" s="35" t="str">
        <f>'Ingest Template'!T807</f>
        <v/>
      </c>
      <c r="AD807" s="35" t="str">
        <f>'Ingest Template'!S807</f>
        <v/>
      </c>
      <c r="AE807" s="35" t="str">
        <f>'Ingest Template'!U807</f>
        <v/>
      </c>
      <c r="AF807" s="22"/>
      <c r="AG807" s="35" t="str">
        <f t="array" ref="AG807">IF('Ingest Template'!A807="Standard",(CONCATENATE(IF(ISBLANK('Ingest Template'!N807),"", 'Ingest Template'!N807&amp;"|DAR"),CHAR(10), IF(ISBLANK('Ingest Template'!O807),"", 'Ingest Template'!O807&amp;"|DAR"),CHAR(10), IF(ISBLANK('Ingest Template'!P807),"", 'Ingest Template'!P807&amp;"|DAR"))),(CONCATENATE(IF(ISBLANK('Ingest Template'!N807),"", 'Ingest Template'!N807&amp;"|TV Ops"),CHAR(10), IF(ISBLANK('Ingest Template'!O807),"", 'Ingest Template'!O807&amp;"|TV Ops"),CHAR(10), IF(ISBLANK('Ingest Template'!P807),"", 'Ingest Template'!P807&amp;"|TV Ops"))))</f>
        <v>
</v>
      </c>
      <c r="AH807" s="35"/>
      <c r="AI807" s="35"/>
      <c r="AJ807" s="117" t="str">
        <f>if('Ingest Template'!A807="Standard",(IF(OR('Ingest Template'!F807 = "Program Type - Special", 'Ingest Template'!F807 = "Program Type - Live Event"),'Ingest Template'!M807&amp; "|DAR|DAR|"&amp;TEXT('Ingest Template'!C807-3, "yyyy-mm-dd")&amp;"|"&amp;TEXT('Ingest Template'!C807+3, "yyyy-mm-dd"),'Ingest Template'!M807&amp; "|DAR|DAR|2021-01-01")),(IF(OR('Ingest Template'!F807 = "Program Type - Special", 'Ingest Template'!F807 = "Program Type - Live Event"),'Ingest Template'!M807&amp; "|Operations - Core Title|Operations - Core Title|"&amp;TEXT('Ingest Template'!C807-3, "yyyy-mm-dd")&amp;"|"&amp;TEXT('Ingest Template'!C807+3, "yyyy-mm-dd"),'Ingest Template'!M807&amp; "|Operations - Core Title|Operations - Core Title")))</f>
        <v>|Operations - Core Title|Operations - Core Title</v>
      </c>
      <c r="AK807" s="35"/>
      <c r="AL807" s="117" t="str">
        <f>if('Ingest Template'!A807="Standard",(IF(OR('Ingest Template'!F807 = "Program Type - Special", 'Ingest Template'!F807 = "Program Type - Live Event"),'Ingest Template'!Q807&amp;"|"&amp;TEXT('Ingest Template'!C807-3, "yyyy-mm-dd")&amp;"|"&amp;TEXT('Ingest Template'!C807+3, "yyyy-mm-dd"),'Ingest Template'!Q807&amp; "|2021-01-01")),(IF(OR('Ingest Template'!F807 = "Program Type - Special", 'Ingest Template'!F807 = "Program Type - Live Event"),'Ingest Template'!Q807&amp; "|"&amp;TEXT('Ingest Template'!C807-3, "yyyy-mm-dd")&amp;"|"&amp;TEXT('Ingest Template'!C807+3, "yyyy-mm-dd"),'Ingest Template'!Q807)))</f>
        <v/>
      </c>
      <c r="AM807" s="35" t="str">
        <f>'Ingest Template'!AC807</f>
        <v/>
      </c>
    </row>
    <row r="808">
      <c r="A808" s="15"/>
      <c r="B808" s="22" t="str">
        <f>'Ingest Template'!C808&amp;IF('Ingest Template'!A808 = "Standard", " - DAR","")</f>
        <v/>
      </c>
      <c r="C808" s="22" t="s">
        <v>83</v>
      </c>
      <c r="D808" s="22" t="str">
        <f t="array" ref="D808">CONCATENATE(INDEX(DropdownLists!$H$2:$H$11,MATCH(1,COUNTIF('Ingest Template'!E808,"*"&amp;DropdownLists!$I$2:$I$11&amp;"*"),0)),CHAR(10),'Ingest Template'!F808,CHAR(10),'Ingest Template'!G808,CHAR(10),VLOOKUP('Ingest Template'!D808,DropdownLists!C:D,2,FALSE))</f>
        <v>#N/A</v>
      </c>
      <c r="E808" s="22" t="str">
        <f>CONCATENATE('Ingest Template'!H808,CHAR(10),'Ingest Template'!I808,CHAR(10),'Ingest Template'!J808,CHAR(10))</f>
        <v>
</v>
      </c>
      <c r="F808" s="35" t="str">
        <f t="array" ref="F808">INDEX(DropdownLists!$O$2:$O$36,MATCH(1,COUNTIF(E808,"*"&amp;DropdownLists!$N$2:$N$36&amp;"*"),0))</f>
        <v/>
      </c>
      <c r="G808" s="35"/>
      <c r="H808" s="22" t="str">
        <f t="array" ref="H808">INDEX(DropdownLists!$E$2:$E$276,MATCH('Ingest Template'!D808,DropdownLists!$C$2:$C$276,0))</f>
        <v>#N/A</v>
      </c>
      <c r="I808" s="22"/>
      <c r="J808" s="22" t="str">
        <f t="array" ref="J808">iF('Ingest Template'!A808="Standard","Pristine Brand",INDEX(DropdownLists!$B$2:$B$246,MATCH('Ingest Template'!D808,DropdownLists!$C$2:$C$246,0)))</f>
        <v>#N/A</v>
      </c>
      <c r="K808" s="22" t="str">
        <f>iF('Ingest Template'!A808="Standard",'Ingest Template'!K808&amp;CHAR(10)&amp;'Ingest Template'!L808,"Competitive View")</f>
        <v>Competitive View</v>
      </c>
      <c r="L808" s="22" t="s">
        <v>95</v>
      </c>
      <c r="M808" s="45" t="str">
        <f>'Ingest Template'!B808</f>
        <v/>
      </c>
      <c r="N808" s="35"/>
      <c r="O808" s="35"/>
      <c r="P808" s="35"/>
      <c r="Q808" s="35"/>
      <c r="R808" s="35" t="str">
        <f>'Ingest Template'!D808</f>
        <v/>
      </c>
      <c r="S808" s="22" t="s">
        <v>101</v>
      </c>
      <c r="T808" s="35" t="str">
        <f>'Ingest Template'!V808</f>
        <v/>
      </c>
      <c r="U808" s="35" t="str">
        <f>'Ingest Template'!W808</f>
        <v/>
      </c>
      <c r="V808" s="35" t="str">
        <f>LOWER(SUBSTITUTE(SUBSTITUTE(SUBSTITUTE(SUBSTITUTE(SUBSTITUTE('Ingest Template'!X808,"https:",""),"www.",""),"/",""),"?hl=en",""),"instagram.com",""))</f>
        <v/>
      </c>
      <c r="W808" s="74" t="str">
        <f t="array" ref="W808">IF(
'Ingest Template'!Y808="",
SUBSTITUTE(
INDEX(DropdownLists!$F$2:$F$277,MATCH('Ingest Template'!D808,DropdownLists!$C$2:$C$277,0)),
CHAR(10),
"|"&amp;'Ingest Template'!C808&amp;CHAR(10)
)&amp;"|"&amp;'Ingest Template'!C808,
SUBSTITUTE(
INDEX(DropdownLists!$F$2:$F$277,MATCH('Ingest Template'!D808,DropdownLists!$C$2:$C$277,0)),
CHAR(10),
"|"&amp;'Ingest Template'!C808&amp;CHAR(10)
)&amp;"|"&amp;'Ingest Template'!C808&amp;CHAR(10)&amp;'Ingest Template'!Y808
)</f>
        <v>#N/A</v>
      </c>
      <c r="X808" s="74" t="str">
        <f>'Ingest Template'!Z808</f>
        <v/>
      </c>
      <c r="Y808" s="35" t="str">
        <f>SUBSTITUTE(SUBSTITUTE(SUBSTITUTE('Ingest Template'!AA808,"http:",""),"https:",""),"/","")</f>
        <v/>
      </c>
      <c r="Z808" s="35" t="str">
        <f t="array" ref="Z808">IF('Ingest Template'!A808="Standard",(IF(ISBLANK('Ingest Template'!AB808),"", 'Ingest Template'!AB808&amp;"|DAR")),(IF(ISBLANK('Ingest Template'!AB808),"", 'Ingest Template'!AB808&amp;"|TV Ops")))</f>
        <v/>
      </c>
      <c r="AA808" s="35"/>
      <c r="AB808" s="35" t="str">
        <f>'Ingest Template'!R808</f>
        <v/>
      </c>
      <c r="AC808" s="35" t="str">
        <f>'Ingest Template'!T808</f>
        <v/>
      </c>
      <c r="AD808" s="35" t="str">
        <f>'Ingest Template'!S808</f>
        <v/>
      </c>
      <c r="AE808" s="35" t="str">
        <f>'Ingest Template'!U808</f>
        <v/>
      </c>
      <c r="AF808" s="22"/>
      <c r="AG808" s="35" t="str">
        <f t="array" ref="AG808">IF('Ingest Template'!A808="Standard",(CONCATENATE(IF(ISBLANK('Ingest Template'!N808),"", 'Ingest Template'!N808&amp;"|DAR"),CHAR(10), IF(ISBLANK('Ingest Template'!O808),"", 'Ingest Template'!O808&amp;"|DAR"),CHAR(10), IF(ISBLANK('Ingest Template'!P808),"", 'Ingest Template'!P808&amp;"|DAR"))),(CONCATENATE(IF(ISBLANK('Ingest Template'!N808),"", 'Ingest Template'!N808&amp;"|TV Ops"),CHAR(10), IF(ISBLANK('Ingest Template'!O808),"", 'Ingest Template'!O808&amp;"|TV Ops"),CHAR(10), IF(ISBLANK('Ingest Template'!P808),"", 'Ingest Template'!P808&amp;"|TV Ops"))))</f>
        <v>
</v>
      </c>
      <c r="AH808" s="35"/>
      <c r="AI808" s="35"/>
      <c r="AJ808" s="117" t="str">
        <f>if('Ingest Template'!A808="Standard",(IF(OR('Ingest Template'!F808 = "Program Type - Special", 'Ingest Template'!F808 = "Program Type - Live Event"),'Ingest Template'!M808&amp; "|DAR|DAR|"&amp;TEXT('Ingest Template'!C808-3, "yyyy-mm-dd")&amp;"|"&amp;TEXT('Ingest Template'!C808+3, "yyyy-mm-dd"),'Ingest Template'!M808&amp; "|DAR|DAR|2021-01-01")),(IF(OR('Ingest Template'!F808 = "Program Type - Special", 'Ingest Template'!F808 = "Program Type - Live Event"),'Ingest Template'!M808&amp; "|Operations - Core Title|Operations - Core Title|"&amp;TEXT('Ingest Template'!C808-3, "yyyy-mm-dd")&amp;"|"&amp;TEXT('Ingest Template'!C808+3, "yyyy-mm-dd"),'Ingest Template'!M808&amp; "|Operations - Core Title|Operations - Core Title")))</f>
        <v>|Operations - Core Title|Operations - Core Title</v>
      </c>
      <c r="AK808" s="35"/>
      <c r="AL808" s="117" t="str">
        <f>if('Ingest Template'!A808="Standard",(IF(OR('Ingest Template'!F808 = "Program Type - Special", 'Ingest Template'!F808 = "Program Type - Live Event"),'Ingest Template'!Q808&amp;"|"&amp;TEXT('Ingest Template'!C808-3, "yyyy-mm-dd")&amp;"|"&amp;TEXT('Ingest Template'!C808+3, "yyyy-mm-dd"),'Ingest Template'!Q808&amp; "|2021-01-01")),(IF(OR('Ingest Template'!F808 = "Program Type - Special", 'Ingest Template'!F808 = "Program Type - Live Event"),'Ingest Template'!Q808&amp; "|"&amp;TEXT('Ingest Template'!C808-3, "yyyy-mm-dd")&amp;"|"&amp;TEXT('Ingest Template'!C808+3, "yyyy-mm-dd"),'Ingest Template'!Q808)))</f>
        <v/>
      </c>
      <c r="AM808" s="35" t="str">
        <f>'Ingest Template'!AC808</f>
        <v/>
      </c>
    </row>
    <row r="809">
      <c r="A809" s="15"/>
      <c r="B809" s="22" t="str">
        <f>'Ingest Template'!C809&amp;IF('Ingest Template'!A809 = "Standard", " - DAR","")</f>
        <v/>
      </c>
      <c r="C809" s="22" t="s">
        <v>83</v>
      </c>
      <c r="D809" s="22" t="str">
        <f t="array" ref="D809">CONCATENATE(INDEX(DropdownLists!$H$2:$H$11,MATCH(1,COUNTIF('Ingest Template'!E809,"*"&amp;DropdownLists!$I$2:$I$11&amp;"*"),0)),CHAR(10),'Ingest Template'!F809,CHAR(10),'Ingest Template'!G809,CHAR(10),VLOOKUP('Ingest Template'!D809,DropdownLists!C:D,2,FALSE))</f>
        <v>#N/A</v>
      </c>
      <c r="E809" s="22" t="str">
        <f>CONCATENATE('Ingest Template'!H809,CHAR(10),'Ingest Template'!I809,CHAR(10),'Ingest Template'!J809,CHAR(10))</f>
        <v>
</v>
      </c>
      <c r="F809" s="35" t="str">
        <f t="array" ref="F809">INDEX(DropdownLists!$O$2:$O$36,MATCH(1,COUNTIF(E809,"*"&amp;DropdownLists!$N$2:$N$36&amp;"*"),0))</f>
        <v/>
      </c>
      <c r="G809" s="35"/>
      <c r="H809" s="22" t="str">
        <f t="array" ref="H809">INDEX(DropdownLists!$E$2:$E$276,MATCH('Ingest Template'!D809,DropdownLists!$C$2:$C$276,0))</f>
        <v>#N/A</v>
      </c>
      <c r="I809" s="22"/>
      <c r="J809" s="22" t="str">
        <f t="array" ref="J809">iF('Ingest Template'!A809="Standard","Pristine Brand",INDEX(DropdownLists!$B$2:$B$246,MATCH('Ingest Template'!D809,DropdownLists!$C$2:$C$246,0)))</f>
        <v>#N/A</v>
      </c>
      <c r="K809" s="22" t="str">
        <f>iF('Ingest Template'!A809="Standard",'Ingest Template'!K809&amp;CHAR(10)&amp;'Ingest Template'!L809,"Competitive View")</f>
        <v>Competitive View</v>
      </c>
      <c r="L809" s="22" t="s">
        <v>95</v>
      </c>
      <c r="M809" s="45" t="str">
        <f>'Ingest Template'!B809</f>
        <v/>
      </c>
      <c r="N809" s="35"/>
      <c r="O809" s="35"/>
      <c r="P809" s="35"/>
      <c r="Q809" s="35"/>
      <c r="R809" s="35" t="str">
        <f>'Ingest Template'!D809</f>
        <v/>
      </c>
      <c r="S809" s="22" t="s">
        <v>101</v>
      </c>
      <c r="T809" s="35" t="str">
        <f>'Ingest Template'!V809</f>
        <v/>
      </c>
      <c r="U809" s="35" t="str">
        <f>'Ingest Template'!W809</f>
        <v/>
      </c>
      <c r="V809" s="35" t="str">
        <f>LOWER(SUBSTITUTE(SUBSTITUTE(SUBSTITUTE(SUBSTITUTE(SUBSTITUTE('Ingest Template'!X809,"https:",""),"www.",""),"/",""),"?hl=en",""),"instagram.com",""))</f>
        <v/>
      </c>
      <c r="W809" s="74" t="str">
        <f t="array" ref="W809">IF(
'Ingest Template'!Y809="",
SUBSTITUTE(
INDEX(DropdownLists!$F$2:$F$277,MATCH('Ingest Template'!D809,DropdownLists!$C$2:$C$277,0)),
CHAR(10),
"|"&amp;'Ingest Template'!C809&amp;CHAR(10)
)&amp;"|"&amp;'Ingest Template'!C809,
SUBSTITUTE(
INDEX(DropdownLists!$F$2:$F$277,MATCH('Ingest Template'!D809,DropdownLists!$C$2:$C$277,0)),
CHAR(10),
"|"&amp;'Ingest Template'!C809&amp;CHAR(10)
)&amp;"|"&amp;'Ingest Template'!C809&amp;CHAR(10)&amp;'Ingest Template'!Y809
)</f>
        <v>#N/A</v>
      </c>
      <c r="X809" s="74" t="str">
        <f>'Ingest Template'!Z809</f>
        <v/>
      </c>
      <c r="Y809" s="35" t="str">
        <f>SUBSTITUTE(SUBSTITUTE(SUBSTITUTE('Ingest Template'!AA809,"http:",""),"https:",""),"/","")</f>
        <v/>
      </c>
      <c r="Z809" s="35" t="str">
        <f t="array" ref="Z809">IF('Ingest Template'!A809="Standard",(IF(ISBLANK('Ingest Template'!AB809),"", 'Ingest Template'!AB809&amp;"|DAR")),(IF(ISBLANK('Ingest Template'!AB809),"", 'Ingest Template'!AB809&amp;"|TV Ops")))</f>
        <v/>
      </c>
      <c r="AA809" s="35"/>
      <c r="AB809" s="35" t="str">
        <f>'Ingest Template'!R809</f>
        <v/>
      </c>
      <c r="AC809" s="35" t="str">
        <f>'Ingest Template'!T809</f>
        <v/>
      </c>
      <c r="AD809" s="35" t="str">
        <f>'Ingest Template'!S809</f>
        <v/>
      </c>
      <c r="AE809" s="35" t="str">
        <f>'Ingest Template'!U809</f>
        <v/>
      </c>
      <c r="AF809" s="22"/>
      <c r="AG809" s="35" t="str">
        <f t="array" ref="AG809">IF('Ingest Template'!A809="Standard",(CONCATENATE(IF(ISBLANK('Ingest Template'!N809),"", 'Ingest Template'!N809&amp;"|DAR"),CHAR(10), IF(ISBLANK('Ingest Template'!O809),"", 'Ingest Template'!O809&amp;"|DAR"),CHAR(10), IF(ISBLANK('Ingest Template'!P809),"", 'Ingest Template'!P809&amp;"|DAR"))),(CONCATENATE(IF(ISBLANK('Ingest Template'!N809),"", 'Ingest Template'!N809&amp;"|TV Ops"),CHAR(10), IF(ISBLANK('Ingest Template'!O809),"", 'Ingest Template'!O809&amp;"|TV Ops"),CHAR(10), IF(ISBLANK('Ingest Template'!P809),"", 'Ingest Template'!P809&amp;"|TV Ops"))))</f>
        <v>
</v>
      </c>
      <c r="AH809" s="35"/>
      <c r="AI809" s="35"/>
      <c r="AJ809" s="117" t="str">
        <f>if('Ingest Template'!A809="Standard",(IF(OR('Ingest Template'!F809 = "Program Type - Special", 'Ingest Template'!F809 = "Program Type - Live Event"),'Ingest Template'!M809&amp; "|DAR|DAR|"&amp;TEXT('Ingest Template'!C809-3, "yyyy-mm-dd")&amp;"|"&amp;TEXT('Ingest Template'!C809+3, "yyyy-mm-dd"),'Ingest Template'!M809&amp; "|DAR|DAR|2021-01-01")),(IF(OR('Ingest Template'!F809 = "Program Type - Special", 'Ingest Template'!F809 = "Program Type - Live Event"),'Ingest Template'!M809&amp; "|Operations - Core Title|Operations - Core Title|"&amp;TEXT('Ingest Template'!C809-3, "yyyy-mm-dd")&amp;"|"&amp;TEXT('Ingest Template'!C809+3, "yyyy-mm-dd"),'Ingest Template'!M809&amp; "|Operations - Core Title|Operations - Core Title")))</f>
        <v>|Operations - Core Title|Operations - Core Title</v>
      </c>
      <c r="AK809" s="35"/>
      <c r="AL809" s="117" t="str">
        <f>if('Ingest Template'!A809="Standard",(IF(OR('Ingest Template'!F809 = "Program Type - Special", 'Ingest Template'!F809 = "Program Type - Live Event"),'Ingest Template'!Q809&amp;"|"&amp;TEXT('Ingest Template'!C809-3, "yyyy-mm-dd")&amp;"|"&amp;TEXT('Ingest Template'!C809+3, "yyyy-mm-dd"),'Ingest Template'!Q809&amp; "|2021-01-01")),(IF(OR('Ingest Template'!F809 = "Program Type - Special", 'Ingest Template'!F809 = "Program Type - Live Event"),'Ingest Template'!Q809&amp; "|"&amp;TEXT('Ingest Template'!C809-3, "yyyy-mm-dd")&amp;"|"&amp;TEXT('Ingest Template'!C809+3, "yyyy-mm-dd"),'Ingest Template'!Q809)))</f>
        <v/>
      </c>
      <c r="AM809" s="35" t="str">
        <f>'Ingest Template'!AC809</f>
        <v/>
      </c>
    </row>
    <row r="810">
      <c r="A810" s="15"/>
      <c r="B810" s="22" t="str">
        <f>'Ingest Template'!C810&amp;IF('Ingest Template'!A810 = "Standard", " - DAR","")</f>
        <v/>
      </c>
      <c r="C810" s="22" t="s">
        <v>83</v>
      </c>
      <c r="D810" s="22" t="str">
        <f t="array" ref="D810">CONCATENATE(INDEX(DropdownLists!$H$2:$H$11,MATCH(1,COUNTIF('Ingest Template'!E810,"*"&amp;DropdownLists!$I$2:$I$11&amp;"*"),0)),CHAR(10),'Ingest Template'!F810,CHAR(10),'Ingest Template'!G810,CHAR(10),VLOOKUP('Ingest Template'!D810,DropdownLists!C:D,2,FALSE))</f>
        <v>#N/A</v>
      </c>
      <c r="E810" s="22" t="str">
        <f>CONCATENATE('Ingest Template'!H810,CHAR(10),'Ingest Template'!I810,CHAR(10),'Ingest Template'!J810,CHAR(10))</f>
        <v>
</v>
      </c>
      <c r="F810" s="35" t="str">
        <f t="array" ref="F810">INDEX(DropdownLists!$O$2:$O$36,MATCH(1,COUNTIF(E810,"*"&amp;DropdownLists!$N$2:$N$36&amp;"*"),0))</f>
        <v/>
      </c>
      <c r="G810" s="35"/>
      <c r="H810" s="22" t="str">
        <f t="array" ref="H810">INDEX(DropdownLists!$E$2:$E$276,MATCH('Ingest Template'!D810,DropdownLists!$C$2:$C$276,0))</f>
        <v>#N/A</v>
      </c>
      <c r="I810" s="22"/>
      <c r="J810" s="22" t="str">
        <f t="array" ref="J810">iF('Ingest Template'!A810="Standard","Pristine Brand",INDEX(DropdownLists!$B$2:$B$246,MATCH('Ingest Template'!D810,DropdownLists!$C$2:$C$246,0)))</f>
        <v>#N/A</v>
      </c>
      <c r="K810" s="22" t="str">
        <f>iF('Ingest Template'!A810="Standard",'Ingest Template'!K810&amp;CHAR(10)&amp;'Ingest Template'!L810,"Competitive View")</f>
        <v>Competitive View</v>
      </c>
      <c r="L810" s="22" t="s">
        <v>95</v>
      </c>
      <c r="M810" s="45" t="str">
        <f>'Ingest Template'!B810</f>
        <v/>
      </c>
      <c r="N810" s="35"/>
      <c r="O810" s="35"/>
      <c r="P810" s="35"/>
      <c r="Q810" s="35"/>
      <c r="R810" s="35" t="str">
        <f>'Ingest Template'!D810</f>
        <v/>
      </c>
      <c r="S810" s="22" t="s">
        <v>101</v>
      </c>
      <c r="T810" s="35" t="str">
        <f>'Ingest Template'!V810</f>
        <v/>
      </c>
      <c r="U810" s="35" t="str">
        <f>'Ingest Template'!W810</f>
        <v/>
      </c>
      <c r="V810" s="35" t="str">
        <f>LOWER(SUBSTITUTE(SUBSTITUTE(SUBSTITUTE(SUBSTITUTE(SUBSTITUTE('Ingest Template'!X810,"https:",""),"www.",""),"/",""),"?hl=en",""),"instagram.com",""))</f>
        <v/>
      </c>
      <c r="W810" s="74" t="str">
        <f t="array" ref="W810">IF(
'Ingest Template'!Y810="",
SUBSTITUTE(
INDEX(DropdownLists!$F$2:$F$277,MATCH('Ingest Template'!D810,DropdownLists!$C$2:$C$277,0)),
CHAR(10),
"|"&amp;'Ingest Template'!C810&amp;CHAR(10)
)&amp;"|"&amp;'Ingest Template'!C810,
SUBSTITUTE(
INDEX(DropdownLists!$F$2:$F$277,MATCH('Ingest Template'!D810,DropdownLists!$C$2:$C$277,0)),
CHAR(10),
"|"&amp;'Ingest Template'!C810&amp;CHAR(10)
)&amp;"|"&amp;'Ingest Template'!C810&amp;CHAR(10)&amp;'Ingest Template'!Y810
)</f>
        <v>#N/A</v>
      </c>
      <c r="X810" s="74" t="str">
        <f>'Ingest Template'!Z810</f>
        <v/>
      </c>
      <c r="Y810" s="35" t="str">
        <f>SUBSTITUTE(SUBSTITUTE(SUBSTITUTE('Ingest Template'!AA810,"http:",""),"https:",""),"/","")</f>
        <v/>
      </c>
      <c r="Z810" s="35" t="str">
        <f t="array" ref="Z810">IF('Ingest Template'!A810="Standard",(IF(ISBLANK('Ingest Template'!AB810),"", 'Ingest Template'!AB810&amp;"|DAR")),(IF(ISBLANK('Ingest Template'!AB810),"", 'Ingest Template'!AB810&amp;"|TV Ops")))</f>
        <v/>
      </c>
      <c r="AA810" s="35"/>
      <c r="AB810" s="35" t="str">
        <f>'Ingest Template'!R810</f>
        <v/>
      </c>
      <c r="AC810" s="35" t="str">
        <f>'Ingest Template'!T810</f>
        <v/>
      </c>
      <c r="AD810" s="35" t="str">
        <f>'Ingest Template'!S810</f>
        <v/>
      </c>
      <c r="AE810" s="35" t="str">
        <f>'Ingest Template'!U810</f>
        <v/>
      </c>
      <c r="AF810" s="22"/>
      <c r="AG810" s="35" t="str">
        <f t="array" ref="AG810">IF('Ingest Template'!A810="Standard",(CONCATENATE(IF(ISBLANK('Ingest Template'!N810),"", 'Ingest Template'!N810&amp;"|DAR"),CHAR(10), IF(ISBLANK('Ingest Template'!O810),"", 'Ingest Template'!O810&amp;"|DAR"),CHAR(10), IF(ISBLANK('Ingest Template'!P810),"", 'Ingest Template'!P810&amp;"|DAR"))),(CONCATENATE(IF(ISBLANK('Ingest Template'!N810),"", 'Ingest Template'!N810&amp;"|TV Ops"),CHAR(10), IF(ISBLANK('Ingest Template'!O810),"", 'Ingest Template'!O810&amp;"|TV Ops"),CHAR(10), IF(ISBLANK('Ingest Template'!P810),"", 'Ingest Template'!P810&amp;"|TV Ops"))))</f>
        <v>
</v>
      </c>
      <c r="AH810" s="35"/>
      <c r="AI810" s="35"/>
      <c r="AJ810" s="117" t="str">
        <f>if('Ingest Template'!A810="Standard",(IF(OR('Ingest Template'!F810 = "Program Type - Special", 'Ingest Template'!F810 = "Program Type - Live Event"),'Ingest Template'!M810&amp; "|DAR|DAR|"&amp;TEXT('Ingest Template'!C810-3, "yyyy-mm-dd")&amp;"|"&amp;TEXT('Ingest Template'!C810+3, "yyyy-mm-dd"),'Ingest Template'!M810&amp; "|DAR|DAR|2021-01-01")),(IF(OR('Ingest Template'!F810 = "Program Type - Special", 'Ingest Template'!F810 = "Program Type - Live Event"),'Ingest Template'!M810&amp; "|Operations - Core Title|Operations - Core Title|"&amp;TEXT('Ingest Template'!C810-3, "yyyy-mm-dd")&amp;"|"&amp;TEXT('Ingest Template'!C810+3, "yyyy-mm-dd"),'Ingest Template'!M810&amp; "|Operations - Core Title|Operations - Core Title")))</f>
        <v>|Operations - Core Title|Operations - Core Title</v>
      </c>
      <c r="AK810" s="35"/>
      <c r="AL810" s="117" t="str">
        <f>if('Ingest Template'!A810="Standard",(IF(OR('Ingest Template'!F810 = "Program Type - Special", 'Ingest Template'!F810 = "Program Type - Live Event"),'Ingest Template'!Q810&amp;"|"&amp;TEXT('Ingest Template'!C810-3, "yyyy-mm-dd")&amp;"|"&amp;TEXT('Ingest Template'!C810+3, "yyyy-mm-dd"),'Ingest Template'!Q810&amp; "|2021-01-01")),(IF(OR('Ingest Template'!F810 = "Program Type - Special", 'Ingest Template'!F810 = "Program Type - Live Event"),'Ingest Template'!Q810&amp; "|"&amp;TEXT('Ingest Template'!C810-3, "yyyy-mm-dd")&amp;"|"&amp;TEXT('Ingest Template'!C810+3, "yyyy-mm-dd"),'Ingest Template'!Q810)))</f>
        <v/>
      </c>
      <c r="AM810" s="35" t="str">
        <f>'Ingest Template'!AC810</f>
        <v/>
      </c>
    </row>
    <row r="811">
      <c r="A811" s="15"/>
      <c r="B811" s="22" t="str">
        <f>'Ingest Template'!C811&amp;IF('Ingest Template'!A811 = "Standard", " - DAR","")</f>
        <v/>
      </c>
      <c r="C811" s="22" t="s">
        <v>83</v>
      </c>
      <c r="D811" s="22" t="str">
        <f t="array" ref="D811">CONCATENATE(INDEX(DropdownLists!$H$2:$H$11,MATCH(1,COUNTIF('Ingest Template'!E811,"*"&amp;DropdownLists!$I$2:$I$11&amp;"*"),0)),CHAR(10),'Ingest Template'!F811,CHAR(10),'Ingest Template'!G811,CHAR(10),VLOOKUP('Ingest Template'!D811,DropdownLists!C:D,2,FALSE))</f>
        <v>#N/A</v>
      </c>
      <c r="E811" s="22" t="str">
        <f>CONCATENATE('Ingest Template'!H811,CHAR(10),'Ingest Template'!I811,CHAR(10),'Ingest Template'!J811,CHAR(10))</f>
        <v>
</v>
      </c>
      <c r="F811" s="35" t="str">
        <f t="array" ref="F811">INDEX(DropdownLists!$O$2:$O$36,MATCH(1,COUNTIF(E811,"*"&amp;DropdownLists!$N$2:$N$36&amp;"*"),0))</f>
        <v/>
      </c>
      <c r="G811" s="35"/>
      <c r="H811" s="22" t="str">
        <f t="array" ref="H811">INDEX(DropdownLists!$E$2:$E$276,MATCH('Ingest Template'!D811,DropdownLists!$C$2:$C$276,0))</f>
        <v>#N/A</v>
      </c>
      <c r="I811" s="22"/>
      <c r="J811" s="22" t="str">
        <f t="array" ref="J811">iF('Ingest Template'!A811="Standard","Pristine Brand",INDEX(DropdownLists!$B$2:$B$246,MATCH('Ingest Template'!D811,DropdownLists!$C$2:$C$246,0)))</f>
        <v>#N/A</v>
      </c>
      <c r="K811" s="22" t="str">
        <f>iF('Ingest Template'!A811="Standard",'Ingest Template'!K811&amp;CHAR(10)&amp;'Ingest Template'!L811,"Competitive View")</f>
        <v>Competitive View</v>
      </c>
      <c r="L811" s="22" t="s">
        <v>95</v>
      </c>
      <c r="M811" s="45" t="str">
        <f>'Ingest Template'!B811</f>
        <v/>
      </c>
      <c r="N811" s="35"/>
      <c r="O811" s="35"/>
      <c r="P811" s="35"/>
      <c r="Q811" s="35"/>
      <c r="R811" s="35" t="str">
        <f>'Ingest Template'!D811</f>
        <v/>
      </c>
      <c r="S811" s="22" t="s">
        <v>101</v>
      </c>
      <c r="T811" s="35" t="str">
        <f>'Ingest Template'!V811</f>
        <v/>
      </c>
      <c r="U811" s="35" t="str">
        <f>'Ingest Template'!W811</f>
        <v/>
      </c>
      <c r="V811" s="35" t="str">
        <f>LOWER(SUBSTITUTE(SUBSTITUTE(SUBSTITUTE(SUBSTITUTE(SUBSTITUTE('Ingest Template'!X811,"https:",""),"www.",""),"/",""),"?hl=en",""),"instagram.com",""))</f>
        <v/>
      </c>
      <c r="W811" s="74" t="str">
        <f t="array" ref="W811">IF(
'Ingest Template'!Y811="",
SUBSTITUTE(
INDEX(DropdownLists!$F$2:$F$277,MATCH('Ingest Template'!D811,DropdownLists!$C$2:$C$277,0)),
CHAR(10),
"|"&amp;'Ingest Template'!C811&amp;CHAR(10)
)&amp;"|"&amp;'Ingest Template'!C811,
SUBSTITUTE(
INDEX(DropdownLists!$F$2:$F$277,MATCH('Ingest Template'!D811,DropdownLists!$C$2:$C$277,0)),
CHAR(10),
"|"&amp;'Ingest Template'!C811&amp;CHAR(10)
)&amp;"|"&amp;'Ingest Template'!C811&amp;CHAR(10)&amp;'Ingest Template'!Y811
)</f>
        <v>#N/A</v>
      </c>
      <c r="X811" s="74" t="str">
        <f>'Ingest Template'!Z811</f>
        <v/>
      </c>
      <c r="Y811" s="35" t="str">
        <f>SUBSTITUTE(SUBSTITUTE(SUBSTITUTE('Ingest Template'!AA811,"http:",""),"https:",""),"/","")</f>
        <v/>
      </c>
      <c r="Z811" s="35" t="str">
        <f t="array" ref="Z811">IF('Ingest Template'!A811="Standard",(IF(ISBLANK('Ingest Template'!AB811),"", 'Ingest Template'!AB811&amp;"|DAR")),(IF(ISBLANK('Ingest Template'!AB811),"", 'Ingest Template'!AB811&amp;"|TV Ops")))</f>
        <v/>
      </c>
      <c r="AA811" s="35"/>
      <c r="AB811" s="35" t="str">
        <f>'Ingest Template'!R811</f>
        <v/>
      </c>
      <c r="AC811" s="35" t="str">
        <f>'Ingest Template'!T811</f>
        <v/>
      </c>
      <c r="AD811" s="35" t="str">
        <f>'Ingest Template'!S811</f>
        <v/>
      </c>
      <c r="AE811" s="35" t="str">
        <f>'Ingest Template'!U811</f>
        <v/>
      </c>
      <c r="AF811" s="22"/>
      <c r="AG811" s="35" t="str">
        <f t="array" ref="AG811">IF('Ingest Template'!A811="Standard",(CONCATENATE(IF(ISBLANK('Ingest Template'!N811),"", 'Ingest Template'!N811&amp;"|DAR"),CHAR(10), IF(ISBLANK('Ingest Template'!O811),"", 'Ingest Template'!O811&amp;"|DAR"),CHAR(10), IF(ISBLANK('Ingest Template'!P811),"", 'Ingest Template'!P811&amp;"|DAR"))),(CONCATENATE(IF(ISBLANK('Ingest Template'!N811),"", 'Ingest Template'!N811&amp;"|TV Ops"),CHAR(10), IF(ISBLANK('Ingest Template'!O811),"", 'Ingest Template'!O811&amp;"|TV Ops"),CHAR(10), IF(ISBLANK('Ingest Template'!P811),"", 'Ingest Template'!P811&amp;"|TV Ops"))))</f>
        <v>
</v>
      </c>
      <c r="AH811" s="35"/>
      <c r="AI811" s="35"/>
      <c r="AJ811" s="117" t="str">
        <f>if('Ingest Template'!A811="Standard",(IF(OR('Ingest Template'!F811 = "Program Type - Special", 'Ingest Template'!F811 = "Program Type - Live Event"),'Ingest Template'!M811&amp; "|DAR|DAR|"&amp;TEXT('Ingest Template'!C811-3, "yyyy-mm-dd")&amp;"|"&amp;TEXT('Ingest Template'!C811+3, "yyyy-mm-dd"),'Ingest Template'!M811&amp; "|DAR|DAR|2021-01-01")),(IF(OR('Ingest Template'!F811 = "Program Type - Special", 'Ingest Template'!F811 = "Program Type - Live Event"),'Ingest Template'!M811&amp; "|Operations - Core Title|Operations - Core Title|"&amp;TEXT('Ingest Template'!C811-3, "yyyy-mm-dd")&amp;"|"&amp;TEXT('Ingest Template'!C811+3, "yyyy-mm-dd"),'Ingest Template'!M811&amp; "|Operations - Core Title|Operations - Core Title")))</f>
        <v>|Operations - Core Title|Operations - Core Title</v>
      </c>
      <c r="AK811" s="35"/>
      <c r="AL811" s="117" t="str">
        <f>if('Ingest Template'!A811="Standard",(IF(OR('Ingest Template'!F811 = "Program Type - Special", 'Ingest Template'!F811 = "Program Type - Live Event"),'Ingest Template'!Q811&amp;"|"&amp;TEXT('Ingest Template'!C811-3, "yyyy-mm-dd")&amp;"|"&amp;TEXT('Ingest Template'!C811+3, "yyyy-mm-dd"),'Ingest Template'!Q811&amp; "|2021-01-01")),(IF(OR('Ingest Template'!F811 = "Program Type - Special", 'Ingest Template'!F811 = "Program Type - Live Event"),'Ingest Template'!Q811&amp; "|"&amp;TEXT('Ingest Template'!C811-3, "yyyy-mm-dd")&amp;"|"&amp;TEXT('Ingest Template'!C811+3, "yyyy-mm-dd"),'Ingest Template'!Q811)))</f>
        <v/>
      </c>
      <c r="AM811" s="35" t="str">
        <f>'Ingest Template'!AC811</f>
        <v/>
      </c>
    </row>
    <row r="812">
      <c r="A812" s="15"/>
      <c r="B812" s="22" t="str">
        <f>'Ingest Template'!C812&amp;IF('Ingest Template'!A812 = "Standard", " - DAR","")</f>
        <v/>
      </c>
      <c r="C812" s="22" t="s">
        <v>83</v>
      </c>
      <c r="D812" s="22" t="str">
        <f t="array" ref="D812">CONCATENATE(INDEX(DropdownLists!$H$2:$H$11,MATCH(1,COUNTIF('Ingest Template'!E812,"*"&amp;DropdownLists!$I$2:$I$11&amp;"*"),0)),CHAR(10),'Ingest Template'!F812,CHAR(10),'Ingest Template'!G812,CHAR(10),VLOOKUP('Ingest Template'!D812,DropdownLists!C:D,2,FALSE))</f>
        <v>#N/A</v>
      </c>
      <c r="E812" s="22" t="str">
        <f>CONCATENATE('Ingest Template'!H812,CHAR(10),'Ingest Template'!I812,CHAR(10),'Ingest Template'!J812,CHAR(10))</f>
        <v>
</v>
      </c>
      <c r="F812" s="35" t="str">
        <f t="array" ref="F812">INDEX(DropdownLists!$O$2:$O$36,MATCH(1,COUNTIF(E812,"*"&amp;DropdownLists!$N$2:$N$36&amp;"*"),0))</f>
        <v/>
      </c>
      <c r="G812" s="35"/>
      <c r="H812" s="22" t="str">
        <f t="array" ref="H812">INDEX(DropdownLists!$E$2:$E$276,MATCH('Ingest Template'!D812,DropdownLists!$C$2:$C$276,0))</f>
        <v>#N/A</v>
      </c>
      <c r="I812" s="22"/>
      <c r="J812" s="22" t="str">
        <f t="array" ref="J812">iF('Ingest Template'!A812="Standard","Pristine Brand",INDEX(DropdownLists!$B$2:$B$246,MATCH('Ingest Template'!D812,DropdownLists!$C$2:$C$246,0)))</f>
        <v>#N/A</v>
      </c>
      <c r="K812" s="22" t="str">
        <f>iF('Ingest Template'!A812="Standard",'Ingest Template'!K812&amp;CHAR(10)&amp;'Ingest Template'!L812,"Competitive View")</f>
        <v>Competitive View</v>
      </c>
      <c r="L812" s="22" t="s">
        <v>95</v>
      </c>
      <c r="M812" s="45" t="str">
        <f>'Ingest Template'!B812</f>
        <v/>
      </c>
      <c r="N812" s="35"/>
      <c r="O812" s="35"/>
      <c r="P812" s="35"/>
      <c r="Q812" s="35"/>
      <c r="R812" s="35" t="str">
        <f>'Ingest Template'!D812</f>
        <v/>
      </c>
      <c r="S812" s="22" t="s">
        <v>101</v>
      </c>
      <c r="T812" s="35" t="str">
        <f>'Ingest Template'!V812</f>
        <v/>
      </c>
      <c r="U812" s="35" t="str">
        <f>'Ingest Template'!W812</f>
        <v/>
      </c>
      <c r="V812" s="35" t="str">
        <f>LOWER(SUBSTITUTE(SUBSTITUTE(SUBSTITUTE(SUBSTITUTE(SUBSTITUTE('Ingest Template'!X812,"https:",""),"www.",""),"/",""),"?hl=en",""),"instagram.com",""))</f>
        <v/>
      </c>
      <c r="W812" s="74" t="str">
        <f t="array" ref="W812">IF(
'Ingest Template'!Y812="",
SUBSTITUTE(
INDEX(DropdownLists!$F$2:$F$277,MATCH('Ingest Template'!D812,DropdownLists!$C$2:$C$277,0)),
CHAR(10),
"|"&amp;'Ingest Template'!C812&amp;CHAR(10)
)&amp;"|"&amp;'Ingest Template'!C812,
SUBSTITUTE(
INDEX(DropdownLists!$F$2:$F$277,MATCH('Ingest Template'!D812,DropdownLists!$C$2:$C$277,0)),
CHAR(10),
"|"&amp;'Ingest Template'!C812&amp;CHAR(10)
)&amp;"|"&amp;'Ingest Template'!C812&amp;CHAR(10)&amp;'Ingest Template'!Y812
)</f>
        <v>#N/A</v>
      </c>
      <c r="X812" s="74" t="str">
        <f>'Ingest Template'!Z812</f>
        <v/>
      </c>
      <c r="Y812" s="35" t="str">
        <f>SUBSTITUTE(SUBSTITUTE(SUBSTITUTE('Ingest Template'!AA812,"http:",""),"https:",""),"/","")</f>
        <v/>
      </c>
      <c r="Z812" s="35" t="str">
        <f t="array" ref="Z812">IF('Ingest Template'!A812="Standard",(IF(ISBLANK('Ingest Template'!AB812),"", 'Ingest Template'!AB812&amp;"|DAR")),(IF(ISBLANK('Ingest Template'!AB812),"", 'Ingest Template'!AB812&amp;"|TV Ops")))</f>
        <v/>
      </c>
      <c r="AA812" s="35"/>
      <c r="AB812" s="35" t="str">
        <f>'Ingest Template'!R812</f>
        <v/>
      </c>
      <c r="AC812" s="35" t="str">
        <f>'Ingest Template'!T812</f>
        <v/>
      </c>
      <c r="AD812" s="35" t="str">
        <f>'Ingest Template'!S812</f>
        <v/>
      </c>
      <c r="AE812" s="35" t="str">
        <f>'Ingest Template'!U812</f>
        <v/>
      </c>
      <c r="AF812" s="22"/>
      <c r="AG812" s="35" t="str">
        <f t="array" ref="AG812">IF('Ingest Template'!A812="Standard",(CONCATENATE(IF(ISBLANK('Ingest Template'!N812),"", 'Ingest Template'!N812&amp;"|DAR"),CHAR(10), IF(ISBLANK('Ingest Template'!O812),"", 'Ingest Template'!O812&amp;"|DAR"),CHAR(10), IF(ISBLANK('Ingest Template'!P812),"", 'Ingest Template'!P812&amp;"|DAR"))),(CONCATENATE(IF(ISBLANK('Ingest Template'!N812),"", 'Ingest Template'!N812&amp;"|TV Ops"),CHAR(10), IF(ISBLANK('Ingest Template'!O812),"", 'Ingest Template'!O812&amp;"|TV Ops"),CHAR(10), IF(ISBLANK('Ingest Template'!P812),"", 'Ingest Template'!P812&amp;"|TV Ops"))))</f>
        <v>
</v>
      </c>
      <c r="AH812" s="35"/>
      <c r="AI812" s="35"/>
      <c r="AJ812" s="117" t="str">
        <f>if('Ingest Template'!A812="Standard",(IF(OR('Ingest Template'!F812 = "Program Type - Special", 'Ingest Template'!F812 = "Program Type - Live Event"),'Ingest Template'!M812&amp; "|DAR|DAR|"&amp;TEXT('Ingest Template'!C812-3, "yyyy-mm-dd")&amp;"|"&amp;TEXT('Ingest Template'!C812+3, "yyyy-mm-dd"),'Ingest Template'!M812&amp; "|DAR|DAR|2021-01-01")),(IF(OR('Ingest Template'!F812 = "Program Type - Special", 'Ingest Template'!F812 = "Program Type - Live Event"),'Ingest Template'!M812&amp; "|Operations - Core Title|Operations - Core Title|"&amp;TEXT('Ingest Template'!C812-3, "yyyy-mm-dd")&amp;"|"&amp;TEXT('Ingest Template'!C812+3, "yyyy-mm-dd"),'Ingest Template'!M812&amp; "|Operations - Core Title|Operations - Core Title")))</f>
        <v>|Operations - Core Title|Operations - Core Title</v>
      </c>
      <c r="AK812" s="35"/>
      <c r="AL812" s="117" t="str">
        <f>if('Ingest Template'!A812="Standard",(IF(OR('Ingest Template'!F812 = "Program Type - Special", 'Ingest Template'!F812 = "Program Type - Live Event"),'Ingest Template'!Q812&amp;"|"&amp;TEXT('Ingest Template'!C812-3, "yyyy-mm-dd")&amp;"|"&amp;TEXT('Ingest Template'!C812+3, "yyyy-mm-dd"),'Ingest Template'!Q812&amp; "|2021-01-01")),(IF(OR('Ingest Template'!F812 = "Program Type - Special", 'Ingest Template'!F812 = "Program Type - Live Event"),'Ingest Template'!Q812&amp; "|"&amp;TEXT('Ingest Template'!C812-3, "yyyy-mm-dd")&amp;"|"&amp;TEXT('Ingest Template'!C812+3, "yyyy-mm-dd"),'Ingest Template'!Q812)))</f>
        <v/>
      </c>
      <c r="AM812" s="35" t="str">
        <f>'Ingest Template'!AC812</f>
        <v/>
      </c>
    </row>
    <row r="813">
      <c r="A813" s="15"/>
      <c r="B813" s="22" t="str">
        <f>'Ingest Template'!C813&amp;IF('Ingest Template'!A813 = "Standard", " - DAR","")</f>
        <v/>
      </c>
      <c r="C813" s="22" t="s">
        <v>83</v>
      </c>
      <c r="D813" s="22" t="str">
        <f t="array" ref="D813">CONCATENATE(INDEX(DropdownLists!$H$2:$H$11,MATCH(1,COUNTIF('Ingest Template'!E813,"*"&amp;DropdownLists!$I$2:$I$11&amp;"*"),0)),CHAR(10),'Ingest Template'!F813,CHAR(10),'Ingest Template'!G813,CHAR(10),VLOOKUP('Ingest Template'!D813,DropdownLists!C:D,2,FALSE))</f>
        <v>#N/A</v>
      </c>
      <c r="E813" s="22" t="str">
        <f>CONCATENATE('Ingest Template'!H813,CHAR(10),'Ingest Template'!I813,CHAR(10),'Ingest Template'!J813,CHAR(10))</f>
        <v>
</v>
      </c>
      <c r="F813" s="35" t="str">
        <f t="array" ref="F813">INDEX(DropdownLists!$O$2:$O$36,MATCH(1,COUNTIF(E813,"*"&amp;DropdownLists!$N$2:$N$36&amp;"*"),0))</f>
        <v/>
      </c>
      <c r="G813" s="35"/>
      <c r="H813" s="22" t="str">
        <f t="array" ref="H813">INDEX(DropdownLists!$E$2:$E$276,MATCH('Ingest Template'!D813,DropdownLists!$C$2:$C$276,0))</f>
        <v>#N/A</v>
      </c>
      <c r="I813" s="22"/>
      <c r="J813" s="22" t="str">
        <f t="array" ref="J813">iF('Ingest Template'!A813="Standard","Pristine Brand",INDEX(DropdownLists!$B$2:$B$246,MATCH('Ingest Template'!D813,DropdownLists!$C$2:$C$246,0)))</f>
        <v>#N/A</v>
      </c>
      <c r="K813" s="22" t="str">
        <f>iF('Ingest Template'!A813="Standard",'Ingest Template'!K813&amp;CHAR(10)&amp;'Ingest Template'!L813,"Competitive View")</f>
        <v>Competitive View</v>
      </c>
      <c r="L813" s="22" t="s">
        <v>95</v>
      </c>
      <c r="M813" s="45" t="str">
        <f>'Ingest Template'!B813</f>
        <v/>
      </c>
      <c r="N813" s="35"/>
      <c r="O813" s="35"/>
      <c r="P813" s="35"/>
      <c r="Q813" s="35"/>
      <c r="R813" s="35" t="str">
        <f>'Ingest Template'!D813</f>
        <v/>
      </c>
      <c r="S813" s="22" t="s">
        <v>101</v>
      </c>
      <c r="T813" s="35" t="str">
        <f>'Ingest Template'!V813</f>
        <v/>
      </c>
      <c r="U813" s="35" t="str">
        <f>'Ingest Template'!W813</f>
        <v/>
      </c>
      <c r="V813" s="35" t="str">
        <f>LOWER(SUBSTITUTE(SUBSTITUTE(SUBSTITUTE(SUBSTITUTE(SUBSTITUTE('Ingest Template'!X813,"https:",""),"www.",""),"/",""),"?hl=en",""),"instagram.com",""))</f>
        <v/>
      </c>
      <c r="W813" s="74" t="str">
        <f t="array" ref="W813">IF(
'Ingest Template'!Y813="",
SUBSTITUTE(
INDEX(DropdownLists!$F$2:$F$277,MATCH('Ingest Template'!D813,DropdownLists!$C$2:$C$277,0)),
CHAR(10),
"|"&amp;'Ingest Template'!C813&amp;CHAR(10)
)&amp;"|"&amp;'Ingest Template'!C813,
SUBSTITUTE(
INDEX(DropdownLists!$F$2:$F$277,MATCH('Ingest Template'!D813,DropdownLists!$C$2:$C$277,0)),
CHAR(10),
"|"&amp;'Ingest Template'!C813&amp;CHAR(10)
)&amp;"|"&amp;'Ingest Template'!C813&amp;CHAR(10)&amp;'Ingest Template'!Y813
)</f>
        <v>#N/A</v>
      </c>
      <c r="X813" s="74" t="str">
        <f>'Ingest Template'!Z813</f>
        <v/>
      </c>
      <c r="Y813" s="35" t="str">
        <f>SUBSTITUTE(SUBSTITUTE(SUBSTITUTE('Ingest Template'!AA813,"http:",""),"https:",""),"/","")</f>
        <v/>
      </c>
      <c r="Z813" s="35" t="str">
        <f t="array" ref="Z813">IF('Ingest Template'!A813="Standard",(IF(ISBLANK('Ingest Template'!AB813),"", 'Ingest Template'!AB813&amp;"|DAR")),(IF(ISBLANK('Ingest Template'!AB813),"", 'Ingest Template'!AB813&amp;"|TV Ops")))</f>
        <v/>
      </c>
      <c r="AA813" s="35"/>
      <c r="AB813" s="35" t="str">
        <f>'Ingest Template'!R813</f>
        <v/>
      </c>
      <c r="AC813" s="35" t="str">
        <f>'Ingest Template'!T813</f>
        <v/>
      </c>
      <c r="AD813" s="35" t="str">
        <f>'Ingest Template'!S813</f>
        <v/>
      </c>
      <c r="AE813" s="35" t="str">
        <f>'Ingest Template'!U813</f>
        <v/>
      </c>
      <c r="AF813" s="22"/>
      <c r="AG813" s="35" t="str">
        <f t="array" ref="AG813">IF('Ingest Template'!A813="Standard",(CONCATENATE(IF(ISBLANK('Ingest Template'!N813),"", 'Ingest Template'!N813&amp;"|DAR"),CHAR(10), IF(ISBLANK('Ingest Template'!O813),"", 'Ingest Template'!O813&amp;"|DAR"),CHAR(10), IF(ISBLANK('Ingest Template'!P813),"", 'Ingest Template'!P813&amp;"|DAR"))),(CONCATENATE(IF(ISBLANK('Ingest Template'!N813),"", 'Ingest Template'!N813&amp;"|TV Ops"),CHAR(10), IF(ISBLANK('Ingest Template'!O813),"", 'Ingest Template'!O813&amp;"|TV Ops"),CHAR(10), IF(ISBLANK('Ingest Template'!P813),"", 'Ingest Template'!P813&amp;"|TV Ops"))))</f>
        <v>
</v>
      </c>
      <c r="AH813" s="35"/>
      <c r="AI813" s="35"/>
      <c r="AJ813" s="117" t="str">
        <f>if('Ingest Template'!A813="Standard",(IF(OR('Ingest Template'!F813 = "Program Type - Special", 'Ingest Template'!F813 = "Program Type - Live Event"),'Ingest Template'!M813&amp; "|DAR|DAR|"&amp;TEXT('Ingest Template'!C813-3, "yyyy-mm-dd")&amp;"|"&amp;TEXT('Ingest Template'!C813+3, "yyyy-mm-dd"),'Ingest Template'!M813&amp; "|DAR|DAR|2021-01-01")),(IF(OR('Ingest Template'!F813 = "Program Type - Special", 'Ingest Template'!F813 = "Program Type - Live Event"),'Ingest Template'!M813&amp; "|Operations - Core Title|Operations - Core Title|"&amp;TEXT('Ingest Template'!C813-3, "yyyy-mm-dd")&amp;"|"&amp;TEXT('Ingest Template'!C813+3, "yyyy-mm-dd"),'Ingest Template'!M813&amp; "|Operations - Core Title|Operations - Core Title")))</f>
        <v>|Operations - Core Title|Operations - Core Title</v>
      </c>
      <c r="AK813" s="35"/>
      <c r="AL813" s="117" t="str">
        <f>if('Ingest Template'!A813="Standard",(IF(OR('Ingest Template'!F813 = "Program Type - Special", 'Ingest Template'!F813 = "Program Type - Live Event"),'Ingest Template'!Q813&amp;"|"&amp;TEXT('Ingest Template'!C813-3, "yyyy-mm-dd")&amp;"|"&amp;TEXT('Ingest Template'!C813+3, "yyyy-mm-dd"),'Ingest Template'!Q813&amp; "|2021-01-01")),(IF(OR('Ingest Template'!F813 = "Program Type - Special", 'Ingest Template'!F813 = "Program Type - Live Event"),'Ingest Template'!Q813&amp; "|"&amp;TEXT('Ingest Template'!C813-3, "yyyy-mm-dd")&amp;"|"&amp;TEXT('Ingest Template'!C813+3, "yyyy-mm-dd"),'Ingest Template'!Q813)))</f>
        <v/>
      </c>
      <c r="AM813" s="35" t="str">
        <f>'Ingest Template'!AC813</f>
        <v/>
      </c>
    </row>
    <row r="814">
      <c r="A814" s="15"/>
      <c r="B814" s="22" t="str">
        <f>'Ingest Template'!C814&amp;IF('Ingest Template'!A814 = "Standard", " - DAR","")</f>
        <v/>
      </c>
      <c r="C814" s="22" t="s">
        <v>83</v>
      </c>
      <c r="D814" s="22" t="str">
        <f t="array" ref="D814">CONCATENATE(INDEX(DropdownLists!$H$2:$H$11,MATCH(1,COUNTIF('Ingest Template'!E814,"*"&amp;DropdownLists!$I$2:$I$11&amp;"*"),0)),CHAR(10),'Ingest Template'!F814,CHAR(10),'Ingest Template'!G814,CHAR(10),VLOOKUP('Ingest Template'!D814,DropdownLists!C:D,2,FALSE))</f>
        <v>#N/A</v>
      </c>
      <c r="E814" s="22" t="str">
        <f>CONCATENATE('Ingest Template'!H814,CHAR(10),'Ingest Template'!I814,CHAR(10),'Ingest Template'!J814,CHAR(10))</f>
        <v>
</v>
      </c>
      <c r="F814" s="35" t="str">
        <f t="array" ref="F814">INDEX(DropdownLists!$O$2:$O$36,MATCH(1,COUNTIF(E814,"*"&amp;DropdownLists!$N$2:$N$36&amp;"*"),0))</f>
        <v/>
      </c>
      <c r="G814" s="35"/>
      <c r="H814" s="22" t="str">
        <f t="array" ref="H814">INDEX(DropdownLists!$E$2:$E$276,MATCH('Ingest Template'!D814,DropdownLists!$C$2:$C$276,0))</f>
        <v>#N/A</v>
      </c>
      <c r="I814" s="22"/>
      <c r="J814" s="22" t="str">
        <f t="array" ref="J814">iF('Ingest Template'!A814="Standard","Pristine Brand",INDEX(DropdownLists!$B$2:$B$246,MATCH('Ingest Template'!D814,DropdownLists!$C$2:$C$246,0)))</f>
        <v>#N/A</v>
      </c>
      <c r="K814" s="22" t="str">
        <f>iF('Ingest Template'!A814="Standard",'Ingest Template'!K814&amp;CHAR(10)&amp;'Ingest Template'!L814,"Competitive View")</f>
        <v>Competitive View</v>
      </c>
      <c r="L814" s="22" t="s">
        <v>95</v>
      </c>
      <c r="M814" s="45" t="str">
        <f>'Ingest Template'!B814</f>
        <v/>
      </c>
      <c r="N814" s="35"/>
      <c r="O814" s="35"/>
      <c r="P814" s="35"/>
      <c r="Q814" s="35"/>
      <c r="R814" s="35" t="str">
        <f>'Ingest Template'!D814</f>
        <v/>
      </c>
      <c r="S814" s="22" t="s">
        <v>101</v>
      </c>
      <c r="T814" s="35" t="str">
        <f>'Ingest Template'!V814</f>
        <v/>
      </c>
      <c r="U814" s="35" t="str">
        <f>'Ingest Template'!W814</f>
        <v/>
      </c>
      <c r="V814" s="35" t="str">
        <f>LOWER(SUBSTITUTE(SUBSTITUTE(SUBSTITUTE(SUBSTITUTE(SUBSTITUTE('Ingest Template'!X814,"https:",""),"www.",""),"/",""),"?hl=en",""),"instagram.com",""))</f>
        <v/>
      </c>
      <c r="W814" s="74" t="str">
        <f t="array" ref="W814">IF(
'Ingest Template'!Y814="",
SUBSTITUTE(
INDEX(DropdownLists!$F$2:$F$277,MATCH('Ingest Template'!D814,DropdownLists!$C$2:$C$277,0)),
CHAR(10),
"|"&amp;'Ingest Template'!C814&amp;CHAR(10)
)&amp;"|"&amp;'Ingest Template'!C814,
SUBSTITUTE(
INDEX(DropdownLists!$F$2:$F$277,MATCH('Ingest Template'!D814,DropdownLists!$C$2:$C$277,0)),
CHAR(10),
"|"&amp;'Ingest Template'!C814&amp;CHAR(10)
)&amp;"|"&amp;'Ingest Template'!C814&amp;CHAR(10)&amp;'Ingest Template'!Y814
)</f>
        <v>#N/A</v>
      </c>
      <c r="X814" s="74" t="str">
        <f>'Ingest Template'!Z814</f>
        <v/>
      </c>
      <c r="Y814" s="35" t="str">
        <f>SUBSTITUTE(SUBSTITUTE(SUBSTITUTE('Ingest Template'!AA814,"http:",""),"https:",""),"/","")</f>
        <v/>
      </c>
      <c r="Z814" s="35" t="str">
        <f t="array" ref="Z814">IF('Ingest Template'!A814="Standard",(IF(ISBLANK('Ingest Template'!AB814),"", 'Ingest Template'!AB814&amp;"|DAR")),(IF(ISBLANK('Ingest Template'!AB814),"", 'Ingest Template'!AB814&amp;"|TV Ops")))</f>
        <v/>
      </c>
      <c r="AA814" s="35"/>
      <c r="AB814" s="35" t="str">
        <f>'Ingest Template'!R814</f>
        <v/>
      </c>
      <c r="AC814" s="35" t="str">
        <f>'Ingest Template'!T814</f>
        <v/>
      </c>
      <c r="AD814" s="35" t="str">
        <f>'Ingest Template'!S814</f>
        <v/>
      </c>
      <c r="AE814" s="35" t="str">
        <f>'Ingest Template'!U814</f>
        <v/>
      </c>
      <c r="AF814" s="22"/>
      <c r="AG814" s="35" t="str">
        <f t="array" ref="AG814">IF('Ingest Template'!A814="Standard",(CONCATENATE(IF(ISBLANK('Ingest Template'!N814),"", 'Ingest Template'!N814&amp;"|DAR"),CHAR(10), IF(ISBLANK('Ingest Template'!O814),"", 'Ingest Template'!O814&amp;"|DAR"),CHAR(10), IF(ISBLANK('Ingest Template'!P814),"", 'Ingest Template'!P814&amp;"|DAR"))),(CONCATENATE(IF(ISBLANK('Ingest Template'!N814),"", 'Ingest Template'!N814&amp;"|TV Ops"),CHAR(10), IF(ISBLANK('Ingest Template'!O814),"", 'Ingest Template'!O814&amp;"|TV Ops"),CHAR(10), IF(ISBLANK('Ingest Template'!P814),"", 'Ingest Template'!P814&amp;"|TV Ops"))))</f>
        <v>
</v>
      </c>
      <c r="AH814" s="35"/>
      <c r="AI814" s="35"/>
      <c r="AJ814" s="117" t="str">
        <f>if('Ingest Template'!A814="Standard",(IF(OR('Ingest Template'!F814 = "Program Type - Special", 'Ingest Template'!F814 = "Program Type - Live Event"),'Ingest Template'!M814&amp; "|DAR|DAR|"&amp;TEXT('Ingest Template'!C814-3, "yyyy-mm-dd")&amp;"|"&amp;TEXT('Ingest Template'!C814+3, "yyyy-mm-dd"),'Ingest Template'!M814&amp; "|DAR|DAR|2021-01-01")),(IF(OR('Ingest Template'!F814 = "Program Type - Special", 'Ingest Template'!F814 = "Program Type - Live Event"),'Ingest Template'!M814&amp; "|Operations - Core Title|Operations - Core Title|"&amp;TEXT('Ingest Template'!C814-3, "yyyy-mm-dd")&amp;"|"&amp;TEXT('Ingest Template'!C814+3, "yyyy-mm-dd"),'Ingest Template'!M814&amp; "|Operations - Core Title|Operations - Core Title")))</f>
        <v>|Operations - Core Title|Operations - Core Title</v>
      </c>
      <c r="AK814" s="35"/>
      <c r="AL814" s="117" t="str">
        <f>if('Ingest Template'!A814="Standard",(IF(OR('Ingest Template'!F814 = "Program Type - Special", 'Ingest Template'!F814 = "Program Type - Live Event"),'Ingest Template'!Q814&amp;"|"&amp;TEXT('Ingest Template'!C814-3, "yyyy-mm-dd")&amp;"|"&amp;TEXT('Ingest Template'!C814+3, "yyyy-mm-dd"),'Ingest Template'!Q814&amp; "|2021-01-01")),(IF(OR('Ingest Template'!F814 = "Program Type - Special", 'Ingest Template'!F814 = "Program Type - Live Event"),'Ingest Template'!Q814&amp; "|"&amp;TEXT('Ingest Template'!C814-3, "yyyy-mm-dd")&amp;"|"&amp;TEXT('Ingest Template'!C814+3, "yyyy-mm-dd"),'Ingest Template'!Q814)))</f>
        <v/>
      </c>
      <c r="AM814" s="35" t="str">
        <f>'Ingest Template'!AC814</f>
        <v/>
      </c>
    </row>
    <row r="815">
      <c r="A815" s="15"/>
      <c r="B815" s="22" t="str">
        <f>'Ingest Template'!C815&amp;IF('Ingest Template'!A815 = "Standard", " - DAR","")</f>
        <v/>
      </c>
      <c r="C815" s="22" t="s">
        <v>83</v>
      </c>
      <c r="D815" s="22" t="str">
        <f t="array" ref="D815">CONCATENATE(INDEX(DropdownLists!$H$2:$H$11,MATCH(1,COUNTIF('Ingest Template'!E815,"*"&amp;DropdownLists!$I$2:$I$11&amp;"*"),0)),CHAR(10),'Ingest Template'!F815,CHAR(10),'Ingest Template'!G815,CHAR(10),VLOOKUP('Ingest Template'!D815,DropdownLists!C:D,2,FALSE))</f>
        <v>#N/A</v>
      </c>
      <c r="E815" s="22" t="str">
        <f>CONCATENATE('Ingest Template'!H815,CHAR(10),'Ingest Template'!I815,CHAR(10),'Ingest Template'!J815,CHAR(10))</f>
        <v>
</v>
      </c>
      <c r="F815" s="35" t="str">
        <f t="array" ref="F815">INDEX(DropdownLists!$O$2:$O$36,MATCH(1,COUNTIF(E815,"*"&amp;DropdownLists!$N$2:$N$36&amp;"*"),0))</f>
        <v/>
      </c>
      <c r="G815" s="35"/>
      <c r="H815" s="22" t="str">
        <f t="array" ref="H815">INDEX(DropdownLists!$E$2:$E$276,MATCH('Ingest Template'!D815,DropdownLists!$C$2:$C$276,0))</f>
        <v>#N/A</v>
      </c>
      <c r="I815" s="22"/>
      <c r="J815" s="22" t="str">
        <f t="array" ref="J815">iF('Ingest Template'!A815="Standard","Pristine Brand",INDEX(DropdownLists!$B$2:$B$246,MATCH('Ingest Template'!D815,DropdownLists!$C$2:$C$246,0)))</f>
        <v>#N/A</v>
      </c>
      <c r="K815" s="22" t="str">
        <f>iF('Ingest Template'!A815="Standard",'Ingest Template'!K815&amp;CHAR(10)&amp;'Ingest Template'!L815,"Competitive View")</f>
        <v>Competitive View</v>
      </c>
      <c r="L815" s="22" t="s">
        <v>95</v>
      </c>
      <c r="M815" s="45" t="str">
        <f>'Ingest Template'!B815</f>
        <v/>
      </c>
      <c r="N815" s="35"/>
      <c r="O815" s="35"/>
      <c r="P815" s="35"/>
      <c r="Q815" s="35"/>
      <c r="R815" s="35" t="str">
        <f>'Ingest Template'!D815</f>
        <v/>
      </c>
      <c r="S815" s="22" t="s">
        <v>101</v>
      </c>
      <c r="T815" s="35" t="str">
        <f>'Ingest Template'!V815</f>
        <v/>
      </c>
      <c r="U815" s="35" t="str">
        <f>'Ingest Template'!W815</f>
        <v/>
      </c>
      <c r="V815" s="35" t="str">
        <f>LOWER(SUBSTITUTE(SUBSTITUTE(SUBSTITUTE(SUBSTITUTE(SUBSTITUTE('Ingest Template'!X815,"https:",""),"www.",""),"/",""),"?hl=en",""),"instagram.com",""))</f>
        <v/>
      </c>
      <c r="W815" s="74" t="str">
        <f t="array" ref="W815">IF(
'Ingest Template'!Y815="",
SUBSTITUTE(
INDEX(DropdownLists!$F$2:$F$277,MATCH('Ingest Template'!D815,DropdownLists!$C$2:$C$277,0)),
CHAR(10),
"|"&amp;'Ingest Template'!C815&amp;CHAR(10)
)&amp;"|"&amp;'Ingest Template'!C815,
SUBSTITUTE(
INDEX(DropdownLists!$F$2:$F$277,MATCH('Ingest Template'!D815,DropdownLists!$C$2:$C$277,0)),
CHAR(10),
"|"&amp;'Ingest Template'!C815&amp;CHAR(10)
)&amp;"|"&amp;'Ingest Template'!C815&amp;CHAR(10)&amp;'Ingest Template'!Y815
)</f>
        <v>#N/A</v>
      </c>
      <c r="X815" s="74" t="str">
        <f>'Ingest Template'!Z815</f>
        <v/>
      </c>
      <c r="Y815" s="35" t="str">
        <f>SUBSTITUTE(SUBSTITUTE(SUBSTITUTE('Ingest Template'!AA815,"http:",""),"https:",""),"/","")</f>
        <v/>
      </c>
      <c r="Z815" s="35" t="str">
        <f t="array" ref="Z815">IF('Ingest Template'!A815="Standard",(IF(ISBLANK('Ingest Template'!AB815),"", 'Ingest Template'!AB815&amp;"|DAR")),(IF(ISBLANK('Ingest Template'!AB815),"", 'Ingest Template'!AB815&amp;"|TV Ops")))</f>
        <v/>
      </c>
      <c r="AA815" s="35"/>
      <c r="AB815" s="35" t="str">
        <f>'Ingest Template'!R815</f>
        <v/>
      </c>
      <c r="AC815" s="35" t="str">
        <f>'Ingest Template'!T815</f>
        <v/>
      </c>
      <c r="AD815" s="35" t="str">
        <f>'Ingest Template'!S815</f>
        <v/>
      </c>
      <c r="AE815" s="35" t="str">
        <f>'Ingest Template'!U815</f>
        <v/>
      </c>
      <c r="AF815" s="22"/>
      <c r="AG815" s="35" t="str">
        <f t="array" ref="AG815">IF('Ingest Template'!A815="Standard",(CONCATENATE(IF(ISBLANK('Ingest Template'!N815),"", 'Ingest Template'!N815&amp;"|DAR"),CHAR(10), IF(ISBLANK('Ingest Template'!O815),"", 'Ingest Template'!O815&amp;"|DAR"),CHAR(10), IF(ISBLANK('Ingest Template'!P815),"", 'Ingest Template'!P815&amp;"|DAR"))),(CONCATENATE(IF(ISBLANK('Ingest Template'!N815),"", 'Ingest Template'!N815&amp;"|TV Ops"),CHAR(10), IF(ISBLANK('Ingest Template'!O815),"", 'Ingest Template'!O815&amp;"|TV Ops"),CHAR(10), IF(ISBLANK('Ingest Template'!P815),"", 'Ingest Template'!P815&amp;"|TV Ops"))))</f>
        <v>
</v>
      </c>
      <c r="AH815" s="35"/>
      <c r="AI815" s="35"/>
      <c r="AJ815" s="117" t="str">
        <f>if('Ingest Template'!A815="Standard",(IF(OR('Ingest Template'!F815 = "Program Type - Special", 'Ingest Template'!F815 = "Program Type - Live Event"),'Ingest Template'!M815&amp; "|DAR|DAR|"&amp;TEXT('Ingest Template'!C815-3, "yyyy-mm-dd")&amp;"|"&amp;TEXT('Ingest Template'!C815+3, "yyyy-mm-dd"),'Ingest Template'!M815&amp; "|DAR|DAR|2021-01-01")),(IF(OR('Ingest Template'!F815 = "Program Type - Special", 'Ingest Template'!F815 = "Program Type - Live Event"),'Ingest Template'!M815&amp; "|Operations - Core Title|Operations - Core Title|"&amp;TEXT('Ingest Template'!C815-3, "yyyy-mm-dd")&amp;"|"&amp;TEXT('Ingest Template'!C815+3, "yyyy-mm-dd"),'Ingest Template'!M815&amp; "|Operations - Core Title|Operations - Core Title")))</f>
        <v>|Operations - Core Title|Operations - Core Title</v>
      </c>
      <c r="AK815" s="35"/>
      <c r="AL815" s="117" t="str">
        <f>if('Ingest Template'!A815="Standard",(IF(OR('Ingest Template'!F815 = "Program Type - Special", 'Ingest Template'!F815 = "Program Type - Live Event"),'Ingest Template'!Q815&amp;"|"&amp;TEXT('Ingest Template'!C815-3, "yyyy-mm-dd")&amp;"|"&amp;TEXT('Ingest Template'!C815+3, "yyyy-mm-dd"),'Ingest Template'!Q815&amp; "|2021-01-01")),(IF(OR('Ingest Template'!F815 = "Program Type - Special", 'Ingest Template'!F815 = "Program Type - Live Event"),'Ingest Template'!Q815&amp; "|"&amp;TEXT('Ingest Template'!C815-3, "yyyy-mm-dd")&amp;"|"&amp;TEXT('Ingest Template'!C815+3, "yyyy-mm-dd"),'Ingest Template'!Q815)))</f>
        <v/>
      </c>
      <c r="AM815" s="35" t="str">
        <f>'Ingest Template'!AC815</f>
        <v/>
      </c>
    </row>
    <row r="816">
      <c r="A816" s="15"/>
      <c r="B816" s="22" t="str">
        <f>'Ingest Template'!C816&amp;IF('Ingest Template'!A816 = "Standard", " - DAR","")</f>
        <v/>
      </c>
      <c r="C816" s="22" t="s">
        <v>83</v>
      </c>
      <c r="D816" s="22" t="str">
        <f t="array" ref="D816">CONCATENATE(INDEX(DropdownLists!$H$2:$H$11,MATCH(1,COUNTIF('Ingest Template'!E816,"*"&amp;DropdownLists!$I$2:$I$11&amp;"*"),0)),CHAR(10),'Ingest Template'!F816,CHAR(10),'Ingest Template'!G816,CHAR(10),VLOOKUP('Ingest Template'!D816,DropdownLists!C:D,2,FALSE))</f>
        <v>#N/A</v>
      </c>
      <c r="E816" s="22" t="str">
        <f>CONCATENATE('Ingest Template'!H816,CHAR(10),'Ingest Template'!I816,CHAR(10),'Ingest Template'!J816,CHAR(10))</f>
        <v>
</v>
      </c>
      <c r="F816" s="35" t="str">
        <f t="array" ref="F816">INDEX(DropdownLists!$O$2:$O$36,MATCH(1,COUNTIF(E816,"*"&amp;DropdownLists!$N$2:$N$36&amp;"*"),0))</f>
        <v/>
      </c>
      <c r="G816" s="35"/>
      <c r="H816" s="22" t="str">
        <f t="array" ref="H816">INDEX(DropdownLists!$E$2:$E$276,MATCH('Ingest Template'!D816,DropdownLists!$C$2:$C$276,0))</f>
        <v>#N/A</v>
      </c>
      <c r="I816" s="22"/>
      <c r="J816" s="22" t="str">
        <f t="array" ref="J816">iF('Ingest Template'!A816="Standard","Pristine Brand",INDEX(DropdownLists!$B$2:$B$246,MATCH('Ingest Template'!D816,DropdownLists!$C$2:$C$246,0)))</f>
        <v>#N/A</v>
      </c>
      <c r="K816" s="22" t="str">
        <f>iF('Ingest Template'!A816="Standard",'Ingest Template'!K816&amp;CHAR(10)&amp;'Ingest Template'!L816,"Competitive View")</f>
        <v>Competitive View</v>
      </c>
      <c r="L816" s="22" t="s">
        <v>95</v>
      </c>
      <c r="M816" s="45" t="str">
        <f>'Ingest Template'!B816</f>
        <v/>
      </c>
      <c r="N816" s="35"/>
      <c r="O816" s="35"/>
      <c r="P816" s="35"/>
      <c r="Q816" s="35"/>
      <c r="R816" s="35" t="str">
        <f>'Ingest Template'!D816</f>
        <v/>
      </c>
      <c r="S816" s="22" t="s">
        <v>101</v>
      </c>
      <c r="T816" s="35" t="str">
        <f>'Ingest Template'!V816</f>
        <v/>
      </c>
      <c r="U816" s="35" t="str">
        <f>'Ingest Template'!W816</f>
        <v/>
      </c>
      <c r="V816" s="35" t="str">
        <f>LOWER(SUBSTITUTE(SUBSTITUTE(SUBSTITUTE(SUBSTITUTE(SUBSTITUTE('Ingest Template'!X816,"https:",""),"www.",""),"/",""),"?hl=en",""),"instagram.com",""))</f>
        <v/>
      </c>
      <c r="W816" s="74" t="str">
        <f t="array" ref="W816">IF(
'Ingest Template'!Y816="",
SUBSTITUTE(
INDEX(DropdownLists!$F$2:$F$277,MATCH('Ingest Template'!D816,DropdownLists!$C$2:$C$277,0)),
CHAR(10),
"|"&amp;'Ingest Template'!C816&amp;CHAR(10)
)&amp;"|"&amp;'Ingest Template'!C816,
SUBSTITUTE(
INDEX(DropdownLists!$F$2:$F$277,MATCH('Ingest Template'!D816,DropdownLists!$C$2:$C$277,0)),
CHAR(10),
"|"&amp;'Ingest Template'!C816&amp;CHAR(10)
)&amp;"|"&amp;'Ingest Template'!C816&amp;CHAR(10)&amp;'Ingest Template'!Y816
)</f>
        <v>#N/A</v>
      </c>
      <c r="X816" s="74" t="str">
        <f>'Ingest Template'!Z816</f>
        <v/>
      </c>
      <c r="Y816" s="35" t="str">
        <f>SUBSTITUTE(SUBSTITUTE(SUBSTITUTE('Ingest Template'!AA816,"http:",""),"https:",""),"/","")</f>
        <v/>
      </c>
      <c r="Z816" s="35" t="str">
        <f t="array" ref="Z816">IF('Ingest Template'!A816="Standard",(IF(ISBLANK('Ingest Template'!AB816),"", 'Ingest Template'!AB816&amp;"|DAR")),(IF(ISBLANK('Ingest Template'!AB816),"", 'Ingest Template'!AB816&amp;"|TV Ops")))</f>
        <v/>
      </c>
      <c r="AA816" s="35"/>
      <c r="AB816" s="35" t="str">
        <f>'Ingest Template'!R816</f>
        <v/>
      </c>
      <c r="AC816" s="35" t="str">
        <f>'Ingest Template'!T816</f>
        <v/>
      </c>
      <c r="AD816" s="35" t="str">
        <f>'Ingest Template'!S816</f>
        <v/>
      </c>
      <c r="AE816" s="35" t="str">
        <f>'Ingest Template'!U816</f>
        <v/>
      </c>
      <c r="AF816" s="22"/>
      <c r="AG816" s="35" t="str">
        <f t="array" ref="AG816">IF('Ingest Template'!A816="Standard",(CONCATENATE(IF(ISBLANK('Ingest Template'!N816),"", 'Ingest Template'!N816&amp;"|DAR"),CHAR(10), IF(ISBLANK('Ingest Template'!O816),"", 'Ingest Template'!O816&amp;"|DAR"),CHAR(10), IF(ISBLANK('Ingest Template'!P816),"", 'Ingest Template'!P816&amp;"|DAR"))),(CONCATENATE(IF(ISBLANK('Ingest Template'!N816),"", 'Ingest Template'!N816&amp;"|TV Ops"),CHAR(10), IF(ISBLANK('Ingest Template'!O816),"", 'Ingest Template'!O816&amp;"|TV Ops"),CHAR(10), IF(ISBLANK('Ingest Template'!P816),"", 'Ingest Template'!P816&amp;"|TV Ops"))))</f>
        <v>
</v>
      </c>
      <c r="AH816" s="35"/>
      <c r="AI816" s="35"/>
      <c r="AJ816" s="117" t="str">
        <f>if('Ingest Template'!A816="Standard",(IF(OR('Ingest Template'!F816 = "Program Type - Special", 'Ingest Template'!F816 = "Program Type - Live Event"),'Ingest Template'!M816&amp; "|DAR|DAR|"&amp;TEXT('Ingest Template'!C816-3, "yyyy-mm-dd")&amp;"|"&amp;TEXT('Ingest Template'!C816+3, "yyyy-mm-dd"),'Ingest Template'!M816&amp; "|DAR|DAR|2021-01-01")),(IF(OR('Ingest Template'!F816 = "Program Type - Special", 'Ingest Template'!F816 = "Program Type - Live Event"),'Ingest Template'!M816&amp; "|Operations - Core Title|Operations - Core Title|"&amp;TEXT('Ingest Template'!C816-3, "yyyy-mm-dd")&amp;"|"&amp;TEXT('Ingest Template'!C816+3, "yyyy-mm-dd"),'Ingest Template'!M816&amp; "|Operations - Core Title|Operations - Core Title")))</f>
        <v>|Operations - Core Title|Operations - Core Title</v>
      </c>
      <c r="AK816" s="35"/>
      <c r="AL816" s="117" t="str">
        <f>if('Ingest Template'!A816="Standard",(IF(OR('Ingest Template'!F816 = "Program Type - Special", 'Ingest Template'!F816 = "Program Type - Live Event"),'Ingest Template'!Q816&amp;"|"&amp;TEXT('Ingest Template'!C816-3, "yyyy-mm-dd")&amp;"|"&amp;TEXT('Ingest Template'!C816+3, "yyyy-mm-dd"),'Ingest Template'!Q816&amp; "|2021-01-01")),(IF(OR('Ingest Template'!F816 = "Program Type - Special", 'Ingest Template'!F816 = "Program Type - Live Event"),'Ingest Template'!Q816&amp; "|"&amp;TEXT('Ingest Template'!C816-3, "yyyy-mm-dd")&amp;"|"&amp;TEXT('Ingest Template'!C816+3, "yyyy-mm-dd"),'Ingest Template'!Q816)))</f>
        <v/>
      </c>
      <c r="AM816" s="35" t="str">
        <f>'Ingest Template'!AC816</f>
        <v/>
      </c>
    </row>
    <row r="817">
      <c r="A817" s="15"/>
      <c r="B817" s="22" t="str">
        <f>'Ingest Template'!C817&amp;IF('Ingest Template'!A817 = "Standard", " - DAR","")</f>
        <v/>
      </c>
      <c r="C817" s="22" t="s">
        <v>83</v>
      </c>
      <c r="D817" s="22" t="str">
        <f t="array" ref="D817">CONCATENATE(INDEX(DropdownLists!$H$2:$H$11,MATCH(1,COUNTIF('Ingest Template'!E817,"*"&amp;DropdownLists!$I$2:$I$11&amp;"*"),0)),CHAR(10),'Ingest Template'!F817,CHAR(10),'Ingest Template'!G817,CHAR(10),VLOOKUP('Ingest Template'!D817,DropdownLists!C:D,2,FALSE))</f>
        <v>#N/A</v>
      </c>
      <c r="E817" s="22" t="str">
        <f>CONCATENATE('Ingest Template'!H817,CHAR(10),'Ingest Template'!I817,CHAR(10),'Ingest Template'!J817,CHAR(10))</f>
        <v>
</v>
      </c>
      <c r="F817" s="35" t="str">
        <f t="array" ref="F817">INDEX(DropdownLists!$O$2:$O$36,MATCH(1,COUNTIF(E817,"*"&amp;DropdownLists!$N$2:$N$36&amp;"*"),0))</f>
        <v/>
      </c>
      <c r="G817" s="35"/>
      <c r="H817" s="22" t="str">
        <f t="array" ref="H817">INDEX(DropdownLists!$E$2:$E$276,MATCH('Ingest Template'!D817,DropdownLists!$C$2:$C$276,0))</f>
        <v>#N/A</v>
      </c>
      <c r="I817" s="22"/>
      <c r="J817" s="22" t="str">
        <f t="array" ref="J817">iF('Ingest Template'!A817="Standard","Pristine Brand",INDEX(DropdownLists!$B$2:$B$246,MATCH('Ingest Template'!D817,DropdownLists!$C$2:$C$246,0)))</f>
        <v>#N/A</v>
      </c>
      <c r="K817" s="22" t="str">
        <f>iF('Ingest Template'!A817="Standard",'Ingest Template'!K817&amp;CHAR(10)&amp;'Ingest Template'!L817,"Competitive View")</f>
        <v>Competitive View</v>
      </c>
      <c r="L817" s="22" t="s">
        <v>95</v>
      </c>
      <c r="M817" s="45" t="str">
        <f>'Ingest Template'!B817</f>
        <v/>
      </c>
      <c r="N817" s="35"/>
      <c r="O817" s="35"/>
      <c r="P817" s="35"/>
      <c r="Q817" s="35"/>
      <c r="R817" s="35" t="str">
        <f>'Ingest Template'!D817</f>
        <v/>
      </c>
      <c r="S817" s="22" t="s">
        <v>101</v>
      </c>
      <c r="T817" s="35" t="str">
        <f>'Ingest Template'!V817</f>
        <v/>
      </c>
      <c r="U817" s="35" t="str">
        <f>'Ingest Template'!W817</f>
        <v/>
      </c>
      <c r="V817" s="35" t="str">
        <f>LOWER(SUBSTITUTE(SUBSTITUTE(SUBSTITUTE(SUBSTITUTE(SUBSTITUTE('Ingest Template'!X817,"https:",""),"www.",""),"/",""),"?hl=en",""),"instagram.com",""))</f>
        <v/>
      </c>
      <c r="W817" s="74" t="str">
        <f t="array" ref="W817">IF(
'Ingest Template'!Y817="",
SUBSTITUTE(
INDEX(DropdownLists!$F$2:$F$277,MATCH('Ingest Template'!D817,DropdownLists!$C$2:$C$277,0)),
CHAR(10),
"|"&amp;'Ingest Template'!C817&amp;CHAR(10)
)&amp;"|"&amp;'Ingest Template'!C817,
SUBSTITUTE(
INDEX(DropdownLists!$F$2:$F$277,MATCH('Ingest Template'!D817,DropdownLists!$C$2:$C$277,0)),
CHAR(10),
"|"&amp;'Ingest Template'!C817&amp;CHAR(10)
)&amp;"|"&amp;'Ingest Template'!C817&amp;CHAR(10)&amp;'Ingest Template'!Y817
)</f>
        <v>#N/A</v>
      </c>
      <c r="X817" s="74" t="str">
        <f>'Ingest Template'!Z817</f>
        <v/>
      </c>
      <c r="Y817" s="35" t="str">
        <f>SUBSTITUTE(SUBSTITUTE(SUBSTITUTE('Ingest Template'!AA817,"http:",""),"https:",""),"/","")</f>
        <v/>
      </c>
      <c r="Z817" s="35" t="str">
        <f t="array" ref="Z817">IF('Ingest Template'!A817="Standard",(IF(ISBLANK('Ingest Template'!AB817),"", 'Ingest Template'!AB817&amp;"|DAR")),(IF(ISBLANK('Ingest Template'!AB817),"", 'Ingest Template'!AB817&amp;"|TV Ops")))</f>
        <v/>
      </c>
      <c r="AA817" s="35"/>
      <c r="AB817" s="35" t="str">
        <f>'Ingest Template'!R817</f>
        <v/>
      </c>
      <c r="AC817" s="35" t="str">
        <f>'Ingest Template'!T817</f>
        <v/>
      </c>
      <c r="AD817" s="35" t="str">
        <f>'Ingest Template'!S817</f>
        <v/>
      </c>
      <c r="AE817" s="35" t="str">
        <f>'Ingest Template'!U817</f>
        <v/>
      </c>
      <c r="AF817" s="22"/>
      <c r="AG817" s="35" t="str">
        <f t="array" ref="AG817">IF('Ingest Template'!A817="Standard",(CONCATENATE(IF(ISBLANK('Ingest Template'!N817),"", 'Ingest Template'!N817&amp;"|DAR"),CHAR(10), IF(ISBLANK('Ingest Template'!O817),"", 'Ingest Template'!O817&amp;"|DAR"),CHAR(10), IF(ISBLANK('Ingest Template'!P817),"", 'Ingest Template'!P817&amp;"|DAR"))),(CONCATENATE(IF(ISBLANK('Ingest Template'!N817),"", 'Ingest Template'!N817&amp;"|TV Ops"),CHAR(10), IF(ISBLANK('Ingest Template'!O817),"", 'Ingest Template'!O817&amp;"|TV Ops"),CHAR(10), IF(ISBLANK('Ingest Template'!P817),"", 'Ingest Template'!P817&amp;"|TV Ops"))))</f>
        <v>
</v>
      </c>
      <c r="AH817" s="35"/>
      <c r="AI817" s="35"/>
      <c r="AJ817" s="117" t="str">
        <f>if('Ingest Template'!A817="Standard",(IF(OR('Ingest Template'!F817 = "Program Type - Special", 'Ingest Template'!F817 = "Program Type - Live Event"),'Ingest Template'!M817&amp; "|DAR|DAR|"&amp;TEXT('Ingest Template'!C817-3, "yyyy-mm-dd")&amp;"|"&amp;TEXT('Ingest Template'!C817+3, "yyyy-mm-dd"),'Ingest Template'!M817&amp; "|DAR|DAR|2021-01-01")),(IF(OR('Ingest Template'!F817 = "Program Type - Special", 'Ingest Template'!F817 = "Program Type - Live Event"),'Ingest Template'!M817&amp; "|Operations - Core Title|Operations - Core Title|"&amp;TEXT('Ingest Template'!C817-3, "yyyy-mm-dd")&amp;"|"&amp;TEXT('Ingest Template'!C817+3, "yyyy-mm-dd"),'Ingest Template'!M817&amp; "|Operations - Core Title|Operations - Core Title")))</f>
        <v>|Operations - Core Title|Operations - Core Title</v>
      </c>
      <c r="AK817" s="35"/>
      <c r="AL817" s="117" t="str">
        <f>if('Ingest Template'!A817="Standard",(IF(OR('Ingest Template'!F817 = "Program Type - Special", 'Ingest Template'!F817 = "Program Type - Live Event"),'Ingest Template'!Q817&amp;"|"&amp;TEXT('Ingest Template'!C817-3, "yyyy-mm-dd")&amp;"|"&amp;TEXT('Ingest Template'!C817+3, "yyyy-mm-dd"),'Ingest Template'!Q817&amp; "|2021-01-01")),(IF(OR('Ingest Template'!F817 = "Program Type - Special", 'Ingest Template'!F817 = "Program Type - Live Event"),'Ingest Template'!Q817&amp; "|"&amp;TEXT('Ingest Template'!C817-3, "yyyy-mm-dd")&amp;"|"&amp;TEXT('Ingest Template'!C817+3, "yyyy-mm-dd"),'Ingest Template'!Q817)))</f>
        <v/>
      </c>
      <c r="AM817" s="35" t="str">
        <f>'Ingest Template'!AC817</f>
        <v/>
      </c>
    </row>
    <row r="818">
      <c r="A818" s="15"/>
      <c r="B818" s="22" t="str">
        <f>'Ingest Template'!C818&amp;IF('Ingest Template'!A818 = "Standard", " - DAR","")</f>
        <v/>
      </c>
      <c r="C818" s="22" t="s">
        <v>83</v>
      </c>
      <c r="D818" s="22" t="str">
        <f t="array" ref="D818">CONCATENATE(INDEX(DropdownLists!$H$2:$H$11,MATCH(1,COUNTIF('Ingest Template'!E818,"*"&amp;DropdownLists!$I$2:$I$11&amp;"*"),0)),CHAR(10),'Ingest Template'!F818,CHAR(10),'Ingest Template'!G818,CHAR(10),VLOOKUP('Ingest Template'!D818,DropdownLists!C:D,2,FALSE))</f>
        <v>#N/A</v>
      </c>
      <c r="E818" s="22" t="str">
        <f>CONCATENATE('Ingest Template'!H818,CHAR(10),'Ingest Template'!I818,CHAR(10),'Ingest Template'!J818,CHAR(10))</f>
        <v>
</v>
      </c>
      <c r="F818" s="35" t="str">
        <f t="array" ref="F818">INDEX(DropdownLists!$O$2:$O$36,MATCH(1,COUNTIF(E818,"*"&amp;DropdownLists!$N$2:$N$36&amp;"*"),0))</f>
        <v/>
      </c>
      <c r="G818" s="35"/>
      <c r="H818" s="22" t="str">
        <f t="array" ref="H818">INDEX(DropdownLists!$E$2:$E$276,MATCH('Ingest Template'!D818,DropdownLists!$C$2:$C$276,0))</f>
        <v>#N/A</v>
      </c>
      <c r="I818" s="22"/>
      <c r="J818" s="22" t="str">
        <f t="array" ref="J818">iF('Ingest Template'!A818="Standard","Pristine Brand",INDEX(DropdownLists!$B$2:$B$246,MATCH('Ingest Template'!D818,DropdownLists!$C$2:$C$246,0)))</f>
        <v>#N/A</v>
      </c>
      <c r="K818" s="22" t="str">
        <f>iF('Ingest Template'!A818="Standard",'Ingest Template'!K818&amp;CHAR(10)&amp;'Ingest Template'!L818,"Competitive View")</f>
        <v>Competitive View</v>
      </c>
      <c r="L818" s="22" t="s">
        <v>95</v>
      </c>
      <c r="M818" s="45" t="str">
        <f>'Ingest Template'!B818</f>
        <v/>
      </c>
      <c r="N818" s="35"/>
      <c r="O818" s="35"/>
      <c r="P818" s="35"/>
      <c r="Q818" s="35"/>
      <c r="R818" s="35" t="str">
        <f>'Ingest Template'!D818</f>
        <v/>
      </c>
      <c r="S818" s="22" t="s">
        <v>101</v>
      </c>
      <c r="T818" s="35" t="str">
        <f>'Ingest Template'!V818</f>
        <v/>
      </c>
      <c r="U818" s="35" t="str">
        <f>'Ingest Template'!W818</f>
        <v/>
      </c>
      <c r="V818" s="35" t="str">
        <f>LOWER(SUBSTITUTE(SUBSTITUTE(SUBSTITUTE(SUBSTITUTE(SUBSTITUTE('Ingest Template'!X818,"https:",""),"www.",""),"/",""),"?hl=en",""),"instagram.com",""))</f>
        <v/>
      </c>
      <c r="W818" s="74" t="str">
        <f t="array" ref="W818">IF(
'Ingest Template'!Y818="",
SUBSTITUTE(
INDEX(DropdownLists!$F$2:$F$277,MATCH('Ingest Template'!D818,DropdownLists!$C$2:$C$277,0)),
CHAR(10),
"|"&amp;'Ingest Template'!C818&amp;CHAR(10)
)&amp;"|"&amp;'Ingest Template'!C818,
SUBSTITUTE(
INDEX(DropdownLists!$F$2:$F$277,MATCH('Ingest Template'!D818,DropdownLists!$C$2:$C$277,0)),
CHAR(10),
"|"&amp;'Ingest Template'!C818&amp;CHAR(10)
)&amp;"|"&amp;'Ingest Template'!C818&amp;CHAR(10)&amp;'Ingest Template'!Y818
)</f>
        <v>#N/A</v>
      </c>
      <c r="X818" s="74" t="str">
        <f>'Ingest Template'!Z818</f>
        <v/>
      </c>
      <c r="Y818" s="35" t="str">
        <f>SUBSTITUTE(SUBSTITUTE(SUBSTITUTE('Ingest Template'!AA818,"http:",""),"https:",""),"/","")</f>
        <v/>
      </c>
      <c r="Z818" s="35" t="str">
        <f t="array" ref="Z818">IF('Ingest Template'!A818="Standard",(IF(ISBLANK('Ingest Template'!AB818),"", 'Ingest Template'!AB818&amp;"|DAR")),(IF(ISBLANK('Ingest Template'!AB818),"", 'Ingest Template'!AB818&amp;"|TV Ops")))</f>
        <v/>
      </c>
      <c r="AA818" s="35"/>
      <c r="AB818" s="35" t="str">
        <f>'Ingest Template'!R818</f>
        <v/>
      </c>
      <c r="AC818" s="35" t="str">
        <f>'Ingest Template'!T818</f>
        <v/>
      </c>
      <c r="AD818" s="35" t="str">
        <f>'Ingest Template'!S818</f>
        <v/>
      </c>
      <c r="AE818" s="35" t="str">
        <f>'Ingest Template'!U818</f>
        <v/>
      </c>
      <c r="AF818" s="22"/>
      <c r="AG818" s="35" t="str">
        <f t="array" ref="AG818">IF('Ingest Template'!A818="Standard",(CONCATENATE(IF(ISBLANK('Ingest Template'!N818),"", 'Ingest Template'!N818&amp;"|DAR"),CHAR(10), IF(ISBLANK('Ingest Template'!O818),"", 'Ingest Template'!O818&amp;"|DAR"),CHAR(10), IF(ISBLANK('Ingest Template'!P818),"", 'Ingest Template'!P818&amp;"|DAR"))),(CONCATENATE(IF(ISBLANK('Ingest Template'!N818),"", 'Ingest Template'!N818&amp;"|TV Ops"),CHAR(10), IF(ISBLANK('Ingest Template'!O818),"", 'Ingest Template'!O818&amp;"|TV Ops"),CHAR(10), IF(ISBLANK('Ingest Template'!P818),"", 'Ingest Template'!P818&amp;"|TV Ops"))))</f>
        <v>
</v>
      </c>
      <c r="AH818" s="35"/>
      <c r="AI818" s="35"/>
      <c r="AJ818" s="117" t="str">
        <f>if('Ingest Template'!A818="Standard",(IF(OR('Ingest Template'!F818 = "Program Type - Special", 'Ingest Template'!F818 = "Program Type - Live Event"),'Ingest Template'!M818&amp; "|DAR|DAR|"&amp;TEXT('Ingest Template'!C818-3, "yyyy-mm-dd")&amp;"|"&amp;TEXT('Ingest Template'!C818+3, "yyyy-mm-dd"),'Ingest Template'!M818&amp; "|DAR|DAR|2021-01-01")),(IF(OR('Ingest Template'!F818 = "Program Type - Special", 'Ingest Template'!F818 = "Program Type - Live Event"),'Ingest Template'!M818&amp; "|Operations - Core Title|Operations - Core Title|"&amp;TEXT('Ingest Template'!C818-3, "yyyy-mm-dd")&amp;"|"&amp;TEXT('Ingest Template'!C818+3, "yyyy-mm-dd"),'Ingest Template'!M818&amp; "|Operations - Core Title|Operations - Core Title")))</f>
        <v>|Operations - Core Title|Operations - Core Title</v>
      </c>
      <c r="AK818" s="35"/>
      <c r="AL818" s="117" t="str">
        <f>if('Ingest Template'!A818="Standard",(IF(OR('Ingest Template'!F818 = "Program Type - Special", 'Ingest Template'!F818 = "Program Type - Live Event"),'Ingest Template'!Q818&amp;"|"&amp;TEXT('Ingest Template'!C818-3, "yyyy-mm-dd")&amp;"|"&amp;TEXT('Ingest Template'!C818+3, "yyyy-mm-dd"),'Ingest Template'!Q818&amp; "|2021-01-01")),(IF(OR('Ingest Template'!F818 = "Program Type - Special", 'Ingest Template'!F818 = "Program Type - Live Event"),'Ingest Template'!Q818&amp; "|"&amp;TEXT('Ingest Template'!C818-3, "yyyy-mm-dd")&amp;"|"&amp;TEXT('Ingest Template'!C818+3, "yyyy-mm-dd"),'Ingest Template'!Q818)))</f>
        <v/>
      </c>
      <c r="AM818" s="35" t="str">
        <f>'Ingest Template'!AC818</f>
        <v/>
      </c>
    </row>
    <row r="819">
      <c r="A819" s="15"/>
      <c r="B819" s="22" t="str">
        <f>'Ingest Template'!C819&amp;IF('Ingest Template'!A819 = "Standard", " - DAR","")</f>
        <v/>
      </c>
      <c r="C819" s="22" t="s">
        <v>83</v>
      </c>
      <c r="D819" s="22" t="str">
        <f t="array" ref="D819">CONCATENATE(INDEX(DropdownLists!$H$2:$H$11,MATCH(1,COUNTIF('Ingest Template'!E819,"*"&amp;DropdownLists!$I$2:$I$11&amp;"*"),0)),CHAR(10),'Ingest Template'!F819,CHAR(10),'Ingest Template'!G819,CHAR(10),VLOOKUP('Ingest Template'!D819,DropdownLists!C:D,2,FALSE))</f>
        <v>#N/A</v>
      </c>
      <c r="E819" s="22" t="str">
        <f>CONCATENATE('Ingest Template'!H819,CHAR(10),'Ingest Template'!I819,CHAR(10),'Ingest Template'!J819,CHAR(10))</f>
        <v>
</v>
      </c>
      <c r="F819" s="35" t="str">
        <f t="array" ref="F819">INDEX(DropdownLists!$O$2:$O$36,MATCH(1,COUNTIF(E819,"*"&amp;DropdownLists!$N$2:$N$36&amp;"*"),0))</f>
        <v/>
      </c>
      <c r="G819" s="35"/>
      <c r="H819" s="22" t="str">
        <f t="array" ref="H819">INDEX(DropdownLists!$E$2:$E$276,MATCH('Ingest Template'!D819,DropdownLists!$C$2:$C$276,0))</f>
        <v>#N/A</v>
      </c>
      <c r="I819" s="22"/>
      <c r="J819" s="22" t="str">
        <f t="array" ref="J819">iF('Ingest Template'!A819="Standard","Pristine Brand",INDEX(DropdownLists!$B$2:$B$246,MATCH('Ingest Template'!D819,DropdownLists!$C$2:$C$246,0)))</f>
        <v>#N/A</v>
      </c>
      <c r="K819" s="22" t="str">
        <f>iF('Ingest Template'!A819="Standard",'Ingest Template'!K819&amp;CHAR(10)&amp;'Ingest Template'!L819,"Competitive View")</f>
        <v>Competitive View</v>
      </c>
      <c r="L819" s="22" t="s">
        <v>95</v>
      </c>
      <c r="M819" s="45" t="str">
        <f>'Ingest Template'!B819</f>
        <v/>
      </c>
      <c r="N819" s="35"/>
      <c r="O819" s="35"/>
      <c r="P819" s="35"/>
      <c r="Q819" s="35"/>
      <c r="R819" s="35" t="str">
        <f>'Ingest Template'!D819</f>
        <v/>
      </c>
      <c r="S819" s="22" t="s">
        <v>101</v>
      </c>
      <c r="T819" s="35" t="str">
        <f>'Ingest Template'!V819</f>
        <v/>
      </c>
      <c r="U819" s="35" t="str">
        <f>'Ingest Template'!W819</f>
        <v/>
      </c>
      <c r="V819" s="35" t="str">
        <f>LOWER(SUBSTITUTE(SUBSTITUTE(SUBSTITUTE(SUBSTITUTE(SUBSTITUTE('Ingest Template'!X819,"https:",""),"www.",""),"/",""),"?hl=en",""),"instagram.com",""))</f>
        <v/>
      </c>
      <c r="W819" s="74" t="str">
        <f t="array" ref="W819">IF(
'Ingest Template'!Y819="",
SUBSTITUTE(
INDEX(DropdownLists!$F$2:$F$277,MATCH('Ingest Template'!D819,DropdownLists!$C$2:$C$277,0)),
CHAR(10),
"|"&amp;'Ingest Template'!C819&amp;CHAR(10)
)&amp;"|"&amp;'Ingest Template'!C819,
SUBSTITUTE(
INDEX(DropdownLists!$F$2:$F$277,MATCH('Ingest Template'!D819,DropdownLists!$C$2:$C$277,0)),
CHAR(10),
"|"&amp;'Ingest Template'!C819&amp;CHAR(10)
)&amp;"|"&amp;'Ingest Template'!C819&amp;CHAR(10)&amp;'Ingest Template'!Y819
)</f>
        <v>#N/A</v>
      </c>
      <c r="X819" s="74" t="str">
        <f>'Ingest Template'!Z819</f>
        <v/>
      </c>
      <c r="Y819" s="35" t="str">
        <f>SUBSTITUTE(SUBSTITUTE(SUBSTITUTE('Ingest Template'!AA819,"http:",""),"https:",""),"/","")</f>
        <v/>
      </c>
      <c r="Z819" s="35" t="str">
        <f t="array" ref="Z819">IF('Ingest Template'!A819="Standard",(IF(ISBLANK('Ingest Template'!AB819),"", 'Ingest Template'!AB819&amp;"|DAR")),(IF(ISBLANK('Ingest Template'!AB819),"", 'Ingest Template'!AB819&amp;"|TV Ops")))</f>
        <v/>
      </c>
      <c r="AA819" s="35"/>
      <c r="AB819" s="35" t="str">
        <f>'Ingest Template'!R819</f>
        <v/>
      </c>
      <c r="AC819" s="35" t="str">
        <f>'Ingest Template'!T819</f>
        <v/>
      </c>
      <c r="AD819" s="35" t="str">
        <f>'Ingest Template'!S819</f>
        <v/>
      </c>
      <c r="AE819" s="35" t="str">
        <f>'Ingest Template'!U819</f>
        <v/>
      </c>
      <c r="AF819" s="22"/>
      <c r="AG819" s="35" t="str">
        <f t="array" ref="AG819">IF('Ingest Template'!A819="Standard",(CONCATENATE(IF(ISBLANK('Ingest Template'!N819),"", 'Ingest Template'!N819&amp;"|DAR"),CHAR(10), IF(ISBLANK('Ingest Template'!O819),"", 'Ingest Template'!O819&amp;"|DAR"),CHAR(10), IF(ISBLANK('Ingest Template'!P819),"", 'Ingest Template'!P819&amp;"|DAR"))),(CONCATENATE(IF(ISBLANK('Ingest Template'!N819),"", 'Ingest Template'!N819&amp;"|TV Ops"),CHAR(10), IF(ISBLANK('Ingest Template'!O819),"", 'Ingest Template'!O819&amp;"|TV Ops"),CHAR(10), IF(ISBLANK('Ingest Template'!P819),"", 'Ingest Template'!P819&amp;"|TV Ops"))))</f>
        <v>
</v>
      </c>
      <c r="AH819" s="35"/>
      <c r="AI819" s="35"/>
      <c r="AJ819" s="117" t="str">
        <f>if('Ingest Template'!A819="Standard",(IF(OR('Ingest Template'!F819 = "Program Type - Special", 'Ingest Template'!F819 = "Program Type - Live Event"),'Ingest Template'!M819&amp; "|DAR|DAR|"&amp;TEXT('Ingest Template'!C819-3, "yyyy-mm-dd")&amp;"|"&amp;TEXT('Ingest Template'!C819+3, "yyyy-mm-dd"),'Ingest Template'!M819&amp; "|DAR|DAR|2021-01-01")),(IF(OR('Ingest Template'!F819 = "Program Type - Special", 'Ingest Template'!F819 = "Program Type - Live Event"),'Ingest Template'!M819&amp; "|Operations - Core Title|Operations - Core Title|"&amp;TEXT('Ingest Template'!C819-3, "yyyy-mm-dd")&amp;"|"&amp;TEXT('Ingest Template'!C819+3, "yyyy-mm-dd"),'Ingest Template'!M819&amp; "|Operations - Core Title|Operations - Core Title")))</f>
        <v>|Operations - Core Title|Operations - Core Title</v>
      </c>
      <c r="AK819" s="35"/>
      <c r="AL819" s="117" t="str">
        <f>if('Ingest Template'!A819="Standard",(IF(OR('Ingest Template'!F819 = "Program Type - Special", 'Ingest Template'!F819 = "Program Type - Live Event"),'Ingest Template'!Q819&amp;"|"&amp;TEXT('Ingest Template'!C819-3, "yyyy-mm-dd")&amp;"|"&amp;TEXT('Ingest Template'!C819+3, "yyyy-mm-dd"),'Ingest Template'!Q819&amp; "|2021-01-01")),(IF(OR('Ingest Template'!F819 = "Program Type - Special", 'Ingest Template'!F819 = "Program Type - Live Event"),'Ingest Template'!Q819&amp; "|"&amp;TEXT('Ingest Template'!C819-3, "yyyy-mm-dd")&amp;"|"&amp;TEXT('Ingest Template'!C819+3, "yyyy-mm-dd"),'Ingest Template'!Q819)))</f>
        <v/>
      </c>
      <c r="AM819" s="35" t="str">
        <f>'Ingest Template'!AC819</f>
        <v/>
      </c>
    </row>
    <row r="820">
      <c r="A820" s="15"/>
      <c r="B820" s="22" t="str">
        <f>'Ingest Template'!C820&amp;IF('Ingest Template'!A820 = "Standard", " - DAR","")</f>
        <v/>
      </c>
      <c r="C820" s="22" t="s">
        <v>83</v>
      </c>
      <c r="D820" s="22" t="str">
        <f t="array" ref="D820">CONCATENATE(INDEX(DropdownLists!$H$2:$H$11,MATCH(1,COUNTIF('Ingest Template'!E820,"*"&amp;DropdownLists!$I$2:$I$11&amp;"*"),0)),CHAR(10),'Ingest Template'!F820,CHAR(10),'Ingest Template'!G820,CHAR(10),VLOOKUP('Ingest Template'!D820,DropdownLists!C:D,2,FALSE))</f>
        <v>#N/A</v>
      </c>
      <c r="E820" s="22" t="str">
        <f>CONCATENATE('Ingest Template'!H820,CHAR(10),'Ingest Template'!I820,CHAR(10),'Ingest Template'!J820,CHAR(10))</f>
        <v>
</v>
      </c>
      <c r="F820" s="35" t="str">
        <f t="array" ref="F820">INDEX(DropdownLists!$O$2:$O$36,MATCH(1,COUNTIF(E820,"*"&amp;DropdownLists!$N$2:$N$36&amp;"*"),0))</f>
        <v/>
      </c>
      <c r="G820" s="35"/>
      <c r="H820" s="22" t="str">
        <f t="array" ref="H820">INDEX(DropdownLists!$E$2:$E$276,MATCH('Ingest Template'!D820,DropdownLists!$C$2:$C$276,0))</f>
        <v>#N/A</v>
      </c>
      <c r="I820" s="22"/>
      <c r="J820" s="22" t="str">
        <f t="array" ref="J820">iF('Ingest Template'!A820="Standard","Pristine Brand",INDEX(DropdownLists!$B$2:$B$246,MATCH('Ingest Template'!D820,DropdownLists!$C$2:$C$246,0)))</f>
        <v>#N/A</v>
      </c>
      <c r="K820" s="22" t="str">
        <f>iF('Ingest Template'!A820="Standard",'Ingest Template'!K820&amp;CHAR(10)&amp;'Ingest Template'!L820,"Competitive View")</f>
        <v>Competitive View</v>
      </c>
      <c r="L820" s="22" t="s">
        <v>95</v>
      </c>
      <c r="M820" s="45" t="str">
        <f>'Ingest Template'!B820</f>
        <v/>
      </c>
      <c r="N820" s="35"/>
      <c r="O820" s="35"/>
      <c r="P820" s="35"/>
      <c r="Q820" s="35"/>
      <c r="R820" s="35" t="str">
        <f>'Ingest Template'!D820</f>
        <v/>
      </c>
      <c r="S820" s="22" t="s">
        <v>101</v>
      </c>
      <c r="T820" s="35" t="str">
        <f>'Ingest Template'!V820</f>
        <v/>
      </c>
      <c r="U820" s="35" t="str">
        <f>'Ingest Template'!W820</f>
        <v/>
      </c>
      <c r="V820" s="35" t="str">
        <f>LOWER(SUBSTITUTE(SUBSTITUTE(SUBSTITUTE(SUBSTITUTE(SUBSTITUTE('Ingest Template'!X820,"https:",""),"www.",""),"/",""),"?hl=en",""),"instagram.com",""))</f>
        <v/>
      </c>
      <c r="W820" s="74" t="str">
        <f t="array" ref="W820">IF(
'Ingest Template'!Y820="",
SUBSTITUTE(
INDEX(DropdownLists!$F$2:$F$277,MATCH('Ingest Template'!D820,DropdownLists!$C$2:$C$277,0)),
CHAR(10),
"|"&amp;'Ingest Template'!C820&amp;CHAR(10)
)&amp;"|"&amp;'Ingest Template'!C820,
SUBSTITUTE(
INDEX(DropdownLists!$F$2:$F$277,MATCH('Ingest Template'!D820,DropdownLists!$C$2:$C$277,0)),
CHAR(10),
"|"&amp;'Ingest Template'!C820&amp;CHAR(10)
)&amp;"|"&amp;'Ingest Template'!C820&amp;CHAR(10)&amp;'Ingest Template'!Y820
)</f>
        <v>#N/A</v>
      </c>
      <c r="X820" s="74" t="str">
        <f>'Ingest Template'!Z820</f>
        <v/>
      </c>
      <c r="Y820" s="35" t="str">
        <f>SUBSTITUTE(SUBSTITUTE(SUBSTITUTE('Ingest Template'!AA820,"http:",""),"https:",""),"/","")</f>
        <v/>
      </c>
      <c r="Z820" s="35" t="str">
        <f t="array" ref="Z820">IF('Ingest Template'!A820="Standard",(IF(ISBLANK('Ingest Template'!AB820),"", 'Ingest Template'!AB820&amp;"|DAR")),(IF(ISBLANK('Ingest Template'!AB820),"", 'Ingest Template'!AB820&amp;"|TV Ops")))</f>
        <v/>
      </c>
      <c r="AA820" s="35"/>
      <c r="AB820" s="35" t="str">
        <f>'Ingest Template'!R820</f>
        <v/>
      </c>
      <c r="AC820" s="35" t="str">
        <f>'Ingest Template'!T820</f>
        <v/>
      </c>
      <c r="AD820" s="35" t="str">
        <f>'Ingest Template'!S820</f>
        <v/>
      </c>
      <c r="AE820" s="35" t="str">
        <f>'Ingest Template'!U820</f>
        <v/>
      </c>
      <c r="AF820" s="22"/>
      <c r="AG820" s="35" t="str">
        <f t="array" ref="AG820">IF('Ingest Template'!A820="Standard",(CONCATENATE(IF(ISBLANK('Ingest Template'!N820),"", 'Ingest Template'!N820&amp;"|DAR"),CHAR(10), IF(ISBLANK('Ingest Template'!O820),"", 'Ingest Template'!O820&amp;"|DAR"),CHAR(10), IF(ISBLANK('Ingest Template'!P820),"", 'Ingest Template'!P820&amp;"|DAR"))),(CONCATENATE(IF(ISBLANK('Ingest Template'!N820),"", 'Ingest Template'!N820&amp;"|TV Ops"),CHAR(10), IF(ISBLANK('Ingest Template'!O820),"", 'Ingest Template'!O820&amp;"|TV Ops"),CHAR(10), IF(ISBLANK('Ingest Template'!P820),"", 'Ingest Template'!P820&amp;"|TV Ops"))))</f>
        <v>
</v>
      </c>
      <c r="AH820" s="35"/>
      <c r="AI820" s="35"/>
      <c r="AJ820" s="117" t="str">
        <f>if('Ingest Template'!A820="Standard",(IF(OR('Ingest Template'!F820 = "Program Type - Special", 'Ingest Template'!F820 = "Program Type - Live Event"),'Ingest Template'!M820&amp; "|DAR|DAR|"&amp;TEXT('Ingest Template'!C820-3, "yyyy-mm-dd")&amp;"|"&amp;TEXT('Ingest Template'!C820+3, "yyyy-mm-dd"),'Ingest Template'!M820&amp; "|DAR|DAR|2021-01-01")),(IF(OR('Ingest Template'!F820 = "Program Type - Special", 'Ingest Template'!F820 = "Program Type - Live Event"),'Ingest Template'!M820&amp; "|Operations - Core Title|Operations - Core Title|"&amp;TEXT('Ingest Template'!C820-3, "yyyy-mm-dd")&amp;"|"&amp;TEXT('Ingest Template'!C820+3, "yyyy-mm-dd"),'Ingest Template'!M820&amp; "|Operations - Core Title|Operations - Core Title")))</f>
        <v>|Operations - Core Title|Operations - Core Title</v>
      </c>
      <c r="AK820" s="35"/>
      <c r="AL820" s="117" t="str">
        <f>if('Ingest Template'!A820="Standard",(IF(OR('Ingest Template'!F820 = "Program Type - Special", 'Ingest Template'!F820 = "Program Type - Live Event"),'Ingest Template'!Q820&amp;"|"&amp;TEXT('Ingest Template'!C820-3, "yyyy-mm-dd")&amp;"|"&amp;TEXT('Ingest Template'!C820+3, "yyyy-mm-dd"),'Ingest Template'!Q820&amp; "|2021-01-01")),(IF(OR('Ingest Template'!F820 = "Program Type - Special", 'Ingest Template'!F820 = "Program Type - Live Event"),'Ingest Template'!Q820&amp; "|"&amp;TEXT('Ingest Template'!C820-3, "yyyy-mm-dd")&amp;"|"&amp;TEXT('Ingest Template'!C820+3, "yyyy-mm-dd"),'Ingest Template'!Q820)))</f>
        <v/>
      </c>
      <c r="AM820" s="35" t="str">
        <f>'Ingest Template'!AC820</f>
        <v/>
      </c>
    </row>
    <row r="821">
      <c r="A821" s="15"/>
      <c r="B821" s="22" t="str">
        <f>'Ingest Template'!C821&amp;IF('Ingest Template'!A821 = "Standard", " - DAR","")</f>
        <v/>
      </c>
      <c r="C821" s="22" t="s">
        <v>83</v>
      </c>
      <c r="D821" s="22" t="str">
        <f t="array" ref="D821">CONCATENATE(INDEX(DropdownLists!$H$2:$H$11,MATCH(1,COUNTIF('Ingest Template'!E821,"*"&amp;DropdownLists!$I$2:$I$11&amp;"*"),0)),CHAR(10),'Ingest Template'!F821,CHAR(10),'Ingest Template'!G821,CHAR(10),VLOOKUP('Ingest Template'!D821,DropdownLists!C:D,2,FALSE))</f>
        <v>#N/A</v>
      </c>
      <c r="E821" s="22" t="str">
        <f>CONCATENATE('Ingest Template'!H821,CHAR(10),'Ingest Template'!I821,CHAR(10),'Ingest Template'!J821,CHAR(10))</f>
        <v>
</v>
      </c>
      <c r="F821" s="35" t="str">
        <f t="array" ref="F821">INDEX(DropdownLists!$O$2:$O$36,MATCH(1,COUNTIF(E821,"*"&amp;DropdownLists!$N$2:$N$36&amp;"*"),0))</f>
        <v/>
      </c>
      <c r="G821" s="35"/>
      <c r="H821" s="22" t="str">
        <f t="array" ref="H821">INDEX(DropdownLists!$E$2:$E$276,MATCH('Ingest Template'!D821,DropdownLists!$C$2:$C$276,0))</f>
        <v>#N/A</v>
      </c>
      <c r="I821" s="22"/>
      <c r="J821" s="22" t="str">
        <f t="array" ref="J821">iF('Ingest Template'!A821="Standard","Pristine Brand",INDEX(DropdownLists!$B$2:$B$246,MATCH('Ingest Template'!D821,DropdownLists!$C$2:$C$246,0)))</f>
        <v>#N/A</v>
      </c>
      <c r="K821" s="22" t="str">
        <f>iF('Ingest Template'!A821="Standard",'Ingest Template'!K821&amp;CHAR(10)&amp;'Ingest Template'!L821,"Competitive View")</f>
        <v>Competitive View</v>
      </c>
      <c r="L821" s="22" t="s">
        <v>95</v>
      </c>
      <c r="M821" s="45" t="str">
        <f>'Ingest Template'!B821</f>
        <v/>
      </c>
      <c r="N821" s="35"/>
      <c r="O821" s="35"/>
      <c r="P821" s="35"/>
      <c r="Q821" s="35"/>
      <c r="R821" s="35" t="str">
        <f>'Ingest Template'!D821</f>
        <v/>
      </c>
      <c r="S821" s="22" t="s">
        <v>101</v>
      </c>
      <c r="T821" s="35" t="str">
        <f>'Ingest Template'!V821</f>
        <v/>
      </c>
      <c r="U821" s="35" t="str">
        <f>'Ingest Template'!W821</f>
        <v/>
      </c>
      <c r="V821" s="35" t="str">
        <f>LOWER(SUBSTITUTE(SUBSTITUTE(SUBSTITUTE(SUBSTITUTE(SUBSTITUTE('Ingest Template'!X821,"https:",""),"www.",""),"/",""),"?hl=en",""),"instagram.com",""))</f>
        <v/>
      </c>
      <c r="W821" s="74" t="str">
        <f t="array" ref="W821">IF(
'Ingest Template'!Y821="",
SUBSTITUTE(
INDEX(DropdownLists!$F$2:$F$277,MATCH('Ingest Template'!D821,DropdownLists!$C$2:$C$277,0)),
CHAR(10),
"|"&amp;'Ingest Template'!C821&amp;CHAR(10)
)&amp;"|"&amp;'Ingest Template'!C821,
SUBSTITUTE(
INDEX(DropdownLists!$F$2:$F$277,MATCH('Ingest Template'!D821,DropdownLists!$C$2:$C$277,0)),
CHAR(10),
"|"&amp;'Ingest Template'!C821&amp;CHAR(10)
)&amp;"|"&amp;'Ingest Template'!C821&amp;CHAR(10)&amp;'Ingest Template'!Y821
)</f>
        <v>#N/A</v>
      </c>
      <c r="X821" s="74" t="str">
        <f>'Ingest Template'!Z821</f>
        <v/>
      </c>
      <c r="Y821" s="35" t="str">
        <f>SUBSTITUTE(SUBSTITUTE(SUBSTITUTE('Ingest Template'!AA821,"http:",""),"https:",""),"/","")</f>
        <v/>
      </c>
      <c r="Z821" s="35" t="str">
        <f t="array" ref="Z821">IF('Ingest Template'!A821="Standard",(IF(ISBLANK('Ingest Template'!AB821),"", 'Ingest Template'!AB821&amp;"|DAR")),(IF(ISBLANK('Ingest Template'!AB821),"", 'Ingest Template'!AB821&amp;"|TV Ops")))</f>
        <v/>
      </c>
      <c r="AA821" s="35"/>
      <c r="AB821" s="35" t="str">
        <f>'Ingest Template'!R821</f>
        <v/>
      </c>
      <c r="AC821" s="35" t="str">
        <f>'Ingest Template'!T821</f>
        <v/>
      </c>
      <c r="AD821" s="35" t="str">
        <f>'Ingest Template'!S821</f>
        <v/>
      </c>
      <c r="AE821" s="35" t="str">
        <f>'Ingest Template'!U821</f>
        <v/>
      </c>
      <c r="AF821" s="22"/>
      <c r="AG821" s="35" t="str">
        <f t="array" ref="AG821">IF('Ingest Template'!A821="Standard",(CONCATENATE(IF(ISBLANK('Ingest Template'!N821),"", 'Ingest Template'!N821&amp;"|DAR"),CHAR(10), IF(ISBLANK('Ingest Template'!O821),"", 'Ingest Template'!O821&amp;"|DAR"),CHAR(10), IF(ISBLANK('Ingest Template'!P821),"", 'Ingest Template'!P821&amp;"|DAR"))),(CONCATENATE(IF(ISBLANK('Ingest Template'!N821),"", 'Ingest Template'!N821&amp;"|TV Ops"),CHAR(10), IF(ISBLANK('Ingest Template'!O821),"", 'Ingest Template'!O821&amp;"|TV Ops"),CHAR(10), IF(ISBLANK('Ingest Template'!P821),"", 'Ingest Template'!P821&amp;"|TV Ops"))))</f>
        <v>
</v>
      </c>
      <c r="AH821" s="35"/>
      <c r="AI821" s="35"/>
      <c r="AJ821" s="117" t="str">
        <f>if('Ingest Template'!A821="Standard",(IF(OR('Ingest Template'!F821 = "Program Type - Special", 'Ingest Template'!F821 = "Program Type - Live Event"),'Ingest Template'!M821&amp; "|DAR|DAR|"&amp;TEXT('Ingest Template'!C821-3, "yyyy-mm-dd")&amp;"|"&amp;TEXT('Ingest Template'!C821+3, "yyyy-mm-dd"),'Ingest Template'!M821&amp; "|DAR|DAR|2021-01-01")),(IF(OR('Ingest Template'!F821 = "Program Type - Special", 'Ingest Template'!F821 = "Program Type - Live Event"),'Ingest Template'!M821&amp; "|Operations - Core Title|Operations - Core Title|"&amp;TEXT('Ingest Template'!C821-3, "yyyy-mm-dd")&amp;"|"&amp;TEXT('Ingest Template'!C821+3, "yyyy-mm-dd"),'Ingest Template'!M821&amp; "|Operations - Core Title|Operations - Core Title")))</f>
        <v>|Operations - Core Title|Operations - Core Title</v>
      </c>
      <c r="AK821" s="35"/>
      <c r="AL821" s="117" t="str">
        <f>if('Ingest Template'!A821="Standard",(IF(OR('Ingest Template'!F821 = "Program Type - Special", 'Ingest Template'!F821 = "Program Type - Live Event"),'Ingest Template'!Q821&amp;"|"&amp;TEXT('Ingest Template'!C821-3, "yyyy-mm-dd")&amp;"|"&amp;TEXT('Ingest Template'!C821+3, "yyyy-mm-dd"),'Ingest Template'!Q821&amp; "|2021-01-01")),(IF(OR('Ingest Template'!F821 = "Program Type - Special", 'Ingest Template'!F821 = "Program Type - Live Event"),'Ingest Template'!Q821&amp; "|"&amp;TEXT('Ingest Template'!C821-3, "yyyy-mm-dd")&amp;"|"&amp;TEXT('Ingest Template'!C821+3, "yyyy-mm-dd"),'Ingest Template'!Q821)))</f>
        <v/>
      </c>
      <c r="AM821" s="35" t="str">
        <f>'Ingest Template'!AC821</f>
        <v/>
      </c>
    </row>
    <row r="822">
      <c r="A822" s="15"/>
      <c r="B822" s="22" t="str">
        <f>'Ingest Template'!C822&amp;IF('Ingest Template'!A822 = "Standard", " - DAR","")</f>
        <v/>
      </c>
      <c r="C822" s="22" t="s">
        <v>83</v>
      </c>
      <c r="D822" s="22" t="str">
        <f t="array" ref="D822">CONCATENATE(INDEX(DropdownLists!$H$2:$H$11,MATCH(1,COUNTIF('Ingest Template'!E822,"*"&amp;DropdownLists!$I$2:$I$11&amp;"*"),0)),CHAR(10),'Ingest Template'!F822,CHAR(10),'Ingest Template'!G822,CHAR(10),VLOOKUP('Ingest Template'!D822,DropdownLists!C:D,2,FALSE))</f>
        <v>#N/A</v>
      </c>
      <c r="E822" s="22" t="str">
        <f>CONCATENATE('Ingest Template'!H822,CHAR(10),'Ingest Template'!I822,CHAR(10),'Ingest Template'!J822,CHAR(10))</f>
        <v>
</v>
      </c>
      <c r="F822" s="35" t="str">
        <f t="array" ref="F822">INDEX(DropdownLists!$O$2:$O$36,MATCH(1,COUNTIF(E822,"*"&amp;DropdownLists!$N$2:$N$36&amp;"*"),0))</f>
        <v/>
      </c>
      <c r="G822" s="35"/>
      <c r="H822" s="22" t="str">
        <f t="array" ref="H822">INDEX(DropdownLists!$E$2:$E$276,MATCH('Ingest Template'!D822,DropdownLists!$C$2:$C$276,0))</f>
        <v>#N/A</v>
      </c>
      <c r="I822" s="22"/>
      <c r="J822" s="22" t="str">
        <f t="array" ref="J822">iF('Ingest Template'!A822="Standard","Pristine Brand",INDEX(DropdownLists!$B$2:$B$246,MATCH('Ingest Template'!D822,DropdownLists!$C$2:$C$246,0)))</f>
        <v>#N/A</v>
      </c>
      <c r="K822" s="22" t="str">
        <f>iF('Ingest Template'!A822="Standard",'Ingest Template'!K822&amp;CHAR(10)&amp;'Ingest Template'!L822,"Competitive View")</f>
        <v>Competitive View</v>
      </c>
      <c r="L822" s="22" t="s">
        <v>95</v>
      </c>
      <c r="M822" s="45" t="str">
        <f>'Ingest Template'!B822</f>
        <v/>
      </c>
      <c r="N822" s="35"/>
      <c r="O822" s="35"/>
      <c r="P822" s="35"/>
      <c r="Q822" s="35"/>
      <c r="R822" s="35" t="str">
        <f>'Ingest Template'!D822</f>
        <v/>
      </c>
      <c r="S822" s="22" t="s">
        <v>101</v>
      </c>
      <c r="T822" s="35" t="str">
        <f>'Ingest Template'!V822</f>
        <v/>
      </c>
      <c r="U822" s="35" t="str">
        <f>'Ingest Template'!W822</f>
        <v/>
      </c>
      <c r="V822" s="35" t="str">
        <f>LOWER(SUBSTITUTE(SUBSTITUTE(SUBSTITUTE(SUBSTITUTE(SUBSTITUTE('Ingest Template'!X822,"https:",""),"www.",""),"/",""),"?hl=en",""),"instagram.com",""))</f>
        <v/>
      </c>
      <c r="W822" s="74" t="str">
        <f t="array" ref="W822">IF(
'Ingest Template'!Y822="",
SUBSTITUTE(
INDEX(DropdownLists!$F$2:$F$277,MATCH('Ingest Template'!D822,DropdownLists!$C$2:$C$277,0)),
CHAR(10),
"|"&amp;'Ingest Template'!C822&amp;CHAR(10)
)&amp;"|"&amp;'Ingest Template'!C822,
SUBSTITUTE(
INDEX(DropdownLists!$F$2:$F$277,MATCH('Ingest Template'!D822,DropdownLists!$C$2:$C$277,0)),
CHAR(10),
"|"&amp;'Ingest Template'!C822&amp;CHAR(10)
)&amp;"|"&amp;'Ingest Template'!C822&amp;CHAR(10)&amp;'Ingest Template'!Y822
)</f>
        <v>#N/A</v>
      </c>
      <c r="X822" s="74" t="str">
        <f>'Ingest Template'!Z822</f>
        <v/>
      </c>
      <c r="Y822" s="35" t="str">
        <f>SUBSTITUTE(SUBSTITUTE(SUBSTITUTE('Ingest Template'!AA822,"http:",""),"https:",""),"/","")</f>
        <v/>
      </c>
      <c r="Z822" s="35" t="str">
        <f t="array" ref="Z822">IF('Ingest Template'!A822="Standard",(IF(ISBLANK('Ingest Template'!AB822),"", 'Ingest Template'!AB822&amp;"|DAR")),(IF(ISBLANK('Ingest Template'!AB822),"", 'Ingest Template'!AB822&amp;"|TV Ops")))</f>
        <v/>
      </c>
      <c r="AA822" s="35"/>
      <c r="AB822" s="35" t="str">
        <f>'Ingest Template'!R822</f>
        <v/>
      </c>
      <c r="AC822" s="35" t="str">
        <f>'Ingest Template'!T822</f>
        <v/>
      </c>
      <c r="AD822" s="35" t="str">
        <f>'Ingest Template'!S822</f>
        <v/>
      </c>
      <c r="AE822" s="35" t="str">
        <f>'Ingest Template'!U822</f>
        <v/>
      </c>
      <c r="AF822" s="22"/>
      <c r="AG822" s="35" t="str">
        <f t="array" ref="AG822">IF('Ingest Template'!A822="Standard",(CONCATENATE(IF(ISBLANK('Ingest Template'!N822),"", 'Ingest Template'!N822&amp;"|DAR"),CHAR(10), IF(ISBLANK('Ingest Template'!O822),"", 'Ingest Template'!O822&amp;"|DAR"),CHAR(10), IF(ISBLANK('Ingest Template'!P822),"", 'Ingest Template'!P822&amp;"|DAR"))),(CONCATENATE(IF(ISBLANK('Ingest Template'!N822),"", 'Ingest Template'!N822&amp;"|TV Ops"),CHAR(10), IF(ISBLANK('Ingest Template'!O822),"", 'Ingest Template'!O822&amp;"|TV Ops"),CHAR(10), IF(ISBLANK('Ingest Template'!P822),"", 'Ingest Template'!P822&amp;"|TV Ops"))))</f>
        <v>
</v>
      </c>
      <c r="AH822" s="35"/>
      <c r="AI822" s="35"/>
      <c r="AJ822" s="117" t="str">
        <f>if('Ingest Template'!A822="Standard",(IF(OR('Ingest Template'!F822 = "Program Type - Special", 'Ingest Template'!F822 = "Program Type - Live Event"),'Ingest Template'!M822&amp; "|DAR|DAR|"&amp;TEXT('Ingest Template'!C822-3, "yyyy-mm-dd")&amp;"|"&amp;TEXT('Ingest Template'!C822+3, "yyyy-mm-dd"),'Ingest Template'!M822&amp; "|DAR|DAR|2021-01-01")),(IF(OR('Ingest Template'!F822 = "Program Type - Special", 'Ingest Template'!F822 = "Program Type - Live Event"),'Ingest Template'!M822&amp; "|Operations - Core Title|Operations - Core Title|"&amp;TEXT('Ingest Template'!C822-3, "yyyy-mm-dd")&amp;"|"&amp;TEXT('Ingest Template'!C822+3, "yyyy-mm-dd"),'Ingest Template'!M822&amp; "|Operations - Core Title|Operations - Core Title")))</f>
        <v>|Operations - Core Title|Operations - Core Title</v>
      </c>
      <c r="AK822" s="35"/>
      <c r="AL822" s="117" t="str">
        <f>if('Ingest Template'!A822="Standard",(IF(OR('Ingest Template'!F822 = "Program Type - Special", 'Ingest Template'!F822 = "Program Type - Live Event"),'Ingest Template'!Q822&amp;"|"&amp;TEXT('Ingest Template'!C822-3, "yyyy-mm-dd")&amp;"|"&amp;TEXT('Ingest Template'!C822+3, "yyyy-mm-dd"),'Ingest Template'!Q822&amp; "|2021-01-01")),(IF(OR('Ingest Template'!F822 = "Program Type - Special", 'Ingest Template'!F822 = "Program Type - Live Event"),'Ingest Template'!Q822&amp; "|"&amp;TEXT('Ingest Template'!C822-3, "yyyy-mm-dd")&amp;"|"&amp;TEXT('Ingest Template'!C822+3, "yyyy-mm-dd"),'Ingest Template'!Q822)))</f>
        <v/>
      </c>
      <c r="AM822" s="35" t="str">
        <f>'Ingest Template'!AC822</f>
        <v/>
      </c>
    </row>
    <row r="823">
      <c r="A823" s="15"/>
      <c r="B823" s="22" t="str">
        <f>'Ingest Template'!C823&amp;IF('Ingest Template'!A823 = "Standard", " - DAR","")</f>
        <v/>
      </c>
      <c r="C823" s="22" t="s">
        <v>83</v>
      </c>
      <c r="D823" s="22" t="str">
        <f t="array" ref="D823">CONCATENATE(INDEX(DropdownLists!$H$2:$H$11,MATCH(1,COUNTIF('Ingest Template'!E823,"*"&amp;DropdownLists!$I$2:$I$11&amp;"*"),0)),CHAR(10),'Ingest Template'!F823,CHAR(10),'Ingest Template'!G823,CHAR(10),VLOOKUP('Ingest Template'!D823,DropdownLists!C:D,2,FALSE))</f>
        <v>#N/A</v>
      </c>
      <c r="E823" s="22" t="str">
        <f>CONCATENATE('Ingest Template'!H823,CHAR(10),'Ingest Template'!I823,CHAR(10),'Ingest Template'!J823,CHAR(10))</f>
        <v>
</v>
      </c>
      <c r="F823" s="35" t="str">
        <f t="array" ref="F823">INDEX(DropdownLists!$O$2:$O$36,MATCH(1,COUNTIF(E823,"*"&amp;DropdownLists!$N$2:$N$36&amp;"*"),0))</f>
        <v/>
      </c>
      <c r="G823" s="35"/>
      <c r="H823" s="22" t="str">
        <f t="array" ref="H823">INDEX(DropdownLists!$E$2:$E$276,MATCH('Ingest Template'!D823,DropdownLists!$C$2:$C$276,0))</f>
        <v>#N/A</v>
      </c>
      <c r="I823" s="22"/>
      <c r="J823" s="22" t="str">
        <f t="array" ref="J823">iF('Ingest Template'!A823="Standard","Pristine Brand",INDEX(DropdownLists!$B$2:$B$246,MATCH('Ingest Template'!D823,DropdownLists!$C$2:$C$246,0)))</f>
        <v>#N/A</v>
      </c>
      <c r="K823" s="22" t="str">
        <f>iF('Ingest Template'!A823="Standard",'Ingest Template'!K823&amp;CHAR(10)&amp;'Ingest Template'!L823,"Competitive View")</f>
        <v>Competitive View</v>
      </c>
      <c r="L823" s="22" t="s">
        <v>95</v>
      </c>
      <c r="M823" s="45" t="str">
        <f>'Ingest Template'!B823</f>
        <v/>
      </c>
      <c r="N823" s="35"/>
      <c r="O823" s="35"/>
      <c r="P823" s="35"/>
      <c r="Q823" s="35"/>
      <c r="R823" s="35" t="str">
        <f>'Ingest Template'!D823</f>
        <v/>
      </c>
      <c r="S823" s="22" t="s">
        <v>101</v>
      </c>
      <c r="T823" s="35" t="str">
        <f>'Ingest Template'!V823</f>
        <v/>
      </c>
      <c r="U823" s="35" t="str">
        <f>'Ingest Template'!W823</f>
        <v/>
      </c>
      <c r="V823" s="35" t="str">
        <f>LOWER(SUBSTITUTE(SUBSTITUTE(SUBSTITUTE(SUBSTITUTE(SUBSTITUTE('Ingest Template'!X823,"https:",""),"www.",""),"/",""),"?hl=en",""),"instagram.com",""))</f>
        <v/>
      </c>
      <c r="W823" s="74" t="str">
        <f t="array" ref="W823">IF(
'Ingest Template'!Y823="",
SUBSTITUTE(
INDEX(DropdownLists!$F$2:$F$277,MATCH('Ingest Template'!D823,DropdownLists!$C$2:$C$277,0)),
CHAR(10),
"|"&amp;'Ingest Template'!C823&amp;CHAR(10)
)&amp;"|"&amp;'Ingest Template'!C823,
SUBSTITUTE(
INDEX(DropdownLists!$F$2:$F$277,MATCH('Ingest Template'!D823,DropdownLists!$C$2:$C$277,0)),
CHAR(10),
"|"&amp;'Ingest Template'!C823&amp;CHAR(10)
)&amp;"|"&amp;'Ingest Template'!C823&amp;CHAR(10)&amp;'Ingest Template'!Y823
)</f>
        <v>#N/A</v>
      </c>
      <c r="X823" s="74" t="str">
        <f>'Ingest Template'!Z823</f>
        <v/>
      </c>
      <c r="Y823" s="35" t="str">
        <f>SUBSTITUTE(SUBSTITUTE(SUBSTITUTE('Ingest Template'!AA823,"http:",""),"https:",""),"/","")</f>
        <v/>
      </c>
      <c r="Z823" s="35" t="str">
        <f t="array" ref="Z823">IF('Ingest Template'!A823="Standard",(IF(ISBLANK('Ingest Template'!AB823),"", 'Ingest Template'!AB823&amp;"|DAR")),(IF(ISBLANK('Ingest Template'!AB823),"", 'Ingest Template'!AB823&amp;"|TV Ops")))</f>
        <v/>
      </c>
      <c r="AA823" s="35"/>
      <c r="AB823" s="35" t="str">
        <f>'Ingest Template'!R823</f>
        <v/>
      </c>
      <c r="AC823" s="35" t="str">
        <f>'Ingest Template'!T823</f>
        <v/>
      </c>
      <c r="AD823" s="35" t="str">
        <f>'Ingest Template'!S823</f>
        <v/>
      </c>
      <c r="AE823" s="35" t="str">
        <f>'Ingest Template'!U823</f>
        <v/>
      </c>
      <c r="AF823" s="22"/>
      <c r="AG823" s="35" t="str">
        <f t="array" ref="AG823">IF('Ingest Template'!A823="Standard",(CONCATENATE(IF(ISBLANK('Ingest Template'!N823),"", 'Ingest Template'!N823&amp;"|DAR"),CHAR(10), IF(ISBLANK('Ingest Template'!O823),"", 'Ingest Template'!O823&amp;"|DAR"),CHAR(10), IF(ISBLANK('Ingest Template'!P823),"", 'Ingest Template'!P823&amp;"|DAR"))),(CONCATENATE(IF(ISBLANK('Ingest Template'!N823),"", 'Ingest Template'!N823&amp;"|TV Ops"),CHAR(10), IF(ISBLANK('Ingest Template'!O823),"", 'Ingest Template'!O823&amp;"|TV Ops"),CHAR(10), IF(ISBLANK('Ingest Template'!P823),"", 'Ingest Template'!P823&amp;"|TV Ops"))))</f>
        <v>
</v>
      </c>
      <c r="AH823" s="35"/>
      <c r="AI823" s="35"/>
      <c r="AJ823" s="117" t="str">
        <f>if('Ingest Template'!A823="Standard",(IF(OR('Ingest Template'!F823 = "Program Type - Special", 'Ingest Template'!F823 = "Program Type - Live Event"),'Ingest Template'!M823&amp; "|DAR|DAR|"&amp;TEXT('Ingest Template'!C823-3, "yyyy-mm-dd")&amp;"|"&amp;TEXT('Ingest Template'!C823+3, "yyyy-mm-dd"),'Ingest Template'!M823&amp; "|DAR|DAR|2021-01-01")),(IF(OR('Ingest Template'!F823 = "Program Type - Special", 'Ingest Template'!F823 = "Program Type - Live Event"),'Ingest Template'!M823&amp; "|Operations - Core Title|Operations - Core Title|"&amp;TEXT('Ingest Template'!C823-3, "yyyy-mm-dd")&amp;"|"&amp;TEXT('Ingest Template'!C823+3, "yyyy-mm-dd"),'Ingest Template'!M823&amp; "|Operations - Core Title|Operations - Core Title")))</f>
        <v>|Operations - Core Title|Operations - Core Title</v>
      </c>
      <c r="AK823" s="35"/>
      <c r="AL823" s="117" t="str">
        <f>if('Ingest Template'!A823="Standard",(IF(OR('Ingest Template'!F823 = "Program Type - Special", 'Ingest Template'!F823 = "Program Type - Live Event"),'Ingest Template'!Q823&amp;"|"&amp;TEXT('Ingest Template'!C823-3, "yyyy-mm-dd")&amp;"|"&amp;TEXT('Ingest Template'!C823+3, "yyyy-mm-dd"),'Ingest Template'!Q823&amp; "|2021-01-01")),(IF(OR('Ingest Template'!F823 = "Program Type - Special", 'Ingest Template'!F823 = "Program Type - Live Event"),'Ingest Template'!Q823&amp; "|"&amp;TEXT('Ingest Template'!C823-3, "yyyy-mm-dd")&amp;"|"&amp;TEXT('Ingest Template'!C823+3, "yyyy-mm-dd"),'Ingest Template'!Q823)))</f>
        <v/>
      </c>
      <c r="AM823" s="35" t="str">
        <f>'Ingest Template'!AC823</f>
        <v/>
      </c>
    </row>
    <row r="824">
      <c r="A824" s="15"/>
      <c r="B824" s="22" t="str">
        <f>'Ingest Template'!C824&amp;IF('Ingest Template'!A824 = "Standard", " - DAR","")</f>
        <v/>
      </c>
      <c r="C824" s="22" t="s">
        <v>83</v>
      </c>
      <c r="D824" s="22" t="str">
        <f t="array" ref="D824">CONCATENATE(INDEX(DropdownLists!$H$2:$H$11,MATCH(1,COUNTIF('Ingest Template'!E824,"*"&amp;DropdownLists!$I$2:$I$11&amp;"*"),0)),CHAR(10),'Ingest Template'!F824,CHAR(10),'Ingest Template'!G824,CHAR(10),VLOOKUP('Ingest Template'!D824,DropdownLists!C:D,2,FALSE))</f>
        <v>#N/A</v>
      </c>
      <c r="E824" s="22" t="str">
        <f>CONCATENATE('Ingest Template'!H824,CHAR(10),'Ingest Template'!I824,CHAR(10),'Ingest Template'!J824,CHAR(10))</f>
        <v>
</v>
      </c>
      <c r="F824" s="35" t="str">
        <f t="array" ref="F824">INDEX(DropdownLists!$O$2:$O$36,MATCH(1,COUNTIF(E824,"*"&amp;DropdownLists!$N$2:$N$36&amp;"*"),0))</f>
        <v/>
      </c>
      <c r="G824" s="35"/>
      <c r="H824" s="22" t="str">
        <f t="array" ref="H824">INDEX(DropdownLists!$E$2:$E$276,MATCH('Ingest Template'!D824,DropdownLists!$C$2:$C$276,0))</f>
        <v>#N/A</v>
      </c>
      <c r="I824" s="22"/>
      <c r="J824" s="22" t="str">
        <f t="array" ref="J824">iF('Ingest Template'!A824="Standard","Pristine Brand",INDEX(DropdownLists!$B$2:$B$246,MATCH('Ingest Template'!D824,DropdownLists!$C$2:$C$246,0)))</f>
        <v>#N/A</v>
      </c>
      <c r="K824" s="22" t="str">
        <f>iF('Ingest Template'!A824="Standard",'Ingest Template'!K824&amp;CHAR(10)&amp;'Ingest Template'!L824,"Competitive View")</f>
        <v>Competitive View</v>
      </c>
      <c r="L824" s="22" t="s">
        <v>95</v>
      </c>
      <c r="M824" s="45" t="str">
        <f>'Ingest Template'!B824</f>
        <v/>
      </c>
      <c r="N824" s="35"/>
      <c r="O824" s="35"/>
      <c r="P824" s="35"/>
      <c r="Q824" s="35"/>
      <c r="R824" s="35" t="str">
        <f>'Ingest Template'!D824</f>
        <v/>
      </c>
      <c r="S824" s="22" t="s">
        <v>101</v>
      </c>
      <c r="T824" s="35" t="str">
        <f>'Ingest Template'!V824</f>
        <v/>
      </c>
      <c r="U824" s="35" t="str">
        <f>'Ingest Template'!W824</f>
        <v/>
      </c>
      <c r="V824" s="35" t="str">
        <f>LOWER(SUBSTITUTE(SUBSTITUTE(SUBSTITUTE(SUBSTITUTE(SUBSTITUTE('Ingest Template'!X824,"https:",""),"www.",""),"/",""),"?hl=en",""),"instagram.com",""))</f>
        <v/>
      </c>
      <c r="W824" s="74" t="str">
        <f t="array" ref="W824">IF(
'Ingest Template'!Y824="",
SUBSTITUTE(
INDEX(DropdownLists!$F$2:$F$277,MATCH('Ingest Template'!D824,DropdownLists!$C$2:$C$277,0)),
CHAR(10),
"|"&amp;'Ingest Template'!C824&amp;CHAR(10)
)&amp;"|"&amp;'Ingest Template'!C824,
SUBSTITUTE(
INDEX(DropdownLists!$F$2:$F$277,MATCH('Ingest Template'!D824,DropdownLists!$C$2:$C$277,0)),
CHAR(10),
"|"&amp;'Ingest Template'!C824&amp;CHAR(10)
)&amp;"|"&amp;'Ingest Template'!C824&amp;CHAR(10)&amp;'Ingest Template'!Y824
)</f>
        <v>#N/A</v>
      </c>
      <c r="X824" s="74" t="str">
        <f>'Ingest Template'!Z824</f>
        <v/>
      </c>
      <c r="Y824" s="35" t="str">
        <f>SUBSTITUTE(SUBSTITUTE(SUBSTITUTE('Ingest Template'!AA824,"http:",""),"https:",""),"/","")</f>
        <v/>
      </c>
      <c r="Z824" s="35" t="str">
        <f t="array" ref="Z824">IF('Ingest Template'!A824="Standard",(IF(ISBLANK('Ingest Template'!AB824),"", 'Ingest Template'!AB824&amp;"|DAR")),(IF(ISBLANK('Ingest Template'!AB824),"", 'Ingest Template'!AB824&amp;"|TV Ops")))</f>
        <v/>
      </c>
      <c r="AA824" s="35"/>
      <c r="AB824" s="35" t="str">
        <f>'Ingest Template'!R824</f>
        <v/>
      </c>
      <c r="AC824" s="35" t="str">
        <f>'Ingest Template'!T824</f>
        <v/>
      </c>
      <c r="AD824" s="35" t="str">
        <f>'Ingest Template'!S824</f>
        <v/>
      </c>
      <c r="AE824" s="35" t="str">
        <f>'Ingest Template'!U824</f>
        <v/>
      </c>
      <c r="AF824" s="22"/>
      <c r="AG824" s="35" t="str">
        <f t="array" ref="AG824">IF('Ingest Template'!A824="Standard",(CONCATENATE(IF(ISBLANK('Ingest Template'!N824),"", 'Ingest Template'!N824&amp;"|DAR"),CHAR(10), IF(ISBLANK('Ingest Template'!O824),"", 'Ingest Template'!O824&amp;"|DAR"),CHAR(10), IF(ISBLANK('Ingest Template'!P824),"", 'Ingest Template'!P824&amp;"|DAR"))),(CONCATENATE(IF(ISBLANK('Ingest Template'!N824),"", 'Ingest Template'!N824&amp;"|TV Ops"),CHAR(10), IF(ISBLANK('Ingest Template'!O824),"", 'Ingest Template'!O824&amp;"|TV Ops"),CHAR(10), IF(ISBLANK('Ingest Template'!P824),"", 'Ingest Template'!P824&amp;"|TV Ops"))))</f>
        <v>
</v>
      </c>
      <c r="AH824" s="35"/>
      <c r="AI824" s="35"/>
      <c r="AJ824" s="117" t="str">
        <f>if('Ingest Template'!A824="Standard",(IF(OR('Ingest Template'!F824 = "Program Type - Special", 'Ingest Template'!F824 = "Program Type - Live Event"),'Ingest Template'!M824&amp; "|DAR|DAR|"&amp;TEXT('Ingest Template'!C824-3, "yyyy-mm-dd")&amp;"|"&amp;TEXT('Ingest Template'!C824+3, "yyyy-mm-dd"),'Ingest Template'!M824&amp; "|DAR|DAR|2021-01-01")),(IF(OR('Ingest Template'!F824 = "Program Type - Special", 'Ingest Template'!F824 = "Program Type - Live Event"),'Ingest Template'!M824&amp; "|Operations - Core Title|Operations - Core Title|"&amp;TEXT('Ingest Template'!C824-3, "yyyy-mm-dd")&amp;"|"&amp;TEXT('Ingest Template'!C824+3, "yyyy-mm-dd"),'Ingest Template'!M824&amp; "|Operations - Core Title|Operations - Core Title")))</f>
        <v>|Operations - Core Title|Operations - Core Title</v>
      </c>
      <c r="AK824" s="35"/>
      <c r="AL824" s="117" t="str">
        <f>if('Ingest Template'!A824="Standard",(IF(OR('Ingest Template'!F824 = "Program Type - Special", 'Ingest Template'!F824 = "Program Type - Live Event"),'Ingest Template'!Q824&amp;"|"&amp;TEXT('Ingest Template'!C824-3, "yyyy-mm-dd")&amp;"|"&amp;TEXT('Ingest Template'!C824+3, "yyyy-mm-dd"),'Ingest Template'!Q824&amp; "|2021-01-01")),(IF(OR('Ingest Template'!F824 = "Program Type - Special", 'Ingest Template'!F824 = "Program Type - Live Event"),'Ingest Template'!Q824&amp; "|"&amp;TEXT('Ingest Template'!C824-3, "yyyy-mm-dd")&amp;"|"&amp;TEXT('Ingest Template'!C824+3, "yyyy-mm-dd"),'Ingest Template'!Q824)))</f>
        <v/>
      </c>
      <c r="AM824" s="35" t="str">
        <f>'Ingest Template'!AC824</f>
        <v/>
      </c>
    </row>
    <row r="825">
      <c r="A825" s="15"/>
      <c r="B825" s="22" t="str">
        <f>'Ingest Template'!C825&amp;IF('Ingest Template'!A825 = "Standard", " - DAR","")</f>
        <v/>
      </c>
      <c r="C825" s="22" t="s">
        <v>83</v>
      </c>
      <c r="D825" s="22" t="str">
        <f t="array" ref="D825">CONCATENATE(INDEX(DropdownLists!$H$2:$H$11,MATCH(1,COUNTIF('Ingest Template'!E825,"*"&amp;DropdownLists!$I$2:$I$11&amp;"*"),0)),CHAR(10),'Ingest Template'!F825,CHAR(10),'Ingest Template'!G825,CHAR(10),VLOOKUP('Ingest Template'!D825,DropdownLists!C:D,2,FALSE))</f>
        <v>#N/A</v>
      </c>
      <c r="E825" s="22" t="str">
        <f>CONCATENATE('Ingest Template'!H825,CHAR(10),'Ingest Template'!I825,CHAR(10),'Ingest Template'!J825,CHAR(10))</f>
        <v>
</v>
      </c>
      <c r="F825" s="35" t="str">
        <f t="array" ref="F825">INDEX(DropdownLists!$O$2:$O$36,MATCH(1,COUNTIF(E825,"*"&amp;DropdownLists!$N$2:$N$36&amp;"*"),0))</f>
        <v/>
      </c>
      <c r="G825" s="35"/>
      <c r="H825" s="22" t="str">
        <f t="array" ref="H825">INDEX(DropdownLists!$E$2:$E$276,MATCH('Ingest Template'!D825,DropdownLists!$C$2:$C$276,0))</f>
        <v>#N/A</v>
      </c>
      <c r="I825" s="22"/>
      <c r="J825" s="22" t="str">
        <f t="array" ref="J825">iF('Ingest Template'!A825="Standard","Pristine Brand",INDEX(DropdownLists!$B$2:$B$246,MATCH('Ingest Template'!D825,DropdownLists!$C$2:$C$246,0)))</f>
        <v>#N/A</v>
      </c>
      <c r="K825" s="22" t="str">
        <f>iF('Ingest Template'!A825="Standard",'Ingest Template'!K825&amp;CHAR(10)&amp;'Ingest Template'!L825,"Competitive View")</f>
        <v>Competitive View</v>
      </c>
      <c r="L825" s="22" t="s">
        <v>95</v>
      </c>
      <c r="M825" s="45" t="str">
        <f>'Ingest Template'!B825</f>
        <v/>
      </c>
      <c r="N825" s="35"/>
      <c r="O825" s="35"/>
      <c r="P825" s="35"/>
      <c r="Q825" s="35"/>
      <c r="R825" s="35" t="str">
        <f>'Ingest Template'!D825</f>
        <v/>
      </c>
      <c r="S825" s="22" t="s">
        <v>101</v>
      </c>
      <c r="T825" s="35" t="str">
        <f>'Ingest Template'!V825</f>
        <v/>
      </c>
      <c r="U825" s="35" t="str">
        <f>'Ingest Template'!W825</f>
        <v/>
      </c>
      <c r="V825" s="35" t="str">
        <f>LOWER(SUBSTITUTE(SUBSTITUTE(SUBSTITUTE(SUBSTITUTE(SUBSTITUTE('Ingest Template'!X825,"https:",""),"www.",""),"/",""),"?hl=en",""),"instagram.com",""))</f>
        <v/>
      </c>
      <c r="W825" s="74" t="str">
        <f t="array" ref="W825">IF(
'Ingest Template'!Y825="",
SUBSTITUTE(
INDEX(DropdownLists!$F$2:$F$277,MATCH('Ingest Template'!D825,DropdownLists!$C$2:$C$277,0)),
CHAR(10),
"|"&amp;'Ingest Template'!C825&amp;CHAR(10)
)&amp;"|"&amp;'Ingest Template'!C825,
SUBSTITUTE(
INDEX(DropdownLists!$F$2:$F$277,MATCH('Ingest Template'!D825,DropdownLists!$C$2:$C$277,0)),
CHAR(10),
"|"&amp;'Ingest Template'!C825&amp;CHAR(10)
)&amp;"|"&amp;'Ingest Template'!C825&amp;CHAR(10)&amp;'Ingest Template'!Y825
)</f>
        <v>#N/A</v>
      </c>
      <c r="X825" s="74" t="str">
        <f>'Ingest Template'!Z825</f>
        <v/>
      </c>
      <c r="Y825" s="35" t="str">
        <f>SUBSTITUTE(SUBSTITUTE(SUBSTITUTE('Ingest Template'!AA825,"http:",""),"https:",""),"/","")</f>
        <v/>
      </c>
      <c r="Z825" s="35" t="str">
        <f t="array" ref="Z825">IF('Ingest Template'!A825="Standard",(IF(ISBLANK('Ingest Template'!AB825),"", 'Ingest Template'!AB825&amp;"|DAR")),(IF(ISBLANK('Ingest Template'!AB825),"", 'Ingest Template'!AB825&amp;"|TV Ops")))</f>
        <v/>
      </c>
      <c r="AA825" s="35"/>
      <c r="AB825" s="35" t="str">
        <f>'Ingest Template'!R825</f>
        <v/>
      </c>
      <c r="AC825" s="35" t="str">
        <f>'Ingest Template'!T825</f>
        <v/>
      </c>
      <c r="AD825" s="35" t="str">
        <f>'Ingest Template'!S825</f>
        <v/>
      </c>
      <c r="AE825" s="35" t="str">
        <f>'Ingest Template'!U825</f>
        <v/>
      </c>
      <c r="AF825" s="22"/>
      <c r="AG825" s="35" t="str">
        <f t="array" ref="AG825">IF('Ingest Template'!A825="Standard",(CONCATENATE(IF(ISBLANK('Ingest Template'!N825),"", 'Ingest Template'!N825&amp;"|DAR"),CHAR(10), IF(ISBLANK('Ingest Template'!O825),"", 'Ingest Template'!O825&amp;"|DAR"),CHAR(10), IF(ISBLANK('Ingest Template'!P825),"", 'Ingest Template'!P825&amp;"|DAR"))),(CONCATENATE(IF(ISBLANK('Ingest Template'!N825),"", 'Ingest Template'!N825&amp;"|TV Ops"),CHAR(10), IF(ISBLANK('Ingest Template'!O825),"", 'Ingest Template'!O825&amp;"|TV Ops"),CHAR(10), IF(ISBLANK('Ingest Template'!P825),"", 'Ingest Template'!P825&amp;"|TV Ops"))))</f>
        <v>
</v>
      </c>
      <c r="AH825" s="35"/>
      <c r="AI825" s="35"/>
      <c r="AJ825" s="117" t="str">
        <f>if('Ingest Template'!A825="Standard",(IF(OR('Ingest Template'!F825 = "Program Type - Special", 'Ingest Template'!F825 = "Program Type - Live Event"),'Ingest Template'!M825&amp; "|DAR|DAR|"&amp;TEXT('Ingest Template'!C825-3, "yyyy-mm-dd")&amp;"|"&amp;TEXT('Ingest Template'!C825+3, "yyyy-mm-dd"),'Ingest Template'!M825&amp; "|DAR|DAR|2021-01-01")),(IF(OR('Ingest Template'!F825 = "Program Type - Special", 'Ingest Template'!F825 = "Program Type - Live Event"),'Ingest Template'!M825&amp; "|Operations - Core Title|Operations - Core Title|"&amp;TEXT('Ingest Template'!C825-3, "yyyy-mm-dd")&amp;"|"&amp;TEXT('Ingest Template'!C825+3, "yyyy-mm-dd"),'Ingest Template'!M825&amp; "|Operations - Core Title|Operations - Core Title")))</f>
        <v>|Operations - Core Title|Operations - Core Title</v>
      </c>
      <c r="AK825" s="35"/>
      <c r="AL825" s="117" t="str">
        <f>if('Ingest Template'!A825="Standard",(IF(OR('Ingest Template'!F825 = "Program Type - Special", 'Ingest Template'!F825 = "Program Type - Live Event"),'Ingest Template'!Q825&amp;"|"&amp;TEXT('Ingest Template'!C825-3, "yyyy-mm-dd")&amp;"|"&amp;TEXT('Ingest Template'!C825+3, "yyyy-mm-dd"),'Ingest Template'!Q825&amp; "|2021-01-01")),(IF(OR('Ingest Template'!F825 = "Program Type - Special", 'Ingest Template'!F825 = "Program Type - Live Event"),'Ingest Template'!Q825&amp; "|"&amp;TEXT('Ingest Template'!C825-3, "yyyy-mm-dd")&amp;"|"&amp;TEXT('Ingest Template'!C825+3, "yyyy-mm-dd"),'Ingest Template'!Q825)))</f>
        <v/>
      </c>
      <c r="AM825" s="35" t="str">
        <f>'Ingest Template'!AC825</f>
        <v/>
      </c>
    </row>
    <row r="826">
      <c r="A826" s="15"/>
      <c r="B826" s="22" t="str">
        <f>'Ingest Template'!C826&amp;IF('Ingest Template'!A826 = "Standard", " - DAR","")</f>
        <v/>
      </c>
      <c r="C826" s="22" t="s">
        <v>83</v>
      </c>
      <c r="D826" s="22" t="str">
        <f t="array" ref="D826">CONCATENATE(INDEX(DropdownLists!$H$2:$H$11,MATCH(1,COUNTIF('Ingest Template'!E826,"*"&amp;DropdownLists!$I$2:$I$11&amp;"*"),0)),CHAR(10),'Ingest Template'!F826,CHAR(10),'Ingest Template'!G826,CHAR(10),VLOOKUP('Ingest Template'!D826,DropdownLists!C:D,2,FALSE))</f>
        <v>#N/A</v>
      </c>
      <c r="E826" s="22" t="str">
        <f>CONCATENATE('Ingest Template'!H826,CHAR(10),'Ingest Template'!I826,CHAR(10),'Ingest Template'!J826,CHAR(10))</f>
        <v>
</v>
      </c>
      <c r="F826" s="35" t="str">
        <f t="array" ref="F826">INDEX(DropdownLists!$O$2:$O$36,MATCH(1,COUNTIF(E826,"*"&amp;DropdownLists!$N$2:$N$36&amp;"*"),0))</f>
        <v/>
      </c>
      <c r="G826" s="35"/>
      <c r="H826" s="22" t="str">
        <f t="array" ref="H826">INDEX(DropdownLists!$E$2:$E$276,MATCH('Ingest Template'!D826,DropdownLists!$C$2:$C$276,0))</f>
        <v>#N/A</v>
      </c>
      <c r="I826" s="22"/>
      <c r="J826" s="22" t="str">
        <f t="array" ref="J826">iF('Ingest Template'!A826="Standard","Pristine Brand",INDEX(DropdownLists!$B$2:$B$246,MATCH('Ingest Template'!D826,DropdownLists!$C$2:$C$246,0)))</f>
        <v>#N/A</v>
      </c>
      <c r="K826" s="22" t="str">
        <f>iF('Ingest Template'!A826="Standard",'Ingest Template'!K826&amp;CHAR(10)&amp;'Ingest Template'!L826,"Competitive View")</f>
        <v>Competitive View</v>
      </c>
      <c r="L826" s="22" t="s">
        <v>95</v>
      </c>
      <c r="M826" s="45" t="str">
        <f>'Ingest Template'!B826</f>
        <v/>
      </c>
      <c r="N826" s="35"/>
      <c r="O826" s="35"/>
      <c r="P826" s="35"/>
      <c r="Q826" s="35"/>
      <c r="R826" s="35" t="str">
        <f>'Ingest Template'!D826</f>
        <v/>
      </c>
      <c r="S826" s="22" t="s">
        <v>101</v>
      </c>
      <c r="T826" s="35" t="str">
        <f>'Ingest Template'!V826</f>
        <v/>
      </c>
      <c r="U826" s="35" t="str">
        <f>'Ingest Template'!W826</f>
        <v/>
      </c>
      <c r="V826" s="35" t="str">
        <f>LOWER(SUBSTITUTE(SUBSTITUTE(SUBSTITUTE(SUBSTITUTE(SUBSTITUTE('Ingest Template'!X826,"https:",""),"www.",""),"/",""),"?hl=en",""),"instagram.com",""))</f>
        <v/>
      </c>
      <c r="W826" s="74" t="str">
        <f t="array" ref="W826">IF(
'Ingest Template'!Y826="",
SUBSTITUTE(
INDEX(DropdownLists!$F$2:$F$277,MATCH('Ingest Template'!D826,DropdownLists!$C$2:$C$277,0)),
CHAR(10),
"|"&amp;'Ingest Template'!C826&amp;CHAR(10)
)&amp;"|"&amp;'Ingest Template'!C826,
SUBSTITUTE(
INDEX(DropdownLists!$F$2:$F$277,MATCH('Ingest Template'!D826,DropdownLists!$C$2:$C$277,0)),
CHAR(10),
"|"&amp;'Ingest Template'!C826&amp;CHAR(10)
)&amp;"|"&amp;'Ingest Template'!C826&amp;CHAR(10)&amp;'Ingest Template'!Y826
)</f>
        <v>#N/A</v>
      </c>
      <c r="X826" s="74" t="str">
        <f>'Ingest Template'!Z826</f>
        <v/>
      </c>
      <c r="Y826" s="35" t="str">
        <f>SUBSTITUTE(SUBSTITUTE(SUBSTITUTE('Ingest Template'!AA826,"http:",""),"https:",""),"/","")</f>
        <v/>
      </c>
      <c r="Z826" s="35" t="str">
        <f t="array" ref="Z826">IF('Ingest Template'!A826="Standard",(IF(ISBLANK('Ingest Template'!AB826),"", 'Ingest Template'!AB826&amp;"|DAR")),(IF(ISBLANK('Ingest Template'!AB826),"", 'Ingest Template'!AB826&amp;"|TV Ops")))</f>
        <v/>
      </c>
      <c r="AA826" s="35"/>
      <c r="AB826" s="35" t="str">
        <f>'Ingest Template'!R826</f>
        <v/>
      </c>
      <c r="AC826" s="35" t="str">
        <f>'Ingest Template'!T826</f>
        <v/>
      </c>
      <c r="AD826" s="35" t="str">
        <f>'Ingest Template'!S826</f>
        <v/>
      </c>
      <c r="AE826" s="35" t="str">
        <f>'Ingest Template'!U826</f>
        <v/>
      </c>
      <c r="AF826" s="22"/>
      <c r="AG826" s="35" t="str">
        <f t="array" ref="AG826">IF('Ingest Template'!A826="Standard",(CONCATENATE(IF(ISBLANK('Ingest Template'!N826),"", 'Ingest Template'!N826&amp;"|DAR"),CHAR(10), IF(ISBLANK('Ingest Template'!O826),"", 'Ingest Template'!O826&amp;"|DAR"),CHAR(10), IF(ISBLANK('Ingest Template'!P826),"", 'Ingest Template'!P826&amp;"|DAR"))),(CONCATENATE(IF(ISBLANK('Ingest Template'!N826),"", 'Ingest Template'!N826&amp;"|TV Ops"),CHAR(10), IF(ISBLANK('Ingest Template'!O826),"", 'Ingest Template'!O826&amp;"|TV Ops"),CHAR(10), IF(ISBLANK('Ingest Template'!P826),"", 'Ingest Template'!P826&amp;"|TV Ops"))))</f>
        <v>
</v>
      </c>
      <c r="AH826" s="35"/>
      <c r="AI826" s="35"/>
      <c r="AJ826" s="117" t="str">
        <f>if('Ingest Template'!A826="Standard",(IF(OR('Ingest Template'!F826 = "Program Type - Special", 'Ingest Template'!F826 = "Program Type - Live Event"),'Ingest Template'!M826&amp; "|DAR|DAR|"&amp;TEXT('Ingest Template'!C826-3, "yyyy-mm-dd")&amp;"|"&amp;TEXT('Ingest Template'!C826+3, "yyyy-mm-dd"),'Ingest Template'!M826&amp; "|DAR|DAR|2021-01-01")),(IF(OR('Ingest Template'!F826 = "Program Type - Special", 'Ingest Template'!F826 = "Program Type - Live Event"),'Ingest Template'!M826&amp; "|Operations - Core Title|Operations - Core Title|"&amp;TEXT('Ingest Template'!C826-3, "yyyy-mm-dd")&amp;"|"&amp;TEXT('Ingest Template'!C826+3, "yyyy-mm-dd"),'Ingest Template'!M826&amp; "|Operations - Core Title|Operations - Core Title")))</f>
        <v>|Operations - Core Title|Operations - Core Title</v>
      </c>
      <c r="AK826" s="35"/>
      <c r="AL826" s="117" t="str">
        <f>if('Ingest Template'!A826="Standard",(IF(OR('Ingest Template'!F826 = "Program Type - Special", 'Ingest Template'!F826 = "Program Type - Live Event"),'Ingest Template'!Q826&amp;"|"&amp;TEXT('Ingest Template'!C826-3, "yyyy-mm-dd")&amp;"|"&amp;TEXT('Ingest Template'!C826+3, "yyyy-mm-dd"),'Ingest Template'!Q826&amp; "|2021-01-01")),(IF(OR('Ingest Template'!F826 = "Program Type - Special", 'Ingest Template'!F826 = "Program Type - Live Event"),'Ingest Template'!Q826&amp; "|"&amp;TEXT('Ingest Template'!C826-3, "yyyy-mm-dd")&amp;"|"&amp;TEXT('Ingest Template'!C826+3, "yyyy-mm-dd"),'Ingest Template'!Q826)))</f>
        <v/>
      </c>
      <c r="AM826" s="35" t="str">
        <f>'Ingest Template'!AC826</f>
        <v/>
      </c>
    </row>
    <row r="827">
      <c r="A827" s="15"/>
      <c r="B827" s="22" t="str">
        <f>'Ingest Template'!C827&amp;IF('Ingest Template'!A827 = "Standard", " - DAR","")</f>
        <v/>
      </c>
      <c r="C827" s="22" t="s">
        <v>83</v>
      </c>
      <c r="D827" s="22" t="str">
        <f t="array" ref="D827">CONCATENATE(INDEX(DropdownLists!$H$2:$H$11,MATCH(1,COUNTIF('Ingest Template'!E827,"*"&amp;DropdownLists!$I$2:$I$11&amp;"*"),0)),CHAR(10),'Ingest Template'!F827,CHAR(10),'Ingest Template'!G827,CHAR(10),VLOOKUP('Ingest Template'!D827,DropdownLists!C:D,2,FALSE))</f>
        <v>#N/A</v>
      </c>
      <c r="E827" s="22" t="str">
        <f>CONCATENATE('Ingest Template'!H827,CHAR(10),'Ingest Template'!I827,CHAR(10),'Ingest Template'!J827,CHAR(10))</f>
        <v>
</v>
      </c>
      <c r="F827" s="35" t="str">
        <f t="array" ref="F827">INDEX(DropdownLists!$O$2:$O$36,MATCH(1,COUNTIF(E827,"*"&amp;DropdownLists!$N$2:$N$36&amp;"*"),0))</f>
        <v/>
      </c>
      <c r="G827" s="35"/>
      <c r="H827" s="22" t="str">
        <f t="array" ref="H827">INDEX(DropdownLists!$E$2:$E$276,MATCH('Ingest Template'!D827,DropdownLists!$C$2:$C$276,0))</f>
        <v>#N/A</v>
      </c>
      <c r="I827" s="22"/>
      <c r="J827" s="22" t="str">
        <f t="array" ref="J827">iF('Ingest Template'!A827="Standard","Pristine Brand",INDEX(DropdownLists!$B$2:$B$246,MATCH('Ingest Template'!D827,DropdownLists!$C$2:$C$246,0)))</f>
        <v>#N/A</v>
      </c>
      <c r="K827" s="22" t="str">
        <f>iF('Ingest Template'!A827="Standard",'Ingest Template'!K827&amp;CHAR(10)&amp;'Ingest Template'!L827,"Competitive View")</f>
        <v>Competitive View</v>
      </c>
      <c r="L827" s="22" t="s">
        <v>95</v>
      </c>
      <c r="M827" s="45" t="str">
        <f>'Ingest Template'!B827</f>
        <v/>
      </c>
      <c r="N827" s="35"/>
      <c r="O827" s="35"/>
      <c r="P827" s="35"/>
      <c r="Q827" s="35"/>
      <c r="R827" s="35" t="str">
        <f>'Ingest Template'!D827</f>
        <v/>
      </c>
      <c r="S827" s="22" t="s">
        <v>101</v>
      </c>
      <c r="T827" s="35" t="str">
        <f>'Ingest Template'!V827</f>
        <v/>
      </c>
      <c r="U827" s="35" t="str">
        <f>'Ingest Template'!W827</f>
        <v/>
      </c>
      <c r="V827" s="35" t="str">
        <f>LOWER(SUBSTITUTE(SUBSTITUTE(SUBSTITUTE(SUBSTITUTE(SUBSTITUTE('Ingest Template'!X827,"https:",""),"www.",""),"/",""),"?hl=en",""),"instagram.com",""))</f>
        <v/>
      </c>
      <c r="W827" s="74" t="str">
        <f t="array" ref="W827">IF(
'Ingest Template'!Y827="",
SUBSTITUTE(
INDEX(DropdownLists!$F$2:$F$277,MATCH('Ingest Template'!D827,DropdownLists!$C$2:$C$277,0)),
CHAR(10),
"|"&amp;'Ingest Template'!C827&amp;CHAR(10)
)&amp;"|"&amp;'Ingest Template'!C827,
SUBSTITUTE(
INDEX(DropdownLists!$F$2:$F$277,MATCH('Ingest Template'!D827,DropdownLists!$C$2:$C$277,0)),
CHAR(10),
"|"&amp;'Ingest Template'!C827&amp;CHAR(10)
)&amp;"|"&amp;'Ingest Template'!C827&amp;CHAR(10)&amp;'Ingest Template'!Y827
)</f>
        <v>#N/A</v>
      </c>
      <c r="X827" s="74" t="str">
        <f>'Ingest Template'!Z827</f>
        <v/>
      </c>
      <c r="Y827" s="35" t="str">
        <f>SUBSTITUTE(SUBSTITUTE(SUBSTITUTE('Ingest Template'!AA827,"http:",""),"https:",""),"/","")</f>
        <v/>
      </c>
      <c r="Z827" s="35" t="str">
        <f t="array" ref="Z827">IF('Ingest Template'!A827="Standard",(IF(ISBLANK('Ingest Template'!AB827),"", 'Ingest Template'!AB827&amp;"|DAR")),(IF(ISBLANK('Ingest Template'!AB827),"", 'Ingest Template'!AB827&amp;"|TV Ops")))</f>
        <v/>
      </c>
      <c r="AA827" s="35"/>
      <c r="AB827" s="35" t="str">
        <f>'Ingest Template'!R827</f>
        <v/>
      </c>
      <c r="AC827" s="35" t="str">
        <f>'Ingest Template'!T827</f>
        <v/>
      </c>
      <c r="AD827" s="35" t="str">
        <f>'Ingest Template'!S827</f>
        <v/>
      </c>
      <c r="AE827" s="35" t="str">
        <f>'Ingest Template'!U827</f>
        <v/>
      </c>
      <c r="AF827" s="22"/>
      <c r="AG827" s="35" t="str">
        <f t="array" ref="AG827">IF('Ingest Template'!A827="Standard",(CONCATENATE(IF(ISBLANK('Ingest Template'!N827),"", 'Ingest Template'!N827&amp;"|DAR"),CHAR(10), IF(ISBLANK('Ingest Template'!O827),"", 'Ingest Template'!O827&amp;"|DAR"),CHAR(10), IF(ISBLANK('Ingest Template'!P827),"", 'Ingest Template'!P827&amp;"|DAR"))),(CONCATENATE(IF(ISBLANK('Ingest Template'!N827),"", 'Ingest Template'!N827&amp;"|TV Ops"),CHAR(10), IF(ISBLANK('Ingest Template'!O827),"", 'Ingest Template'!O827&amp;"|TV Ops"),CHAR(10), IF(ISBLANK('Ingest Template'!P827),"", 'Ingest Template'!P827&amp;"|TV Ops"))))</f>
        <v>
</v>
      </c>
      <c r="AH827" s="35"/>
      <c r="AI827" s="35"/>
      <c r="AJ827" s="117" t="str">
        <f>if('Ingest Template'!A827="Standard",(IF(OR('Ingest Template'!F827 = "Program Type - Special", 'Ingest Template'!F827 = "Program Type - Live Event"),'Ingest Template'!M827&amp; "|DAR|DAR|"&amp;TEXT('Ingest Template'!C827-3, "yyyy-mm-dd")&amp;"|"&amp;TEXT('Ingest Template'!C827+3, "yyyy-mm-dd"),'Ingest Template'!M827&amp; "|DAR|DAR|2021-01-01")),(IF(OR('Ingest Template'!F827 = "Program Type - Special", 'Ingest Template'!F827 = "Program Type - Live Event"),'Ingest Template'!M827&amp; "|Operations - Core Title|Operations - Core Title|"&amp;TEXT('Ingest Template'!C827-3, "yyyy-mm-dd")&amp;"|"&amp;TEXT('Ingest Template'!C827+3, "yyyy-mm-dd"),'Ingest Template'!M827&amp; "|Operations - Core Title|Operations - Core Title")))</f>
        <v>|Operations - Core Title|Operations - Core Title</v>
      </c>
      <c r="AK827" s="35"/>
      <c r="AL827" s="117" t="str">
        <f>if('Ingest Template'!A827="Standard",(IF(OR('Ingest Template'!F827 = "Program Type - Special", 'Ingest Template'!F827 = "Program Type - Live Event"),'Ingest Template'!Q827&amp;"|"&amp;TEXT('Ingest Template'!C827-3, "yyyy-mm-dd")&amp;"|"&amp;TEXT('Ingest Template'!C827+3, "yyyy-mm-dd"),'Ingest Template'!Q827&amp; "|2021-01-01")),(IF(OR('Ingest Template'!F827 = "Program Type - Special", 'Ingest Template'!F827 = "Program Type - Live Event"),'Ingest Template'!Q827&amp; "|"&amp;TEXT('Ingest Template'!C827-3, "yyyy-mm-dd")&amp;"|"&amp;TEXT('Ingest Template'!C827+3, "yyyy-mm-dd"),'Ingest Template'!Q827)))</f>
        <v/>
      </c>
      <c r="AM827" s="35" t="str">
        <f>'Ingest Template'!AC827</f>
        <v/>
      </c>
    </row>
    <row r="828">
      <c r="A828" s="15"/>
      <c r="B828" s="22" t="str">
        <f>'Ingest Template'!C828&amp;IF('Ingest Template'!A828 = "Standard", " - DAR","")</f>
        <v/>
      </c>
      <c r="C828" s="22" t="s">
        <v>83</v>
      </c>
      <c r="D828" s="22" t="str">
        <f t="array" ref="D828">CONCATENATE(INDEX(DropdownLists!$H$2:$H$11,MATCH(1,COUNTIF('Ingest Template'!E828,"*"&amp;DropdownLists!$I$2:$I$11&amp;"*"),0)),CHAR(10),'Ingest Template'!F828,CHAR(10),'Ingest Template'!G828,CHAR(10),VLOOKUP('Ingest Template'!D828,DropdownLists!C:D,2,FALSE))</f>
        <v>#N/A</v>
      </c>
      <c r="E828" s="22" t="str">
        <f>CONCATENATE('Ingest Template'!H828,CHAR(10),'Ingest Template'!I828,CHAR(10),'Ingest Template'!J828,CHAR(10))</f>
        <v>
</v>
      </c>
      <c r="F828" s="35" t="str">
        <f t="array" ref="F828">INDEX(DropdownLists!$O$2:$O$36,MATCH(1,COUNTIF(E828,"*"&amp;DropdownLists!$N$2:$N$36&amp;"*"),0))</f>
        <v/>
      </c>
      <c r="G828" s="35"/>
      <c r="H828" s="22" t="str">
        <f t="array" ref="H828">INDEX(DropdownLists!$E$2:$E$276,MATCH('Ingest Template'!D828,DropdownLists!$C$2:$C$276,0))</f>
        <v>#N/A</v>
      </c>
      <c r="I828" s="22"/>
      <c r="J828" s="22" t="str">
        <f t="array" ref="J828">iF('Ingest Template'!A828="Standard","Pristine Brand",INDEX(DropdownLists!$B$2:$B$246,MATCH('Ingest Template'!D828,DropdownLists!$C$2:$C$246,0)))</f>
        <v>#N/A</v>
      </c>
      <c r="K828" s="22" t="str">
        <f>iF('Ingest Template'!A828="Standard",'Ingest Template'!K828&amp;CHAR(10)&amp;'Ingest Template'!L828,"Competitive View")</f>
        <v>Competitive View</v>
      </c>
      <c r="L828" s="22" t="s">
        <v>95</v>
      </c>
      <c r="M828" s="45" t="str">
        <f>'Ingest Template'!B828</f>
        <v/>
      </c>
      <c r="N828" s="35"/>
      <c r="O828" s="35"/>
      <c r="P828" s="35"/>
      <c r="Q828" s="35"/>
      <c r="R828" s="35" t="str">
        <f>'Ingest Template'!D828</f>
        <v/>
      </c>
      <c r="S828" s="22" t="s">
        <v>101</v>
      </c>
      <c r="T828" s="35" t="str">
        <f>'Ingest Template'!V828</f>
        <v/>
      </c>
      <c r="U828" s="35" t="str">
        <f>'Ingest Template'!W828</f>
        <v/>
      </c>
      <c r="V828" s="35" t="str">
        <f>LOWER(SUBSTITUTE(SUBSTITUTE(SUBSTITUTE(SUBSTITUTE(SUBSTITUTE('Ingest Template'!X828,"https:",""),"www.",""),"/",""),"?hl=en",""),"instagram.com",""))</f>
        <v/>
      </c>
      <c r="W828" s="74" t="str">
        <f t="array" ref="W828">IF(
'Ingest Template'!Y828="",
SUBSTITUTE(
INDEX(DropdownLists!$F$2:$F$277,MATCH('Ingest Template'!D828,DropdownLists!$C$2:$C$277,0)),
CHAR(10),
"|"&amp;'Ingest Template'!C828&amp;CHAR(10)
)&amp;"|"&amp;'Ingest Template'!C828,
SUBSTITUTE(
INDEX(DropdownLists!$F$2:$F$277,MATCH('Ingest Template'!D828,DropdownLists!$C$2:$C$277,0)),
CHAR(10),
"|"&amp;'Ingest Template'!C828&amp;CHAR(10)
)&amp;"|"&amp;'Ingest Template'!C828&amp;CHAR(10)&amp;'Ingest Template'!Y828
)</f>
        <v>#N/A</v>
      </c>
      <c r="X828" s="74" t="str">
        <f>'Ingest Template'!Z828</f>
        <v/>
      </c>
      <c r="Y828" s="35" t="str">
        <f>SUBSTITUTE(SUBSTITUTE(SUBSTITUTE('Ingest Template'!AA828,"http:",""),"https:",""),"/","")</f>
        <v/>
      </c>
      <c r="Z828" s="35" t="str">
        <f t="array" ref="Z828">IF('Ingest Template'!A828="Standard",(IF(ISBLANK('Ingest Template'!AB828),"", 'Ingest Template'!AB828&amp;"|DAR")),(IF(ISBLANK('Ingest Template'!AB828),"", 'Ingest Template'!AB828&amp;"|TV Ops")))</f>
        <v/>
      </c>
      <c r="AA828" s="35"/>
      <c r="AB828" s="35" t="str">
        <f>'Ingest Template'!R828</f>
        <v/>
      </c>
      <c r="AC828" s="35" t="str">
        <f>'Ingest Template'!T828</f>
        <v/>
      </c>
      <c r="AD828" s="35" t="str">
        <f>'Ingest Template'!S828</f>
        <v/>
      </c>
      <c r="AE828" s="35" t="str">
        <f>'Ingest Template'!U828</f>
        <v/>
      </c>
      <c r="AF828" s="22"/>
      <c r="AG828" s="35" t="str">
        <f t="array" ref="AG828">IF('Ingest Template'!A828="Standard",(CONCATENATE(IF(ISBLANK('Ingest Template'!N828),"", 'Ingest Template'!N828&amp;"|DAR"),CHAR(10), IF(ISBLANK('Ingest Template'!O828),"", 'Ingest Template'!O828&amp;"|DAR"),CHAR(10), IF(ISBLANK('Ingest Template'!P828),"", 'Ingest Template'!P828&amp;"|DAR"))),(CONCATENATE(IF(ISBLANK('Ingest Template'!N828),"", 'Ingest Template'!N828&amp;"|TV Ops"),CHAR(10), IF(ISBLANK('Ingest Template'!O828),"", 'Ingest Template'!O828&amp;"|TV Ops"),CHAR(10), IF(ISBLANK('Ingest Template'!P828),"", 'Ingest Template'!P828&amp;"|TV Ops"))))</f>
        <v>
</v>
      </c>
      <c r="AH828" s="35"/>
      <c r="AI828" s="35"/>
      <c r="AJ828" s="117" t="str">
        <f>if('Ingest Template'!A828="Standard",(IF(OR('Ingest Template'!F828 = "Program Type - Special", 'Ingest Template'!F828 = "Program Type - Live Event"),'Ingest Template'!M828&amp; "|DAR|DAR|"&amp;TEXT('Ingest Template'!C828-3, "yyyy-mm-dd")&amp;"|"&amp;TEXT('Ingest Template'!C828+3, "yyyy-mm-dd"),'Ingest Template'!M828&amp; "|DAR|DAR|2021-01-01")),(IF(OR('Ingest Template'!F828 = "Program Type - Special", 'Ingest Template'!F828 = "Program Type - Live Event"),'Ingest Template'!M828&amp; "|Operations - Core Title|Operations - Core Title|"&amp;TEXT('Ingest Template'!C828-3, "yyyy-mm-dd")&amp;"|"&amp;TEXT('Ingest Template'!C828+3, "yyyy-mm-dd"),'Ingest Template'!M828&amp; "|Operations - Core Title|Operations - Core Title")))</f>
        <v>|Operations - Core Title|Operations - Core Title</v>
      </c>
      <c r="AK828" s="35"/>
      <c r="AL828" s="117" t="str">
        <f>if('Ingest Template'!A828="Standard",(IF(OR('Ingest Template'!F828 = "Program Type - Special", 'Ingest Template'!F828 = "Program Type - Live Event"),'Ingest Template'!Q828&amp;"|"&amp;TEXT('Ingest Template'!C828-3, "yyyy-mm-dd")&amp;"|"&amp;TEXT('Ingest Template'!C828+3, "yyyy-mm-dd"),'Ingest Template'!Q828&amp; "|2021-01-01")),(IF(OR('Ingest Template'!F828 = "Program Type - Special", 'Ingest Template'!F828 = "Program Type - Live Event"),'Ingest Template'!Q828&amp; "|"&amp;TEXT('Ingest Template'!C828-3, "yyyy-mm-dd")&amp;"|"&amp;TEXT('Ingest Template'!C828+3, "yyyy-mm-dd"),'Ingest Template'!Q828)))</f>
        <v/>
      </c>
      <c r="AM828" s="35" t="str">
        <f>'Ingest Template'!AC828</f>
        <v/>
      </c>
    </row>
    <row r="829">
      <c r="A829" s="15"/>
      <c r="B829" s="22" t="str">
        <f>'Ingest Template'!C829&amp;IF('Ingest Template'!A829 = "Standard", " - DAR","")</f>
        <v/>
      </c>
      <c r="C829" s="22" t="s">
        <v>83</v>
      </c>
      <c r="D829" s="22" t="str">
        <f t="array" ref="D829">CONCATENATE(INDEX(DropdownLists!$H$2:$H$11,MATCH(1,COUNTIF('Ingest Template'!E829,"*"&amp;DropdownLists!$I$2:$I$11&amp;"*"),0)),CHAR(10),'Ingest Template'!F829,CHAR(10),'Ingest Template'!G829,CHAR(10),VLOOKUP('Ingest Template'!D829,DropdownLists!C:D,2,FALSE))</f>
        <v>#N/A</v>
      </c>
      <c r="E829" s="22" t="str">
        <f>CONCATENATE('Ingest Template'!H829,CHAR(10),'Ingest Template'!I829,CHAR(10),'Ingest Template'!J829,CHAR(10))</f>
        <v>
</v>
      </c>
      <c r="F829" s="35" t="str">
        <f t="array" ref="F829">INDEX(DropdownLists!$O$2:$O$36,MATCH(1,COUNTIF(E829,"*"&amp;DropdownLists!$N$2:$N$36&amp;"*"),0))</f>
        <v/>
      </c>
      <c r="G829" s="35"/>
      <c r="H829" s="22" t="str">
        <f t="array" ref="H829">INDEX(DropdownLists!$E$2:$E$276,MATCH('Ingest Template'!D829,DropdownLists!$C$2:$C$276,0))</f>
        <v>#N/A</v>
      </c>
      <c r="I829" s="22"/>
      <c r="J829" s="22" t="str">
        <f t="array" ref="J829">iF('Ingest Template'!A829="Standard","Pristine Brand",INDEX(DropdownLists!$B$2:$B$246,MATCH('Ingest Template'!D829,DropdownLists!$C$2:$C$246,0)))</f>
        <v>#N/A</v>
      </c>
      <c r="K829" s="22" t="str">
        <f>iF('Ingest Template'!A829="Standard",'Ingest Template'!K829&amp;CHAR(10)&amp;'Ingest Template'!L829,"Competitive View")</f>
        <v>Competitive View</v>
      </c>
      <c r="L829" s="22" t="s">
        <v>95</v>
      </c>
      <c r="M829" s="45" t="str">
        <f>'Ingest Template'!B829</f>
        <v/>
      </c>
      <c r="N829" s="35"/>
      <c r="O829" s="35"/>
      <c r="P829" s="35"/>
      <c r="Q829" s="35"/>
      <c r="R829" s="35" t="str">
        <f>'Ingest Template'!D829</f>
        <v/>
      </c>
      <c r="S829" s="22" t="s">
        <v>101</v>
      </c>
      <c r="T829" s="35" t="str">
        <f>'Ingest Template'!V829</f>
        <v/>
      </c>
      <c r="U829" s="35" t="str">
        <f>'Ingest Template'!W829</f>
        <v/>
      </c>
      <c r="V829" s="35" t="str">
        <f>LOWER(SUBSTITUTE(SUBSTITUTE(SUBSTITUTE(SUBSTITUTE(SUBSTITUTE('Ingest Template'!X829,"https:",""),"www.",""),"/",""),"?hl=en",""),"instagram.com",""))</f>
        <v/>
      </c>
      <c r="W829" s="74" t="str">
        <f t="array" ref="W829">IF(
'Ingest Template'!Y829="",
SUBSTITUTE(
INDEX(DropdownLists!$F$2:$F$277,MATCH('Ingest Template'!D829,DropdownLists!$C$2:$C$277,0)),
CHAR(10),
"|"&amp;'Ingest Template'!C829&amp;CHAR(10)
)&amp;"|"&amp;'Ingest Template'!C829,
SUBSTITUTE(
INDEX(DropdownLists!$F$2:$F$277,MATCH('Ingest Template'!D829,DropdownLists!$C$2:$C$277,0)),
CHAR(10),
"|"&amp;'Ingest Template'!C829&amp;CHAR(10)
)&amp;"|"&amp;'Ingest Template'!C829&amp;CHAR(10)&amp;'Ingest Template'!Y829
)</f>
        <v>#N/A</v>
      </c>
      <c r="X829" s="74" t="str">
        <f>'Ingest Template'!Z829</f>
        <v/>
      </c>
      <c r="Y829" s="35" t="str">
        <f>SUBSTITUTE(SUBSTITUTE(SUBSTITUTE('Ingest Template'!AA829,"http:",""),"https:",""),"/","")</f>
        <v/>
      </c>
      <c r="Z829" s="35" t="str">
        <f t="array" ref="Z829">IF('Ingest Template'!A829="Standard",(IF(ISBLANK('Ingest Template'!AB829),"", 'Ingest Template'!AB829&amp;"|DAR")),(IF(ISBLANK('Ingest Template'!AB829),"", 'Ingest Template'!AB829&amp;"|TV Ops")))</f>
        <v/>
      </c>
      <c r="AA829" s="35"/>
      <c r="AB829" s="35" t="str">
        <f>'Ingest Template'!R829</f>
        <v/>
      </c>
      <c r="AC829" s="35" t="str">
        <f>'Ingest Template'!T829</f>
        <v/>
      </c>
      <c r="AD829" s="35" t="str">
        <f>'Ingest Template'!S829</f>
        <v/>
      </c>
      <c r="AE829" s="35" t="str">
        <f>'Ingest Template'!U829</f>
        <v/>
      </c>
      <c r="AF829" s="22"/>
      <c r="AG829" s="35" t="str">
        <f t="array" ref="AG829">IF('Ingest Template'!A829="Standard",(CONCATENATE(IF(ISBLANK('Ingest Template'!N829),"", 'Ingest Template'!N829&amp;"|DAR"),CHAR(10), IF(ISBLANK('Ingest Template'!O829),"", 'Ingest Template'!O829&amp;"|DAR"),CHAR(10), IF(ISBLANK('Ingest Template'!P829),"", 'Ingest Template'!P829&amp;"|DAR"))),(CONCATENATE(IF(ISBLANK('Ingest Template'!N829),"", 'Ingest Template'!N829&amp;"|TV Ops"),CHAR(10), IF(ISBLANK('Ingest Template'!O829),"", 'Ingest Template'!O829&amp;"|TV Ops"),CHAR(10), IF(ISBLANK('Ingest Template'!P829),"", 'Ingest Template'!P829&amp;"|TV Ops"))))</f>
        <v>
</v>
      </c>
      <c r="AH829" s="35"/>
      <c r="AI829" s="35"/>
      <c r="AJ829" s="117" t="str">
        <f>if('Ingest Template'!A829="Standard",(IF(OR('Ingest Template'!F829 = "Program Type - Special", 'Ingest Template'!F829 = "Program Type - Live Event"),'Ingest Template'!M829&amp; "|DAR|DAR|"&amp;TEXT('Ingest Template'!C829-3, "yyyy-mm-dd")&amp;"|"&amp;TEXT('Ingest Template'!C829+3, "yyyy-mm-dd"),'Ingest Template'!M829&amp; "|DAR|DAR|2021-01-01")),(IF(OR('Ingest Template'!F829 = "Program Type - Special", 'Ingest Template'!F829 = "Program Type - Live Event"),'Ingest Template'!M829&amp; "|Operations - Core Title|Operations - Core Title|"&amp;TEXT('Ingest Template'!C829-3, "yyyy-mm-dd")&amp;"|"&amp;TEXT('Ingest Template'!C829+3, "yyyy-mm-dd"),'Ingest Template'!M829&amp; "|Operations - Core Title|Operations - Core Title")))</f>
        <v>|Operations - Core Title|Operations - Core Title</v>
      </c>
      <c r="AK829" s="35"/>
      <c r="AL829" s="117" t="str">
        <f>if('Ingest Template'!A829="Standard",(IF(OR('Ingest Template'!F829 = "Program Type - Special", 'Ingest Template'!F829 = "Program Type - Live Event"),'Ingest Template'!Q829&amp;"|"&amp;TEXT('Ingest Template'!C829-3, "yyyy-mm-dd")&amp;"|"&amp;TEXT('Ingest Template'!C829+3, "yyyy-mm-dd"),'Ingest Template'!Q829&amp; "|2021-01-01")),(IF(OR('Ingest Template'!F829 = "Program Type - Special", 'Ingest Template'!F829 = "Program Type - Live Event"),'Ingest Template'!Q829&amp; "|"&amp;TEXT('Ingest Template'!C829-3, "yyyy-mm-dd")&amp;"|"&amp;TEXT('Ingest Template'!C829+3, "yyyy-mm-dd"),'Ingest Template'!Q829)))</f>
        <v/>
      </c>
      <c r="AM829" s="35" t="str">
        <f>'Ingest Template'!AC829</f>
        <v/>
      </c>
    </row>
    <row r="830">
      <c r="A830" s="15"/>
      <c r="B830" s="22" t="str">
        <f>'Ingest Template'!C830&amp;IF('Ingest Template'!A830 = "Standard", " - DAR","")</f>
        <v/>
      </c>
      <c r="C830" s="22" t="s">
        <v>83</v>
      </c>
      <c r="D830" s="22" t="str">
        <f t="array" ref="D830">CONCATENATE(INDEX(DropdownLists!$H$2:$H$11,MATCH(1,COUNTIF('Ingest Template'!E830,"*"&amp;DropdownLists!$I$2:$I$11&amp;"*"),0)),CHAR(10),'Ingest Template'!F830,CHAR(10),'Ingest Template'!G830,CHAR(10),VLOOKUP('Ingest Template'!D830,DropdownLists!C:D,2,FALSE))</f>
        <v>#N/A</v>
      </c>
      <c r="E830" s="22" t="str">
        <f>CONCATENATE('Ingest Template'!H830,CHAR(10),'Ingest Template'!I830,CHAR(10),'Ingest Template'!J830,CHAR(10))</f>
        <v>
</v>
      </c>
      <c r="F830" s="35" t="str">
        <f t="array" ref="F830">INDEX(DropdownLists!$O$2:$O$36,MATCH(1,COUNTIF(E830,"*"&amp;DropdownLists!$N$2:$N$36&amp;"*"),0))</f>
        <v/>
      </c>
      <c r="G830" s="35"/>
      <c r="H830" s="22" t="str">
        <f t="array" ref="H830">INDEX(DropdownLists!$E$2:$E$276,MATCH('Ingest Template'!D830,DropdownLists!$C$2:$C$276,0))</f>
        <v>#N/A</v>
      </c>
      <c r="I830" s="22"/>
      <c r="J830" s="22" t="str">
        <f t="array" ref="J830">iF('Ingest Template'!A830="Standard","Pristine Brand",INDEX(DropdownLists!$B$2:$B$246,MATCH('Ingest Template'!D830,DropdownLists!$C$2:$C$246,0)))</f>
        <v>#N/A</v>
      </c>
      <c r="K830" s="22" t="str">
        <f>iF('Ingest Template'!A830="Standard",'Ingest Template'!K830&amp;CHAR(10)&amp;'Ingest Template'!L830,"Competitive View")</f>
        <v>Competitive View</v>
      </c>
      <c r="L830" s="22" t="s">
        <v>95</v>
      </c>
      <c r="M830" s="45" t="str">
        <f>'Ingest Template'!B830</f>
        <v/>
      </c>
      <c r="N830" s="35"/>
      <c r="O830" s="35"/>
      <c r="P830" s="35"/>
      <c r="Q830" s="35"/>
      <c r="R830" s="35" t="str">
        <f>'Ingest Template'!D830</f>
        <v/>
      </c>
      <c r="S830" s="22" t="s">
        <v>101</v>
      </c>
      <c r="T830" s="35" t="str">
        <f>'Ingest Template'!V830</f>
        <v/>
      </c>
      <c r="U830" s="35" t="str">
        <f>'Ingest Template'!W830</f>
        <v/>
      </c>
      <c r="V830" s="35" t="str">
        <f>LOWER(SUBSTITUTE(SUBSTITUTE(SUBSTITUTE(SUBSTITUTE(SUBSTITUTE('Ingest Template'!X830,"https:",""),"www.",""),"/",""),"?hl=en",""),"instagram.com",""))</f>
        <v/>
      </c>
      <c r="W830" s="74" t="str">
        <f t="array" ref="W830">IF(
'Ingest Template'!Y830="",
SUBSTITUTE(
INDEX(DropdownLists!$F$2:$F$277,MATCH('Ingest Template'!D830,DropdownLists!$C$2:$C$277,0)),
CHAR(10),
"|"&amp;'Ingest Template'!C830&amp;CHAR(10)
)&amp;"|"&amp;'Ingest Template'!C830,
SUBSTITUTE(
INDEX(DropdownLists!$F$2:$F$277,MATCH('Ingest Template'!D830,DropdownLists!$C$2:$C$277,0)),
CHAR(10),
"|"&amp;'Ingest Template'!C830&amp;CHAR(10)
)&amp;"|"&amp;'Ingest Template'!C830&amp;CHAR(10)&amp;'Ingest Template'!Y830
)</f>
        <v>#N/A</v>
      </c>
      <c r="X830" s="74" t="str">
        <f>'Ingest Template'!Z830</f>
        <v/>
      </c>
      <c r="Y830" s="35" t="str">
        <f>SUBSTITUTE(SUBSTITUTE(SUBSTITUTE('Ingest Template'!AA830,"http:",""),"https:",""),"/","")</f>
        <v/>
      </c>
      <c r="Z830" s="35" t="str">
        <f t="array" ref="Z830">IF('Ingest Template'!A830="Standard",(IF(ISBLANK('Ingest Template'!AB830),"", 'Ingest Template'!AB830&amp;"|DAR")),(IF(ISBLANK('Ingest Template'!AB830),"", 'Ingest Template'!AB830&amp;"|TV Ops")))</f>
        <v/>
      </c>
      <c r="AA830" s="35"/>
      <c r="AB830" s="35" t="str">
        <f>'Ingest Template'!R830</f>
        <v/>
      </c>
      <c r="AC830" s="35" t="str">
        <f>'Ingest Template'!T830</f>
        <v/>
      </c>
      <c r="AD830" s="35" t="str">
        <f>'Ingest Template'!S830</f>
        <v/>
      </c>
      <c r="AE830" s="35" t="str">
        <f>'Ingest Template'!U830</f>
        <v/>
      </c>
      <c r="AF830" s="22"/>
      <c r="AG830" s="35" t="str">
        <f t="array" ref="AG830">IF('Ingest Template'!A830="Standard",(CONCATENATE(IF(ISBLANK('Ingest Template'!N830),"", 'Ingest Template'!N830&amp;"|DAR"),CHAR(10), IF(ISBLANK('Ingest Template'!O830),"", 'Ingest Template'!O830&amp;"|DAR"),CHAR(10), IF(ISBLANK('Ingest Template'!P830),"", 'Ingest Template'!P830&amp;"|DAR"))),(CONCATENATE(IF(ISBLANK('Ingest Template'!N830),"", 'Ingest Template'!N830&amp;"|TV Ops"),CHAR(10), IF(ISBLANK('Ingest Template'!O830),"", 'Ingest Template'!O830&amp;"|TV Ops"),CHAR(10), IF(ISBLANK('Ingest Template'!P830),"", 'Ingest Template'!P830&amp;"|TV Ops"))))</f>
        <v>
</v>
      </c>
      <c r="AH830" s="35"/>
      <c r="AI830" s="35"/>
      <c r="AJ830" s="117" t="str">
        <f>if('Ingest Template'!A830="Standard",(IF(OR('Ingest Template'!F830 = "Program Type - Special", 'Ingest Template'!F830 = "Program Type - Live Event"),'Ingest Template'!M830&amp; "|DAR|DAR|"&amp;TEXT('Ingest Template'!C830-3, "yyyy-mm-dd")&amp;"|"&amp;TEXT('Ingest Template'!C830+3, "yyyy-mm-dd"),'Ingest Template'!M830&amp; "|DAR|DAR|2021-01-01")),(IF(OR('Ingest Template'!F830 = "Program Type - Special", 'Ingest Template'!F830 = "Program Type - Live Event"),'Ingest Template'!M830&amp; "|Operations - Core Title|Operations - Core Title|"&amp;TEXT('Ingest Template'!C830-3, "yyyy-mm-dd")&amp;"|"&amp;TEXT('Ingest Template'!C830+3, "yyyy-mm-dd"),'Ingest Template'!M830&amp; "|Operations - Core Title|Operations - Core Title")))</f>
        <v>|Operations - Core Title|Operations - Core Title</v>
      </c>
      <c r="AK830" s="35"/>
      <c r="AL830" s="117" t="str">
        <f>if('Ingest Template'!A830="Standard",(IF(OR('Ingest Template'!F830 = "Program Type - Special", 'Ingest Template'!F830 = "Program Type - Live Event"),'Ingest Template'!Q830&amp;"|"&amp;TEXT('Ingest Template'!C830-3, "yyyy-mm-dd")&amp;"|"&amp;TEXT('Ingest Template'!C830+3, "yyyy-mm-dd"),'Ingest Template'!Q830&amp; "|2021-01-01")),(IF(OR('Ingest Template'!F830 = "Program Type - Special", 'Ingest Template'!F830 = "Program Type - Live Event"),'Ingest Template'!Q830&amp; "|"&amp;TEXT('Ingest Template'!C830-3, "yyyy-mm-dd")&amp;"|"&amp;TEXT('Ingest Template'!C830+3, "yyyy-mm-dd"),'Ingest Template'!Q830)))</f>
        <v/>
      </c>
      <c r="AM830" s="35" t="str">
        <f>'Ingest Template'!AC830</f>
        <v/>
      </c>
    </row>
    <row r="831">
      <c r="A831" s="15"/>
      <c r="B831" s="22" t="str">
        <f>'Ingest Template'!C831&amp;IF('Ingest Template'!A831 = "Standard", " - DAR","")</f>
        <v/>
      </c>
      <c r="C831" s="22" t="s">
        <v>83</v>
      </c>
      <c r="D831" s="22" t="str">
        <f t="array" ref="D831">CONCATENATE(INDEX(DropdownLists!$H$2:$H$11,MATCH(1,COUNTIF('Ingest Template'!E831,"*"&amp;DropdownLists!$I$2:$I$11&amp;"*"),0)),CHAR(10),'Ingest Template'!F831,CHAR(10),'Ingest Template'!G831,CHAR(10),VLOOKUP('Ingest Template'!D831,DropdownLists!C:D,2,FALSE))</f>
        <v>#N/A</v>
      </c>
      <c r="E831" s="22" t="str">
        <f>CONCATENATE('Ingest Template'!H831,CHAR(10),'Ingest Template'!I831,CHAR(10),'Ingest Template'!J831,CHAR(10))</f>
        <v>
</v>
      </c>
      <c r="F831" s="35" t="str">
        <f t="array" ref="F831">INDEX(DropdownLists!$O$2:$O$36,MATCH(1,COUNTIF(E831,"*"&amp;DropdownLists!$N$2:$N$36&amp;"*"),0))</f>
        <v/>
      </c>
      <c r="G831" s="35"/>
      <c r="H831" s="22" t="str">
        <f t="array" ref="H831">INDEX(DropdownLists!$E$2:$E$276,MATCH('Ingest Template'!D831,DropdownLists!$C$2:$C$276,0))</f>
        <v>#N/A</v>
      </c>
      <c r="I831" s="22"/>
      <c r="J831" s="22" t="str">
        <f t="array" ref="J831">iF('Ingest Template'!A831="Standard","Pristine Brand",INDEX(DropdownLists!$B$2:$B$246,MATCH('Ingest Template'!D831,DropdownLists!$C$2:$C$246,0)))</f>
        <v>#N/A</v>
      </c>
      <c r="K831" s="22" t="str">
        <f>iF('Ingest Template'!A831="Standard",'Ingest Template'!K831&amp;CHAR(10)&amp;'Ingest Template'!L831,"Competitive View")</f>
        <v>Competitive View</v>
      </c>
      <c r="L831" s="22" t="s">
        <v>95</v>
      </c>
      <c r="M831" s="45" t="str">
        <f>'Ingest Template'!B831</f>
        <v/>
      </c>
      <c r="N831" s="35"/>
      <c r="O831" s="35"/>
      <c r="P831" s="35"/>
      <c r="Q831" s="35"/>
      <c r="R831" s="35" t="str">
        <f>'Ingest Template'!D831</f>
        <v/>
      </c>
      <c r="S831" s="22" t="s">
        <v>101</v>
      </c>
      <c r="T831" s="35" t="str">
        <f>'Ingest Template'!V831</f>
        <v/>
      </c>
      <c r="U831" s="35" t="str">
        <f>'Ingest Template'!W831</f>
        <v/>
      </c>
      <c r="V831" s="35" t="str">
        <f>LOWER(SUBSTITUTE(SUBSTITUTE(SUBSTITUTE(SUBSTITUTE(SUBSTITUTE('Ingest Template'!X831,"https:",""),"www.",""),"/",""),"?hl=en",""),"instagram.com",""))</f>
        <v/>
      </c>
      <c r="W831" s="74" t="str">
        <f t="array" ref="W831">IF(
'Ingest Template'!Y831="",
SUBSTITUTE(
INDEX(DropdownLists!$F$2:$F$277,MATCH('Ingest Template'!D831,DropdownLists!$C$2:$C$277,0)),
CHAR(10),
"|"&amp;'Ingest Template'!C831&amp;CHAR(10)
)&amp;"|"&amp;'Ingest Template'!C831,
SUBSTITUTE(
INDEX(DropdownLists!$F$2:$F$277,MATCH('Ingest Template'!D831,DropdownLists!$C$2:$C$277,0)),
CHAR(10),
"|"&amp;'Ingest Template'!C831&amp;CHAR(10)
)&amp;"|"&amp;'Ingest Template'!C831&amp;CHAR(10)&amp;'Ingest Template'!Y831
)</f>
        <v>#N/A</v>
      </c>
      <c r="X831" s="74" t="str">
        <f>'Ingest Template'!Z831</f>
        <v/>
      </c>
      <c r="Y831" s="35" t="str">
        <f>SUBSTITUTE(SUBSTITUTE(SUBSTITUTE('Ingest Template'!AA831,"http:",""),"https:",""),"/","")</f>
        <v/>
      </c>
      <c r="Z831" s="35" t="str">
        <f t="array" ref="Z831">IF('Ingest Template'!A831="Standard",(IF(ISBLANK('Ingest Template'!AB831),"", 'Ingest Template'!AB831&amp;"|DAR")),(IF(ISBLANK('Ingest Template'!AB831),"", 'Ingest Template'!AB831&amp;"|TV Ops")))</f>
        <v/>
      </c>
      <c r="AA831" s="35"/>
      <c r="AB831" s="35" t="str">
        <f>'Ingest Template'!R831</f>
        <v/>
      </c>
      <c r="AC831" s="35" t="str">
        <f>'Ingest Template'!T831</f>
        <v/>
      </c>
      <c r="AD831" s="35" t="str">
        <f>'Ingest Template'!S831</f>
        <v/>
      </c>
      <c r="AE831" s="35" t="str">
        <f>'Ingest Template'!U831</f>
        <v/>
      </c>
      <c r="AF831" s="22"/>
      <c r="AG831" s="35" t="str">
        <f t="array" ref="AG831">IF('Ingest Template'!A831="Standard",(CONCATENATE(IF(ISBLANK('Ingest Template'!N831),"", 'Ingest Template'!N831&amp;"|DAR"),CHAR(10), IF(ISBLANK('Ingest Template'!O831),"", 'Ingest Template'!O831&amp;"|DAR"),CHAR(10), IF(ISBLANK('Ingest Template'!P831),"", 'Ingest Template'!P831&amp;"|DAR"))),(CONCATENATE(IF(ISBLANK('Ingest Template'!N831),"", 'Ingest Template'!N831&amp;"|TV Ops"),CHAR(10), IF(ISBLANK('Ingest Template'!O831),"", 'Ingest Template'!O831&amp;"|TV Ops"),CHAR(10), IF(ISBLANK('Ingest Template'!P831),"", 'Ingest Template'!P831&amp;"|TV Ops"))))</f>
        <v>
</v>
      </c>
      <c r="AH831" s="35"/>
      <c r="AI831" s="35"/>
      <c r="AJ831" s="117" t="str">
        <f>if('Ingest Template'!A831="Standard",(IF(OR('Ingest Template'!F831 = "Program Type - Special", 'Ingest Template'!F831 = "Program Type - Live Event"),'Ingest Template'!M831&amp; "|DAR|DAR|"&amp;TEXT('Ingest Template'!C831-3, "yyyy-mm-dd")&amp;"|"&amp;TEXT('Ingest Template'!C831+3, "yyyy-mm-dd"),'Ingest Template'!M831&amp; "|DAR|DAR|2021-01-01")),(IF(OR('Ingest Template'!F831 = "Program Type - Special", 'Ingest Template'!F831 = "Program Type - Live Event"),'Ingest Template'!M831&amp; "|Operations - Core Title|Operations - Core Title|"&amp;TEXT('Ingest Template'!C831-3, "yyyy-mm-dd")&amp;"|"&amp;TEXT('Ingest Template'!C831+3, "yyyy-mm-dd"),'Ingest Template'!M831&amp; "|Operations - Core Title|Operations - Core Title")))</f>
        <v>|Operations - Core Title|Operations - Core Title</v>
      </c>
      <c r="AK831" s="35"/>
      <c r="AL831" s="117" t="str">
        <f>if('Ingest Template'!A831="Standard",(IF(OR('Ingest Template'!F831 = "Program Type - Special", 'Ingest Template'!F831 = "Program Type - Live Event"),'Ingest Template'!Q831&amp;"|"&amp;TEXT('Ingest Template'!C831-3, "yyyy-mm-dd")&amp;"|"&amp;TEXT('Ingest Template'!C831+3, "yyyy-mm-dd"),'Ingest Template'!Q831&amp; "|2021-01-01")),(IF(OR('Ingest Template'!F831 = "Program Type - Special", 'Ingest Template'!F831 = "Program Type - Live Event"),'Ingest Template'!Q831&amp; "|"&amp;TEXT('Ingest Template'!C831-3, "yyyy-mm-dd")&amp;"|"&amp;TEXT('Ingest Template'!C831+3, "yyyy-mm-dd"),'Ingest Template'!Q831)))</f>
        <v/>
      </c>
      <c r="AM831" s="35" t="str">
        <f>'Ingest Template'!AC831</f>
        <v/>
      </c>
    </row>
    <row r="832">
      <c r="A832" s="15"/>
      <c r="B832" s="22" t="str">
        <f>'Ingest Template'!C832&amp;IF('Ingest Template'!A832 = "Standard", " - DAR","")</f>
        <v/>
      </c>
      <c r="C832" s="22" t="s">
        <v>83</v>
      </c>
      <c r="D832" s="22" t="str">
        <f t="array" ref="D832">CONCATENATE(INDEX(DropdownLists!$H$2:$H$11,MATCH(1,COUNTIF('Ingest Template'!E832,"*"&amp;DropdownLists!$I$2:$I$11&amp;"*"),0)),CHAR(10),'Ingest Template'!F832,CHAR(10),'Ingest Template'!G832,CHAR(10),VLOOKUP('Ingest Template'!D832,DropdownLists!C:D,2,FALSE))</f>
        <v>#N/A</v>
      </c>
      <c r="E832" s="22" t="str">
        <f>CONCATENATE('Ingest Template'!H832,CHAR(10),'Ingest Template'!I832,CHAR(10),'Ingest Template'!J832,CHAR(10))</f>
        <v>
</v>
      </c>
      <c r="F832" s="35" t="str">
        <f t="array" ref="F832">INDEX(DropdownLists!$O$2:$O$36,MATCH(1,COUNTIF(E832,"*"&amp;DropdownLists!$N$2:$N$36&amp;"*"),0))</f>
        <v/>
      </c>
      <c r="G832" s="35"/>
      <c r="H832" s="22" t="str">
        <f t="array" ref="H832">INDEX(DropdownLists!$E$2:$E$276,MATCH('Ingest Template'!D832,DropdownLists!$C$2:$C$276,0))</f>
        <v>#N/A</v>
      </c>
      <c r="I832" s="22"/>
      <c r="J832" s="22" t="str">
        <f t="array" ref="J832">iF('Ingest Template'!A832="Standard","Pristine Brand",INDEX(DropdownLists!$B$2:$B$246,MATCH('Ingest Template'!D832,DropdownLists!$C$2:$C$246,0)))</f>
        <v>#N/A</v>
      </c>
      <c r="K832" s="22" t="str">
        <f>iF('Ingest Template'!A832="Standard",'Ingest Template'!K832&amp;CHAR(10)&amp;'Ingest Template'!L832,"Competitive View")</f>
        <v>Competitive View</v>
      </c>
      <c r="L832" s="22" t="s">
        <v>95</v>
      </c>
      <c r="M832" s="45" t="str">
        <f>'Ingest Template'!B832</f>
        <v/>
      </c>
      <c r="N832" s="35"/>
      <c r="O832" s="35"/>
      <c r="P832" s="35"/>
      <c r="Q832" s="35"/>
      <c r="R832" s="35" t="str">
        <f>'Ingest Template'!D832</f>
        <v/>
      </c>
      <c r="S832" s="22" t="s">
        <v>101</v>
      </c>
      <c r="T832" s="35" t="str">
        <f>'Ingest Template'!V832</f>
        <v/>
      </c>
      <c r="U832" s="35" t="str">
        <f>'Ingest Template'!W832</f>
        <v/>
      </c>
      <c r="V832" s="35" t="str">
        <f>LOWER(SUBSTITUTE(SUBSTITUTE(SUBSTITUTE(SUBSTITUTE(SUBSTITUTE('Ingest Template'!X832,"https:",""),"www.",""),"/",""),"?hl=en",""),"instagram.com",""))</f>
        <v/>
      </c>
      <c r="W832" s="74" t="str">
        <f t="array" ref="W832">IF(
'Ingest Template'!Y832="",
SUBSTITUTE(
INDEX(DropdownLists!$F$2:$F$277,MATCH('Ingest Template'!D832,DropdownLists!$C$2:$C$277,0)),
CHAR(10),
"|"&amp;'Ingest Template'!C832&amp;CHAR(10)
)&amp;"|"&amp;'Ingest Template'!C832,
SUBSTITUTE(
INDEX(DropdownLists!$F$2:$F$277,MATCH('Ingest Template'!D832,DropdownLists!$C$2:$C$277,0)),
CHAR(10),
"|"&amp;'Ingest Template'!C832&amp;CHAR(10)
)&amp;"|"&amp;'Ingest Template'!C832&amp;CHAR(10)&amp;'Ingest Template'!Y832
)</f>
        <v>#N/A</v>
      </c>
      <c r="X832" s="74" t="str">
        <f>'Ingest Template'!Z832</f>
        <v/>
      </c>
      <c r="Y832" s="35" t="str">
        <f>SUBSTITUTE(SUBSTITUTE(SUBSTITUTE('Ingest Template'!AA832,"http:",""),"https:",""),"/","")</f>
        <v/>
      </c>
      <c r="Z832" s="35" t="str">
        <f t="array" ref="Z832">IF('Ingest Template'!A832="Standard",(IF(ISBLANK('Ingest Template'!AB832),"", 'Ingest Template'!AB832&amp;"|DAR")),(IF(ISBLANK('Ingest Template'!AB832),"", 'Ingest Template'!AB832&amp;"|TV Ops")))</f>
        <v/>
      </c>
      <c r="AA832" s="35"/>
      <c r="AB832" s="35" t="str">
        <f>'Ingest Template'!R832</f>
        <v/>
      </c>
      <c r="AC832" s="35" t="str">
        <f>'Ingest Template'!T832</f>
        <v/>
      </c>
      <c r="AD832" s="35" t="str">
        <f>'Ingest Template'!S832</f>
        <v/>
      </c>
      <c r="AE832" s="35" t="str">
        <f>'Ingest Template'!U832</f>
        <v/>
      </c>
      <c r="AF832" s="22"/>
      <c r="AG832" s="35" t="str">
        <f t="array" ref="AG832">IF('Ingest Template'!A832="Standard",(CONCATENATE(IF(ISBLANK('Ingest Template'!N832),"", 'Ingest Template'!N832&amp;"|DAR"),CHAR(10), IF(ISBLANK('Ingest Template'!O832),"", 'Ingest Template'!O832&amp;"|DAR"),CHAR(10), IF(ISBLANK('Ingest Template'!P832),"", 'Ingest Template'!P832&amp;"|DAR"))),(CONCATENATE(IF(ISBLANK('Ingest Template'!N832),"", 'Ingest Template'!N832&amp;"|TV Ops"),CHAR(10), IF(ISBLANK('Ingest Template'!O832),"", 'Ingest Template'!O832&amp;"|TV Ops"),CHAR(10), IF(ISBLANK('Ingest Template'!P832),"", 'Ingest Template'!P832&amp;"|TV Ops"))))</f>
        <v>
</v>
      </c>
      <c r="AH832" s="35"/>
      <c r="AI832" s="35"/>
      <c r="AJ832" s="117" t="str">
        <f>if('Ingest Template'!A832="Standard",(IF(OR('Ingest Template'!F832 = "Program Type - Special", 'Ingest Template'!F832 = "Program Type - Live Event"),'Ingest Template'!M832&amp; "|DAR|DAR|"&amp;TEXT('Ingest Template'!C832-3, "yyyy-mm-dd")&amp;"|"&amp;TEXT('Ingest Template'!C832+3, "yyyy-mm-dd"),'Ingest Template'!M832&amp; "|DAR|DAR|2021-01-01")),(IF(OR('Ingest Template'!F832 = "Program Type - Special", 'Ingest Template'!F832 = "Program Type - Live Event"),'Ingest Template'!M832&amp; "|Operations - Core Title|Operations - Core Title|"&amp;TEXT('Ingest Template'!C832-3, "yyyy-mm-dd")&amp;"|"&amp;TEXT('Ingest Template'!C832+3, "yyyy-mm-dd"),'Ingest Template'!M832&amp; "|Operations - Core Title|Operations - Core Title")))</f>
        <v>|Operations - Core Title|Operations - Core Title</v>
      </c>
      <c r="AK832" s="35"/>
      <c r="AL832" s="117" t="str">
        <f>if('Ingest Template'!A832="Standard",(IF(OR('Ingest Template'!F832 = "Program Type - Special", 'Ingest Template'!F832 = "Program Type - Live Event"),'Ingest Template'!Q832&amp;"|"&amp;TEXT('Ingest Template'!C832-3, "yyyy-mm-dd")&amp;"|"&amp;TEXT('Ingest Template'!C832+3, "yyyy-mm-dd"),'Ingest Template'!Q832&amp; "|2021-01-01")),(IF(OR('Ingest Template'!F832 = "Program Type - Special", 'Ingest Template'!F832 = "Program Type - Live Event"),'Ingest Template'!Q832&amp; "|"&amp;TEXT('Ingest Template'!C832-3, "yyyy-mm-dd")&amp;"|"&amp;TEXT('Ingest Template'!C832+3, "yyyy-mm-dd"),'Ingest Template'!Q832)))</f>
        <v/>
      </c>
      <c r="AM832" s="35" t="str">
        <f>'Ingest Template'!AC832</f>
        <v/>
      </c>
    </row>
    <row r="833">
      <c r="A833" s="15"/>
      <c r="B833" s="22" t="str">
        <f>'Ingest Template'!C833&amp;IF('Ingest Template'!A833 = "Standard", " - DAR","")</f>
        <v/>
      </c>
      <c r="C833" s="22" t="s">
        <v>83</v>
      </c>
      <c r="D833" s="22" t="str">
        <f t="array" ref="D833">CONCATENATE(INDEX(DropdownLists!$H$2:$H$11,MATCH(1,COUNTIF('Ingest Template'!E833,"*"&amp;DropdownLists!$I$2:$I$11&amp;"*"),0)),CHAR(10),'Ingest Template'!F833,CHAR(10),'Ingest Template'!G833,CHAR(10),VLOOKUP('Ingest Template'!D833,DropdownLists!C:D,2,FALSE))</f>
        <v>#N/A</v>
      </c>
      <c r="E833" s="22" t="str">
        <f>CONCATENATE('Ingest Template'!H833,CHAR(10),'Ingest Template'!I833,CHAR(10),'Ingest Template'!J833,CHAR(10))</f>
        <v>
</v>
      </c>
      <c r="F833" s="35" t="str">
        <f t="array" ref="F833">INDEX(DropdownLists!$O$2:$O$36,MATCH(1,COUNTIF(E833,"*"&amp;DropdownLists!$N$2:$N$36&amp;"*"),0))</f>
        <v/>
      </c>
      <c r="G833" s="35"/>
      <c r="H833" s="22" t="str">
        <f t="array" ref="H833">INDEX(DropdownLists!$E$2:$E$276,MATCH('Ingest Template'!D833,DropdownLists!$C$2:$C$276,0))</f>
        <v>#N/A</v>
      </c>
      <c r="I833" s="22"/>
      <c r="J833" s="22" t="str">
        <f t="array" ref="J833">iF('Ingest Template'!A833="Standard","Pristine Brand",INDEX(DropdownLists!$B$2:$B$246,MATCH('Ingest Template'!D833,DropdownLists!$C$2:$C$246,0)))</f>
        <v>#N/A</v>
      </c>
      <c r="K833" s="22" t="str">
        <f>iF('Ingest Template'!A833="Standard",'Ingest Template'!K833&amp;CHAR(10)&amp;'Ingest Template'!L833,"Competitive View")</f>
        <v>Competitive View</v>
      </c>
      <c r="L833" s="22" t="s">
        <v>95</v>
      </c>
      <c r="M833" s="45" t="str">
        <f>'Ingest Template'!B833</f>
        <v/>
      </c>
      <c r="N833" s="35"/>
      <c r="O833" s="35"/>
      <c r="P833" s="35"/>
      <c r="Q833" s="35"/>
      <c r="R833" s="35" t="str">
        <f>'Ingest Template'!D833</f>
        <v/>
      </c>
      <c r="S833" s="22" t="s">
        <v>101</v>
      </c>
      <c r="T833" s="35" t="str">
        <f>'Ingest Template'!V833</f>
        <v/>
      </c>
      <c r="U833" s="35" t="str">
        <f>'Ingest Template'!W833</f>
        <v/>
      </c>
      <c r="V833" s="35" t="str">
        <f>LOWER(SUBSTITUTE(SUBSTITUTE(SUBSTITUTE(SUBSTITUTE(SUBSTITUTE('Ingest Template'!X833,"https:",""),"www.",""),"/",""),"?hl=en",""),"instagram.com",""))</f>
        <v/>
      </c>
      <c r="W833" s="74" t="str">
        <f t="array" ref="W833">IF(
'Ingest Template'!Y833="",
SUBSTITUTE(
INDEX(DropdownLists!$F$2:$F$277,MATCH('Ingest Template'!D833,DropdownLists!$C$2:$C$277,0)),
CHAR(10),
"|"&amp;'Ingest Template'!C833&amp;CHAR(10)
)&amp;"|"&amp;'Ingest Template'!C833,
SUBSTITUTE(
INDEX(DropdownLists!$F$2:$F$277,MATCH('Ingest Template'!D833,DropdownLists!$C$2:$C$277,0)),
CHAR(10),
"|"&amp;'Ingest Template'!C833&amp;CHAR(10)
)&amp;"|"&amp;'Ingest Template'!C833&amp;CHAR(10)&amp;'Ingest Template'!Y833
)</f>
        <v>#N/A</v>
      </c>
      <c r="X833" s="74" t="str">
        <f>'Ingest Template'!Z833</f>
        <v/>
      </c>
      <c r="Y833" s="35" t="str">
        <f>SUBSTITUTE(SUBSTITUTE(SUBSTITUTE('Ingest Template'!AA833,"http:",""),"https:",""),"/","")</f>
        <v/>
      </c>
      <c r="Z833" s="35" t="str">
        <f t="array" ref="Z833">IF('Ingest Template'!A833="Standard",(IF(ISBLANK('Ingest Template'!AB833),"", 'Ingest Template'!AB833&amp;"|DAR")),(IF(ISBLANK('Ingest Template'!AB833),"", 'Ingest Template'!AB833&amp;"|TV Ops")))</f>
        <v/>
      </c>
      <c r="AA833" s="35"/>
      <c r="AB833" s="35" t="str">
        <f>'Ingest Template'!R833</f>
        <v/>
      </c>
      <c r="AC833" s="35" t="str">
        <f>'Ingest Template'!T833</f>
        <v/>
      </c>
      <c r="AD833" s="35" t="str">
        <f>'Ingest Template'!S833</f>
        <v/>
      </c>
      <c r="AE833" s="35" t="str">
        <f>'Ingest Template'!U833</f>
        <v/>
      </c>
      <c r="AF833" s="22"/>
      <c r="AG833" s="35" t="str">
        <f t="array" ref="AG833">IF('Ingest Template'!A833="Standard",(CONCATENATE(IF(ISBLANK('Ingest Template'!N833),"", 'Ingest Template'!N833&amp;"|DAR"),CHAR(10), IF(ISBLANK('Ingest Template'!O833),"", 'Ingest Template'!O833&amp;"|DAR"),CHAR(10), IF(ISBLANK('Ingest Template'!P833),"", 'Ingest Template'!P833&amp;"|DAR"))),(CONCATENATE(IF(ISBLANK('Ingest Template'!N833),"", 'Ingest Template'!N833&amp;"|TV Ops"),CHAR(10), IF(ISBLANK('Ingest Template'!O833),"", 'Ingest Template'!O833&amp;"|TV Ops"),CHAR(10), IF(ISBLANK('Ingest Template'!P833),"", 'Ingest Template'!P833&amp;"|TV Ops"))))</f>
        <v>
</v>
      </c>
      <c r="AH833" s="35"/>
      <c r="AI833" s="35"/>
      <c r="AJ833" s="117" t="str">
        <f>if('Ingest Template'!A833="Standard",(IF(OR('Ingest Template'!F833 = "Program Type - Special", 'Ingest Template'!F833 = "Program Type - Live Event"),'Ingest Template'!M833&amp; "|DAR|DAR|"&amp;TEXT('Ingest Template'!C833-3, "yyyy-mm-dd")&amp;"|"&amp;TEXT('Ingest Template'!C833+3, "yyyy-mm-dd"),'Ingest Template'!M833&amp; "|DAR|DAR|2021-01-01")),(IF(OR('Ingest Template'!F833 = "Program Type - Special", 'Ingest Template'!F833 = "Program Type - Live Event"),'Ingest Template'!M833&amp; "|Operations - Core Title|Operations - Core Title|"&amp;TEXT('Ingest Template'!C833-3, "yyyy-mm-dd")&amp;"|"&amp;TEXT('Ingest Template'!C833+3, "yyyy-mm-dd"),'Ingest Template'!M833&amp; "|Operations - Core Title|Operations - Core Title")))</f>
        <v>|Operations - Core Title|Operations - Core Title</v>
      </c>
      <c r="AK833" s="35"/>
      <c r="AL833" s="117" t="str">
        <f>if('Ingest Template'!A833="Standard",(IF(OR('Ingest Template'!F833 = "Program Type - Special", 'Ingest Template'!F833 = "Program Type - Live Event"),'Ingest Template'!Q833&amp;"|"&amp;TEXT('Ingest Template'!C833-3, "yyyy-mm-dd")&amp;"|"&amp;TEXT('Ingest Template'!C833+3, "yyyy-mm-dd"),'Ingest Template'!Q833&amp; "|2021-01-01")),(IF(OR('Ingest Template'!F833 = "Program Type - Special", 'Ingest Template'!F833 = "Program Type - Live Event"),'Ingest Template'!Q833&amp; "|"&amp;TEXT('Ingest Template'!C833-3, "yyyy-mm-dd")&amp;"|"&amp;TEXT('Ingest Template'!C833+3, "yyyy-mm-dd"),'Ingest Template'!Q833)))</f>
        <v/>
      </c>
      <c r="AM833" s="35" t="str">
        <f>'Ingest Template'!AC833</f>
        <v/>
      </c>
    </row>
    <row r="834">
      <c r="A834" s="15"/>
      <c r="B834" s="22" t="str">
        <f>'Ingest Template'!C834&amp;IF('Ingest Template'!A834 = "Standard", " - DAR","")</f>
        <v/>
      </c>
      <c r="C834" s="22" t="s">
        <v>83</v>
      </c>
      <c r="D834" s="22" t="str">
        <f t="array" ref="D834">CONCATENATE(INDEX(DropdownLists!$H$2:$H$11,MATCH(1,COUNTIF('Ingest Template'!E834,"*"&amp;DropdownLists!$I$2:$I$11&amp;"*"),0)),CHAR(10),'Ingest Template'!F834,CHAR(10),'Ingest Template'!G834,CHAR(10),VLOOKUP('Ingest Template'!D834,DropdownLists!C:D,2,FALSE))</f>
        <v>#N/A</v>
      </c>
      <c r="E834" s="22" t="str">
        <f>CONCATENATE('Ingest Template'!H834,CHAR(10),'Ingest Template'!I834,CHAR(10),'Ingest Template'!J834,CHAR(10))</f>
        <v>
</v>
      </c>
      <c r="F834" s="35" t="str">
        <f t="array" ref="F834">INDEX(DropdownLists!$O$2:$O$36,MATCH(1,COUNTIF(E834,"*"&amp;DropdownLists!$N$2:$N$36&amp;"*"),0))</f>
        <v/>
      </c>
      <c r="G834" s="35"/>
      <c r="H834" s="22" t="str">
        <f t="array" ref="H834">INDEX(DropdownLists!$E$2:$E$276,MATCH('Ingest Template'!D834,DropdownLists!$C$2:$C$276,0))</f>
        <v>#N/A</v>
      </c>
      <c r="I834" s="22"/>
      <c r="J834" s="22" t="str">
        <f t="array" ref="J834">iF('Ingest Template'!A834="Standard","Pristine Brand",INDEX(DropdownLists!$B$2:$B$246,MATCH('Ingest Template'!D834,DropdownLists!$C$2:$C$246,0)))</f>
        <v>#N/A</v>
      </c>
      <c r="K834" s="22" t="str">
        <f>iF('Ingest Template'!A834="Standard",'Ingest Template'!K834&amp;CHAR(10)&amp;'Ingest Template'!L834,"Competitive View")</f>
        <v>Competitive View</v>
      </c>
      <c r="L834" s="22" t="s">
        <v>95</v>
      </c>
      <c r="M834" s="45" t="str">
        <f>'Ingest Template'!B834</f>
        <v/>
      </c>
      <c r="N834" s="35"/>
      <c r="O834" s="35"/>
      <c r="P834" s="35"/>
      <c r="Q834" s="35"/>
      <c r="R834" s="35" t="str">
        <f>'Ingest Template'!D834</f>
        <v/>
      </c>
      <c r="S834" s="22" t="s">
        <v>101</v>
      </c>
      <c r="T834" s="35" t="str">
        <f>'Ingest Template'!V834</f>
        <v/>
      </c>
      <c r="U834" s="35" t="str">
        <f>'Ingest Template'!W834</f>
        <v/>
      </c>
      <c r="V834" s="35" t="str">
        <f>LOWER(SUBSTITUTE(SUBSTITUTE(SUBSTITUTE(SUBSTITUTE(SUBSTITUTE('Ingest Template'!X834,"https:",""),"www.",""),"/",""),"?hl=en",""),"instagram.com",""))</f>
        <v/>
      </c>
      <c r="W834" s="74" t="str">
        <f t="array" ref="W834">IF(
'Ingest Template'!Y834="",
SUBSTITUTE(
INDEX(DropdownLists!$F$2:$F$277,MATCH('Ingest Template'!D834,DropdownLists!$C$2:$C$277,0)),
CHAR(10),
"|"&amp;'Ingest Template'!C834&amp;CHAR(10)
)&amp;"|"&amp;'Ingest Template'!C834,
SUBSTITUTE(
INDEX(DropdownLists!$F$2:$F$277,MATCH('Ingest Template'!D834,DropdownLists!$C$2:$C$277,0)),
CHAR(10),
"|"&amp;'Ingest Template'!C834&amp;CHAR(10)
)&amp;"|"&amp;'Ingest Template'!C834&amp;CHAR(10)&amp;'Ingest Template'!Y834
)</f>
        <v>#N/A</v>
      </c>
      <c r="X834" s="74" t="str">
        <f>'Ingest Template'!Z834</f>
        <v/>
      </c>
      <c r="Y834" s="35" t="str">
        <f>SUBSTITUTE(SUBSTITUTE(SUBSTITUTE('Ingest Template'!AA834,"http:",""),"https:",""),"/","")</f>
        <v/>
      </c>
      <c r="Z834" s="35" t="str">
        <f t="array" ref="Z834">IF('Ingest Template'!A834="Standard",(IF(ISBLANK('Ingest Template'!AB834),"", 'Ingest Template'!AB834&amp;"|DAR")),(IF(ISBLANK('Ingest Template'!AB834),"", 'Ingest Template'!AB834&amp;"|TV Ops")))</f>
        <v/>
      </c>
      <c r="AA834" s="35"/>
      <c r="AB834" s="35" t="str">
        <f>'Ingest Template'!R834</f>
        <v/>
      </c>
      <c r="AC834" s="35" t="str">
        <f>'Ingest Template'!T834</f>
        <v/>
      </c>
      <c r="AD834" s="35" t="str">
        <f>'Ingest Template'!S834</f>
        <v/>
      </c>
      <c r="AE834" s="35" t="str">
        <f>'Ingest Template'!U834</f>
        <v/>
      </c>
      <c r="AF834" s="22"/>
      <c r="AG834" s="35" t="str">
        <f t="array" ref="AG834">IF('Ingest Template'!A834="Standard",(CONCATENATE(IF(ISBLANK('Ingest Template'!N834),"", 'Ingest Template'!N834&amp;"|DAR"),CHAR(10), IF(ISBLANK('Ingest Template'!O834),"", 'Ingest Template'!O834&amp;"|DAR"),CHAR(10), IF(ISBLANK('Ingest Template'!P834),"", 'Ingest Template'!P834&amp;"|DAR"))),(CONCATENATE(IF(ISBLANK('Ingest Template'!N834),"", 'Ingest Template'!N834&amp;"|TV Ops"),CHAR(10), IF(ISBLANK('Ingest Template'!O834),"", 'Ingest Template'!O834&amp;"|TV Ops"),CHAR(10), IF(ISBLANK('Ingest Template'!P834),"", 'Ingest Template'!P834&amp;"|TV Ops"))))</f>
        <v>
</v>
      </c>
      <c r="AH834" s="35"/>
      <c r="AI834" s="35"/>
      <c r="AJ834" s="117" t="str">
        <f>if('Ingest Template'!A834="Standard",(IF(OR('Ingest Template'!F834 = "Program Type - Special", 'Ingest Template'!F834 = "Program Type - Live Event"),'Ingest Template'!M834&amp; "|DAR|DAR|"&amp;TEXT('Ingest Template'!C834-3, "yyyy-mm-dd")&amp;"|"&amp;TEXT('Ingest Template'!C834+3, "yyyy-mm-dd"),'Ingest Template'!M834&amp; "|DAR|DAR|2021-01-01")),(IF(OR('Ingest Template'!F834 = "Program Type - Special", 'Ingest Template'!F834 = "Program Type - Live Event"),'Ingest Template'!M834&amp; "|Operations - Core Title|Operations - Core Title|"&amp;TEXT('Ingest Template'!C834-3, "yyyy-mm-dd")&amp;"|"&amp;TEXT('Ingest Template'!C834+3, "yyyy-mm-dd"),'Ingest Template'!M834&amp; "|Operations - Core Title|Operations - Core Title")))</f>
        <v>|Operations - Core Title|Operations - Core Title</v>
      </c>
      <c r="AK834" s="35"/>
      <c r="AL834" s="117" t="str">
        <f>if('Ingest Template'!A834="Standard",(IF(OR('Ingest Template'!F834 = "Program Type - Special", 'Ingest Template'!F834 = "Program Type - Live Event"),'Ingest Template'!Q834&amp;"|"&amp;TEXT('Ingest Template'!C834-3, "yyyy-mm-dd")&amp;"|"&amp;TEXT('Ingest Template'!C834+3, "yyyy-mm-dd"),'Ingest Template'!Q834&amp; "|2021-01-01")),(IF(OR('Ingest Template'!F834 = "Program Type - Special", 'Ingest Template'!F834 = "Program Type - Live Event"),'Ingest Template'!Q834&amp; "|"&amp;TEXT('Ingest Template'!C834-3, "yyyy-mm-dd")&amp;"|"&amp;TEXT('Ingest Template'!C834+3, "yyyy-mm-dd"),'Ingest Template'!Q834)))</f>
        <v/>
      </c>
      <c r="AM834" s="35" t="str">
        <f>'Ingest Template'!AC834</f>
        <v/>
      </c>
    </row>
    <row r="835">
      <c r="A835" s="15"/>
      <c r="B835" s="22" t="str">
        <f>'Ingest Template'!C835&amp;IF('Ingest Template'!A835 = "Standard", " - DAR","")</f>
        <v/>
      </c>
      <c r="C835" s="22" t="s">
        <v>83</v>
      </c>
      <c r="D835" s="22" t="str">
        <f t="array" ref="D835">CONCATENATE(INDEX(DropdownLists!$H$2:$H$11,MATCH(1,COUNTIF('Ingest Template'!E835,"*"&amp;DropdownLists!$I$2:$I$11&amp;"*"),0)),CHAR(10),'Ingest Template'!F835,CHAR(10),'Ingest Template'!G835,CHAR(10),VLOOKUP('Ingest Template'!D835,DropdownLists!C:D,2,FALSE))</f>
        <v>#N/A</v>
      </c>
      <c r="E835" s="22" t="str">
        <f>CONCATENATE('Ingest Template'!H835,CHAR(10),'Ingest Template'!I835,CHAR(10),'Ingest Template'!J835,CHAR(10))</f>
        <v>
</v>
      </c>
      <c r="F835" s="35" t="str">
        <f t="array" ref="F835">INDEX(DropdownLists!$O$2:$O$36,MATCH(1,COUNTIF(E835,"*"&amp;DropdownLists!$N$2:$N$36&amp;"*"),0))</f>
        <v/>
      </c>
      <c r="G835" s="35"/>
      <c r="H835" s="22" t="str">
        <f t="array" ref="H835">INDEX(DropdownLists!$E$2:$E$276,MATCH('Ingest Template'!D835,DropdownLists!$C$2:$C$276,0))</f>
        <v>#N/A</v>
      </c>
      <c r="I835" s="22"/>
      <c r="J835" s="22" t="str">
        <f t="array" ref="J835">iF('Ingest Template'!A835="Standard","Pristine Brand",INDEX(DropdownLists!$B$2:$B$246,MATCH('Ingest Template'!D835,DropdownLists!$C$2:$C$246,0)))</f>
        <v>#N/A</v>
      </c>
      <c r="K835" s="22" t="str">
        <f>iF('Ingest Template'!A835="Standard",'Ingest Template'!K835&amp;CHAR(10)&amp;'Ingest Template'!L835,"Competitive View")</f>
        <v>Competitive View</v>
      </c>
      <c r="L835" s="22" t="s">
        <v>95</v>
      </c>
      <c r="M835" s="45" t="str">
        <f>'Ingest Template'!B835</f>
        <v/>
      </c>
      <c r="N835" s="35"/>
      <c r="O835" s="35"/>
      <c r="P835" s="35"/>
      <c r="Q835" s="35"/>
      <c r="R835" s="35" t="str">
        <f>'Ingest Template'!D835</f>
        <v/>
      </c>
      <c r="S835" s="22" t="s">
        <v>101</v>
      </c>
      <c r="T835" s="35" t="str">
        <f>'Ingest Template'!V835</f>
        <v/>
      </c>
      <c r="U835" s="35" t="str">
        <f>'Ingest Template'!W835</f>
        <v/>
      </c>
      <c r="V835" s="35" t="str">
        <f>LOWER(SUBSTITUTE(SUBSTITUTE(SUBSTITUTE(SUBSTITUTE(SUBSTITUTE('Ingest Template'!X835,"https:",""),"www.",""),"/",""),"?hl=en",""),"instagram.com",""))</f>
        <v/>
      </c>
      <c r="W835" s="74" t="str">
        <f t="array" ref="W835">IF(
'Ingest Template'!Y835="",
SUBSTITUTE(
INDEX(DropdownLists!$F$2:$F$277,MATCH('Ingest Template'!D835,DropdownLists!$C$2:$C$277,0)),
CHAR(10),
"|"&amp;'Ingest Template'!C835&amp;CHAR(10)
)&amp;"|"&amp;'Ingest Template'!C835,
SUBSTITUTE(
INDEX(DropdownLists!$F$2:$F$277,MATCH('Ingest Template'!D835,DropdownLists!$C$2:$C$277,0)),
CHAR(10),
"|"&amp;'Ingest Template'!C835&amp;CHAR(10)
)&amp;"|"&amp;'Ingest Template'!C835&amp;CHAR(10)&amp;'Ingest Template'!Y835
)</f>
        <v>#N/A</v>
      </c>
      <c r="X835" s="74" t="str">
        <f>'Ingest Template'!Z835</f>
        <v/>
      </c>
      <c r="Y835" s="35" t="str">
        <f>SUBSTITUTE(SUBSTITUTE(SUBSTITUTE('Ingest Template'!AA835,"http:",""),"https:",""),"/","")</f>
        <v/>
      </c>
      <c r="Z835" s="35" t="str">
        <f t="array" ref="Z835">IF('Ingest Template'!A835="Standard",(IF(ISBLANK('Ingest Template'!AB835),"", 'Ingest Template'!AB835&amp;"|DAR")),(IF(ISBLANK('Ingest Template'!AB835),"", 'Ingest Template'!AB835&amp;"|TV Ops")))</f>
        <v/>
      </c>
      <c r="AA835" s="35"/>
      <c r="AB835" s="35" t="str">
        <f>'Ingest Template'!R835</f>
        <v/>
      </c>
      <c r="AC835" s="35" t="str">
        <f>'Ingest Template'!T835</f>
        <v/>
      </c>
      <c r="AD835" s="35" t="str">
        <f>'Ingest Template'!S835</f>
        <v/>
      </c>
      <c r="AE835" s="35" t="str">
        <f>'Ingest Template'!U835</f>
        <v/>
      </c>
      <c r="AF835" s="22"/>
      <c r="AG835" s="35" t="str">
        <f t="array" ref="AG835">IF('Ingest Template'!A835="Standard",(CONCATENATE(IF(ISBLANK('Ingest Template'!N835),"", 'Ingest Template'!N835&amp;"|DAR"),CHAR(10), IF(ISBLANK('Ingest Template'!O835),"", 'Ingest Template'!O835&amp;"|DAR"),CHAR(10), IF(ISBLANK('Ingest Template'!P835),"", 'Ingest Template'!P835&amp;"|DAR"))),(CONCATENATE(IF(ISBLANK('Ingest Template'!N835),"", 'Ingest Template'!N835&amp;"|TV Ops"),CHAR(10), IF(ISBLANK('Ingest Template'!O835),"", 'Ingest Template'!O835&amp;"|TV Ops"),CHAR(10), IF(ISBLANK('Ingest Template'!P835),"", 'Ingest Template'!P835&amp;"|TV Ops"))))</f>
        <v>
</v>
      </c>
      <c r="AH835" s="35"/>
      <c r="AI835" s="35"/>
      <c r="AJ835" s="117" t="str">
        <f>if('Ingest Template'!A835="Standard",(IF(OR('Ingest Template'!F835 = "Program Type - Special", 'Ingest Template'!F835 = "Program Type - Live Event"),'Ingest Template'!M835&amp; "|DAR|DAR|"&amp;TEXT('Ingest Template'!C835-3, "yyyy-mm-dd")&amp;"|"&amp;TEXT('Ingest Template'!C835+3, "yyyy-mm-dd"),'Ingest Template'!M835&amp; "|DAR|DAR|2021-01-01")),(IF(OR('Ingest Template'!F835 = "Program Type - Special", 'Ingest Template'!F835 = "Program Type - Live Event"),'Ingest Template'!M835&amp; "|Operations - Core Title|Operations - Core Title|"&amp;TEXT('Ingest Template'!C835-3, "yyyy-mm-dd")&amp;"|"&amp;TEXT('Ingest Template'!C835+3, "yyyy-mm-dd"),'Ingest Template'!M835&amp; "|Operations - Core Title|Operations - Core Title")))</f>
        <v>|Operations - Core Title|Operations - Core Title</v>
      </c>
      <c r="AK835" s="35"/>
      <c r="AL835" s="117" t="str">
        <f>if('Ingest Template'!A835="Standard",(IF(OR('Ingest Template'!F835 = "Program Type - Special", 'Ingest Template'!F835 = "Program Type - Live Event"),'Ingest Template'!Q835&amp;"|"&amp;TEXT('Ingest Template'!C835-3, "yyyy-mm-dd")&amp;"|"&amp;TEXT('Ingest Template'!C835+3, "yyyy-mm-dd"),'Ingest Template'!Q835&amp; "|2021-01-01")),(IF(OR('Ingest Template'!F835 = "Program Type - Special", 'Ingest Template'!F835 = "Program Type - Live Event"),'Ingest Template'!Q835&amp; "|"&amp;TEXT('Ingest Template'!C835-3, "yyyy-mm-dd")&amp;"|"&amp;TEXT('Ingest Template'!C835+3, "yyyy-mm-dd"),'Ingest Template'!Q835)))</f>
        <v/>
      </c>
      <c r="AM835" s="35" t="str">
        <f>'Ingest Template'!AC835</f>
        <v/>
      </c>
    </row>
    <row r="836">
      <c r="A836" s="15"/>
      <c r="B836" s="22" t="str">
        <f>'Ingest Template'!C836&amp;IF('Ingest Template'!A836 = "Standard", " - DAR","")</f>
        <v/>
      </c>
      <c r="C836" s="22" t="s">
        <v>83</v>
      </c>
      <c r="D836" s="22" t="str">
        <f t="array" ref="D836">CONCATENATE(INDEX(DropdownLists!$H$2:$H$11,MATCH(1,COUNTIF('Ingest Template'!E836,"*"&amp;DropdownLists!$I$2:$I$11&amp;"*"),0)),CHAR(10),'Ingest Template'!F836,CHAR(10),'Ingest Template'!G836,CHAR(10),VLOOKUP('Ingest Template'!D836,DropdownLists!C:D,2,FALSE))</f>
        <v>#N/A</v>
      </c>
      <c r="E836" s="22" t="str">
        <f>CONCATENATE('Ingest Template'!H836,CHAR(10),'Ingest Template'!I836,CHAR(10),'Ingest Template'!J836,CHAR(10))</f>
        <v>
</v>
      </c>
      <c r="F836" s="35" t="str">
        <f t="array" ref="F836">INDEX(DropdownLists!$O$2:$O$36,MATCH(1,COUNTIF(E836,"*"&amp;DropdownLists!$N$2:$N$36&amp;"*"),0))</f>
        <v/>
      </c>
      <c r="G836" s="35"/>
      <c r="H836" s="22" t="str">
        <f t="array" ref="H836">INDEX(DropdownLists!$E$2:$E$276,MATCH('Ingest Template'!D836,DropdownLists!$C$2:$C$276,0))</f>
        <v>#N/A</v>
      </c>
      <c r="I836" s="22"/>
      <c r="J836" s="22" t="str">
        <f t="array" ref="J836">iF('Ingest Template'!A836="Standard","Pristine Brand",INDEX(DropdownLists!$B$2:$B$246,MATCH('Ingest Template'!D836,DropdownLists!$C$2:$C$246,0)))</f>
        <v>#N/A</v>
      </c>
      <c r="K836" s="22" t="str">
        <f>iF('Ingest Template'!A836="Standard",'Ingest Template'!K836&amp;CHAR(10)&amp;'Ingest Template'!L836,"Competitive View")</f>
        <v>Competitive View</v>
      </c>
      <c r="L836" s="22" t="s">
        <v>95</v>
      </c>
      <c r="M836" s="45" t="str">
        <f>'Ingest Template'!B836</f>
        <v/>
      </c>
      <c r="N836" s="35"/>
      <c r="O836" s="35"/>
      <c r="P836" s="35"/>
      <c r="Q836" s="35"/>
      <c r="R836" s="35" t="str">
        <f>'Ingest Template'!D836</f>
        <v/>
      </c>
      <c r="S836" s="22" t="s">
        <v>101</v>
      </c>
      <c r="T836" s="35" t="str">
        <f>'Ingest Template'!V836</f>
        <v/>
      </c>
      <c r="U836" s="35" t="str">
        <f>'Ingest Template'!W836</f>
        <v/>
      </c>
      <c r="V836" s="35" t="str">
        <f>LOWER(SUBSTITUTE(SUBSTITUTE(SUBSTITUTE(SUBSTITUTE(SUBSTITUTE('Ingest Template'!X836,"https:",""),"www.",""),"/",""),"?hl=en",""),"instagram.com",""))</f>
        <v/>
      </c>
      <c r="W836" s="74" t="str">
        <f t="array" ref="W836">IF(
'Ingest Template'!Y836="",
SUBSTITUTE(
INDEX(DropdownLists!$F$2:$F$277,MATCH('Ingest Template'!D836,DropdownLists!$C$2:$C$277,0)),
CHAR(10),
"|"&amp;'Ingest Template'!C836&amp;CHAR(10)
)&amp;"|"&amp;'Ingest Template'!C836,
SUBSTITUTE(
INDEX(DropdownLists!$F$2:$F$277,MATCH('Ingest Template'!D836,DropdownLists!$C$2:$C$277,0)),
CHAR(10),
"|"&amp;'Ingest Template'!C836&amp;CHAR(10)
)&amp;"|"&amp;'Ingest Template'!C836&amp;CHAR(10)&amp;'Ingest Template'!Y836
)</f>
        <v>#N/A</v>
      </c>
      <c r="X836" s="74" t="str">
        <f>'Ingest Template'!Z836</f>
        <v/>
      </c>
      <c r="Y836" s="35" t="str">
        <f>SUBSTITUTE(SUBSTITUTE(SUBSTITUTE('Ingest Template'!AA836,"http:",""),"https:",""),"/","")</f>
        <v/>
      </c>
      <c r="Z836" s="35" t="str">
        <f t="array" ref="Z836">IF('Ingest Template'!A836="Standard",(IF(ISBLANK('Ingest Template'!AB836),"", 'Ingest Template'!AB836&amp;"|DAR")),(IF(ISBLANK('Ingest Template'!AB836),"", 'Ingest Template'!AB836&amp;"|TV Ops")))</f>
        <v/>
      </c>
      <c r="AA836" s="35"/>
      <c r="AB836" s="35" t="str">
        <f>'Ingest Template'!R836</f>
        <v/>
      </c>
      <c r="AC836" s="35" t="str">
        <f>'Ingest Template'!T836</f>
        <v/>
      </c>
      <c r="AD836" s="35" t="str">
        <f>'Ingest Template'!S836</f>
        <v/>
      </c>
      <c r="AE836" s="35" t="str">
        <f>'Ingest Template'!U836</f>
        <v/>
      </c>
      <c r="AF836" s="22"/>
      <c r="AG836" s="35" t="str">
        <f t="array" ref="AG836">IF('Ingest Template'!A836="Standard",(CONCATENATE(IF(ISBLANK('Ingest Template'!N836),"", 'Ingest Template'!N836&amp;"|DAR"),CHAR(10), IF(ISBLANK('Ingest Template'!O836),"", 'Ingest Template'!O836&amp;"|DAR"),CHAR(10), IF(ISBLANK('Ingest Template'!P836),"", 'Ingest Template'!P836&amp;"|DAR"))),(CONCATENATE(IF(ISBLANK('Ingest Template'!N836),"", 'Ingest Template'!N836&amp;"|TV Ops"),CHAR(10), IF(ISBLANK('Ingest Template'!O836),"", 'Ingest Template'!O836&amp;"|TV Ops"),CHAR(10), IF(ISBLANK('Ingest Template'!P836),"", 'Ingest Template'!P836&amp;"|TV Ops"))))</f>
        <v>
</v>
      </c>
      <c r="AH836" s="35"/>
      <c r="AI836" s="35"/>
      <c r="AJ836" s="117" t="str">
        <f>if('Ingest Template'!A836="Standard",(IF(OR('Ingest Template'!F836 = "Program Type - Special", 'Ingest Template'!F836 = "Program Type - Live Event"),'Ingest Template'!M836&amp; "|DAR|DAR|"&amp;TEXT('Ingest Template'!C836-3, "yyyy-mm-dd")&amp;"|"&amp;TEXT('Ingest Template'!C836+3, "yyyy-mm-dd"),'Ingest Template'!M836&amp; "|DAR|DAR|2021-01-01")),(IF(OR('Ingest Template'!F836 = "Program Type - Special", 'Ingest Template'!F836 = "Program Type - Live Event"),'Ingest Template'!M836&amp; "|Operations - Core Title|Operations - Core Title|"&amp;TEXT('Ingest Template'!C836-3, "yyyy-mm-dd")&amp;"|"&amp;TEXT('Ingest Template'!C836+3, "yyyy-mm-dd"),'Ingest Template'!M836&amp; "|Operations - Core Title|Operations - Core Title")))</f>
        <v>|Operations - Core Title|Operations - Core Title</v>
      </c>
      <c r="AK836" s="35"/>
      <c r="AL836" s="117" t="str">
        <f>if('Ingest Template'!A836="Standard",(IF(OR('Ingest Template'!F836 = "Program Type - Special", 'Ingest Template'!F836 = "Program Type - Live Event"),'Ingest Template'!Q836&amp;"|"&amp;TEXT('Ingest Template'!C836-3, "yyyy-mm-dd")&amp;"|"&amp;TEXT('Ingest Template'!C836+3, "yyyy-mm-dd"),'Ingest Template'!Q836&amp; "|2021-01-01")),(IF(OR('Ingest Template'!F836 = "Program Type - Special", 'Ingest Template'!F836 = "Program Type - Live Event"),'Ingest Template'!Q836&amp; "|"&amp;TEXT('Ingest Template'!C836-3, "yyyy-mm-dd")&amp;"|"&amp;TEXT('Ingest Template'!C836+3, "yyyy-mm-dd"),'Ingest Template'!Q836)))</f>
        <v/>
      </c>
      <c r="AM836" s="35" t="str">
        <f>'Ingest Template'!AC836</f>
        <v/>
      </c>
    </row>
    <row r="837">
      <c r="A837" s="15"/>
      <c r="B837" s="22" t="str">
        <f>'Ingest Template'!C837&amp;IF('Ingest Template'!A837 = "Standard", " - DAR","")</f>
        <v/>
      </c>
      <c r="C837" s="22" t="s">
        <v>83</v>
      </c>
      <c r="D837" s="22" t="str">
        <f t="array" ref="D837">CONCATENATE(INDEX(DropdownLists!$H$2:$H$11,MATCH(1,COUNTIF('Ingest Template'!E837,"*"&amp;DropdownLists!$I$2:$I$11&amp;"*"),0)),CHAR(10),'Ingest Template'!F837,CHAR(10),'Ingest Template'!G837,CHAR(10),VLOOKUP('Ingest Template'!D837,DropdownLists!C:D,2,FALSE))</f>
        <v>#N/A</v>
      </c>
      <c r="E837" s="22" t="str">
        <f>CONCATENATE('Ingest Template'!H837,CHAR(10),'Ingest Template'!I837,CHAR(10),'Ingest Template'!J837,CHAR(10))</f>
        <v>
</v>
      </c>
      <c r="F837" s="35" t="str">
        <f t="array" ref="F837">INDEX(DropdownLists!$O$2:$O$36,MATCH(1,COUNTIF(E837,"*"&amp;DropdownLists!$N$2:$N$36&amp;"*"),0))</f>
        <v/>
      </c>
      <c r="G837" s="35"/>
      <c r="H837" s="22" t="str">
        <f t="array" ref="H837">INDEX(DropdownLists!$E$2:$E$276,MATCH('Ingest Template'!D837,DropdownLists!$C$2:$C$276,0))</f>
        <v>#N/A</v>
      </c>
      <c r="I837" s="22"/>
      <c r="J837" s="22" t="str">
        <f t="array" ref="J837">iF('Ingest Template'!A837="Standard","Pristine Brand",INDEX(DropdownLists!$B$2:$B$246,MATCH('Ingest Template'!D837,DropdownLists!$C$2:$C$246,0)))</f>
        <v>#N/A</v>
      </c>
      <c r="K837" s="22" t="str">
        <f>iF('Ingest Template'!A837="Standard",'Ingest Template'!K837&amp;CHAR(10)&amp;'Ingest Template'!L837,"Competitive View")</f>
        <v>Competitive View</v>
      </c>
      <c r="L837" s="22" t="s">
        <v>95</v>
      </c>
      <c r="M837" s="45" t="str">
        <f>'Ingest Template'!B837</f>
        <v/>
      </c>
      <c r="N837" s="35"/>
      <c r="O837" s="35"/>
      <c r="P837" s="35"/>
      <c r="Q837" s="35"/>
      <c r="R837" s="35" t="str">
        <f>'Ingest Template'!D837</f>
        <v/>
      </c>
      <c r="S837" s="22" t="s">
        <v>101</v>
      </c>
      <c r="T837" s="35" t="str">
        <f>'Ingest Template'!V837</f>
        <v/>
      </c>
      <c r="U837" s="35" t="str">
        <f>'Ingest Template'!W837</f>
        <v/>
      </c>
      <c r="V837" s="35" t="str">
        <f>LOWER(SUBSTITUTE(SUBSTITUTE(SUBSTITUTE(SUBSTITUTE(SUBSTITUTE('Ingest Template'!X837,"https:",""),"www.",""),"/",""),"?hl=en",""),"instagram.com",""))</f>
        <v/>
      </c>
      <c r="W837" s="74" t="str">
        <f t="array" ref="W837">IF(
'Ingest Template'!Y837="",
SUBSTITUTE(
INDEX(DropdownLists!$F$2:$F$277,MATCH('Ingest Template'!D837,DropdownLists!$C$2:$C$277,0)),
CHAR(10),
"|"&amp;'Ingest Template'!C837&amp;CHAR(10)
)&amp;"|"&amp;'Ingest Template'!C837,
SUBSTITUTE(
INDEX(DropdownLists!$F$2:$F$277,MATCH('Ingest Template'!D837,DropdownLists!$C$2:$C$277,0)),
CHAR(10),
"|"&amp;'Ingest Template'!C837&amp;CHAR(10)
)&amp;"|"&amp;'Ingest Template'!C837&amp;CHAR(10)&amp;'Ingest Template'!Y837
)</f>
        <v>#N/A</v>
      </c>
      <c r="X837" s="74" t="str">
        <f>'Ingest Template'!Z837</f>
        <v/>
      </c>
      <c r="Y837" s="35" t="str">
        <f>SUBSTITUTE(SUBSTITUTE(SUBSTITUTE('Ingest Template'!AA837,"http:",""),"https:",""),"/","")</f>
        <v/>
      </c>
      <c r="Z837" s="35" t="str">
        <f t="array" ref="Z837">IF('Ingest Template'!A837="Standard",(IF(ISBLANK('Ingest Template'!AB837),"", 'Ingest Template'!AB837&amp;"|DAR")),(IF(ISBLANK('Ingest Template'!AB837),"", 'Ingest Template'!AB837&amp;"|TV Ops")))</f>
        <v/>
      </c>
      <c r="AA837" s="35"/>
      <c r="AB837" s="35" t="str">
        <f>'Ingest Template'!R837</f>
        <v/>
      </c>
      <c r="AC837" s="35" t="str">
        <f>'Ingest Template'!T837</f>
        <v/>
      </c>
      <c r="AD837" s="35" t="str">
        <f>'Ingest Template'!S837</f>
        <v/>
      </c>
      <c r="AE837" s="35" t="str">
        <f>'Ingest Template'!U837</f>
        <v/>
      </c>
      <c r="AF837" s="22"/>
      <c r="AG837" s="35" t="str">
        <f t="array" ref="AG837">IF('Ingest Template'!A837="Standard",(CONCATENATE(IF(ISBLANK('Ingest Template'!N837),"", 'Ingest Template'!N837&amp;"|DAR"),CHAR(10), IF(ISBLANK('Ingest Template'!O837),"", 'Ingest Template'!O837&amp;"|DAR"),CHAR(10), IF(ISBLANK('Ingest Template'!P837),"", 'Ingest Template'!P837&amp;"|DAR"))),(CONCATENATE(IF(ISBLANK('Ingest Template'!N837),"", 'Ingest Template'!N837&amp;"|TV Ops"),CHAR(10), IF(ISBLANK('Ingest Template'!O837),"", 'Ingest Template'!O837&amp;"|TV Ops"),CHAR(10), IF(ISBLANK('Ingest Template'!P837),"", 'Ingest Template'!P837&amp;"|TV Ops"))))</f>
        <v>
</v>
      </c>
      <c r="AH837" s="35"/>
      <c r="AI837" s="35"/>
      <c r="AJ837" s="117" t="str">
        <f>if('Ingest Template'!A837="Standard",(IF(OR('Ingest Template'!F837 = "Program Type - Special", 'Ingest Template'!F837 = "Program Type - Live Event"),'Ingest Template'!M837&amp; "|DAR|DAR|"&amp;TEXT('Ingest Template'!C837-3, "yyyy-mm-dd")&amp;"|"&amp;TEXT('Ingest Template'!C837+3, "yyyy-mm-dd"),'Ingest Template'!M837&amp; "|DAR|DAR|2021-01-01")),(IF(OR('Ingest Template'!F837 = "Program Type - Special", 'Ingest Template'!F837 = "Program Type - Live Event"),'Ingest Template'!M837&amp; "|Operations - Core Title|Operations - Core Title|"&amp;TEXT('Ingest Template'!C837-3, "yyyy-mm-dd")&amp;"|"&amp;TEXT('Ingest Template'!C837+3, "yyyy-mm-dd"),'Ingest Template'!M837&amp; "|Operations - Core Title|Operations - Core Title")))</f>
        <v>|Operations - Core Title|Operations - Core Title</v>
      </c>
      <c r="AK837" s="35"/>
      <c r="AL837" s="117" t="str">
        <f>if('Ingest Template'!A837="Standard",(IF(OR('Ingest Template'!F837 = "Program Type - Special", 'Ingest Template'!F837 = "Program Type - Live Event"),'Ingest Template'!Q837&amp;"|"&amp;TEXT('Ingest Template'!C837-3, "yyyy-mm-dd")&amp;"|"&amp;TEXT('Ingest Template'!C837+3, "yyyy-mm-dd"),'Ingest Template'!Q837&amp; "|2021-01-01")),(IF(OR('Ingest Template'!F837 = "Program Type - Special", 'Ingest Template'!F837 = "Program Type - Live Event"),'Ingest Template'!Q837&amp; "|"&amp;TEXT('Ingest Template'!C837-3, "yyyy-mm-dd")&amp;"|"&amp;TEXT('Ingest Template'!C837+3, "yyyy-mm-dd"),'Ingest Template'!Q837)))</f>
        <v/>
      </c>
      <c r="AM837" s="35" t="str">
        <f>'Ingest Template'!AC837</f>
        <v/>
      </c>
    </row>
    <row r="838">
      <c r="A838" s="15"/>
      <c r="B838" s="22" t="str">
        <f>'Ingest Template'!C838&amp;IF('Ingest Template'!A838 = "Standard", " - DAR","")</f>
        <v/>
      </c>
      <c r="C838" s="22" t="s">
        <v>83</v>
      </c>
      <c r="D838" s="22" t="str">
        <f t="array" ref="D838">CONCATENATE(INDEX(DropdownLists!$H$2:$H$11,MATCH(1,COUNTIF('Ingest Template'!E838,"*"&amp;DropdownLists!$I$2:$I$11&amp;"*"),0)),CHAR(10),'Ingest Template'!F838,CHAR(10),'Ingest Template'!G838,CHAR(10),VLOOKUP('Ingest Template'!D838,DropdownLists!C:D,2,FALSE))</f>
        <v>#N/A</v>
      </c>
      <c r="E838" s="22" t="str">
        <f>CONCATENATE('Ingest Template'!H838,CHAR(10),'Ingest Template'!I838,CHAR(10),'Ingest Template'!J838,CHAR(10))</f>
        <v>
</v>
      </c>
      <c r="F838" s="35" t="str">
        <f t="array" ref="F838">INDEX(DropdownLists!$O$2:$O$36,MATCH(1,COUNTIF(E838,"*"&amp;DropdownLists!$N$2:$N$36&amp;"*"),0))</f>
        <v/>
      </c>
      <c r="G838" s="35"/>
      <c r="H838" s="22" t="str">
        <f t="array" ref="H838">INDEX(DropdownLists!$E$2:$E$276,MATCH('Ingest Template'!D838,DropdownLists!$C$2:$C$276,0))</f>
        <v>#N/A</v>
      </c>
      <c r="I838" s="22"/>
      <c r="J838" s="22" t="str">
        <f t="array" ref="J838">iF('Ingest Template'!A838="Standard","Pristine Brand",INDEX(DropdownLists!$B$2:$B$246,MATCH('Ingest Template'!D838,DropdownLists!$C$2:$C$246,0)))</f>
        <v>#N/A</v>
      </c>
      <c r="K838" s="22" t="str">
        <f>iF('Ingest Template'!A838="Standard",'Ingest Template'!K838&amp;CHAR(10)&amp;'Ingest Template'!L838,"Competitive View")</f>
        <v>Competitive View</v>
      </c>
      <c r="L838" s="22" t="s">
        <v>95</v>
      </c>
      <c r="M838" s="45" t="str">
        <f>'Ingest Template'!B838</f>
        <v/>
      </c>
      <c r="N838" s="35"/>
      <c r="O838" s="35"/>
      <c r="P838" s="35"/>
      <c r="Q838" s="35"/>
      <c r="R838" s="35" t="str">
        <f>'Ingest Template'!D838</f>
        <v/>
      </c>
      <c r="S838" s="22" t="s">
        <v>101</v>
      </c>
      <c r="T838" s="35" t="str">
        <f>'Ingest Template'!V838</f>
        <v/>
      </c>
      <c r="U838" s="35" t="str">
        <f>'Ingest Template'!W838</f>
        <v/>
      </c>
      <c r="V838" s="35" t="str">
        <f>LOWER(SUBSTITUTE(SUBSTITUTE(SUBSTITUTE(SUBSTITUTE(SUBSTITUTE('Ingest Template'!X838,"https:",""),"www.",""),"/",""),"?hl=en",""),"instagram.com",""))</f>
        <v/>
      </c>
      <c r="W838" s="74" t="str">
        <f t="array" ref="W838">IF(
'Ingest Template'!Y838="",
SUBSTITUTE(
INDEX(DropdownLists!$F$2:$F$277,MATCH('Ingest Template'!D838,DropdownLists!$C$2:$C$277,0)),
CHAR(10),
"|"&amp;'Ingest Template'!C838&amp;CHAR(10)
)&amp;"|"&amp;'Ingest Template'!C838,
SUBSTITUTE(
INDEX(DropdownLists!$F$2:$F$277,MATCH('Ingest Template'!D838,DropdownLists!$C$2:$C$277,0)),
CHAR(10),
"|"&amp;'Ingest Template'!C838&amp;CHAR(10)
)&amp;"|"&amp;'Ingest Template'!C838&amp;CHAR(10)&amp;'Ingest Template'!Y838
)</f>
        <v>#N/A</v>
      </c>
      <c r="X838" s="74" t="str">
        <f>'Ingest Template'!Z838</f>
        <v/>
      </c>
      <c r="Y838" s="35" t="str">
        <f>SUBSTITUTE(SUBSTITUTE(SUBSTITUTE('Ingest Template'!AA838,"http:",""),"https:",""),"/","")</f>
        <v/>
      </c>
      <c r="Z838" s="35" t="str">
        <f t="array" ref="Z838">IF('Ingest Template'!A838="Standard",(IF(ISBLANK('Ingest Template'!AB838),"", 'Ingest Template'!AB838&amp;"|DAR")),(IF(ISBLANK('Ingest Template'!AB838),"", 'Ingest Template'!AB838&amp;"|TV Ops")))</f>
        <v/>
      </c>
      <c r="AA838" s="35"/>
      <c r="AB838" s="35" t="str">
        <f>'Ingest Template'!R838</f>
        <v/>
      </c>
      <c r="AC838" s="35" t="str">
        <f>'Ingest Template'!T838</f>
        <v/>
      </c>
      <c r="AD838" s="35" t="str">
        <f>'Ingest Template'!S838</f>
        <v/>
      </c>
      <c r="AE838" s="35" t="str">
        <f>'Ingest Template'!U838</f>
        <v/>
      </c>
      <c r="AF838" s="22"/>
      <c r="AG838" s="35" t="str">
        <f t="array" ref="AG838">IF('Ingest Template'!A838="Standard",(CONCATENATE(IF(ISBLANK('Ingest Template'!N838),"", 'Ingest Template'!N838&amp;"|DAR"),CHAR(10), IF(ISBLANK('Ingest Template'!O838),"", 'Ingest Template'!O838&amp;"|DAR"),CHAR(10), IF(ISBLANK('Ingest Template'!P838),"", 'Ingest Template'!P838&amp;"|DAR"))),(CONCATENATE(IF(ISBLANK('Ingest Template'!N838),"", 'Ingest Template'!N838&amp;"|TV Ops"),CHAR(10), IF(ISBLANK('Ingest Template'!O838),"", 'Ingest Template'!O838&amp;"|TV Ops"),CHAR(10), IF(ISBLANK('Ingest Template'!P838),"", 'Ingest Template'!P838&amp;"|TV Ops"))))</f>
        <v>
</v>
      </c>
      <c r="AH838" s="35"/>
      <c r="AI838" s="35"/>
      <c r="AJ838" s="117" t="str">
        <f>if('Ingest Template'!A838="Standard",(IF(OR('Ingest Template'!F838 = "Program Type - Special", 'Ingest Template'!F838 = "Program Type - Live Event"),'Ingest Template'!M838&amp; "|DAR|DAR|"&amp;TEXT('Ingest Template'!C838-3, "yyyy-mm-dd")&amp;"|"&amp;TEXT('Ingest Template'!C838+3, "yyyy-mm-dd"),'Ingest Template'!M838&amp; "|DAR|DAR|2021-01-01")),(IF(OR('Ingest Template'!F838 = "Program Type - Special", 'Ingest Template'!F838 = "Program Type - Live Event"),'Ingest Template'!M838&amp; "|Operations - Core Title|Operations - Core Title|"&amp;TEXT('Ingest Template'!C838-3, "yyyy-mm-dd")&amp;"|"&amp;TEXT('Ingest Template'!C838+3, "yyyy-mm-dd"),'Ingest Template'!M838&amp; "|Operations - Core Title|Operations - Core Title")))</f>
        <v>|Operations - Core Title|Operations - Core Title</v>
      </c>
      <c r="AK838" s="35"/>
      <c r="AL838" s="117" t="str">
        <f>if('Ingest Template'!A838="Standard",(IF(OR('Ingest Template'!F838 = "Program Type - Special", 'Ingest Template'!F838 = "Program Type - Live Event"),'Ingest Template'!Q838&amp;"|"&amp;TEXT('Ingest Template'!C838-3, "yyyy-mm-dd")&amp;"|"&amp;TEXT('Ingest Template'!C838+3, "yyyy-mm-dd"),'Ingest Template'!Q838&amp; "|2021-01-01")),(IF(OR('Ingest Template'!F838 = "Program Type - Special", 'Ingest Template'!F838 = "Program Type - Live Event"),'Ingest Template'!Q838&amp; "|"&amp;TEXT('Ingest Template'!C838-3, "yyyy-mm-dd")&amp;"|"&amp;TEXT('Ingest Template'!C838+3, "yyyy-mm-dd"),'Ingest Template'!Q838)))</f>
        <v/>
      </c>
      <c r="AM838" s="35" t="str">
        <f>'Ingest Template'!AC838</f>
        <v/>
      </c>
    </row>
    <row r="839">
      <c r="A839" s="15"/>
      <c r="B839" s="22" t="str">
        <f>'Ingest Template'!C839&amp;IF('Ingest Template'!A839 = "Standard", " - DAR","")</f>
        <v/>
      </c>
      <c r="C839" s="22" t="s">
        <v>83</v>
      </c>
      <c r="D839" s="22" t="str">
        <f t="array" ref="D839">CONCATENATE(INDEX(DropdownLists!$H$2:$H$11,MATCH(1,COUNTIF('Ingest Template'!E839,"*"&amp;DropdownLists!$I$2:$I$11&amp;"*"),0)),CHAR(10),'Ingest Template'!F839,CHAR(10),'Ingest Template'!G839,CHAR(10),VLOOKUP('Ingest Template'!D839,DropdownLists!C:D,2,FALSE))</f>
        <v>#N/A</v>
      </c>
      <c r="E839" s="22" t="str">
        <f>CONCATENATE('Ingest Template'!H839,CHAR(10),'Ingest Template'!I839,CHAR(10),'Ingest Template'!J839,CHAR(10))</f>
        <v>
</v>
      </c>
      <c r="F839" s="35" t="str">
        <f t="array" ref="F839">INDEX(DropdownLists!$O$2:$O$36,MATCH(1,COUNTIF(E839,"*"&amp;DropdownLists!$N$2:$N$36&amp;"*"),0))</f>
        <v/>
      </c>
      <c r="G839" s="35"/>
      <c r="H839" s="22" t="str">
        <f t="array" ref="H839">INDEX(DropdownLists!$E$2:$E$276,MATCH('Ingest Template'!D839,DropdownLists!$C$2:$C$276,0))</f>
        <v>#N/A</v>
      </c>
      <c r="I839" s="22"/>
      <c r="J839" s="22" t="str">
        <f t="array" ref="J839">iF('Ingest Template'!A839="Standard","Pristine Brand",INDEX(DropdownLists!$B$2:$B$246,MATCH('Ingest Template'!D839,DropdownLists!$C$2:$C$246,0)))</f>
        <v>#N/A</v>
      </c>
      <c r="K839" s="22" t="str">
        <f>iF('Ingest Template'!A839="Standard",'Ingest Template'!K839&amp;CHAR(10)&amp;'Ingest Template'!L839,"Competitive View")</f>
        <v>Competitive View</v>
      </c>
      <c r="L839" s="22" t="s">
        <v>95</v>
      </c>
      <c r="M839" s="45" t="str">
        <f>'Ingest Template'!B839</f>
        <v/>
      </c>
      <c r="N839" s="35"/>
      <c r="O839" s="35"/>
      <c r="P839" s="35"/>
      <c r="Q839" s="35"/>
      <c r="R839" s="35" t="str">
        <f>'Ingest Template'!D839</f>
        <v/>
      </c>
      <c r="S839" s="22" t="s">
        <v>101</v>
      </c>
      <c r="T839" s="35" t="str">
        <f>'Ingest Template'!V839</f>
        <v/>
      </c>
      <c r="U839" s="35" t="str">
        <f>'Ingest Template'!W839</f>
        <v/>
      </c>
      <c r="V839" s="35" t="str">
        <f>LOWER(SUBSTITUTE(SUBSTITUTE(SUBSTITUTE(SUBSTITUTE(SUBSTITUTE('Ingest Template'!X839,"https:",""),"www.",""),"/",""),"?hl=en",""),"instagram.com",""))</f>
        <v/>
      </c>
      <c r="W839" s="74" t="str">
        <f t="array" ref="W839">IF(
'Ingest Template'!Y839="",
SUBSTITUTE(
INDEX(DropdownLists!$F$2:$F$277,MATCH('Ingest Template'!D839,DropdownLists!$C$2:$C$277,0)),
CHAR(10),
"|"&amp;'Ingest Template'!C839&amp;CHAR(10)
)&amp;"|"&amp;'Ingest Template'!C839,
SUBSTITUTE(
INDEX(DropdownLists!$F$2:$F$277,MATCH('Ingest Template'!D839,DropdownLists!$C$2:$C$277,0)),
CHAR(10),
"|"&amp;'Ingest Template'!C839&amp;CHAR(10)
)&amp;"|"&amp;'Ingest Template'!C839&amp;CHAR(10)&amp;'Ingest Template'!Y839
)</f>
        <v>#N/A</v>
      </c>
      <c r="X839" s="74" t="str">
        <f>'Ingest Template'!Z839</f>
        <v/>
      </c>
      <c r="Y839" s="35" t="str">
        <f>SUBSTITUTE(SUBSTITUTE(SUBSTITUTE('Ingest Template'!AA839,"http:",""),"https:",""),"/","")</f>
        <v/>
      </c>
      <c r="Z839" s="35" t="str">
        <f t="array" ref="Z839">IF('Ingest Template'!A839="Standard",(IF(ISBLANK('Ingest Template'!AB839),"", 'Ingest Template'!AB839&amp;"|DAR")),(IF(ISBLANK('Ingest Template'!AB839),"", 'Ingest Template'!AB839&amp;"|TV Ops")))</f>
        <v/>
      </c>
      <c r="AA839" s="35"/>
      <c r="AB839" s="35" t="str">
        <f>'Ingest Template'!R839</f>
        <v/>
      </c>
      <c r="AC839" s="35" t="str">
        <f>'Ingest Template'!T839</f>
        <v/>
      </c>
      <c r="AD839" s="35" t="str">
        <f>'Ingest Template'!S839</f>
        <v/>
      </c>
      <c r="AE839" s="35" t="str">
        <f>'Ingest Template'!U839</f>
        <v/>
      </c>
      <c r="AF839" s="22"/>
      <c r="AG839" s="35" t="str">
        <f t="array" ref="AG839">IF('Ingest Template'!A839="Standard",(CONCATENATE(IF(ISBLANK('Ingest Template'!N839),"", 'Ingest Template'!N839&amp;"|DAR"),CHAR(10), IF(ISBLANK('Ingest Template'!O839),"", 'Ingest Template'!O839&amp;"|DAR"),CHAR(10), IF(ISBLANK('Ingest Template'!P839),"", 'Ingest Template'!P839&amp;"|DAR"))),(CONCATENATE(IF(ISBLANK('Ingest Template'!N839),"", 'Ingest Template'!N839&amp;"|TV Ops"),CHAR(10), IF(ISBLANK('Ingest Template'!O839),"", 'Ingest Template'!O839&amp;"|TV Ops"),CHAR(10), IF(ISBLANK('Ingest Template'!P839),"", 'Ingest Template'!P839&amp;"|TV Ops"))))</f>
        <v>
</v>
      </c>
      <c r="AH839" s="35"/>
      <c r="AI839" s="35"/>
      <c r="AJ839" s="117" t="str">
        <f>if('Ingest Template'!A839="Standard",(IF(OR('Ingest Template'!F839 = "Program Type - Special", 'Ingest Template'!F839 = "Program Type - Live Event"),'Ingest Template'!M839&amp; "|DAR|DAR|"&amp;TEXT('Ingest Template'!C839-3, "yyyy-mm-dd")&amp;"|"&amp;TEXT('Ingest Template'!C839+3, "yyyy-mm-dd"),'Ingest Template'!M839&amp; "|DAR|DAR|2021-01-01")),(IF(OR('Ingest Template'!F839 = "Program Type - Special", 'Ingest Template'!F839 = "Program Type - Live Event"),'Ingest Template'!M839&amp; "|Operations - Core Title|Operations - Core Title|"&amp;TEXT('Ingest Template'!C839-3, "yyyy-mm-dd")&amp;"|"&amp;TEXT('Ingest Template'!C839+3, "yyyy-mm-dd"),'Ingest Template'!M839&amp; "|Operations - Core Title|Operations - Core Title")))</f>
        <v>|Operations - Core Title|Operations - Core Title</v>
      </c>
      <c r="AK839" s="35"/>
      <c r="AL839" s="117" t="str">
        <f>if('Ingest Template'!A839="Standard",(IF(OR('Ingest Template'!F839 = "Program Type - Special", 'Ingest Template'!F839 = "Program Type - Live Event"),'Ingest Template'!Q839&amp;"|"&amp;TEXT('Ingest Template'!C839-3, "yyyy-mm-dd")&amp;"|"&amp;TEXT('Ingest Template'!C839+3, "yyyy-mm-dd"),'Ingest Template'!Q839&amp; "|2021-01-01")),(IF(OR('Ingest Template'!F839 = "Program Type - Special", 'Ingest Template'!F839 = "Program Type - Live Event"),'Ingest Template'!Q839&amp; "|"&amp;TEXT('Ingest Template'!C839-3, "yyyy-mm-dd")&amp;"|"&amp;TEXT('Ingest Template'!C839+3, "yyyy-mm-dd"),'Ingest Template'!Q839)))</f>
        <v/>
      </c>
      <c r="AM839" s="35" t="str">
        <f>'Ingest Template'!AC839</f>
        <v/>
      </c>
    </row>
    <row r="840">
      <c r="A840" s="15"/>
      <c r="B840" s="22" t="str">
        <f>'Ingest Template'!C840&amp;IF('Ingest Template'!A840 = "Standard", " - DAR","")</f>
        <v/>
      </c>
      <c r="C840" s="22" t="s">
        <v>83</v>
      </c>
      <c r="D840" s="22" t="str">
        <f t="array" ref="D840">CONCATENATE(INDEX(DropdownLists!$H$2:$H$11,MATCH(1,COUNTIF('Ingest Template'!E840,"*"&amp;DropdownLists!$I$2:$I$11&amp;"*"),0)),CHAR(10),'Ingest Template'!F840,CHAR(10),'Ingest Template'!G840,CHAR(10),VLOOKUP('Ingest Template'!D840,DropdownLists!C:D,2,FALSE))</f>
        <v>#N/A</v>
      </c>
      <c r="E840" s="22" t="str">
        <f>CONCATENATE('Ingest Template'!H840,CHAR(10),'Ingest Template'!I840,CHAR(10),'Ingest Template'!J840,CHAR(10))</f>
        <v>
</v>
      </c>
      <c r="F840" s="35" t="str">
        <f t="array" ref="F840">INDEX(DropdownLists!$O$2:$O$36,MATCH(1,COUNTIF(E840,"*"&amp;DropdownLists!$N$2:$N$36&amp;"*"),0))</f>
        <v/>
      </c>
      <c r="G840" s="35"/>
      <c r="H840" s="22" t="str">
        <f t="array" ref="H840">INDEX(DropdownLists!$E$2:$E$276,MATCH('Ingest Template'!D840,DropdownLists!$C$2:$C$276,0))</f>
        <v>#N/A</v>
      </c>
      <c r="I840" s="22"/>
      <c r="J840" s="22" t="str">
        <f t="array" ref="J840">iF('Ingest Template'!A840="Standard","Pristine Brand",INDEX(DropdownLists!$B$2:$B$246,MATCH('Ingest Template'!D840,DropdownLists!$C$2:$C$246,0)))</f>
        <v>#N/A</v>
      </c>
      <c r="K840" s="22" t="str">
        <f>iF('Ingest Template'!A840="Standard",'Ingest Template'!K840&amp;CHAR(10)&amp;'Ingest Template'!L840,"Competitive View")</f>
        <v>Competitive View</v>
      </c>
      <c r="L840" s="22" t="s">
        <v>95</v>
      </c>
      <c r="M840" s="45" t="str">
        <f>'Ingest Template'!B840</f>
        <v/>
      </c>
      <c r="N840" s="35"/>
      <c r="O840" s="35"/>
      <c r="P840" s="35"/>
      <c r="Q840" s="35"/>
      <c r="R840" s="35" t="str">
        <f>'Ingest Template'!D840</f>
        <v/>
      </c>
      <c r="S840" s="22" t="s">
        <v>101</v>
      </c>
      <c r="T840" s="35" t="str">
        <f>'Ingest Template'!V840</f>
        <v/>
      </c>
      <c r="U840" s="35" t="str">
        <f>'Ingest Template'!W840</f>
        <v/>
      </c>
      <c r="V840" s="35" t="str">
        <f>LOWER(SUBSTITUTE(SUBSTITUTE(SUBSTITUTE(SUBSTITUTE(SUBSTITUTE('Ingest Template'!X840,"https:",""),"www.",""),"/",""),"?hl=en",""),"instagram.com",""))</f>
        <v/>
      </c>
      <c r="W840" s="74" t="str">
        <f t="array" ref="W840">IF(
'Ingest Template'!Y840="",
SUBSTITUTE(
INDEX(DropdownLists!$F$2:$F$277,MATCH('Ingest Template'!D840,DropdownLists!$C$2:$C$277,0)),
CHAR(10),
"|"&amp;'Ingest Template'!C840&amp;CHAR(10)
)&amp;"|"&amp;'Ingest Template'!C840,
SUBSTITUTE(
INDEX(DropdownLists!$F$2:$F$277,MATCH('Ingest Template'!D840,DropdownLists!$C$2:$C$277,0)),
CHAR(10),
"|"&amp;'Ingest Template'!C840&amp;CHAR(10)
)&amp;"|"&amp;'Ingest Template'!C840&amp;CHAR(10)&amp;'Ingest Template'!Y840
)</f>
        <v>#N/A</v>
      </c>
      <c r="X840" s="74" t="str">
        <f>'Ingest Template'!Z840</f>
        <v/>
      </c>
      <c r="Y840" s="35" t="str">
        <f>SUBSTITUTE(SUBSTITUTE(SUBSTITUTE('Ingest Template'!AA840,"http:",""),"https:",""),"/","")</f>
        <v/>
      </c>
      <c r="Z840" s="35" t="str">
        <f t="array" ref="Z840">IF('Ingest Template'!A840="Standard",(IF(ISBLANK('Ingest Template'!AB840),"", 'Ingest Template'!AB840&amp;"|DAR")),(IF(ISBLANK('Ingest Template'!AB840),"", 'Ingest Template'!AB840&amp;"|TV Ops")))</f>
        <v/>
      </c>
      <c r="AA840" s="35"/>
      <c r="AB840" s="35" t="str">
        <f>'Ingest Template'!R840</f>
        <v/>
      </c>
      <c r="AC840" s="35" t="str">
        <f>'Ingest Template'!T840</f>
        <v/>
      </c>
      <c r="AD840" s="35" t="str">
        <f>'Ingest Template'!S840</f>
        <v/>
      </c>
      <c r="AE840" s="35" t="str">
        <f>'Ingest Template'!U840</f>
        <v/>
      </c>
      <c r="AF840" s="22"/>
      <c r="AG840" s="35" t="str">
        <f t="array" ref="AG840">IF('Ingest Template'!A840="Standard",(CONCATENATE(IF(ISBLANK('Ingest Template'!N840),"", 'Ingest Template'!N840&amp;"|DAR"),CHAR(10), IF(ISBLANK('Ingest Template'!O840),"", 'Ingest Template'!O840&amp;"|DAR"),CHAR(10), IF(ISBLANK('Ingest Template'!P840),"", 'Ingest Template'!P840&amp;"|DAR"))),(CONCATENATE(IF(ISBLANK('Ingest Template'!N840),"", 'Ingest Template'!N840&amp;"|TV Ops"),CHAR(10), IF(ISBLANK('Ingest Template'!O840),"", 'Ingest Template'!O840&amp;"|TV Ops"),CHAR(10), IF(ISBLANK('Ingest Template'!P840),"", 'Ingest Template'!P840&amp;"|TV Ops"))))</f>
        <v>
</v>
      </c>
      <c r="AH840" s="35"/>
      <c r="AI840" s="35"/>
      <c r="AJ840" s="117" t="str">
        <f>if('Ingest Template'!A840="Standard",(IF(OR('Ingest Template'!F840 = "Program Type - Special", 'Ingest Template'!F840 = "Program Type - Live Event"),'Ingest Template'!M840&amp; "|DAR|DAR|"&amp;TEXT('Ingest Template'!C840-3, "yyyy-mm-dd")&amp;"|"&amp;TEXT('Ingest Template'!C840+3, "yyyy-mm-dd"),'Ingest Template'!M840&amp; "|DAR|DAR|2021-01-01")),(IF(OR('Ingest Template'!F840 = "Program Type - Special", 'Ingest Template'!F840 = "Program Type - Live Event"),'Ingest Template'!M840&amp; "|Operations - Core Title|Operations - Core Title|"&amp;TEXT('Ingest Template'!C840-3, "yyyy-mm-dd")&amp;"|"&amp;TEXT('Ingest Template'!C840+3, "yyyy-mm-dd"),'Ingest Template'!M840&amp; "|Operations - Core Title|Operations - Core Title")))</f>
        <v>|Operations - Core Title|Operations - Core Title</v>
      </c>
      <c r="AK840" s="35"/>
      <c r="AL840" s="117" t="str">
        <f>if('Ingest Template'!A840="Standard",(IF(OR('Ingest Template'!F840 = "Program Type - Special", 'Ingest Template'!F840 = "Program Type - Live Event"),'Ingest Template'!Q840&amp;"|"&amp;TEXT('Ingest Template'!C840-3, "yyyy-mm-dd")&amp;"|"&amp;TEXT('Ingest Template'!C840+3, "yyyy-mm-dd"),'Ingest Template'!Q840&amp; "|2021-01-01")),(IF(OR('Ingest Template'!F840 = "Program Type - Special", 'Ingest Template'!F840 = "Program Type - Live Event"),'Ingest Template'!Q840&amp; "|"&amp;TEXT('Ingest Template'!C840-3, "yyyy-mm-dd")&amp;"|"&amp;TEXT('Ingest Template'!C840+3, "yyyy-mm-dd"),'Ingest Template'!Q840)))</f>
        <v/>
      </c>
      <c r="AM840" s="35" t="str">
        <f>'Ingest Template'!AC840</f>
        <v/>
      </c>
    </row>
    <row r="841">
      <c r="A841" s="15"/>
      <c r="B841" s="22" t="str">
        <f>'Ingest Template'!C841&amp;IF('Ingest Template'!A841 = "Standard", " - DAR","")</f>
        <v/>
      </c>
      <c r="C841" s="22" t="s">
        <v>83</v>
      </c>
      <c r="D841" s="22" t="str">
        <f t="array" ref="D841">CONCATENATE(INDEX(DropdownLists!$H$2:$H$11,MATCH(1,COUNTIF('Ingest Template'!E841,"*"&amp;DropdownLists!$I$2:$I$11&amp;"*"),0)),CHAR(10),'Ingest Template'!F841,CHAR(10),'Ingest Template'!G841,CHAR(10),VLOOKUP('Ingest Template'!D841,DropdownLists!C:D,2,FALSE))</f>
        <v>#N/A</v>
      </c>
      <c r="E841" s="22" t="str">
        <f>CONCATENATE('Ingest Template'!H841,CHAR(10),'Ingest Template'!I841,CHAR(10),'Ingest Template'!J841,CHAR(10))</f>
        <v>
</v>
      </c>
      <c r="F841" s="35" t="str">
        <f t="array" ref="F841">INDEX(DropdownLists!$O$2:$O$36,MATCH(1,COUNTIF(E841,"*"&amp;DropdownLists!$N$2:$N$36&amp;"*"),0))</f>
        <v/>
      </c>
      <c r="G841" s="35"/>
      <c r="H841" s="22" t="str">
        <f t="array" ref="H841">INDEX(DropdownLists!$E$2:$E$276,MATCH('Ingest Template'!D841,DropdownLists!$C$2:$C$276,0))</f>
        <v>#N/A</v>
      </c>
      <c r="I841" s="22"/>
      <c r="J841" s="22" t="str">
        <f t="array" ref="J841">iF('Ingest Template'!A841="Standard","Pristine Brand",INDEX(DropdownLists!$B$2:$B$246,MATCH('Ingest Template'!D841,DropdownLists!$C$2:$C$246,0)))</f>
        <v>#N/A</v>
      </c>
      <c r="K841" s="22" t="str">
        <f>iF('Ingest Template'!A841="Standard",'Ingest Template'!K841&amp;CHAR(10)&amp;'Ingest Template'!L841,"Competitive View")</f>
        <v>Competitive View</v>
      </c>
      <c r="L841" s="22" t="s">
        <v>95</v>
      </c>
      <c r="M841" s="45" t="str">
        <f>'Ingest Template'!B841</f>
        <v/>
      </c>
      <c r="N841" s="35"/>
      <c r="O841" s="35"/>
      <c r="P841" s="35"/>
      <c r="Q841" s="35"/>
      <c r="R841" s="35" t="str">
        <f>'Ingest Template'!D841</f>
        <v/>
      </c>
      <c r="S841" s="22" t="s">
        <v>101</v>
      </c>
      <c r="T841" s="35" t="str">
        <f>'Ingest Template'!V841</f>
        <v/>
      </c>
      <c r="U841" s="35" t="str">
        <f>'Ingest Template'!W841</f>
        <v/>
      </c>
      <c r="V841" s="35" t="str">
        <f>LOWER(SUBSTITUTE(SUBSTITUTE(SUBSTITUTE(SUBSTITUTE(SUBSTITUTE('Ingest Template'!X841,"https:",""),"www.",""),"/",""),"?hl=en",""),"instagram.com",""))</f>
        <v/>
      </c>
      <c r="W841" s="74" t="str">
        <f t="array" ref="W841">IF(
'Ingest Template'!Y841="",
SUBSTITUTE(
INDEX(DropdownLists!$F$2:$F$277,MATCH('Ingest Template'!D841,DropdownLists!$C$2:$C$277,0)),
CHAR(10),
"|"&amp;'Ingest Template'!C841&amp;CHAR(10)
)&amp;"|"&amp;'Ingest Template'!C841,
SUBSTITUTE(
INDEX(DropdownLists!$F$2:$F$277,MATCH('Ingest Template'!D841,DropdownLists!$C$2:$C$277,0)),
CHAR(10),
"|"&amp;'Ingest Template'!C841&amp;CHAR(10)
)&amp;"|"&amp;'Ingest Template'!C841&amp;CHAR(10)&amp;'Ingest Template'!Y841
)</f>
        <v>#N/A</v>
      </c>
      <c r="X841" s="74" t="str">
        <f>'Ingest Template'!Z841</f>
        <v/>
      </c>
      <c r="Y841" s="35" t="str">
        <f>SUBSTITUTE(SUBSTITUTE(SUBSTITUTE('Ingest Template'!AA841,"http:",""),"https:",""),"/","")</f>
        <v/>
      </c>
      <c r="Z841" s="35" t="str">
        <f t="array" ref="Z841">IF('Ingest Template'!A841="Standard",(IF(ISBLANK('Ingest Template'!AB841),"", 'Ingest Template'!AB841&amp;"|DAR")),(IF(ISBLANK('Ingest Template'!AB841),"", 'Ingest Template'!AB841&amp;"|TV Ops")))</f>
        <v/>
      </c>
      <c r="AA841" s="35"/>
      <c r="AB841" s="35" t="str">
        <f>'Ingest Template'!R841</f>
        <v/>
      </c>
      <c r="AC841" s="35" t="str">
        <f>'Ingest Template'!T841</f>
        <v/>
      </c>
      <c r="AD841" s="35" t="str">
        <f>'Ingest Template'!S841</f>
        <v/>
      </c>
      <c r="AE841" s="35" t="str">
        <f>'Ingest Template'!U841</f>
        <v/>
      </c>
      <c r="AF841" s="22"/>
      <c r="AG841" s="35" t="str">
        <f t="array" ref="AG841">IF('Ingest Template'!A841="Standard",(CONCATENATE(IF(ISBLANK('Ingest Template'!N841),"", 'Ingest Template'!N841&amp;"|DAR"),CHAR(10), IF(ISBLANK('Ingest Template'!O841),"", 'Ingest Template'!O841&amp;"|DAR"),CHAR(10), IF(ISBLANK('Ingest Template'!P841),"", 'Ingest Template'!P841&amp;"|DAR"))),(CONCATENATE(IF(ISBLANK('Ingest Template'!N841),"", 'Ingest Template'!N841&amp;"|TV Ops"),CHAR(10), IF(ISBLANK('Ingest Template'!O841),"", 'Ingest Template'!O841&amp;"|TV Ops"),CHAR(10), IF(ISBLANK('Ingest Template'!P841),"", 'Ingest Template'!P841&amp;"|TV Ops"))))</f>
        <v>
</v>
      </c>
      <c r="AH841" s="35"/>
      <c r="AI841" s="35"/>
      <c r="AJ841" s="117" t="str">
        <f>if('Ingest Template'!A841="Standard",(IF(OR('Ingest Template'!F841 = "Program Type - Special", 'Ingest Template'!F841 = "Program Type - Live Event"),'Ingest Template'!M841&amp; "|DAR|DAR|"&amp;TEXT('Ingest Template'!C841-3, "yyyy-mm-dd")&amp;"|"&amp;TEXT('Ingest Template'!C841+3, "yyyy-mm-dd"),'Ingest Template'!M841&amp; "|DAR|DAR|2021-01-01")),(IF(OR('Ingest Template'!F841 = "Program Type - Special", 'Ingest Template'!F841 = "Program Type - Live Event"),'Ingest Template'!M841&amp; "|Operations - Core Title|Operations - Core Title|"&amp;TEXT('Ingest Template'!C841-3, "yyyy-mm-dd")&amp;"|"&amp;TEXT('Ingest Template'!C841+3, "yyyy-mm-dd"),'Ingest Template'!M841&amp; "|Operations - Core Title|Operations - Core Title")))</f>
        <v>|Operations - Core Title|Operations - Core Title</v>
      </c>
      <c r="AK841" s="35"/>
      <c r="AL841" s="117" t="str">
        <f>if('Ingest Template'!A841="Standard",(IF(OR('Ingest Template'!F841 = "Program Type - Special", 'Ingest Template'!F841 = "Program Type - Live Event"),'Ingest Template'!Q841&amp;"|"&amp;TEXT('Ingest Template'!C841-3, "yyyy-mm-dd")&amp;"|"&amp;TEXT('Ingest Template'!C841+3, "yyyy-mm-dd"),'Ingest Template'!Q841&amp; "|2021-01-01")),(IF(OR('Ingest Template'!F841 = "Program Type - Special", 'Ingest Template'!F841 = "Program Type - Live Event"),'Ingest Template'!Q841&amp; "|"&amp;TEXT('Ingest Template'!C841-3, "yyyy-mm-dd")&amp;"|"&amp;TEXT('Ingest Template'!C841+3, "yyyy-mm-dd"),'Ingest Template'!Q841)))</f>
        <v/>
      </c>
      <c r="AM841" s="35" t="str">
        <f>'Ingest Template'!AC841</f>
        <v/>
      </c>
    </row>
    <row r="842">
      <c r="A842" s="15"/>
      <c r="B842" s="22" t="str">
        <f>'Ingest Template'!C842&amp;IF('Ingest Template'!A842 = "Standard", " - DAR","")</f>
        <v/>
      </c>
      <c r="C842" s="22" t="s">
        <v>83</v>
      </c>
      <c r="D842" s="22" t="str">
        <f t="array" ref="D842">CONCATENATE(INDEX(DropdownLists!$H$2:$H$11,MATCH(1,COUNTIF('Ingest Template'!E842,"*"&amp;DropdownLists!$I$2:$I$11&amp;"*"),0)),CHAR(10),'Ingest Template'!F842,CHAR(10),'Ingest Template'!G842,CHAR(10),VLOOKUP('Ingest Template'!D842,DropdownLists!C:D,2,FALSE))</f>
        <v>#N/A</v>
      </c>
      <c r="E842" s="22" t="str">
        <f>CONCATENATE('Ingest Template'!H842,CHAR(10),'Ingest Template'!I842,CHAR(10),'Ingest Template'!J842,CHAR(10))</f>
        <v>
</v>
      </c>
      <c r="F842" s="35" t="str">
        <f t="array" ref="F842">INDEX(DropdownLists!$O$2:$O$36,MATCH(1,COUNTIF(E842,"*"&amp;DropdownLists!$N$2:$N$36&amp;"*"),0))</f>
        <v/>
      </c>
      <c r="G842" s="35"/>
      <c r="H842" s="22" t="str">
        <f t="array" ref="H842">INDEX(DropdownLists!$E$2:$E$276,MATCH('Ingest Template'!D842,DropdownLists!$C$2:$C$276,0))</f>
        <v>#N/A</v>
      </c>
      <c r="I842" s="22"/>
      <c r="J842" s="22" t="str">
        <f t="array" ref="J842">iF('Ingest Template'!A842="Standard","Pristine Brand",INDEX(DropdownLists!$B$2:$B$246,MATCH('Ingest Template'!D842,DropdownLists!$C$2:$C$246,0)))</f>
        <v>#N/A</v>
      </c>
      <c r="K842" s="22" t="str">
        <f>iF('Ingest Template'!A842="Standard",'Ingest Template'!K842&amp;CHAR(10)&amp;'Ingest Template'!L842,"Competitive View")</f>
        <v>Competitive View</v>
      </c>
      <c r="L842" s="22" t="s">
        <v>95</v>
      </c>
      <c r="M842" s="45" t="str">
        <f>'Ingest Template'!B842</f>
        <v/>
      </c>
      <c r="N842" s="35"/>
      <c r="O842" s="35"/>
      <c r="P842" s="35"/>
      <c r="Q842" s="35"/>
      <c r="R842" s="35" t="str">
        <f>'Ingest Template'!D842</f>
        <v/>
      </c>
      <c r="S842" s="22" t="s">
        <v>101</v>
      </c>
      <c r="T842" s="35" t="str">
        <f>'Ingest Template'!V842</f>
        <v/>
      </c>
      <c r="U842" s="35" t="str">
        <f>'Ingest Template'!W842</f>
        <v/>
      </c>
      <c r="V842" s="35" t="str">
        <f>LOWER(SUBSTITUTE(SUBSTITUTE(SUBSTITUTE(SUBSTITUTE(SUBSTITUTE('Ingest Template'!X842,"https:",""),"www.",""),"/",""),"?hl=en",""),"instagram.com",""))</f>
        <v/>
      </c>
      <c r="W842" s="74" t="str">
        <f t="array" ref="W842">IF(
'Ingest Template'!Y842="",
SUBSTITUTE(
INDEX(DropdownLists!$F$2:$F$277,MATCH('Ingest Template'!D842,DropdownLists!$C$2:$C$277,0)),
CHAR(10),
"|"&amp;'Ingest Template'!C842&amp;CHAR(10)
)&amp;"|"&amp;'Ingest Template'!C842,
SUBSTITUTE(
INDEX(DropdownLists!$F$2:$F$277,MATCH('Ingest Template'!D842,DropdownLists!$C$2:$C$277,0)),
CHAR(10),
"|"&amp;'Ingest Template'!C842&amp;CHAR(10)
)&amp;"|"&amp;'Ingest Template'!C842&amp;CHAR(10)&amp;'Ingest Template'!Y842
)</f>
        <v>#N/A</v>
      </c>
      <c r="X842" s="74" t="str">
        <f>'Ingest Template'!Z842</f>
        <v/>
      </c>
      <c r="Y842" s="35" t="str">
        <f>SUBSTITUTE(SUBSTITUTE(SUBSTITUTE('Ingest Template'!AA842,"http:",""),"https:",""),"/","")</f>
        <v/>
      </c>
      <c r="Z842" s="35" t="str">
        <f t="array" ref="Z842">IF('Ingest Template'!A842="Standard",(IF(ISBLANK('Ingest Template'!AB842),"", 'Ingest Template'!AB842&amp;"|DAR")),(IF(ISBLANK('Ingest Template'!AB842),"", 'Ingest Template'!AB842&amp;"|TV Ops")))</f>
        <v/>
      </c>
      <c r="AA842" s="35"/>
      <c r="AB842" s="35" t="str">
        <f>'Ingest Template'!R842</f>
        <v/>
      </c>
      <c r="AC842" s="35" t="str">
        <f>'Ingest Template'!T842</f>
        <v/>
      </c>
      <c r="AD842" s="35" t="str">
        <f>'Ingest Template'!S842</f>
        <v/>
      </c>
      <c r="AE842" s="35" t="str">
        <f>'Ingest Template'!U842</f>
        <v/>
      </c>
      <c r="AF842" s="22"/>
      <c r="AG842" s="35" t="str">
        <f t="array" ref="AG842">IF('Ingest Template'!A842="Standard",(CONCATENATE(IF(ISBLANK('Ingest Template'!N842),"", 'Ingest Template'!N842&amp;"|DAR"),CHAR(10), IF(ISBLANK('Ingest Template'!O842),"", 'Ingest Template'!O842&amp;"|DAR"),CHAR(10), IF(ISBLANK('Ingest Template'!P842),"", 'Ingest Template'!P842&amp;"|DAR"))),(CONCATENATE(IF(ISBLANK('Ingest Template'!N842),"", 'Ingest Template'!N842&amp;"|TV Ops"),CHAR(10), IF(ISBLANK('Ingest Template'!O842),"", 'Ingest Template'!O842&amp;"|TV Ops"),CHAR(10), IF(ISBLANK('Ingest Template'!P842),"", 'Ingest Template'!P842&amp;"|TV Ops"))))</f>
        <v>
</v>
      </c>
      <c r="AH842" s="35"/>
      <c r="AI842" s="35"/>
      <c r="AJ842" s="117" t="str">
        <f>if('Ingest Template'!A842="Standard",(IF(OR('Ingest Template'!F842 = "Program Type - Special", 'Ingest Template'!F842 = "Program Type - Live Event"),'Ingest Template'!M842&amp; "|DAR|DAR|"&amp;TEXT('Ingest Template'!C842-3, "yyyy-mm-dd")&amp;"|"&amp;TEXT('Ingest Template'!C842+3, "yyyy-mm-dd"),'Ingest Template'!M842&amp; "|DAR|DAR|2021-01-01")),(IF(OR('Ingest Template'!F842 = "Program Type - Special", 'Ingest Template'!F842 = "Program Type - Live Event"),'Ingest Template'!M842&amp; "|Operations - Core Title|Operations - Core Title|"&amp;TEXT('Ingest Template'!C842-3, "yyyy-mm-dd")&amp;"|"&amp;TEXT('Ingest Template'!C842+3, "yyyy-mm-dd"),'Ingest Template'!M842&amp; "|Operations - Core Title|Operations - Core Title")))</f>
        <v>|Operations - Core Title|Operations - Core Title</v>
      </c>
      <c r="AK842" s="35"/>
      <c r="AL842" s="117" t="str">
        <f>if('Ingest Template'!A842="Standard",(IF(OR('Ingest Template'!F842 = "Program Type - Special", 'Ingest Template'!F842 = "Program Type - Live Event"),'Ingest Template'!Q842&amp;"|"&amp;TEXT('Ingest Template'!C842-3, "yyyy-mm-dd")&amp;"|"&amp;TEXT('Ingest Template'!C842+3, "yyyy-mm-dd"),'Ingest Template'!Q842&amp; "|2021-01-01")),(IF(OR('Ingest Template'!F842 = "Program Type - Special", 'Ingest Template'!F842 = "Program Type - Live Event"),'Ingest Template'!Q842&amp; "|"&amp;TEXT('Ingest Template'!C842-3, "yyyy-mm-dd")&amp;"|"&amp;TEXT('Ingest Template'!C842+3, "yyyy-mm-dd"),'Ingest Template'!Q842)))</f>
        <v/>
      </c>
      <c r="AM842" s="35" t="str">
        <f>'Ingest Template'!AC842</f>
        <v/>
      </c>
    </row>
    <row r="843">
      <c r="A843" s="15"/>
      <c r="B843" s="22" t="str">
        <f>'Ingest Template'!C843&amp;IF('Ingest Template'!A843 = "Standard", " - DAR","")</f>
        <v/>
      </c>
      <c r="C843" s="22" t="s">
        <v>83</v>
      </c>
      <c r="D843" s="22" t="str">
        <f t="array" ref="D843">CONCATENATE(INDEX(DropdownLists!$H$2:$H$11,MATCH(1,COUNTIF('Ingest Template'!E843,"*"&amp;DropdownLists!$I$2:$I$11&amp;"*"),0)),CHAR(10),'Ingest Template'!F843,CHAR(10),'Ingest Template'!G843,CHAR(10),VLOOKUP('Ingest Template'!D843,DropdownLists!C:D,2,FALSE))</f>
        <v>#N/A</v>
      </c>
      <c r="E843" s="22" t="str">
        <f>CONCATENATE('Ingest Template'!H843,CHAR(10),'Ingest Template'!I843,CHAR(10),'Ingest Template'!J843,CHAR(10))</f>
        <v>
</v>
      </c>
      <c r="F843" s="35" t="str">
        <f t="array" ref="F843">INDEX(DropdownLists!$O$2:$O$36,MATCH(1,COUNTIF(E843,"*"&amp;DropdownLists!$N$2:$N$36&amp;"*"),0))</f>
        <v/>
      </c>
      <c r="G843" s="35"/>
      <c r="H843" s="22" t="str">
        <f t="array" ref="H843">INDEX(DropdownLists!$E$2:$E$276,MATCH('Ingest Template'!D843,DropdownLists!$C$2:$C$276,0))</f>
        <v>#N/A</v>
      </c>
      <c r="I843" s="22"/>
      <c r="J843" s="22" t="str">
        <f t="array" ref="J843">iF('Ingest Template'!A843="Standard","Pristine Brand",INDEX(DropdownLists!$B$2:$B$246,MATCH('Ingest Template'!D843,DropdownLists!$C$2:$C$246,0)))</f>
        <v>#N/A</v>
      </c>
      <c r="K843" s="22" t="str">
        <f>iF('Ingest Template'!A843="Standard",'Ingest Template'!K843&amp;CHAR(10)&amp;'Ingest Template'!L843,"Competitive View")</f>
        <v>Competitive View</v>
      </c>
      <c r="L843" s="22" t="s">
        <v>95</v>
      </c>
      <c r="M843" s="45" t="str">
        <f>'Ingest Template'!B843</f>
        <v/>
      </c>
      <c r="N843" s="35"/>
      <c r="O843" s="35"/>
      <c r="P843" s="35"/>
      <c r="Q843" s="35"/>
      <c r="R843" s="35" t="str">
        <f>'Ingest Template'!D843</f>
        <v/>
      </c>
      <c r="S843" s="22" t="s">
        <v>101</v>
      </c>
      <c r="T843" s="35" t="str">
        <f>'Ingest Template'!V843</f>
        <v/>
      </c>
      <c r="U843" s="35" t="str">
        <f>'Ingest Template'!W843</f>
        <v/>
      </c>
      <c r="V843" s="35" t="str">
        <f>LOWER(SUBSTITUTE(SUBSTITUTE(SUBSTITUTE(SUBSTITUTE(SUBSTITUTE('Ingest Template'!X843,"https:",""),"www.",""),"/",""),"?hl=en",""),"instagram.com",""))</f>
        <v/>
      </c>
      <c r="W843" s="74" t="str">
        <f t="array" ref="W843">IF(
'Ingest Template'!Y843="",
SUBSTITUTE(
INDEX(DropdownLists!$F$2:$F$277,MATCH('Ingest Template'!D843,DropdownLists!$C$2:$C$277,0)),
CHAR(10),
"|"&amp;'Ingest Template'!C843&amp;CHAR(10)
)&amp;"|"&amp;'Ingest Template'!C843,
SUBSTITUTE(
INDEX(DropdownLists!$F$2:$F$277,MATCH('Ingest Template'!D843,DropdownLists!$C$2:$C$277,0)),
CHAR(10),
"|"&amp;'Ingest Template'!C843&amp;CHAR(10)
)&amp;"|"&amp;'Ingest Template'!C843&amp;CHAR(10)&amp;'Ingest Template'!Y843
)</f>
        <v>#N/A</v>
      </c>
      <c r="X843" s="74" t="str">
        <f>'Ingest Template'!Z843</f>
        <v/>
      </c>
      <c r="Y843" s="35" t="str">
        <f>SUBSTITUTE(SUBSTITUTE(SUBSTITUTE('Ingest Template'!AA843,"http:",""),"https:",""),"/","")</f>
        <v/>
      </c>
      <c r="Z843" s="35" t="str">
        <f t="array" ref="Z843">IF('Ingest Template'!A843="Standard",(IF(ISBLANK('Ingest Template'!AB843),"", 'Ingest Template'!AB843&amp;"|DAR")),(IF(ISBLANK('Ingest Template'!AB843),"", 'Ingest Template'!AB843&amp;"|TV Ops")))</f>
        <v/>
      </c>
      <c r="AA843" s="35"/>
      <c r="AB843" s="35" t="str">
        <f>'Ingest Template'!R843</f>
        <v/>
      </c>
      <c r="AC843" s="35" t="str">
        <f>'Ingest Template'!T843</f>
        <v/>
      </c>
      <c r="AD843" s="35" t="str">
        <f>'Ingest Template'!S843</f>
        <v/>
      </c>
      <c r="AE843" s="35" t="str">
        <f>'Ingest Template'!U843</f>
        <v/>
      </c>
      <c r="AF843" s="22"/>
      <c r="AG843" s="35" t="str">
        <f t="array" ref="AG843">IF('Ingest Template'!A843="Standard",(CONCATENATE(IF(ISBLANK('Ingest Template'!N843),"", 'Ingest Template'!N843&amp;"|DAR"),CHAR(10), IF(ISBLANK('Ingest Template'!O843),"", 'Ingest Template'!O843&amp;"|DAR"),CHAR(10), IF(ISBLANK('Ingest Template'!P843),"", 'Ingest Template'!P843&amp;"|DAR"))),(CONCATENATE(IF(ISBLANK('Ingest Template'!N843),"", 'Ingest Template'!N843&amp;"|TV Ops"),CHAR(10), IF(ISBLANK('Ingest Template'!O843),"", 'Ingest Template'!O843&amp;"|TV Ops"),CHAR(10), IF(ISBLANK('Ingest Template'!P843),"", 'Ingest Template'!P843&amp;"|TV Ops"))))</f>
        <v>
</v>
      </c>
      <c r="AH843" s="35"/>
      <c r="AI843" s="35"/>
      <c r="AJ843" s="117" t="str">
        <f>if('Ingest Template'!A843="Standard",(IF(OR('Ingest Template'!F843 = "Program Type - Special", 'Ingest Template'!F843 = "Program Type - Live Event"),'Ingest Template'!M843&amp; "|DAR|DAR|"&amp;TEXT('Ingest Template'!C843-3, "yyyy-mm-dd")&amp;"|"&amp;TEXT('Ingest Template'!C843+3, "yyyy-mm-dd"),'Ingest Template'!M843&amp; "|DAR|DAR|2021-01-01")),(IF(OR('Ingest Template'!F843 = "Program Type - Special", 'Ingest Template'!F843 = "Program Type - Live Event"),'Ingest Template'!M843&amp; "|Operations - Core Title|Operations - Core Title|"&amp;TEXT('Ingest Template'!C843-3, "yyyy-mm-dd")&amp;"|"&amp;TEXT('Ingest Template'!C843+3, "yyyy-mm-dd"),'Ingest Template'!M843&amp; "|Operations - Core Title|Operations - Core Title")))</f>
        <v>|Operations - Core Title|Operations - Core Title</v>
      </c>
      <c r="AK843" s="35"/>
      <c r="AL843" s="117" t="str">
        <f>if('Ingest Template'!A843="Standard",(IF(OR('Ingest Template'!F843 = "Program Type - Special", 'Ingest Template'!F843 = "Program Type - Live Event"),'Ingest Template'!Q843&amp;"|"&amp;TEXT('Ingest Template'!C843-3, "yyyy-mm-dd")&amp;"|"&amp;TEXT('Ingest Template'!C843+3, "yyyy-mm-dd"),'Ingest Template'!Q843&amp; "|2021-01-01")),(IF(OR('Ingest Template'!F843 = "Program Type - Special", 'Ingest Template'!F843 = "Program Type - Live Event"),'Ingest Template'!Q843&amp; "|"&amp;TEXT('Ingest Template'!C843-3, "yyyy-mm-dd")&amp;"|"&amp;TEXT('Ingest Template'!C843+3, "yyyy-mm-dd"),'Ingest Template'!Q843)))</f>
        <v/>
      </c>
      <c r="AM843" s="35" t="str">
        <f>'Ingest Template'!AC843</f>
        <v/>
      </c>
    </row>
    <row r="844">
      <c r="A844" s="15"/>
      <c r="B844" s="22" t="str">
        <f>'Ingest Template'!C844&amp;IF('Ingest Template'!A844 = "Standard", " - DAR","")</f>
        <v/>
      </c>
      <c r="C844" s="22" t="s">
        <v>83</v>
      </c>
      <c r="D844" s="22" t="str">
        <f t="array" ref="D844">CONCATENATE(INDEX(DropdownLists!$H$2:$H$11,MATCH(1,COUNTIF('Ingest Template'!E844,"*"&amp;DropdownLists!$I$2:$I$11&amp;"*"),0)),CHAR(10),'Ingest Template'!F844,CHAR(10),'Ingest Template'!G844,CHAR(10),VLOOKUP('Ingest Template'!D844,DropdownLists!C:D,2,FALSE))</f>
        <v>#N/A</v>
      </c>
      <c r="E844" s="22" t="str">
        <f>CONCATENATE('Ingest Template'!H844,CHAR(10),'Ingest Template'!I844,CHAR(10),'Ingest Template'!J844,CHAR(10))</f>
        <v>
</v>
      </c>
      <c r="F844" s="35" t="str">
        <f t="array" ref="F844">INDEX(DropdownLists!$O$2:$O$36,MATCH(1,COUNTIF(E844,"*"&amp;DropdownLists!$N$2:$N$36&amp;"*"),0))</f>
        <v/>
      </c>
      <c r="G844" s="35"/>
      <c r="H844" s="22" t="str">
        <f t="array" ref="H844">INDEX(DropdownLists!$E$2:$E$276,MATCH('Ingest Template'!D844,DropdownLists!$C$2:$C$276,0))</f>
        <v>#N/A</v>
      </c>
      <c r="I844" s="22"/>
      <c r="J844" s="22" t="str">
        <f t="array" ref="J844">iF('Ingest Template'!A844="Standard","Pristine Brand",INDEX(DropdownLists!$B$2:$B$246,MATCH('Ingest Template'!D844,DropdownLists!$C$2:$C$246,0)))</f>
        <v>#N/A</v>
      </c>
      <c r="K844" s="22" t="str">
        <f>iF('Ingest Template'!A844="Standard",'Ingest Template'!K844&amp;CHAR(10)&amp;'Ingest Template'!L844,"Competitive View")</f>
        <v>Competitive View</v>
      </c>
      <c r="L844" s="22" t="s">
        <v>95</v>
      </c>
      <c r="M844" s="45" t="str">
        <f>'Ingest Template'!B844</f>
        <v/>
      </c>
      <c r="N844" s="35"/>
      <c r="O844" s="35"/>
      <c r="P844" s="35"/>
      <c r="Q844" s="35"/>
      <c r="R844" s="35" t="str">
        <f>'Ingest Template'!D844</f>
        <v/>
      </c>
      <c r="S844" s="22" t="s">
        <v>101</v>
      </c>
      <c r="T844" s="35" t="str">
        <f>'Ingest Template'!V844</f>
        <v/>
      </c>
      <c r="U844" s="35" t="str">
        <f>'Ingest Template'!W844</f>
        <v/>
      </c>
      <c r="V844" s="35" t="str">
        <f>LOWER(SUBSTITUTE(SUBSTITUTE(SUBSTITUTE(SUBSTITUTE(SUBSTITUTE('Ingest Template'!X844,"https:",""),"www.",""),"/",""),"?hl=en",""),"instagram.com",""))</f>
        <v/>
      </c>
      <c r="W844" s="74" t="str">
        <f t="array" ref="W844">IF(
'Ingest Template'!Y844="",
SUBSTITUTE(
INDEX(DropdownLists!$F$2:$F$277,MATCH('Ingest Template'!D844,DropdownLists!$C$2:$C$277,0)),
CHAR(10),
"|"&amp;'Ingest Template'!C844&amp;CHAR(10)
)&amp;"|"&amp;'Ingest Template'!C844,
SUBSTITUTE(
INDEX(DropdownLists!$F$2:$F$277,MATCH('Ingest Template'!D844,DropdownLists!$C$2:$C$277,0)),
CHAR(10),
"|"&amp;'Ingest Template'!C844&amp;CHAR(10)
)&amp;"|"&amp;'Ingest Template'!C844&amp;CHAR(10)&amp;'Ingest Template'!Y844
)</f>
        <v>#N/A</v>
      </c>
      <c r="X844" s="74" t="str">
        <f>'Ingest Template'!Z844</f>
        <v/>
      </c>
      <c r="Y844" s="35" t="str">
        <f>SUBSTITUTE(SUBSTITUTE(SUBSTITUTE('Ingest Template'!AA844,"http:",""),"https:",""),"/","")</f>
        <v/>
      </c>
      <c r="Z844" s="35" t="str">
        <f t="array" ref="Z844">IF('Ingest Template'!A844="Standard",(IF(ISBLANK('Ingest Template'!AB844),"", 'Ingest Template'!AB844&amp;"|DAR")),(IF(ISBLANK('Ingest Template'!AB844),"", 'Ingest Template'!AB844&amp;"|TV Ops")))</f>
        <v/>
      </c>
      <c r="AA844" s="35"/>
      <c r="AB844" s="35" t="str">
        <f>'Ingest Template'!R844</f>
        <v/>
      </c>
      <c r="AC844" s="35" t="str">
        <f>'Ingest Template'!T844</f>
        <v/>
      </c>
      <c r="AD844" s="35" t="str">
        <f>'Ingest Template'!S844</f>
        <v/>
      </c>
      <c r="AE844" s="35" t="str">
        <f>'Ingest Template'!U844</f>
        <v/>
      </c>
      <c r="AF844" s="22"/>
      <c r="AG844" s="35" t="str">
        <f t="array" ref="AG844">IF('Ingest Template'!A844="Standard",(CONCATENATE(IF(ISBLANK('Ingest Template'!N844),"", 'Ingest Template'!N844&amp;"|DAR"),CHAR(10), IF(ISBLANK('Ingest Template'!O844),"", 'Ingest Template'!O844&amp;"|DAR"),CHAR(10), IF(ISBLANK('Ingest Template'!P844),"", 'Ingest Template'!P844&amp;"|DAR"))),(CONCATENATE(IF(ISBLANK('Ingest Template'!N844),"", 'Ingest Template'!N844&amp;"|TV Ops"),CHAR(10), IF(ISBLANK('Ingest Template'!O844),"", 'Ingest Template'!O844&amp;"|TV Ops"),CHAR(10), IF(ISBLANK('Ingest Template'!P844),"", 'Ingest Template'!P844&amp;"|TV Ops"))))</f>
        <v>
</v>
      </c>
      <c r="AH844" s="35"/>
      <c r="AI844" s="35"/>
      <c r="AJ844" s="117" t="str">
        <f>if('Ingest Template'!A844="Standard",(IF(OR('Ingest Template'!F844 = "Program Type - Special", 'Ingest Template'!F844 = "Program Type - Live Event"),'Ingest Template'!M844&amp; "|DAR|DAR|"&amp;TEXT('Ingest Template'!C844-3, "yyyy-mm-dd")&amp;"|"&amp;TEXT('Ingest Template'!C844+3, "yyyy-mm-dd"),'Ingest Template'!M844&amp; "|DAR|DAR|2021-01-01")),(IF(OR('Ingest Template'!F844 = "Program Type - Special", 'Ingest Template'!F844 = "Program Type - Live Event"),'Ingest Template'!M844&amp; "|Operations - Core Title|Operations - Core Title|"&amp;TEXT('Ingest Template'!C844-3, "yyyy-mm-dd")&amp;"|"&amp;TEXT('Ingest Template'!C844+3, "yyyy-mm-dd"),'Ingest Template'!M844&amp; "|Operations - Core Title|Operations - Core Title")))</f>
        <v>|Operations - Core Title|Operations - Core Title</v>
      </c>
      <c r="AK844" s="35"/>
      <c r="AL844" s="117" t="str">
        <f>if('Ingest Template'!A844="Standard",(IF(OR('Ingest Template'!F844 = "Program Type - Special", 'Ingest Template'!F844 = "Program Type - Live Event"),'Ingest Template'!Q844&amp;"|"&amp;TEXT('Ingest Template'!C844-3, "yyyy-mm-dd")&amp;"|"&amp;TEXT('Ingest Template'!C844+3, "yyyy-mm-dd"),'Ingest Template'!Q844&amp; "|2021-01-01")),(IF(OR('Ingest Template'!F844 = "Program Type - Special", 'Ingest Template'!F844 = "Program Type - Live Event"),'Ingest Template'!Q844&amp; "|"&amp;TEXT('Ingest Template'!C844-3, "yyyy-mm-dd")&amp;"|"&amp;TEXT('Ingest Template'!C844+3, "yyyy-mm-dd"),'Ingest Template'!Q844)))</f>
        <v/>
      </c>
      <c r="AM844" s="35" t="str">
        <f>'Ingest Template'!AC844</f>
        <v/>
      </c>
    </row>
    <row r="845">
      <c r="A845" s="15"/>
      <c r="B845" s="22" t="str">
        <f>'Ingest Template'!C845&amp;IF('Ingest Template'!A845 = "Standard", " - DAR","")</f>
        <v/>
      </c>
      <c r="C845" s="22" t="s">
        <v>83</v>
      </c>
      <c r="D845" s="22" t="str">
        <f t="array" ref="D845">CONCATENATE(INDEX(DropdownLists!$H$2:$H$11,MATCH(1,COUNTIF('Ingest Template'!E845,"*"&amp;DropdownLists!$I$2:$I$11&amp;"*"),0)),CHAR(10),'Ingest Template'!F845,CHAR(10),'Ingest Template'!G845,CHAR(10),VLOOKUP('Ingest Template'!D845,DropdownLists!C:D,2,FALSE))</f>
        <v>#N/A</v>
      </c>
      <c r="E845" s="22" t="str">
        <f>CONCATENATE('Ingest Template'!H845,CHAR(10),'Ingest Template'!I845,CHAR(10),'Ingest Template'!J845,CHAR(10))</f>
        <v>
</v>
      </c>
      <c r="F845" s="35" t="str">
        <f t="array" ref="F845">INDEX(DropdownLists!$O$2:$O$36,MATCH(1,COUNTIF(E845,"*"&amp;DropdownLists!$N$2:$N$36&amp;"*"),0))</f>
        <v/>
      </c>
      <c r="G845" s="35"/>
      <c r="H845" s="22" t="str">
        <f t="array" ref="H845">INDEX(DropdownLists!$E$2:$E$276,MATCH('Ingest Template'!D845,DropdownLists!$C$2:$C$276,0))</f>
        <v>#N/A</v>
      </c>
      <c r="I845" s="22"/>
      <c r="J845" s="22" t="str">
        <f t="array" ref="J845">iF('Ingest Template'!A845="Standard","Pristine Brand",INDEX(DropdownLists!$B$2:$B$246,MATCH('Ingest Template'!D845,DropdownLists!$C$2:$C$246,0)))</f>
        <v>#N/A</v>
      </c>
      <c r="K845" s="22" t="str">
        <f>iF('Ingest Template'!A845="Standard",'Ingest Template'!K845&amp;CHAR(10)&amp;'Ingest Template'!L845,"Competitive View")</f>
        <v>Competitive View</v>
      </c>
      <c r="L845" s="22" t="s">
        <v>95</v>
      </c>
      <c r="M845" s="45" t="str">
        <f>'Ingest Template'!B845</f>
        <v/>
      </c>
      <c r="N845" s="35"/>
      <c r="O845" s="35"/>
      <c r="P845" s="35"/>
      <c r="Q845" s="35"/>
      <c r="R845" s="35" t="str">
        <f>'Ingest Template'!D845</f>
        <v/>
      </c>
      <c r="S845" s="22" t="s">
        <v>101</v>
      </c>
      <c r="T845" s="35" t="str">
        <f>'Ingest Template'!V845</f>
        <v/>
      </c>
      <c r="U845" s="35" t="str">
        <f>'Ingest Template'!W845</f>
        <v/>
      </c>
      <c r="V845" s="35" t="str">
        <f>LOWER(SUBSTITUTE(SUBSTITUTE(SUBSTITUTE(SUBSTITUTE(SUBSTITUTE('Ingest Template'!X845,"https:",""),"www.",""),"/",""),"?hl=en",""),"instagram.com",""))</f>
        <v/>
      </c>
      <c r="W845" s="74" t="str">
        <f t="array" ref="W845">IF(
'Ingest Template'!Y845="",
SUBSTITUTE(
INDEX(DropdownLists!$F$2:$F$277,MATCH('Ingest Template'!D845,DropdownLists!$C$2:$C$277,0)),
CHAR(10),
"|"&amp;'Ingest Template'!C845&amp;CHAR(10)
)&amp;"|"&amp;'Ingest Template'!C845,
SUBSTITUTE(
INDEX(DropdownLists!$F$2:$F$277,MATCH('Ingest Template'!D845,DropdownLists!$C$2:$C$277,0)),
CHAR(10),
"|"&amp;'Ingest Template'!C845&amp;CHAR(10)
)&amp;"|"&amp;'Ingest Template'!C845&amp;CHAR(10)&amp;'Ingest Template'!Y845
)</f>
        <v>#N/A</v>
      </c>
      <c r="X845" s="74" t="str">
        <f>'Ingest Template'!Z845</f>
        <v/>
      </c>
      <c r="Y845" s="35" t="str">
        <f>SUBSTITUTE(SUBSTITUTE(SUBSTITUTE('Ingest Template'!AA845,"http:",""),"https:",""),"/","")</f>
        <v/>
      </c>
      <c r="Z845" s="35" t="str">
        <f t="array" ref="Z845">IF('Ingest Template'!A845="Standard",(IF(ISBLANK('Ingest Template'!AB845),"", 'Ingest Template'!AB845&amp;"|DAR")),(IF(ISBLANK('Ingest Template'!AB845),"", 'Ingest Template'!AB845&amp;"|TV Ops")))</f>
        <v/>
      </c>
      <c r="AA845" s="35"/>
      <c r="AB845" s="35" t="str">
        <f>'Ingest Template'!R845</f>
        <v/>
      </c>
      <c r="AC845" s="35" t="str">
        <f>'Ingest Template'!T845</f>
        <v/>
      </c>
      <c r="AD845" s="35" t="str">
        <f>'Ingest Template'!S845</f>
        <v/>
      </c>
      <c r="AE845" s="35" t="str">
        <f>'Ingest Template'!U845</f>
        <v/>
      </c>
      <c r="AF845" s="22"/>
      <c r="AG845" s="35" t="str">
        <f t="array" ref="AG845">IF('Ingest Template'!A845="Standard",(CONCATENATE(IF(ISBLANK('Ingest Template'!N845),"", 'Ingest Template'!N845&amp;"|DAR"),CHAR(10), IF(ISBLANK('Ingest Template'!O845),"", 'Ingest Template'!O845&amp;"|DAR"),CHAR(10), IF(ISBLANK('Ingest Template'!P845),"", 'Ingest Template'!P845&amp;"|DAR"))),(CONCATENATE(IF(ISBLANK('Ingest Template'!N845),"", 'Ingest Template'!N845&amp;"|TV Ops"),CHAR(10), IF(ISBLANK('Ingest Template'!O845),"", 'Ingest Template'!O845&amp;"|TV Ops"),CHAR(10), IF(ISBLANK('Ingest Template'!P845),"", 'Ingest Template'!P845&amp;"|TV Ops"))))</f>
        <v>
</v>
      </c>
      <c r="AH845" s="35"/>
      <c r="AI845" s="35"/>
      <c r="AJ845" s="117" t="str">
        <f>if('Ingest Template'!A845="Standard",(IF(OR('Ingest Template'!F845 = "Program Type - Special", 'Ingest Template'!F845 = "Program Type - Live Event"),'Ingest Template'!M845&amp; "|DAR|DAR|"&amp;TEXT('Ingest Template'!C845-3, "yyyy-mm-dd")&amp;"|"&amp;TEXT('Ingest Template'!C845+3, "yyyy-mm-dd"),'Ingest Template'!M845&amp; "|DAR|DAR|2021-01-01")),(IF(OR('Ingest Template'!F845 = "Program Type - Special", 'Ingest Template'!F845 = "Program Type - Live Event"),'Ingest Template'!M845&amp; "|Operations - Core Title|Operations - Core Title|"&amp;TEXT('Ingest Template'!C845-3, "yyyy-mm-dd")&amp;"|"&amp;TEXT('Ingest Template'!C845+3, "yyyy-mm-dd"),'Ingest Template'!M845&amp; "|Operations - Core Title|Operations - Core Title")))</f>
        <v>|Operations - Core Title|Operations - Core Title</v>
      </c>
      <c r="AK845" s="35"/>
      <c r="AL845" s="117" t="str">
        <f>if('Ingest Template'!A845="Standard",(IF(OR('Ingest Template'!F845 = "Program Type - Special", 'Ingest Template'!F845 = "Program Type - Live Event"),'Ingest Template'!Q845&amp;"|"&amp;TEXT('Ingest Template'!C845-3, "yyyy-mm-dd")&amp;"|"&amp;TEXT('Ingest Template'!C845+3, "yyyy-mm-dd"),'Ingest Template'!Q845&amp; "|2021-01-01")),(IF(OR('Ingest Template'!F845 = "Program Type - Special", 'Ingest Template'!F845 = "Program Type - Live Event"),'Ingest Template'!Q845&amp; "|"&amp;TEXT('Ingest Template'!C845-3, "yyyy-mm-dd")&amp;"|"&amp;TEXT('Ingest Template'!C845+3, "yyyy-mm-dd"),'Ingest Template'!Q845)))</f>
        <v/>
      </c>
      <c r="AM845" s="35" t="str">
        <f>'Ingest Template'!AC845</f>
        <v/>
      </c>
    </row>
    <row r="846">
      <c r="A846" s="15"/>
      <c r="B846" s="22" t="str">
        <f>'Ingest Template'!C846&amp;IF('Ingest Template'!A846 = "Standard", " - DAR","")</f>
        <v/>
      </c>
      <c r="C846" s="22" t="s">
        <v>83</v>
      </c>
      <c r="D846" s="22" t="str">
        <f t="array" ref="D846">CONCATENATE(INDEX(DropdownLists!$H$2:$H$11,MATCH(1,COUNTIF('Ingest Template'!E846,"*"&amp;DropdownLists!$I$2:$I$11&amp;"*"),0)),CHAR(10),'Ingest Template'!F846,CHAR(10),'Ingest Template'!G846,CHAR(10),VLOOKUP('Ingest Template'!D846,DropdownLists!C:D,2,FALSE))</f>
        <v>#N/A</v>
      </c>
      <c r="E846" s="22" t="str">
        <f>CONCATENATE('Ingest Template'!H846,CHAR(10),'Ingest Template'!I846,CHAR(10),'Ingest Template'!J846,CHAR(10))</f>
        <v>
</v>
      </c>
      <c r="F846" s="35" t="str">
        <f t="array" ref="F846">INDEX(DropdownLists!$O$2:$O$36,MATCH(1,COUNTIF(E846,"*"&amp;DropdownLists!$N$2:$N$36&amp;"*"),0))</f>
        <v/>
      </c>
      <c r="G846" s="35"/>
      <c r="H846" s="22" t="str">
        <f t="array" ref="H846">INDEX(DropdownLists!$E$2:$E$276,MATCH('Ingest Template'!D846,DropdownLists!$C$2:$C$276,0))</f>
        <v>#N/A</v>
      </c>
      <c r="I846" s="22"/>
      <c r="J846" s="22" t="str">
        <f t="array" ref="J846">iF('Ingest Template'!A846="Standard","Pristine Brand",INDEX(DropdownLists!$B$2:$B$246,MATCH('Ingest Template'!D846,DropdownLists!$C$2:$C$246,0)))</f>
        <v>#N/A</v>
      </c>
      <c r="K846" s="22" t="str">
        <f>iF('Ingest Template'!A846="Standard",'Ingest Template'!K846&amp;CHAR(10)&amp;'Ingest Template'!L846,"Competitive View")</f>
        <v>Competitive View</v>
      </c>
      <c r="L846" s="22" t="s">
        <v>95</v>
      </c>
      <c r="M846" s="45" t="str">
        <f>'Ingest Template'!B846</f>
        <v/>
      </c>
      <c r="N846" s="35"/>
      <c r="O846" s="35"/>
      <c r="P846" s="35"/>
      <c r="Q846" s="35"/>
      <c r="R846" s="35" t="str">
        <f>'Ingest Template'!D846</f>
        <v/>
      </c>
      <c r="S846" s="22" t="s">
        <v>101</v>
      </c>
      <c r="T846" s="35" t="str">
        <f>'Ingest Template'!V846</f>
        <v/>
      </c>
      <c r="U846" s="35" t="str">
        <f>'Ingest Template'!W846</f>
        <v/>
      </c>
      <c r="V846" s="35" t="str">
        <f>LOWER(SUBSTITUTE(SUBSTITUTE(SUBSTITUTE(SUBSTITUTE(SUBSTITUTE('Ingest Template'!X846,"https:",""),"www.",""),"/",""),"?hl=en",""),"instagram.com",""))</f>
        <v/>
      </c>
      <c r="W846" s="74" t="str">
        <f t="array" ref="W846">IF(
'Ingest Template'!Y846="",
SUBSTITUTE(
INDEX(DropdownLists!$F$2:$F$277,MATCH('Ingest Template'!D846,DropdownLists!$C$2:$C$277,0)),
CHAR(10),
"|"&amp;'Ingest Template'!C846&amp;CHAR(10)
)&amp;"|"&amp;'Ingest Template'!C846,
SUBSTITUTE(
INDEX(DropdownLists!$F$2:$F$277,MATCH('Ingest Template'!D846,DropdownLists!$C$2:$C$277,0)),
CHAR(10),
"|"&amp;'Ingest Template'!C846&amp;CHAR(10)
)&amp;"|"&amp;'Ingest Template'!C846&amp;CHAR(10)&amp;'Ingest Template'!Y846
)</f>
        <v>#N/A</v>
      </c>
      <c r="X846" s="74" t="str">
        <f>'Ingest Template'!Z846</f>
        <v/>
      </c>
      <c r="Y846" s="35" t="str">
        <f>SUBSTITUTE(SUBSTITUTE(SUBSTITUTE('Ingest Template'!AA846,"http:",""),"https:",""),"/","")</f>
        <v/>
      </c>
      <c r="Z846" s="35" t="str">
        <f t="array" ref="Z846">IF('Ingest Template'!A846="Standard",(IF(ISBLANK('Ingest Template'!AB846),"", 'Ingest Template'!AB846&amp;"|DAR")),(IF(ISBLANK('Ingest Template'!AB846),"", 'Ingest Template'!AB846&amp;"|TV Ops")))</f>
        <v/>
      </c>
      <c r="AA846" s="35"/>
      <c r="AB846" s="35" t="str">
        <f>'Ingest Template'!R846</f>
        <v/>
      </c>
      <c r="AC846" s="35" t="str">
        <f>'Ingest Template'!T846</f>
        <v/>
      </c>
      <c r="AD846" s="35" t="str">
        <f>'Ingest Template'!S846</f>
        <v/>
      </c>
      <c r="AE846" s="35" t="str">
        <f>'Ingest Template'!U846</f>
        <v/>
      </c>
      <c r="AF846" s="22"/>
      <c r="AG846" s="35" t="str">
        <f t="array" ref="AG846">IF('Ingest Template'!A846="Standard",(CONCATENATE(IF(ISBLANK('Ingest Template'!N846),"", 'Ingest Template'!N846&amp;"|DAR"),CHAR(10), IF(ISBLANK('Ingest Template'!O846),"", 'Ingest Template'!O846&amp;"|DAR"),CHAR(10), IF(ISBLANK('Ingest Template'!P846),"", 'Ingest Template'!P846&amp;"|DAR"))),(CONCATENATE(IF(ISBLANK('Ingest Template'!N846),"", 'Ingest Template'!N846&amp;"|TV Ops"),CHAR(10), IF(ISBLANK('Ingest Template'!O846),"", 'Ingest Template'!O846&amp;"|TV Ops"),CHAR(10), IF(ISBLANK('Ingest Template'!P846),"", 'Ingest Template'!P846&amp;"|TV Ops"))))</f>
        <v>
</v>
      </c>
      <c r="AH846" s="35"/>
      <c r="AI846" s="35"/>
      <c r="AJ846" s="117" t="str">
        <f>if('Ingest Template'!A846="Standard",(IF(OR('Ingest Template'!F846 = "Program Type - Special", 'Ingest Template'!F846 = "Program Type - Live Event"),'Ingest Template'!M846&amp; "|DAR|DAR|"&amp;TEXT('Ingest Template'!C846-3, "yyyy-mm-dd")&amp;"|"&amp;TEXT('Ingest Template'!C846+3, "yyyy-mm-dd"),'Ingest Template'!M846&amp; "|DAR|DAR|2021-01-01")),(IF(OR('Ingest Template'!F846 = "Program Type - Special", 'Ingest Template'!F846 = "Program Type - Live Event"),'Ingest Template'!M846&amp; "|Operations - Core Title|Operations - Core Title|"&amp;TEXT('Ingest Template'!C846-3, "yyyy-mm-dd")&amp;"|"&amp;TEXT('Ingest Template'!C846+3, "yyyy-mm-dd"),'Ingest Template'!M846&amp; "|Operations - Core Title|Operations - Core Title")))</f>
        <v>|Operations - Core Title|Operations - Core Title</v>
      </c>
      <c r="AK846" s="35"/>
      <c r="AL846" s="117" t="str">
        <f>if('Ingest Template'!A846="Standard",(IF(OR('Ingest Template'!F846 = "Program Type - Special", 'Ingest Template'!F846 = "Program Type - Live Event"),'Ingest Template'!Q846&amp;"|"&amp;TEXT('Ingest Template'!C846-3, "yyyy-mm-dd")&amp;"|"&amp;TEXT('Ingest Template'!C846+3, "yyyy-mm-dd"),'Ingest Template'!Q846&amp; "|2021-01-01")),(IF(OR('Ingest Template'!F846 = "Program Type - Special", 'Ingest Template'!F846 = "Program Type - Live Event"),'Ingest Template'!Q846&amp; "|"&amp;TEXT('Ingest Template'!C846-3, "yyyy-mm-dd")&amp;"|"&amp;TEXT('Ingest Template'!C846+3, "yyyy-mm-dd"),'Ingest Template'!Q846)))</f>
        <v/>
      </c>
      <c r="AM846" s="35" t="str">
        <f>'Ingest Template'!AC846</f>
        <v/>
      </c>
    </row>
    <row r="847">
      <c r="A847" s="15"/>
      <c r="B847" s="22" t="str">
        <f>'Ingest Template'!C847&amp;IF('Ingest Template'!A847 = "Standard", " - DAR","")</f>
        <v/>
      </c>
      <c r="C847" s="22" t="s">
        <v>83</v>
      </c>
      <c r="D847" s="22" t="str">
        <f t="array" ref="D847">CONCATENATE(INDEX(DropdownLists!$H$2:$H$11,MATCH(1,COUNTIF('Ingest Template'!E847,"*"&amp;DropdownLists!$I$2:$I$11&amp;"*"),0)),CHAR(10),'Ingest Template'!F847,CHAR(10),'Ingest Template'!G847,CHAR(10),VLOOKUP('Ingest Template'!D847,DropdownLists!C:D,2,FALSE))</f>
        <v>#N/A</v>
      </c>
      <c r="E847" s="22" t="str">
        <f>CONCATENATE('Ingest Template'!H847,CHAR(10),'Ingest Template'!I847,CHAR(10),'Ingest Template'!J847,CHAR(10))</f>
        <v>
</v>
      </c>
      <c r="F847" s="35" t="str">
        <f t="array" ref="F847">INDEX(DropdownLists!$O$2:$O$36,MATCH(1,COUNTIF(E847,"*"&amp;DropdownLists!$N$2:$N$36&amp;"*"),0))</f>
        <v/>
      </c>
      <c r="G847" s="35"/>
      <c r="H847" s="22" t="str">
        <f t="array" ref="H847">INDEX(DropdownLists!$E$2:$E$276,MATCH('Ingest Template'!D847,DropdownLists!$C$2:$C$276,0))</f>
        <v>#N/A</v>
      </c>
      <c r="I847" s="22"/>
      <c r="J847" s="22" t="str">
        <f t="array" ref="J847">iF('Ingest Template'!A847="Standard","Pristine Brand",INDEX(DropdownLists!$B$2:$B$246,MATCH('Ingest Template'!D847,DropdownLists!$C$2:$C$246,0)))</f>
        <v>#N/A</v>
      </c>
      <c r="K847" s="22" t="str">
        <f>iF('Ingest Template'!A847="Standard",'Ingest Template'!K847&amp;CHAR(10)&amp;'Ingest Template'!L847,"Competitive View")</f>
        <v>Competitive View</v>
      </c>
      <c r="L847" s="22" t="s">
        <v>95</v>
      </c>
      <c r="M847" s="45" t="str">
        <f>'Ingest Template'!B847</f>
        <v/>
      </c>
      <c r="N847" s="35"/>
      <c r="O847" s="35"/>
      <c r="P847" s="35"/>
      <c r="Q847" s="35"/>
      <c r="R847" s="35" t="str">
        <f>'Ingest Template'!D847</f>
        <v/>
      </c>
      <c r="S847" s="22" t="s">
        <v>101</v>
      </c>
      <c r="T847" s="35" t="str">
        <f>'Ingest Template'!V847</f>
        <v/>
      </c>
      <c r="U847" s="35" t="str">
        <f>'Ingest Template'!W847</f>
        <v/>
      </c>
      <c r="V847" s="35" t="str">
        <f>LOWER(SUBSTITUTE(SUBSTITUTE(SUBSTITUTE(SUBSTITUTE(SUBSTITUTE('Ingest Template'!X847,"https:",""),"www.",""),"/",""),"?hl=en",""),"instagram.com",""))</f>
        <v/>
      </c>
      <c r="W847" s="74" t="str">
        <f t="array" ref="W847">IF(
'Ingest Template'!Y847="",
SUBSTITUTE(
INDEX(DropdownLists!$F$2:$F$277,MATCH('Ingest Template'!D847,DropdownLists!$C$2:$C$277,0)),
CHAR(10),
"|"&amp;'Ingest Template'!C847&amp;CHAR(10)
)&amp;"|"&amp;'Ingest Template'!C847,
SUBSTITUTE(
INDEX(DropdownLists!$F$2:$F$277,MATCH('Ingest Template'!D847,DropdownLists!$C$2:$C$277,0)),
CHAR(10),
"|"&amp;'Ingest Template'!C847&amp;CHAR(10)
)&amp;"|"&amp;'Ingest Template'!C847&amp;CHAR(10)&amp;'Ingest Template'!Y847
)</f>
        <v>#N/A</v>
      </c>
      <c r="X847" s="74" t="str">
        <f>'Ingest Template'!Z847</f>
        <v/>
      </c>
      <c r="Y847" s="35" t="str">
        <f>SUBSTITUTE(SUBSTITUTE(SUBSTITUTE('Ingest Template'!AA847,"http:",""),"https:",""),"/","")</f>
        <v/>
      </c>
      <c r="Z847" s="35" t="str">
        <f t="array" ref="Z847">IF('Ingest Template'!A847="Standard",(IF(ISBLANK('Ingest Template'!AB847),"", 'Ingest Template'!AB847&amp;"|DAR")),(IF(ISBLANK('Ingest Template'!AB847),"", 'Ingest Template'!AB847&amp;"|TV Ops")))</f>
        <v/>
      </c>
      <c r="AA847" s="35"/>
      <c r="AB847" s="35" t="str">
        <f>'Ingest Template'!R847</f>
        <v/>
      </c>
      <c r="AC847" s="35" t="str">
        <f>'Ingest Template'!T847</f>
        <v/>
      </c>
      <c r="AD847" s="35" t="str">
        <f>'Ingest Template'!S847</f>
        <v/>
      </c>
      <c r="AE847" s="35" t="str">
        <f>'Ingest Template'!U847</f>
        <v/>
      </c>
      <c r="AF847" s="22"/>
      <c r="AG847" s="35" t="str">
        <f t="array" ref="AG847">IF('Ingest Template'!A847="Standard",(CONCATENATE(IF(ISBLANK('Ingest Template'!N847),"", 'Ingest Template'!N847&amp;"|DAR"),CHAR(10), IF(ISBLANK('Ingest Template'!O847),"", 'Ingest Template'!O847&amp;"|DAR"),CHAR(10), IF(ISBLANK('Ingest Template'!P847),"", 'Ingest Template'!P847&amp;"|DAR"))),(CONCATENATE(IF(ISBLANK('Ingest Template'!N847),"", 'Ingest Template'!N847&amp;"|TV Ops"),CHAR(10), IF(ISBLANK('Ingest Template'!O847),"", 'Ingest Template'!O847&amp;"|TV Ops"),CHAR(10), IF(ISBLANK('Ingest Template'!P847),"", 'Ingest Template'!P847&amp;"|TV Ops"))))</f>
        <v>
</v>
      </c>
      <c r="AH847" s="35"/>
      <c r="AI847" s="35"/>
      <c r="AJ847" s="117" t="str">
        <f>if('Ingest Template'!A847="Standard",(IF(OR('Ingest Template'!F847 = "Program Type - Special", 'Ingest Template'!F847 = "Program Type - Live Event"),'Ingest Template'!M847&amp; "|DAR|DAR|"&amp;TEXT('Ingest Template'!C847-3, "yyyy-mm-dd")&amp;"|"&amp;TEXT('Ingest Template'!C847+3, "yyyy-mm-dd"),'Ingest Template'!M847&amp; "|DAR|DAR|2021-01-01")),(IF(OR('Ingest Template'!F847 = "Program Type - Special", 'Ingest Template'!F847 = "Program Type - Live Event"),'Ingest Template'!M847&amp; "|Operations - Core Title|Operations - Core Title|"&amp;TEXT('Ingest Template'!C847-3, "yyyy-mm-dd")&amp;"|"&amp;TEXT('Ingest Template'!C847+3, "yyyy-mm-dd"),'Ingest Template'!M847&amp; "|Operations - Core Title|Operations - Core Title")))</f>
        <v>|Operations - Core Title|Operations - Core Title</v>
      </c>
      <c r="AK847" s="35"/>
      <c r="AL847" s="117" t="str">
        <f>if('Ingest Template'!A847="Standard",(IF(OR('Ingest Template'!F847 = "Program Type - Special", 'Ingest Template'!F847 = "Program Type - Live Event"),'Ingest Template'!Q847&amp;"|"&amp;TEXT('Ingest Template'!C847-3, "yyyy-mm-dd")&amp;"|"&amp;TEXT('Ingest Template'!C847+3, "yyyy-mm-dd"),'Ingest Template'!Q847&amp; "|2021-01-01")),(IF(OR('Ingest Template'!F847 = "Program Type - Special", 'Ingest Template'!F847 = "Program Type - Live Event"),'Ingest Template'!Q847&amp; "|"&amp;TEXT('Ingest Template'!C847-3, "yyyy-mm-dd")&amp;"|"&amp;TEXT('Ingest Template'!C847+3, "yyyy-mm-dd"),'Ingest Template'!Q847)))</f>
        <v/>
      </c>
      <c r="AM847" s="35" t="str">
        <f>'Ingest Template'!AC847</f>
        <v/>
      </c>
    </row>
    <row r="848">
      <c r="A848" s="15"/>
      <c r="B848" s="22" t="str">
        <f>'Ingest Template'!C848&amp;IF('Ingest Template'!A848 = "Standard", " - DAR","")</f>
        <v/>
      </c>
      <c r="C848" s="22" t="s">
        <v>83</v>
      </c>
      <c r="D848" s="22" t="str">
        <f t="array" ref="D848">CONCATENATE(INDEX(DropdownLists!$H$2:$H$11,MATCH(1,COUNTIF('Ingest Template'!E848,"*"&amp;DropdownLists!$I$2:$I$11&amp;"*"),0)),CHAR(10),'Ingest Template'!F848,CHAR(10),'Ingest Template'!G848,CHAR(10),VLOOKUP('Ingest Template'!D848,DropdownLists!C:D,2,FALSE))</f>
        <v>#N/A</v>
      </c>
      <c r="E848" s="22" t="str">
        <f>CONCATENATE('Ingest Template'!H848,CHAR(10),'Ingest Template'!I848,CHAR(10),'Ingest Template'!J848,CHAR(10))</f>
        <v>
</v>
      </c>
      <c r="F848" s="35" t="str">
        <f t="array" ref="F848">INDEX(DropdownLists!$O$2:$O$36,MATCH(1,COUNTIF(E848,"*"&amp;DropdownLists!$N$2:$N$36&amp;"*"),0))</f>
        <v/>
      </c>
      <c r="G848" s="35"/>
      <c r="H848" s="22" t="str">
        <f t="array" ref="H848">INDEX(DropdownLists!$E$2:$E$276,MATCH('Ingest Template'!D848,DropdownLists!$C$2:$C$276,0))</f>
        <v>#N/A</v>
      </c>
      <c r="I848" s="22"/>
      <c r="J848" s="22" t="str">
        <f t="array" ref="J848">iF('Ingest Template'!A848="Standard","Pristine Brand",INDEX(DropdownLists!$B$2:$B$246,MATCH('Ingest Template'!D848,DropdownLists!$C$2:$C$246,0)))</f>
        <v>#N/A</v>
      </c>
      <c r="K848" s="22" t="str">
        <f>iF('Ingest Template'!A848="Standard",'Ingest Template'!K848&amp;CHAR(10)&amp;'Ingest Template'!L848,"Competitive View")</f>
        <v>Competitive View</v>
      </c>
      <c r="L848" s="22" t="s">
        <v>95</v>
      </c>
      <c r="M848" s="45" t="str">
        <f>'Ingest Template'!B848</f>
        <v/>
      </c>
      <c r="N848" s="35"/>
      <c r="O848" s="35"/>
      <c r="P848" s="35"/>
      <c r="Q848" s="35"/>
      <c r="R848" s="35" t="str">
        <f>'Ingest Template'!D848</f>
        <v/>
      </c>
      <c r="S848" s="22" t="s">
        <v>101</v>
      </c>
      <c r="T848" s="35" t="str">
        <f>'Ingest Template'!V848</f>
        <v/>
      </c>
      <c r="U848" s="35" t="str">
        <f>'Ingest Template'!W848</f>
        <v/>
      </c>
      <c r="V848" s="35" t="str">
        <f>LOWER(SUBSTITUTE(SUBSTITUTE(SUBSTITUTE(SUBSTITUTE(SUBSTITUTE('Ingest Template'!X848,"https:",""),"www.",""),"/",""),"?hl=en",""),"instagram.com",""))</f>
        <v/>
      </c>
      <c r="W848" s="74" t="str">
        <f t="array" ref="W848">IF(
'Ingest Template'!Y848="",
SUBSTITUTE(
INDEX(DropdownLists!$F$2:$F$277,MATCH('Ingest Template'!D848,DropdownLists!$C$2:$C$277,0)),
CHAR(10),
"|"&amp;'Ingest Template'!C848&amp;CHAR(10)
)&amp;"|"&amp;'Ingest Template'!C848,
SUBSTITUTE(
INDEX(DropdownLists!$F$2:$F$277,MATCH('Ingest Template'!D848,DropdownLists!$C$2:$C$277,0)),
CHAR(10),
"|"&amp;'Ingest Template'!C848&amp;CHAR(10)
)&amp;"|"&amp;'Ingest Template'!C848&amp;CHAR(10)&amp;'Ingest Template'!Y848
)</f>
        <v>#N/A</v>
      </c>
      <c r="X848" s="74" t="str">
        <f>'Ingest Template'!Z848</f>
        <v/>
      </c>
      <c r="Y848" s="35" t="str">
        <f>SUBSTITUTE(SUBSTITUTE(SUBSTITUTE('Ingest Template'!AA848,"http:",""),"https:",""),"/","")</f>
        <v/>
      </c>
      <c r="Z848" s="35" t="str">
        <f t="array" ref="Z848">IF('Ingest Template'!A848="Standard",(IF(ISBLANK('Ingest Template'!AB848),"", 'Ingest Template'!AB848&amp;"|DAR")),(IF(ISBLANK('Ingest Template'!AB848),"", 'Ingest Template'!AB848&amp;"|TV Ops")))</f>
        <v/>
      </c>
      <c r="AA848" s="35"/>
      <c r="AB848" s="35" t="str">
        <f>'Ingest Template'!R848</f>
        <v/>
      </c>
      <c r="AC848" s="35" t="str">
        <f>'Ingest Template'!T848</f>
        <v/>
      </c>
      <c r="AD848" s="35" t="str">
        <f>'Ingest Template'!S848</f>
        <v/>
      </c>
      <c r="AE848" s="35" t="str">
        <f>'Ingest Template'!U848</f>
        <v/>
      </c>
      <c r="AF848" s="22"/>
      <c r="AG848" s="35" t="str">
        <f t="array" ref="AG848">IF('Ingest Template'!A848="Standard",(CONCATENATE(IF(ISBLANK('Ingest Template'!N848),"", 'Ingest Template'!N848&amp;"|DAR"),CHAR(10), IF(ISBLANK('Ingest Template'!O848),"", 'Ingest Template'!O848&amp;"|DAR"),CHAR(10), IF(ISBLANK('Ingest Template'!P848),"", 'Ingest Template'!P848&amp;"|DAR"))),(CONCATENATE(IF(ISBLANK('Ingest Template'!N848),"", 'Ingest Template'!N848&amp;"|TV Ops"),CHAR(10), IF(ISBLANK('Ingest Template'!O848),"", 'Ingest Template'!O848&amp;"|TV Ops"),CHAR(10), IF(ISBLANK('Ingest Template'!P848),"", 'Ingest Template'!P848&amp;"|TV Ops"))))</f>
        <v>
</v>
      </c>
      <c r="AH848" s="35"/>
      <c r="AI848" s="35"/>
      <c r="AJ848" s="117" t="str">
        <f>if('Ingest Template'!A848="Standard",(IF(OR('Ingest Template'!F848 = "Program Type - Special", 'Ingest Template'!F848 = "Program Type - Live Event"),'Ingest Template'!M848&amp; "|DAR|DAR|"&amp;TEXT('Ingest Template'!C848-3, "yyyy-mm-dd")&amp;"|"&amp;TEXT('Ingest Template'!C848+3, "yyyy-mm-dd"),'Ingest Template'!M848&amp; "|DAR|DAR|2021-01-01")),(IF(OR('Ingest Template'!F848 = "Program Type - Special", 'Ingest Template'!F848 = "Program Type - Live Event"),'Ingest Template'!M848&amp; "|Operations - Core Title|Operations - Core Title|"&amp;TEXT('Ingest Template'!C848-3, "yyyy-mm-dd")&amp;"|"&amp;TEXT('Ingest Template'!C848+3, "yyyy-mm-dd"),'Ingest Template'!M848&amp; "|Operations - Core Title|Operations - Core Title")))</f>
        <v>|Operations - Core Title|Operations - Core Title</v>
      </c>
      <c r="AK848" s="35"/>
      <c r="AL848" s="117" t="str">
        <f>if('Ingest Template'!A848="Standard",(IF(OR('Ingest Template'!F848 = "Program Type - Special", 'Ingest Template'!F848 = "Program Type - Live Event"),'Ingest Template'!Q848&amp;"|"&amp;TEXT('Ingest Template'!C848-3, "yyyy-mm-dd")&amp;"|"&amp;TEXT('Ingest Template'!C848+3, "yyyy-mm-dd"),'Ingest Template'!Q848&amp; "|2021-01-01")),(IF(OR('Ingest Template'!F848 = "Program Type - Special", 'Ingest Template'!F848 = "Program Type - Live Event"),'Ingest Template'!Q848&amp; "|"&amp;TEXT('Ingest Template'!C848-3, "yyyy-mm-dd")&amp;"|"&amp;TEXT('Ingest Template'!C848+3, "yyyy-mm-dd"),'Ingest Template'!Q848)))</f>
        <v/>
      </c>
      <c r="AM848" s="35" t="str">
        <f>'Ingest Template'!AC848</f>
        <v/>
      </c>
    </row>
    <row r="849">
      <c r="A849" s="15"/>
      <c r="B849" s="22" t="str">
        <f>'Ingest Template'!C849&amp;IF('Ingest Template'!A849 = "Standard", " - DAR","")</f>
        <v/>
      </c>
      <c r="C849" s="22" t="s">
        <v>83</v>
      </c>
      <c r="D849" s="22" t="str">
        <f t="array" ref="D849">CONCATENATE(INDEX(DropdownLists!$H$2:$H$11,MATCH(1,COUNTIF('Ingest Template'!E849,"*"&amp;DropdownLists!$I$2:$I$11&amp;"*"),0)),CHAR(10),'Ingest Template'!F849,CHAR(10),'Ingest Template'!G849,CHAR(10),VLOOKUP('Ingest Template'!D849,DropdownLists!C:D,2,FALSE))</f>
        <v>#N/A</v>
      </c>
      <c r="E849" s="22" t="str">
        <f>CONCATENATE('Ingest Template'!H849,CHAR(10),'Ingest Template'!I849,CHAR(10),'Ingest Template'!J849,CHAR(10))</f>
        <v>
</v>
      </c>
      <c r="F849" s="35" t="str">
        <f t="array" ref="F849">INDEX(DropdownLists!$O$2:$O$36,MATCH(1,COUNTIF(E849,"*"&amp;DropdownLists!$N$2:$N$36&amp;"*"),0))</f>
        <v/>
      </c>
      <c r="G849" s="35"/>
      <c r="H849" s="22" t="str">
        <f t="array" ref="H849">INDEX(DropdownLists!$E$2:$E$276,MATCH('Ingest Template'!D849,DropdownLists!$C$2:$C$276,0))</f>
        <v>#N/A</v>
      </c>
      <c r="I849" s="22"/>
      <c r="J849" s="22" t="str">
        <f t="array" ref="J849">iF('Ingest Template'!A849="Standard","Pristine Brand",INDEX(DropdownLists!$B$2:$B$246,MATCH('Ingest Template'!D849,DropdownLists!$C$2:$C$246,0)))</f>
        <v>#N/A</v>
      </c>
      <c r="K849" s="22" t="str">
        <f>iF('Ingest Template'!A849="Standard",'Ingest Template'!K849&amp;CHAR(10)&amp;'Ingest Template'!L849,"Competitive View")</f>
        <v>Competitive View</v>
      </c>
      <c r="L849" s="22" t="s">
        <v>95</v>
      </c>
      <c r="M849" s="45" t="str">
        <f>'Ingest Template'!B849</f>
        <v/>
      </c>
      <c r="N849" s="35"/>
      <c r="O849" s="35"/>
      <c r="P849" s="35"/>
      <c r="Q849" s="35"/>
      <c r="R849" s="35" t="str">
        <f>'Ingest Template'!D849</f>
        <v/>
      </c>
      <c r="S849" s="22" t="s">
        <v>101</v>
      </c>
      <c r="T849" s="35" t="str">
        <f>'Ingest Template'!V849</f>
        <v/>
      </c>
      <c r="U849" s="35" t="str">
        <f>'Ingest Template'!W849</f>
        <v/>
      </c>
      <c r="V849" s="35" t="str">
        <f>LOWER(SUBSTITUTE(SUBSTITUTE(SUBSTITUTE(SUBSTITUTE(SUBSTITUTE('Ingest Template'!X849,"https:",""),"www.",""),"/",""),"?hl=en",""),"instagram.com",""))</f>
        <v/>
      </c>
      <c r="W849" s="74" t="str">
        <f t="array" ref="W849">IF(
'Ingest Template'!Y849="",
SUBSTITUTE(
INDEX(DropdownLists!$F$2:$F$277,MATCH('Ingest Template'!D849,DropdownLists!$C$2:$C$277,0)),
CHAR(10),
"|"&amp;'Ingest Template'!C849&amp;CHAR(10)
)&amp;"|"&amp;'Ingest Template'!C849,
SUBSTITUTE(
INDEX(DropdownLists!$F$2:$F$277,MATCH('Ingest Template'!D849,DropdownLists!$C$2:$C$277,0)),
CHAR(10),
"|"&amp;'Ingest Template'!C849&amp;CHAR(10)
)&amp;"|"&amp;'Ingest Template'!C849&amp;CHAR(10)&amp;'Ingest Template'!Y849
)</f>
        <v>#N/A</v>
      </c>
      <c r="X849" s="74" t="str">
        <f>'Ingest Template'!Z849</f>
        <v/>
      </c>
      <c r="Y849" s="35" t="str">
        <f>SUBSTITUTE(SUBSTITUTE(SUBSTITUTE('Ingest Template'!AA849,"http:",""),"https:",""),"/","")</f>
        <v/>
      </c>
      <c r="Z849" s="35" t="str">
        <f t="array" ref="Z849">IF('Ingest Template'!A849="Standard",(IF(ISBLANK('Ingest Template'!AB849),"", 'Ingest Template'!AB849&amp;"|DAR")),(IF(ISBLANK('Ingest Template'!AB849),"", 'Ingest Template'!AB849&amp;"|TV Ops")))</f>
        <v/>
      </c>
      <c r="AA849" s="35"/>
      <c r="AB849" s="35" t="str">
        <f>'Ingest Template'!R849</f>
        <v/>
      </c>
      <c r="AC849" s="35" t="str">
        <f>'Ingest Template'!T849</f>
        <v/>
      </c>
      <c r="AD849" s="35" t="str">
        <f>'Ingest Template'!S849</f>
        <v/>
      </c>
      <c r="AE849" s="35" t="str">
        <f>'Ingest Template'!U849</f>
        <v/>
      </c>
      <c r="AF849" s="22"/>
      <c r="AG849" s="35" t="str">
        <f t="array" ref="AG849">IF('Ingest Template'!A849="Standard",(CONCATENATE(IF(ISBLANK('Ingest Template'!N849),"", 'Ingest Template'!N849&amp;"|DAR"),CHAR(10), IF(ISBLANK('Ingest Template'!O849),"", 'Ingest Template'!O849&amp;"|DAR"),CHAR(10), IF(ISBLANK('Ingest Template'!P849),"", 'Ingest Template'!P849&amp;"|DAR"))),(CONCATENATE(IF(ISBLANK('Ingest Template'!N849),"", 'Ingest Template'!N849&amp;"|TV Ops"),CHAR(10), IF(ISBLANK('Ingest Template'!O849),"", 'Ingest Template'!O849&amp;"|TV Ops"),CHAR(10), IF(ISBLANK('Ingest Template'!P849),"", 'Ingest Template'!P849&amp;"|TV Ops"))))</f>
        <v>
</v>
      </c>
      <c r="AH849" s="35"/>
      <c r="AI849" s="35"/>
      <c r="AJ849" s="117" t="str">
        <f>if('Ingest Template'!A849="Standard",(IF(OR('Ingest Template'!F849 = "Program Type - Special", 'Ingest Template'!F849 = "Program Type - Live Event"),'Ingest Template'!M849&amp; "|DAR|DAR|"&amp;TEXT('Ingest Template'!C849-3, "yyyy-mm-dd")&amp;"|"&amp;TEXT('Ingest Template'!C849+3, "yyyy-mm-dd"),'Ingest Template'!M849&amp; "|DAR|DAR|2021-01-01")),(IF(OR('Ingest Template'!F849 = "Program Type - Special", 'Ingest Template'!F849 = "Program Type - Live Event"),'Ingest Template'!M849&amp; "|Operations - Core Title|Operations - Core Title|"&amp;TEXT('Ingest Template'!C849-3, "yyyy-mm-dd")&amp;"|"&amp;TEXT('Ingest Template'!C849+3, "yyyy-mm-dd"),'Ingest Template'!M849&amp; "|Operations - Core Title|Operations - Core Title")))</f>
        <v>|Operations - Core Title|Operations - Core Title</v>
      </c>
      <c r="AK849" s="35"/>
      <c r="AL849" s="117" t="str">
        <f>if('Ingest Template'!A849="Standard",(IF(OR('Ingest Template'!F849 = "Program Type - Special", 'Ingest Template'!F849 = "Program Type - Live Event"),'Ingest Template'!Q849&amp;"|"&amp;TEXT('Ingest Template'!C849-3, "yyyy-mm-dd")&amp;"|"&amp;TEXT('Ingest Template'!C849+3, "yyyy-mm-dd"),'Ingest Template'!Q849&amp; "|2021-01-01")),(IF(OR('Ingest Template'!F849 = "Program Type - Special", 'Ingest Template'!F849 = "Program Type - Live Event"),'Ingest Template'!Q849&amp; "|"&amp;TEXT('Ingest Template'!C849-3, "yyyy-mm-dd")&amp;"|"&amp;TEXT('Ingest Template'!C849+3, "yyyy-mm-dd"),'Ingest Template'!Q849)))</f>
        <v/>
      </c>
      <c r="AM849" s="35" t="str">
        <f>'Ingest Template'!AC849</f>
        <v/>
      </c>
    </row>
    <row r="850">
      <c r="A850" s="15"/>
      <c r="B850" s="22" t="str">
        <f>'Ingest Template'!C850&amp;IF('Ingest Template'!A850 = "Standard", " - DAR","")</f>
        <v/>
      </c>
      <c r="C850" s="22" t="s">
        <v>83</v>
      </c>
      <c r="D850" s="22" t="str">
        <f t="array" ref="D850">CONCATENATE(INDEX(DropdownLists!$H$2:$H$11,MATCH(1,COUNTIF('Ingest Template'!E850,"*"&amp;DropdownLists!$I$2:$I$11&amp;"*"),0)),CHAR(10),'Ingest Template'!F850,CHAR(10),'Ingest Template'!G850,CHAR(10),VLOOKUP('Ingest Template'!D850,DropdownLists!C:D,2,FALSE))</f>
        <v>#N/A</v>
      </c>
      <c r="E850" s="22" t="str">
        <f>CONCATENATE('Ingest Template'!H850,CHAR(10),'Ingest Template'!I850,CHAR(10),'Ingest Template'!J850,CHAR(10))</f>
        <v>
</v>
      </c>
      <c r="F850" s="35" t="str">
        <f t="array" ref="F850">INDEX(DropdownLists!$O$2:$O$36,MATCH(1,COUNTIF(E850,"*"&amp;DropdownLists!$N$2:$N$36&amp;"*"),0))</f>
        <v/>
      </c>
      <c r="G850" s="35"/>
      <c r="H850" s="22" t="str">
        <f t="array" ref="H850">INDEX(DropdownLists!$E$2:$E$276,MATCH('Ingest Template'!D850,DropdownLists!$C$2:$C$276,0))</f>
        <v>#N/A</v>
      </c>
      <c r="I850" s="22"/>
      <c r="J850" s="22" t="str">
        <f t="array" ref="J850">iF('Ingest Template'!A850="Standard","Pristine Brand",INDEX(DropdownLists!$B$2:$B$246,MATCH('Ingest Template'!D850,DropdownLists!$C$2:$C$246,0)))</f>
        <v>#N/A</v>
      </c>
      <c r="K850" s="22" t="str">
        <f>iF('Ingest Template'!A850="Standard",'Ingest Template'!K850&amp;CHAR(10)&amp;'Ingest Template'!L850,"Competitive View")</f>
        <v>Competitive View</v>
      </c>
      <c r="L850" s="22" t="s">
        <v>95</v>
      </c>
      <c r="M850" s="45" t="str">
        <f>'Ingest Template'!B850</f>
        <v/>
      </c>
      <c r="N850" s="35"/>
      <c r="O850" s="35"/>
      <c r="P850" s="35"/>
      <c r="Q850" s="35"/>
      <c r="R850" s="35" t="str">
        <f>'Ingest Template'!D850</f>
        <v/>
      </c>
      <c r="S850" s="22" t="s">
        <v>101</v>
      </c>
      <c r="T850" s="35" t="str">
        <f>'Ingest Template'!V850</f>
        <v/>
      </c>
      <c r="U850" s="35" t="str">
        <f>'Ingest Template'!W850</f>
        <v/>
      </c>
      <c r="V850" s="35" t="str">
        <f>LOWER(SUBSTITUTE(SUBSTITUTE(SUBSTITUTE(SUBSTITUTE(SUBSTITUTE('Ingest Template'!X850,"https:",""),"www.",""),"/",""),"?hl=en",""),"instagram.com",""))</f>
        <v/>
      </c>
      <c r="W850" s="74" t="str">
        <f t="array" ref="W850">IF(
'Ingest Template'!Y850="",
SUBSTITUTE(
INDEX(DropdownLists!$F$2:$F$277,MATCH('Ingest Template'!D850,DropdownLists!$C$2:$C$277,0)),
CHAR(10),
"|"&amp;'Ingest Template'!C850&amp;CHAR(10)
)&amp;"|"&amp;'Ingest Template'!C850,
SUBSTITUTE(
INDEX(DropdownLists!$F$2:$F$277,MATCH('Ingest Template'!D850,DropdownLists!$C$2:$C$277,0)),
CHAR(10),
"|"&amp;'Ingest Template'!C850&amp;CHAR(10)
)&amp;"|"&amp;'Ingest Template'!C850&amp;CHAR(10)&amp;'Ingest Template'!Y850
)</f>
        <v>#N/A</v>
      </c>
      <c r="X850" s="74" t="str">
        <f>'Ingest Template'!Z850</f>
        <v/>
      </c>
      <c r="Y850" s="35" t="str">
        <f>SUBSTITUTE(SUBSTITUTE(SUBSTITUTE('Ingest Template'!AA850,"http:",""),"https:",""),"/","")</f>
        <v/>
      </c>
      <c r="Z850" s="35" t="str">
        <f t="array" ref="Z850">IF('Ingest Template'!A850="Standard",(IF(ISBLANK('Ingest Template'!AB850),"", 'Ingest Template'!AB850&amp;"|DAR")),(IF(ISBLANK('Ingest Template'!AB850),"", 'Ingest Template'!AB850&amp;"|TV Ops")))</f>
        <v/>
      </c>
      <c r="AA850" s="35"/>
      <c r="AB850" s="35" t="str">
        <f>'Ingest Template'!R850</f>
        <v/>
      </c>
      <c r="AC850" s="35" t="str">
        <f>'Ingest Template'!T850</f>
        <v/>
      </c>
      <c r="AD850" s="35" t="str">
        <f>'Ingest Template'!S850</f>
        <v/>
      </c>
      <c r="AE850" s="35" t="str">
        <f>'Ingest Template'!U850</f>
        <v/>
      </c>
      <c r="AF850" s="22"/>
      <c r="AG850" s="35" t="str">
        <f t="array" ref="AG850">IF('Ingest Template'!A850="Standard",(CONCATENATE(IF(ISBLANK('Ingest Template'!N850),"", 'Ingest Template'!N850&amp;"|DAR"),CHAR(10), IF(ISBLANK('Ingest Template'!O850),"", 'Ingest Template'!O850&amp;"|DAR"),CHAR(10), IF(ISBLANK('Ingest Template'!P850),"", 'Ingest Template'!P850&amp;"|DAR"))),(CONCATENATE(IF(ISBLANK('Ingest Template'!N850),"", 'Ingest Template'!N850&amp;"|TV Ops"),CHAR(10), IF(ISBLANK('Ingest Template'!O850),"", 'Ingest Template'!O850&amp;"|TV Ops"),CHAR(10), IF(ISBLANK('Ingest Template'!P850),"", 'Ingest Template'!P850&amp;"|TV Ops"))))</f>
        <v>
</v>
      </c>
      <c r="AH850" s="35"/>
      <c r="AI850" s="35"/>
      <c r="AJ850" s="117" t="str">
        <f>if('Ingest Template'!A850="Standard",(IF(OR('Ingest Template'!F850 = "Program Type - Special", 'Ingest Template'!F850 = "Program Type - Live Event"),'Ingest Template'!M850&amp; "|DAR|DAR|"&amp;TEXT('Ingest Template'!C850-3, "yyyy-mm-dd")&amp;"|"&amp;TEXT('Ingest Template'!C850+3, "yyyy-mm-dd"),'Ingest Template'!M850&amp; "|DAR|DAR|2021-01-01")),(IF(OR('Ingest Template'!F850 = "Program Type - Special", 'Ingest Template'!F850 = "Program Type - Live Event"),'Ingest Template'!M850&amp; "|Operations - Core Title|Operations - Core Title|"&amp;TEXT('Ingest Template'!C850-3, "yyyy-mm-dd")&amp;"|"&amp;TEXT('Ingest Template'!C850+3, "yyyy-mm-dd"),'Ingest Template'!M850&amp; "|Operations - Core Title|Operations - Core Title")))</f>
        <v>|Operations - Core Title|Operations - Core Title</v>
      </c>
      <c r="AK850" s="35"/>
      <c r="AL850" s="117" t="str">
        <f>if('Ingest Template'!A850="Standard",(IF(OR('Ingest Template'!F850 = "Program Type - Special", 'Ingest Template'!F850 = "Program Type - Live Event"),'Ingest Template'!Q850&amp;"|"&amp;TEXT('Ingest Template'!C850-3, "yyyy-mm-dd")&amp;"|"&amp;TEXT('Ingest Template'!C850+3, "yyyy-mm-dd"),'Ingest Template'!Q850&amp; "|2021-01-01")),(IF(OR('Ingest Template'!F850 = "Program Type - Special", 'Ingest Template'!F850 = "Program Type - Live Event"),'Ingest Template'!Q850&amp; "|"&amp;TEXT('Ingest Template'!C850-3, "yyyy-mm-dd")&amp;"|"&amp;TEXT('Ingest Template'!C850+3, "yyyy-mm-dd"),'Ingest Template'!Q850)))</f>
        <v/>
      </c>
      <c r="AM850" s="35" t="str">
        <f>'Ingest Template'!AC850</f>
        <v/>
      </c>
    </row>
    <row r="851">
      <c r="A851" s="15"/>
      <c r="B851" s="22" t="str">
        <f>'Ingest Template'!C851&amp;IF('Ingest Template'!A851 = "Standard", " - DAR","")</f>
        <v/>
      </c>
      <c r="C851" s="22" t="s">
        <v>83</v>
      </c>
      <c r="D851" s="22" t="str">
        <f t="array" ref="D851">CONCATENATE(INDEX(DropdownLists!$H$2:$H$11,MATCH(1,COUNTIF('Ingest Template'!E851,"*"&amp;DropdownLists!$I$2:$I$11&amp;"*"),0)),CHAR(10),'Ingest Template'!F851,CHAR(10),'Ingest Template'!G851,CHAR(10),VLOOKUP('Ingest Template'!D851,DropdownLists!C:D,2,FALSE))</f>
        <v>#N/A</v>
      </c>
      <c r="E851" s="22" t="str">
        <f>CONCATENATE('Ingest Template'!H851,CHAR(10),'Ingest Template'!I851,CHAR(10),'Ingest Template'!J851,CHAR(10))</f>
        <v>
</v>
      </c>
      <c r="F851" s="35" t="str">
        <f t="array" ref="F851">INDEX(DropdownLists!$O$2:$O$36,MATCH(1,COUNTIF(E851,"*"&amp;DropdownLists!$N$2:$N$36&amp;"*"),0))</f>
        <v/>
      </c>
      <c r="G851" s="35"/>
      <c r="H851" s="22" t="str">
        <f t="array" ref="H851">INDEX(DropdownLists!$E$2:$E$276,MATCH('Ingest Template'!D851,DropdownLists!$C$2:$C$276,0))</f>
        <v>#N/A</v>
      </c>
      <c r="I851" s="22"/>
      <c r="J851" s="22" t="str">
        <f t="array" ref="J851">iF('Ingest Template'!A851="Standard","Pristine Brand",INDEX(DropdownLists!$B$2:$B$246,MATCH('Ingest Template'!D851,DropdownLists!$C$2:$C$246,0)))</f>
        <v>#N/A</v>
      </c>
      <c r="K851" s="22" t="str">
        <f>iF('Ingest Template'!A851="Standard",'Ingest Template'!K851&amp;CHAR(10)&amp;'Ingest Template'!L851,"Competitive View")</f>
        <v>Competitive View</v>
      </c>
      <c r="L851" s="22" t="s">
        <v>95</v>
      </c>
      <c r="M851" s="45" t="str">
        <f>'Ingest Template'!B851</f>
        <v/>
      </c>
      <c r="N851" s="35"/>
      <c r="O851" s="35"/>
      <c r="P851" s="35"/>
      <c r="Q851" s="35"/>
      <c r="R851" s="35" t="str">
        <f>'Ingest Template'!D851</f>
        <v/>
      </c>
      <c r="S851" s="22" t="s">
        <v>101</v>
      </c>
      <c r="T851" s="35" t="str">
        <f>'Ingest Template'!V851</f>
        <v/>
      </c>
      <c r="U851" s="35" t="str">
        <f>'Ingest Template'!W851</f>
        <v/>
      </c>
      <c r="V851" s="35" t="str">
        <f>LOWER(SUBSTITUTE(SUBSTITUTE(SUBSTITUTE(SUBSTITUTE(SUBSTITUTE('Ingest Template'!X851,"https:",""),"www.",""),"/",""),"?hl=en",""),"instagram.com",""))</f>
        <v/>
      </c>
      <c r="W851" s="74" t="str">
        <f t="array" ref="W851">IF(
'Ingest Template'!Y851="",
SUBSTITUTE(
INDEX(DropdownLists!$F$2:$F$277,MATCH('Ingest Template'!D851,DropdownLists!$C$2:$C$277,0)),
CHAR(10),
"|"&amp;'Ingest Template'!C851&amp;CHAR(10)
)&amp;"|"&amp;'Ingest Template'!C851,
SUBSTITUTE(
INDEX(DropdownLists!$F$2:$F$277,MATCH('Ingest Template'!D851,DropdownLists!$C$2:$C$277,0)),
CHAR(10),
"|"&amp;'Ingest Template'!C851&amp;CHAR(10)
)&amp;"|"&amp;'Ingest Template'!C851&amp;CHAR(10)&amp;'Ingest Template'!Y851
)</f>
        <v>#N/A</v>
      </c>
      <c r="X851" s="74" t="str">
        <f>'Ingest Template'!Z851</f>
        <v/>
      </c>
      <c r="Y851" s="35" t="str">
        <f>SUBSTITUTE(SUBSTITUTE(SUBSTITUTE('Ingest Template'!AA851,"http:",""),"https:",""),"/","")</f>
        <v/>
      </c>
      <c r="Z851" s="35" t="str">
        <f t="array" ref="Z851">IF('Ingest Template'!A851="Standard",(IF(ISBLANK('Ingest Template'!AB851),"", 'Ingest Template'!AB851&amp;"|DAR")),(IF(ISBLANK('Ingest Template'!AB851),"", 'Ingest Template'!AB851&amp;"|TV Ops")))</f>
        <v/>
      </c>
      <c r="AA851" s="35"/>
      <c r="AB851" s="35" t="str">
        <f>'Ingest Template'!R851</f>
        <v/>
      </c>
      <c r="AC851" s="35" t="str">
        <f>'Ingest Template'!T851</f>
        <v/>
      </c>
      <c r="AD851" s="35" t="str">
        <f>'Ingest Template'!S851</f>
        <v/>
      </c>
      <c r="AE851" s="35" t="str">
        <f>'Ingest Template'!U851</f>
        <v/>
      </c>
      <c r="AF851" s="22"/>
      <c r="AG851" s="35" t="str">
        <f t="array" ref="AG851">IF('Ingest Template'!A851="Standard",(CONCATENATE(IF(ISBLANK('Ingest Template'!N851),"", 'Ingest Template'!N851&amp;"|DAR"),CHAR(10), IF(ISBLANK('Ingest Template'!O851),"", 'Ingest Template'!O851&amp;"|DAR"),CHAR(10), IF(ISBLANK('Ingest Template'!P851),"", 'Ingest Template'!P851&amp;"|DAR"))),(CONCATENATE(IF(ISBLANK('Ingest Template'!N851),"", 'Ingest Template'!N851&amp;"|TV Ops"),CHAR(10), IF(ISBLANK('Ingest Template'!O851),"", 'Ingest Template'!O851&amp;"|TV Ops"),CHAR(10), IF(ISBLANK('Ingest Template'!P851),"", 'Ingest Template'!P851&amp;"|TV Ops"))))</f>
        <v>
</v>
      </c>
      <c r="AH851" s="35"/>
      <c r="AI851" s="35"/>
      <c r="AJ851" s="117" t="str">
        <f>if('Ingest Template'!A851="Standard",(IF(OR('Ingest Template'!F851 = "Program Type - Special", 'Ingest Template'!F851 = "Program Type - Live Event"),'Ingest Template'!M851&amp; "|DAR|DAR|"&amp;TEXT('Ingest Template'!C851-3, "yyyy-mm-dd")&amp;"|"&amp;TEXT('Ingest Template'!C851+3, "yyyy-mm-dd"),'Ingest Template'!M851&amp; "|DAR|DAR|2021-01-01")),(IF(OR('Ingest Template'!F851 = "Program Type - Special", 'Ingest Template'!F851 = "Program Type - Live Event"),'Ingest Template'!M851&amp; "|Operations - Core Title|Operations - Core Title|"&amp;TEXT('Ingest Template'!C851-3, "yyyy-mm-dd")&amp;"|"&amp;TEXT('Ingest Template'!C851+3, "yyyy-mm-dd"),'Ingest Template'!M851&amp; "|Operations - Core Title|Operations - Core Title")))</f>
        <v>|Operations - Core Title|Operations - Core Title</v>
      </c>
      <c r="AK851" s="35"/>
      <c r="AL851" s="117" t="str">
        <f>if('Ingest Template'!A851="Standard",(IF(OR('Ingest Template'!F851 = "Program Type - Special", 'Ingest Template'!F851 = "Program Type - Live Event"),'Ingest Template'!Q851&amp;"|"&amp;TEXT('Ingest Template'!C851-3, "yyyy-mm-dd")&amp;"|"&amp;TEXT('Ingest Template'!C851+3, "yyyy-mm-dd"),'Ingest Template'!Q851&amp; "|2021-01-01")),(IF(OR('Ingest Template'!F851 = "Program Type - Special", 'Ingest Template'!F851 = "Program Type - Live Event"),'Ingest Template'!Q851&amp; "|"&amp;TEXT('Ingest Template'!C851-3, "yyyy-mm-dd")&amp;"|"&amp;TEXT('Ingest Template'!C851+3, "yyyy-mm-dd"),'Ingest Template'!Q851)))</f>
        <v/>
      </c>
      <c r="AM851" s="35" t="str">
        <f>'Ingest Template'!AC851</f>
        <v/>
      </c>
    </row>
    <row r="852">
      <c r="A852" s="15"/>
      <c r="B852" s="22" t="str">
        <f>'Ingest Template'!C852&amp;IF('Ingest Template'!A852 = "Standard", " - DAR","")</f>
        <v/>
      </c>
      <c r="C852" s="22" t="s">
        <v>83</v>
      </c>
      <c r="D852" s="22" t="str">
        <f t="array" ref="D852">CONCATENATE(INDEX(DropdownLists!$H$2:$H$11,MATCH(1,COUNTIF('Ingest Template'!E852,"*"&amp;DropdownLists!$I$2:$I$11&amp;"*"),0)),CHAR(10),'Ingest Template'!F852,CHAR(10),'Ingest Template'!G852,CHAR(10),VLOOKUP('Ingest Template'!D852,DropdownLists!C:D,2,FALSE))</f>
        <v>#N/A</v>
      </c>
      <c r="E852" s="22" t="str">
        <f>CONCATENATE('Ingest Template'!H852,CHAR(10),'Ingest Template'!I852,CHAR(10),'Ingest Template'!J852,CHAR(10))</f>
        <v>
</v>
      </c>
      <c r="F852" s="35" t="str">
        <f t="array" ref="F852">INDEX(DropdownLists!$O$2:$O$36,MATCH(1,COUNTIF(E852,"*"&amp;DropdownLists!$N$2:$N$36&amp;"*"),0))</f>
        <v/>
      </c>
      <c r="G852" s="35"/>
      <c r="H852" s="22" t="str">
        <f t="array" ref="H852">INDEX(DropdownLists!$E$2:$E$276,MATCH('Ingest Template'!D852,DropdownLists!$C$2:$C$276,0))</f>
        <v>#N/A</v>
      </c>
      <c r="I852" s="22"/>
      <c r="J852" s="22" t="str">
        <f t="array" ref="J852">iF('Ingest Template'!A852="Standard","Pristine Brand",INDEX(DropdownLists!$B$2:$B$246,MATCH('Ingest Template'!D852,DropdownLists!$C$2:$C$246,0)))</f>
        <v>#N/A</v>
      </c>
      <c r="K852" s="22" t="str">
        <f>iF('Ingest Template'!A852="Standard",'Ingest Template'!K852&amp;CHAR(10)&amp;'Ingest Template'!L852,"Competitive View")</f>
        <v>Competitive View</v>
      </c>
      <c r="L852" s="22" t="s">
        <v>95</v>
      </c>
      <c r="M852" s="45" t="str">
        <f>'Ingest Template'!B852</f>
        <v/>
      </c>
      <c r="N852" s="35"/>
      <c r="O852" s="35"/>
      <c r="P852" s="35"/>
      <c r="Q852" s="35"/>
      <c r="R852" s="35" t="str">
        <f>'Ingest Template'!D852</f>
        <v/>
      </c>
      <c r="S852" s="22" t="s">
        <v>101</v>
      </c>
      <c r="T852" s="35" t="str">
        <f>'Ingest Template'!V852</f>
        <v/>
      </c>
      <c r="U852" s="35" t="str">
        <f>'Ingest Template'!W852</f>
        <v/>
      </c>
      <c r="V852" s="35" t="str">
        <f>LOWER(SUBSTITUTE(SUBSTITUTE(SUBSTITUTE(SUBSTITUTE(SUBSTITUTE('Ingest Template'!X852,"https:",""),"www.",""),"/",""),"?hl=en",""),"instagram.com",""))</f>
        <v/>
      </c>
      <c r="W852" s="74" t="str">
        <f t="array" ref="W852">IF(
'Ingest Template'!Y852="",
SUBSTITUTE(
INDEX(DropdownLists!$F$2:$F$277,MATCH('Ingest Template'!D852,DropdownLists!$C$2:$C$277,0)),
CHAR(10),
"|"&amp;'Ingest Template'!C852&amp;CHAR(10)
)&amp;"|"&amp;'Ingest Template'!C852,
SUBSTITUTE(
INDEX(DropdownLists!$F$2:$F$277,MATCH('Ingest Template'!D852,DropdownLists!$C$2:$C$277,0)),
CHAR(10),
"|"&amp;'Ingest Template'!C852&amp;CHAR(10)
)&amp;"|"&amp;'Ingest Template'!C852&amp;CHAR(10)&amp;'Ingest Template'!Y852
)</f>
        <v>#N/A</v>
      </c>
      <c r="X852" s="74" t="str">
        <f>'Ingest Template'!Z852</f>
        <v/>
      </c>
      <c r="Y852" s="35" t="str">
        <f>SUBSTITUTE(SUBSTITUTE(SUBSTITUTE('Ingest Template'!AA852,"http:",""),"https:",""),"/","")</f>
        <v/>
      </c>
      <c r="Z852" s="35" t="str">
        <f t="array" ref="Z852">IF('Ingest Template'!A852="Standard",(IF(ISBLANK('Ingest Template'!AB852),"", 'Ingest Template'!AB852&amp;"|DAR")),(IF(ISBLANK('Ingest Template'!AB852),"", 'Ingest Template'!AB852&amp;"|TV Ops")))</f>
        <v/>
      </c>
      <c r="AA852" s="35"/>
      <c r="AB852" s="35" t="str">
        <f>'Ingest Template'!R852</f>
        <v/>
      </c>
      <c r="AC852" s="35" t="str">
        <f>'Ingest Template'!T852</f>
        <v/>
      </c>
      <c r="AD852" s="35" t="str">
        <f>'Ingest Template'!S852</f>
        <v/>
      </c>
      <c r="AE852" s="35" t="str">
        <f>'Ingest Template'!U852</f>
        <v/>
      </c>
      <c r="AF852" s="22"/>
      <c r="AG852" s="35" t="str">
        <f t="array" ref="AG852">IF('Ingest Template'!A852="Standard",(CONCATENATE(IF(ISBLANK('Ingest Template'!N852),"", 'Ingest Template'!N852&amp;"|DAR"),CHAR(10), IF(ISBLANK('Ingest Template'!O852),"", 'Ingest Template'!O852&amp;"|DAR"),CHAR(10), IF(ISBLANK('Ingest Template'!P852),"", 'Ingest Template'!P852&amp;"|DAR"))),(CONCATENATE(IF(ISBLANK('Ingest Template'!N852),"", 'Ingest Template'!N852&amp;"|TV Ops"),CHAR(10), IF(ISBLANK('Ingest Template'!O852),"", 'Ingest Template'!O852&amp;"|TV Ops"),CHAR(10), IF(ISBLANK('Ingest Template'!P852),"", 'Ingest Template'!P852&amp;"|TV Ops"))))</f>
        <v>
</v>
      </c>
      <c r="AH852" s="35"/>
      <c r="AI852" s="35"/>
      <c r="AJ852" s="117" t="str">
        <f>if('Ingest Template'!A852="Standard",(IF(OR('Ingest Template'!F852 = "Program Type - Special", 'Ingest Template'!F852 = "Program Type - Live Event"),'Ingest Template'!M852&amp; "|DAR|DAR|"&amp;TEXT('Ingest Template'!C852-3, "yyyy-mm-dd")&amp;"|"&amp;TEXT('Ingest Template'!C852+3, "yyyy-mm-dd"),'Ingest Template'!M852&amp; "|DAR|DAR|2021-01-01")),(IF(OR('Ingest Template'!F852 = "Program Type - Special", 'Ingest Template'!F852 = "Program Type - Live Event"),'Ingest Template'!M852&amp; "|Operations - Core Title|Operations - Core Title|"&amp;TEXT('Ingest Template'!C852-3, "yyyy-mm-dd")&amp;"|"&amp;TEXT('Ingest Template'!C852+3, "yyyy-mm-dd"),'Ingest Template'!M852&amp; "|Operations - Core Title|Operations - Core Title")))</f>
        <v>|Operations - Core Title|Operations - Core Title</v>
      </c>
      <c r="AK852" s="35"/>
      <c r="AL852" s="117" t="str">
        <f>if('Ingest Template'!A852="Standard",(IF(OR('Ingest Template'!F852 = "Program Type - Special", 'Ingest Template'!F852 = "Program Type - Live Event"),'Ingest Template'!Q852&amp;"|"&amp;TEXT('Ingest Template'!C852-3, "yyyy-mm-dd")&amp;"|"&amp;TEXT('Ingest Template'!C852+3, "yyyy-mm-dd"),'Ingest Template'!Q852&amp; "|2021-01-01")),(IF(OR('Ingest Template'!F852 = "Program Type - Special", 'Ingest Template'!F852 = "Program Type - Live Event"),'Ingest Template'!Q852&amp; "|"&amp;TEXT('Ingest Template'!C852-3, "yyyy-mm-dd")&amp;"|"&amp;TEXT('Ingest Template'!C852+3, "yyyy-mm-dd"),'Ingest Template'!Q852)))</f>
        <v/>
      </c>
      <c r="AM852" s="35" t="str">
        <f>'Ingest Template'!AC852</f>
        <v/>
      </c>
    </row>
    <row r="853">
      <c r="A853" s="15"/>
      <c r="B853" s="22" t="str">
        <f>'Ingest Template'!C853&amp;IF('Ingest Template'!A853 = "Standard", " - DAR","")</f>
        <v/>
      </c>
      <c r="C853" s="22" t="s">
        <v>83</v>
      </c>
      <c r="D853" s="22" t="str">
        <f t="array" ref="D853">CONCATENATE(INDEX(DropdownLists!$H$2:$H$11,MATCH(1,COUNTIF('Ingest Template'!E853,"*"&amp;DropdownLists!$I$2:$I$11&amp;"*"),0)),CHAR(10),'Ingest Template'!F853,CHAR(10),'Ingest Template'!G853,CHAR(10),VLOOKUP('Ingest Template'!D853,DropdownLists!C:D,2,FALSE))</f>
        <v>#N/A</v>
      </c>
      <c r="E853" s="22" t="str">
        <f>CONCATENATE('Ingest Template'!H853,CHAR(10),'Ingest Template'!I853,CHAR(10),'Ingest Template'!J853,CHAR(10))</f>
        <v>
</v>
      </c>
      <c r="F853" s="35" t="str">
        <f t="array" ref="F853">INDEX(DropdownLists!$O$2:$O$36,MATCH(1,COUNTIF(E853,"*"&amp;DropdownLists!$N$2:$N$36&amp;"*"),0))</f>
        <v/>
      </c>
      <c r="G853" s="35"/>
      <c r="H853" s="22" t="str">
        <f t="array" ref="H853">INDEX(DropdownLists!$E$2:$E$276,MATCH('Ingest Template'!D853,DropdownLists!$C$2:$C$276,0))</f>
        <v>#N/A</v>
      </c>
      <c r="I853" s="22"/>
      <c r="J853" s="22" t="str">
        <f t="array" ref="J853">iF('Ingest Template'!A853="Standard","Pristine Brand",INDEX(DropdownLists!$B$2:$B$246,MATCH('Ingest Template'!D853,DropdownLists!$C$2:$C$246,0)))</f>
        <v>#N/A</v>
      </c>
      <c r="K853" s="22" t="str">
        <f>iF('Ingest Template'!A853="Standard",'Ingest Template'!K853&amp;CHAR(10)&amp;'Ingest Template'!L853,"Competitive View")</f>
        <v>Competitive View</v>
      </c>
      <c r="L853" s="22" t="s">
        <v>95</v>
      </c>
      <c r="M853" s="45" t="str">
        <f>'Ingest Template'!B853</f>
        <v/>
      </c>
      <c r="N853" s="35"/>
      <c r="O853" s="35"/>
      <c r="P853" s="35"/>
      <c r="Q853" s="35"/>
      <c r="R853" s="35" t="str">
        <f>'Ingest Template'!D853</f>
        <v/>
      </c>
      <c r="S853" s="22" t="s">
        <v>101</v>
      </c>
      <c r="T853" s="35" t="str">
        <f>'Ingest Template'!V853</f>
        <v/>
      </c>
      <c r="U853" s="35" t="str">
        <f>'Ingest Template'!W853</f>
        <v/>
      </c>
      <c r="V853" s="35" t="str">
        <f>LOWER(SUBSTITUTE(SUBSTITUTE(SUBSTITUTE(SUBSTITUTE(SUBSTITUTE('Ingest Template'!X853,"https:",""),"www.",""),"/",""),"?hl=en",""),"instagram.com",""))</f>
        <v/>
      </c>
      <c r="W853" s="74" t="str">
        <f t="array" ref="W853">IF(
'Ingest Template'!Y853="",
SUBSTITUTE(
INDEX(DropdownLists!$F$2:$F$277,MATCH('Ingest Template'!D853,DropdownLists!$C$2:$C$277,0)),
CHAR(10),
"|"&amp;'Ingest Template'!C853&amp;CHAR(10)
)&amp;"|"&amp;'Ingest Template'!C853,
SUBSTITUTE(
INDEX(DropdownLists!$F$2:$F$277,MATCH('Ingest Template'!D853,DropdownLists!$C$2:$C$277,0)),
CHAR(10),
"|"&amp;'Ingest Template'!C853&amp;CHAR(10)
)&amp;"|"&amp;'Ingest Template'!C853&amp;CHAR(10)&amp;'Ingest Template'!Y853
)</f>
        <v>#N/A</v>
      </c>
      <c r="X853" s="74" t="str">
        <f>'Ingest Template'!Z853</f>
        <v/>
      </c>
      <c r="Y853" s="35" t="str">
        <f>SUBSTITUTE(SUBSTITUTE(SUBSTITUTE('Ingest Template'!AA853,"http:",""),"https:",""),"/","")</f>
        <v/>
      </c>
      <c r="Z853" s="35" t="str">
        <f t="array" ref="Z853">IF('Ingest Template'!A853="Standard",(IF(ISBLANK('Ingest Template'!AB853),"", 'Ingest Template'!AB853&amp;"|DAR")),(IF(ISBLANK('Ingest Template'!AB853),"", 'Ingest Template'!AB853&amp;"|TV Ops")))</f>
        <v/>
      </c>
      <c r="AA853" s="35"/>
      <c r="AB853" s="35" t="str">
        <f>'Ingest Template'!R853</f>
        <v/>
      </c>
      <c r="AC853" s="35" t="str">
        <f>'Ingest Template'!T853</f>
        <v/>
      </c>
      <c r="AD853" s="35" t="str">
        <f>'Ingest Template'!S853</f>
        <v/>
      </c>
      <c r="AE853" s="35" t="str">
        <f>'Ingest Template'!U853</f>
        <v/>
      </c>
      <c r="AF853" s="22"/>
      <c r="AG853" s="35" t="str">
        <f t="array" ref="AG853">IF('Ingest Template'!A853="Standard",(CONCATENATE(IF(ISBLANK('Ingest Template'!N853),"", 'Ingest Template'!N853&amp;"|DAR"),CHAR(10), IF(ISBLANK('Ingest Template'!O853),"", 'Ingest Template'!O853&amp;"|DAR"),CHAR(10), IF(ISBLANK('Ingest Template'!P853),"", 'Ingest Template'!P853&amp;"|DAR"))),(CONCATENATE(IF(ISBLANK('Ingest Template'!N853),"", 'Ingest Template'!N853&amp;"|TV Ops"),CHAR(10), IF(ISBLANK('Ingest Template'!O853),"", 'Ingest Template'!O853&amp;"|TV Ops"),CHAR(10), IF(ISBLANK('Ingest Template'!P853),"", 'Ingest Template'!P853&amp;"|TV Ops"))))</f>
        <v>
</v>
      </c>
      <c r="AH853" s="35"/>
      <c r="AI853" s="35"/>
      <c r="AJ853" s="117" t="str">
        <f>if('Ingest Template'!A853="Standard",(IF(OR('Ingest Template'!F853 = "Program Type - Special", 'Ingest Template'!F853 = "Program Type - Live Event"),'Ingest Template'!M853&amp; "|DAR|DAR|"&amp;TEXT('Ingest Template'!C853-3, "yyyy-mm-dd")&amp;"|"&amp;TEXT('Ingest Template'!C853+3, "yyyy-mm-dd"),'Ingest Template'!M853&amp; "|DAR|DAR|2021-01-01")),(IF(OR('Ingest Template'!F853 = "Program Type - Special", 'Ingest Template'!F853 = "Program Type - Live Event"),'Ingest Template'!M853&amp; "|Operations - Core Title|Operations - Core Title|"&amp;TEXT('Ingest Template'!C853-3, "yyyy-mm-dd")&amp;"|"&amp;TEXT('Ingest Template'!C853+3, "yyyy-mm-dd"),'Ingest Template'!M853&amp; "|Operations - Core Title|Operations - Core Title")))</f>
        <v>|Operations - Core Title|Operations - Core Title</v>
      </c>
      <c r="AK853" s="35"/>
      <c r="AL853" s="117" t="str">
        <f>if('Ingest Template'!A853="Standard",(IF(OR('Ingest Template'!F853 = "Program Type - Special", 'Ingest Template'!F853 = "Program Type - Live Event"),'Ingest Template'!Q853&amp;"|"&amp;TEXT('Ingest Template'!C853-3, "yyyy-mm-dd")&amp;"|"&amp;TEXT('Ingest Template'!C853+3, "yyyy-mm-dd"),'Ingest Template'!Q853&amp; "|2021-01-01")),(IF(OR('Ingest Template'!F853 = "Program Type - Special", 'Ingest Template'!F853 = "Program Type - Live Event"),'Ingest Template'!Q853&amp; "|"&amp;TEXT('Ingest Template'!C853-3, "yyyy-mm-dd")&amp;"|"&amp;TEXT('Ingest Template'!C853+3, "yyyy-mm-dd"),'Ingest Template'!Q853)))</f>
        <v/>
      </c>
      <c r="AM853" s="35" t="str">
        <f>'Ingest Template'!AC853</f>
        <v/>
      </c>
    </row>
    <row r="854">
      <c r="A854" s="15"/>
      <c r="B854" s="22" t="str">
        <f>'Ingest Template'!C854&amp;IF('Ingest Template'!A854 = "Standard", " - DAR","")</f>
        <v/>
      </c>
      <c r="C854" s="22" t="s">
        <v>83</v>
      </c>
      <c r="D854" s="22" t="str">
        <f t="array" ref="D854">CONCATENATE(INDEX(DropdownLists!$H$2:$H$11,MATCH(1,COUNTIF('Ingest Template'!E854,"*"&amp;DropdownLists!$I$2:$I$11&amp;"*"),0)),CHAR(10),'Ingest Template'!F854,CHAR(10),'Ingest Template'!G854,CHAR(10),VLOOKUP('Ingest Template'!D854,DropdownLists!C:D,2,FALSE))</f>
        <v>#N/A</v>
      </c>
      <c r="E854" s="22" t="str">
        <f>CONCATENATE('Ingest Template'!H854,CHAR(10),'Ingest Template'!I854,CHAR(10),'Ingest Template'!J854,CHAR(10))</f>
        <v>
</v>
      </c>
      <c r="F854" s="35" t="str">
        <f t="array" ref="F854">INDEX(DropdownLists!$O$2:$O$36,MATCH(1,COUNTIF(E854,"*"&amp;DropdownLists!$N$2:$N$36&amp;"*"),0))</f>
        <v/>
      </c>
      <c r="G854" s="35"/>
      <c r="H854" s="22" t="str">
        <f t="array" ref="H854">INDEX(DropdownLists!$E$2:$E$276,MATCH('Ingest Template'!D854,DropdownLists!$C$2:$C$276,0))</f>
        <v>#N/A</v>
      </c>
      <c r="I854" s="22"/>
      <c r="J854" s="22" t="str">
        <f t="array" ref="J854">iF('Ingest Template'!A854="Standard","Pristine Brand",INDEX(DropdownLists!$B$2:$B$246,MATCH('Ingest Template'!D854,DropdownLists!$C$2:$C$246,0)))</f>
        <v>#N/A</v>
      </c>
      <c r="K854" s="22" t="str">
        <f>iF('Ingest Template'!A854="Standard",'Ingest Template'!K854&amp;CHAR(10)&amp;'Ingest Template'!L854,"Competitive View")</f>
        <v>Competitive View</v>
      </c>
      <c r="L854" s="22" t="s">
        <v>95</v>
      </c>
      <c r="M854" s="45" t="str">
        <f>'Ingest Template'!B854</f>
        <v/>
      </c>
      <c r="N854" s="35"/>
      <c r="O854" s="35"/>
      <c r="P854" s="35"/>
      <c r="Q854" s="35"/>
      <c r="R854" s="35" t="str">
        <f>'Ingest Template'!D854</f>
        <v/>
      </c>
      <c r="S854" s="22" t="s">
        <v>101</v>
      </c>
      <c r="T854" s="35" t="str">
        <f>'Ingest Template'!V854</f>
        <v/>
      </c>
      <c r="U854" s="35" t="str">
        <f>'Ingest Template'!W854</f>
        <v/>
      </c>
      <c r="V854" s="35" t="str">
        <f>LOWER(SUBSTITUTE(SUBSTITUTE(SUBSTITUTE(SUBSTITUTE(SUBSTITUTE('Ingest Template'!X854,"https:",""),"www.",""),"/",""),"?hl=en",""),"instagram.com",""))</f>
        <v/>
      </c>
      <c r="W854" s="74" t="str">
        <f t="array" ref="W854">IF(
'Ingest Template'!Y854="",
SUBSTITUTE(
INDEX(DropdownLists!$F$2:$F$277,MATCH('Ingest Template'!D854,DropdownLists!$C$2:$C$277,0)),
CHAR(10),
"|"&amp;'Ingest Template'!C854&amp;CHAR(10)
)&amp;"|"&amp;'Ingest Template'!C854,
SUBSTITUTE(
INDEX(DropdownLists!$F$2:$F$277,MATCH('Ingest Template'!D854,DropdownLists!$C$2:$C$277,0)),
CHAR(10),
"|"&amp;'Ingest Template'!C854&amp;CHAR(10)
)&amp;"|"&amp;'Ingest Template'!C854&amp;CHAR(10)&amp;'Ingest Template'!Y854
)</f>
        <v>#N/A</v>
      </c>
      <c r="X854" s="74" t="str">
        <f>'Ingest Template'!Z854</f>
        <v/>
      </c>
      <c r="Y854" s="35" t="str">
        <f>SUBSTITUTE(SUBSTITUTE(SUBSTITUTE('Ingest Template'!AA854,"http:",""),"https:",""),"/","")</f>
        <v/>
      </c>
      <c r="Z854" s="35" t="str">
        <f t="array" ref="Z854">IF('Ingest Template'!A854="Standard",(IF(ISBLANK('Ingest Template'!AB854),"", 'Ingest Template'!AB854&amp;"|DAR")),(IF(ISBLANK('Ingest Template'!AB854),"", 'Ingest Template'!AB854&amp;"|TV Ops")))</f>
        <v/>
      </c>
      <c r="AA854" s="35"/>
      <c r="AB854" s="35" t="str">
        <f>'Ingest Template'!R854</f>
        <v/>
      </c>
      <c r="AC854" s="35" t="str">
        <f>'Ingest Template'!T854</f>
        <v/>
      </c>
      <c r="AD854" s="35" t="str">
        <f>'Ingest Template'!S854</f>
        <v/>
      </c>
      <c r="AE854" s="35" t="str">
        <f>'Ingest Template'!U854</f>
        <v/>
      </c>
      <c r="AF854" s="22"/>
      <c r="AG854" s="35" t="str">
        <f t="array" ref="AG854">IF('Ingest Template'!A854="Standard",(CONCATENATE(IF(ISBLANK('Ingest Template'!N854),"", 'Ingest Template'!N854&amp;"|DAR"),CHAR(10), IF(ISBLANK('Ingest Template'!O854),"", 'Ingest Template'!O854&amp;"|DAR"),CHAR(10), IF(ISBLANK('Ingest Template'!P854),"", 'Ingest Template'!P854&amp;"|DAR"))),(CONCATENATE(IF(ISBLANK('Ingest Template'!N854),"", 'Ingest Template'!N854&amp;"|TV Ops"),CHAR(10), IF(ISBLANK('Ingest Template'!O854),"", 'Ingest Template'!O854&amp;"|TV Ops"),CHAR(10), IF(ISBLANK('Ingest Template'!P854),"", 'Ingest Template'!P854&amp;"|TV Ops"))))</f>
        <v>
</v>
      </c>
      <c r="AH854" s="35"/>
      <c r="AI854" s="35"/>
      <c r="AJ854" s="117" t="str">
        <f>if('Ingest Template'!A854="Standard",(IF(OR('Ingest Template'!F854 = "Program Type - Special", 'Ingest Template'!F854 = "Program Type - Live Event"),'Ingest Template'!M854&amp; "|DAR|DAR|"&amp;TEXT('Ingest Template'!C854-3, "yyyy-mm-dd")&amp;"|"&amp;TEXT('Ingest Template'!C854+3, "yyyy-mm-dd"),'Ingest Template'!M854&amp; "|DAR|DAR|2021-01-01")),(IF(OR('Ingest Template'!F854 = "Program Type - Special", 'Ingest Template'!F854 = "Program Type - Live Event"),'Ingest Template'!M854&amp; "|Operations - Core Title|Operations - Core Title|"&amp;TEXT('Ingest Template'!C854-3, "yyyy-mm-dd")&amp;"|"&amp;TEXT('Ingest Template'!C854+3, "yyyy-mm-dd"),'Ingest Template'!M854&amp; "|Operations - Core Title|Operations - Core Title")))</f>
        <v>|Operations - Core Title|Operations - Core Title</v>
      </c>
      <c r="AK854" s="35"/>
      <c r="AL854" s="117" t="str">
        <f>if('Ingest Template'!A854="Standard",(IF(OR('Ingest Template'!F854 = "Program Type - Special", 'Ingest Template'!F854 = "Program Type - Live Event"),'Ingest Template'!Q854&amp;"|"&amp;TEXT('Ingest Template'!C854-3, "yyyy-mm-dd")&amp;"|"&amp;TEXT('Ingest Template'!C854+3, "yyyy-mm-dd"),'Ingest Template'!Q854&amp; "|2021-01-01")),(IF(OR('Ingest Template'!F854 = "Program Type - Special", 'Ingest Template'!F854 = "Program Type - Live Event"),'Ingest Template'!Q854&amp; "|"&amp;TEXT('Ingest Template'!C854-3, "yyyy-mm-dd")&amp;"|"&amp;TEXT('Ingest Template'!C854+3, "yyyy-mm-dd"),'Ingest Template'!Q854)))</f>
        <v/>
      </c>
      <c r="AM854" s="35" t="str">
        <f>'Ingest Template'!AC854</f>
        <v/>
      </c>
    </row>
    <row r="855">
      <c r="A855" s="15"/>
      <c r="B855" s="22" t="str">
        <f>'Ingest Template'!C855&amp;IF('Ingest Template'!A855 = "Standard", " - DAR","")</f>
        <v/>
      </c>
      <c r="C855" s="22" t="s">
        <v>83</v>
      </c>
      <c r="D855" s="22" t="str">
        <f t="array" ref="D855">CONCATENATE(INDEX(DropdownLists!$H$2:$H$11,MATCH(1,COUNTIF('Ingest Template'!E855,"*"&amp;DropdownLists!$I$2:$I$11&amp;"*"),0)),CHAR(10),'Ingest Template'!F855,CHAR(10),'Ingest Template'!G855,CHAR(10),VLOOKUP('Ingest Template'!D855,DropdownLists!C:D,2,FALSE))</f>
        <v>#N/A</v>
      </c>
      <c r="E855" s="22" t="str">
        <f>CONCATENATE('Ingest Template'!H855,CHAR(10),'Ingest Template'!I855,CHAR(10),'Ingest Template'!J855,CHAR(10))</f>
        <v>
</v>
      </c>
      <c r="F855" s="35" t="str">
        <f t="array" ref="F855">INDEX(DropdownLists!$O$2:$O$36,MATCH(1,COUNTIF(E855,"*"&amp;DropdownLists!$N$2:$N$36&amp;"*"),0))</f>
        <v/>
      </c>
      <c r="G855" s="35"/>
      <c r="H855" s="22" t="str">
        <f t="array" ref="H855">INDEX(DropdownLists!$E$2:$E$276,MATCH('Ingest Template'!D855,DropdownLists!$C$2:$C$276,0))</f>
        <v>#N/A</v>
      </c>
      <c r="I855" s="22"/>
      <c r="J855" s="22" t="str">
        <f t="array" ref="J855">iF('Ingest Template'!A855="Standard","Pristine Brand",INDEX(DropdownLists!$B$2:$B$246,MATCH('Ingest Template'!D855,DropdownLists!$C$2:$C$246,0)))</f>
        <v>#N/A</v>
      </c>
      <c r="K855" s="22" t="str">
        <f>iF('Ingest Template'!A855="Standard",'Ingest Template'!K855&amp;CHAR(10)&amp;'Ingest Template'!L855,"Competitive View")</f>
        <v>Competitive View</v>
      </c>
      <c r="L855" s="22" t="s">
        <v>95</v>
      </c>
      <c r="M855" s="45" t="str">
        <f>'Ingest Template'!B855</f>
        <v/>
      </c>
      <c r="N855" s="35"/>
      <c r="O855" s="35"/>
      <c r="P855" s="35"/>
      <c r="Q855" s="35"/>
      <c r="R855" s="35" t="str">
        <f>'Ingest Template'!D855</f>
        <v/>
      </c>
      <c r="S855" s="22" t="s">
        <v>101</v>
      </c>
      <c r="T855" s="35" t="str">
        <f>'Ingest Template'!V855</f>
        <v/>
      </c>
      <c r="U855" s="35" t="str">
        <f>'Ingest Template'!W855</f>
        <v/>
      </c>
      <c r="V855" s="35" t="str">
        <f>LOWER(SUBSTITUTE(SUBSTITUTE(SUBSTITUTE(SUBSTITUTE(SUBSTITUTE('Ingest Template'!X855,"https:",""),"www.",""),"/",""),"?hl=en",""),"instagram.com",""))</f>
        <v/>
      </c>
      <c r="W855" s="74" t="str">
        <f t="array" ref="W855">IF(
'Ingest Template'!Y855="",
SUBSTITUTE(
INDEX(DropdownLists!$F$2:$F$277,MATCH('Ingest Template'!D855,DropdownLists!$C$2:$C$277,0)),
CHAR(10),
"|"&amp;'Ingest Template'!C855&amp;CHAR(10)
)&amp;"|"&amp;'Ingest Template'!C855,
SUBSTITUTE(
INDEX(DropdownLists!$F$2:$F$277,MATCH('Ingest Template'!D855,DropdownLists!$C$2:$C$277,0)),
CHAR(10),
"|"&amp;'Ingest Template'!C855&amp;CHAR(10)
)&amp;"|"&amp;'Ingest Template'!C855&amp;CHAR(10)&amp;'Ingest Template'!Y855
)</f>
        <v>#N/A</v>
      </c>
      <c r="X855" s="74" t="str">
        <f>'Ingest Template'!Z855</f>
        <v/>
      </c>
      <c r="Y855" s="35" t="str">
        <f>SUBSTITUTE(SUBSTITUTE(SUBSTITUTE('Ingest Template'!AA855,"http:",""),"https:",""),"/","")</f>
        <v/>
      </c>
      <c r="Z855" s="35" t="str">
        <f t="array" ref="Z855">IF('Ingest Template'!A855="Standard",(IF(ISBLANK('Ingest Template'!AB855),"", 'Ingest Template'!AB855&amp;"|DAR")),(IF(ISBLANK('Ingest Template'!AB855),"", 'Ingest Template'!AB855&amp;"|TV Ops")))</f>
        <v/>
      </c>
      <c r="AA855" s="35"/>
      <c r="AB855" s="35" t="str">
        <f>'Ingest Template'!R855</f>
        <v/>
      </c>
      <c r="AC855" s="35" t="str">
        <f>'Ingest Template'!T855</f>
        <v/>
      </c>
      <c r="AD855" s="35" t="str">
        <f>'Ingest Template'!S855</f>
        <v/>
      </c>
      <c r="AE855" s="35" t="str">
        <f>'Ingest Template'!U855</f>
        <v/>
      </c>
      <c r="AF855" s="22"/>
      <c r="AG855" s="35" t="str">
        <f t="array" ref="AG855">IF('Ingest Template'!A855="Standard",(CONCATENATE(IF(ISBLANK('Ingest Template'!N855),"", 'Ingest Template'!N855&amp;"|DAR"),CHAR(10), IF(ISBLANK('Ingest Template'!O855),"", 'Ingest Template'!O855&amp;"|DAR"),CHAR(10), IF(ISBLANK('Ingest Template'!P855),"", 'Ingest Template'!P855&amp;"|DAR"))),(CONCATENATE(IF(ISBLANK('Ingest Template'!N855),"", 'Ingest Template'!N855&amp;"|TV Ops"),CHAR(10), IF(ISBLANK('Ingest Template'!O855),"", 'Ingest Template'!O855&amp;"|TV Ops"),CHAR(10), IF(ISBLANK('Ingest Template'!P855),"", 'Ingest Template'!P855&amp;"|TV Ops"))))</f>
        <v>
</v>
      </c>
      <c r="AH855" s="35"/>
      <c r="AI855" s="35"/>
      <c r="AJ855" s="117" t="str">
        <f>if('Ingest Template'!A855="Standard",(IF(OR('Ingest Template'!F855 = "Program Type - Special", 'Ingest Template'!F855 = "Program Type - Live Event"),'Ingest Template'!M855&amp; "|DAR|DAR|"&amp;TEXT('Ingest Template'!C855-3, "yyyy-mm-dd")&amp;"|"&amp;TEXT('Ingest Template'!C855+3, "yyyy-mm-dd"),'Ingest Template'!M855&amp; "|DAR|DAR|2021-01-01")),(IF(OR('Ingest Template'!F855 = "Program Type - Special", 'Ingest Template'!F855 = "Program Type - Live Event"),'Ingest Template'!M855&amp; "|Operations - Core Title|Operations - Core Title|"&amp;TEXT('Ingest Template'!C855-3, "yyyy-mm-dd")&amp;"|"&amp;TEXT('Ingest Template'!C855+3, "yyyy-mm-dd"),'Ingest Template'!M855&amp; "|Operations - Core Title|Operations - Core Title")))</f>
        <v>|Operations - Core Title|Operations - Core Title</v>
      </c>
      <c r="AK855" s="35"/>
      <c r="AL855" s="117" t="str">
        <f>if('Ingest Template'!A855="Standard",(IF(OR('Ingest Template'!F855 = "Program Type - Special", 'Ingest Template'!F855 = "Program Type - Live Event"),'Ingest Template'!Q855&amp;"|"&amp;TEXT('Ingest Template'!C855-3, "yyyy-mm-dd")&amp;"|"&amp;TEXT('Ingest Template'!C855+3, "yyyy-mm-dd"),'Ingest Template'!Q855&amp; "|2021-01-01")),(IF(OR('Ingest Template'!F855 = "Program Type - Special", 'Ingest Template'!F855 = "Program Type - Live Event"),'Ingest Template'!Q855&amp; "|"&amp;TEXT('Ingest Template'!C855-3, "yyyy-mm-dd")&amp;"|"&amp;TEXT('Ingest Template'!C855+3, "yyyy-mm-dd"),'Ingest Template'!Q855)))</f>
        <v/>
      </c>
      <c r="AM855" s="35" t="str">
        <f>'Ingest Template'!AC855</f>
        <v/>
      </c>
    </row>
    <row r="856">
      <c r="A856" s="15"/>
      <c r="B856" s="22" t="str">
        <f>'Ingest Template'!C856&amp;IF('Ingest Template'!A856 = "Standard", " - DAR","")</f>
        <v/>
      </c>
      <c r="C856" s="22" t="s">
        <v>83</v>
      </c>
      <c r="D856" s="22" t="str">
        <f t="array" ref="D856">CONCATENATE(INDEX(DropdownLists!$H$2:$H$11,MATCH(1,COUNTIF('Ingest Template'!E856,"*"&amp;DropdownLists!$I$2:$I$11&amp;"*"),0)),CHAR(10),'Ingest Template'!F856,CHAR(10),'Ingest Template'!G856,CHAR(10),VLOOKUP('Ingest Template'!D856,DropdownLists!C:D,2,FALSE))</f>
        <v>#N/A</v>
      </c>
      <c r="E856" s="22" t="str">
        <f>CONCATENATE('Ingest Template'!H856,CHAR(10),'Ingest Template'!I856,CHAR(10),'Ingest Template'!J856,CHAR(10))</f>
        <v>
</v>
      </c>
      <c r="F856" s="35" t="str">
        <f t="array" ref="F856">INDEX(DropdownLists!$O$2:$O$36,MATCH(1,COUNTIF(E856,"*"&amp;DropdownLists!$N$2:$N$36&amp;"*"),0))</f>
        <v/>
      </c>
      <c r="G856" s="35"/>
      <c r="H856" s="22" t="str">
        <f t="array" ref="H856">INDEX(DropdownLists!$E$2:$E$276,MATCH('Ingest Template'!D856,DropdownLists!$C$2:$C$276,0))</f>
        <v>#N/A</v>
      </c>
      <c r="I856" s="22"/>
      <c r="J856" s="22" t="str">
        <f t="array" ref="J856">iF('Ingest Template'!A856="Standard","Pristine Brand",INDEX(DropdownLists!$B$2:$B$246,MATCH('Ingest Template'!D856,DropdownLists!$C$2:$C$246,0)))</f>
        <v>#N/A</v>
      </c>
      <c r="K856" s="22" t="str">
        <f>iF('Ingest Template'!A856="Standard",'Ingest Template'!K856&amp;CHAR(10)&amp;'Ingest Template'!L856,"Competitive View")</f>
        <v>Competitive View</v>
      </c>
      <c r="L856" s="22" t="s">
        <v>95</v>
      </c>
      <c r="M856" s="45" t="str">
        <f>'Ingest Template'!B856</f>
        <v/>
      </c>
      <c r="N856" s="35"/>
      <c r="O856" s="35"/>
      <c r="P856" s="35"/>
      <c r="Q856" s="35"/>
      <c r="R856" s="35" t="str">
        <f>'Ingest Template'!D856</f>
        <v/>
      </c>
      <c r="S856" s="22" t="s">
        <v>101</v>
      </c>
      <c r="T856" s="35" t="str">
        <f>'Ingest Template'!V856</f>
        <v/>
      </c>
      <c r="U856" s="35" t="str">
        <f>'Ingest Template'!W856</f>
        <v/>
      </c>
      <c r="V856" s="35" t="str">
        <f>LOWER(SUBSTITUTE(SUBSTITUTE(SUBSTITUTE(SUBSTITUTE(SUBSTITUTE('Ingest Template'!X856,"https:",""),"www.",""),"/",""),"?hl=en",""),"instagram.com",""))</f>
        <v/>
      </c>
      <c r="W856" s="74" t="str">
        <f t="array" ref="W856">IF(
'Ingest Template'!Y856="",
SUBSTITUTE(
INDEX(DropdownLists!$F$2:$F$277,MATCH('Ingest Template'!D856,DropdownLists!$C$2:$C$277,0)),
CHAR(10),
"|"&amp;'Ingest Template'!C856&amp;CHAR(10)
)&amp;"|"&amp;'Ingest Template'!C856,
SUBSTITUTE(
INDEX(DropdownLists!$F$2:$F$277,MATCH('Ingest Template'!D856,DropdownLists!$C$2:$C$277,0)),
CHAR(10),
"|"&amp;'Ingest Template'!C856&amp;CHAR(10)
)&amp;"|"&amp;'Ingest Template'!C856&amp;CHAR(10)&amp;'Ingest Template'!Y856
)</f>
        <v>#N/A</v>
      </c>
      <c r="X856" s="74" t="str">
        <f>'Ingest Template'!Z856</f>
        <v/>
      </c>
      <c r="Y856" s="35" t="str">
        <f>SUBSTITUTE(SUBSTITUTE(SUBSTITUTE('Ingest Template'!AA856,"http:",""),"https:",""),"/","")</f>
        <v/>
      </c>
      <c r="Z856" s="35" t="str">
        <f t="array" ref="Z856">IF('Ingest Template'!A856="Standard",(IF(ISBLANK('Ingest Template'!AB856),"", 'Ingest Template'!AB856&amp;"|DAR")),(IF(ISBLANK('Ingest Template'!AB856),"", 'Ingest Template'!AB856&amp;"|TV Ops")))</f>
        <v/>
      </c>
      <c r="AA856" s="35"/>
      <c r="AB856" s="35" t="str">
        <f>'Ingest Template'!R856</f>
        <v/>
      </c>
      <c r="AC856" s="35" t="str">
        <f>'Ingest Template'!T856</f>
        <v/>
      </c>
      <c r="AD856" s="35" t="str">
        <f>'Ingest Template'!S856</f>
        <v/>
      </c>
      <c r="AE856" s="35" t="str">
        <f>'Ingest Template'!U856</f>
        <v/>
      </c>
      <c r="AF856" s="22"/>
      <c r="AG856" s="35" t="str">
        <f t="array" ref="AG856">IF('Ingest Template'!A856="Standard",(CONCATENATE(IF(ISBLANK('Ingest Template'!N856),"", 'Ingest Template'!N856&amp;"|DAR"),CHAR(10), IF(ISBLANK('Ingest Template'!O856),"", 'Ingest Template'!O856&amp;"|DAR"),CHAR(10), IF(ISBLANK('Ingest Template'!P856),"", 'Ingest Template'!P856&amp;"|DAR"))),(CONCATENATE(IF(ISBLANK('Ingest Template'!N856),"", 'Ingest Template'!N856&amp;"|TV Ops"),CHAR(10), IF(ISBLANK('Ingest Template'!O856),"", 'Ingest Template'!O856&amp;"|TV Ops"),CHAR(10), IF(ISBLANK('Ingest Template'!P856),"", 'Ingest Template'!P856&amp;"|TV Ops"))))</f>
        <v>
</v>
      </c>
      <c r="AH856" s="35"/>
      <c r="AI856" s="35"/>
      <c r="AJ856" s="117" t="str">
        <f>if('Ingest Template'!A856="Standard",(IF(OR('Ingest Template'!F856 = "Program Type - Special", 'Ingest Template'!F856 = "Program Type - Live Event"),'Ingest Template'!M856&amp; "|DAR|DAR|"&amp;TEXT('Ingest Template'!C856-3, "yyyy-mm-dd")&amp;"|"&amp;TEXT('Ingest Template'!C856+3, "yyyy-mm-dd"),'Ingest Template'!M856&amp; "|DAR|DAR|2021-01-01")),(IF(OR('Ingest Template'!F856 = "Program Type - Special", 'Ingest Template'!F856 = "Program Type - Live Event"),'Ingest Template'!M856&amp; "|Operations - Core Title|Operations - Core Title|"&amp;TEXT('Ingest Template'!C856-3, "yyyy-mm-dd")&amp;"|"&amp;TEXT('Ingest Template'!C856+3, "yyyy-mm-dd"),'Ingest Template'!M856&amp; "|Operations - Core Title|Operations - Core Title")))</f>
        <v>|Operations - Core Title|Operations - Core Title</v>
      </c>
      <c r="AK856" s="35"/>
      <c r="AL856" s="117" t="str">
        <f>if('Ingest Template'!A856="Standard",(IF(OR('Ingest Template'!F856 = "Program Type - Special", 'Ingest Template'!F856 = "Program Type - Live Event"),'Ingest Template'!Q856&amp;"|"&amp;TEXT('Ingest Template'!C856-3, "yyyy-mm-dd")&amp;"|"&amp;TEXT('Ingest Template'!C856+3, "yyyy-mm-dd"),'Ingest Template'!Q856&amp; "|2021-01-01")),(IF(OR('Ingest Template'!F856 = "Program Type - Special", 'Ingest Template'!F856 = "Program Type - Live Event"),'Ingest Template'!Q856&amp; "|"&amp;TEXT('Ingest Template'!C856-3, "yyyy-mm-dd")&amp;"|"&amp;TEXT('Ingest Template'!C856+3, "yyyy-mm-dd"),'Ingest Template'!Q856)))</f>
        <v/>
      </c>
      <c r="AM856" s="35" t="str">
        <f>'Ingest Template'!AC856</f>
        <v/>
      </c>
    </row>
    <row r="857">
      <c r="A857" s="15"/>
      <c r="B857" s="22" t="str">
        <f>'Ingest Template'!C857&amp;IF('Ingest Template'!A857 = "Standard", " - DAR","")</f>
        <v/>
      </c>
      <c r="C857" s="22" t="s">
        <v>83</v>
      </c>
      <c r="D857" s="22" t="str">
        <f t="array" ref="D857">CONCATENATE(INDEX(DropdownLists!$H$2:$H$11,MATCH(1,COUNTIF('Ingest Template'!E857,"*"&amp;DropdownLists!$I$2:$I$11&amp;"*"),0)),CHAR(10),'Ingest Template'!F857,CHAR(10),'Ingest Template'!G857,CHAR(10),VLOOKUP('Ingest Template'!D857,DropdownLists!C:D,2,FALSE))</f>
        <v>#N/A</v>
      </c>
      <c r="E857" s="22" t="str">
        <f>CONCATENATE('Ingest Template'!H857,CHAR(10),'Ingest Template'!I857,CHAR(10),'Ingest Template'!J857,CHAR(10))</f>
        <v>
</v>
      </c>
      <c r="F857" s="35" t="str">
        <f t="array" ref="F857">INDEX(DropdownLists!$O$2:$O$36,MATCH(1,COUNTIF(E857,"*"&amp;DropdownLists!$N$2:$N$36&amp;"*"),0))</f>
        <v/>
      </c>
      <c r="G857" s="35"/>
      <c r="H857" s="22" t="str">
        <f t="array" ref="H857">INDEX(DropdownLists!$E$2:$E$276,MATCH('Ingest Template'!D857,DropdownLists!$C$2:$C$276,0))</f>
        <v>#N/A</v>
      </c>
      <c r="I857" s="22"/>
      <c r="J857" s="22" t="str">
        <f t="array" ref="J857">iF('Ingest Template'!A857="Standard","Pristine Brand",INDEX(DropdownLists!$B$2:$B$246,MATCH('Ingest Template'!D857,DropdownLists!$C$2:$C$246,0)))</f>
        <v>#N/A</v>
      </c>
      <c r="K857" s="22" t="str">
        <f>iF('Ingest Template'!A857="Standard",'Ingest Template'!K857&amp;CHAR(10)&amp;'Ingest Template'!L857,"Competitive View")</f>
        <v>Competitive View</v>
      </c>
      <c r="L857" s="22" t="s">
        <v>95</v>
      </c>
      <c r="M857" s="45" t="str">
        <f>'Ingest Template'!B857</f>
        <v/>
      </c>
      <c r="N857" s="35"/>
      <c r="O857" s="35"/>
      <c r="P857" s="35"/>
      <c r="Q857" s="35"/>
      <c r="R857" s="35" t="str">
        <f>'Ingest Template'!D857</f>
        <v/>
      </c>
      <c r="S857" s="22" t="s">
        <v>101</v>
      </c>
      <c r="T857" s="35" t="str">
        <f>'Ingest Template'!V857</f>
        <v/>
      </c>
      <c r="U857" s="35" t="str">
        <f>'Ingest Template'!W857</f>
        <v/>
      </c>
      <c r="V857" s="35" t="str">
        <f>LOWER(SUBSTITUTE(SUBSTITUTE(SUBSTITUTE(SUBSTITUTE(SUBSTITUTE('Ingest Template'!X857,"https:",""),"www.",""),"/",""),"?hl=en",""),"instagram.com",""))</f>
        <v/>
      </c>
      <c r="W857" s="74" t="str">
        <f t="array" ref="W857">IF(
'Ingest Template'!Y857="",
SUBSTITUTE(
INDEX(DropdownLists!$F$2:$F$277,MATCH('Ingest Template'!D857,DropdownLists!$C$2:$C$277,0)),
CHAR(10),
"|"&amp;'Ingest Template'!C857&amp;CHAR(10)
)&amp;"|"&amp;'Ingest Template'!C857,
SUBSTITUTE(
INDEX(DropdownLists!$F$2:$F$277,MATCH('Ingest Template'!D857,DropdownLists!$C$2:$C$277,0)),
CHAR(10),
"|"&amp;'Ingest Template'!C857&amp;CHAR(10)
)&amp;"|"&amp;'Ingest Template'!C857&amp;CHAR(10)&amp;'Ingest Template'!Y857
)</f>
        <v>#N/A</v>
      </c>
      <c r="X857" s="74" t="str">
        <f>'Ingest Template'!Z857</f>
        <v/>
      </c>
      <c r="Y857" s="35" t="str">
        <f>SUBSTITUTE(SUBSTITUTE(SUBSTITUTE('Ingest Template'!AA857,"http:",""),"https:",""),"/","")</f>
        <v/>
      </c>
      <c r="Z857" s="35" t="str">
        <f t="array" ref="Z857">IF('Ingest Template'!A857="Standard",(IF(ISBLANK('Ingest Template'!AB857),"", 'Ingest Template'!AB857&amp;"|DAR")),(IF(ISBLANK('Ingest Template'!AB857),"", 'Ingest Template'!AB857&amp;"|TV Ops")))</f>
        <v/>
      </c>
      <c r="AA857" s="35"/>
      <c r="AB857" s="35" t="str">
        <f>'Ingest Template'!R857</f>
        <v/>
      </c>
      <c r="AC857" s="35" t="str">
        <f>'Ingest Template'!T857</f>
        <v/>
      </c>
      <c r="AD857" s="35" t="str">
        <f>'Ingest Template'!S857</f>
        <v/>
      </c>
      <c r="AE857" s="35" t="str">
        <f>'Ingest Template'!U857</f>
        <v/>
      </c>
      <c r="AF857" s="22"/>
      <c r="AG857" s="35" t="str">
        <f t="array" ref="AG857">IF('Ingest Template'!A857="Standard",(CONCATENATE(IF(ISBLANK('Ingest Template'!N857),"", 'Ingest Template'!N857&amp;"|DAR"),CHAR(10), IF(ISBLANK('Ingest Template'!O857),"", 'Ingest Template'!O857&amp;"|DAR"),CHAR(10), IF(ISBLANK('Ingest Template'!P857),"", 'Ingest Template'!P857&amp;"|DAR"))),(CONCATENATE(IF(ISBLANK('Ingest Template'!N857),"", 'Ingest Template'!N857&amp;"|TV Ops"),CHAR(10), IF(ISBLANK('Ingest Template'!O857),"", 'Ingest Template'!O857&amp;"|TV Ops"),CHAR(10), IF(ISBLANK('Ingest Template'!P857),"", 'Ingest Template'!P857&amp;"|TV Ops"))))</f>
        <v>
</v>
      </c>
      <c r="AH857" s="35"/>
      <c r="AI857" s="35"/>
      <c r="AJ857" s="117" t="str">
        <f>if('Ingest Template'!A857="Standard",(IF(OR('Ingest Template'!F857 = "Program Type - Special", 'Ingest Template'!F857 = "Program Type - Live Event"),'Ingest Template'!M857&amp; "|DAR|DAR|"&amp;TEXT('Ingest Template'!C857-3, "yyyy-mm-dd")&amp;"|"&amp;TEXT('Ingest Template'!C857+3, "yyyy-mm-dd"),'Ingest Template'!M857&amp; "|DAR|DAR|2021-01-01")),(IF(OR('Ingest Template'!F857 = "Program Type - Special", 'Ingest Template'!F857 = "Program Type - Live Event"),'Ingest Template'!M857&amp; "|Operations - Core Title|Operations - Core Title|"&amp;TEXT('Ingest Template'!C857-3, "yyyy-mm-dd")&amp;"|"&amp;TEXT('Ingest Template'!C857+3, "yyyy-mm-dd"),'Ingest Template'!M857&amp; "|Operations - Core Title|Operations - Core Title")))</f>
        <v>|Operations - Core Title|Operations - Core Title</v>
      </c>
      <c r="AK857" s="35"/>
      <c r="AL857" s="117" t="str">
        <f>if('Ingest Template'!A857="Standard",(IF(OR('Ingest Template'!F857 = "Program Type - Special", 'Ingest Template'!F857 = "Program Type - Live Event"),'Ingest Template'!Q857&amp;"|"&amp;TEXT('Ingest Template'!C857-3, "yyyy-mm-dd")&amp;"|"&amp;TEXT('Ingest Template'!C857+3, "yyyy-mm-dd"),'Ingest Template'!Q857&amp; "|2021-01-01")),(IF(OR('Ingest Template'!F857 = "Program Type - Special", 'Ingest Template'!F857 = "Program Type - Live Event"),'Ingest Template'!Q857&amp; "|"&amp;TEXT('Ingest Template'!C857-3, "yyyy-mm-dd")&amp;"|"&amp;TEXT('Ingest Template'!C857+3, "yyyy-mm-dd"),'Ingest Template'!Q857)))</f>
        <v/>
      </c>
      <c r="AM857" s="35" t="str">
        <f>'Ingest Template'!AC857</f>
        <v/>
      </c>
    </row>
    <row r="858">
      <c r="A858" s="15"/>
      <c r="B858" s="22" t="str">
        <f>'Ingest Template'!C858&amp;IF('Ingest Template'!A858 = "Standard", " - DAR","")</f>
        <v/>
      </c>
      <c r="C858" s="22" t="s">
        <v>83</v>
      </c>
      <c r="D858" s="22" t="str">
        <f t="array" ref="D858">CONCATENATE(INDEX(DropdownLists!$H$2:$H$11,MATCH(1,COUNTIF('Ingest Template'!E858,"*"&amp;DropdownLists!$I$2:$I$11&amp;"*"),0)),CHAR(10),'Ingest Template'!F858,CHAR(10),'Ingest Template'!G858,CHAR(10),VLOOKUP('Ingest Template'!D858,DropdownLists!C:D,2,FALSE))</f>
        <v>#N/A</v>
      </c>
      <c r="E858" s="22" t="str">
        <f>CONCATENATE('Ingest Template'!H858,CHAR(10),'Ingest Template'!I858,CHAR(10),'Ingest Template'!J858,CHAR(10))</f>
        <v>
</v>
      </c>
      <c r="F858" s="35" t="str">
        <f t="array" ref="F858">INDEX(DropdownLists!$O$2:$O$36,MATCH(1,COUNTIF(E858,"*"&amp;DropdownLists!$N$2:$N$36&amp;"*"),0))</f>
        <v/>
      </c>
      <c r="G858" s="35"/>
      <c r="H858" s="22" t="str">
        <f t="array" ref="H858">INDEX(DropdownLists!$E$2:$E$276,MATCH('Ingest Template'!D858,DropdownLists!$C$2:$C$276,0))</f>
        <v>#N/A</v>
      </c>
      <c r="I858" s="22"/>
      <c r="J858" s="22" t="str">
        <f t="array" ref="J858">iF('Ingest Template'!A858="Standard","Pristine Brand",INDEX(DropdownLists!$B$2:$B$246,MATCH('Ingest Template'!D858,DropdownLists!$C$2:$C$246,0)))</f>
        <v>#N/A</v>
      </c>
      <c r="K858" s="22" t="str">
        <f>iF('Ingest Template'!A858="Standard",'Ingest Template'!K858&amp;CHAR(10)&amp;'Ingest Template'!L858,"Competitive View")</f>
        <v>Competitive View</v>
      </c>
      <c r="L858" s="22" t="s">
        <v>95</v>
      </c>
      <c r="M858" s="45" t="str">
        <f>'Ingest Template'!B858</f>
        <v/>
      </c>
      <c r="N858" s="35"/>
      <c r="O858" s="35"/>
      <c r="P858" s="35"/>
      <c r="Q858" s="35"/>
      <c r="R858" s="35" t="str">
        <f>'Ingest Template'!D858</f>
        <v/>
      </c>
      <c r="S858" s="22" t="s">
        <v>101</v>
      </c>
      <c r="T858" s="35" t="str">
        <f>'Ingest Template'!V858</f>
        <v/>
      </c>
      <c r="U858" s="35" t="str">
        <f>'Ingest Template'!W858</f>
        <v/>
      </c>
      <c r="V858" s="35" t="str">
        <f>LOWER(SUBSTITUTE(SUBSTITUTE(SUBSTITUTE(SUBSTITUTE(SUBSTITUTE('Ingest Template'!X858,"https:",""),"www.",""),"/",""),"?hl=en",""),"instagram.com",""))</f>
        <v/>
      </c>
      <c r="W858" s="74" t="str">
        <f t="array" ref="W858">IF(
'Ingest Template'!Y858="",
SUBSTITUTE(
INDEX(DropdownLists!$F$2:$F$277,MATCH('Ingest Template'!D858,DropdownLists!$C$2:$C$277,0)),
CHAR(10),
"|"&amp;'Ingest Template'!C858&amp;CHAR(10)
)&amp;"|"&amp;'Ingest Template'!C858,
SUBSTITUTE(
INDEX(DropdownLists!$F$2:$F$277,MATCH('Ingest Template'!D858,DropdownLists!$C$2:$C$277,0)),
CHAR(10),
"|"&amp;'Ingest Template'!C858&amp;CHAR(10)
)&amp;"|"&amp;'Ingest Template'!C858&amp;CHAR(10)&amp;'Ingest Template'!Y858
)</f>
        <v>#N/A</v>
      </c>
      <c r="X858" s="74" t="str">
        <f>'Ingest Template'!Z858</f>
        <v/>
      </c>
      <c r="Y858" s="35" t="str">
        <f>SUBSTITUTE(SUBSTITUTE(SUBSTITUTE('Ingest Template'!AA858,"http:",""),"https:",""),"/","")</f>
        <v/>
      </c>
      <c r="Z858" s="35" t="str">
        <f t="array" ref="Z858">IF('Ingest Template'!A858="Standard",(IF(ISBLANK('Ingest Template'!AB858),"", 'Ingest Template'!AB858&amp;"|DAR")),(IF(ISBLANK('Ingest Template'!AB858),"", 'Ingest Template'!AB858&amp;"|TV Ops")))</f>
        <v/>
      </c>
      <c r="AA858" s="35"/>
      <c r="AB858" s="35" t="str">
        <f>'Ingest Template'!R858</f>
        <v/>
      </c>
      <c r="AC858" s="35" t="str">
        <f>'Ingest Template'!T858</f>
        <v/>
      </c>
      <c r="AD858" s="35" t="str">
        <f>'Ingest Template'!S858</f>
        <v/>
      </c>
      <c r="AE858" s="35" t="str">
        <f>'Ingest Template'!U858</f>
        <v/>
      </c>
      <c r="AF858" s="22"/>
      <c r="AG858" s="35" t="str">
        <f t="array" ref="AG858">IF('Ingest Template'!A858="Standard",(CONCATENATE(IF(ISBLANK('Ingest Template'!N858),"", 'Ingest Template'!N858&amp;"|DAR"),CHAR(10), IF(ISBLANK('Ingest Template'!O858),"", 'Ingest Template'!O858&amp;"|DAR"),CHAR(10), IF(ISBLANK('Ingest Template'!P858),"", 'Ingest Template'!P858&amp;"|DAR"))),(CONCATENATE(IF(ISBLANK('Ingest Template'!N858),"", 'Ingest Template'!N858&amp;"|TV Ops"),CHAR(10), IF(ISBLANK('Ingest Template'!O858),"", 'Ingest Template'!O858&amp;"|TV Ops"),CHAR(10), IF(ISBLANK('Ingest Template'!P858),"", 'Ingest Template'!P858&amp;"|TV Ops"))))</f>
        <v>
</v>
      </c>
      <c r="AH858" s="35"/>
      <c r="AI858" s="35"/>
      <c r="AJ858" s="117" t="str">
        <f>if('Ingest Template'!A858="Standard",(IF(OR('Ingest Template'!F858 = "Program Type - Special", 'Ingest Template'!F858 = "Program Type - Live Event"),'Ingest Template'!M858&amp; "|DAR|DAR|"&amp;TEXT('Ingest Template'!C858-3, "yyyy-mm-dd")&amp;"|"&amp;TEXT('Ingest Template'!C858+3, "yyyy-mm-dd"),'Ingest Template'!M858&amp; "|DAR|DAR|2021-01-01")),(IF(OR('Ingest Template'!F858 = "Program Type - Special", 'Ingest Template'!F858 = "Program Type - Live Event"),'Ingest Template'!M858&amp; "|Operations - Core Title|Operations - Core Title|"&amp;TEXT('Ingest Template'!C858-3, "yyyy-mm-dd")&amp;"|"&amp;TEXT('Ingest Template'!C858+3, "yyyy-mm-dd"),'Ingest Template'!M858&amp; "|Operations - Core Title|Operations - Core Title")))</f>
        <v>|Operations - Core Title|Operations - Core Title</v>
      </c>
      <c r="AK858" s="35"/>
      <c r="AL858" s="117" t="str">
        <f>if('Ingest Template'!A858="Standard",(IF(OR('Ingest Template'!F858 = "Program Type - Special", 'Ingest Template'!F858 = "Program Type - Live Event"),'Ingest Template'!Q858&amp;"|"&amp;TEXT('Ingest Template'!C858-3, "yyyy-mm-dd")&amp;"|"&amp;TEXT('Ingest Template'!C858+3, "yyyy-mm-dd"),'Ingest Template'!Q858&amp; "|2021-01-01")),(IF(OR('Ingest Template'!F858 = "Program Type - Special", 'Ingest Template'!F858 = "Program Type - Live Event"),'Ingest Template'!Q858&amp; "|"&amp;TEXT('Ingest Template'!C858-3, "yyyy-mm-dd")&amp;"|"&amp;TEXT('Ingest Template'!C858+3, "yyyy-mm-dd"),'Ingest Template'!Q858)))</f>
        <v/>
      </c>
      <c r="AM858" s="35" t="str">
        <f>'Ingest Template'!AC858</f>
        <v/>
      </c>
    </row>
    <row r="859">
      <c r="A859" s="15"/>
      <c r="B859" s="22" t="str">
        <f>'Ingest Template'!C859&amp;IF('Ingest Template'!A859 = "Standard", " - DAR","")</f>
        <v/>
      </c>
      <c r="C859" s="22" t="s">
        <v>83</v>
      </c>
      <c r="D859" s="22" t="str">
        <f t="array" ref="D859">CONCATENATE(INDEX(DropdownLists!$H$2:$H$11,MATCH(1,COUNTIF('Ingest Template'!E859,"*"&amp;DropdownLists!$I$2:$I$11&amp;"*"),0)),CHAR(10),'Ingest Template'!F859,CHAR(10),'Ingest Template'!G859,CHAR(10),VLOOKUP('Ingest Template'!D859,DropdownLists!C:D,2,FALSE))</f>
        <v>#N/A</v>
      </c>
      <c r="E859" s="22" t="str">
        <f>CONCATENATE('Ingest Template'!H859,CHAR(10),'Ingest Template'!I859,CHAR(10),'Ingest Template'!J859,CHAR(10))</f>
        <v>
</v>
      </c>
      <c r="F859" s="35" t="str">
        <f t="array" ref="F859">INDEX(DropdownLists!$O$2:$O$36,MATCH(1,COUNTIF(E859,"*"&amp;DropdownLists!$N$2:$N$36&amp;"*"),0))</f>
        <v/>
      </c>
      <c r="G859" s="35"/>
      <c r="H859" s="22" t="str">
        <f t="array" ref="H859">INDEX(DropdownLists!$E$2:$E$276,MATCH('Ingest Template'!D859,DropdownLists!$C$2:$C$276,0))</f>
        <v>#N/A</v>
      </c>
      <c r="I859" s="22"/>
      <c r="J859" s="22" t="str">
        <f t="array" ref="J859">iF('Ingest Template'!A859="Standard","Pristine Brand",INDEX(DropdownLists!$B$2:$B$246,MATCH('Ingest Template'!D859,DropdownLists!$C$2:$C$246,0)))</f>
        <v>#N/A</v>
      </c>
      <c r="K859" s="22" t="str">
        <f>iF('Ingest Template'!A859="Standard",'Ingest Template'!K859&amp;CHAR(10)&amp;'Ingest Template'!L859,"Competitive View")</f>
        <v>Competitive View</v>
      </c>
      <c r="L859" s="22" t="s">
        <v>95</v>
      </c>
      <c r="M859" s="45" t="str">
        <f>'Ingest Template'!B859</f>
        <v/>
      </c>
      <c r="N859" s="35"/>
      <c r="O859" s="35"/>
      <c r="P859" s="35"/>
      <c r="Q859" s="35"/>
      <c r="R859" s="35" t="str">
        <f>'Ingest Template'!D859</f>
        <v/>
      </c>
      <c r="S859" s="22" t="s">
        <v>101</v>
      </c>
      <c r="T859" s="35" t="str">
        <f>'Ingest Template'!V859</f>
        <v/>
      </c>
      <c r="U859" s="35" t="str">
        <f>'Ingest Template'!W859</f>
        <v/>
      </c>
      <c r="V859" s="35" t="str">
        <f>LOWER(SUBSTITUTE(SUBSTITUTE(SUBSTITUTE(SUBSTITUTE(SUBSTITUTE('Ingest Template'!X859,"https:",""),"www.",""),"/",""),"?hl=en",""),"instagram.com",""))</f>
        <v/>
      </c>
      <c r="W859" s="74" t="str">
        <f t="array" ref="W859">IF(
'Ingest Template'!Y859="",
SUBSTITUTE(
INDEX(DropdownLists!$F$2:$F$277,MATCH('Ingest Template'!D859,DropdownLists!$C$2:$C$277,0)),
CHAR(10),
"|"&amp;'Ingest Template'!C859&amp;CHAR(10)
)&amp;"|"&amp;'Ingest Template'!C859,
SUBSTITUTE(
INDEX(DropdownLists!$F$2:$F$277,MATCH('Ingest Template'!D859,DropdownLists!$C$2:$C$277,0)),
CHAR(10),
"|"&amp;'Ingest Template'!C859&amp;CHAR(10)
)&amp;"|"&amp;'Ingest Template'!C859&amp;CHAR(10)&amp;'Ingest Template'!Y859
)</f>
        <v>#N/A</v>
      </c>
      <c r="X859" s="74" t="str">
        <f>'Ingest Template'!Z859</f>
        <v/>
      </c>
      <c r="Y859" s="35" t="str">
        <f>SUBSTITUTE(SUBSTITUTE(SUBSTITUTE('Ingest Template'!AA859,"http:",""),"https:",""),"/","")</f>
        <v/>
      </c>
      <c r="Z859" s="35" t="str">
        <f t="array" ref="Z859">IF('Ingest Template'!A859="Standard",(IF(ISBLANK('Ingest Template'!AB859),"", 'Ingest Template'!AB859&amp;"|DAR")),(IF(ISBLANK('Ingest Template'!AB859),"", 'Ingest Template'!AB859&amp;"|TV Ops")))</f>
        <v/>
      </c>
      <c r="AA859" s="35"/>
      <c r="AB859" s="35" t="str">
        <f>'Ingest Template'!R859</f>
        <v/>
      </c>
      <c r="AC859" s="35" t="str">
        <f>'Ingest Template'!T859</f>
        <v/>
      </c>
      <c r="AD859" s="35" t="str">
        <f>'Ingest Template'!S859</f>
        <v/>
      </c>
      <c r="AE859" s="35" t="str">
        <f>'Ingest Template'!U859</f>
        <v/>
      </c>
      <c r="AF859" s="22"/>
      <c r="AG859" s="35" t="str">
        <f t="array" ref="AG859">IF('Ingest Template'!A859="Standard",(CONCATENATE(IF(ISBLANK('Ingest Template'!N859),"", 'Ingest Template'!N859&amp;"|DAR"),CHAR(10), IF(ISBLANK('Ingest Template'!O859),"", 'Ingest Template'!O859&amp;"|DAR"),CHAR(10), IF(ISBLANK('Ingest Template'!P859),"", 'Ingest Template'!P859&amp;"|DAR"))),(CONCATENATE(IF(ISBLANK('Ingest Template'!N859),"", 'Ingest Template'!N859&amp;"|TV Ops"),CHAR(10), IF(ISBLANK('Ingest Template'!O859),"", 'Ingest Template'!O859&amp;"|TV Ops"),CHAR(10), IF(ISBLANK('Ingest Template'!P859),"", 'Ingest Template'!P859&amp;"|TV Ops"))))</f>
        <v>
</v>
      </c>
      <c r="AH859" s="35"/>
      <c r="AI859" s="35"/>
      <c r="AJ859" s="117" t="str">
        <f>if('Ingest Template'!A859="Standard",(IF(OR('Ingest Template'!F859 = "Program Type - Special", 'Ingest Template'!F859 = "Program Type - Live Event"),'Ingest Template'!M859&amp; "|DAR|DAR|"&amp;TEXT('Ingest Template'!C859-3, "yyyy-mm-dd")&amp;"|"&amp;TEXT('Ingest Template'!C859+3, "yyyy-mm-dd"),'Ingest Template'!M859&amp; "|DAR|DAR|2021-01-01")),(IF(OR('Ingest Template'!F859 = "Program Type - Special", 'Ingest Template'!F859 = "Program Type - Live Event"),'Ingest Template'!M859&amp; "|Operations - Core Title|Operations - Core Title|"&amp;TEXT('Ingest Template'!C859-3, "yyyy-mm-dd")&amp;"|"&amp;TEXT('Ingest Template'!C859+3, "yyyy-mm-dd"),'Ingest Template'!M859&amp; "|Operations - Core Title|Operations - Core Title")))</f>
        <v>|Operations - Core Title|Operations - Core Title</v>
      </c>
      <c r="AK859" s="35"/>
      <c r="AL859" s="117" t="str">
        <f>if('Ingest Template'!A859="Standard",(IF(OR('Ingest Template'!F859 = "Program Type - Special", 'Ingest Template'!F859 = "Program Type - Live Event"),'Ingest Template'!Q859&amp;"|"&amp;TEXT('Ingest Template'!C859-3, "yyyy-mm-dd")&amp;"|"&amp;TEXT('Ingest Template'!C859+3, "yyyy-mm-dd"),'Ingest Template'!Q859&amp; "|2021-01-01")),(IF(OR('Ingest Template'!F859 = "Program Type - Special", 'Ingest Template'!F859 = "Program Type - Live Event"),'Ingest Template'!Q859&amp; "|"&amp;TEXT('Ingest Template'!C859-3, "yyyy-mm-dd")&amp;"|"&amp;TEXT('Ingest Template'!C859+3, "yyyy-mm-dd"),'Ingest Template'!Q859)))</f>
        <v/>
      </c>
      <c r="AM859" s="35" t="str">
        <f>'Ingest Template'!AC859</f>
        <v/>
      </c>
    </row>
    <row r="860">
      <c r="A860" s="15"/>
      <c r="B860" s="22" t="str">
        <f>'Ingest Template'!C860&amp;IF('Ingest Template'!A860 = "Standard", " - DAR","")</f>
        <v/>
      </c>
      <c r="C860" s="22" t="s">
        <v>83</v>
      </c>
      <c r="D860" s="22" t="str">
        <f t="array" ref="D860">CONCATENATE(INDEX(DropdownLists!$H$2:$H$11,MATCH(1,COUNTIF('Ingest Template'!E860,"*"&amp;DropdownLists!$I$2:$I$11&amp;"*"),0)),CHAR(10),'Ingest Template'!F860,CHAR(10),'Ingest Template'!G860,CHAR(10),VLOOKUP('Ingest Template'!D860,DropdownLists!C:D,2,FALSE))</f>
        <v>#N/A</v>
      </c>
      <c r="E860" s="22" t="str">
        <f>CONCATENATE('Ingest Template'!H860,CHAR(10),'Ingest Template'!I860,CHAR(10),'Ingest Template'!J860,CHAR(10))</f>
        <v>
</v>
      </c>
      <c r="F860" s="35" t="str">
        <f t="array" ref="F860">INDEX(DropdownLists!$O$2:$O$36,MATCH(1,COUNTIF(E860,"*"&amp;DropdownLists!$N$2:$N$36&amp;"*"),0))</f>
        <v/>
      </c>
      <c r="G860" s="35"/>
      <c r="H860" s="22" t="str">
        <f t="array" ref="H860">INDEX(DropdownLists!$E$2:$E$276,MATCH('Ingest Template'!D860,DropdownLists!$C$2:$C$276,0))</f>
        <v>#N/A</v>
      </c>
      <c r="I860" s="22"/>
      <c r="J860" s="22" t="str">
        <f t="array" ref="J860">iF('Ingest Template'!A860="Standard","Pristine Brand",INDEX(DropdownLists!$B$2:$B$246,MATCH('Ingest Template'!D860,DropdownLists!$C$2:$C$246,0)))</f>
        <v>#N/A</v>
      </c>
      <c r="K860" s="22" t="str">
        <f>iF('Ingest Template'!A860="Standard",'Ingest Template'!K860&amp;CHAR(10)&amp;'Ingest Template'!L860,"Competitive View")</f>
        <v>Competitive View</v>
      </c>
      <c r="L860" s="22" t="s">
        <v>95</v>
      </c>
      <c r="M860" s="45" t="str">
        <f>'Ingest Template'!B860</f>
        <v/>
      </c>
      <c r="N860" s="35"/>
      <c r="O860" s="35"/>
      <c r="P860" s="35"/>
      <c r="Q860" s="35"/>
      <c r="R860" s="35" t="str">
        <f>'Ingest Template'!D860</f>
        <v/>
      </c>
      <c r="S860" s="22" t="s">
        <v>101</v>
      </c>
      <c r="T860" s="35" t="str">
        <f>'Ingest Template'!V860</f>
        <v/>
      </c>
      <c r="U860" s="35" t="str">
        <f>'Ingest Template'!W860</f>
        <v/>
      </c>
      <c r="V860" s="35" t="str">
        <f>LOWER(SUBSTITUTE(SUBSTITUTE(SUBSTITUTE(SUBSTITUTE(SUBSTITUTE('Ingest Template'!X860,"https:",""),"www.",""),"/",""),"?hl=en",""),"instagram.com",""))</f>
        <v/>
      </c>
      <c r="W860" s="74" t="str">
        <f t="array" ref="W860">IF(
'Ingest Template'!Y860="",
SUBSTITUTE(
INDEX(DropdownLists!$F$2:$F$277,MATCH('Ingest Template'!D860,DropdownLists!$C$2:$C$277,0)),
CHAR(10),
"|"&amp;'Ingest Template'!C860&amp;CHAR(10)
)&amp;"|"&amp;'Ingest Template'!C860,
SUBSTITUTE(
INDEX(DropdownLists!$F$2:$F$277,MATCH('Ingest Template'!D860,DropdownLists!$C$2:$C$277,0)),
CHAR(10),
"|"&amp;'Ingest Template'!C860&amp;CHAR(10)
)&amp;"|"&amp;'Ingest Template'!C860&amp;CHAR(10)&amp;'Ingest Template'!Y860
)</f>
        <v>#N/A</v>
      </c>
      <c r="X860" s="74" t="str">
        <f>'Ingest Template'!Z860</f>
        <v/>
      </c>
      <c r="Y860" s="35" t="str">
        <f>SUBSTITUTE(SUBSTITUTE(SUBSTITUTE('Ingest Template'!AA860,"http:",""),"https:",""),"/","")</f>
        <v/>
      </c>
      <c r="Z860" s="35" t="str">
        <f t="array" ref="Z860">IF('Ingest Template'!A860="Standard",(IF(ISBLANK('Ingest Template'!AB860),"", 'Ingest Template'!AB860&amp;"|DAR")),(IF(ISBLANK('Ingest Template'!AB860),"", 'Ingest Template'!AB860&amp;"|TV Ops")))</f>
        <v/>
      </c>
      <c r="AA860" s="35"/>
      <c r="AB860" s="35" t="str">
        <f>'Ingest Template'!R860</f>
        <v/>
      </c>
      <c r="AC860" s="35" t="str">
        <f>'Ingest Template'!T860</f>
        <v/>
      </c>
      <c r="AD860" s="35" t="str">
        <f>'Ingest Template'!S860</f>
        <v/>
      </c>
      <c r="AE860" s="35" t="str">
        <f>'Ingest Template'!U860</f>
        <v/>
      </c>
      <c r="AF860" s="22"/>
      <c r="AG860" s="35" t="str">
        <f t="array" ref="AG860">IF('Ingest Template'!A860="Standard",(CONCATENATE(IF(ISBLANK('Ingest Template'!N860),"", 'Ingest Template'!N860&amp;"|DAR"),CHAR(10), IF(ISBLANK('Ingest Template'!O860),"", 'Ingest Template'!O860&amp;"|DAR"),CHAR(10), IF(ISBLANK('Ingest Template'!P860),"", 'Ingest Template'!P860&amp;"|DAR"))),(CONCATENATE(IF(ISBLANK('Ingest Template'!N860),"", 'Ingest Template'!N860&amp;"|TV Ops"),CHAR(10), IF(ISBLANK('Ingest Template'!O860),"", 'Ingest Template'!O860&amp;"|TV Ops"),CHAR(10), IF(ISBLANK('Ingest Template'!P860),"", 'Ingest Template'!P860&amp;"|TV Ops"))))</f>
        <v>
</v>
      </c>
      <c r="AH860" s="35"/>
      <c r="AI860" s="35"/>
      <c r="AJ860" s="117" t="str">
        <f>if('Ingest Template'!A860="Standard",(IF(OR('Ingest Template'!F860 = "Program Type - Special", 'Ingest Template'!F860 = "Program Type - Live Event"),'Ingest Template'!M860&amp; "|DAR|DAR|"&amp;TEXT('Ingest Template'!C860-3, "yyyy-mm-dd")&amp;"|"&amp;TEXT('Ingest Template'!C860+3, "yyyy-mm-dd"),'Ingest Template'!M860&amp; "|DAR|DAR|2021-01-01")),(IF(OR('Ingest Template'!F860 = "Program Type - Special", 'Ingest Template'!F860 = "Program Type - Live Event"),'Ingest Template'!M860&amp; "|Operations - Core Title|Operations - Core Title|"&amp;TEXT('Ingest Template'!C860-3, "yyyy-mm-dd")&amp;"|"&amp;TEXT('Ingest Template'!C860+3, "yyyy-mm-dd"),'Ingest Template'!M860&amp; "|Operations - Core Title|Operations - Core Title")))</f>
        <v>|Operations - Core Title|Operations - Core Title</v>
      </c>
      <c r="AK860" s="35"/>
      <c r="AL860" s="117" t="str">
        <f>if('Ingest Template'!A860="Standard",(IF(OR('Ingest Template'!F860 = "Program Type - Special", 'Ingest Template'!F860 = "Program Type - Live Event"),'Ingest Template'!Q860&amp;"|"&amp;TEXT('Ingest Template'!C860-3, "yyyy-mm-dd")&amp;"|"&amp;TEXT('Ingest Template'!C860+3, "yyyy-mm-dd"),'Ingest Template'!Q860&amp; "|2021-01-01")),(IF(OR('Ingest Template'!F860 = "Program Type - Special", 'Ingest Template'!F860 = "Program Type - Live Event"),'Ingest Template'!Q860&amp; "|"&amp;TEXT('Ingest Template'!C860-3, "yyyy-mm-dd")&amp;"|"&amp;TEXT('Ingest Template'!C860+3, "yyyy-mm-dd"),'Ingest Template'!Q860)))</f>
        <v/>
      </c>
      <c r="AM860" s="35" t="str">
        <f>'Ingest Template'!AC860</f>
        <v/>
      </c>
    </row>
    <row r="861">
      <c r="A861" s="15"/>
      <c r="B861" s="22" t="str">
        <f>'Ingest Template'!C861&amp;IF('Ingest Template'!A861 = "Standard", " - DAR","")</f>
        <v/>
      </c>
      <c r="C861" s="22" t="s">
        <v>83</v>
      </c>
      <c r="D861" s="22" t="str">
        <f t="array" ref="D861">CONCATENATE(INDEX(DropdownLists!$H$2:$H$11,MATCH(1,COUNTIF('Ingest Template'!E861,"*"&amp;DropdownLists!$I$2:$I$11&amp;"*"),0)),CHAR(10),'Ingest Template'!F861,CHAR(10),'Ingest Template'!G861,CHAR(10),VLOOKUP('Ingest Template'!D861,DropdownLists!C:D,2,FALSE))</f>
        <v>#N/A</v>
      </c>
      <c r="E861" s="22" t="str">
        <f>CONCATENATE('Ingest Template'!H861,CHAR(10),'Ingest Template'!I861,CHAR(10),'Ingest Template'!J861,CHAR(10))</f>
        <v>
</v>
      </c>
      <c r="F861" s="35" t="str">
        <f t="array" ref="F861">INDEX(DropdownLists!$O$2:$O$36,MATCH(1,COUNTIF(E861,"*"&amp;DropdownLists!$N$2:$N$36&amp;"*"),0))</f>
        <v/>
      </c>
      <c r="G861" s="35"/>
      <c r="H861" s="22" t="str">
        <f t="array" ref="H861">INDEX(DropdownLists!$E$2:$E$276,MATCH('Ingest Template'!D861,DropdownLists!$C$2:$C$276,0))</f>
        <v>#N/A</v>
      </c>
      <c r="I861" s="22"/>
      <c r="J861" s="22" t="str">
        <f t="array" ref="J861">iF('Ingest Template'!A861="Standard","Pristine Brand",INDEX(DropdownLists!$B$2:$B$246,MATCH('Ingest Template'!D861,DropdownLists!$C$2:$C$246,0)))</f>
        <v>#N/A</v>
      </c>
      <c r="K861" s="22" t="str">
        <f>iF('Ingest Template'!A861="Standard",'Ingest Template'!K861&amp;CHAR(10)&amp;'Ingest Template'!L861,"Competitive View")</f>
        <v>Competitive View</v>
      </c>
      <c r="L861" s="22" t="s">
        <v>95</v>
      </c>
      <c r="M861" s="45" t="str">
        <f>'Ingest Template'!B861</f>
        <v/>
      </c>
      <c r="N861" s="35"/>
      <c r="O861" s="35"/>
      <c r="P861" s="35"/>
      <c r="Q861" s="35"/>
      <c r="R861" s="35" t="str">
        <f>'Ingest Template'!D861</f>
        <v/>
      </c>
      <c r="S861" s="22" t="s">
        <v>101</v>
      </c>
      <c r="T861" s="35" t="str">
        <f>'Ingest Template'!V861</f>
        <v/>
      </c>
      <c r="U861" s="35" t="str">
        <f>'Ingest Template'!W861</f>
        <v/>
      </c>
      <c r="V861" s="35" t="str">
        <f>LOWER(SUBSTITUTE(SUBSTITUTE(SUBSTITUTE(SUBSTITUTE(SUBSTITUTE('Ingest Template'!X861,"https:",""),"www.",""),"/",""),"?hl=en",""),"instagram.com",""))</f>
        <v/>
      </c>
      <c r="W861" s="74" t="str">
        <f t="array" ref="W861">IF(
'Ingest Template'!Y861="",
SUBSTITUTE(
INDEX(DropdownLists!$F$2:$F$277,MATCH('Ingest Template'!D861,DropdownLists!$C$2:$C$277,0)),
CHAR(10),
"|"&amp;'Ingest Template'!C861&amp;CHAR(10)
)&amp;"|"&amp;'Ingest Template'!C861,
SUBSTITUTE(
INDEX(DropdownLists!$F$2:$F$277,MATCH('Ingest Template'!D861,DropdownLists!$C$2:$C$277,0)),
CHAR(10),
"|"&amp;'Ingest Template'!C861&amp;CHAR(10)
)&amp;"|"&amp;'Ingest Template'!C861&amp;CHAR(10)&amp;'Ingest Template'!Y861
)</f>
        <v>#N/A</v>
      </c>
      <c r="X861" s="74" t="str">
        <f>'Ingest Template'!Z861</f>
        <v/>
      </c>
      <c r="Y861" s="35" t="str">
        <f>SUBSTITUTE(SUBSTITUTE(SUBSTITUTE('Ingest Template'!AA861,"http:",""),"https:",""),"/","")</f>
        <v/>
      </c>
      <c r="Z861" s="35" t="str">
        <f t="array" ref="Z861">IF('Ingest Template'!A861="Standard",(IF(ISBLANK('Ingest Template'!AB861),"", 'Ingest Template'!AB861&amp;"|DAR")),(IF(ISBLANK('Ingest Template'!AB861),"", 'Ingest Template'!AB861&amp;"|TV Ops")))</f>
        <v/>
      </c>
      <c r="AA861" s="35"/>
      <c r="AB861" s="35" t="str">
        <f>'Ingest Template'!R861</f>
        <v/>
      </c>
      <c r="AC861" s="35" t="str">
        <f>'Ingest Template'!T861</f>
        <v/>
      </c>
      <c r="AD861" s="35" t="str">
        <f>'Ingest Template'!S861</f>
        <v/>
      </c>
      <c r="AE861" s="35" t="str">
        <f>'Ingest Template'!U861</f>
        <v/>
      </c>
      <c r="AF861" s="22"/>
      <c r="AG861" s="35" t="str">
        <f t="array" ref="AG861">IF('Ingest Template'!A861="Standard",(CONCATENATE(IF(ISBLANK('Ingest Template'!N861),"", 'Ingest Template'!N861&amp;"|DAR"),CHAR(10), IF(ISBLANK('Ingest Template'!O861),"", 'Ingest Template'!O861&amp;"|DAR"),CHAR(10), IF(ISBLANK('Ingest Template'!P861),"", 'Ingest Template'!P861&amp;"|DAR"))),(CONCATENATE(IF(ISBLANK('Ingest Template'!N861),"", 'Ingest Template'!N861&amp;"|TV Ops"),CHAR(10), IF(ISBLANK('Ingest Template'!O861),"", 'Ingest Template'!O861&amp;"|TV Ops"),CHAR(10), IF(ISBLANK('Ingest Template'!P861),"", 'Ingest Template'!P861&amp;"|TV Ops"))))</f>
        <v>
</v>
      </c>
      <c r="AH861" s="35"/>
      <c r="AI861" s="35"/>
      <c r="AJ861" s="117" t="str">
        <f>if('Ingest Template'!A861="Standard",(IF(OR('Ingest Template'!F861 = "Program Type - Special", 'Ingest Template'!F861 = "Program Type - Live Event"),'Ingest Template'!M861&amp; "|DAR|DAR|"&amp;TEXT('Ingest Template'!C861-3, "yyyy-mm-dd")&amp;"|"&amp;TEXT('Ingest Template'!C861+3, "yyyy-mm-dd"),'Ingest Template'!M861&amp; "|DAR|DAR|2021-01-01")),(IF(OR('Ingest Template'!F861 = "Program Type - Special", 'Ingest Template'!F861 = "Program Type - Live Event"),'Ingest Template'!M861&amp; "|Operations - Core Title|Operations - Core Title|"&amp;TEXT('Ingest Template'!C861-3, "yyyy-mm-dd")&amp;"|"&amp;TEXT('Ingest Template'!C861+3, "yyyy-mm-dd"),'Ingest Template'!M861&amp; "|Operations - Core Title|Operations - Core Title")))</f>
        <v>|Operations - Core Title|Operations - Core Title</v>
      </c>
      <c r="AK861" s="35"/>
      <c r="AL861" s="117" t="str">
        <f>if('Ingest Template'!A861="Standard",(IF(OR('Ingest Template'!F861 = "Program Type - Special", 'Ingest Template'!F861 = "Program Type - Live Event"),'Ingest Template'!Q861&amp;"|"&amp;TEXT('Ingest Template'!C861-3, "yyyy-mm-dd")&amp;"|"&amp;TEXT('Ingest Template'!C861+3, "yyyy-mm-dd"),'Ingest Template'!Q861&amp; "|2021-01-01")),(IF(OR('Ingest Template'!F861 = "Program Type - Special", 'Ingest Template'!F861 = "Program Type - Live Event"),'Ingest Template'!Q861&amp; "|"&amp;TEXT('Ingest Template'!C861-3, "yyyy-mm-dd")&amp;"|"&amp;TEXT('Ingest Template'!C861+3, "yyyy-mm-dd"),'Ingest Template'!Q861)))</f>
        <v/>
      </c>
      <c r="AM861" s="35" t="str">
        <f>'Ingest Template'!AC861</f>
        <v/>
      </c>
    </row>
    <row r="862">
      <c r="A862" s="15"/>
      <c r="B862" s="22" t="str">
        <f>'Ingest Template'!C862&amp;IF('Ingest Template'!A862 = "Standard", " - DAR","")</f>
        <v/>
      </c>
      <c r="C862" s="22" t="s">
        <v>83</v>
      </c>
      <c r="D862" s="22" t="str">
        <f t="array" ref="D862">CONCATENATE(INDEX(DropdownLists!$H$2:$H$11,MATCH(1,COUNTIF('Ingest Template'!E862,"*"&amp;DropdownLists!$I$2:$I$11&amp;"*"),0)),CHAR(10),'Ingest Template'!F862,CHAR(10),'Ingest Template'!G862,CHAR(10),VLOOKUP('Ingest Template'!D862,DropdownLists!C:D,2,FALSE))</f>
        <v>#N/A</v>
      </c>
      <c r="E862" s="22" t="str">
        <f>CONCATENATE('Ingest Template'!H862,CHAR(10),'Ingest Template'!I862,CHAR(10),'Ingest Template'!J862,CHAR(10))</f>
        <v>
</v>
      </c>
      <c r="F862" s="35" t="str">
        <f t="array" ref="F862">INDEX(DropdownLists!$O$2:$O$36,MATCH(1,COUNTIF(E862,"*"&amp;DropdownLists!$N$2:$N$36&amp;"*"),0))</f>
        <v/>
      </c>
      <c r="G862" s="35"/>
      <c r="H862" s="22" t="str">
        <f t="array" ref="H862">INDEX(DropdownLists!$E$2:$E$276,MATCH('Ingest Template'!D862,DropdownLists!$C$2:$C$276,0))</f>
        <v>#N/A</v>
      </c>
      <c r="I862" s="22"/>
      <c r="J862" s="22" t="str">
        <f t="array" ref="J862">iF('Ingest Template'!A862="Standard","Pristine Brand",INDEX(DropdownLists!$B$2:$B$246,MATCH('Ingest Template'!D862,DropdownLists!$C$2:$C$246,0)))</f>
        <v>#N/A</v>
      </c>
      <c r="K862" s="22" t="str">
        <f>iF('Ingest Template'!A862="Standard",'Ingest Template'!K862&amp;CHAR(10)&amp;'Ingest Template'!L862,"Competitive View")</f>
        <v>Competitive View</v>
      </c>
      <c r="L862" s="22" t="s">
        <v>95</v>
      </c>
      <c r="M862" s="45" t="str">
        <f>'Ingest Template'!B862</f>
        <v/>
      </c>
      <c r="N862" s="35"/>
      <c r="O862" s="35"/>
      <c r="P862" s="35"/>
      <c r="Q862" s="35"/>
      <c r="R862" s="35" t="str">
        <f>'Ingest Template'!D862</f>
        <v/>
      </c>
      <c r="S862" s="22" t="s">
        <v>101</v>
      </c>
      <c r="T862" s="35" t="str">
        <f>'Ingest Template'!V862</f>
        <v/>
      </c>
      <c r="U862" s="35" t="str">
        <f>'Ingest Template'!W862</f>
        <v/>
      </c>
      <c r="V862" s="35" t="str">
        <f>LOWER(SUBSTITUTE(SUBSTITUTE(SUBSTITUTE(SUBSTITUTE(SUBSTITUTE('Ingest Template'!X862,"https:",""),"www.",""),"/",""),"?hl=en",""),"instagram.com",""))</f>
        <v/>
      </c>
      <c r="W862" s="74" t="str">
        <f t="array" ref="W862">IF(
'Ingest Template'!Y862="",
SUBSTITUTE(
INDEX(DropdownLists!$F$2:$F$277,MATCH('Ingest Template'!D862,DropdownLists!$C$2:$C$277,0)),
CHAR(10),
"|"&amp;'Ingest Template'!C862&amp;CHAR(10)
)&amp;"|"&amp;'Ingest Template'!C862,
SUBSTITUTE(
INDEX(DropdownLists!$F$2:$F$277,MATCH('Ingest Template'!D862,DropdownLists!$C$2:$C$277,0)),
CHAR(10),
"|"&amp;'Ingest Template'!C862&amp;CHAR(10)
)&amp;"|"&amp;'Ingest Template'!C862&amp;CHAR(10)&amp;'Ingest Template'!Y862
)</f>
        <v>#N/A</v>
      </c>
      <c r="X862" s="74" t="str">
        <f>'Ingest Template'!Z862</f>
        <v/>
      </c>
      <c r="Y862" s="35" t="str">
        <f>SUBSTITUTE(SUBSTITUTE(SUBSTITUTE('Ingest Template'!AA862,"http:",""),"https:",""),"/","")</f>
        <v/>
      </c>
      <c r="Z862" s="35" t="str">
        <f t="array" ref="Z862">IF('Ingest Template'!A862="Standard",(IF(ISBLANK('Ingest Template'!AB862),"", 'Ingest Template'!AB862&amp;"|DAR")),(IF(ISBLANK('Ingest Template'!AB862),"", 'Ingest Template'!AB862&amp;"|TV Ops")))</f>
        <v/>
      </c>
      <c r="AA862" s="35"/>
      <c r="AB862" s="35" t="str">
        <f>'Ingest Template'!R862</f>
        <v/>
      </c>
      <c r="AC862" s="35" t="str">
        <f>'Ingest Template'!T862</f>
        <v/>
      </c>
      <c r="AD862" s="35" t="str">
        <f>'Ingest Template'!S862</f>
        <v/>
      </c>
      <c r="AE862" s="35" t="str">
        <f>'Ingest Template'!U862</f>
        <v/>
      </c>
      <c r="AF862" s="22"/>
      <c r="AG862" s="35" t="str">
        <f t="array" ref="AG862">IF('Ingest Template'!A862="Standard",(CONCATENATE(IF(ISBLANK('Ingest Template'!N862),"", 'Ingest Template'!N862&amp;"|DAR"),CHAR(10), IF(ISBLANK('Ingest Template'!O862),"", 'Ingest Template'!O862&amp;"|DAR"),CHAR(10), IF(ISBLANK('Ingest Template'!P862),"", 'Ingest Template'!P862&amp;"|DAR"))),(CONCATENATE(IF(ISBLANK('Ingest Template'!N862),"", 'Ingest Template'!N862&amp;"|TV Ops"),CHAR(10), IF(ISBLANK('Ingest Template'!O862),"", 'Ingest Template'!O862&amp;"|TV Ops"),CHAR(10), IF(ISBLANK('Ingest Template'!P862),"", 'Ingest Template'!P862&amp;"|TV Ops"))))</f>
        <v>
</v>
      </c>
      <c r="AH862" s="35"/>
      <c r="AI862" s="35"/>
      <c r="AJ862" s="117" t="str">
        <f>if('Ingest Template'!A862="Standard",(IF(OR('Ingest Template'!F862 = "Program Type - Special", 'Ingest Template'!F862 = "Program Type - Live Event"),'Ingest Template'!M862&amp; "|DAR|DAR|"&amp;TEXT('Ingest Template'!C862-3, "yyyy-mm-dd")&amp;"|"&amp;TEXT('Ingest Template'!C862+3, "yyyy-mm-dd"),'Ingest Template'!M862&amp; "|DAR|DAR|2021-01-01")),(IF(OR('Ingest Template'!F862 = "Program Type - Special", 'Ingest Template'!F862 = "Program Type - Live Event"),'Ingest Template'!M862&amp; "|Operations - Core Title|Operations - Core Title|"&amp;TEXT('Ingest Template'!C862-3, "yyyy-mm-dd")&amp;"|"&amp;TEXT('Ingest Template'!C862+3, "yyyy-mm-dd"),'Ingest Template'!M862&amp; "|Operations - Core Title|Operations - Core Title")))</f>
        <v>|Operations - Core Title|Operations - Core Title</v>
      </c>
      <c r="AK862" s="35"/>
      <c r="AL862" s="117" t="str">
        <f>if('Ingest Template'!A862="Standard",(IF(OR('Ingest Template'!F862 = "Program Type - Special", 'Ingest Template'!F862 = "Program Type - Live Event"),'Ingest Template'!Q862&amp;"|"&amp;TEXT('Ingest Template'!C862-3, "yyyy-mm-dd")&amp;"|"&amp;TEXT('Ingest Template'!C862+3, "yyyy-mm-dd"),'Ingest Template'!Q862&amp; "|2021-01-01")),(IF(OR('Ingest Template'!F862 = "Program Type - Special", 'Ingest Template'!F862 = "Program Type - Live Event"),'Ingest Template'!Q862&amp; "|"&amp;TEXT('Ingest Template'!C862-3, "yyyy-mm-dd")&amp;"|"&amp;TEXT('Ingest Template'!C862+3, "yyyy-mm-dd"),'Ingest Template'!Q862)))</f>
        <v/>
      </c>
      <c r="AM862" s="35" t="str">
        <f>'Ingest Template'!AC862</f>
        <v/>
      </c>
    </row>
    <row r="863">
      <c r="A863" s="15"/>
      <c r="B863" s="22" t="str">
        <f>'Ingest Template'!C863&amp;IF('Ingest Template'!A863 = "Standard", " - DAR","")</f>
        <v/>
      </c>
      <c r="C863" s="22" t="s">
        <v>83</v>
      </c>
      <c r="D863" s="22" t="str">
        <f t="array" ref="D863">CONCATENATE(INDEX(DropdownLists!$H$2:$H$11,MATCH(1,COUNTIF('Ingest Template'!E863,"*"&amp;DropdownLists!$I$2:$I$11&amp;"*"),0)),CHAR(10),'Ingest Template'!F863,CHAR(10),'Ingest Template'!G863,CHAR(10),VLOOKUP('Ingest Template'!D863,DropdownLists!C:D,2,FALSE))</f>
        <v>#N/A</v>
      </c>
      <c r="E863" s="22" t="str">
        <f>CONCATENATE('Ingest Template'!H863,CHAR(10),'Ingest Template'!I863,CHAR(10),'Ingest Template'!J863,CHAR(10))</f>
        <v>
</v>
      </c>
      <c r="F863" s="35" t="str">
        <f t="array" ref="F863">INDEX(DropdownLists!$O$2:$O$36,MATCH(1,COUNTIF(E863,"*"&amp;DropdownLists!$N$2:$N$36&amp;"*"),0))</f>
        <v/>
      </c>
      <c r="G863" s="35"/>
      <c r="H863" s="22" t="str">
        <f t="array" ref="H863">INDEX(DropdownLists!$E$2:$E$276,MATCH('Ingest Template'!D863,DropdownLists!$C$2:$C$276,0))</f>
        <v>#N/A</v>
      </c>
      <c r="I863" s="22"/>
      <c r="J863" s="22" t="str">
        <f t="array" ref="J863">iF('Ingest Template'!A863="Standard","Pristine Brand",INDEX(DropdownLists!$B$2:$B$246,MATCH('Ingest Template'!D863,DropdownLists!$C$2:$C$246,0)))</f>
        <v>#N/A</v>
      </c>
      <c r="K863" s="22" t="str">
        <f>iF('Ingest Template'!A863="Standard",'Ingest Template'!K863&amp;CHAR(10)&amp;'Ingest Template'!L863,"Competitive View")</f>
        <v>Competitive View</v>
      </c>
      <c r="L863" s="22" t="s">
        <v>95</v>
      </c>
      <c r="M863" s="45" t="str">
        <f>'Ingest Template'!B863</f>
        <v/>
      </c>
      <c r="N863" s="35"/>
      <c r="O863" s="35"/>
      <c r="P863" s="35"/>
      <c r="Q863" s="35"/>
      <c r="R863" s="35" t="str">
        <f>'Ingest Template'!D863</f>
        <v/>
      </c>
      <c r="S863" s="22" t="s">
        <v>101</v>
      </c>
      <c r="T863" s="35" t="str">
        <f>'Ingest Template'!V863</f>
        <v/>
      </c>
      <c r="U863" s="35" t="str">
        <f>'Ingest Template'!W863</f>
        <v/>
      </c>
      <c r="V863" s="35" t="str">
        <f>LOWER(SUBSTITUTE(SUBSTITUTE(SUBSTITUTE(SUBSTITUTE(SUBSTITUTE('Ingest Template'!X863,"https:",""),"www.",""),"/",""),"?hl=en",""),"instagram.com",""))</f>
        <v/>
      </c>
      <c r="W863" s="74" t="str">
        <f t="array" ref="W863">IF(
'Ingest Template'!Y863="",
SUBSTITUTE(
INDEX(DropdownLists!$F$2:$F$277,MATCH('Ingest Template'!D863,DropdownLists!$C$2:$C$277,0)),
CHAR(10),
"|"&amp;'Ingest Template'!C863&amp;CHAR(10)
)&amp;"|"&amp;'Ingest Template'!C863,
SUBSTITUTE(
INDEX(DropdownLists!$F$2:$F$277,MATCH('Ingest Template'!D863,DropdownLists!$C$2:$C$277,0)),
CHAR(10),
"|"&amp;'Ingest Template'!C863&amp;CHAR(10)
)&amp;"|"&amp;'Ingest Template'!C863&amp;CHAR(10)&amp;'Ingest Template'!Y863
)</f>
        <v>#N/A</v>
      </c>
      <c r="X863" s="74" t="str">
        <f>'Ingest Template'!Z863</f>
        <v/>
      </c>
      <c r="Y863" s="35" t="str">
        <f>SUBSTITUTE(SUBSTITUTE(SUBSTITUTE('Ingest Template'!AA863,"http:",""),"https:",""),"/","")</f>
        <v/>
      </c>
      <c r="Z863" s="35" t="str">
        <f t="array" ref="Z863">IF('Ingest Template'!A863="Standard",(IF(ISBLANK('Ingest Template'!AB863),"", 'Ingest Template'!AB863&amp;"|DAR")),(IF(ISBLANK('Ingest Template'!AB863),"", 'Ingest Template'!AB863&amp;"|TV Ops")))</f>
        <v/>
      </c>
      <c r="AA863" s="35"/>
      <c r="AB863" s="35" t="str">
        <f>'Ingest Template'!R863</f>
        <v/>
      </c>
      <c r="AC863" s="35" t="str">
        <f>'Ingest Template'!T863</f>
        <v/>
      </c>
      <c r="AD863" s="35" t="str">
        <f>'Ingest Template'!S863</f>
        <v/>
      </c>
      <c r="AE863" s="35" t="str">
        <f>'Ingest Template'!U863</f>
        <v/>
      </c>
      <c r="AF863" s="22"/>
      <c r="AG863" s="35" t="str">
        <f t="array" ref="AG863">IF('Ingest Template'!A863="Standard",(CONCATENATE(IF(ISBLANK('Ingest Template'!N863),"", 'Ingest Template'!N863&amp;"|DAR"),CHAR(10), IF(ISBLANK('Ingest Template'!O863),"", 'Ingest Template'!O863&amp;"|DAR"),CHAR(10), IF(ISBLANK('Ingest Template'!P863),"", 'Ingest Template'!P863&amp;"|DAR"))),(CONCATENATE(IF(ISBLANK('Ingest Template'!N863),"", 'Ingest Template'!N863&amp;"|TV Ops"),CHAR(10), IF(ISBLANK('Ingest Template'!O863),"", 'Ingest Template'!O863&amp;"|TV Ops"),CHAR(10), IF(ISBLANK('Ingest Template'!P863),"", 'Ingest Template'!P863&amp;"|TV Ops"))))</f>
        <v>
</v>
      </c>
      <c r="AH863" s="35"/>
      <c r="AI863" s="35"/>
      <c r="AJ863" s="117" t="str">
        <f>if('Ingest Template'!A863="Standard",(IF(OR('Ingest Template'!F863 = "Program Type - Special", 'Ingest Template'!F863 = "Program Type - Live Event"),'Ingest Template'!M863&amp; "|DAR|DAR|"&amp;TEXT('Ingest Template'!C863-3, "yyyy-mm-dd")&amp;"|"&amp;TEXT('Ingest Template'!C863+3, "yyyy-mm-dd"),'Ingest Template'!M863&amp; "|DAR|DAR|2021-01-01")),(IF(OR('Ingest Template'!F863 = "Program Type - Special", 'Ingest Template'!F863 = "Program Type - Live Event"),'Ingest Template'!M863&amp; "|Operations - Core Title|Operations - Core Title|"&amp;TEXT('Ingest Template'!C863-3, "yyyy-mm-dd")&amp;"|"&amp;TEXT('Ingest Template'!C863+3, "yyyy-mm-dd"),'Ingest Template'!M863&amp; "|Operations - Core Title|Operations - Core Title")))</f>
        <v>|Operations - Core Title|Operations - Core Title</v>
      </c>
      <c r="AK863" s="35"/>
      <c r="AL863" s="117" t="str">
        <f>if('Ingest Template'!A863="Standard",(IF(OR('Ingest Template'!F863 = "Program Type - Special", 'Ingest Template'!F863 = "Program Type - Live Event"),'Ingest Template'!Q863&amp;"|"&amp;TEXT('Ingest Template'!C863-3, "yyyy-mm-dd")&amp;"|"&amp;TEXT('Ingest Template'!C863+3, "yyyy-mm-dd"),'Ingest Template'!Q863&amp; "|2021-01-01")),(IF(OR('Ingest Template'!F863 = "Program Type - Special", 'Ingest Template'!F863 = "Program Type - Live Event"),'Ingest Template'!Q863&amp; "|"&amp;TEXT('Ingest Template'!C863-3, "yyyy-mm-dd")&amp;"|"&amp;TEXT('Ingest Template'!C863+3, "yyyy-mm-dd"),'Ingest Template'!Q863)))</f>
        <v/>
      </c>
      <c r="AM863" s="35" t="str">
        <f>'Ingest Template'!AC863</f>
        <v/>
      </c>
    </row>
    <row r="864">
      <c r="A864" s="15"/>
      <c r="B864" s="22" t="str">
        <f>'Ingest Template'!C864&amp;IF('Ingest Template'!A864 = "Standard", " - DAR","")</f>
        <v/>
      </c>
      <c r="C864" s="22" t="s">
        <v>83</v>
      </c>
      <c r="D864" s="22" t="str">
        <f t="array" ref="D864">CONCATENATE(INDEX(DropdownLists!$H$2:$H$11,MATCH(1,COUNTIF('Ingest Template'!E864,"*"&amp;DropdownLists!$I$2:$I$11&amp;"*"),0)),CHAR(10),'Ingest Template'!F864,CHAR(10),'Ingest Template'!G864,CHAR(10),VLOOKUP('Ingest Template'!D864,DropdownLists!C:D,2,FALSE))</f>
        <v>#N/A</v>
      </c>
      <c r="E864" s="22" t="str">
        <f>CONCATENATE('Ingest Template'!H864,CHAR(10),'Ingest Template'!I864,CHAR(10),'Ingest Template'!J864,CHAR(10))</f>
        <v>
</v>
      </c>
      <c r="F864" s="35" t="str">
        <f t="array" ref="F864">INDEX(DropdownLists!$O$2:$O$36,MATCH(1,COUNTIF(E864,"*"&amp;DropdownLists!$N$2:$N$36&amp;"*"),0))</f>
        <v/>
      </c>
      <c r="G864" s="35"/>
      <c r="H864" s="22" t="str">
        <f t="array" ref="H864">INDEX(DropdownLists!$E$2:$E$276,MATCH('Ingest Template'!D864,DropdownLists!$C$2:$C$276,0))</f>
        <v>#N/A</v>
      </c>
      <c r="I864" s="22"/>
      <c r="J864" s="22" t="str">
        <f t="array" ref="J864">iF('Ingest Template'!A864="Standard","Pristine Brand",INDEX(DropdownLists!$B$2:$B$246,MATCH('Ingest Template'!D864,DropdownLists!$C$2:$C$246,0)))</f>
        <v>#N/A</v>
      </c>
      <c r="K864" s="22" t="str">
        <f>iF('Ingest Template'!A864="Standard",'Ingest Template'!K864&amp;CHAR(10)&amp;'Ingest Template'!L864,"Competitive View")</f>
        <v>Competitive View</v>
      </c>
      <c r="L864" s="22" t="s">
        <v>95</v>
      </c>
      <c r="M864" s="45" t="str">
        <f>'Ingest Template'!B864</f>
        <v/>
      </c>
      <c r="N864" s="35"/>
      <c r="O864" s="35"/>
      <c r="P864" s="35"/>
      <c r="Q864" s="35"/>
      <c r="R864" s="35" t="str">
        <f>'Ingest Template'!D864</f>
        <v/>
      </c>
      <c r="S864" s="22" t="s">
        <v>101</v>
      </c>
      <c r="T864" s="35" t="str">
        <f>'Ingest Template'!V864</f>
        <v/>
      </c>
      <c r="U864" s="35" t="str">
        <f>'Ingest Template'!W864</f>
        <v/>
      </c>
      <c r="V864" s="35" t="str">
        <f>LOWER(SUBSTITUTE(SUBSTITUTE(SUBSTITUTE(SUBSTITUTE(SUBSTITUTE('Ingest Template'!X864,"https:",""),"www.",""),"/",""),"?hl=en",""),"instagram.com",""))</f>
        <v/>
      </c>
      <c r="W864" s="74" t="str">
        <f t="array" ref="W864">IF(
'Ingest Template'!Y864="",
SUBSTITUTE(
INDEX(DropdownLists!$F$2:$F$277,MATCH('Ingest Template'!D864,DropdownLists!$C$2:$C$277,0)),
CHAR(10),
"|"&amp;'Ingest Template'!C864&amp;CHAR(10)
)&amp;"|"&amp;'Ingest Template'!C864,
SUBSTITUTE(
INDEX(DropdownLists!$F$2:$F$277,MATCH('Ingest Template'!D864,DropdownLists!$C$2:$C$277,0)),
CHAR(10),
"|"&amp;'Ingest Template'!C864&amp;CHAR(10)
)&amp;"|"&amp;'Ingest Template'!C864&amp;CHAR(10)&amp;'Ingest Template'!Y864
)</f>
        <v>#N/A</v>
      </c>
      <c r="X864" s="74" t="str">
        <f>'Ingest Template'!Z864</f>
        <v/>
      </c>
      <c r="Y864" s="35" t="str">
        <f>SUBSTITUTE(SUBSTITUTE(SUBSTITUTE('Ingest Template'!AA864,"http:",""),"https:",""),"/","")</f>
        <v/>
      </c>
      <c r="Z864" s="35" t="str">
        <f t="array" ref="Z864">IF('Ingest Template'!A864="Standard",(IF(ISBLANK('Ingest Template'!AB864),"", 'Ingest Template'!AB864&amp;"|DAR")),(IF(ISBLANK('Ingest Template'!AB864),"", 'Ingest Template'!AB864&amp;"|TV Ops")))</f>
        <v/>
      </c>
      <c r="AA864" s="35"/>
      <c r="AB864" s="35" t="str">
        <f>'Ingest Template'!R864</f>
        <v/>
      </c>
      <c r="AC864" s="35" t="str">
        <f>'Ingest Template'!T864</f>
        <v/>
      </c>
      <c r="AD864" s="35" t="str">
        <f>'Ingest Template'!S864</f>
        <v/>
      </c>
      <c r="AE864" s="35" t="str">
        <f>'Ingest Template'!U864</f>
        <v/>
      </c>
      <c r="AF864" s="22"/>
      <c r="AG864" s="35" t="str">
        <f t="array" ref="AG864">IF('Ingest Template'!A864="Standard",(CONCATENATE(IF(ISBLANK('Ingest Template'!N864),"", 'Ingest Template'!N864&amp;"|DAR"),CHAR(10), IF(ISBLANK('Ingest Template'!O864),"", 'Ingest Template'!O864&amp;"|DAR"),CHAR(10), IF(ISBLANK('Ingest Template'!P864),"", 'Ingest Template'!P864&amp;"|DAR"))),(CONCATENATE(IF(ISBLANK('Ingest Template'!N864),"", 'Ingest Template'!N864&amp;"|TV Ops"),CHAR(10), IF(ISBLANK('Ingest Template'!O864),"", 'Ingest Template'!O864&amp;"|TV Ops"),CHAR(10), IF(ISBLANK('Ingest Template'!P864),"", 'Ingest Template'!P864&amp;"|TV Ops"))))</f>
        <v>
</v>
      </c>
      <c r="AH864" s="35"/>
      <c r="AI864" s="35"/>
      <c r="AJ864" s="117" t="str">
        <f>if('Ingest Template'!A864="Standard",(IF(OR('Ingest Template'!F864 = "Program Type - Special", 'Ingest Template'!F864 = "Program Type - Live Event"),'Ingest Template'!M864&amp; "|DAR|DAR|"&amp;TEXT('Ingest Template'!C864-3, "yyyy-mm-dd")&amp;"|"&amp;TEXT('Ingest Template'!C864+3, "yyyy-mm-dd"),'Ingest Template'!M864&amp; "|DAR|DAR|2021-01-01")),(IF(OR('Ingest Template'!F864 = "Program Type - Special", 'Ingest Template'!F864 = "Program Type - Live Event"),'Ingest Template'!M864&amp; "|Operations - Core Title|Operations - Core Title|"&amp;TEXT('Ingest Template'!C864-3, "yyyy-mm-dd")&amp;"|"&amp;TEXT('Ingest Template'!C864+3, "yyyy-mm-dd"),'Ingest Template'!M864&amp; "|Operations - Core Title|Operations - Core Title")))</f>
        <v>|Operations - Core Title|Operations - Core Title</v>
      </c>
      <c r="AK864" s="35"/>
      <c r="AL864" s="117" t="str">
        <f>if('Ingest Template'!A864="Standard",(IF(OR('Ingest Template'!F864 = "Program Type - Special", 'Ingest Template'!F864 = "Program Type - Live Event"),'Ingest Template'!Q864&amp;"|"&amp;TEXT('Ingest Template'!C864-3, "yyyy-mm-dd")&amp;"|"&amp;TEXT('Ingest Template'!C864+3, "yyyy-mm-dd"),'Ingest Template'!Q864&amp; "|2021-01-01")),(IF(OR('Ingest Template'!F864 = "Program Type - Special", 'Ingest Template'!F864 = "Program Type - Live Event"),'Ingest Template'!Q864&amp; "|"&amp;TEXT('Ingest Template'!C864-3, "yyyy-mm-dd")&amp;"|"&amp;TEXT('Ingest Template'!C864+3, "yyyy-mm-dd"),'Ingest Template'!Q864)))</f>
        <v/>
      </c>
      <c r="AM864" s="35" t="str">
        <f>'Ingest Template'!AC864</f>
        <v/>
      </c>
    </row>
    <row r="865">
      <c r="A865" s="15"/>
      <c r="B865" s="22" t="str">
        <f>'Ingest Template'!C865&amp;IF('Ingest Template'!A865 = "Standard", " - DAR","")</f>
        <v/>
      </c>
      <c r="C865" s="22" t="s">
        <v>83</v>
      </c>
      <c r="D865" s="22" t="str">
        <f t="array" ref="D865">CONCATENATE(INDEX(DropdownLists!$H$2:$H$11,MATCH(1,COUNTIF('Ingest Template'!E865,"*"&amp;DropdownLists!$I$2:$I$11&amp;"*"),0)),CHAR(10),'Ingest Template'!F865,CHAR(10),'Ingest Template'!G865,CHAR(10),VLOOKUP('Ingest Template'!D865,DropdownLists!C:D,2,FALSE))</f>
        <v>#N/A</v>
      </c>
      <c r="E865" s="22" t="str">
        <f>CONCATENATE('Ingest Template'!H865,CHAR(10),'Ingest Template'!I865,CHAR(10),'Ingest Template'!J865,CHAR(10))</f>
        <v>
</v>
      </c>
      <c r="F865" s="35" t="str">
        <f t="array" ref="F865">INDEX(DropdownLists!$O$2:$O$36,MATCH(1,COUNTIF(E865,"*"&amp;DropdownLists!$N$2:$N$36&amp;"*"),0))</f>
        <v/>
      </c>
      <c r="G865" s="35"/>
      <c r="H865" s="22" t="str">
        <f t="array" ref="H865">INDEX(DropdownLists!$E$2:$E$276,MATCH('Ingest Template'!D865,DropdownLists!$C$2:$C$276,0))</f>
        <v>#N/A</v>
      </c>
      <c r="I865" s="22"/>
      <c r="J865" s="22" t="str">
        <f t="array" ref="J865">iF('Ingest Template'!A865="Standard","Pristine Brand",INDEX(DropdownLists!$B$2:$B$246,MATCH('Ingest Template'!D865,DropdownLists!$C$2:$C$246,0)))</f>
        <v>#N/A</v>
      </c>
      <c r="K865" s="22" t="str">
        <f>iF('Ingest Template'!A865="Standard",'Ingest Template'!K865&amp;CHAR(10)&amp;'Ingest Template'!L865,"Competitive View")</f>
        <v>Competitive View</v>
      </c>
      <c r="L865" s="22" t="s">
        <v>95</v>
      </c>
      <c r="M865" s="45" t="str">
        <f>'Ingest Template'!B865</f>
        <v/>
      </c>
      <c r="N865" s="35"/>
      <c r="O865" s="35"/>
      <c r="P865" s="35"/>
      <c r="Q865" s="35"/>
      <c r="R865" s="35" t="str">
        <f>'Ingest Template'!D865</f>
        <v/>
      </c>
      <c r="S865" s="22" t="s">
        <v>101</v>
      </c>
      <c r="T865" s="35" t="str">
        <f>'Ingest Template'!V865</f>
        <v/>
      </c>
      <c r="U865" s="35" t="str">
        <f>'Ingest Template'!W865</f>
        <v/>
      </c>
      <c r="V865" s="35" t="str">
        <f>LOWER(SUBSTITUTE(SUBSTITUTE(SUBSTITUTE(SUBSTITUTE(SUBSTITUTE('Ingest Template'!X865,"https:",""),"www.",""),"/",""),"?hl=en",""),"instagram.com",""))</f>
        <v/>
      </c>
      <c r="W865" s="74" t="str">
        <f t="array" ref="W865">IF(
'Ingest Template'!Y865="",
SUBSTITUTE(
INDEX(DropdownLists!$F$2:$F$277,MATCH('Ingest Template'!D865,DropdownLists!$C$2:$C$277,0)),
CHAR(10),
"|"&amp;'Ingest Template'!C865&amp;CHAR(10)
)&amp;"|"&amp;'Ingest Template'!C865,
SUBSTITUTE(
INDEX(DropdownLists!$F$2:$F$277,MATCH('Ingest Template'!D865,DropdownLists!$C$2:$C$277,0)),
CHAR(10),
"|"&amp;'Ingest Template'!C865&amp;CHAR(10)
)&amp;"|"&amp;'Ingest Template'!C865&amp;CHAR(10)&amp;'Ingest Template'!Y865
)</f>
        <v>#N/A</v>
      </c>
      <c r="X865" s="74" t="str">
        <f>'Ingest Template'!Z865</f>
        <v/>
      </c>
      <c r="Y865" s="35" t="str">
        <f>SUBSTITUTE(SUBSTITUTE(SUBSTITUTE('Ingest Template'!AA865,"http:",""),"https:",""),"/","")</f>
        <v/>
      </c>
      <c r="Z865" s="35" t="str">
        <f t="array" ref="Z865">IF('Ingest Template'!A865="Standard",(IF(ISBLANK('Ingest Template'!AB865),"", 'Ingest Template'!AB865&amp;"|DAR")),(IF(ISBLANK('Ingest Template'!AB865),"", 'Ingest Template'!AB865&amp;"|TV Ops")))</f>
        <v/>
      </c>
      <c r="AA865" s="35"/>
      <c r="AB865" s="35" t="str">
        <f>'Ingest Template'!R865</f>
        <v/>
      </c>
      <c r="AC865" s="35" t="str">
        <f>'Ingest Template'!T865</f>
        <v/>
      </c>
      <c r="AD865" s="35" t="str">
        <f>'Ingest Template'!S865</f>
        <v/>
      </c>
      <c r="AE865" s="35" t="str">
        <f>'Ingest Template'!U865</f>
        <v/>
      </c>
      <c r="AF865" s="22"/>
      <c r="AG865" s="35" t="str">
        <f t="array" ref="AG865">IF('Ingest Template'!A865="Standard",(CONCATENATE(IF(ISBLANK('Ingest Template'!N865),"", 'Ingest Template'!N865&amp;"|DAR"),CHAR(10), IF(ISBLANK('Ingest Template'!O865),"", 'Ingest Template'!O865&amp;"|DAR"),CHAR(10), IF(ISBLANK('Ingest Template'!P865),"", 'Ingest Template'!P865&amp;"|DAR"))),(CONCATENATE(IF(ISBLANK('Ingest Template'!N865),"", 'Ingest Template'!N865&amp;"|TV Ops"),CHAR(10), IF(ISBLANK('Ingest Template'!O865),"", 'Ingest Template'!O865&amp;"|TV Ops"),CHAR(10), IF(ISBLANK('Ingest Template'!P865),"", 'Ingest Template'!P865&amp;"|TV Ops"))))</f>
        <v>
</v>
      </c>
      <c r="AH865" s="35"/>
      <c r="AI865" s="35"/>
      <c r="AJ865" s="117" t="str">
        <f>if('Ingest Template'!A865="Standard",(IF(OR('Ingest Template'!F865 = "Program Type - Special", 'Ingest Template'!F865 = "Program Type - Live Event"),'Ingest Template'!M865&amp; "|DAR|DAR|"&amp;TEXT('Ingest Template'!C865-3, "yyyy-mm-dd")&amp;"|"&amp;TEXT('Ingest Template'!C865+3, "yyyy-mm-dd"),'Ingest Template'!M865&amp; "|DAR|DAR|2021-01-01")),(IF(OR('Ingest Template'!F865 = "Program Type - Special", 'Ingest Template'!F865 = "Program Type - Live Event"),'Ingest Template'!M865&amp; "|Operations - Core Title|Operations - Core Title|"&amp;TEXT('Ingest Template'!C865-3, "yyyy-mm-dd")&amp;"|"&amp;TEXT('Ingest Template'!C865+3, "yyyy-mm-dd"),'Ingest Template'!M865&amp; "|Operations - Core Title|Operations - Core Title")))</f>
        <v>|Operations - Core Title|Operations - Core Title</v>
      </c>
      <c r="AK865" s="35"/>
      <c r="AL865" s="117" t="str">
        <f>if('Ingest Template'!A865="Standard",(IF(OR('Ingest Template'!F865 = "Program Type - Special", 'Ingest Template'!F865 = "Program Type - Live Event"),'Ingest Template'!Q865&amp;"|"&amp;TEXT('Ingest Template'!C865-3, "yyyy-mm-dd")&amp;"|"&amp;TEXT('Ingest Template'!C865+3, "yyyy-mm-dd"),'Ingest Template'!Q865&amp; "|2021-01-01")),(IF(OR('Ingest Template'!F865 = "Program Type - Special", 'Ingest Template'!F865 = "Program Type - Live Event"),'Ingest Template'!Q865&amp; "|"&amp;TEXT('Ingest Template'!C865-3, "yyyy-mm-dd")&amp;"|"&amp;TEXT('Ingest Template'!C865+3, "yyyy-mm-dd"),'Ingest Template'!Q865)))</f>
        <v/>
      </c>
      <c r="AM865" s="35" t="str">
        <f>'Ingest Template'!AC865</f>
        <v/>
      </c>
    </row>
    <row r="866">
      <c r="A866" s="15"/>
      <c r="B866" s="22" t="str">
        <f>'Ingest Template'!C866&amp;IF('Ingest Template'!A866 = "Standard", " - DAR","")</f>
        <v/>
      </c>
      <c r="C866" s="22" t="s">
        <v>83</v>
      </c>
      <c r="D866" s="22" t="str">
        <f t="array" ref="D866">CONCATENATE(INDEX(DropdownLists!$H$2:$H$11,MATCH(1,COUNTIF('Ingest Template'!E866,"*"&amp;DropdownLists!$I$2:$I$11&amp;"*"),0)),CHAR(10),'Ingest Template'!F866,CHAR(10),'Ingest Template'!G866,CHAR(10),VLOOKUP('Ingest Template'!D866,DropdownLists!C:D,2,FALSE))</f>
        <v>#N/A</v>
      </c>
      <c r="E866" s="22" t="str">
        <f>CONCATENATE('Ingest Template'!H866,CHAR(10),'Ingest Template'!I866,CHAR(10),'Ingest Template'!J866,CHAR(10))</f>
        <v>
</v>
      </c>
      <c r="F866" s="35" t="str">
        <f t="array" ref="F866">INDEX(DropdownLists!$O$2:$O$36,MATCH(1,COUNTIF(E866,"*"&amp;DropdownLists!$N$2:$N$36&amp;"*"),0))</f>
        <v/>
      </c>
      <c r="G866" s="35"/>
      <c r="H866" s="22" t="str">
        <f t="array" ref="H866">INDEX(DropdownLists!$E$2:$E$276,MATCH('Ingest Template'!D866,DropdownLists!$C$2:$C$276,0))</f>
        <v>#N/A</v>
      </c>
      <c r="I866" s="22"/>
      <c r="J866" s="22" t="str">
        <f t="array" ref="J866">iF('Ingest Template'!A866="Standard","Pristine Brand",INDEX(DropdownLists!$B$2:$B$246,MATCH('Ingest Template'!D866,DropdownLists!$C$2:$C$246,0)))</f>
        <v>#N/A</v>
      </c>
      <c r="K866" s="22" t="str">
        <f>iF('Ingest Template'!A866="Standard",'Ingest Template'!K866&amp;CHAR(10)&amp;'Ingest Template'!L866,"Competitive View")</f>
        <v>Competitive View</v>
      </c>
      <c r="L866" s="22" t="s">
        <v>95</v>
      </c>
      <c r="M866" s="45" t="str">
        <f>'Ingest Template'!B866</f>
        <v/>
      </c>
      <c r="N866" s="35"/>
      <c r="O866" s="35"/>
      <c r="P866" s="35"/>
      <c r="Q866" s="35"/>
      <c r="R866" s="35" t="str">
        <f>'Ingest Template'!D866</f>
        <v/>
      </c>
      <c r="S866" s="22" t="s">
        <v>101</v>
      </c>
      <c r="T866" s="35" t="str">
        <f>'Ingest Template'!V866</f>
        <v/>
      </c>
      <c r="U866" s="35" t="str">
        <f>'Ingest Template'!W866</f>
        <v/>
      </c>
      <c r="V866" s="35" t="str">
        <f>LOWER(SUBSTITUTE(SUBSTITUTE(SUBSTITUTE(SUBSTITUTE(SUBSTITUTE('Ingest Template'!X866,"https:",""),"www.",""),"/",""),"?hl=en",""),"instagram.com",""))</f>
        <v/>
      </c>
      <c r="W866" s="74" t="str">
        <f t="array" ref="W866">IF(
'Ingest Template'!Y866="",
SUBSTITUTE(
INDEX(DropdownLists!$F$2:$F$277,MATCH('Ingest Template'!D866,DropdownLists!$C$2:$C$277,0)),
CHAR(10),
"|"&amp;'Ingest Template'!C866&amp;CHAR(10)
)&amp;"|"&amp;'Ingest Template'!C866,
SUBSTITUTE(
INDEX(DropdownLists!$F$2:$F$277,MATCH('Ingest Template'!D866,DropdownLists!$C$2:$C$277,0)),
CHAR(10),
"|"&amp;'Ingest Template'!C866&amp;CHAR(10)
)&amp;"|"&amp;'Ingest Template'!C866&amp;CHAR(10)&amp;'Ingest Template'!Y866
)</f>
        <v>#N/A</v>
      </c>
      <c r="X866" s="74" t="str">
        <f>'Ingest Template'!Z866</f>
        <v/>
      </c>
      <c r="Y866" s="35" t="str">
        <f>SUBSTITUTE(SUBSTITUTE(SUBSTITUTE('Ingest Template'!AA866,"http:",""),"https:",""),"/","")</f>
        <v/>
      </c>
      <c r="Z866" s="35" t="str">
        <f t="array" ref="Z866">IF('Ingest Template'!A866="Standard",(IF(ISBLANK('Ingest Template'!AB866),"", 'Ingest Template'!AB866&amp;"|DAR")),(IF(ISBLANK('Ingest Template'!AB866),"", 'Ingest Template'!AB866&amp;"|TV Ops")))</f>
        <v/>
      </c>
      <c r="AA866" s="35"/>
      <c r="AB866" s="35" t="str">
        <f>'Ingest Template'!R866</f>
        <v/>
      </c>
      <c r="AC866" s="35" t="str">
        <f>'Ingest Template'!T866</f>
        <v/>
      </c>
      <c r="AD866" s="35" t="str">
        <f>'Ingest Template'!S866</f>
        <v/>
      </c>
      <c r="AE866" s="35" t="str">
        <f>'Ingest Template'!U866</f>
        <v/>
      </c>
      <c r="AF866" s="22"/>
      <c r="AG866" s="35" t="str">
        <f t="array" ref="AG866">IF('Ingest Template'!A866="Standard",(CONCATENATE(IF(ISBLANK('Ingest Template'!N866),"", 'Ingest Template'!N866&amp;"|DAR"),CHAR(10), IF(ISBLANK('Ingest Template'!O866),"", 'Ingest Template'!O866&amp;"|DAR"),CHAR(10), IF(ISBLANK('Ingest Template'!P866),"", 'Ingest Template'!P866&amp;"|DAR"))),(CONCATENATE(IF(ISBLANK('Ingest Template'!N866),"", 'Ingest Template'!N866&amp;"|TV Ops"),CHAR(10), IF(ISBLANK('Ingest Template'!O866),"", 'Ingest Template'!O866&amp;"|TV Ops"),CHAR(10), IF(ISBLANK('Ingest Template'!P866),"", 'Ingest Template'!P866&amp;"|TV Ops"))))</f>
        <v>
</v>
      </c>
      <c r="AH866" s="35"/>
      <c r="AI866" s="35"/>
      <c r="AJ866" s="117" t="str">
        <f>if('Ingest Template'!A866="Standard",(IF(OR('Ingest Template'!F866 = "Program Type - Special", 'Ingest Template'!F866 = "Program Type - Live Event"),'Ingest Template'!M866&amp; "|DAR|DAR|"&amp;TEXT('Ingest Template'!C866-3, "yyyy-mm-dd")&amp;"|"&amp;TEXT('Ingest Template'!C866+3, "yyyy-mm-dd"),'Ingest Template'!M866&amp; "|DAR|DAR|2021-01-01")),(IF(OR('Ingest Template'!F866 = "Program Type - Special", 'Ingest Template'!F866 = "Program Type - Live Event"),'Ingest Template'!M866&amp; "|Operations - Core Title|Operations - Core Title|"&amp;TEXT('Ingest Template'!C866-3, "yyyy-mm-dd")&amp;"|"&amp;TEXT('Ingest Template'!C866+3, "yyyy-mm-dd"),'Ingest Template'!M866&amp; "|Operations - Core Title|Operations - Core Title")))</f>
        <v>|Operations - Core Title|Operations - Core Title</v>
      </c>
      <c r="AK866" s="35"/>
      <c r="AL866" s="117" t="str">
        <f>if('Ingest Template'!A866="Standard",(IF(OR('Ingest Template'!F866 = "Program Type - Special", 'Ingest Template'!F866 = "Program Type - Live Event"),'Ingest Template'!Q866&amp;"|"&amp;TEXT('Ingest Template'!C866-3, "yyyy-mm-dd")&amp;"|"&amp;TEXT('Ingest Template'!C866+3, "yyyy-mm-dd"),'Ingest Template'!Q866&amp; "|2021-01-01")),(IF(OR('Ingest Template'!F866 = "Program Type - Special", 'Ingest Template'!F866 = "Program Type - Live Event"),'Ingest Template'!Q866&amp; "|"&amp;TEXT('Ingest Template'!C866-3, "yyyy-mm-dd")&amp;"|"&amp;TEXT('Ingest Template'!C866+3, "yyyy-mm-dd"),'Ingest Template'!Q866)))</f>
        <v/>
      </c>
      <c r="AM866" s="35" t="str">
        <f>'Ingest Template'!AC866</f>
        <v/>
      </c>
    </row>
    <row r="867">
      <c r="A867" s="15"/>
      <c r="B867" s="22" t="str">
        <f>'Ingest Template'!C867&amp;IF('Ingest Template'!A867 = "Standard", " - DAR","")</f>
        <v/>
      </c>
      <c r="C867" s="22" t="s">
        <v>83</v>
      </c>
      <c r="D867" s="22" t="str">
        <f t="array" ref="D867">CONCATENATE(INDEX(DropdownLists!$H$2:$H$11,MATCH(1,COUNTIF('Ingest Template'!E867,"*"&amp;DropdownLists!$I$2:$I$11&amp;"*"),0)),CHAR(10),'Ingest Template'!F867,CHAR(10),'Ingest Template'!G867,CHAR(10),VLOOKUP('Ingest Template'!D867,DropdownLists!C:D,2,FALSE))</f>
        <v>#N/A</v>
      </c>
      <c r="E867" s="22" t="str">
        <f>CONCATENATE('Ingest Template'!H867,CHAR(10),'Ingest Template'!I867,CHAR(10),'Ingest Template'!J867,CHAR(10))</f>
        <v>
</v>
      </c>
      <c r="F867" s="35" t="str">
        <f t="array" ref="F867">INDEX(DropdownLists!$O$2:$O$36,MATCH(1,COUNTIF(E867,"*"&amp;DropdownLists!$N$2:$N$36&amp;"*"),0))</f>
        <v/>
      </c>
      <c r="G867" s="35"/>
      <c r="H867" s="22" t="str">
        <f t="array" ref="H867">INDEX(DropdownLists!$E$2:$E$276,MATCH('Ingest Template'!D867,DropdownLists!$C$2:$C$276,0))</f>
        <v>#N/A</v>
      </c>
      <c r="I867" s="22"/>
      <c r="J867" s="22" t="str">
        <f t="array" ref="J867">iF('Ingest Template'!A867="Standard","Pristine Brand",INDEX(DropdownLists!$B$2:$B$246,MATCH('Ingest Template'!D867,DropdownLists!$C$2:$C$246,0)))</f>
        <v>#N/A</v>
      </c>
      <c r="K867" s="22" t="str">
        <f>iF('Ingest Template'!A867="Standard",'Ingest Template'!K867&amp;CHAR(10)&amp;'Ingest Template'!L867,"Competitive View")</f>
        <v>Competitive View</v>
      </c>
      <c r="L867" s="22" t="s">
        <v>95</v>
      </c>
      <c r="M867" s="45" t="str">
        <f>'Ingest Template'!B867</f>
        <v/>
      </c>
      <c r="N867" s="35"/>
      <c r="O867" s="35"/>
      <c r="P867" s="35"/>
      <c r="Q867" s="35"/>
      <c r="R867" s="35" t="str">
        <f>'Ingest Template'!D867</f>
        <v/>
      </c>
      <c r="S867" s="22" t="s">
        <v>101</v>
      </c>
      <c r="T867" s="35" t="str">
        <f>'Ingest Template'!V867</f>
        <v/>
      </c>
      <c r="U867" s="35" t="str">
        <f>'Ingest Template'!W867</f>
        <v/>
      </c>
      <c r="V867" s="35" t="str">
        <f>LOWER(SUBSTITUTE(SUBSTITUTE(SUBSTITUTE(SUBSTITUTE(SUBSTITUTE('Ingest Template'!X867,"https:",""),"www.",""),"/",""),"?hl=en",""),"instagram.com",""))</f>
        <v/>
      </c>
      <c r="W867" s="74" t="str">
        <f t="array" ref="W867">IF(
'Ingest Template'!Y867="",
SUBSTITUTE(
INDEX(DropdownLists!$F$2:$F$277,MATCH('Ingest Template'!D867,DropdownLists!$C$2:$C$277,0)),
CHAR(10),
"|"&amp;'Ingest Template'!C867&amp;CHAR(10)
)&amp;"|"&amp;'Ingest Template'!C867,
SUBSTITUTE(
INDEX(DropdownLists!$F$2:$F$277,MATCH('Ingest Template'!D867,DropdownLists!$C$2:$C$277,0)),
CHAR(10),
"|"&amp;'Ingest Template'!C867&amp;CHAR(10)
)&amp;"|"&amp;'Ingest Template'!C867&amp;CHAR(10)&amp;'Ingest Template'!Y867
)</f>
        <v>#N/A</v>
      </c>
      <c r="X867" s="74" t="str">
        <f>'Ingest Template'!Z867</f>
        <v/>
      </c>
      <c r="Y867" s="35" t="str">
        <f>SUBSTITUTE(SUBSTITUTE(SUBSTITUTE('Ingest Template'!AA867,"http:",""),"https:",""),"/","")</f>
        <v/>
      </c>
      <c r="Z867" s="35" t="str">
        <f t="array" ref="Z867">IF('Ingest Template'!A867="Standard",(IF(ISBLANK('Ingest Template'!AB867),"", 'Ingest Template'!AB867&amp;"|DAR")),(IF(ISBLANK('Ingest Template'!AB867),"", 'Ingest Template'!AB867&amp;"|TV Ops")))</f>
        <v/>
      </c>
      <c r="AA867" s="35"/>
      <c r="AB867" s="35" t="str">
        <f>'Ingest Template'!R867</f>
        <v/>
      </c>
      <c r="AC867" s="35" t="str">
        <f>'Ingest Template'!T867</f>
        <v/>
      </c>
      <c r="AD867" s="35" t="str">
        <f>'Ingest Template'!S867</f>
        <v/>
      </c>
      <c r="AE867" s="35" t="str">
        <f>'Ingest Template'!U867</f>
        <v/>
      </c>
      <c r="AF867" s="22"/>
      <c r="AG867" s="35" t="str">
        <f t="array" ref="AG867">IF('Ingest Template'!A867="Standard",(CONCATENATE(IF(ISBLANK('Ingest Template'!N867),"", 'Ingest Template'!N867&amp;"|DAR"),CHAR(10), IF(ISBLANK('Ingest Template'!O867),"", 'Ingest Template'!O867&amp;"|DAR"),CHAR(10), IF(ISBLANK('Ingest Template'!P867),"", 'Ingest Template'!P867&amp;"|DAR"))),(CONCATENATE(IF(ISBLANK('Ingest Template'!N867),"", 'Ingest Template'!N867&amp;"|TV Ops"),CHAR(10), IF(ISBLANK('Ingest Template'!O867),"", 'Ingest Template'!O867&amp;"|TV Ops"),CHAR(10), IF(ISBLANK('Ingest Template'!P867),"", 'Ingest Template'!P867&amp;"|TV Ops"))))</f>
        <v>
</v>
      </c>
      <c r="AH867" s="35"/>
      <c r="AI867" s="35"/>
      <c r="AJ867" s="117" t="str">
        <f>if('Ingest Template'!A867="Standard",(IF(OR('Ingest Template'!F867 = "Program Type - Special", 'Ingest Template'!F867 = "Program Type - Live Event"),'Ingest Template'!M867&amp; "|DAR|DAR|"&amp;TEXT('Ingest Template'!C867-3, "yyyy-mm-dd")&amp;"|"&amp;TEXT('Ingest Template'!C867+3, "yyyy-mm-dd"),'Ingest Template'!M867&amp; "|DAR|DAR|2021-01-01")),(IF(OR('Ingest Template'!F867 = "Program Type - Special", 'Ingest Template'!F867 = "Program Type - Live Event"),'Ingest Template'!M867&amp; "|Operations - Core Title|Operations - Core Title|"&amp;TEXT('Ingest Template'!C867-3, "yyyy-mm-dd")&amp;"|"&amp;TEXT('Ingest Template'!C867+3, "yyyy-mm-dd"),'Ingest Template'!M867&amp; "|Operations - Core Title|Operations - Core Title")))</f>
        <v>|Operations - Core Title|Operations - Core Title</v>
      </c>
      <c r="AK867" s="35"/>
      <c r="AL867" s="117" t="str">
        <f>if('Ingest Template'!A867="Standard",(IF(OR('Ingest Template'!F867 = "Program Type - Special", 'Ingest Template'!F867 = "Program Type - Live Event"),'Ingest Template'!Q867&amp;"|"&amp;TEXT('Ingest Template'!C867-3, "yyyy-mm-dd")&amp;"|"&amp;TEXT('Ingest Template'!C867+3, "yyyy-mm-dd"),'Ingest Template'!Q867&amp; "|2021-01-01")),(IF(OR('Ingest Template'!F867 = "Program Type - Special", 'Ingest Template'!F867 = "Program Type - Live Event"),'Ingest Template'!Q867&amp; "|"&amp;TEXT('Ingest Template'!C867-3, "yyyy-mm-dd")&amp;"|"&amp;TEXT('Ingest Template'!C867+3, "yyyy-mm-dd"),'Ingest Template'!Q867)))</f>
        <v/>
      </c>
      <c r="AM867" s="35" t="str">
        <f>'Ingest Template'!AC867</f>
        <v/>
      </c>
    </row>
    <row r="868">
      <c r="A868" s="15"/>
      <c r="B868" s="22" t="str">
        <f>'Ingest Template'!C868&amp;IF('Ingest Template'!A868 = "Standard", " - DAR","")</f>
        <v/>
      </c>
      <c r="C868" s="22" t="s">
        <v>83</v>
      </c>
      <c r="D868" s="22" t="str">
        <f t="array" ref="D868">CONCATENATE(INDEX(DropdownLists!$H$2:$H$11,MATCH(1,COUNTIF('Ingest Template'!E868,"*"&amp;DropdownLists!$I$2:$I$11&amp;"*"),0)),CHAR(10),'Ingest Template'!F868,CHAR(10),'Ingest Template'!G868,CHAR(10),VLOOKUP('Ingest Template'!D868,DropdownLists!C:D,2,FALSE))</f>
        <v>#N/A</v>
      </c>
      <c r="E868" s="22" t="str">
        <f>CONCATENATE('Ingest Template'!H868,CHAR(10),'Ingest Template'!I868,CHAR(10),'Ingest Template'!J868,CHAR(10))</f>
        <v>
</v>
      </c>
      <c r="F868" s="35" t="str">
        <f t="array" ref="F868">INDEX(DropdownLists!$O$2:$O$36,MATCH(1,COUNTIF(E868,"*"&amp;DropdownLists!$N$2:$N$36&amp;"*"),0))</f>
        <v/>
      </c>
      <c r="G868" s="35"/>
      <c r="H868" s="22" t="str">
        <f t="array" ref="H868">INDEX(DropdownLists!$E$2:$E$276,MATCH('Ingest Template'!D868,DropdownLists!$C$2:$C$276,0))</f>
        <v>#N/A</v>
      </c>
      <c r="I868" s="22"/>
      <c r="J868" s="22" t="str">
        <f t="array" ref="J868">iF('Ingest Template'!A868="Standard","Pristine Brand",INDEX(DropdownLists!$B$2:$B$246,MATCH('Ingest Template'!D868,DropdownLists!$C$2:$C$246,0)))</f>
        <v>#N/A</v>
      </c>
      <c r="K868" s="22" t="str">
        <f>iF('Ingest Template'!A868="Standard",'Ingest Template'!K868&amp;CHAR(10)&amp;'Ingest Template'!L868,"Competitive View")</f>
        <v>Competitive View</v>
      </c>
      <c r="L868" s="22" t="s">
        <v>95</v>
      </c>
      <c r="M868" s="45" t="str">
        <f>'Ingest Template'!B868</f>
        <v/>
      </c>
      <c r="N868" s="35"/>
      <c r="O868" s="35"/>
      <c r="P868" s="35"/>
      <c r="Q868" s="35"/>
      <c r="R868" s="35" t="str">
        <f>'Ingest Template'!D868</f>
        <v/>
      </c>
      <c r="S868" s="22" t="s">
        <v>101</v>
      </c>
      <c r="T868" s="35" t="str">
        <f>'Ingest Template'!V868</f>
        <v/>
      </c>
      <c r="U868" s="35" t="str">
        <f>'Ingest Template'!W868</f>
        <v/>
      </c>
      <c r="V868" s="35" t="str">
        <f>LOWER(SUBSTITUTE(SUBSTITUTE(SUBSTITUTE(SUBSTITUTE(SUBSTITUTE('Ingest Template'!X868,"https:",""),"www.",""),"/",""),"?hl=en",""),"instagram.com",""))</f>
        <v/>
      </c>
      <c r="W868" s="74" t="str">
        <f t="array" ref="W868">IF(
'Ingest Template'!Y868="",
SUBSTITUTE(
INDEX(DropdownLists!$F$2:$F$277,MATCH('Ingest Template'!D868,DropdownLists!$C$2:$C$277,0)),
CHAR(10),
"|"&amp;'Ingest Template'!C868&amp;CHAR(10)
)&amp;"|"&amp;'Ingest Template'!C868,
SUBSTITUTE(
INDEX(DropdownLists!$F$2:$F$277,MATCH('Ingest Template'!D868,DropdownLists!$C$2:$C$277,0)),
CHAR(10),
"|"&amp;'Ingest Template'!C868&amp;CHAR(10)
)&amp;"|"&amp;'Ingest Template'!C868&amp;CHAR(10)&amp;'Ingest Template'!Y868
)</f>
        <v>#N/A</v>
      </c>
      <c r="X868" s="74" t="str">
        <f>'Ingest Template'!Z868</f>
        <v/>
      </c>
      <c r="Y868" s="35" t="str">
        <f>SUBSTITUTE(SUBSTITUTE(SUBSTITUTE('Ingest Template'!AA868,"http:",""),"https:",""),"/","")</f>
        <v/>
      </c>
      <c r="Z868" s="35" t="str">
        <f t="array" ref="Z868">IF('Ingest Template'!A868="Standard",(IF(ISBLANK('Ingest Template'!AB868),"", 'Ingest Template'!AB868&amp;"|DAR")),(IF(ISBLANK('Ingest Template'!AB868),"", 'Ingest Template'!AB868&amp;"|TV Ops")))</f>
        <v/>
      </c>
      <c r="AA868" s="35"/>
      <c r="AB868" s="35" t="str">
        <f>'Ingest Template'!R868</f>
        <v/>
      </c>
      <c r="AC868" s="35" t="str">
        <f>'Ingest Template'!T868</f>
        <v/>
      </c>
      <c r="AD868" s="35" t="str">
        <f>'Ingest Template'!S868</f>
        <v/>
      </c>
      <c r="AE868" s="35" t="str">
        <f>'Ingest Template'!U868</f>
        <v/>
      </c>
      <c r="AF868" s="22"/>
      <c r="AG868" s="35" t="str">
        <f t="array" ref="AG868">IF('Ingest Template'!A868="Standard",(CONCATENATE(IF(ISBLANK('Ingest Template'!N868),"", 'Ingest Template'!N868&amp;"|DAR"),CHAR(10), IF(ISBLANK('Ingest Template'!O868),"", 'Ingest Template'!O868&amp;"|DAR"),CHAR(10), IF(ISBLANK('Ingest Template'!P868),"", 'Ingest Template'!P868&amp;"|DAR"))),(CONCATENATE(IF(ISBLANK('Ingest Template'!N868),"", 'Ingest Template'!N868&amp;"|TV Ops"),CHAR(10), IF(ISBLANK('Ingest Template'!O868),"", 'Ingest Template'!O868&amp;"|TV Ops"),CHAR(10), IF(ISBLANK('Ingest Template'!P868),"", 'Ingest Template'!P868&amp;"|TV Ops"))))</f>
        <v>
</v>
      </c>
      <c r="AH868" s="35"/>
      <c r="AI868" s="35"/>
      <c r="AJ868" s="117" t="str">
        <f>if('Ingest Template'!A868="Standard",(IF(OR('Ingest Template'!F868 = "Program Type - Special", 'Ingest Template'!F868 = "Program Type - Live Event"),'Ingest Template'!M868&amp; "|DAR|DAR|"&amp;TEXT('Ingest Template'!C868-3, "yyyy-mm-dd")&amp;"|"&amp;TEXT('Ingest Template'!C868+3, "yyyy-mm-dd"),'Ingest Template'!M868&amp; "|DAR|DAR|2021-01-01")),(IF(OR('Ingest Template'!F868 = "Program Type - Special", 'Ingest Template'!F868 = "Program Type - Live Event"),'Ingest Template'!M868&amp; "|Operations - Core Title|Operations - Core Title|"&amp;TEXT('Ingest Template'!C868-3, "yyyy-mm-dd")&amp;"|"&amp;TEXT('Ingest Template'!C868+3, "yyyy-mm-dd"),'Ingest Template'!M868&amp; "|Operations - Core Title|Operations - Core Title")))</f>
        <v>|Operations - Core Title|Operations - Core Title</v>
      </c>
      <c r="AK868" s="35"/>
      <c r="AL868" s="117" t="str">
        <f>if('Ingest Template'!A868="Standard",(IF(OR('Ingest Template'!F868 = "Program Type - Special", 'Ingest Template'!F868 = "Program Type - Live Event"),'Ingest Template'!Q868&amp;"|"&amp;TEXT('Ingest Template'!C868-3, "yyyy-mm-dd")&amp;"|"&amp;TEXT('Ingest Template'!C868+3, "yyyy-mm-dd"),'Ingest Template'!Q868&amp; "|2021-01-01")),(IF(OR('Ingest Template'!F868 = "Program Type - Special", 'Ingest Template'!F868 = "Program Type - Live Event"),'Ingest Template'!Q868&amp; "|"&amp;TEXT('Ingest Template'!C868-3, "yyyy-mm-dd")&amp;"|"&amp;TEXT('Ingest Template'!C868+3, "yyyy-mm-dd"),'Ingest Template'!Q868)))</f>
        <v/>
      </c>
      <c r="AM868" s="35" t="str">
        <f>'Ingest Template'!AC868</f>
        <v/>
      </c>
    </row>
    <row r="869">
      <c r="A869" s="15"/>
      <c r="B869" s="22" t="str">
        <f>'Ingest Template'!C869&amp;IF('Ingest Template'!A869 = "Standard", " - DAR","")</f>
        <v/>
      </c>
      <c r="C869" s="22" t="s">
        <v>83</v>
      </c>
      <c r="D869" s="22" t="str">
        <f t="array" ref="D869">CONCATENATE(INDEX(DropdownLists!$H$2:$H$11,MATCH(1,COUNTIF('Ingest Template'!E869,"*"&amp;DropdownLists!$I$2:$I$11&amp;"*"),0)),CHAR(10),'Ingest Template'!F869,CHAR(10),'Ingest Template'!G869,CHAR(10),VLOOKUP('Ingest Template'!D869,DropdownLists!C:D,2,FALSE))</f>
        <v>#N/A</v>
      </c>
      <c r="E869" s="22" t="str">
        <f>CONCATENATE('Ingest Template'!H869,CHAR(10),'Ingest Template'!I869,CHAR(10),'Ingest Template'!J869,CHAR(10))</f>
        <v>
</v>
      </c>
      <c r="F869" s="35" t="str">
        <f t="array" ref="F869">INDEX(DropdownLists!$O$2:$O$36,MATCH(1,COUNTIF(E869,"*"&amp;DropdownLists!$N$2:$N$36&amp;"*"),0))</f>
        <v/>
      </c>
      <c r="G869" s="35"/>
      <c r="H869" s="22" t="str">
        <f t="array" ref="H869">INDEX(DropdownLists!$E$2:$E$276,MATCH('Ingest Template'!D869,DropdownLists!$C$2:$C$276,0))</f>
        <v>#N/A</v>
      </c>
      <c r="I869" s="22"/>
      <c r="J869" s="22" t="str">
        <f t="array" ref="J869">iF('Ingest Template'!A869="Standard","Pristine Brand",INDEX(DropdownLists!$B$2:$B$246,MATCH('Ingest Template'!D869,DropdownLists!$C$2:$C$246,0)))</f>
        <v>#N/A</v>
      </c>
      <c r="K869" s="22" t="str">
        <f>iF('Ingest Template'!A869="Standard",'Ingest Template'!K869&amp;CHAR(10)&amp;'Ingest Template'!L869,"Competitive View")</f>
        <v>Competitive View</v>
      </c>
      <c r="L869" s="22" t="s">
        <v>95</v>
      </c>
      <c r="M869" s="45" t="str">
        <f>'Ingest Template'!B869</f>
        <v/>
      </c>
      <c r="N869" s="35"/>
      <c r="O869" s="35"/>
      <c r="P869" s="35"/>
      <c r="Q869" s="35"/>
      <c r="R869" s="35" t="str">
        <f>'Ingest Template'!D869</f>
        <v/>
      </c>
      <c r="S869" s="22" t="s">
        <v>101</v>
      </c>
      <c r="T869" s="35" t="str">
        <f>'Ingest Template'!V869</f>
        <v/>
      </c>
      <c r="U869" s="35" t="str">
        <f>'Ingest Template'!W869</f>
        <v/>
      </c>
      <c r="V869" s="35" t="str">
        <f>LOWER(SUBSTITUTE(SUBSTITUTE(SUBSTITUTE(SUBSTITUTE(SUBSTITUTE('Ingest Template'!X869,"https:",""),"www.",""),"/",""),"?hl=en",""),"instagram.com",""))</f>
        <v/>
      </c>
      <c r="W869" s="74" t="str">
        <f t="array" ref="W869">IF(
'Ingest Template'!Y869="",
SUBSTITUTE(
INDEX(DropdownLists!$F$2:$F$277,MATCH('Ingest Template'!D869,DropdownLists!$C$2:$C$277,0)),
CHAR(10),
"|"&amp;'Ingest Template'!C869&amp;CHAR(10)
)&amp;"|"&amp;'Ingest Template'!C869,
SUBSTITUTE(
INDEX(DropdownLists!$F$2:$F$277,MATCH('Ingest Template'!D869,DropdownLists!$C$2:$C$277,0)),
CHAR(10),
"|"&amp;'Ingest Template'!C869&amp;CHAR(10)
)&amp;"|"&amp;'Ingest Template'!C869&amp;CHAR(10)&amp;'Ingest Template'!Y869
)</f>
        <v>#N/A</v>
      </c>
      <c r="X869" s="74" t="str">
        <f>'Ingest Template'!Z869</f>
        <v/>
      </c>
      <c r="Y869" s="35" t="str">
        <f>SUBSTITUTE(SUBSTITUTE(SUBSTITUTE('Ingest Template'!AA869,"http:",""),"https:",""),"/","")</f>
        <v/>
      </c>
      <c r="Z869" s="35" t="str">
        <f t="array" ref="Z869">IF('Ingest Template'!A869="Standard",(IF(ISBLANK('Ingest Template'!AB869),"", 'Ingest Template'!AB869&amp;"|DAR")),(IF(ISBLANK('Ingest Template'!AB869),"", 'Ingest Template'!AB869&amp;"|TV Ops")))</f>
        <v/>
      </c>
      <c r="AA869" s="35"/>
      <c r="AB869" s="35" t="str">
        <f>'Ingest Template'!R869</f>
        <v/>
      </c>
      <c r="AC869" s="35" t="str">
        <f>'Ingest Template'!T869</f>
        <v/>
      </c>
      <c r="AD869" s="35" t="str">
        <f>'Ingest Template'!S869</f>
        <v/>
      </c>
      <c r="AE869" s="35" t="str">
        <f>'Ingest Template'!U869</f>
        <v/>
      </c>
      <c r="AF869" s="22"/>
      <c r="AG869" s="35" t="str">
        <f t="array" ref="AG869">IF('Ingest Template'!A869="Standard",(CONCATENATE(IF(ISBLANK('Ingest Template'!N869),"", 'Ingest Template'!N869&amp;"|DAR"),CHAR(10), IF(ISBLANK('Ingest Template'!O869),"", 'Ingest Template'!O869&amp;"|DAR"),CHAR(10), IF(ISBLANK('Ingest Template'!P869),"", 'Ingest Template'!P869&amp;"|DAR"))),(CONCATENATE(IF(ISBLANK('Ingest Template'!N869),"", 'Ingest Template'!N869&amp;"|TV Ops"),CHAR(10), IF(ISBLANK('Ingest Template'!O869),"", 'Ingest Template'!O869&amp;"|TV Ops"),CHAR(10), IF(ISBLANK('Ingest Template'!P869),"", 'Ingest Template'!P869&amp;"|TV Ops"))))</f>
        <v>
</v>
      </c>
      <c r="AH869" s="35"/>
      <c r="AI869" s="35"/>
      <c r="AJ869" s="117" t="str">
        <f>if('Ingest Template'!A869="Standard",(IF(OR('Ingest Template'!F869 = "Program Type - Special", 'Ingest Template'!F869 = "Program Type - Live Event"),'Ingest Template'!M869&amp; "|DAR|DAR|"&amp;TEXT('Ingest Template'!C869-3, "yyyy-mm-dd")&amp;"|"&amp;TEXT('Ingest Template'!C869+3, "yyyy-mm-dd"),'Ingest Template'!M869&amp; "|DAR|DAR|2021-01-01")),(IF(OR('Ingest Template'!F869 = "Program Type - Special", 'Ingest Template'!F869 = "Program Type - Live Event"),'Ingest Template'!M869&amp; "|Operations - Core Title|Operations - Core Title|"&amp;TEXT('Ingest Template'!C869-3, "yyyy-mm-dd")&amp;"|"&amp;TEXT('Ingest Template'!C869+3, "yyyy-mm-dd"),'Ingest Template'!M869&amp; "|Operations - Core Title|Operations - Core Title")))</f>
        <v>|Operations - Core Title|Operations - Core Title</v>
      </c>
      <c r="AK869" s="35"/>
      <c r="AL869" s="117" t="str">
        <f>if('Ingest Template'!A869="Standard",(IF(OR('Ingest Template'!F869 = "Program Type - Special", 'Ingest Template'!F869 = "Program Type - Live Event"),'Ingest Template'!Q869&amp;"|"&amp;TEXT('Ingest Template'!C869-3, "yyyy-mm-dd")&amp;"|"&amp;TEXT('Ingest Template'!C869+3, "yyyy-mm-dd"),'Ingest Template'!Q869&amp; "|2021-01-01")),(IF(OR('Ingest Template'!F869 = "Program Type - Special", 'Ingest Template'!F869 = "Program Type - Live Event"),'Ingest Template'!Q869&amp; "|"&amp;TEXT('Ingest Template'!C869-3, "yyyy-mm-dd")&amp;"|"&amp;TEXT('Ingest Template'!C869+3, "yyyy-mm-dd"),'Ingest Template'!Q869)))</f>
        <v/>
      </c>
      <c r="AM869" s="35" t="str">
        <f>'Ingest Template'!AC869</f>
        <v/>
      </c>
    </row>
    <row r="870">
      <c r="A870" s="15"/>
      <c r="B870" s="22" t="str">
        <f>'Ingest Template'!C870&amp;IF('Ingest Template'!A870 = "Standard", " - DAR","")</f>
        <v/>
      </c>
      <c r="C870" s="22" t="s">
        <v>83</v>
      </c>
      <c r="D870" s="22" t="str">
        <f t="array" ref="D870">CONCATENATE(INDEX(DropdownLists!$H$2:$H$11,MATCH(1,COUNTIF('Ingest Template'!E870,"*"&amp;DropdownLists!$I$2:$I$11&amp;"*"),0)),CHAR(10),'Ingest Template'!F870,CHAR(10),'Ingest Template'!G870,CHAR(10),VLOOKUP('Ingest Template'!D870,DropdownLists!C:D,2,FALSE))</f>
        <v>#N/A</v>
      </c>
      <c r="E870" s="22" t="str">
        <f>CONCATENATE('Ingest Template'!H870,CHAR(10),'Ingest Template'!I870,CHAR(10),'Ingest Template'!J870,CHAR(10))</f>
        <v>
</v>
      </c>
      <c r="F870" s="35" t="str">
        <f t="array" ref="F870">INDEX(DropdownLists!$O$2:$O$36,MATCH(1,COUNTIF(E870,"*"&amp;DropdownLists!$N$2:$N$36&amp;"*"),0))</f>
        <v/>
      </c>
      <c r="G870" s="35"/>
      <c r="H870" s="22" t="str">
        <f t="array" ref="H870">INDEX(DropdownLists!$E$2:$E$276,MATCH('Ingest Template'!D870,DropdownLists!$C$2:$C$276,0))</f>
        <v>#N/A</v>
      </c>
      <c r="I870" s="22"/>
      <c r="J870" s="22" t="str">
        <f t="array" ref="J870">iF('Ingest Template'!A870="Standard","Pristine Brand",INDEX(DropdownLists!$B$2:$B$246,MATCH('Ingest Template'!D870,DropdownLists!$C$2:$C$246,0)))</f>
        <v>#N/A</v>
      </c>
      <c r="K870" s="22" t="str">
        <f>iF('Ingest Template'!A870="Standard",'Ingest Template'!K870&amp;CHAR(10)&amp;'Ingest Template'!L870,"Competitive View")</f>
        <v>Competitive View</v>
      </c>
      <c r="L870" s="22" t="s">
        <v>95</v>
      </c>
      <c r="M870" s="45" t="str">
        <f>'Ingest Template'!B870</f>
        <v/>
      </c>
      <c r="N870" s="35"/>
      <c r="O870" s="35"/>
      <c r="P870" s="35"/>
      <c r="Q870" s="35"/>
      <c r="R870" s="35" t="str">
        <f>'Ingest Template'!D870</f>
        <v/>
      </c>
      <c r="S870" s="22" t="s">
        <v>101</v>
      </c>
      <c r="T870" s="35" t="str">
        <f>'Ingest Template'!V870</f>
        <v/>
      </c>
      <c r="U870" s="35" t="str">
        <f>'Ingest Template'!W870</f>
        <v/>
      </c>
      <c r="V870" s="35" t="str">
        <f>LOWER(SUBSTITUTE(SUBSTITUTE(SUBSTITUTE(SUBSTITUTE(SUBSTITUTE('Ingest Template'!X870,"https:",""),"www.",""),"/",""),"?hl=en",""),"instagram.com",""))</f>
        <v/>
      </c>
      <c r="W870" s="74" t="str">
        <f t="array" ref="W870">IF(
'Ingest Template'!Y870="",
SUBSTITUTE(
INDEX(DropdownLists!$F$2:$F$277,MATCH('Ingest Template'!D870,DropdownLists!$C$2:$C$277,0)),
CHAR(10),
"|"&amp;'Ingest Template'!C870&amp;CHAR(10)
)&amp;"|"&amp;'Ingest Template'!C870,
SUBSTITUTE(
INDEX(DropdownLists!$F$2:$F$277,MATCH('Ingest Template'!D870,DropdownLists!$C$2:$C$277,0)),
CHAR(10),
"|"&amp;'Ingest Template'!C870&amp;CHAR(10)
)&amp;"|"&amp;'Ingest Template'!C870&amp;CHAR(10)&amp;'Ingest Template'!Y870
)</f>
        <v>#N/A</v>
      </c>
      <c r="X870" s="74" t="str">
        <f>'Ingest Template'!Z870</f>
        <v/>
      </c>
      <c r="Y870" s="35" t="str">
        <f>SUBSTITUTE(SUBSTITUTE(SUBSTITUTE('Ingest Template'!AA870,"http:",""),"https:",""),"/","")</f>
        <v/>
      </c>
      <c r="Z870" s="35" t="str">
        <f t="array" ref="Z870">IF('Ingest Template'!A870="Standard",(IF(ISBLANK('Ingest Template'!AB870),"", 'Ingest Template'!AB870&amp;"|DAR")),(IF(ISBLANK('Ingest Template'!AB870),"", 'Ingest Template'!AB870&amp;"|TV Ops")))</f>
        <v/>
      </c>
      <c r="AA870" s="35"/>
      <c r="AB870" s="35" t="str">
        <f>'Ingest Template'!R870</f>
        <v/>
      </c>
      <c r="AC870" s="35" t="str">
        <f>'Ingest Template'!T870</f>
        <v/>
      </c>
      <c r="AD870" s="35" t="str">
        <f>'Ingest Template'!S870</f>
        <v/>
      </c>
      <c r="AE870" s="35" t="str">
        <f>'Ingest Template'!U870</f>
        <v/>
      </c>
      <c r="AF870" s="22"/>
      <c r="AG870" s="35" t="str">
        <f t="array" ref="AG870">IF('Ingest Template'!A870="Standard",(CONCATENATE(IF(ISBLANK('Ingest Template'!N870),"", 'Ingest Template'!N870&amp;"|DAR"),CHAR(10), IF(ISBLANK('Ingest Template'!O870),"", 'Ingest Template'!O870&amp;"|DAR"),CHAR(10), IF(ISBLANK('Ingest Template'!P870),"", 'Ingest Template'!P870&amp;"|DAR"))),(CONCATENATE(IF(ISBLANK('Ingest Template'!N870),"", 'Ingest Template'!N870&amp;"|TV Ops"),CHAR(10), IF(ISBLANK('Ingest Template'!O870),"", 'Ingest Template'!O870&amp;"|TV Ops"),CHAR(10), IF(ISBLANK('Ingest Template'!P870),"", 'Ingest Template'!P870&amp;"|TV Ops"))))</f>
        <v>
</v>
      </c>
      <c r="AH870" s="35"/>
      <c r="AI870" s="35"/>
      <c r="AJ870" s="117" t="str">
        <f>if('Ingest Template'!A870="Standard",(IF(OR('Ingest Template'!F870 = "Program Type - Special", 'Ingest Template'!F870 = "Program Type - Live Event"),'Ingest Template'!M870&amp; "|DAR|DAR|"&amp;TEXT('Ingest Template'!C870-3, "yyyy-mm-dd")&amp;"|"&amp;TEXT('Ingest Template'!C870+3, "yyyy-mm-dd"),'Ingest Template'!M870&amp; "|DAR|DAR|2021-01-01")),(IF(OR('Ingest Template'!F870 = "Program Type - Special", 'Ingest Template'!F870 = "Program Type - Live Event"),'Ingest Template'!M870&amp; "|Operations - Core Title|Operations - Core Title|"&amp;TEXT('Ingest Template'!C870-3, "yyyy-mm-dd")&amp;"|"&amp;TEXT('Ingest Template'!C870+3, "yyyy-mm-dd"),'Ingest Template'!M870&amp; "|Operations - Core Title|Operations - Core Title")))</f>
        <v>|Operations - Core Title|Operations - Core Title</v>
      </c>
      <c r="AK870" s="35"/>
      <c r="AL870" s="117" t="str">
        <f>if('Ingest Template'!A870="Standard",(IF(OR('Ingest Template'!F870 = "Program Type - Special", 'Ingest Template'!F870 = "Program Type - Live Event"),'Ingest Template'!Q870&amp;"|"&amp;TEXT('Ingest Template'!C870-3, "yyyy-mm-dd")&amp;"|"&amp;TEXT('Ingest Template'!C870+3, "yyyy-mm-dd"),'Ingest Template'!Q870&amp; "|2021-01-01")),(IF(OR('Ingest Template'!F870 = "Program Type - Special", 'Ingest Template'!F870 = "Program Type - Live Event"),'Ingest Template'!Q870&amp; "|"&amp;TEXT('Ingest Template'!C870-3, "yyyy-mm-dd")&amp;"|"&amp;TEXT('Ingest Template'!C870+3, "yyyy-mm-dd"),'Ingest Template'!Q870)))</f>
        <v/>
      </c>
      <c r="AM870" s="35" t="str">
        <f>'Ingest Template'!AC870</f>
        <v/>
      </c>
    </row>
    <row r="871">
      <c r="A871" s="15"/>
      <c r="B871" s="22" t="str">
        <f>'Ingest Template'!C871&amp;IF('Ingest Template'!A871 = "Standard", " - DAR","")</f>
        <v/>
      </c>
      <c r="C871" s="22" t="s">
        <v>83</v>
      </c>
      <c r="D871" s="22" t="str">
        <f t="array" ref="D871">CONCATENATE(INDEX(DropdownLists!$H$2:$H$11,MATCH(1,COUNTIF('Ingest Template'!E871,"*"&amp;DropdownLists!$I$2:$I$11&amp;"*"),0)),CHAR(10),'Ingest Template'!F871,CHAR(10),'Ingest Template'!G871,CHAR(10),VLOOKUP('Ingest Template'!D871,DropdownLists!C:D,2,FALSE))</f>
        <v>#N/A</v>
      </c>
      <c r="E871" s="22" t="str">
        <f>CONCATENATE('Ingest Template'!H871,CHAR(10),'Ingest Template'!I871,CHAR(10),'Ingest Template'!J871,CHAR(10))</f>
        <v>
</v>
      </c>
      <c r="F871" s="35" t="str">
        <f t="array" ref="F871">INDEX(DropdownLists!$O$2:$O$36,MATCH(1,COUNTIF(E871,"*"&amp;DropdownLists!$N$2:$N$36&amp;"*"),0))</f>
        <v/>
      </c>
      <c r="G871" s="35"/>
      <c r="H871" s="22" t="str">
        <f t="array" ref="H871">INDEX(DropdownLists!$E$2:$E$276,MATCH('Ingest Template'!D871,DropdownLists!$C$2:$C$276,0))</f>
        <v>#N/A</v>
      </c>
      <c r="I871" s="22"/>
      <c r="J871" s="22" t="str">
        <f t="array" ref="J871">iF('Ingest Template'!A871="Standard","Pristine Brand",INDEX(DropdownLists!$B$2:$B$246,MATCH('Ingest Template'!D871,DropdownLists!$C$2:$C$246,0)))</f>
        <v>#N/A</v>
      </c>
      <c r="K871" s="22" t="str">
        <f>iF('Ingest Template'!A871="Standard",'Ingest Template'!K871&amp;CHAR(10)&amp;'Ingest Template'!L871,"Competitive View")</f>
        <v>Competitive View</v>
      </c>
      <c r="L871" s="22" t="s">
        <v>95</v>
      </c>
      <c r="M871" s="45" t="str">
        <f>'Ingest Template'!B871</f>
        <v/>
      </c>
      <c r="N871" s="35"/>
      <c r="O871" s="35"/>
      <c r="P871" s="35"/>
      <c r="Q871" s="35"/>
      <c r="R871" s="35" t="str">
        <f>'Ingest Template'!D871</f>
        <v/>
      </c>
      <c r="S871" s="22" t="s">
        <v>101</v>
      </c>
      <c r="T871" s="35" t="str">
        <f>'Ingest Template'!V871</f>
        <v/>
      </c>
      <c r="U871" s="35" t="str">
        <f>'Ingest Template'!W871</f>
        <v/>
      </c>
      <c r="V871" s="35" t="str">
        <f>LOWER(SUBSTITUTE(SUBSTITUTE(SUBSTITUTE(SUBSTITUTE(SUBSTITUTE('Ingest Template'!X871,"https:",""),"www.",""),"/",""),"?hl=en",""),"instagram.com",""))</f>
        <v/>
      </c>
      <c r="W871" s="74" t="str">
        <f t="array" ref="W871">IF(
'Ingest Template'!Y871="",
SUBSTITUTE(
INDEX(DropdownLists!$F$2:$F$277,MATCH('Ingest Template'!D871,DropdownLists!$C$2:$C$277,0)),
CHAR(10),
"|"&amp;'Ingest Template'!C871&amp;CHAR(10)
)&amp;"|"&amp;'Ingest Template'!C871,
SUBSTITUTE(
INDEX(DropdownLists!$F$2:$F$277,MATCH('Ingest Template'!D871,DropdownLists!$C$2:$C$277,0)),
CHAR(10),
"|"&amp;'Ingest Template'!C871&amp;CHAR(10)
)&amp;"|"&amp;'Ingest Template'!C871&amp;CHAR(10)&amp;'Ingest Template'!Y871
)</f>
        <v>#N/A</v>
      </c>
      <c r="X871" s="74" t="str">
        <f>'Ingest Template'!Z871</f>
        <v/>
      </c>
      <c r="Y871" s="35" t="str">
        <f>SUBSTITUTE(SUBSTITUTE(SUBSTITUTE('Ingest Template'!AA871,"http:",""),"https:",""),"/","")</f>
        <v/>
      </c>
      <c r="Z871" s="35" t="str">
        <f t="array" ref="Z871">IF('Ingest Template'!A871="Standard",(IF(ISBLANK('Ingest Template'!AB871),"", 'Ingest Template'!AB871&amp;"|DAR")),(IF(ISBLANK('Ingest Template'!AB871),"", 'Ingest Template'!AB871&amp;"|TV Ops")))</f>
        <v/>
      </c>
      <c r="AA871" s="35"/>
      <c r="AB871" s="35" t="str">
        <f>'Ingest Template'!R871</f>
        <v/>
      </c>
      <c r="AC871" s="35" t="str">
        <f>'Ingest Template'!T871</f>
        <v/>
      </c>
      <c r="AD871" s="35" t="str">
        <f>'Ingest Template'!S871</f>
        <v/>
      </c>
      <c r="AE871" s="35" t="str">
        <f>'Ingest Template'!U871</f>
        <v/>
      </c>
      <c r="AF871" s="22"/>
      <c r="AG871" s="35" t="str">
        <f t="array" ref="AG871">IF('Ingest Template'!A871="Standard",(CONCATENATE(IF(ISBLANK('Ingest Template'!N871),"", 'Ingest Template'!N871&amp;"|DAR"),CHAR(10), IF(ISBLANK('Ingest Template'!O871),"", 'Ingest Template'!O871&amp;"|DAR"),CHAR(10), IF(ISBLANK('Ingest Template'!P871),"", 'Ingest Template'!P871&amp;"|DAR"))),(CONCATENATE(IF(ISBLANK('Ingest Template'!N871),"", 'Ingest Template'!N871&amp;"|TV Ops"),CHAR(10), IF(ISBLANK('Ingest Template'!O871),"", 'Ingest Template'!O871&amp;"|TV Ops"),CHAR(10), IF(ISBLANK('Ingest Template'!P871),"", 'Ingest Template'!P871&amp;"|TV Ops"))))</f>
        <v>
</v>
      </c>
      <c r="AH871" s="35"/>
      <c r="AI871" s="35"/>
      <c r="AJ871" s="117" t="str">
        <f>if('Ingest Template'!A871="Standard",(IF(OR('Ingest Template'!F871 = "Program Type - Special", 'Ingest Template'!F871 = "Program Type - Live Event"),'Ingest Template'!M871&amp; "|DAR|DAR|"&amp;TEXT('Ingest Template'!C871-3, "yyyy-mm-dd")&amp;"|"&amp;TEXT('Ingest Template'!C871+3, "yyyy-mm-dd"),'Ingest Template'!M871&amp; "|DAR|DAR|2021-01-01")),(IF(OR('Ingest Template'!F871 = "Program Type - Special", 'Ingest Template'!F871 = "Program Type - Live Event"),'Ingest Template'!M871&amp; "|Operations - Core Title|Operations - Core Title|"&amp;TEXT('Ingest Template'!C871-3, "yyyy-mm-dd")&amp;"|"&amp;TEXT('Ingest Template'!C871+3, "yyyy-mm-dd"),'Ingest Template'!M871&amp; "|Operations - Core Title|Operations - Core Title")))</f>
        <v>|Operations - Core Title|Operations - Core Title</v>
      </c>
      <c r="AK871" s="35"/>
      <c r="AL871" s="117" t="str">
        <f>if('Ingest Template'!A871="Standard",(IF(OR('Ingest Template'!F871 = "Program Type - Special", 'Ingest Template'!F871 = "Program Type - Live Event"),'Ingest Template'!Q871&amp;"|"&amp;TEXT('Ingest Template'!C871-3, "yyyy-mm-dd")&amp;"|"&amp;TEXT('Ingest Template'!C871+3, "yyyy-mm-dd"),'Ingest Template'!Q871&amp; "|2021-01-01")),(IF(OR('Ingest Template'!F871 = "Program Type - Special", 'Ingest Template'!F871 = "Program Type - Live Event"),'Ingest Template'!Q871&amp; "|"&amp;TEXT('Ingest Template'!C871-3, "yyyy-mm-dd")&amp;"|"&amp;TEXT('Ingest Template'!C871+3, "yyyy-mm-dd"),'Ingest Template'!Q871)))</f>
        <v/>
      </c>
      <c r="AM871" s="35" t="str">
        <f>'Ingest Template'!AC871</f>
        <v/>
      </c>
    </row>
    <row r="872">
      <c r="A872" s="15"/>
      <c r="B872" s="22" t="str">
        <f>'Ingest Template'!C872&amp;IF('Ingest Template'!A872 = "Standard", " - DAR","")</f>
        <v/>
      </c>
      <c r="C872" s="22" t="s">
        <v>83</v>
      </c>
      <c r="D872" s="22" t="str">
        <f t="array" ref="D872">CONCATENATE(INDEX(DropdownLists!$H$2:$H$11,MATCH(1,COUNTIF('Ingest Template'!E872,"*"&amp;DropdownLists!$I$2:$I$11&amp;"*"),0)),CHAR(10),'Ingest Template'!F872,CHAR(10),'Ingest Template'!G872,CHAR(10),VLOOKUP('Ingest Template'!D872,DropdownLists!C:D,2,FALSE))</f>
        <v>#N/A</v>
      </c>
      <c r="E872" s="22" t="str">
        <f>CONCATENATE('Ingest Template'!H872,CHAR(10),'Ingest Template'!I872,CHAR(10),'Ingest Template'!J872,CHAR(10))</f>
        <v>
</v>
      </c>
      <c r="F872" s="35" t="str">
        <f t="array" ref="F872">INDEX(DropdownLists!$O$2:$O$36,MATCH(1,COUNTIF(E872,"*"&amp;DropdownLists!$N$2:$N$36&amp;"*"),0))</f>
        <v/>
      </c>
      <c r="G872" s="35"/>
      <c r="H872" s="22" t="str">
        <f t="array" ref="H872">INDEX(DropdownLists!$E$2:$E$276,MATCH('Ingest Template'!D872,DropdownLists!$C$2:$C$276,0))</f>
        <v>#N/A</v>
      </c>
      <c r="I872" s="22"/>
      <c r="J872" s="22" t="str">
        <f t="array" ref="J872">iF('Ingest Template'!A872="Standard","Pristine Brand",INDEX(DropdownLists!$B$2:$B$246,MATCH('Ingest Template'!D872,DropdownLists!$C$2:$C$246,0)))</f>
        <v>#N/A</v>
      </c>
      <c r="K872" s="22" t="str">
        <f>iF('Ingest Template'!A872="Standard",'Ingest Template'!K872&amp;CHAR(10)&amp;'Ingest Template'!L872,"Competitive View")</f>
        <v>Competitive View</v>
      </c>
      <c r="L872" s="22" t="s">
        <v>95</v>
      </c>
      <c r="M872" s="45" t="str">
        <f>'Ingest Template'!B872</f>
        <v/>
      </c>
      <c r="N872" s="35"/>
      <c r="O872" s="35"/>
      <c r="P872" s="35"/>
      <c r="Q872" s="35"/>
      <c r="R872" s="35" t="str">
        <f>'Ingest Template'!D872</f>
        <v/>
      </c>
      <c r="S872" s="22" t="s">
        <v>101</v>
      </c>
      <c r="T872" s="35" t="str">
        <f>'Ingest Template'!V872</f>
        <v/>
      </c>
      <c r="U872" s="35" t="str">
        <f>'Ingest Template'!W872</f>
        <v/>
      </c>
      <c r="V872" s="35" t="str">
        <f>LOWER(SUBSTITUTE(SUBSTITUTE(SUBSTITUTE(SUBSTITUTE(SUBSTITUTE('Ingest Template'!X872,"https:",""),"www.",""),"/",""),"?hl=en",""),"instagram.com",""))</f>
        <v/>
      </c>
      <c r="W872" s="74" t="str">
        <f t="array" ref="W872">IF(
'Ingest Template'!Y872="",
SUBSTITUTE(
INDEX(DropdownLists!$F$2:$F$277,MATCH('Ingest Template'!D872,DropdownLists!$C$2:$C$277,0)),
CHAR(10),
"|"&amp;'Ingest Template'!C872&amp;CHAR(10)
)&amp;"|"&amp;'Ingest Template'!C872,
SUBSTITUTE(
INDEX(DropdownLists!$F$2:$F$277,MATCH('Ingest Template'!D872,DropdownLists!$C$2:$C$277,0)),
CHAR(10),
"|"&amp;'Ingest Template'!C872&amp;CHAR(10)
)&amp;"|"&amp;'Ingest Template'!C872&amp;CHAR(10)&amp;'Ingest Template'!Y872
)</f>
        <v>#N/A</v>
      </c>
      <c r="X872" s="74" t="str">
        <f>'Ingest Template'!Z872</f>
        <v/>
      </c>
      <c r="Y872" s="35" t="str">
        <f>SUBSTITUTE(SUBSTITUTE(SUBSTITUTE('Ingest Template'!AA872,"http:",""),"https:",""),"/","")</f>
        <v/>
      </c>
      <c r="Z872" s="35" t="str">
        <f t="array" ref="Z872">IF('Ingest Template'!A872="Standard",(IF(ISBLANK('Ingest Template'!AB872),"", 'Ingest Template'!AB872&amp;"|DAR")),(IF(ISBLANK('Ingest Template'!AB872),"", 'Ingest Template'!AB872&amp;"|TV Ops")))</f>
        <v/>
      </c>
      <c r="AA872" s="35"/>
      <c r="AB872" s="35" t="str">
        <f>'Ingest Template'!R872</f>
        <v/>
      </c>
      <c r="AC872" s="35" t="str">
        <f>'Ingest Template'!T872</f>
        <v/>
      </c>
      <c r="AD872" s="35" t="str">
        <f>'Ingest Template'!S872</f>
        <v/>
      </c>
      <c r="AE872" s="35" t="str">
        <f>'Ingest Template'!U872</f>
        <v/>
      </c>
      <c r="AF872" s="22"/>
      <c r="AG872" s="35" t="str">
        <f t="array" ref="AG872">IF('Ingest Template'!A872="Standard",(CONCATENATE(IF(ISBLANK('Ingest Template'!N872),"", 'Ingest Template'!N872&amp;"|DAR"),CHAR(10), IF(ISBLANK('Ingest Template'!O872),"", 'Ingest Template'!O872&amp;"|DAR"),CHAR(10), IF(ISBLANK('Ingest Template'!P872),"", 'Ingest Template'!P872&amp;"|DAR"))),(CONCATENATE(IF(ISBLANK('Ingest Template'!N872),"", 'Ingest Template'!N872&amp;"|TV Ops"),CHAR(10), IF(ISBLANK('Ingest Template'!O872),"", 'Ingest Template'!O872&amp;"|TV Ops"),CHAR(10), IF(ISBLANK('Ingest Template'!P872),"", 'Ingest Template'!P872&amp;"|TV Ops"))))</f>
        <v>
</v>
      </c>
      <c r="AH872" s="35"/>
      <c r="AI872" s="35"/>
      <c r="AJ872" s="117" t="str">
        <f>if('Ingest Template'!A872="Standard",(IF(OR('Ingest Template'!F872 = "Program Type - Special", 'Ingest Template'!F872 = "Program Type - Live Event"),'Ingest Template'!M872&amp; "|DAR|DAR|"&amp;TEXT('Ingest Template'!C872-3, "yyyy-mm-dd")&amp;"|"&amp;TEXT('Ingest Template'!C872+3, "yyyy-mm-dd"),'Ingest Template'!M872&amp; "|DAR|DAR|2021-01-01")),(IF(OR('Ingest Template'!F872 = "Program Type - Special", 'Ingest Template'!F872 = "Program Type - Live Event"),'Ingest Template'!M872&amp; "|Operations - Core Title|Operations - Core Title|"&amp;TEXT('Ingest Template'!C872-3, "yyyy-mm-dd")&amp;"|"&amp;TEXT('Ingest Template'!C872+3, "yyyy-mm-dd"),'Ingest Template'!M872&amp; "|Operations - Core Title|Operations - Core Title")))</f>
        <v>|Operations - Core Title|Operations - Core Title</v>
      </c>
      <c r="AK872" s="35"/>
      <c r="AL872" s="117" t="str">
        <f>if('Ingest Template'!A872="Standard",(IF(OR('Ingest Template'!F872 = "Program Type - Special", 'Ingest Template'!F872 = "Program Type - Live Event"),'Ingest Template'!Q872&amp;"|"&amp;TEXT('Ingest Template'!C872-3, "yyyy-mm-dd")&amp;"|"&amp;TEXT('Ingest Template'!C872+3, "yyyy-mm-dd"),'Ingest Template'!Q872&amp; "|2021-01-01")),(IF(OR('Ingest Template'!F872 = "Program Type - Special", 'Ingest Template'!F872 = "Program Type - Live Event"),'Ingest Template'!Q872&amp; "|"&amp;TEXT('Ingest Template'!C872-3, "yyyy-mm-dd")&amp;"|"&amp;TEXT('Ingest Template'!C872+3, "yyyy-mm-dd"),'Ingest Template'!Q872)))</f>
        <v/>
      </c>
      <c r="AM872" s="35" t="str">
        <f>'Ingest Template'!AC872</f>
        <v/>
      </c>
    </row>
    <row r="873">
      <c r="A873" s="15"/>
      <c r="B873" s="22" t="str">
        <f>'Ingest Template'!C873&amp;IF('Ingest Template'!A873 = "Standard", " - DAR","")</f>
        <v/>
      </c>
      <c r="C873" s="22" t="s">
        <v>83</v>
      </c>
      <c r="D873" s="22" t="str">
        <f t="array" ref="D873">CONCATENATE(INDEX(DropdownLists!$H$2:$H$11,MATCH(1,COUNTIF('Ingest Template'!E873,"*"&amp;DropdownLists!$I$2:$I$11&amp;"*"),0)),CHAR(10),'Ingest Template'!F873,CHAR(10),'Ingest Template'!G873,CHAR(10),VLOOKUP('Ingest Template'!D873,DropdownLists!C:D,2,FALSE))</f>
        <v>#N/A</v>
      </c>
      <c r="E873" s="22" t="str">
        <f>CONCATENATE('Ingest Template'!H873,CHAR(10),'Ingest Template'!I873,CHAR(10),'Ingest Template'!J873,CHAR(10))</f>
        <v>
</v>
      </c>
      <c r="F873" s="35" t="str">
        <f t="array" ref="F873">INDEX(DropdownLists!$O$2:$O$36,MATCH(1,COUNTIF(E873,"*"&amp;DropdownLists!$N$2:$N$36&amp;"*"),0))</f>
        <v/>
      </c>
      <c r="G873" s="35"/>
      <c r="H873" s="22" t="str">
        <f t="array" ref="H873">INDEX(DropdownLists!$E$2:$E$276,MATCH('Ingest Template'!D873,DropdownLists!$C$2:$C$276,0))</f>
        <v>#N/A</v>
      </c>
      <c r="I873" s="22"/>
      <c r="J873" s="22" t="str">
        <f t="array" ref="J873">iF('Ingest Template'!A873="Standard","Pristine Brand",INDEX(DropdownLists!$B$2:$B$246,MATCH('Ingest Template'!D873,DropdownLists!$C$2:$C$246,0)))</f>
        <v>#N/A</v>
      </c>
      <c r="K873" s="22" t="str">
        <f>iF('Ingest Template'!A873="Standard",'Ingest Template'!K873&amp;CHAR(10)&amp;'Ingest Template'!L873,"Competitive View")</f>
        <v>Competitive View</v>
      </c>
      <c r="L873" s="22" t="s">
        <v>95</v>
      </c>
      <c r="M873" s="45" t="str">
        <f>'Ingest Template'!B873</f>
        <v/>
      </c>
      <c r="N873" s="35"/>
      <c r="O873" s="35"/>
      <c r="P873" s="35"/>
      <c r="Q873" s="35"/>
      <c r="R873" s="35" t="str">
        <f>'Ingest Template'!D873</f>
        <v/>
      </c>
      <c r="S873" s="22" t="s">
        <v>101</v>
      </c>
      <c r="T873" s="35" t="str">
        <f>'Ingest Template'!V873</f>
        <v/>
      </c>
      <c r="U873" s="35" t="str">
        <f>'Ingest Template'!W873</f>
        <v/>
      </c>
      <c r="V873" s="35" t="str">
        <f>LOWER(SUBSTITUTE(SUBSTITUTE(SUBSTITUTE(SUBSTITUTE(SUBSTITUTE('Ingest Template'!X873,"https:",""),"www.",""),"/",""),"?hl=en",""),"instagram.com",""))</f>
        <v/>
      </c>
      <c r="W873" s="74" t="str">
        <f t="array" ref="W873">IF(
'Ingest Template'!Y873="",
SUBSTITUTE(
INDEX(DropdownLists!$F$2:$F$277,MATCH('Ingest Template'!D873,DropdownLists!$C$2:$C$277,0)),
CHAR(10),
"|"&amp;'Ingest Template'!C873&amp;CHAR(10)
)&amp;"|"&amp;'Ingest Template'!C873,
SUBSTITUTE(
INDEX(DropdownLists!$F$2:$F$277,MATCH('Ingest Template'!D873,DropdownLists!$C$2:$C$277,0)),
CHAR(10),
"|"&amp;'Ingest Template'!C873&amp;CHAR(10)
)&amp;"|"&amp;'Ingest Template'!C873&amp;CHAR(10)&amp;'Ingest Template'!Y873
)</f>
        <v>#N/A</v>
      </c>
      <c r="X873" s="74" t="str">
        <f>'Ingest Template'!Z873</f>
        <v/>
      </c>
      <c r="Y873" s="35" t="str">
        <f>SUBSTITUTE(SUBSTITUTE(SUBSTITUTE('Ingest Template'!AA873,"http:",""),"https:",""),"/","")</f>
        <v/>
      </c>
      <c r="Z873" s="35" t="str">
        <f t="array" ref="Z873">IF('Ingest Template'!A873="Standard",(IF(ISBLANK('Ingest Template'!AB873),"", 'Ingest Template'!AB873&amp;"|DAR")),(IF(ISBLANK('Ingest Template'!AB873),"", 'Ingest Template'!AB873&amp;"|TV Ops")))</f>
        <v/>
      </c>
      <c r="AA873" s="35"/>
      <c r="AB873" s="35" t="str">
        <f>'Ingest Template'!R873</f>
        <v/>
      </c>
      <c r="AC873" s="35" t="str">
        <f>'Ingest Template'!T873</f>
        <v/>
      </c>
      <c r="AD873" s="35" t="str">
        <f>'Ingest Template'!S873</f>
        <v/>
      </c>
      <c r="AE873" s="35" t="str">
        <f>'Ingest Template'!U873</f>
        <v/>
      </c>
      <c r="AF873" s="22"/>
      <c r="AG873" s="35" t="str">
        <f t="array" ref="AG873">IF('Ingest Template'!A873="Standard",(CONCATENATE(IF(ISBLANK('Ingest Template'!N873),"", 'Ingest Template'!N873&amp;"|DAR"),CHAR(10), IF(ISBLANK('Ingest Template'!O873),"", 'Ingest Template'!O873&amp;"|DAR"),CHAR(10), IF(ISBLANK('Ingest Template'!P873),"", 'Ingest Template'!P873&amp;"|DAR"))),(CONCATENATE(IF(ISBLANK('Ingest Template'!N873),"", 'Ingest Template'!N873&amp;"|TV Ops"),CHAR(10), IF(ISBLANK('Ingest Template'!O873),"", 'Ingest Template'!O873&amp;"|TV Ops"),CHAR(10), IF(ISBLANK('Ingest Template'!P873),"", 'Ingest Template'!P873&amp;"|TV Ops"))))</f>
        <v>
</v>
      </c>
      <c r="AH873" s="35"/>
      <c r="AI873" s="35"/>
      <c r="AJ873" s="117" t="str">
        <f>if('Ingest Template'!A873="Standard",(IF(OR('Ingest Template'!F873 = "Program Type - Special", 'Ingest Template'!F873 = "Program Type - Live Event"),'Ingest Template'!M873&amp; "|DAR|DAR|"&amp;TEXT('Ingest Template'!C873-3, "yyyy-mm-dd")&amp;"|"&amp;TEXT('Ingest Template'!C873+3, "yyyy-mm-dd"),'Ingest Template'!M873&amp; "|DAR|DAR|2021-01-01")),(IF(OR('Ingest Template'!F873 = "Program Type - Special", 'Ingest Template'!F873 = "Program Type - Live Event"),'Ingest Template'!M873&amp; "|Operations - Core Title|Operations - Core Title|"&amp;TEXT('Ingest Template'!C873-3, "yyyy-mm-dd")&amp;"|"&amp;TEXT('Ingest Template'!C873+3, "yyyy-mm-dd"),'Ingest Template'!M873&amp; "|Operations - Core Title|Operations - Core Title")))</f>
        <v>|Operations - Core Title|Operations - Core Title</v>
      </c>
      <c r="AK873" s="35"/>
      <c r="AL873" s="117" t="str">
        <f>if('Ingest Template'!A873="Standard",(IF(OR('Ingest Template'!F873 = "Program Type - Special", 'Ingest Template'!F873 = "Program Type - Live Event"),'Ingest Template'!Q873&amp;"|"&amp;TEXT('Ingest Template'!C873-3, "yyyy-mm-dd")&amp;"|"&amp;TEXT('Ingest Template'!C873+3, "yyyy-mm-dd"),'Ingest Template'!Q873&amp; "|2021-01-01")),(IF(OR('Ingest Template'!F873 = "Program Type - Special", 'Ingest Template'!F873 = "Program Type - Live Event"),'Ingest Template'!Q873&amp; "|"&amp;TEXT('Ingest Template'!C873-3, "yyyy-mm-dd")&amp;"|"&amp;TEXT('Ingest Template'!C873+3, "yyyy-mm-dd"),'Ingest Template'!Q873)))</f>
        <v/>
      </c>
      <c r="AM873" s="35" t="str">
        <f>'Ingest Template'!AC873</f>
        <v/>
      </c>
    </row>
    <row r="874">
      <c r="A874" s="15"/>
      <c r="B874" s="22" t="str">
        <f>'Ingest Template'!C874&amp;IF('Ingest Template'!A874 = "Standard", " - DAR","")</f>
        <v/>
      </c>
      <c r="C874" s="22" t="s">
        <v>83</v>
      </c>
      <c r="D874" s="22" t="str">
        <f t="array" ref="D874">CONCATENATE(INDEX(DropdownLists!$H$2:$H$11,MATCH(1,COUNTIF('Ingest Template'!E874,"*"&amp;DropdownLists!$I$2:$I$11&amp;"*"),0)),CHAR(10),'Ingest Template'!F874,CHAR(10),'Ingest Template'!G874,CHAR(10),VLOOKUP('Ingest Template'!D874,DropdownLists!C:D,2,FALSE))</f>
        <v>#N/A</v>
      </c>
      <c r="E874" s="22" t="str">
        <f>CONCATENATE('Ingest Template'!H874,CHAR(10),'Ingest Template'!I874,CHAR(10),'Ingest Template'!J874,CHAR(10))</f>
        <v>
</v>
      </c>
      <c r="F874" s="35" t="str">
        <f t="array" ref="F874">INDEX(DropdownLists!$O$2:$O$36,MATCH(1,COUNTIF(E874,"*"&amp;DropdownLists!$N$2:$N$36&amp;"*"),0))</f>
        <v/>
      </c>
      <c r="G874" s="35"/>
      <c r="H874" s="22" t="str">
        <f t="array" ref="H874">INDEX(DropdownLists!$E$2:$E$276,MATCH('Ingest Template'!D874,DropdownLists!$C$2:$C$276,0))</f>
        <v>#N/A</v>
      </c>
      <c r="I874" s="22"/>
      <c r="J874" s="22" t="str">
        <f t="array" ref="J874">iF('Ingest Template'!A874="Standard","Pristine Brand",INDEX(DropdownLists!$B$2:$B$246,MATCH('Ingest Template'!D874,DropdownLists!$C$2:$C$246,0)))</f>
        <v>#N/A</v>
      </c>
      <c r="K874" s="22" t="str">
        <f>iF('Ingest Template'!A874="Standard",'Ingest Template'!K874&amp;CHAR(10)&amp;'Ingest Template'!L874,"Competitive View")</f>
        <v>Competitive View</v>
      </c>
      <c r="L874" s="22" t="s">
        <v>95</v>
      </c>
      <c r="M874" s="45" t="str">
        <f>'Ingest Template'!B874</f>
        <v/>
      </c>
      <c r="N874" s="35"/>
      <c r="O874" s="35"/>
      <c r="P874" s="35"/>
      <c r="Q874" s="35"/>
      <c r="R874" s="35" t="str">
        <f>'Ingest Template'!D874</f>
        <v/>
      </c>
      <c r="S874" s="22" t="s">
        <v>101</v>
      </c>
      <c r="T874" s="35" t="str">
        <f>'Ingest Template'!V874</f>
        <v/>
      </c>
      <c r="U874" s="35" t="str">
        <f>'Ingest Template'!W874</f>
        <v/>
      </c>
      <c r="V874" s="35" t="str">
        <f>LOWER(SUBSTITUTE(SUBSTITUTE(SUBSTITUTE(SUBSTITUTE(SUBSTITUTE('Ingest Template'!X874,"https:",""),"www.",""),"/",""),"?hl=en",""),"instagram.com",""))</f>
        <v/>
      </c>
      <c r="W874" s="74" t="str">
        <f t="array" ref="W874">IF(
'Ingest Template'!Y874="",
SUBSTITUTE(
INDEX(DropdownLists!$F$2:$F$277,MATCH('Ingest Template'!D874,DropdownLists!$C$2:$C$277,0)),
CHAR(10),
"|"&amp;'Ingest Template'!C874&amp;CHAR(10)
)&amp;"|"&amp;'Ingest Template'!C874,
SUBSTITUTE(
INDEX(DropdownLists!$F$2:$F$277,MATCH('Ingest Template'!D874,DropdownLists!$C$2:$C$277,0)),
CHAR(10),
"|"&amp;'Ingest Template'!C874&amp;CHAR(10)
)&amp;"|"&amp;'Ingest Template'!C874&amp;CHAR(10)&amp;'Ingest Template'!Y874
)</f>
        <v>#N/A</v>
      </c>
      <c r="X874" s="74" t="str">
        <f>'Ingest Template'!Z874</f>
        <v/>
      </c>
      <c r="Y874" s="35" t="str">
        <f>SUBSTITUTE(SUBSTITUTE(SUBSTITUTE('Ingest Template'!AA874,"http:",""),"https:",""),"/","")</f>
        <v/>
      </c>
      <c r="Z874" s="35" t="str">
        <f t="array" ref="Z874">IF('Ingest Template'!A874="Standard",(IF(ISBLANK('Ingest Template'!AB874),"", 'Ingest Template'!AB874&amp;"|DAR")),(IF(ISBLANK('Ingest Template'!AB874),"", 'Ingest Template'!AB874&amp;"|TV Ops")))</f>
        <v/>
      </c>
      <c r="AA874" s="35"/>
      <c r="AB874" s="35" t="str">
        <f>'Ingest Template'!R874</f>
        <v/>
      </c>
      <c r="AC874" s="35" t="str">
        <f>'Ingest Template'!T874</f>
        <v/>
      </c>
      <c r="AD874" s="35" t="str">
        <f>'Ingest Template'!S874</f>
        <v/>
      </c>
      <c r="AE874" s="35" t="str">
        <f>'Ingest Template'!U874</f>
        <v/>
      </c>
      <c r="AF874" s="22"/>
      <c r="AG874" s="35" t="str">
        <f t="array" ref="AG874">IF('Ingest Template'!A874="Standard",(CONCATENATE(IF(ISBLANK('Ingest Template'!N874),"", 'Ingest Template'!N874&amp;"|DAR"),CHAR(10), IF(ISBLANK('Ingest Template'!O874),"", 'Ingest Template'!O874&amp;"|DAR"),CHAR(10), IF(ISBLANK('Ingest Template'!P874),"", 'Ingest Template'!P874&amp;"|DAR"))),(CONCATENATE(IF(ISBLANK('Ingest Template'!N874),"", 'Ingest Template'!N874&amp;"|TV Ops"),CHAR(10), IF(ISBLANK('Ingest Template'!O874),"", 'Ingest Template'!O874&amp;"|TV Ops"),CHAR(10), IF(ISBLANK('Ingest Template'!P874),"", 'Ingest Template'!P874&amp;"|TV Ops"))))</f>
        <v>
</v>
      </c>
      <c r="AH874" s="35"/>
      <c r="AI874" s="35"/>
      <c r="AJ874" s="117" t="str">
        <f>if('Ingest Template'!A874="Standard",(IF(OR('Ingest Template'!F874 = "Program Type - Special", 'Ingest Template'!F874 = "Program Type - Live Event"),'Ingest Template'!M874&amp; "|DAR|DAR|"&amp;TEXT('Ingest Template'!C874-3, "yyyy-mm-dd")&amp;"|"&amp;TEXT('Ingest Template'!C874+3, "yyyy-mm-dd"),'Ingest Template'!M874&amp; "|DAR|DAR|2021-01-01")),(IF(OR('Ingest Template'!F874 = "Program Type - Special", 'Ingest Template'!F874 = "Program Type - Live Event"),'Ingest Template'!M874&amp; "|Operations - Core Title|Operations - Core Title|"&amp;TEXT('Ingest Template'!C874-3, "yyyy-mm-dd")&amp;"|"&amp;TEXT('Ingest Template'!C874+3, "yyyy-mm-dd"),'Ingest Template'!M874&amp; "|Operations - Core Title|Operations - Core Title")))</f>
        <v>|Operations - Core Title|Operations - Core Title</v>
      </c>
      <c r="AK874" s="35"/>
      <c r="AL874" s="117" t="str">
        <f>if('Ingest Template'!A874="Standard",(IF(OR('Ingest Template'!F874 = "Program Type - Special", 'Ingest Template'!F874 = "Program Type - Live Event"),'Ingest Template'!Q874&amp;"|"&amp;TEXT('Ingest Template'!C874-3, "yyyy-mm-dd")&amp;"|"&amp;TEXT('Ingest Template'!C874+3, "yyyy-mm-dd"),'Ingest Template'!Q874&amp; "|2021-01-01")),(IF(OR('Ingest Template'!F874 = "Program Type - Special", 'Ingest Template'!F874 = "Program Type - Live Event"),'Ingest Template'!Q874&amp; "|"&amp;TEXT('Ingest Template'!C874-3, "yyyy-mm-dd")&amp;"|"&amp;TEXT('Ingest Template'!C874+3, "yyyy-mm-dd"),'Ingest Template'!Q874)))</f>
        <v/>
      </c>
      <c r="AM874" s="35" t="str">
        <f>'Ingest Template'!AC874</f>
        <v/>
      </c>
    </row>
    <row r="875">
      <c r="A875" s="15"/>
      <c r="B875" s="22" t="str">
        <f>'Ingest Template'!C875&amp;IF('Ingest Template'!A875 = "Standard", " - DAR","")</f>
        <v/>
      </c>
      <c r="C875" s="22" t="s">
        <v>83</v>
      </c>
      <c r="D875" s="22" t="str">
        <f t="array" ref="D875">CONCATENATE(INDEX(DropdownLists!$H$2:$H$11,MATCH(1,COUNTIF('Ingest Template'!E875,"*"&amp;DropdownLists!$I$2:$I$11&amp;"*"),0)),CHAR(10),'Ingest Template'!F875,CHAR(10),'Ingest Template'!G875,CHAR(10),VLOOKUP('Ingest Template'!D875,DropdownLists!C:D,2,FALSE))</f>
        <v>#N/A</v>
      </c>
      <c r="E875" s="22" t="str">
        <f>CONCATENATE('Ingest Template'!H875,CHAR(10),'Ingest Template'!I875,CHAR(10),'Ingest Template'!J875,CHAR(10))</f>
        <v>
</v>
      </c>
      <c r="F875" s="35" t="str">
        <f t="array" ref="F875">INDEX(DropdownLists!$O$2:$O$36,MATCH(1,COUNTIF(E875,"*"&amp;DropdownLists!$N$2:$N$36&amp;"*"),0))</f>
        <v/>
      </c>
      <c r="G875" s="35"/>
      <c r="H875" s="22" t="str">
        <f t="array" ref="H875">INDEX(DropdownLists!$E$2:$E$276,MATCH('Ingest Template'!D875,DropdownLists!$C$2:$C$276,0))</f>
        <v>#N/A</v>
      </c>
      <c r="I875" s="22"/>
      <c r="J875" s="22" t="str">
        <f t="array" ref="J875">iF('Ingest Template'!A875="Standard","Pristine Brand",INDEX(DropdownLists!$B$2:$B$246,MATCH('Ingest Template'!D875,DropdownLists!$C$2:$C$246,0)))</f>
        <v>#N/A</v>
      </c>
      <c r="K875" s="22" t="str">
        <f>iF('Ingest Template'!A875="Standard",'Ingest Template'!K875&amp;CHAR(10)&amp;'Ingest Template'!L875,"Competitive View")</f>
        <v>Competitive View</v>
      </c>
      <c r="L875" s="22" t="s">
        <v>95</v>
      </c>
      <c r="M875" s="45" t="str">
        <f>'Ingest Template'!B875</f>
        <v/>
      </c>
      <c r="N875" s="35"/>
      <c r="O875" s="35"/>
      <c r="P875" s="35"/>
      <c r="Q875" s="35"/>
      <c r="R875" s="35" t="str">
        <f>'Ingest Template'!D875</f>
        <v/>
      </c>
      <c r="S875" s="22" t="s">
        <v>101</v>
      </c>
      <c r="T875" s="35" t="str">
        <f>'Ingest Template'!V875</f>
        <v/>
      </c>
      <c r="U875" s="35" t="str">
        <f>'Ingest Template'!W875</f>
        <v/>
      </c>
      <c r="V875" s="35" t="str">
        <f>LOWER(SUBSTITUTE(SUBSTITUTE(SUBSTITUTE(SUBSTITUTE(SUBSTITUTE('Ingest Template'!X875,"https:",""),"www.",""),"/",""),"?hl=en",""),"instagram.com",""))</f>
        <v/>
      </c>
      <c r="W875" s="74" t="str">
        <f t="array" ref="W875">IF(
'Ingest Template'!Y875="",
SUBSTITUTE(
INDEX(DropdownLists!$F$2:$F$277,MATCH('Ingest Template'!D875,DropdownLists!$C$2:$C$277,0)),
CHAR(10),
"|"&amp;'Ingest Template'!C875&amp;CHAR(10)
)&amp;"|"&amp;'Ingest Template'!C875,
SUBSTITUTE(
INDEX(DropdownLists!$F$2:$F$277,MATCH('Ingest Template'!D875,DropdownLists!$C$2:$C$277,0)),
CHAR(10),
"|"&amp;'Ingest Template'!C875&amp;CHAR(10)
)&amp;"|"&amp;'Ingest Template'!C875&amp;CHAR(10)&amp;'Ingest Template'!Y875
)</f>
        <v>#N/A</v>
      </c>
      <c r="X875" s="74" t="str">
        <f>'Ingest Template'!Z875</f>
        <v/>
      </c>
      <c r="Y875" s="35" t="str">
        <f>SUBSTITUTE(SUBSTITUTE(SUBSTITUTE('Ingest Template'!AA875,"http:",""),"https:",""),"/","")</f>
        <v/>
      </c>
      <c r="Z875" s="35" t="str">
        <f t="array" ref="Z875">IF('Ingest Template'!A875="Standard",(IF(ISBLANK('Ingest Template'!AB875),"", 'Ingest Template'!AB875&amp;"|DAR")),(IF(ISBLANK('Ingest Template'!AB875),"", 'Ingest Template'!AB875&amp;"|TV Ops")))</f>
        <v/>
      </c>
      <c r="AA875" s="35"/>
      <c r="AB875" s="35" t="str">
        <f>'Ingest Template'!R875</f>
        <v/>
      </c>
      <c r="AC875" s="35" t="str">
        <f>'Ingest Template'!T875</f>
        <v/>
      </c>
      <c r="AD875" s="35" t="str">
        <f>'Ingest Template'!S875</f>
        <v/>
      </c>
      <c r="AE875" s="35" t="str">
        <f>'Ingest Template'!U875</f>
        <v/>
      </c>
      <c r="AF875" s="22"/>
      <c r="AG875" s="35" t="str">
        <f t="array" ref="AG875">IF('Ingest Template'!A875="Standard",(CONCATENATE(IF(ISBLANK('Ingest Template'!N875),"", 'Ingest Template'!N875&amp;"|DAR"),CHAR(10), IF(ISBLANK('Ingest Template'!O875),"", 'Ingest Template'!O875&amp;"|DAR"),CHAR(10), IF(ISBLANK('Ingest Template'!P875),"", 'Ingest Template'!P875&amp;"|DAR"))),(CONCATENATE(IF(ISBLANK('Ingest Template'!N875),"", 'Ingest Template'!N875&amp;"|TV Ops"),CHAR(10), IF(ISBLANK('Ingest Template'!O875),"", 'Ingest Template'!O875&amp;"|TV Ops"),CHAR(10), IF(ISBLANK('Ingest Template'!P875),"", 'Ingest Template'!P875&amp;"|TV Ops"))))</f>
        <v>
</v>
      </c>
      <c r="AH875" s="35"/>
      <c r="AI875" s="35"/>
      <c r="AJ875" s="117" t="str">
        <f>if('Ingest Template'!A875="Standard",(IF(OR('Ingest Template'!F875 = "Program Type - Special", 'Ingest Template'!F875 = "Program Type - Live Event"),'Ingest Template'!M875&amp; "|DAR|DAR|"&amp;TEXT('Ingest Template'!C875-3, "yyyy-mm-dd")&amp;"|"&amp;TEXT('Ingest Template'!C875+3, "yyyy-mm-dd"),'Ingest Template'!M875&amp; "|DAR|DAR|2021-01-01")),(IF(OR('Ingest Template'!F875 = "Program Type - Special", 'Ingest Template'!F875 = "Program Type - Live Event"),'Ingest Template'!M875&amp; "|Operations - Core Title|Operations - Core Title|"&amp;TEXT('Ingest Template'!C875-3, "yyyy-mm-dd")&amp;"|"&amp;TEXT('Ingest Template'!C875+3, "yyyy-mm-dd"),'Ingest Template'!M875&amp; "|Operations - Core Title|Operations - Core Title")))</f>
        <v>|Operations - Core Title|Operations - Core Title</v>
      </c>
      <c r="AK875" s="35"/>
      <c r="AL875" s="117" t="str">
        <f>if('Ingest Template'!A875="Standard",(IF(OR('Ingest Template'!F875 = "Program Type - Special", 'Ingest Template'!F875 = "Program Type - Live Event"),'Ingest Template'!Q875&amp;"|"&amp;TEXT('Ingest Template'!C875-3, "yyyy-mm-dd")&amp;"|"&amp;TEXT('Ingest Template'!C875+3, "yyyy-mm-dd"),'Ingest Template'!Q875&amp; "|2021-01-01")),(IF(OR('Ingest Template'!F875 = "Program Type - Special", 'Ingest Template'!F875 = "Program Type - Live Event"),'Ingest Template'!Q875&amp; "|"&amp;TEXT('Ingest Template'!C875-3, "yyyy-mm-dd")&amp;"|"&amp;TEXT('Ingest Template'!C875+3, "yyyy-mm-dd"),'Ingest Template'!Q875)))</f>
        <v/>
      </c>
      <c r="AM875" s="35" t="str">
        <f>'Ingest Template'!AC875</f>
        <v/>
      </c>
    </row>
    <row r="876">
      <c r="A876" s="15"/>
      <c r="B876" s="22" t="str">
        <f>'Ingest Template'!C876&amp;IF('Ingest Template'!A876 = "Standard", " - DAR","")</f>
        <v/>
      </c>
      <c r="C876" s="22" t="s">
        <v>83</v>
      </c>
      <c r="D876" s="22" t="str">
        <f t="array" ref="D876">CONCATENATE(INDEX(DropdownLists!$H$2:$H$11,MATCH(1,COUNTIF('Ingest Template'!E876,"*"&amp;DropdownLists!$I$2:$I$11&amp;"*"),0)),CHAR(10),'Ingest Template'!F876,CHAR(10),'Ingest Template'!G876,CHAR(10),VLOOKUP('Ingest Template'!D876,DropdownLists!C:D,2,FALSE))</f>
        <v>#N/A</v>
      </c>
      <c r="E876" s="22" t="str">
        <f>CONCATENATE('Ingest Template'!H876,CHAR(10),'Ingest Template'!I876,CHAR(10),'Ingest Template'!J876,CHAR(10))</f>
        <v>
</v>
      </c>
      <c r="F876" s="35" t="str">
        <f t="array" ref="F876">INDEX(DropdownLists!$O$2:$O$36,MATCH(1,COUNTIF(E876,"*"&amp;DropdownLists!$N$2:$N$36&amp;"*"),0))</f>
        <v/>
      </c>
      <c r="G876" s="35"/>
      <c r="H876" s="22" t="str">
        <f t="array" ref="H876">INDEX(DropdownLists!$E$2:$E$276,MATCH('Ingest Template'!D876,DropdownLists!$C$2:$C$276,0))</f>
        <v>#N/A</v>
      </c>
      <c r="I876" s="22"/>
      <c r="J876" s="22" t="str">
        <f t="array" ref="J876">iF('Ingest Template'!A876="Standard","Pristine Brand",INDEX(DropdownLists!$B$2:$B$246,MATCH('Ingest Template'!D876,DropdownLists!$C$2:$C$246,0)))</f>
        <v>#N/A</v>
      </c>
      <c r="K876" s="22" t="str">
        <f>iF('Ingest Template'!A876="Standard",'Ingest Template'!K876&amp;CHAR(10)&amp;'Ingest Template'!L876,"Competitive View")</f>
        <v>Competitive View</v>
      </c>
      <c r="L876" s="22" t="s">
        <v>95</v>
      </c>
      <c r="M876" s="45" t="str">
        <f>'Ingest Template'!B876</f>
        <v/>
      </c>
      <c r="N876" s="35"/>
      <c r="O876" s="35"/>
      <c r="P876" s="35"/>
      <c r="Q876" s="35"/>
      <c r="R876" s="35" t="str">
        <f>'Ingest Template'!D876</f>
        <v/>
      </c>
      <c r="S876" s="22" t="s">
        <v>101</v>
      </c>
      <c r="T876" s="35" t="str">
        <f>'Ingest Template'!V876</f>
        <v/>
      </c>
      <c r="U876" s="35" t="str">
        <f>'Ingest Template'!W876</f>
        <v/>
      </c>
      <c r="V876" s="35" t="str">
        <f>LOWER(SUBSTITUTE(SUBSTITUTE(SUBSTITUTE(SUBSTITUTE(SUBSTITUTE('Ingest Template'!X876,"https:",""),"www.",""),"/",""),"?hl=en",""),"instagram.com",""))</f>
        <v/>
      </c>
      <c r="W876" s="74" t="str">
        <f t="array" ref="W876">IF(
'Ingest Template'!Y876="",
SUBSTITUTE(
INDEX(DropdownLists!$F$2:$F$277,MATCH('Ingest Template'!D876,DropdownLists!$C$2:$C$277,0)),
CHAR(10),
"|"&amp;'Ingest Template'!C876&amp;CHAR(10)
)&amp;"|"&amp;'Ingest Template'!C876,
SUBSTITUTE(
INDEX(DropdownLists!$F$2:$F$277,MATCH('Ingest Template'!D876,DropdownLists!$C$2:$C$277,0)),
CHAR(10),
"|"&amp;'Ingest Template'!C876&amp;CHAR(10)
)&amp;"|"&amp;'Ingest Template'!C876&amp;CHAR(10)&amp;'Ingest Template'!Y876
)</f>
        <v>#N/A</v>
      </c>
      <c r="X876" s="74" t="str">
        <f>'Ingest Template'!Z876</f>
        <v/>
      </c>
      <c r="Y876" s="35" t="str">
        <f>SUBSTITUTE(SUBSTITUTE(SUBSTITUTE('Ingest Template'!AA876,"http:",""),"https:",""),"/","")</f>
        <v/>
      </c>
      <c r="Z876" s="35" t="str">
        <f t="array" ref="Z876">IF('Ingest Template'!A876="Standard",(IF(ISBLANK('Ingest Template'!AB876),"", 'Ingest Template'!AB876&amp;"|DAR")),(IF(ISBLANK('Ingest Template'!AB876),"", 'Ingest Template'!AB876&amp;"|TV Ops")))</f>
        <v/>
      </c>
      <c r="AA876" s="35"/>
      <c r="AB876" s="35" t="str">
        <f>'Ingest Template'!R876</f>
        <v/>
      </c>
      <c r="AC876" s="35" t="str">
        <f>'Ingest Template'!T876</f>
        <v/>
      </c>
      <c r="AD876" s="35" t="str">
        <f>'Ingest Template'!S876</f>
        <v/>
      </c>
      <c r="AE876" s="35" t="str">
        <f>'Ingest Template'!U876</f>
        <v/>
      </c>
      <c r="AF876" s="22"/>
      <c r="AG876" s="35" t="str">
        <f t="array" ref="AG876">IF('Ingest Template'!A876="Standard",(CONCATENATE(IF(ISBLANK('Ingest Template'!N876),"", 'Ingest Template'!N876&amp;"|DAR"),CHAR(10), IF(ISBLANK('Ingest Template'!O876),"", 'Ingest Template'!O876&amp;"|DAR"),CHAR(10), IF(ISBLANK('Ingest Template'!P876),"", 'Ingest Template'!P876&amp;"|DAR"))),(CONCATENATE(IF(ISBLANK('Ingest Template'!N876),"", 'Ingest Template'!N876&amp;"|TV Ops"),CHAR(10), IF(ISBLANK('Ingest Template'!O876),"", 'Ingest Template'!O876&amp;"|TV Ops"),CHAR(10), IF(ISBLANK('Ingest Template'!P876),"", 'Ingest Template'!P876&amp;"|TV Ops"))))</f>
        <v>
</v>
      </c>
      <c r="AH876" s="35"/>
      <c r="AI876" s="35"/>
      <c r="AJ876" s="117" t="str">
        <f>if('Ingest Template'!A876="Standard",(IF(OR('Ingest Template'!F876 = "Program Type - Special", 'Ingest Template'!F876 = "Program Type - Live Event"),'Ingest Template'!M876&amp; "|DAR|DAR|"&amp;TEXT('Ingest Template'!C876-3, "yyyy-mm-dd")&amp;"|"&amp;TEXT('Ingest Template'!C876+3, "yyyy-mm-dd"),'Ingest Template'!M876&amp; "|DAR|DAR|2021-01-01")),(IF(OR('Ingest Template'!F876 = "Program Type - Special", 'Ingest Template'!F876 = "Program Type - Live Event"),'Ingest Template'!M876&amp; "|Operations - Core Title|Operations - Core Title|"&amp;TEXT('Ingest Template'!C876-3, "yyyy-mm-dd")&amp;"|"&amp;TEXT('Ingest Template'!C876+3, "yyyy-mm-dd"),'Ingest Template'!M876&amp; "|Operations - Core Title|Operations - Core Title")))</f>
        <v>|Operations - Core Title|Operations - Core Title</v>
      </c>
      <c r="AK876" s="35"/>
      <c r="AL876" s="117" t="str">
        <f>if('Ingest Template'!A876="Standard",(IF(OR('Ingest Template'!F876 = "Program Type - Special", 'Ingest Template'!F876 = "Program Type - Live Event"),'Ingest Template'!Q876&amp;"|"&amp;TEXT('Ingest Template'!C876-3, "yyyy-mm-dd")&amp;"|"&amp;TEXT('Ingest Template'!C876+3, "yyyy-mm-dd"),'Ingest Template'!Q876&amp; "|2021-01-01")),(IF(OR('Ingest Template'!F876 = "Program Type - Special", 'Ingest Template'!F876 = "Program Type - Live Event"),'Ingest Template'!Q876&amp; "|"&amp;TEXT('Ingest Template'!C876-3, "yyyy-mm-dd")&amp;"|"&amp;TEXT('Ingest Template'!C876+3, "yyyy-mm-dd"),'Ingest Template'!Q876)))</f>
        <v/>
      </c>
      <c r="AM876" s="35" t="str">
        <f>'Ingest Template'!AC876</f>
        <v/>
      </c>
    </row>
    <row r="877">
      <c r="A877" s="15"/>
      <c r="B877" s="22" t="str">
        <f>'Ingest Template'!C877&amp;IF('Ingest Template'!A877 = "Standard", " - DAR","")</f>
        <v/>
      </c>
      <c r="C877" s="22" t="s">
        <v>83</v>
      </c>
      <c r="D877" s="22" t="str">
        <f t="array" ref="D877">CONCATENATE(INDEX(DropdownLists!$H$2:$H$11,MATCH(1,COUNTIF('Ingest Template'!E877,"*"&amp;DropdownLists!$I$2:$I$11&amp;"*"),0)),CHAR(10),'Ingest Template'!F877,CHAR(10),'Ingest Template'!G877,CHAR(10),VLOOKUP('Ingest Template'!D877,DropdownLists!C:D,2,FALSE))</f>
        <v>#N/A</v>
      </c>
      <c r="E877" s="22" t="str">
        <f>CONCATENATE('Ingest Template'!H877,CHAR(10),'Ingest Template'!I877,CHAR(10),'Ingest Template'!J877,CHAR(10))</f>
        <v>
</v>
      </c>
      <c r="F877" s="35" t="str">
        <f t="array" ref="F877">INDEX(DropdownLists!$O$2:$O$36,MATCH(1,COUNTIF(E877,"*"&amp;DropdownLists!$N$2:$N$36&amp;"*"),0))</f>
        <v/>
      </c>
      <c r="G877" s="35"/>
      <c r="H877" s="22" t="str">
        <f t="array" ref="H877">INDEX(DropdownLists!$E$2:$E$276,MATCH('Ingest Template'!D877,DropdownLists!$C$2:$C$276,0))</f>
        <v>#N/A</v>
      </c>
      <c r="I877" s="22"/>
      <c r="J877" s="22" t="str">
        <f t="array" ref="J877">iF('Ingest Template'!A877="Standard","Pristine Brand",INDEX(DropdownLists!$B$2:$B$246,MATCH('Ingest Template'!D877,DropdownLists!$C$2:$C$246,0)))</f>
        <v>#N/A</v>
      </c>
      <c r="K877" s="22" t="str">
        <f>iF('Ingest Template'!A877="Standard",'Ingest Template'!K877&amp;CHAR(10)&amp;'Ingest Template'!L877,"Competitive View")</f>
        <v>Competitive View</v>
      </c>
      <c r="L877" s="22" t="s">
        <v>95</v>
      </c>
      <c r="M877" s="45" t="str">
        <f>'Ingest Template'!B877</f>
        <v/>
      </c>
      <c r="N877" s="35"/>
      <c r="O877" s="35"/>
      <c r="P877" s="35"/>
      <c r="Q877" s="35"/>
      <c r="R877" s="35" t="str">
        <f>'Ingest Template'!D877</f>
        <v/>
      </c>
      <c r="S877" s="22" t="s">
        <v>101</v>
      </c>
      <c r="T877" s="35" t="str">
        <f>'Ingest Template'!V877</f>
        <v/>
      </c>
      <c r="U877" s="35" t="str">
        <f>'Ingest Template'!W877</f>
        <v/>
      </c>
      <c r="V877" s="35" t="str">
        <f>LOWER(SUBSTITUTE(SUBSTITUTE(SUBSTITUTE(SUBSTITUTE(SUBSTITUTE('Ingest Template'!X877,"https:",""),"www.",""),"/",""),"?hl=en",""),"instagram.com",""))</f>
        <v/>
      </c>
      <c r="W877" s="74" t="str">
        <f t="array" ref="W877">IF(
'Ingest Template'!Y877="",
SUBSTITUTE(
INDEX(DropdownLists!$F$2:$F$277,MATCH('Ingest Template'!D877,DropdownLists!$C$2:$C$277,0)),
CHAR(10),
"|"&amp;'Ingest Template'!C877&amp;CHAR(10)
)&amp;"|"&amp;'Ingest Template'!C877,
SUBSTITUTE(
INDEX(DropdownLists!$F$2:$F$277,MATCH('Ingest Template'!D877,DropdownLists!$C$2:$C$277,0)),
CHAR(10),
"|"&amp;'Ingest Template'!C877&amp;CHAR(10)
)&amp;"|"&amp;'Ingest Template'!C877&amp;CHAR(10)&amp;'Ingest Template'!Y877
)</f>
        <v>#N/A</v>
      </c>
      <c r="X877" s="74" t="str">
        <f>'Ingest Template'!Z877</f>
        <v/>
      </c>
      <c r="Y877" s="35" t="str">
        <f>SUBSTITUTE(SUBSTITUTE(SUBSTITUTE('Ingest Template'!AA877,"http:",""),"https:",""),"/","")</f>
        <v/>
      </c>
      <c r="Z877" s="35" t="str">
        <f t="array" ref="Z877">IF('Ingest Template'!A877="Standard",(IF(ISBLANK('Ingest Template'!AB877),"", 'Ingest Template'!AB877&amp;"|DAR")),(IF(ISBLANK('Ingest Template'!AB877),"", 'Ingest Template'!AB877&amp;"|TV Ops")))</f>
        <v/>
      </c>
      <c r="AA877" s="35"/>
      <c r="AB877" s="35" t="str">
        <f>'Ingest Template'!R877</f>
        <v/>
      </c>
      <c r="AC877" s="35" t="str">
        <f>'Ingest Template'!T877</f>
        <v/>
      </c>
      <c r="AD877" s="35" t="str">
        <f>'Ingest Template'!S877</f>
        <v/>
      </c>
      <c r="AE877" s="35" t="str">
        <f>'Ingest Template'!U877</f>
        <v/>
      </c>
      <c r="AF877" s="22"/>
      <c r="AG877" s="35" t="str">
        <f t="array" ref="AG877">IF('Ingest Template'!A877="Standard",(CONCATENATE(IF(ISBLANK('Ingest Template'!N877),"", 'Ingest Template'!N877&amp;"|DAR"),CHAR(10), IF(ISBLANK('Ingest Template'!O877),"", 'Ingest Template'!O877&amp;"|DAR"),CHAR(10), IF(ISBLANK('Ingest Template'!P877),"", 'Ingest Template'!P877&amp;"|DAR"))),(CONCATENATE(IF(ISBLANK('Ingest Template'!N877),"", 'Ingest Template'!N877&amp;"|TV Ops"),CHAR(10), IF(ISBLANK('Ingest Template'!O877),"", 'Ingest Template'!O877&amp;"|TV Ops"),CHAR(10), IF(ISBLANK('Ingest Template'!P877),"", 'Ingest Template'!P877&amp;"|TV Ops"))))</f>
        <v>
</v>
      </c>
      <c r="AH877" s="35"/>
      <c r="AI877" s="35"/>
      <c r="AJ877" s="117" t="str">
        <f>if('Ingest Template'!A877="Standard",(IF(OR('Ingest Template'!F877 = "Program Type - Special", 'Ingest Template'!F877 = "Program Type - Live Event"),'Ingest Template'!M877&amp; "|DAR|DAR|"&amp;TEXT('Ingest Template'!C877-3, "yyyy-mm-dd")&amp;"|"&amp;TEXT('Ingest Template'!C877+3, "yyyy-mm-dd"),'Ingest Template'!M877&amp; "|DAR|DAR|2021-01-01")),(IF(OR('Ingest Template'!F877 = "Program Type - Special", 'Ingest Template'!F877 = "Program Type - Live Event"),'Ingest Template'!M877&amp; "|Operations - Core Title|Operations - Core Title|"&amp;TEXT('Ingest Template'!C877-3, "yyyy-mm-dd")&amp;"|"&amp;TEXT('Ingest Template'!C877+3, "yyyy-mm-dd"),'Ingest Template'!M877&amp; "|Operations - Core Title|Operations - Core Title")))</f>
        <v>|Operations - Core Title|Operations - Core Title</v>
      </c>
      <c r="AK877" s="35"/>
      <c r="AL877" s="117" t="str">
        <f>if('Ingest Template'!A877="Standard",(IF(OR('Ingest Template'!F877 = "Program Type - Special", 'Ingest Template'!F877 = "Program Type - Live Event"),'Ingest Template'!Q877&amp;"|"&amp;TEXT('Ingest Template'!C877-3, "yyyy-mm-dd")&amp;"|"&amp;TEXT('Ingest Template'!C877+3, "yyyy-mm-dd"),'Ingest Template'!Q877&amp; "|2021-01-01")),(IF(OR('Ingest Template'!F877 = "Program Type - Special", 'Ingest Template'!F877 = "Program Type - Live Event"),'Ingest Template'!Q877&amp; "|"&amp;TEXT('Ingest Template'!C877-3, "yyyy-mm-dd")&amp;"|"&amp;TEXT('Ingest Template'!C877+3, "yyyy-mm-dd"),'Ingest Template'!Q877)))</f>
        <v/>
      </c>
      <c r="AM877" s="35" t="str">
        <f>'Ingest Template'!AC877</f>
        <v/>
      </c>
    </row>
    <row r="878">
      <c r="A878" s="15"/>
      <c r="B878" s="22" t="str">
        <f>'Ingest Template'!C878&amp;IF('Ingest Template'!A878 = "Standard", " - DAR","")</f>
        <v/>
      </c>
      <c r="C878" s="22" t="s">
        <v>83</v>
      </c>
      <c r="D878" s="22" t="str">
        <f t="array" ref="D878">CONCATENATE(INDEX(DropdownLists!$H$2:$H$11,MATCH(1,COUNTIF('Ingest Template'!E878,"*"&amp;DropdownLists!$I$2:$I$11&amp;"*"),0)),CHAR(10),'Ingest Template'!F878,CHAR(10),'Ingest Template'!G878,CHAR(10),VLOOKUP('Ingest Template'!D878,DropdownLists!C:D,2,FALSE))</f>
        <v>#N/A</v>
      </c>
      <c r="E878" s="22" t="str">
        <f>CONCATENATE('Ingest Template'!H878,CHAR(10),'Ingest Template'!I878,CHAR(10),'Ingest Template'!J878,CHAR(10))</f>
        <v>
</v>
      </c>
      <c r="F878" s="35" t="str">
        <f t="array" ref="F878">INDEX(DropdownLists!$O$2:$O$36,MATCH(1,COUNTIF(E878,"*"&amp;DropdownLists!$N$2:$N$36&amp;"*"),0))</f>
        <v/>
      </c>
      <c r="G878" s="35"/>
      <c r="H878" s="22" t="str">
        <f t="array" ref="H878">INDEX(DropdownLists!$E$2:$E$276,MATCH('Ingest Template'!D878,DropdownLists!$C$2:$C$276,0))</f>
        <v>#N/A</v>
      </c>
      <c r="I878" s="22"/>
      <c r="J878" s="22" t="str">
        <f t="array" ref="J878">iF('Ingest Template'!A878="Standard","Pristine Brand",INDEX(DropdownLists!$B$2:$B$246,MATCH('Ingest Template'!D878,DropdownLists!$C$2:$C$246,0)))</f>
        <v>#N/A</v>
      </c>
      <c r="K878" s="22" t="str">
        <f>iF('Ingest Template'!A878="Standard",'Ingest Template'!K878&amp;CHAR(10)&amp;'Ingest Template'!L878,"Competitive View")</f>
        <v>Competitive View</v>
      </c>
      <c r="L878" s="22" t="s">
        <v>95</v>
      </c>
      <c r="M878" s="45" t="str">
        <f>'Ingest Template'!B878</f>
        <v/>
      </c>
      <c r="N878" s="35"/>
      <c r="O878" s="35"/>
      <c r="P878" s="35"/>
      <c r="Q878" s="35"/>
      <c r="R878" s="35" t="str">
        <f>'Ingest Template'!D878</f>
        <v/>
      </c>
      <c r="S878" s="22" t="s">
        <v>101</v>
      </c>
      <c r="T878" s="35" t="str">
        <f>'Ingest Template'!V878</f>
        <v/>
      </c>
      <c r="U878" s="35" t="str">
        <f>'Ingest Template'!W878</f>
        <v/>
      </c>
      <c r="V878" s="35" t="str">
        <f>LOWER(SUBSTITUTE(SUBSTITUTE(SUBSTITUTE(SUBSTITUTE(SUBSTITUTE('Ingest Template'!X878,"https:",""),"www.",""),"/",""),"?hl=en",""),"instagram.com",""))</f>
        <v/>
      </c>
      <c r="W878" s="74" t="str">
        <f t="array" ref="W878">IF(
'Ingest Template'!Y878="",
SUBSTITUTE(
INDEX(DropdownLists!$F$2:$F$277,MATCH('Ingest Template'!D878,DropdownLists!$C$2:$C$277,0)),
CHAR(10),
"|"&amp;'Ingest Template'!C878&amp;CHAR(10)
)&amp;"|"&amp;'Ingest Template'!C878,
SUBSTITUTE(
INDEX(DropdownLists!$F$2:$F$277,MATCH('Ingest Template'!D878,DropdownLists!$C$2:$C$277,0)),
CHAR(10),
"|"&amp;'Ingest Template'!C878&amp;CHAR(10)
)&amp;"|"&amp;'Ingest Template'!C878&amp;CHAR(10)&amp;'Ingest Template'!Y878
)</f>
        <v>#N/A</v>
      </c>
      <c r="X878" s="74" t="str">
        <f>'Ingest Template'!Z878</f>
        <v/>
      </c>
      <c r="Y878" s="35" t="str">
        <f>SUBSTITUTE(SUBSTITUTE(SUBSTITUTE('Ingest Template'!AA878,"http:",""),"https:",""),"/","")</f>
        <v/>
      </c>
      <c r="Z878" s="35" t="str">
        <f t="array" ref="Z878">IF('Ingest Template'!A878="Standard",(IF(ISBLANK('Ingest Template'!AB878),"", 'Ingest Template'!AB878&amp;"|DAR")),(IF(ISBLANK('Ingest Template'!AB878),"", 'Ingest Template'!AB878&amp;"|TV Ops")))</f>
        <v/>
      </c>
      <c r="AA878" s="35"/>
      <c r="AB878" s="35" t="str">
        <f>'Ingest Template'!R878</f>
        <v/>
      </c>
      <c r="AC878" s="35" t="str">
        <f>'Ingest Template'!T878</f>
        <v/>
      </c>
      <c r="AD878" s="35" t="str">
        <f>'Ingest Template'!S878</f>
        <v/>
      </c>
      <c r="AE878" s="35" t="str">
        <f>'Ingest Template'!U878</f>
        <v/>
      </c>
      <c r="AF878" s="22"/>
      <c r="AG878" s="35" t="str">
        <f t="array" ref="AG878">IF('Ingest Template'!A878="Standard",(CONCATENATE(IF(ISBLANK('Ingest Template'!N878),"", 'Ingest Template'!N878&amp;"|DAR"),CHAR(10), IF(ISBLANK('Ingest Template'!O878),"", 'Ingest Template'!O878&amp;"|DAR"),CHAR(10), IF(ISBLANK('Ingest Template'!P878),"", 'Ingest Template'!P878&amp;"|DAR"))),(CONCATENATE(IF(ISBLANK('Ingest Template'!N878),"", 'Ingest Template'!N878&amp;"|TV Ops"),CHAR(10), IF(ISBLANK('Ingest Template'!O878),"", 'Ingest Template'!O878&amp;"|TV Ops"),CHAR(10), IF(ISBLANK('Ingest Template'!P878),"", 'Ingest Template'!P878&amp;"|TV Ops"))))</f>
        <v>
</v>
      </c>
      <c r="AH878" s="35"/>
      <c r="AI878" s="35"/>
      <c r="AJ878" s="117" t="str">
        <f>if('Ingest Template'!A878="Standard",(IF(OR('Ingest Template'!F878 = "Program Type - Special", 'Ingest Template'!F878 = "Program Type - Live Event"),'Ingest Template'!M878&amp; "|DAR|DAR|"&amp;TEXT('Ingest Template'!C878-3, "yyyy-mm-dd")&amp;"|"&amp;TEXT('Ingest Template'!C878+3, "yyyy-mm-dd"),'Ingest Template'!M878&amp; "|DAR|DAR|2021-01-01")),(IF(OR('Ingest Template'!F878 = "Program Type - Special", 'Ingest Template'!F878 = "Program Type - Live Event"),'Ingest Template'!M878&amp; "|Operations - Core Title|Operations - Core Title|"&amp;TEXT('Ingest Template'!C878-3, "yyyy-mm-dd")&amp;"|"&amp;TEXT('Ingest Template'!C878+3, "yyyy-mm-dd"),'Ingest Template'!M878&amp; "|Operations - Core Title|Operations - Core Title")))</f>
        <v>|Operations - Core Title|Operations - Core Title</v>
      </c>
      <c r="AK878" s="35"/>
      <c r="AL878" s="117" t="str">
        <f>if('Ingest Template'!A878="Standard",(IF(OR('Ingest Template'!F878 = "Program Type - Special", 'Ingest Template'!F878 = "Program Type - Live Event"),'Ingest Template'!Q878&amp;"|"&amp;TEXT('Ingest Template'!C878-3, "yyyy-mm-dd")&amp;"|"&amp;TEXT('Ingest Template'!C878+3, "yyyy-mm-dd"),'Ingest Template'!Q878&amp; "|2021-01-01")),(IF(OR('Ingest Template'!F878 = "Program Type - Special", 'Ingest Template'!F878 = "Program Type - Live Event"),'Ingest Template'!Q878&amp; "|"&amp;TEXT('Ingest Template'!C878-3, "yyyy-mm-dd")&amp;"|"&amp;TEXT('Ingest Template'!C878+3, "yyyy-mm-dd"),'Ingest Template'!Q878)))</f>
        <v/>
      </c>
      <c r="AM878" s="35" t="str">
        <f>'Ingest Template'!AC878</f>
        <v/>
      </c>
    </row>
    <row r="879">
      <c r="A879" s="15"/>
      <c r="B879" s="22" t="str">
        <f>'Ingest Template'!C879&amp;IF('Ingest Template'!A879 = "Standard", " - DAR","")</f>
        <v/>
      </c>
      <c r="C879" s="22" t="s">
        <v>83</v>
      </c>
      <c r="D879" s="22" t="str">
        <f t="array" ref="D879">CONCATENATE(INDEX(DropdownLists!$H$2:$H$11,MATCH(1,COUNTIF('Ingest Template'!E879,"*"&amp;DropdownLists!$I$2:$I$11&amp;"*"),0)),CHAR(10),'Ingest Template'!F879,CHAR(10),'Ingest Template'!G879,CHAR(10),VLOOKUP('Ingest Template'!D879,DropdownLists!C:D,2,FALSE))</f>
        <v>#N/A</v>
      </c>
      <c r="E879" s="22" t="str">
        <f>CONCATENATE('Ingest Template'!H879,CHAR(10),'Ingest Template'!I879,CHAR(10),'Ingest Template'!J879,CHAR(10))</f>
        <v>
</v>
      </c>
      <c r="F879" s="35" t="str">
        <f t="array" ref="F879">INDEX(DropdownLists!$O$2:$O$36,MATCH(1,COUNTIF(E879,"*"&amp;DropdownLists!$N$2:$N$36&amp;"*"),0))</f>
        <v/>
      </c>
      <c r="G879" s="35"/>
      <c r="H879" s="22" t="str">
        <f t="array" ref="H879">INDEX(DropdownLists!$E$2:$E$276,MATCH('Ingest Template'!D879,DropdownLists!$C$2:$C$276,0))</f>
        <v>#N/A</v>
      </c>
      <c r="I879" s="22"/>
      <c r="J879" s="22" t="str">
        <f t="array" ref="J879">iF('Ingest Template'!A879="Standard","Pristine Brand",INDEX(DropdownLists!$B$2:$B$246,MATCH('Ingest Template'!D879,DropdownLists!$C$2:$C$246,0)))</f>
        <v>#N/A</v>
      </c>
      <c r="K879" s="22" t="str">
        <f>iF('Ingest Template'!A879="Standard",'Ingest Template'!K879&amp;CHAR(10)&amp;'Ingest Template'!L879,"Competitive View")</f>
        <v>Competitive View</v>
      </c>
      <c r="L879" s="22" t="s">
        <v>95</v>
      </c>
      <c r="M879" s="45" t="str">
        <f>'Ingest Template'!B879</f>
        <v/>
      </c>
      <c r="N879" s="35"/>
      <c r="O879" s="35"/>
      <c r="P879" s="35"/>
      <c r="Q879" s="35"/>
      <c r="R879" s="35" t="str">
        <f>'Ingest Template'!D879</f>
        <v/>
      </c>
      <c r="S879" s="22" t="s">
        <v>101</v>
      </c>
      <c r="T879" s="35" t="str">
        <f>'Ingest Template'!V879</f>
        <v/>
      </c>
      <c r="U879" s="35" t="str">
        <f>'Ingest Template'!W879</f>
        <v/>
      </c>
      <c r="V879" s="35" t="str">
        <f>LOWER(SUBSTITUTE(SUBSTITUTE(SUBSTITUTE(SUBSTITUTE(SUBSTITUTE('Ingest Template'!X879,"https:",""),"www.",""),"/",""),"?hl=en",""),"instagram.com",""))</f>
        <v/>
      </c>
      <c r="W879" s="74" t="str">
        <f t="array" ref="W879">IF(
'Ingest Template'!Y879="",
SUBSTITUTE(
INDEX(DropdownLists!$F$2:$F$277,MATCH('Ingest Template'!D879,DropdownLists!$C$2:$C$277,0)),
CHAR(10),
"|"&amp;'Ingest Template'!C879&amp;CHAR(10)
)&amp;"|"&amp;'Ingest Template'!C879,
SUBSTITUTE(
INDEX(DropdownLists!$F$2:$F$277,MATCH('Ingest Template'!D879,DropdownLists!$C$2:$C$277,0)),
CHAR(10),
"|"&amp;'Ingest Template'!C879&amp;CHAR(10)
)&amp;"|"&amp;'Ingest Template'!C879&amp;CHAR(10)&amp;'Ingest Template'!Y879
)</f>
        <v>#N/A</v>
      </c>
      <c r="X879" s="74" t="str">
        <f>'Ingest Template'!Z879</f>
        <v/>
      </c>
      <c r="Y879" s="35" t="str">
        <f>SUBSTITUTE(SUBSTITUTE(SUBSTITUTE('Ingest Template'!AA879,"http:",""),"https:",""),"/","")</f>
        <v/>
      </c>
      <c r="Z879" s="35" t="str">
        <f t="array" ref="Z879">IF('Ingest Template'!A879="Standard",(IF(ISBLANK('Ingest Template'!AB879),"", 'Ingest Template'!AB879&amp;"|DAR")),(IF(ISBLANK('Ingest Template'!AB879),"", 'Ingest Template'!AB879&amp;"|TV Ops")))</f>
        <v/>
      </c>
      <c r="AA879" s="35"/>
      <c r="AB879" s="35" t="str">
        <f>'Ingest Template'!R879</f>
        <v/>
      </c>
      <c r="AC879" s="35" t="str">
        <f>'Ingest Template'!T879</f>
        <v/>
      </c>
      <c r="AD879" s="35" t="str">
        <f>'Ingest Template'!S879</f>
        <v/>
      </c>
      <c r="AE879" s="35" t="str">
        <f>'Ingest Template'!U879</f>
        <v/>
      </c>
      <c r="AF879" s="22"/>
      <c r="AG879" s="35" t="str">
        <f t="array" ref="AG879">IF('Ingest Template'!A879="Standard",(CONCATENATE(IF(ISBLANK('Ingest Template'!N879),"", 'Ingest Template'!N879&amp;"|DAR"),CHAR(10), IF(ISBLANK('Ingest Template'!O879),"", 'Ingest Template'!O879&amp;"|DAR"),CHAR(10), IF(ISBLANK('Ingest Template'!P879),"", 'Ingest Template'!P879&amp;"|DAR"))),(CONCATENATE(IF(ISBLANK('Ingest Template'!N879),"", 'Ingest Template'!N879&amp;"|TV Ops"),CHAR(10), IF(ISBLANK('Ingest Template'!O879),"", 'Ingest Template'!O879&amp;"|TV Ops"),CHAR(10), IF(ISBLANK('Ingest Template'!P879),"", 'Ingest Template'!P879&amp;"|TV Ops"))))</f>
        <v>
</v>
      </c>
      <c r="AH879" s="35"/>
      <c r="AI879" s="35"/>
      <c r="AJ879" s="117" t="str">
        <f>if('Ingest Template'!A879="Standard",(IF(OR('Ingest Template'!F879 = "Program Type - Special", 'Ingest Template'!F879 = "Program Type - Live Event"),'Ingest Template'!M879&amp; "|DAR|DAR|"&amp;TEXT('Ingest Template'!C879-3, "yyyy-mm-dd")&amp;"|"&amp;TEXT('Ingest Template'!C879+3, "yyyy-mm-dd"),'Ingest Template'!M879&amp; "|DAR|DAR|2021-01-01")),(IF(OR('Ingest Template'!F879 = "Program Type - Special", 'Ingest Template'!F879 = "Program Type - Live Event"),'Ingest Template'!M879&amp; "|Operations - Core Title|Operations - Core Title|"&amp;TEXT('Ingest Template'!C879-3, "yyyy-mm-dd")&amp;"|"&amp;TEXT('Ingest Template'!C879+3, "yyyy-mm-dd"),'Ingest Template'!M879&amp; "|Operations - Core Title|Operations - Core Title")))</f>
        <v>|Operations - Core Title|Operations - Core Title</v>
      </c>
      <c r="AK879" s="35"/>
      <c r="AL879" s="117" t="str">
        <f>if('Ingest Template'!A879="Standard",(IF(OR('Ingest Template'!F879 = "Program Type - Special", 'Ingest Template'!F879 = "Program Type - Live Event"),'Ingest Template'!Q879&amp;"|"&amp;TEXT('Ingest Template'!C879-3, "yyyy-mm-dd")&amp;"|"&amp;TEXT('Ingest Template'!C879+3, "yyyy-mm-dd"),'Ingest Template'!Q879&amp; "|2021-01-01")),(IF(OR('Ingest Template'!F879 = "Program Type - Special", 'Ingest Template'!F879 = "Program Type - Live Event"),'Ingest Template'!Q879&amp; "|"&amp;TEXT('Ingest Template'!C879-3, "yyyy-mm-dd")&amp;"|"&amp;TEXT('Ingest Template'!C879+3, "yyyy-mm-dd"),'Ingest Template'!Q879)))</f>
        <v/>
      </c>
      <c r="AM879" s="35" t="str">
        <f>'Ingest Template'!AC879</f>
        <v/>
      </c>
    </row>
    <row r="880">
      <c r="A880" s="15"/>
      <c r="B880" s="22" t="str">
        <f>'Ingest Template'!C880&amp;IF('Ingest Template'!A880 = "Standard", " - DAR","")</f>
        <v/>
      </c>
      <c r="C880" s="22" t="s">
        <v>83</v>
      </c>
      <c r="D880" s="22" t="str">
        <f t="array" ref="D880">CONCATENATE(INDEX(DropdownLists!$H$2:$H$11,MATCH(1,COUNTIF('Ingest Template'!E880,"*"&amp;DropdownLists!$I$2:$I$11&amp;"*"),0)),CHAR(10),'Ingest Template'!F880,CHAR(10),'Ingest Template'!G880,CHAR(10),VLOOKUP('Ingest Template'!D880,DropdownLists!C:D,2,FALSE))</f>
        <v>#N/A</v>
      </c>
      <c r="E880" s="22" t="str">
        <f>CONCATENATE('Ingest Template'!H880,CHAR(10),'Ingest Template'!I880,CHAR(10),'Ingest Template'!J880,CHAR(10))</f>
        <v>
</v>
      </c>
      <c r="F880" s="35" t="str">
        <f t="array" ref="F880">INDEX(DropdownLists!$O$2:$O$36,MATCH(1,COUNTIF(E880,"*"&amp;DropdownLists!$N$2:$N$36&amp;"*"),0))</f>
        <v/>
      </c>
      <c r="G880" s="35"/>
      <c r="H880" s="22" t="str">
        <f t="array" ref="H880">INDEX(DropdownLists!$E$2:$E$276,MATCH('Ingest Template'!D880,DropdownLists!$C$2:$C$276,0))</f>
        <v>#N/A</v>
      </c>
      <c r="I880" s="22"/>
      <c r="J880" s="22" t="str">
        <f t="array" ref="J880">iF('Ingest Template'!A880="Standard","Pristine Brand",INDEX(DropdownLists!$B$2:$B$246,MATCH('Ingest Template'!D880,DropdownLists!$C$2:$C$246,0)))</f>
        <v>#N/A</v>
      </c>
      <c r="K880" s="22" t="str">
        <f>iF('Ingest Template'!A880="Standard",'Ingest Template'!K880&amp;CHAR(10)&amp;'Ingest Template'!L880,"Competitive View")</f>
        <v>Competitive View</v>
      </c>
      <c r="L880" s="22" t="s">
        <v>95</v>
      </c>
      <c r="M880" s="45" t="str">
        <f>'Ingest Template'!B880</f>
        <v/>
      </c>
      <c r="N880" s="35"/>
      <c r="O880" s="35"/>
      <c r="P880" s="35"/>
      <c r="Q880" s="35"/>
      <c r="R880" s="35" t="str">
        <f>'Ingest Template'!D880</f>
        <v/>
      </c>
      <c r="S880" s="22" t="s">
        <v>101</v>
      </c>
      <c r="T880" s="35" t="str">
        <f>'Ingest Template'!V880</f>
        <v/>
      </c>
      <c r="U880" s="35" t="str">
        <f>'Ingest Template'!W880</f>
        <v/>
      </c>
      <c r="V880" s="35" t="str">
        <f>LOWER(SUBSTITUTE(SUBSTITUTE(SUBSTITUTE(SUBSTITUTE(SUBSTITUTE('Ingest Template'!X880,"https:",""),"www.",""),"/",""),"?hl=en",""),"instagram.com",""))</f>
        <v/>
      </c>
      <c r="W880" s="74" t="str">
        <f t="array" ref="W880">IF(
'Ingest Template'!Y880="",
SUBSTITUTE(
INDEX(DropdownLists!$F$2:$F$277,MATCH('Ingest Template'!D880,DropdownLists!$C$2:$C$277,0)),
CHAR(10),
"|"&amp;'Ingest Template'!C880&amp;CHAR(10)
)&amp;"|"&amp;'Ingest Template'!C880,
SUBSTITUTE(
INDEX(DropdownLists!$F$2:$F$277,MATCH('Ingest Template'!D880,DropdownLists!$C$2:$C$277,0)),
CHAR(10),
"|"&amp;'Ingest Template'!C880&amp;CHAR(10)
)&amp;"|"&amp;'Ingest Template'!C880&amp;CHAR(10)&amp;'Ingest Template'!Y880
)</f>
        <v>#N/A</v>
      </c>
      <c r="X880" s="74" t="str">
        <f>'Ingest Template'!Z880</f>
        <v/>
      </c>
      <c r="Y880" s="35" t="str">
        <f>SUBSTITUTE(SUBSTITUTE(SUBSTITUTE('Ingest Template'!AA880,"http:",""),"https:",""),"/","")</f>
        <v/>
      </c>
      <c r="Z880" s="35" t="str">
        <f t="array" ref="Z880">IF('Ingest Template'!A880="Standard",(IF(ISBLANK('Ingest Template'!AB880),"", 'Ingest Template'!AB880&amp;"|DAR")),(IF(ISBLANK('Ingest Template'!AB880),"", 'Ingest Template'!AB880&amp;"|TV Ops")))</f>
        <v/>
      </c>
      <c r="AA880" s="35"/>
      <c r="AB880" s="35" t="str">
        <f>'Ingest Template'!R880</f>
        <v/>
      </c>
      <c r="AC880" s="35" t="str">
        <f>'Ingest Template'!T880</f>
        <v/>
      </c>
      <c r="AD880" s="35" t="str">
        <f>'Ingest Template'!S880</f>
        <v/>
      </c>
      <c r="AE880" s="35" t="str">
        <f>'Ingest Template'!U880</f>
        <v/>
      </c>
      <c r="AF880" s="22"/>
      <c r="AG880" s="35" t="str">
        <f t="array" ref="AG880">IF('Ingest Template'!A880="Standard",(CONCATENATE(IF(ISBLANK('Ingest Template'!N880),"", 'Ingest Template'!N880&amp;"|DAR"),CHAR(10), IF(ISBLANK('Ingest Template'!O880),"", 'Ingest Template'!O880&amp;"|DAR"),CHAR(10), IF(ISBLANK('Ingest Template'!P880),"", 'Ingest Template'!P880&amp;"|DAR"))),(CONCATENATE(IF(ISBLANK('Ingest Template'!N880),"", 'Ingest Template'!N880&amp;"|TV Ops"),CHAR(10), IF(ISBLANK('Ingest Template'!O880),"", 'Ingest Template'!O880&amp;"|TV Ops"),CHAR(10), IF(ISBLANK('Ingest Template'!P880),"", 'Ingest Template'!P880&amp;"|TV Ops"))))</f>
        <v>
</v>
      </c>
      <c r="AH880" s="35"/>
      <c r="AI880" s="35"/>
      <c r="AJ880" s="117" t="str">
        <f>if('Ingest Template'!A880="Standard",(IF(OR('Ingest Template'!F880 = "Program Type - Special", 'Ingest Template'!F880 = "Program Type - Live Event"),'Ingest Template'!M880&amp; "|DAR|DAR|"&amp;TEXT('Ingest Template'!C880-3, "yyyy-mm-dd")&amp;"|"&amp;TEXT('Ingest Template'!C880+3, "yyyy-mm-dd"),'Ingest Template'!M880&amp; "|DAR|DAR|2021-01-01")),(IF(OR('Ingest Template'!F880 = "Program Type - Special", 'Ingest Template'!F880 = "Program Type - Live Event"),'Ingest Template'!M880&amp; "|Operations - Core Title|Operations - Core Title|"&amp;TEXT('Ingest Template'!C880-3, "yyyy-mm-dd")&amp;"|"&amp;TEXT('Ingest Template'!C880+3, "yyyy-mm-dd"),'Ingest Template'!M880&amp; "|Operations - Core Title|Operations - Core Title")))</f>
        <v>|Operations - Core Title|Operations - Core Title</v>
      </c>
      <c r="AK880" s="35"/>
      <c r="AL880" s="117" t="str">
        <f>if('Ingest Template'!A880="Standard",(IF(OR('Ingest Template'!F880 = "Program Type - Special", 'Ingest Template'!F880 = "Program Type - Live Event"),'Ingest Template'!Q880&amp;"|"&amp;TEXT('Ingest Template'!C880-3, "yyyy-mm-dd")&amp;"|"&amp;TEXT('Ingest Template'!C880+3, "yyyy-mm-dd"),'Ingest Template'!Q880&amp; "|2021-01-01")),(IF(OR('Ingest Template'!F880 = "Program Type - Special", 'Ingest Template'!F880 = "Program Type - Live Event"),'Ingest Template'!Q880&amp; "|"&amp;TEXT('Ingest Template'!C880-3, "yyyy-mm-dd")&amp;"|"&amp;TEXT('Ingest Template'!C880+3, "yyyy-mm-dd"),'Ingest Template'!Q880)))</f>
        <v/>
      </c>
      <c r="AM880" s="35" t="str">
        <f>'Ingest Template'!AC880</f>
        <v/>
      </c>
    </row>
    <row r="881">
      <c r="A881" s="15"/>
      <c r="B881" s="22" t="str">
        <f>'Ingest Template'!C881&amp;IF('Ingest Template'!A881 = "Standard", " - DAR","")</f>
        <v/>
      </c>
      <c r="C881" s="22" t="s">
        <v>83</v>
      </c>
      <c r="D881" s="22" t="str">
        <f t="array" ref="D881">CONCATENATE(INDEX(DropdownLists!$H$2:$H$11,MATCH(1,COUNTIF('Ingest Template'!E881,"*"&amp;DropdownLists!$I$2:$I$11&amp;"*"),0)),CHAR(10),'Ingest Template'!F881,CHAR(10),'Ingest Template'!G881,CHAR(10),VLOOKUP('Ingest Template'!D881,DropdownLists!C:D,2,FALSE))</f>
        <v>#N/A</v>
      </c>
      <c r="E881" s="22" t="str">
        <f>CONCATENATE('Ingest Template'!H881,CHAR(10),'Ingest Template'!I881,CHAR(10),'Ingest Template'!J881,CHAR(10))</f>
        <v>
</v>
      </c>
      <c r="F881" s="35" t="str">
        <f t="array" ref="F881">INDEX(DropdownLists!$O$2:$O$36,MATCH(1,COUNTIF(E881,"*"&amp;DropdownLists!$N$2:$N$36&amp;"*"),0))</f>
        <v/>
      </c>
      <c r="G881" s="35"/>
      <c r="H881" s="22" t="str">
        <f t="array" ref="H881">INDEX(DropdownLists!$E$2:$E$276,MATCH('Ingest Template'!D881,DropdownLists!$C$2:$C$276,0))</f>
        <v>#N/A</v>
      </c>
      <c r="I881" s="22"/>
      <c r="J881" s="22" t="str">
        <f t="array" ref="J881">iF('Ingest Template'!A881="Standard","Pristine Brand",INDEX(DropdownLists!$B$2:$B$246,MATCH('Ingest Template'!D881,DropdownLists!$C$2:$C$246,0)))</f>
        <v>#N/A</v>
      </c>
      <c r="K881" s="22" t="str">
        <f>iF('Ingest Template'!A881="Standard",'Ingest Template'!K881&amp;CHAR(10)&amp;'Ingest Template'!L881,"Competitive View")</f>
        <v>Competitive View</v>
      </c>
      <c r="L881" s="22" t="s">
        <v>95</v>
      </c>
      <c r="M881" s="45" t="str">
        <f>'Ingest Template'!B881</f>
        <v/>
      </c>
      <c r="N881" s="35"/>
      <c r="O881" s="35"/>
      <c r="P881" s="35"/>
      <c r="Q881" s="35"/>
      <c r="R881" s="35" t="str">
        <f>'Ingest Template'!D881</f>
        <v/>
      </c>
      <c r="S881" s="22" t="s">
        <v>101</v>
      </c>
      <c r="T881" s="35" t="str">
        <f>'Ingest Template'!V881</f>
        <v/>
      </c>
      <c r="U881" s="35" t="str">
        <f>'Ingest Template'!W881</f>
        <v/>
      </c>
      <c r="V881" s="35" t="str">
        <f>LOWER(SUBSTITUTE(SUBSTITUTE(SUBSTITUTE(SUBSTITUTE(SUBSTITUTE('Ingest Template'!X881,"https:",""),"www.",""),"/",""),"?hl=en",""),"instagram.com",""))</f>
        <v/>
      </c>
      <c r="W881" s="74" t="str">
        <f t="array" ref="W881">IF(
'Ingest Template'!Y881="",
SUBSTITUTE(
INDEX(DropdownLists!$F$2:$F$277,MATCH('Ingest Template'!D881,DropdownLists!$C$2:$C$277,0)),
CHAR(10),
"|"&amp;'Ingest Template'!C881&amp;CHAR(10)
)&amp;"|"&amp;'Ingest Template'!C881,
SUBSTITUTE(
INDEX(DropdownLists!$F$2:$F$277,MATCH('Ingest Template'!D881,DropdownLists!$C$2:$C$277,0)),
CHAR(10),
"|"&amp;'Ingest Template'!C881&amp;CHAR(10)
)&amp;"|"&amp;'Ingest Template'!C881&amp;CHAR(10)&amp;'Ingest Template'!Y881
)</f>
        <v>#N/A</v>
      </c>
      <c r="X881" s="74" t="str">
        <f>'Ingest Template'!Z881</f>
        <v/>
      </c>
      <c r="Y881" s="35" t="str">
        <f>SUBSTITUTE(SUBSTITUTE(SUBSTITUTE('Ingest Template'!AA881,"http:",""),"https:",""),"/","")</f>
        <v/>
      </c>
      <c r="Z881" s="35" t="str">
        <f t="array" ref="Z881">IF('Ingest Template'!A881="Standard",(IF(ISBLANK('Ingest Template'!AB881),"", 'Ingest Template'!AB881&amp;"|DAR")),(IF(ISBLANK('Ingest Template'!AB881),"", 'Ingest Template'!AB881&amp;"|TV Ops")))</f>
        <v/>
      </c>
      <c r="AA881" s="35"/>
      <c r="AB881" s="35" t="str">
        <f>'Ingest Template'!R881</f>
        <v/>
      </c>
      <c r="AC881" s="35" t="str">
        <f>'Ingest Template'!T881</f>
        <v/>
      </c>
      <c r="AD881" s="35" t="str">
        <f>'Ingest Template'!S881</f>
        <v/>
      </c>
      <c r="AE881" s="35" t="str">
        <f>'Ingest Template'!U881</f>
        <v/>
      </c>
      <c r="AF881" s="22"/>
      <c r="AG881" s="35" t="str">
        <f t="array" ref="AG881">IF('Ingest Template'!A881="Standard",(CONCATENATE(IF(ISBLANK('Ingest Template'!N881),"", 'Ingest Template'!N881&amp;"|DAR"),CHAR(10), IF(ISBLANK('Ingest Template'!O881),"", 'Ingest Template'!O881&amp;"|DAR"),CHAR(10), IF(ISBLANK('Ingest Template'!P881),"", 'Ingest Template'!P881&amp;"|DAR"))),(CONCATENATE(IF(ISBLANK('Ingest Template'!N881),"", 'Ingest Template'!N881&amp;"|TV Ops"),CHAR(10), IF(ISBLANK('Ingest Template'!O881),"", 'Ingest Template'!O881&amp;"|TV Ops"),CHAR(10), IF(ISBLANK('Ingest Template'!P881),"", 'Ingest Template'!P881&amp;"|TV Ops"))))</f>
        <v>
</v>
      </c>
      <c r="AH881" s="35"/>
      <c r="AI881" s="35"/>
      <c r="AJ881" s="117" t="str">
        <f>if('Ingest Template'!A881="Standard",(IF(OR('Ingest Template'!F881 = "Program Type - Special", 'Ingest Template'!F881 = "Program Type - Live Event"),'Ingest Template'!M881&amp; "|DAR|DAR|"&amp;TEXT('Ingest Template'!C881-3, "yyyy-mm-dd")&amp;"|"&amp;TEXT('Ingest Template'!C881+3, "yyyy-mm-dd"),'Ingest Template'!M881&amp; "|DAR|DAR|2021-01-01")),(IF(OR('Ingest Template'!F881 = "Program Type - Special", 'Ingest Template'!F881 = "Program Type - Live Event"),'Ingest Template'!M881&amp; "|Operations - Core Title|Operations - Core Title|"&amp;TEXT('Ingest Template'!C881-3, "yyyy-mm-dd")&amp;"|"&amp;TEXT('Ingest Template'!C881+3, "yyyy-mm-dd"),'Ingest Template'!M881&amp; "|Operations - Core Title|Operations - Core Title")))</f>
        <v>|Operations - Core Title|Operations - Core Title</v>
      </c>
      <c r="AK881" s="35"/>
      <c r="AL881" s="117" t="str">
        <f>if('Ingest Template'!A881="Standard",(IF(OR('Ingest Template'!F881 = "Program Type - Special", 'Ingest Template'!F881 = "Program Type - Live Event"),'Ingest Template'!Q881&amp;"|"&amp;TEXT('Ingest Template'!C881-3, "yyyy-mm-dd")&amp;"|"&amp;TEXT('Ingest Template'!C881+3, "yyyy-mm-dd"),'Ingest Template'!Q881&amp; "|2021-01-01")),(IF(OR('Ingest Template'!F881 = "Program Type - Special", 'Ingest Template'!F881 = "Program Type - Live Event"),'Ingest Template'!Q881&amp; "|"&amp;TEXT('Ingest Template'!C881-3, "yyyy-mm-dd")&amp;"|"&amp;TEXT('Ingest Template'!C881+3, "yyyy-mm-dd"),'Ingest Template'!Q881)))</f>
        <v/>
      </c>
      <c r="AM881" s="35" t="str">
        <f>'Ingest Template'!AC881</f>
        <v/>
      </c>
    </row>
    <row r="882">
      <c r="A882" s="15"/>
      <c r="B882" s="22" t="str">
        <f>'Ingest Template'!C882&amp;IF('Ingest Template'!A882 = "Standard", " - DAR","")</f>
        <v/>
      </c>
      <c r="C882" s="22" t="s">
        <v>83</v>
      </c>
      <c r="D882" s="22" t="str">
        <f t="array" ref="D882">CONCATENATE(INDEX(DropdownLists!$H$2:$H$11,MATCH(1,COUNTIF('Ingest Template'!E882,"*"&amp;DropdownLists!$I$2:$I$11&amp;"*"),0)),CHAR(10),'Ingest Template'!F882,CHAR(10),'Ingest Template'!G882,CHAR(10),VLOOKUP('Ingest Template'!D882,DropdownLists!C:D,2,FALSE))</f>
        <v>#N/A</v>
      </c>
      <c r="E882" s="22" t="str">
        <f>CONCATENATE('Ingest Template'!H882,CHAR(10),'Ingest Template'!I882,CHAR(10),'Ingest Template'!J882,CHAR(10))</f>
        <v>
</v>
      </c>
      <c r="F882" s="35" t="str">
        <f t="array" ref="F882">INDEX(DropdownLists!$O$2:$O$36,MATCH(1,COUNTIF(E882,"*"&amp;DropdownLists!$N$2:$N$36&amp;"*"),0))</f>
        <v/>
      </c>
      <c r="G882" s="35"/>
      <c r="H882" s="22" t="str">
        <f t="array" ref="H882">INDEX(DropdownLists!$E$2:$E$276,MATCH('Ingest Template'!D882,DropdownLists!$C$2:$C$276,0))</f>
        <v>#N/A</v>
      </c>
      <c r="I882" s="22"/>
      <c r="J882" s="22" t="str">
        <f t="array" ref="J882">iF('Ingest Template'!A882="Standard","Pristine Brand",INDEX(DropdownLists!$B$2:$B$246,MATCH('Ingest Template'!D882,DropdownLists!$C$2:$C$246,0)))</f>
        <v>#N/A</v>
      </c>
      <c r="K882" s="22" t="str">
        <f>iF('Ingest Template'!A882="Standard",'Ingest Template'!K882&amp;CHAR(10)&amp;'Ingest Template'!L882,"Competitive View")</f>
        <v>Competitive View</v>
      </c>
      <c r="L882" s="22" t="s">
        <v>95</v>
      </c>
      <c r="M882" s="45" t="str">
        <f>'Ingest Template'!B882</f>
        <v/>
      </c>
      <c r="N882" s="35"/>
      <c r="O882" s="35"/>
      <c r="P882" s="35"/>
      <c r="Q882" s="35"/>
      <c r="R882" s="35" t="str">
        <f>'Ingest Template'!D882</f>
        <v/>
      </c>
      <c r="S882" s="22" t="s">
        <v>101</v>
      </c>
      <c r="T882" s="35" t="str">
        <f>'Ingest Template'!V882</f>
        <v/>
      </c>
      <c r="U882" s="35" t="str">
        <f>'Ingest Template'!W882</f>
        <v/>
      </c>
      <c r="V882" s="35" t="str">
        <f>LOWER(SUBSTITUTE(SUBSTITUTE(SUBSTITUTE(SUBSTITUTE(SUBSTITUTE('Ingest Template'!X882,"https:",""),"www.",""),"/",""),"?hl=en",""),"instagram.com",""))</f>
        <v/>
      </c>
      <c r="W882" s="74" t="str">
        <f t="array" ref="W882">IF(
'Ingest Template'!Y882="",
SUBSTITUTE(
INDEX(DropdownLists!$F$2:$F$277,MATCH('Ingest Template'!D882,DropdownLists!$C$2:$C$277,0)),
CHAR(10),
"|"&amp;'Ingest Template'!C882&amp;CHAR(10)
)&amp;"|"&amp;'Ingest Template'!C882,
SUBSTITUTE(
INDEX(DropdownLists!$F$2:$F$277,MATCH('Ingest Template'!D882,DropdownLists!$C$2:$C$277,0)),
CHAR(10),
"|"&amp;'Ingest Template'!C882&amp;CHAR(10)
)&amp;"|"&amp;'Ingest Template'!C882&amp;CHAR(10)&amp;'Ingest Template'!Y882
)</f>
        <v>#N/A</v>
      </c>
      <c r="X882" s="74" t="str">
        <f>'Ingest Template'!Z882</f>
        <v/>
      </c>
      <c r="Y882" s="35" t="str">
        <f>SUBSTITUTE(SUBSTITUTE(SUBSTITUTE('Ingest Template'!AA882,"http:",""),"https:",""),"/","")</f>
        <v/>
      </c>
      <c r="Z882" s="35" t="str">
        <f t="array" ref="Z882">IF('Ingest Template'!A882="Standard",(IF(ISBLANK('Ingest Template'!AB882),"", 'Ingest Template'!AB882&amp;"|DAR")),(IF(ISBLANK('Ingest Template'!AB882),"", 'Ingest Template'!AB882&amp;"|TV Ops")))</f>
        <v/>
      </c>
      <c r="AA882" s="35"/>
      <c r="AB882" s="35" t="str">
        <f>'Ingest Template'!R882</f>
        <v/>
      </c>
      <c r="AC882" s="35" t="str">
        <f>'Ingest Template'!T882</f>
        <v/>
      </c>
      <c r="AD882" s="35" t="str">
        <f>'Ingest Template'!S882</f>
        <v/>
      </c>
      <c r="AE882" s="35" t="str">
        <f>'Ingest Template'!U882</f>
        <v/>
      </c>
      <c r="AF882" s="22"/>
      <c r="AG882" s="35" t="str">
        <f t="array" ref="AG882">IF('Ingest Template'!A882="Standard",(CONCATENATE(IF(ISBLANK('Ingest Template'!N882),"", 'Ingest Template'!N882&amp;"|DAR"),CHAR(10), IF(ISBLANK('Ingest Template'!O882),"", 'Ingest Template'!O882&amp;"|DAR"),CHAR(10), IF(ISBLANK('Ingest Template'!P882),"", 'Ingest Template'!P882&amp;"|DAR"))),(CONCATENATE(IF(ISBLANK('Ingest Template'!N882),"", 'Ingest Template'!N882&amp;"|TV Ops"),CHAR(10), IF(ISBLANK('Ingest Template'!O882),"", 'Ingest Template'!O882&amp;"|TV Ops"),CHAR(10), IF(ISBLANK('Ingest Template'!P882),"", 'Ingest Template'!P882&amp;"|TV Ops"))))</f>
        <v>
</v>
      </c>
      <c r="AH882" s="35"/>
      <c r="AI882" s="35"/>
      <c r="AJ882" s="117" t="str">
        <f>if('Ingest Template'!A882="Standard",(IF(OR('Ingest Template'!F882 = "Program Type - Special", 'Ingest Template'!F882 = "Program Type - Live Event"),'Ingest Template'!M882&amp; "|DAR|DAR|"&amp;TEXT('Ingest Template'!C882-3, "yyyy-mm-dd")&amp;"|"&amp;TEXT('Ingest Template'!C882+3, "yyyy-mm-dd"),'Ingest Template'!M882&amp; "|DAR|DAR|2021-01-01")),(IF(OR('Ingest Template'!F882 = "Program Type - Special", 'Ingest Template'!F882 = "Program Type - Live Event"),'Ingest Template'!M882&amp; "|Operations - Core Title|Operations - Core Title|"&amp;TEXT('Ingest Template'!C882-3, "yyyy-mm-dd")&amp;"|"&amp;TEXT('Ingest Template'!C882+3, "yyyy-mm-dd"),'Ingest Template'!M882&amp; "|Operations - Core Title|Operations - Core Title")))</f>
        <v>|Operations - Core Title|Operations - Core Title</v>
      </c>
      <c r="AK882" s="35"/>
      <c r="AL882" s="117" t="str">
        <f>if('Ingest Template'!A882="Standard",(IF(OR('Ingest Template'!F882 = "Program Type - Special", 'Ingest Template'!F882 = "Program Type - Live Event"),'Ingest Template'!Q882&amp;"|"&amp;TEXT('Ingest Template'!C882-3, "yyyy-mm-dd")&amp;"|"&amp;TEXT('Ingest Template'!C882+3, "yyyy-mm-dd"),'Ingest Template'!Q882&amp; "|2021-01-01")),(IF(OR('Ingest Template'!F882 = "Program Type - Special", 'Ingest Template'!F882 = "Program Type - Live Event"),'Ingest Template'!Q882&amp; "|"&amp;TEXT('Ingest Template'!C882-3, "yyyy-mm-dd")&amp;"|"&amp;TEXT('Ingest Template'!C882+3, "yyyy-mm-dd"),'Ingest Template'!Q882)))</f>
        <v/>
      </c>
      <c r="AM882" s="35" t="str">
        <f>'Ingest Template'!AC882</f>
        <v/>
      </c>
    </row>
    <row r="883">
      <c r="A883" s="15"/>
      <c r="B883" s="22" t="str">
        <f>'Ingest Template'!C883&amp;IF('Ingest Template'!A883 = "Standard", " - DAR","")</f>
        <v/>
      </c>
      <c r="C883" s="22" t="s">
        <v>83</v>
      </c>
      <c r="D883" s="22" t="str">
        <f t="array" ref="D883">CONCATENATE(INDEX(DropdownLists!$H$2:$H$11,MATCH(1,COUNTIF('Ingest Template'!E883,"*"&amp;DropdownLists!$I$2:$I$11&amp;"*"),0)),CHAR(10),'Ingest Template'!F883,CHAR(10),'Ingest Template'!G883,CHAR(10),VLOOKUP('Ingest Template'!D883,DropdownLists!C:D,2,FALSE))</f>
        <v>#N/A</v>
      </c>
      <c r="E883" s="22" t="str">
        <f>CONCATENATE('Ingest Template'!H883,CHAR(10),'Ingest Template'!I883,CHAR(10),'Ingest Template'!J883,CHAR(10))</f>
        <v>
</v>
      </c>
      <c r="F883" s="35" t="str">
        <f t="array" ref="F883">INDEX(DropdownLists!$O$2:$O$36,MATCH(1,COUNTIF(E883,"*"&amp;DropdownLists!$N$2:$N$36&amp;"*"),0))</f>
        <v/>
      </c>
      <c r="G883" s="35"/>
      <c r="H883" s="22" t="str">
        <f t="array" ref="H883">INDEX(DropdownLists!$E$2:$E$276,MATCH('Ingest Template'!D883,DropdownLists!$C$2:$C$276,0))</f>
        <v>#N/A</v>
      </c>
      <c r="I883" s="22"/>
      <c r="J883" s="22" t="str">
        <f t="array" ref="J883">iF('Ingest Template'!A883="Standard","Pristine Brand",INDEX(DropdownLists!$B$2:$B$246,MATCH('Ingest Template'!D883,DropdownLists!$C$2:$C$246,0)))</f>
        <v>#N/A</v>
      </c>
      <c r="K883" s="22" t="str">
        <f>iF('Ingest Template'!A883="Standard",'Ingest Template'!K883&amp;CHAR(10)&amp;'Ingest Template'!L883,"Competitive View")</f>
        <v>Competitive View</v>
      </c>
      <c r="L883" s="22" t="s">
        <v>95</v>
      </c>
      <c r="M883" s="45" t="str">
        <f>'Ingest Template'!B883</f>
        <v/>
      </c>
      <c r="N883" s="35"/>
      <c r="O883" s="35"/>
      <c r="P883" s="35"/>
      <c r="Q883" s="35"/>
      <c r="R883" s="35" t="str">
        <f>'Ingest Template'!D883</f>
        <v/>
      </c>
      <c r="S883" s="22" t="s">
        <v>101</v>
      </c>
      <c r="T883" s="35" t="str">
        <f>'Ingest Template'!V883</f>
        <v/>
      </c>
      <c r="U883" s="35" t="str">
        <f>'Ingest Template'!W883</f>
        <v/>
      </c>
      <c r="V883" s="35" t="str">
        <f>LOWER(SUBSTITUTE(SUBSTITUTE(SUBSTITUTE(SUBSTITUTE(SUBSTITUTE('Ingest Template'!X883,"https:",""),"www.",""),"/",""),"?hl=en",""),"instagram.com",""))</f>
        <v/>
      </c>
      <c r="W883" s="74" t="str">
        <f t="array" ref="W883">IF(
'Ingest Template'!Y883="",
SUBSTITUTE(
INDEX(DropdownLists!$F$2:$F$277,MATCH('Ingest Template'!D883,DropdownLists!$C$2:$C$277,0)),
CHAR(10),
"|"&amp;'Ingest Template'!C883&amp;CHAR(10)
)&amp;"|"&amp;'Ingest Template'!C883,
SUBSTITUTE(
INDEX(DropdownLists!$F$2:$F$277,MATCH('Ingest Template'!D883,DropdownLists!$C$2:$C$277,0)),
CHAR(10),
"|"&amp;'Ingest Template'!C883&amp;CHAR(10)
)&amp;"|"&amp;'Ingest Template'!C883&amp;CHAR(10)&amp;'Ingest Template'!Y883
)</f>
        <v>#N/A</v>
      </c>
      <c r="X883" s="74" t="str">
        <f>'Ingest Template'!Z883</f>
        <v/>
      </c>
      <c r="Y883" s="35" t="str">
        <f>SUBSTITUTE(SUBSTITUTE(SUBSTITUTE('Ingest Template'!AA883,"http:",""),"https:",""),"/","")</f>
        <v/>
      </c>
      <c r="Z883" s="35" t="str">
        <f t="array" ref="Z883">IF('Ingest Template'!A883="Standard",(IF(ISBLANK('Ingest Template'!AB883),"", 'Ingest Template'!AB883&amp;"|DAR")),(IF(ISBLANK('Ingest Template'!AB883),"", 'Ingest Template'!AB883&amp;"|TV Ops")))</f>
        <v/>
      </c>
      <c r="AA883" s="35"/>
      <c r="AB883" s="35" t="str">
        <f>'Ingest Template'!R883</f>
        <v/>
      </c>
      <c r="AC883" s="35" t="str">
        <f>'Ingest Template'!T883</f>
        <v/>
      </c>
      <c r="AD883" s="35" t="str">
        <f>'Ingest Template'!S883</f>
        <v/>
      </c>
      <c r="AE883" s="35" t="str">
        <f>'Ingest Template'!U883</f>
        <v/>
      </c>
      <c r="AF883" s="22"/>
      <c r="AG883" s="35" t="str">
        <f t="array" ref="AG883">IF('Ingest Template'!A883="Standard",(CONCATENATE(IF(ISBLANK('Ingest Template'!N883),"", 'Ingest Template'!N883&amp;"|DAR"),CHAR(10), IF(ISBLANK('Ingest Template'!O883),"", 'Ingest Template'!O883&amp;"|DAR"),CHAR(10), IF(ISBLANK('Ingest Template'!P883),"", 'Ingest Template'!P883&amp;"|DAR"))),(CONCATENATE(IF(ISBLANK('Ingest Template'!N883),"", 'Ingest Template'!N883&amp;"|TV Ops"),CHAR(10), IF(ISBLANK('Ingest Template'!O883),"", 'Ingest Template'!O883&amp;"|TV Ops"),CHAR(10), IF(ISBLANK('Ingest Template'!P883),"", 'Ingest Template'!P883&amp;"|TV Ops"))))</f>
        <v>
</v>
      </c>
      <c r="AH883" s="35"/>
      <c r="AI883" s="35"/>
      <c r="AJ883" s="117" t="str">
        <f>if('Ingest Template'!A883="Standard",(IF(OR('Ingest Template'!F883 = "Program Type - Special", 'Ingest Template'!F883 = "Program Type - Live Event"),'Ingest Template'!M883&amp; "|DAR|DAR|"&amp;TEXT('Ingest Template'!C883-3, "yyyy-mm-dd")&amp;"|"&amp;TEXT('Ingest Template'!C883+3, "yyyy-mm-dd"),'Ingest Template'!M883&amp; "|DAR|DAR|2021-01-01")),(IF(OR('Ingest Template'!F883 = "Program Type - Special", 'Ingest Template'!F883 = "Program Type - Live Event"),'Ingest Template'!M883&amp; "|Operations - Core Title|Operations - Core Title|"&amp;TEXT('Ingest Template'!C883-3, "yyyy-mm-dd")&amp;"|"&amp;TEXT('Ingest Template'!C883+3, "yyyy-mm-dd"),'Ingest Template'!M883&amp; "|Operations - Core Title|Operations - Core Title")))</f>
        <v>|Operations - Core Title|Operations - Core Title</v>
      </c>
      <c r="AK883" s="35"/>
      <c r="AL883" s="117" t="str">
        <f>if('Ingest Template'!A883="Standard",(IF(OR('Ingest Template'!F883 = "Program Type - Special", 'Ingest Template'!F883 = "Program Type - Live Event"),'Ingest Template'!Q883&amp;"|"&amp;TEXT('Ingest Template'!C883-3, "yyyy-mm-dd")&amp;"|"&amp;TEXT('Ingest Template'!C883+3, "yyyy-mm-dd"),'Ingest Template'!Q883&amp; "|2021-01-01")),(IF(OR('Ingest Template'!F883 = "Program Type - Special", 'Ingest Template'!F883 = "Program Type - Live Event"),'Ingest Template'!Q883&amp; "|"&amp;TEXT('Ingest Template'!C883-3, "yyyy-mm-dd")&amp;"|"&amp;TEXT('Ingest Template'!C883+3, "yyyy-mm-dd"),'Ingest Template'!Q883)))</f>
        <v/>
      </c>
      <c r="AM883" s="35" t="str">
        <f>'Ingest Template'!AC883</f>
        <v/>
      </c>
    </row>
    <row r="884">
      <c r="A884" s="15"/>
      <c r="B884" s="22" t="str">
        <f>'Ingest Template'!C884&amp;IF('Ingest Template'!A884 = "Standard", " - DAR","")</f>
        <v/>
      </c>
      <c r="C884" s="22" t="s">
        <v>83</v>
      </c>
      <c r="D884" s="22" t="str">
        <f t="array" ref="D884">CONCATENATE(INDEX(DropdownLists!$H$2:$H$11,MATCH(1,COUNTIF('Ingest Template'!E884,"*"&amp;DropdownLists!$I$2:$I$11&amp;"*"),0)),CHAR(10),'Ingest Template'!F884,CHAR(10),'Ingest Template'!G884,CHAR(10),VLOOKUP('Ingest Template'!D884,DropdownLists!C:D,2,FALSE))</f>
        <v>#N/A</v>
      </c>
      <c r="E884" s="22" t="str">
        <f>CONCATENATE('Ingest Template'!H884,CHAR(10),'Ingest Template'!I884,CHAR(10),'Ingest Template'!J884,CHAR(10))</f>
        <v>
</v>
      </c>
      <c r="F884" s="35" t="str">
        <f t="array" ref="F884">INDEX(DropdownLists!$O$2:$O$36,MATCH(1,COUNTIF(E884,"*"&amp;DropdownLists!$N$2:$N$36&amp;"*"),0))</f>
        <v/>
      </c>
      <c r="G884" s="35"/>
      <c r="H884" s="22" t="str">
        <f t="array" ref="H884">INDEX(DropdownLists!$E$2:$E$276,MATCH('Ingest Template'!D884,DropdownLists!$C$2:$C$276,0))</f>
        <v>#N/A</v>
      </c>
      <c r="I884" s="22"/>
      <c r="J884" s="22" t="str">
        <f t="array" ref="J884">iF('Ingest Template'!A884="Standard","Pristine Brand",INDEX(DropdownLists!$B$2:$B$246,MATCH('Ingest Template'!D884,DropdownLists!$C$2:$C$246,0)))</f>
        <v>#N/A</v>
      </c>
      <c r="K884" s="22" t="str">
        <f>iF('Ingest Template'!A884="Standard",'Ingest Template'!K884&amp;CHAR(10)&amp;'Ingest Template'!L884,"Competitive View")</f>
        <v>Competitive View</v>
      </c>
      <c r="L884" s="22" t="s">
        <v>95</v>
      </c>
      <c r="M884" s="45" t="str">
        <f>'Ingest Template'!B884</f>
        <v/>
      </c>
      <c r="N884" s="35"/>
      <c r="O884" s="35"/>
      <c r="P884" s="35"/>
      <c r="Q884" s="35"/>
      <c r="R884" s="35" t="str">
        <f>'Ingest Template'!D884</f>
        <v/>
      </c>
      <c r="S884" s="22" t="s">
        <v>101</v>
      </c>
      <c r="T884" s="35" t="str">
        <f>'Ingest Template'!V884</f>
        <v/>
      </c>
      <c r="U884" s="35" t="str">
        <f>'Ingest Template'!W884</f>
        <v/>
      </c>
      <c r="V884" s="35" t="str">
        <f>LOWER(SUBSTITUTE(SUBSTITUTE(SUBSTITUTE(SUBSTITUTE(SUBSTITUTE('Ingest Template'!X884,"https:",""),"www.",""),"/",""),"?hl=en",""),"instagram.com",""))</f>
        <v/>
      </c>
      <c r="W884" s="74" t="str">
        <f t="array" ref="W884">IF(
'Ingest Template'!Y884="",
SUBSTITUTE(
INDEX(DropdownLists!$F$2:$F$277,MATCH('Ingest Template'!D884,DropdownLists!$C$2:$C$277,0)),
CHAR(10),
"|"&amp;'Ingest Template'!C884&amp;CHAR(10)
)&amp;"|"&amp;'Ingest Template'!C884,
SUBSTITUTE(
INDEX(DropdownLists!$F$2:$F$277,MATCH('Ingest Template'!D884,DropdownLists!$C$2:$C$277,0)),
CHAR(10),
"|"&amp;'Ingest Template'!C884&amp;CHAR(10)
)&amp;"|"&amp;'Ingest Template'!C884&amp;CHAR(10)&amp;'Ingest Template'!Y884
)</f>
        <v>#N/A</v>
      </c>
      <c r="X884" s="74" t="str">
        <f>'Ingest Template'!Z884</f>
        <v/>
      </c>
      <c r="Y884" s="35" t="str">
        <f>SUBSTITUTE(SUBSTITUTE(SUBSTITUTE('Ingest Template'!AA884,"http:",""),"https:",""),"/","")</f>
        <v/>
      </c>
      <c r="Z884" s="35" t="str">
        <f t="array" ref="Z884">IF('Ingest Template'!A884="Standard",(IF(ISBLANK('Ingest Template'!AB884),"", 'Ingest Template'!AB884&amp;"|DAR")),(IF(ISBLANK('Ingest Template'!AB884),"", 'Ingest Template'!AB884&amp;"|TV Ops")))</f>
        <v/>
      </c>
      <c r="AA884" s="35"/>
      <c r="AB884" s="35" t="str">
        <f>'Ingest Template'!R884</f>
        <v/>
      </c>
      <c r="AC884" s="35" t="str">
        <f>'Ingest Template'!T884</f>
        <v/>
      </c>
      <c r="AD884" s="35" t="str">
        <f>'Ingest Template'!S884</f>
        <v/>
      </c>
      <c r="AE884" s="35" t="str">
        <f>'Ingest Template'!U884</f>
        <v/>
      </c>
      <c r="AF884" s="22"/>
      <c r="AG884" s="35" t="str">
        <f t="array" ref="AG884">IF('Ingest Template'!A884="Standard",(CONCATENATE(IF(ISBLANK('Ingest Template'!N884),"", 'Ingest Template'!N884&amp;"|DAR"),CHAR(10), IF(ISBLANK('Ingest Template'!O884),"", 'Ingest Template'!O884&amp;"|DAR"),CHAR(10), IF(ISBLANK('Ingest Template'!P884),"", 'Ingest Template'!P884&amp;"|DAR"))),(CONCATENATE(IF(ISBLANK('Ingest Template'!N884),"", 'Ingest Template'!N884&amp;"|TV Ops"),CHAR(10), IF(ISBLANK('Ingest Template'!O884),"", 'Ingest Template'!O884&amp;"|TV Ops"),CHAR(10), IF(ISBLANK('Ingest Template'!P884),"", 'Ingest Template'!P884&amp;"|TV Ops"))))</f>
        <v>
</v>
      </c>
      <c r="AH884" s="35"/>
      <c r="AI884" s="35"/>
      <c r="AJ884" s="117" t="str">
        <f>if('Ingest Template'!A884="Standard",(IF(OR('Ingest Template'!F884 = "Program Type - Special", 'Ingest Template'!F884 = "Program Type - Live Event"),'Ingest Template'!M884&amp; "|DAR|DAR|"&amp;TEXT('Ingest Template'!C884-3, "yyyy-mm-dd")&amp;"|"&amp;TEXT('Ingest Template'!C884+3, "yyyy-mm-dd"),'Ingest Template'!M884&amp; "|DAR|DAR|2021-01-01")),(IF(OR('Ingest Template'!F884 = "Program Type - Special", 'Ingest Template'!F884 = "Program Type - Live Event"),'Ingest Template'!M884&amp; "|Operations - Core Title|Operations - Core Title|"&amp;TEXT('Ingest Template'!C884-3, "yyyy-mm-dd")&amp;"|"&amp;TEXT('Ingest Template'!C884+3, "yyyy-mm-dd"),'Ingest Template'!M884&amp; "|Operations - Core Title|Operations - Core Title")))</f>
        <v>|Operations - Core Title|Operations - Core Title</v>
      </c>
      <c r="AK884" s="35"/>
      <c r="AL884" s="117" t="str">
        <f>if('Ingest Template'!A884="Standard",(IF(OR('Ingest Template'!F884 = "Program Type - Special", 'Ingest Template'!F884 = "Program Type - Live Event"),'Ingest Template'!Q884&amp;"|"&amp;TEXT('Ingest Template'!C884-3, "yyyy-mm-dd")&amp;"|"&amp;TEXT('Ingest Template'!C884+3, "yyyy-mm-dd"),'Ingest Template'!Q884&amp; "|2021-01-01")),(IF(OR('Ingest Template'!F884 = "Program Type - Special", 'Ingest Template'!F884 = "Program Type - Live Event"),'Ingest Template'!Q884&amp; "|"&amp;TEXT('Ingest Template'!C884-3, "yyyy-mm-dd")&amp;"|"&amp;TEXT('Ingest Template'!C884+3, "yyyy-mm-dd"),'Ingest Template'!Q884)))</f>
        <v/>
      </c>
      <c r="AM884" s="35" t="str">
        <f>'Ingest Template'!AC884</f>
        <v/>
      </c>
    </row>
    <row r="885">
      <c r="A885" s="15"/>
      <c r="B885" s="22" t="str">
        <f>'Ingest Template'!C885&amp;IF('Ingest Template'!A885 = "Standard", " - DAR","")</f>
        <v/>
      </c>
      <c r="C885" s="22" t="s">
        <v>83</v>
      </c>
      <c r="D885" s="22" t="str">
        <f t="array" ref="D885">CONCATENATE(INDEX(DropdownLists!$H$2:$H$11,MATCH(1,COUNTIF('Ingest Template'!E885,"*"&amp;DropdownLists!$I$2:$I$11&amp;"*"),0)),CHAR(10),'Ingest Template'!F885,CHAR(10),'Ingest Template'!G885,CHAR(10),VLOOKUP('Ingest Template'!D885,DropdownLists!C:D,2,FALSE))</f>
        <v>#N/A</v>
      </c>
      <c r="E885" s="22" t="str">
        <f>CONCATENATE('Ingest Template'!H885,CHAR(10),'Ingest Template'!I885,CHAR(10),'Ingest Template'!J885,CHAR(10))</f>
        <v>
</v>
      </c>
      <c r="F885" s="35" t="str">
        <f t="array" ref="F885">INDEX(DropdownLists!$O$2:$O$36,MATCH(1,COUNTIF(E885,"*"&amp;DropdownLists!$N$2:$N$36&amp;"*"),0))</f>
        <v/>
      </c>
      <c r="G885" s="35"/>
      <c r="H885" s="22" t="str">
        <f t="array" ref="H885">INDEX(DropdownLists!$E$2:$E$276,MATCH('Ingest Template'!D885,DropdownLists!$C$2:$C$276,0))</f>
        <v>#N/A</v>
      </c>
      <c r="I885" s="22"/>
      <c r="J885" s="22" t="str">
        <f t="array" ref="J885">iF('Ingest Template'!A885="Standard","Pristine Brand",INDEX(DropdownLists!$B$2:$B$246,MATCH('Ingest Template'!D885,DropdownLists!$C$2:$C$246,0)))</f>
        <v>#N/A</v>
      </c>
      <c r="K885" s="22" t="str">
        <f>iF('Ingest Template'!A885="Standard",'Ingest Template'!K885&amp;CHAR(10)&amp;'Ingest Template'!L885,"Competitive View")</f>
        <v>Competitive View</v>
      </c>
      <c r="L885" s="22" t="s">
        <v>95</v>
      </c>
      <c r="M885" s="45" t="str">
        <f>'Ingest Template'!B885</f>
        <v/>
      </c>
      <c r="N885" s="35"/>
      <c r="O885" s="35"/>
      <c r="P885" s="35"/>
      <c r="Q885" s="35"/>
      <c r="R885" s="35" t="str">
        <f>'Ingest Template'!D885</f>
        <v/>
      </c>
      <c r="S885" s="22" t="s">
        <v>101</v>
      </c>
      <c r="T885" s="35" t="str">
        <f>'Ingest Template'!V885</f>
        <v/>
      </c>
      <c r="U885" s="35" t="str">
        <f>'Ingest Template'!W885</f>
        <v/>
      </c>
      <c r="V885" s="35" t="str">
        <f>LOWER(SUBSTITUTE(SUBSTITUTE(SUBSTITUTE(SUBSTITUTE(SUBSTITUTE('Ingest Template'!X885,"https:",""),"www.",""),"/",""),"?hl=en",""),"instagram.com",""))</f>
        <v/>
      </c>
      <c r="W885" s="74" t="str">
        <f t="array" ref="W885">IF(
'Ingest Template'!Y885="",
SUBSTITUTE(
INDEX(DropdownLists!$F$2:$F$277,MATCH('Ingest Template'!D885,DropdownLists!$C$2:$C$277,0)),
CHAR(10),
"|"&amp;'Ingest Template'!C885&amp;CHAR(10)
)&amp;"|"&amp;'Ingest Template'!C885,
SUBSTITUTE(
INDEX(DropdownLists!$F$2:$F$277,MATCH('Ingest Template'!D885,DropdownLists!$C$2:$C$277,0)),
CHAR(10),
"|"&amp;'Ingest Template'!C885&amp;CHAR(10)
)&amp;"|"&amp;'Ingest Template'!C885&amp;CHAR(10)&amp;'Ingest Template'!Y885
)</f>
        <v>#N/A</v>
      </c>
      <c r="X885" s="74" t="str">
        <f>'Ingest Template'!Z885</f>
        <v/>
      </c>
      <c r="Y885" s="35" t="str">
        <f>SUBSTITUTE(SUBSTITUTE(SUBSTITUTE('Ingest Template'!AA885,"http:",""),"https:",""),"/","")</f>
        <v/>
      </c>
      <c r="Z885" s="35" t="str">
        <f t="array" ref="Z885">IF('Ingest Template'!A885="Standard",(IF(ISBLANK('Ingest Template'!AB885),"", 'Ingest Template'!AB885&amp;"|DAR")),(IF(ISBLANK('Ingest Template'!AB885),"", 'Ingest Template'!AB885&amp;"|TV Ops")))</f>
        <v/>
      </c>
      <c r="AA885" s="35"/>
      <c r="AB885" s="35" t="str">
        <f>'Ingest Template'!R885</f>
        <v/>
      </c>
      <c r="AC885" s="35" t="str">
        <f>'Ingest Template'!T885</f>
        <v/>
      </c>
      <c r="AD885" s="35" t="str">
        <f>'Ingest Template'!S885</f>
        <v/>
      </c>
      <c r="AE885" s="35" t="str">
        <f>'Ingest Template'!U885</f>
        <v/>
      </c>
      <c r="AF885" s="22"/>
      <c r="AG885" s="35" t="str">
        <f t="array" ref="AG885">IF('Ingest Template'!A885="Standard",(CONCATENATE(IF(ISBLANK('Ingest Template'!N885),"", 'Ingest Template'!N885&amp;"|DAR"),CHAR(10), IF(ISBLANK('Ingest Template'!O885),"", 'Ingest Template'!O885&amp;"|DAR"),CHAR(10), IF(ISBLANK('Ingest Template'!P885),"", 'Ingest Template'!P885&amp;"|DAR"))),(CONCATENATE(IF(ISBLANK('Ingest Template'!N885),"", 'Ingest Template'!N885&amp;"|TV Ops"),CHAR(10), IF(ISBLANK('Ingest Template'!O885),"", 'Ingest Template'!O885&amp;"|TV Ops"),CHAR(10), IF(ISBLANK('Ingest Template'!P885),"", 'Ingest Template'!P885&amp;"|TV Ops"))))</f>
        <v>
</v>
      </c>
      <c r="AH885" s="35"/>
      <c r="AI885" s="35"/>
      <c r="AJ885" s="117" t="str">
        <f>if('Ingest Template'!A885="Standard",(IF(OR('Ingest Template'!F885 = "Program Type - Special", 'Ingest Template'!F885 = "Program Type - Live Event"),'Ingest Template'!M885&amp; "|DAR|DAR|"&amp;TEXT('Ingest Template'!C885-3, "yyyy-mm-dd")&amp;"|"&amp;TEXT('Ingest Template'!C885+3, "yyyy-mm-dd"),'Ingest Template'!M885&amp; "|DAR|DAR|2021-01-01")),(IF(OR('Ingest Template'!F885 = "Program Type - Special", 'Ingest Template'!F885 = "Program Type - Live Event"),'Ingest Template'!M885&amp; "|Operations - Core Title|Operations - Core Title|"&amp;TEXT('Ingest Template'!C885-3, "yyyy-mm-dd")&amp;"|"&amp;TEXT('Ingest Template'!C885+3, "yyyy-mm-dd"),'Ingest Template'!M885&amp; "|Operations - Core Title|Operations - Core Title")))</f>
        <v>|Operations - Core Title|Operations - Core Title</v>
      </c>
      <c r="AK885" s="35"/>
      <c r="AL885" s="117" t="str">
        <f>if('Ingest Template'!A885="Standard",(IF(OR('Ingest Template'!F885 = "Program Type - Special", 'Ingest Template'!F885 = "Program Type - Live Event"),'Ingest Template'!Q885&amp;"|"&amp;TEXT('Ingest Template'!C885-3, "yyyy-mm-dd")&amp;"|"&amp;TEXT('Ingest Template'!C885+3, "yyyy-mm-dd"),'Ingest Template'!Q885&amp; "|2021-01-01")),(IF(OR('Ingest Template'!F885 = "Program Type - Special", 'Ingest Template'!F885 = "Program Type - Live Event"),'Ingest Template'!Q885&amp; "|"&amp;TEXT('Ingest Template'!C885-3, "yyyy-mm-dd")&amp;"|"&amp;TEXT('Ingest Template'!C885+3, "yyyy-mm-dd"),'Ingest Template'!Q885)))</f>
        <v/>
      </c>
      <c r="AM885" s="35" t="str">
        <f>'Ingest Template'!AC885</f>
        <v/>
      </c>
    </row>
    <row r="886">
      <c r="A886" s="15"/>
      <c r="B886" s="22" t="str">
        <f>'Ingest Template'!C886&amp;IF('Ingest Template'!A886 = "Standard", " - DAR","")</f>
        <v/>
      </c>
      <c r="C886" s="22" t="s">
        <v>83</v>
      </c>
      <c r="D886" s="22" t="str">
        <f t="array" ref="D886">CONCATENATE(INDEX(DropdownLists!$H$2:$H$11,MATCH(1,COUNTIF('Ingest Template'!E886,"*"&amp;DropdownLists!$I$2:$I$11&amp;"*"),0)),CHAR(10),'Ingest Template'!F886,CHAR(10),'Ingest Template'!G886,CHAR(10),VLOOKUP('Ingest Template'!D886,DropdownLists!C:D,2,FALSE))</f>
        <v>#N/A</v>
      </c>
      <c r="E886" s="22" t="str">
        <f>CONCATENATE('Ingest Template'!H886,CHAR(10),'Ingest Template'!I886,CHAR(10),'Ingest Template'!J886,CHAR(10))</f>
        <v>
</v>
      </c>
      <c r="F886" s="35" t="str">
        <f t="array" ref="F886">INDEX(DropdownLists!$O$2:$O$36,MATCH(1,COUNTIF(E886,"*"&amp;DropdownLists!$N$2:$N$36&amp;"*"),0))</f>
        <v/>
      </c>
      <c r="G886" s="35"/>
      <c r="H886" s="22" t="str">
        <f t="array" ref="H886">INDEX(DropdownLists!$E$2:$E$276,MATCH('Ingest Template'!D886,DropdownLists!$C$2:$C$276,0))</f>
        <v>#N/A</v>
      </c>
      <c r="I886" s="22"/>
      <c r="J886" s="22" t="str">
        <f t="array" ref="J886">iF('Ingest Template'!A886="Standard","Pristine Brand",INDEX(DropdownLists!$B$2:$B$246,MATCH('Ingest Template'!D886,DropdownLists!$C$2:$C$246,0)))</f>
        <v>#N/A</v>
      </c>
      <c r="K886" s="22" t="str">
        <f>iF('Ingest Template'!A886="Standard",'Ingest Template'!K886&amp;CHAR(10)&amp;'Ingest Template'!L886,"Competitive View")</f>
        <v>Competitive View</v>
      </c>
      <c r="L886" s="22" t="s">
        <v>95</v>
      </c>
      <c r="M886" s="45" t="str">
        <f>'Ingest Template'!B886</f>
        <v/>
      </c>
      <c r="N886" s="35"/>
      <c r="O886" s="35"/>
      <c r="P886" s="35"/>
      <c r="Q886" s="35"/>
      <c r="R886" s="35" t="str">
        <f>'Ingest Template'!D886</f>
        <v/>
      </c>
      <c r="S886" s="22" t="s">
        <v>101</v>
      </c>
      <c r="T886" s="35" t="str">
        <f>'Ingest Template'!V886</f>
        <v/>
      </c>
      <c r="U886" s="35" t="str">
        <f>'Ingest Template'!W886</f>
        <v/>
      </c>
      <c r="V886" s="35" t="str">
        <f>LOWER(SUBSTITUTE(SUBSTITUTE(SUBSTITUTE(SUBSTITUTE(SUBSTITUTE('Ingest Template'!X886,"https:",""),"www.",""),"/",""),"?hl=en",""),"instagram.com",""))</f>
        <v/>
      </c>
      <c r="W886" s="74" t="str">
        <f t="array" ref="W886">IF(
'Ingest Template'!Y886="",
SUBSTITUTE(
INDEX(DropdownLists!$F$2:$F$277,MATCH('Ingest Template'!D886,DropdownLists!$C$2:$C$277,0)),
CHAR(10),
"|"&amp;'Ingest Template'!C886&amp;CHAR(10)
)&amp;"|"&amp;'Ingest Template'!C886,
SUBSTITUTE(
INDEX(DropdownLists!$F$2:$F$277,MATCH('Ingest Template'!D886,DropdownLists!$C$2:$C$277,0)),
CHAR(10),
"|"&amp;'Ingest Template'!C886&amp;CHAR(10)
)&amp;"|"&amp;'Ingest Template'!C886&amp;CHAR(10)&amp;'Ingest Template'!Y886
)</f>
        <v>#N/A</v>
      </c>
      <c r="X886" s="74" t="str">
        <f>'Ingest Template'!Z886</f>
        <v/>
      </c>
      <c r="Y886" s="35" t="str">
        <f>SUBSTITUTE(SUBSTITUTE(SUBSTITUTE('Ingest Template'!AA886,"http:",""),"https:",""),"/","")</f>
        <v/>
      </c>
      <c r="Z886" s="35" t="str">
        <f t="array" ref="Z886">IF('Ingest Template'!A886="Standard",(IF(ISBLANK('Ingest Template'!AB886),"", 'Ingest Template'!AB886&amp;"|DAR")),(IF(ISBLANK('Ingest Template'!AB886),"", 'Ingest Template'!AB886&amp;"|TV Ops")))</f>
        <v/>
      </c>
      <c r="AA886" s="35"/>
      <c r="AB886" s="35" t="str">
        <f>'Ingest Template'!R886</f>
        <v/>
      </c>
      <c r="AC886" s="35" t="str">
        <f>'Ingest Template'!T886</f>
        <v/>
      </c>
      <c r="AD886" s="35" t="str">
        <f>'Ingest Template'!S886</f>
        <v/>
      </c>
      <c r="AE886" s="35" t="str">
        <f>'Ingest Template'!U886</f>
        <v/>
      </c>
      <c r="AF886" s="22"/>
      <c r="AG886" s="35" t="str">
        <f t="array" ref="AG886">IF('Ingest Template'!A886="Standard",(CONCATENATE(IF(ISBLANK('Ingest Template'!N886),"", 'Ingest Template'!N886&amp;"|DAR"),CHAR(10), IF(ISBLANK('Ingest Template'!O886),"", 'Ingest Template'!O886&amp;"|DAR"),CHAR(10), IF(ISBLANK('Ingest Template'!P886),"", 'Ingest Template'!P886&amp;"|DAR"))),(CONCATENATE(IF(ISBLANK('Ingest Template'!N886),"", 'Ingest Template'!N886&amp;"|TV Ops"),CHAR(10), IF(ISBLANK('Ingest Template'!O886),"", 'Ingest Template'!O886&amp;"|TV Ops"),CHAR(10), IF(ISBLANK('Ingest Template'!P886),"", 'Ingest Template'!P886&amp;"|TV Ops"))))</f>
        <v>
</v>
      </c>
      <c r="AH886" s="35"/>
      <c r="AI886" s="35"/>
      <c r="AJ886" s="117" t="str">
        <f>if('Ingest Template'!A886="Standard",(IF(OR('Ingest Template'!F886 = "Program Type - Special", 'Ingest Template'!F886 = "Program Type - Live Event"),'Ingest Template'!M886&amp; "|DAR|DAR|"&amp;TEXT('Ingest Template'!C886-3, "yyyy-mm-dd")&amp;"|"&amp;TEXT('Ingest Template'!C886+3, "yyyy-mm-dd"),'Ingest Template'!M886&amp; "|DAR|DAR|2021-01-01")),(IF(OR('Ingest Template'!F886 = "Program Type - Special", 'Ingest Template'!F886 = "Program Type - Live Event"),'Ingest Template'!M886&amp; "|Operations - Core Title|Operations - Core Title|"&amp;TEXT('Ingest Template'!C886-3, "yyyy-mm-dd")&amp;"|"&amp;TEXT('Ingest Template'!C886+3, "yyyy-mm-dd"),'Ingest Template'!M886&amp; "|Operations - Core Title|Operations - Core Title")))</f>
        <v>|Operations - Core Title|Operations - Core Title</v>
      </c>
      <c r="AK886" s="35"/>
      <c r="AL886" s="117" t="str">
        <f>if('Ingest Template'!A886="Standard",(IF(OR('Ingest Template'!F886 = "Program Type - Special", 'Ingest Template'!F886 = "Program Type - Live Event"),'Ingest Template'!Q886&amp;"|"&amp;TEXT('Ingest Template'!C886-3, "yyyy-mm-dd")&amp;"|"&amp;TEXT('Ingest Template'!C886+3, "yyyy-mm-dd"),'Ingest Template'!Q886&amp; "|2021-01-01")),(IF(OR('Ingest Template'!F886 = "Program Type - Special", 'Ingest Template'!F886 = "Program Type - Live Event"),'Ingest Template'!Q886&amp; "|"&amp;TEXT('Ingest Template'!C886-3, "yyyy-mm-dd")&amp;"|"&amp;TEXT('Ingest Template'!C886+3, "yyyy-mm-dd"),'Ingest Template'!Q886)))</f>
        <v/>
      </c>
      <c r="AM886" s="35" t="str">
        <f>'Ingest Template'!AC886</f>
        <v/>
      </c>
    </row>
    <row r="887">
      <c r="A887" s="15"/>
      <c r="B887" s="22" t="str">
        <f>'Ingest Template'!C887&amp;IF('Ingest Template'!A887 = "Standard", " - DAR","")</f>
        <v/>
      </c>
      <c r="C887" s="22" t="s">
        <v>83</v>
      </c>
      <c r="D887" s="22" t="str">
        <f t="array" ref="D887">CONCATENATE(INDEX(DropdownLists!$H$2:$H$11,MATCH(1,COUNTIF('Ingest Template'!E887,"*"&amp;DropdownLists!$I$2:$I$11&amp;"*"),0)),CHAR(10),'Ingest Template'!F887,CHAR(10),'Ingest Template'!G887,CHAR(10),VLOOKUP('Ingest Template'!D887,DropdownLists!C:D,2,FALSE))</f>
        <v>#N/A</v>
      </c>
      <c r="E887" s="22" t="str">
        <f>CONCATENATE('Ingest Template'!H887,CHAR(10),'Ingest Template'!I887,CHAR(10),'Ingest Template'!J887,CHAR(10))</f>
        <v>
</v>
      </c>
      <c r="F887" s="35" t="str">
        <f t="array" ref="F887">INDEX(DropdownLists!$O$2:$O$36,MATCH(1,COUNTIF(E887,"*"&amp;DropdownLists!$N$2:$N$36&amp;"*"),0))</f>
        <v/>
      </c>
      <c r="G887" s="35"/>
      <c r="H887" s="22" t="str">
        <f t="array" ref="H887">INDEX(DropdownLists!$E$2:$E$276,MATCH('Ingest Template'!D887,DropdownLists!$C$2:$C$276,0))</f>
        <v>#N/A</v>
      </c>
      <c r="I887" s="22"/>
      <c r="J887" s="22" t="str">
        <f t="array" ref="J887">iF('Ingest Template'!A887="Standard","Pristine Brand",INDEX(DropdownLists!$B$2:$B$246,MATCH('Ingest Template'!D887,DropdownLists!$C$2:$C$246,0)))</f>
        <v>#N/A</v>
      </c>
      <c r="K887" s="22" t="str">
        <f>iF('Ingest Template'!A887="Standard",'Ingest Template'!K887&amp;CHAR(10)&amp;'Ingest Template'!L887,"Competitive View")</f>
        <v>Competitive View</v>
      </c>
      <c r="L887" s="22" t="s">
        <v>95</v>
      </c>
      <c r="M887" s="45" t="str">
        <f>'Ingest Template'!B887</f>
        <v/>
      </c>
      <c r="N887" s="35"/>
      <c r="O887" s="35"/>
      <c r="P887" s="35"/>
      <c r="Q887" s="35"/>
      <c r="R887" s="35" t="str">
        <f>'Ingest Template'!D887</f>
        <v/>
      </c>
      <c r="S887" s="22" t="s">
        <v>101</v>
      </c>
      <c r="T887" s="35" t="str">
        <f>'Ingest Template'!V887</f>
        <v/>
      </c>
      <c r="U887" s="35" t="str">
        <f>'Ingest Template'!W887</f>
        <v/>
      </c>
      <c r="V887" s="35" t="str">
        <f>LOWER(SUBSTITUTE(SUBSTITUTE(SUBSTITUTE(SUBSTITUTE(SUBSTITUTE('Ingest Template'!X887,"https:",""),"www.",""),"/",""),"?hl=en",""),"instagram.com",""))</f>
        <v/>
      </c>
      <c r="W887" s="74" t="str">
        <f t="array" ref="W887">IF(
'Ingest Template'!Y887="",
SUBSTITUTE(
INDEX(DropdownLists!$F$2:$F$277,MATCH('Ingest Template'!D887,DropdownLists!$C$2:$C$277,0)),
CHAR(10),
"|"&amp;'Ingest Template'!C887&amp;CHAR(10)
)&amp;"|"&amp;'Ingest Template'!C887,
SUBSTITUTE(
INDEX(DropdownLists!$F$2:$F$277,MATCH('Ingest Template'!D887,DropdownLists!$C$2:$C$277,0)),
CHAR(10),
"|"&amp;'Ingest Template'!C887&amp;CHAR(10)
)&amp;"|"&amp;'Ingest Template'!C887&amp;CHAR(10)&amp;'Ingest Template'!Y887
)</f>
        <v>#N/A</v>
      </c>
      <c r="X887" s="74" t="str">
        <f>'Ingest Template'!Z887</f>
        <v/>
      </c>
      <c r="Y887" s="35" t="str">
        <f>SUBSTITUTE(SUBSTITUTE(SUBSTITUTE('Ingest Template'!AA887,"http:",""),"https:",""),"/","")</f>
        <v/>
      </c>
      <c r="Z887" s="35" t="str">
        <f t="array" ref="Z887">IF('Ingest Template'!A887="Standard",(IF(ISBLANK('Ingest Template'!AB887),"", 'Ingest Template'!AB887&amp;"|DAR")),(IF(ISBLANK('Ingest Template'!AB887),"", 'Ingest Template'!AB887&amp;"|TV Ops")))</f>
        <v/>
      </c>
      <c r="AA887" s="35"/>
      <c r="AB887" s="35" t="str">
        <f>'Ingest Template'!R887</f>
        <v/>
      </c>
      <c r="AC887" s="35" t="str">
        <f>'Ingest Template'!T887</f>
        <v/>
      </c>
      <c r="AD887" s="35" t="str">
        <f>'Ingest Template'!S887</f>
        <v/>
      </c>
      <c r="AE887" s="35" t="str">
        <f>'Ingest Template'!U887</f>
        <v/>
      </c>
      <c r="AF887" s="22"/>
      <c r="AG887" s="35" t="str">
        <f t="array" ref="AG887">IF('Ingest Template'!A887="Standard",(CONCATENATE(IF(ISBLANK('Ingest Template'!N887),"", 'Ingest Template'!N887&amp;"|DAR"),CHAR(10), IF(ISBLANK('Ingest Template'!O887),"", 'Ingest Template'!O887&amp;"|DAR"),CHAR(10), IF(ISBLANK('Ingest Template'!P887),"", 'Ingest Template'!P887&amp;"|DAR"))),(CONCATENATE(IF(ISBLANK('Ingest Template'!N887),"", 'Ingest Template'!N887&amp;"|TV Ops"),CHAR(10), IF(ISBLANK('Ingest Template'!O887),"", 'Ingest Template'!O887&amp;"|TV Ops"),CHAR(10), IF(ISBLANK('Ingest Template'!P887),"", 'Ingest Template'!P887&amp;"|TV Ops"))))</f>
        <v>
</v>
      </c>
      <c r="AH887" s="35"/>
      <c r="AI887" s="35"/>
      <c r="AJ887" s="117" t="str">
        <f>if('Ingest Template'!A887="Standard",(IF(OR('Ingest Template'!F887 = "Program Type - Special", 'Ingest Template'!F887 = "Program Type - Live Event"),'Ingest Template'!M887&amp; "|DAR|DAR|"&amp;TEXT('Ingest Template'!C887-3, "yyyy-mm-dd")&amp;"|"&amp;TEXT('Ingest Template'!C887+3, "yyyy-mm-dd"),'Ingest Template'!M887&amp; "|DAR|DAR|2021-01-01")),(IF(OR('Ingest Template'!F887 = "Program Type - Special", 'Ingest Template'!F887 = "Program Type - Live Event"),'Ingest Template'!M887&amp; "|Operations - Core Title|Operations - Core Title|"&amp;TEXT('Ingest Template'!C887-3, "yyyy-mm-dd")&amp;"|"&amp;TEXT('Ingest Template'!C887+3, "yyyy-mm-dd"),'Ingest Template'!M887&amp; "|Operations - Core Title|Operations - Core Title")))</f>
        <v>|Operations - Core Title|Operations - Core Title</v>
      </c>
      <c r="AK887" s="35"/>
      <c r="AL887" s="117" t="str">
        <f>if('Ingest Template'!A887="Standard",(IF(OR('Ingest Template'!F887 = "Program Type - Special", 'Ingest Template'!F887 = "Program Type - Live Event"),'Ingest Template'!Q887&amp;"|"&amp;TEXT('Ingest Template'!C887-3, "yyyy-mm-dd")&amp;"|"&amp;TEXT('Ingest Template'!C887+3, "yyyy-mm-dd"),'Ingest Template'!Q887&amp; "|2021-01-01")),(IF(OR('Ingest Template'!F887 = "Program Type - Special", 'Ingest Template'!F887 = "Program Type - Live Event"),'Ingest Template'!Q887&amp; "|"&amp;TEXT('Ingest Template'!C887-3, "yyyy-mm-dd")&amp;"|"&amp;TEXT('Ingest Template'!C887+3, "yyyy-mm-dd"),'Ingest Template'!Q887)))</f>
        <v/>
      </c>
      <c r="AM887" s="35" t="str">
        <f>'Ingest Template'!AC887</f>
        <v/>
      </c>
    </row>
    <row r="888">
      <c r="A888" s="15"/>
      <c r="B888" s="22" t="str">
        <f>'Ingest Template'!C888&amp;IF('Ingest Template'!A888 = "Standard", " - DAR","")</f>
        <v/>
      </c>
      <c r="C888" s="22" t="s">
        <v>83</v>
      </c>
      <c r="D888" s="22" t="str">
        <f t="array" ref="D888">CONCATENATE(INDEX(DropdownLists!$H$2:$H$11,MATCH(1,COUNTIF('Ingest Template'!E888,"*"&amp;DropdownLists!$I$2:$I$11&amp;"*"),0)),CHAR(10),'Ingest Template'!F888,CHAR(10),'Ingest Template'!G888,CHAR(10),VLOOKUP('Ingest Template'!D888,DropdownLists!C:D,2,FALSE))</f>
        <v>#N/A</v>
      </c>
      <c r="E888" s="22" t="str">
        <f>CONCATENATE('Ingest Template'!H888,CHAR(10),'Ingest Template'!I888,CHAR(10),'Ingest Template'!J888,CHAR(10))</f>
        <v>
</v>
      </c>
      <c r="F888" s="35" t="str">
        <f t="array" ref="F888">INDEX(DropdownLists!$O$2:$O$36,MATCH(1,COUNTIF(E888,"*"&amp;DropdownLists!$N$2:$N$36&amp;"*"),0))</f>
        <v/>
      </c>
      <c r="G888" s="35"/>
      <c r="H888" s="22" t="str">
        <f t="array" ref="H888">INDEX(DropdownLists!$E$2:$E$276,MATCH('Ingest Template'!D888,DropdownLists!$C$2:$C$276,0))</f>
        <v>#N/A</v>
      </c>
      <c r="I888" s="22"/>
      <c r="J888" s="22" t="str">
        <f t="array" ref="J888">iF('Ingest Template'!A888="Standard","Pristine Brand",INDEX(DropdownLists!$B$2:$B$246,MATCH('Ingest Template'!D888,DropdownLists!$C$2:$C$246,0)))</f>
        <v>#N/A</v>
      </c>
      <c r="K888" s="22" t="str">
        <f>iF('Ingest Template'!A888="Standard",'Ingest Template'!K888&amp;CHAR(10)&amp;'Ingest Template'!L888,"Competitive View")</f>
        <v>Competitive View</v>
      </c>
      <c r="L888" s="22" t="s">
        <v>95</v>
      </c>
      <c r="M888" s="45" t="str">
        <f>'Ingest Template'!B888</f>
        <v/>
      </c>
      <c r="N888" s="35"/>
      <c r="O888" s="35"/>
      <c r="P888" s="35"/>
      <c r="Q888" s="35"/>
      <c r="R888" s="35" t="str">
        <f>'Ingest Template'!D888</f>
        <v/>
      </c>
      <c r="S888" s="22" t="s">
        <v>101</v>
      </c>
      <c r="T888" s="35" t="str">
        <f>'Ingest Template'!V888</f>
        <v/>
      </c>
      <c r="U888" s="35" t="str">
        <f>'Ingest Template'!W888</f>
        <v/>
      </c>
      <c r="V888" s="35" t="str">
        <f>LOWER(SUBSTITUTE(SUBSTITUTE(SUBSTITUTE(SUBSTITUTE(SUBSTITUTE('Ingest Template'!X888,"https:",""),"www.",""),"/",""),"?hl=en",""),"instagram.com",""))</f>
        <v/>
      </c>
      <c r="W888" s="74" t="str">
        <f t="array" ref="W888">IF(
'Ingest Template'!Y888="",
SUBSTITUTE(
INDEX(DropdownLists!$F$2:$F$277,MATCH('Ingest Template'!D888,DropdownLists!$C$2:$C$277,0)),
CHAR(10),
"|"&amp;'Ingest Template'!C888&amp;CHAR(10)
)&amp;"|"&amp;'Ingest Template'!C888,
SUBSTITUTE(
INDEX(DropdownLists!$F$2:$F$277,MATCH('Ingest Template'!D888,DropdownLists!$C$2:$C$277,0)),
CHAR(10),
"|"&amp;'Ingest Template'!C888&amp;CHAR(10)
)&amp;"|"&amp;'Ingest Template'!C888&amp;CHAR(10)&amp;'Ingest Template'!Y888
)</f>
        <v>#N/A</v>
      </c>
      <c r="X888" s="74" t="str">
        <f>'Ingest Template'!Z888</f>
        <v/>
      </c>
      <c r="Y888" s="35" t="str">
        <f>SUBSTITUTE(SUBSTITUTE(SUBSTITUTE('Ingest Template'!AA888,"http:",""),"https:",""),"/","")</f>
        <v/>
      </c>
      <c r="Z888" s="35" t="str">
        <f t="array" ref="Z888">IF('Ingest Template'!A888="Standard",(IF(ISBLANK('Ingest Template'!AB888),"", 'Ingest Template'!AB888&amp;"|DAR")),(IF(ISBLANK('Ingest Template'!AB888),"", 'Ingest Template'!AB888&amp;"|TV Ops")))</f>
        <v/>
      </c>
      <c r="AA888" s="35"/>
      <c r="AB888" s="35" t="str">
        <f>'Ingest Template'!R888</f>
        <v/>
      </c>
      <c r="AC888" s="35" t="str">
        <f>'Ingest Template'!T888</f>
        <v/>
      </c>
      <c r="AD888" s="35" t="str">
        <f>'Ingest Template'!S888</f>
        <v/>
      </c>
      <c r="AE888" s="35" t="str">
        <f>'Ingest Template'!U888</f>
        <v/>
      </c>
      <c r="AF888" s="22"/>
      <c r="AG888" s="35" t="str">
        <f t="array" ref="AG888">IF('Ingest Template'!A888="Standard",(CONCATENATE(IF(ISBLANK('Ingest Template'!N888),"", 'Ingest Template'!N888&amp;"|DAR"),CHAR(10), IF(ISBLANK('Ingest Template'!O888),"", 'Ingest Template'!O888&amp;"|DAR"),CHAR(10), IF(ISBLANK('Ingest Template'!P888),"", 'Ingest Template'!P888&amp;"|DAR"))),(CONCATENATE(IF(ISBLANK('Ingest Template'!N888),"", 'Ingest Template'!N888&amp;"|TV Ops"),CHAR(10), IF(ISBLANK('Ingest Template'!O888),"", 'Ingest Template'!O888&amp;"|TV Ops"),CHAR(10), IF(ISBLANK('Ingest Template'!P888),"", 'Ingest Template'!P888&amp;"|TV Ops"))))</f>
        <v>
</v>
      </c>
      <c r="AH888" s="35"/>
      <c r="AI888" s="35"/>
      <c r="AJ888" s="117" t="str">
        <f>if('Ingest Template'!A888="Standard",(IF(OR('Ingest Template'!F888 = "Program Type - Special", 'Ingest Template'!F888 = "Program Type - Live Event"),'Ingest Template'!M888&amp; "|DAR|DAR|"&amp;TEXT('Ingest Template'!C888-3, "yyyy-mm-dd")&amp;"|"&amp;TEXT('Ingest Template'!C888+3, "yyyy-mm-dd"),'Ingest Template'!M888&amp; "|DAR|DAR|2021-01-01")),(IF(OR('Ingest Template'!F888 = "Program Type - Special", 'Ingest Template'!F888 = "Program Type - Live Event"),'Ingest Template'!M888&amp; "|Operations - Core Title|Operations - Core Title|"&amp;TEXT('Ingest Template'!C888-3, "yyyy-mm-dd")&amp;"|"&amp;TEXT('Ingest Template'!C888+3, "yyyy-mm-dd"),'Ingest Template'!M888&amp; "|Operations - Core Title|Operations - Core Title")))</f>
        <v>|Operations - Core Title|Operations - Core Title</v>
      </c>
      <c r="AK888" s="35"/>
      <c r="AL888" s="117" t="str">
        <f>if('Ingest Template'!A888="Standard",(IF(OR('Ingest Template'!F888 = "Program Type - Special", 'Ingest Template'!F888 = "Program Type - Live Event"),'Ingest Template'!Q888&amp;"|"&amp;TEXT('Ingest Template'!C888-3, "yyyy-mm-dd")&amp;"|"&amp;TEXT('Ingest Template'!C888+3, "yyyy-mm-dd"),'Ingest Template'!Q888&amp; "|2021-01-01")),(IF(OR('Ingest Template'!F888 = "Program Type - Special", 'Ingest Template'!F888 = "Program Type - Live Event"),'Ingest Template'!Q888&amp; "|"&amp;TEXT('Ingest Template'!C888-3, "yyyy-mm-dd")&amp;"|"&amp;TEXT('Ingest Template'!C888+3, "yyyy-mm-dd"),'Ingest Template'!Q888)))</f>
        <v/>
      </c>
      <c r="AM888" s="35" t="str">
        <f>'Ingest Template'!AC888</f>
        <v/>
      </c>
    </row>
    <row r="889">
      <c r="A889" s="15"/>
      <c r="B889" s="22" t="str">
        <f>'Ingest Template'!C889&amp;IF('Ingest Template'!A889 = "Standard", " - DAR","")</f>
        <v/>
      </c>
      <c r="C889" s="22" t="s">
        <v>83</v>
      </c>
      <c r="D889" s="22" t="str">
        <f t="array" ref="D889">CONCATENATE(INDEX(DropdownLists!$H$2:$H$11,MATCH(1,COUNTIF('Ingest Template'!E889,"*"&amp;DropdownLists!$I$2:$I$11&amp;"*"),0)),CHAR(10),'Ingest Template'!F889,CHAR(10),'Ingest Template'!G889,CHAR(10),VLOOKUP('Ingest Template'!D889,DropdownLists!C:D,2,FALSE))</f>
        <v>#N/A</v>
      </c>
      <c r="E889" s="22" t="str">
        <f>CONCATENATE('Ingest Template'!H889,CHAR(10),'Ingest Template'!I889,CHAR(10),'Ingest Template'!J889,CHAR(10))</f>
        <v>
</v>
      </c>
      <c r="F889" s="35" t="str">
        <f t="array" ref="F889">INDEX(DropdownLists!$O$2:$O$36,MATCH(1,COUNTIF(E889,"*"&amp;DropdownLists!$N$2:$N$36&amp;"*"),0))</f>
        <v/>
      </c>
      <c r="G889" s="35"/>
      <c r="H889" s="22" t="str">
        <f t="array" ref="H889">INDEX(DropdownLists!$E$2:$E$276,MATCH('Ingest Template'!D889,DropdownLists!$C$2:$C$276,0))</f>
        <v>#N/A</v>
      </c>
      <c r="I889" s="22"/>
      <c r="J889" s="22" t="str">
        <f t="array" ref="J889">iF('Ingest Template'!A889="Standard","Pristine Brand",INDEX(DropdownLists!$B$2:$B$246,MATCH('Ingest Template'!D889,DropdownLists!$C$2:$C$246,0)))</f>
        <v>#N/A</v>
      </c>
      <c r="K889" s="22" t="str">
        <f>iF('Ingest Template'!A889="Standard",'Ingest Template'!K889&amp;CHAR(10)&amp;'Ingest Template'!L889,"Competitive View")</f>
        <v>Competitive View</v>
      </c>
      <c r="L889" s="22" t="s">
        <v>95</v>
      </c>
      <c r="M889" s="45" t="str">
        <f>'Ingest Template'!B889</f>
        <v/>
      </c>
      <c r="N889" s="35"/>
      <c r="O889" s="35"/>
      <c r="P889" s="35"/>
      <c r="Q889" s="35"/>
      <c r="R889" s="35" t="str">
        <f>'Ingest Template'!D889</f>
        <v/>
      </c>
      <c r="S889" s="22" t="s">
        <v>101</v>
      </c>
      <c r="T889" s="35" t="str">
        <f>'Ingest Template'!V889</f>
        <v/>
      </c>
      <c r="U889" s="35" t="str">
        <f>'Ingest Template'!W889</f>
        <v/>
      </c>
      <c r="V889" s="35" t="str">
        <f>LOWER(SUBSTITUTE(SUBSTITUTE(SUBSTITUTE(SUBSTITUTE(SUBSTITUTE('Ingest Template'!X889,"https:",""),"www.",""),"/",""),"?hl=en",""),"instagram.com",""))</f>
        <v/>
      </c>
      <c r="W889" s="74" t="str">
        <f t="array" ref="W889">IF(
'Ingest Template'!Y889="",
SUBSTITUTE(
INDEX(DropdownLists!$F$2:$F$277,MATCH('Ingest Template'!D889,DropdownLists!$C$2:$C$277,0)),
CHAR(10),
"|"&amp;'Ingest Template'!C889&amp;CHAR(10)
)&amp;"|"&amp;'Ingest Template'!C889,
SUBSTITUTE(
INDEX(DropdownLists!$F$2:$F$277,MATCH('Ingest Template'!D889,DropdownLists!$C$2:$C$277,0)),
CHAR(10),
"|"&amp;'Ingest Template'!C889&amp;CHAR(10)
)&amp;"|"&amp;'Ingest Template'!C889&amp;CHAR(10)&amp;'Ingest Template'!Y889
)</f>
        <v>#N/A</v>
      </c>
      <c r="X889" s="74" t="str">
        <f>'Ingest Template'!Z889</f>
        <v/>
      </c>
      <c r="Y889" s="35" t="str">
        <f>SUBSTITUTE(SUBSTITUTE(SUBSTITUTE('Ingest Template'!AA889,"http:",""),"https:",""),"/","")</f>
        <v/>
      </c>
      <c r="Z889" s="35" t="str">
        <f t="array" ref="Z889">IF('Ingest Template'!A889="Standard",(IF(ISBLANK('Ingest Template'!AB889),"", 'Ingest Template'!AB889&amp;"|DAR")),(IF(ISBLANK('Ingest Template'!AB889),"", 'Ingest Template'!AB889&amp;"|TV Ops")))</f>
        <v/>
      </c>
      <c r="AA889" s="35"/>
      <c r="AB889" s="35" t="str">
        <f>'Ingest Template'!R889</f>
        <v/>
      </c>
      <c r="AC889" s="35" t="str">
        <f>'Ingest Template'!T889</f>
        <v/>
      </c>
      <c r="AD889" s="35" t="str">
        <f>'Ingest Template'!S889</f>
        <v/>
      </c>
      <c r="AE889" s="35" t="str">
        <f>'Ingest Template'!U889</f>
        <v/>
      </c>
      <c r="AF889" s="22"/>
      <c r="AG889" s="35" t="str">
        <f t="array" ref="AG889">IF('Ingest Template'!A889="Standard",(CONCATENATE(IF(ISBLANK('Ingest Template'!N889),"", 'Ingest Template'!N889&amp;"|DAR"),CHAR(10), IF(ISBLANK('Ingest Template'!O889),"", 'Ingest Template'!O889&amp;"|DAR"),CHAR(10), IF(ISBLANK('Ingest Template'!P889),"", 'Ingest Template'!P889&amp;"|DAR"))),(CONCATENATE(IF(ISBLANK('Ingest Template'!N889),"", 'Ingest Template'!N889&amp;"|TV Ops"),CHAR(10), IF(ISBLANK('Ingest Template'!O889),"", 'Ingest Template'!O889&amp;"|TV Ops"),CHAR(10), IF(ISBLANK('Ingest Template'!P889),"", 'Ingest Template'!P889&amp;"|TV Ops"))))</f>
        <v>
</v>
      </c>
      <c r="AH889" s="35"/>
      <c r="AI889" s="35"/>
      <c r="AJ889" s="117" t="str">
        <f>if('Ingest Template'!A889="Standard",(IF(OR('Ingest Template'!F889 = "Program Type - Special", 'Ingest Template'!F889 = "Program Type - Live Event"),'Ingest Template'!M889&amp; "|DAR|DAR|"&amp;TEXT('Ingest Template'!C889-3, "yyyy-mm-dd")&amp;"|"&amp;TEXT('Ingest Template'!C889+3, "yyyy-mm-dd"),'Ingest Template'!M889&amp; "|DAR|DAR|2021-01-01")),(IF(OR('Ingest Template'!F889 = "Program Type - Special", 'Ingest Template'!F889 = "Program Type - Live Event"),'Ingest Template'!M889&amp; "|Operations - Core Title|Operations - Core Title|"&amp;TEXT('Ingest Template'!C889-3, "yyyy-mm-dd")&amp;"|"&amp;TEXT('Ingest Template'!C889+3, "yyyy-mm-dd"),'Ingest Template'!M889&amp; "|Operations - Core Title|Operations - Core Title")))</f>
        <v>|Operations - Core Title|Operations - Core Title</v>
      </c>
      <c r="AK889" s="35"/>
      <c r="AL889" s="117" t="str">
        <f>if('Ingest Template'!A889="Standard",(IF(OR('Ingest Template'!F889 = "Program Type - Special", 'Ingest Template'!F889 = "Program Type - Live Event"),'Ingest Template'!Q889&amp;"|"&amp;TEXT('Ingest Template'!C889-3, "yyyy-mm-dd")&amp;"|"&amp;TEXT('Ingest Template'!C889+3, "yyyy-mm-dd"),'Ingest Template'!Q889&amp; "|2021-01-01")),(IF(OR('Ingest Template'!F889 = "Program Type - Special", 'Ingest Template'!F889 = "Program Type - Live Event"),'Ingest Template'!Q889&amp; "|"&amp;TEXT('Ingest Template'!C889-3, "yyyy-mm-dd")&amp;"|"&amp;TEXT('Ingest Template'!C889+3, "yyyy-mm-dd"),'Ingest Template'!Q889)))</f>
        <v/>
      </c>
      <c r="AM889" s="35" t="str">
        <f>'Ingest Template'!AC889</f>
        <v/>
      </c>
    </row>
    <row r="890">
      <c r="A890" s="15"/>
      <c r="B890" s="22" t="str">
        <f>'Ingest Template'!C890&amp;IF('Ingest Template'!A890 = "Standard", " - DAR","")</f>
        <v/>
      </c>
      <c r="C890" s="22" t="s">
        <v>83</v>
      </c>
      <c r="D890" s="22" t="str">
        <f t="array" ref="D890">CONCATENATE(INDEX(DropdownLists!$H$2:$H$11,MATCH(1,COUNTIF('Ingest Template'!E890,"*"&amp;DropdownLists!$I$2:$I$11&amp;"*"),0)),CHAR(10),'Ingest Template'!F890,CHAR(10),'Ingest Template'!G890,CHAR(10),VLOOKUP('Ingest Template'!D890,DropdownLists!C:D,2,FALSE))</f>
        <v>#N/A</v>
      </c>
      <c r="E890" s="22" t="str">
        <f>CONCATENATE('Ingest Template'!H890,CHAR(10),'Ingest Template'!I890,CHAR(10),'Ingest Template'!J890,CHAR(10))</f>
        <v>
</v>
      </c>
      <c r="F890" s="35" t="str">
        <f t="array" ref="F890">INDEX(DropdownLists!$O$2:$O$36,MATCH(1,COUNTIF(E890,"*"&amp;DropdownLists!$N$2:$N$36&amp;"*"),0))</f>
        <v/>
      </c>
      <c r="G890" s="35"/>
      <c r="H890" s="22" t="str">
        <f t="array" ref="H890">INDEX(DropdownLists!$E$2:$E$276,MATCH('Ingest Template'!D890,DropdownLists!$C$2:$C$276,0))</f>
        <v>#N/A</v>
      </c>
      <c r="I890" s="22"/>
      <c r="J890" s="22" t="str">
        <f t="array" ref="J890">iF('Ingest Template'!A890="Standard","Pristine Brand",INDEX(DropdownLists!$B$2:$B$246,MATCH('Ingest Template'!D890,DropdownLists!$C$2:$C$246,0)))</f>
        <v>#N/A</v>
      </c>
      <c r="K890" s="22" t="str">
        <f>iF('Ingest Template'!A890="Standard",'Ingest Template'!K890&amp;CHAR(10)&amp;'Ingest Template'!L890,"Competitive View")</f>
        <v>Competitive View</v>
      </c>
      <c r="L890" s="22" t="s">
        <v>95</v>
      </c>
      <c r="M890" s="45" t="str">
        <f>'Ingest Template'!B890</f>
        <v/>
      </c>
      <c r="N890" s="35"/>
      <c r="O890" s="35"/>
      <c r="P890" s="35"/>
      <c r="Q890" s="35"/>
      <c r="R890" s="35" t="str">
        <f>'Ingest Template'!D890</f>
        <v/>
      </c>
      <c r="S890" s="22" t="s">
        <v>101</v>
      </c>
      <c r="T890" s="35" t="str">
        <f>'Ingest Template'!V890</f>
        <v/>
      </c>
      <c r="U890" s="35" t="str">
        <f>'Ingest Template'!W890</f>
        <v/>
      </c>
      <c r="V890" s="35" t="str">
        <f>LOWER(SUBSTITUTE(SUBSTITUTE(SUBSTITUTE(SUBSTITUTE(SUBSTITUTE('Ingest Template'!X890,"https:",""),"www.",""),"/",""),"?hl=en",""),"instagram.com",""))</f>
        <v/>
      </c>
      <c r="W890" s="74" t="str">
        <f t="array" ref="W890">IF(
'Ingest Template'!Y890="",
SUBSTITUTE(
INDEX(DropdownLists!$F$2:$F$277,MATCH('Ingest Template'!D890,DropdownLists!$C$2:$C$277,0)),
CHAR(10),
"|"&amp;'Ingest Template'!C890&amp;CHAR(10)
)&amp;"|"&amp;'Ingest Template'!C890,
SUBSTITUTE(
INDEX(DropdownLists!$F$2:$F$277,MATCH('Ingest Template'!D890,DropdownLists!$C$2:$C$277,0)),
CHAR(10),
"|"&amp;'Ingest Template'!C890&amp;CHAR(10)
)&amp;"|"&amp;'Ingest Template'!C890&amp;CHAR(10)&amp;'Ingest Template'!Y890
)</f>
        <v>#N/A</v>
      </c>
      <c r="X890" s="74" t="str">
        <f>'Ingest Template'!Z890</f>
        <v/>
      </c>
      <c r="Y890" s="35" t="str">
        <f>SUBSTITUTE(SUBSTITUTE(SUBSTITUTE('Ingest Template'!AA890,"http:",""),"https:",""),"/","")</f>
        <v/>
      </c>
      <c r="Z890" s="35" t="str">
        <f t="array" ref="Z890">IF('Ingest Template'!A890="Standard",(IF(ISBLANK('Ingest Template'!AB890),"", 'Ingest Template'!AB890&amp;"|DAR")),(IF(ISBLANK('Ingest Template'!AB890),"", 'Ingest Template'!AB890&amp;"|TV Ops")))</f>
        <v/>
      </c>
      <c r="AA890" s="35"/>
      <c r="AB890" s="35" t="str">
        <f>'Ingest Template'!R890</f>
        <v/>
      </c>
      <c r="AC890" s="35" t="str">
        <f>'Ingest Template'!T890</f>
        <v/>
      </c>
      <c r="AD890" s="35" t="str">
        <f>'Ingest Template'!S890</f>
        <v/>
      </c>
      <c r="AE890" s="35" t="str">
        <f>'Ingest Template'!U890</f>
        <v/>
      </c>
      <c r="AF890" s="22"/>
      <c r="AG890" s="35" t="str">
        <f t="array" ref="AG890">IF('Ingest Template'!A890="Standard",(CONCATENATE(IF(ISBLANK('Ingest Template'!N890),"", 'Ingest Template'!N890&amp;"|DAR"),CHAR(10), IF(ISBLANK('Ingest Template'!O890),"", 'Ingest Template'!O890&amp;"|DAR"),CHAR(10), IF(ISBLANK('Ingest Template'!P890),"", 'Ingest Template'!P890&amp;"|DAR"))),(CONCATENATE(IF(ISBLANK('Ingest Template'!N890),"", 'Ingest Template'!N890&amp;"|TV Ops"),CHAR(10), IF(ISBLANK('Ingest Template'!O890),"", 'Ingest Template'!O890&amp;"|TV Ops"),CHAR(10), IF(ISBLANK('Ingest Template'!P890),"", 'Ingest Template'!P890&amp;"|TV Ops"))))</f>
        <v>
</v>
      </c>
      <c r="AH890" s="35"/>
      <c r="AI890" s="35"/>
      <c r="AJ890" s="117" t="str">
        <f>if('Ingest Template'!A890="Standard",(IF(OR('Ingest Template'!F890 = "Program Type - Special", 'Ingest Template'!F890 = "Program Type - Live Event"),'Ingest Template'!M890&amp; "|DAR|DAR|"&amp;TEXT('Ingest Template'!C890-3, "yyyy-mm-dd")&amp;"|"&amp;TEXT('Ingest Template'!C890+3, "yyyy-mm-dd"),'Ingest Template'!M890&amp; "|DAR|DAR|2021-01-01")),(IF(OR('Ingest Template'!F890 = "Program Type - Special", 'Ingest Template'!F890 = "Program Type - Live Event"),'Ingest Template'!M890&amp; "|Operations - Core Title|Operations - Core Title|"&amp;TEXT('Ingest Template'!C890-3, "yyyy-mm-dd")&amp;"|"&amp;TEXT('Ingest Template'!C890+3, "yyyy-mm-dd"),'Ingest Template'!M890&amp; "|Operations - Core Title|Operations - Core Title")))</f>
        <v>|Operations - Core Title|Operations - Core Title</v>
      </c>
      <c r="AK890" s="35"/>
      <c r="AL890" s="117" t="str">
        <f>if('Ingest Template'!A890="Standard",(IF(OR('Ingest Template'!F890 = "Program Type - Special", 'Ingest Template'!F890 = "Program Type - Live Event"),'Ingest Template'!Q890&amp;"|"&amp;TEXT('Ingest Template'!C890-3, "yyyy-mm-dd")&amp;"|"&amp;TEXT('Ingest Template'!C890+3, "yyyy-mm-dd"),'Ingest Template'!Q890&amp; "|2021-01-01")),(IF(OR('Ingest Template'!F890 = "Program Type - Special", 'Ingest Template'!F890 = "Program Type - Live Event"),'Ingest Template'!Q890&amp; "|"&amp;TEXT('Ingest Template'!C890-3, "yyyy-mm-dd")&amp;"|"&amp;TEXT('Ingest Template'!C890+3, "yyyy-mm-dd"),'Ingest Template'!Q890)))</f>
        <v/>
      </c>
      <c r="AM890" s="35" t="str">
        <f>'Ingest Template'!AC890</f>
        <v/>
      </c>
    </row>
    <row r="891">
      <c r="A891" s="15"/>
      <c r="B891" s="22" t="str">
        <f>'Ingest Template'!C891&amp;IF('Ingest Template'!A891 = "Standard", " - DAR","")</f>
        <v/>
      </c>
      <c r="C891" s="22" t="s">
        <v>83</v>
      </c>
      <c r="D891" s="22" t="str">
        <f t="array" ref="D891">CONCATENATE(INDEX(DropdownLists!$H$2:$H$11,MATCH(1,COUNTIF('Ingest Template'!E891,"*"&amp;DropdownLists!$I$2:$I$11&amp;"*"),0)),CHAR(10),'Ingest Template'!F891,CHAR(10),'Ingest Template'!G891,CHAR(10),VLOOKUP('Ingest Template'!D891,DropdownLists!C:D,2,FALSE))</f>
        <v>#N/A</v>
      </c>
      <c r="E891" s="22" t="str">
        <f>CONCATENATE('Ingest Template'!H891,CHAR(10),'Ingest Template'!I891,CHAR(10),'Ingest Template'!J891,CHAR(10))</f>
        <v>
</v>
      </c>
      <c r="F891" s="35" t="str">
        <f t="array" ref="F891">INDEX(DropdownLists!$O$2:$O$36,MATCH(1,COUNTIF(E891,"*"&amp;DropdownLists!$N$2:$N$36&amp;"*"),0))</f>
        <v/>
      </c>
      <c r="G891" s="35"/>
      <c r="H891" s="22" t="str">
        <f t="array" ref="H891">INDEX(DropdownLists!$E$2:$E$276,MATCH('Ingest Template'!D891,DropdownLists!$C$2:$C$276,0))</f>
        <v>#N/A</v>
      </c>
      <c r="I891" s="22"/>
      <c r="J891" s="22" t="str">
        <f t="array" ref="J891">iF('Ingest Template'!A891="Standard","Pristine Brand",INDEX(DropdownLists!$B$2:$B$246,MATCH('Ingest Template'!D891,DropdownLists!$C$2:$C$246,0)))</f>
        <v>#N/A</v>
      </c>
      <c r="K891" s="22" t="str">
        <f>iF('Ingest Template'!A891="Standard",'Ingest Template'!K891&amp;CHAR(10)&amp;'Ingest Template'!L891,"Competitive View")</f>
        <v>Competitive View</v>
      </c>
      <c r="L891" s="22" t="s">
        <v>95</v>
      </c>
      <c r="M891" s="45" t="str">
        <f>'Ingest Template'!B891</f>
        <v/>
      </c>
      <c r="N891" s="35"/>
      <c r="O891" s="35"/>
      <c r="P891" s="35"/>
      <c r="Q891" s="35"/>
      <c r="R891" s="35" t="str">
        <f>'Ingest Template'!D891</f>
        <v/>
      </c>
      <c r="S891" s="22" t="s">
        <v>101</v>
      </c>
      <c r="T891" s="35" t="str">
        <f>'Ingest Template'!V891</f>
        <v/>
      </c>
      <c r="U891" s="35" t="str">
        <f>'Ingest Template'!W891</f>
        <v/>
      </c>
      <c r="V891" s="35" t="str">
        <f>LOWER(SUBSTITUTE(SUBSTITUTE(SUBSTITUTE(SUBSTITUTE(SUBSTITUTE('Ingest Template'!X891,"https:",""),"www.",""),"/",""),"?hl=en",""),"instagram.com",""))</f>
        <v/>
      </c>
      <c r="W891" s="74" t="str">
        <f t="array" ref="W891">IF(
'Ingest Template'!Y891="",
SUBSTITUTE(
INDEX(DropdownLists!$F$2:$F$277,MATCH('Ingest Template'!D891,DropdownLists!$C$2:$C$277,0)),
CHAR(10),
"|"&amp;'Ingest Template'!C891&amp;CHAR(10)
)&amp;"|"&amp;'Ingest Template'!C891,
SUBSTITUTE(
INDEX(DropdownLists!$F$2:$F$277,MATCH('Ingest Template'!D891,DropdownLists!$C$2:$C$277,0)),
CHAR(10),
"|"&amp;'Ingest Template'!C891&amp;CHAR(10)
)&amp;"|"&amp;'Ingest Template'!C891&amp;CHAR(10)&amp;'Ingest Template'!Y891
)</f>
        <v>#N/A</v>
      </c>
      <c r="X891" s="74" t="str">
        <f>'Ingest Template'!Z891</f>
        <v/>
      </c>
      <c r="Y891" s="35" t="str">
        <f>SUBSTITUTE(SUBSTITUTE(SUBSTITUTE('Ingest Template'!AA891,"http:",""),"https:",""),"/","")</f>
        <v/>
      </c>
      <c r="Z891" s="35" t="str">
        <f t="array" ref="Z891">IF('Ingest Template'!A891="Standard",(IF(ISBLANK('Ingest Template'!AB891),"", 'Ingest Template'!AB891&amp;"|DAR")),(IF(ISBLANK('Ingest Template'!AB891),"", 'Ingest Template'!AB891&amp;"|TV Ops")))</f>
        <v/>
      </c>
      <c r="AA891" s="35"/>
      <c r="AB891" s="35" t="str">
        <f>'Ingest Template'!R891</f>
        <v/>
      </c>
      <c r="AC891" s="35" t="str">
        <f>'Ingest Template'!T891</f>
        <v/>
      </c>
      <c r="AD891" s="35" t="str">
        <f>'Ingest Template'!S891</f>
        <v/>
      </c>
      <c r="AE891" s="35" t="str">
        <f>'Ingest Template'!U891</f>
        <v/>
      </c>
      <c r="AF891" s="22"/>
      <c r="AG891" s="35" t="str">
        <f t="array" ref="AG891">IF('Ingest Template'!A891="Standard",(CONCATENATE(IF(ISBLANK('Ingest Template'!N891),"", 'Ingest Template'!N891&amp;"|DAR"),CHAR(10), IF(ISBLANK('Ingest Template'!O891),"", 'Ingest Template'!O891&amp;"|DAR"),CHAR(10), IF(ISBLANK('Ingest Template'!P891),"", 'Ingest Template'!P891&amp;"|DAR"))),(CONCATENATE(IF(ISBLANK('Ingest Template'!N891),"", 'Ingest Template'!N891&amp;"|TV Ops"),CHAR(10), IF(ISBLANK('Ingest Template'!O891),"", 'Ingest Template'!O891&amp;"|TV Ops"),CHAR(10), IF(ISBLANK('Ingest Template'!P891),"", 'Ingest Template'!P891&amp;"|TV Ops"))))</f>
        <v>
</v>
      </c>
      <c r="AH891" s="35"/>
      <c r="AI891" s="35"/>
      <c r="AJ891" s="117" t="str">
        <f>if('Ingest Template'!A891="Standard",(IF(OR('Ingest Template'!F891 = "Program Type - Special", 'Ingest Template'!F891 = "Program Type - Live Event"),'Ingest Template'!M891&amp; "|DAR|DAR|"&amp;TEXT('Ingest Template'!C891-3, "yyyy-mm-dd")&amp;"|"&amp;TEXT('Ingest Template'!C891+3, "yyyy-mm-dd"),'Ingest Template'!M891&amp; "|DAR|DAR|2021-01-01")),(IF(OR('Ingest Template'!F891 = "Program Type - Special", 'Ingest Template'!F891 = "Program Type - Live Event"),'Ingest Template'!M891&amp; "|Operations - Core Title|Operations - Core Title|"&amp;TEXT('Ingest Template'!C891-3, "yyyy-mm-dd")&amp;"|"&amp;TEXT('Ingest Template'!C891+3, "yyyy-mm-dd"),'Ingest Template'!M891&amp; "|Operations - Core Title|Operations - Core Title")))</f>
        <v>|Operations - Core Title|Operations - Core Title</v>
      </c>
      <c r="AK891" s="35"/>
      <c r="AL891" s="117" t="str">
        <f>if('Ingest Template'!A891="Standard",(IF(OR('Ingest Template'!F891 = "Program Type - Special", 'Ingest Template'!F891 = "Program Type - Live Event"),'Ingest Template'!Q891&amp;"|"&amp;TEXT('Ingest Template'!C891-3, "yyyy-mm-dd")&amp;"|"&amp;TEXT('Ingest Template'!C891+3, "yyyy-mm-dd"),'Ingest Template'!Q891&amp; "|2021-01-01")),(IF(OR('Ingest Template'!F891 = "Program Type - Special", 'Ingest Template'!F891 = "Program Type - Live Event"),'Ingest Template'!Q891&amp; "|"&amp;TEXT('Ingest Template'!C891-3, "yyyy-mm-dd")&amp;"|"&amp;TEXT('Ingest Template'!C891+3, "yyyy-mm-dd"),'Ingest Template'!Q891)))</f>
        <v/>
      </c>
      <c r="AM891" s="35" t="str">
        <f>'Ingest Template'!AC891</f>
        <v/>
      </c>
    </row>
    <row r="892">
      <c r="A892" s="15"/>
      <c r="B892" s="22" t="str">
        <f>'Ingest Template'!C892&amp;IF('Ingest Template'!A892 = "Standard", " - DAR","")</f>
        <v/>
      </c>
      <c r="C892" s="22" t="s">
        <v>83</v>
      </c>
      <c r="D892" s="22" t="str">
        <f t="array" ref="D892">CONCATENATE(INDEX(DropdownLists!$H$2:$H$11,MATCH(1,COUNTIF('Ingest Template'!E892,"*"&amp;DropdownLists!$I$2:$I$11&amp;"*"),0)),CHAR(10),'Ingest Template'!F892,CHAR(10),'Ingest Template'!G892,CHAR(10),VLOOKUP('Ingest Template'!D892,DropdownLists!C:D,2,FALSE))</f>
        <v>#N/A</v>
      </c>
      <c r="E892" s="22" t="str">
        <f>CONCATENATE('Ingest Template'!H892,CHAR(10),'Ingest Template'!I892,CHAR(10),'Ingest Template'!J892,CHAR(10))</f>
        <v>
</v>
      </c>
      <c r="F892" s="35" t="str">
        <f t="array" ref="F892">INDEX(DropdownLists!$O$2:$O$36,MATCH(1,COUNTIF(E892,"*"&amp;DropdownLists!$N$2:$N$36&amp;"*"),0))</f>
        <v/>
      </c>
      <c r="G892" s="35"/>
      <c r="H892" s="22" t="str">
        <f t="array" ref="H892">INDEX(DropdownLists!$E$2:$E$276,MATCH('Ingest Template'!D892,DropdownLists!$C$2:$C$276,0))</f>
        <v>#N/A</v>
      </c>
      <c r="I892" s="22"/>
      <c r="J892" s="22" t="str">
        <f t="array" ref="J892">iF('Ingest Template'!A892="Standard","Pristine Brand",INDEX(DropdownLists!$B$2:$B$246,MATCH('Ingest Template'!D892,DropdownLists!$C$2:$C$246,0)))</f>
        <v>#N/A</v>
      </c>
      <c r="K892" s="22" t="str">
        <f>iF('Ingest Template'!A892="Standard",'Ingest Template'!K892&amp;CHAR(10)&amp;'Ingest Template'!L892,"Competitive View")</f>
        <v>Competitive View</v>
      </c>
      <c r="L892" s="22" t="s">
        <v>95</v>
      </c>
      <c r="M892" s="45" t="str">
        <f>'Ingest Template'!B892</f>
        <v/>
      </c>
      <c r="N892" s="35"/>
      <c r="O892" s="35"/>
      <c r="P892" s="35"/>
      <c r="Q892" s="35"/>
      <c r="R892" s="35" t="str">
        <f>'Ingest Template'!D892</f>
        <v/>
      </c>
      <c r="S892" s="22" t="s">
        <v>101</v>
      </c>
      <c r="T892" s="35" t="str">
        <f>'Ingest Template'!V892</f>
        <v/>
      </c>
      <c r="U892" s="35" t="str">
        <f>'Ingest Template'!W892</f>
        <v/>
      </c>
      <c r="V892" s="35" t="str">
        <f>LOWER(SUBSTITUTE(SUBSTITUTE(SUBSTITUTE(SUBSTITUTE(SUBSTITUTE('Ingest Template'!X892,"https:",""),"www.",""),"/",""),"?hl=en",""),"instagram.com",""))</f>
        <v/>
      </c>
      <c r="W892" s="74" t="str">
        <f t="array" ref="W892">IF(
'Ingest Template'!Y892="",
SUBSTITUTE(
INDEX(DropdownLists!$F$2:$F$277,MATCH('Ingest Template'!D892,DropdownLists!$C$2:$C$277,0)),
CHAR(10),
"|"&amp;'Ingest Template'!C892&amp;CHAR(10)
)&amp;"|"&amp;'Ingest Template'!C892,
SUBSTITUTE(
INDEX(DropdownLists!$F$2:$F$277,MATCH('Ingest Template'!D892,DropdownLists!$C$2:$C$277,0)),
CHAR(10),
"|"&amp;'Ingest Template'!C892&amp;CHAR(10)
)&amp;"|"&amp;'Ingest Template'!C892&amp;CHAR(10)&amp;'Ingest Template'!Y892
)</f>
        <v>#N/A</v>
      </c>
      <c r="X892" s="74" t="str">
        <f>'Ingest Template'!Z892</f>
        <v/>
      </c>
      <c r="Y892" s="35" t="str">
        <f>SUBSTITUTE(SUBSTITUTE(SUBSTITUTE('Ingest Template'!AA892,"http:",""),"https:",""),"/","")</f>
        <v/>
      </c>
      <c r="Z892" s="35" t="str">
        <f t="array" ref="Z892">IF('Ingest Template'!A892="Standard",(IF(ISBLANK('Ingest Template'!AB892),"", 'Ingest Template'!AB892&amp;"|DAR")),(IF(ISBLANK('Ingest Template'!AB892),"", 'Ingest Template'!AB892&amp;"|TV Ops")))</f>
        <v/>
      </c>
      <c r="AA892" s="35"/>
      <c r="AB892" s="35" t="str">
        <f>'Ingest Template'!R892</f>
        <v/>
      </c>
      <c r="AC892" s="35" t="str">
        <f>'Ingest Template'!T892</f>
        <v/>
      </c>
      <c r="AD892" s="35" t="str">
        <f>'Ingest Template'!S892</f>
        <v/>
      </c>
      <c r="AE892" s="35" t="str">
        <f>'Ingest Template'!U892</f>
        <v/>
      </c>
      <c r="AF892" s="22"/>
      <c r="AG892" s="35" t="str">
        <f t="array" ref="AG892">IF('Ingest Template'!A892="Standard",(CONCATENATE(IF(ISBLANK('Ingest Template'!N892),"", 'Ingest Template'!N892&amp;"|DAR"),CHAR(10), IF(ISBLANK('Ingest Template'!O892),"", 'Ingest Template'!O892&amp;"|DAR"),CHAR(10), IF(ISBLANK('Ingest Template'!P892),"", 'Ingest Template'!P892&amp;"|DAR"))),(CONCATENATE(IF(ISBLANK('Ingest Template'!N892),"", 'Ingest Template'!N892&amp;"|TV Ops"),CHAR(10), IF(ISBLANK('Ingest Template'!O892),"", 'Ingest Template'!O892&amp;"|TV Ops"),CHAR(10), IF(ISBLANK('Ingest Template'!P892),"", 'Ingest Template'!P892&amp;"|TV Ops"))))</f>
        <v>
</v>
      </c>
      <c r="AH892" s="35"/>
      <c r="AI892" s="35"/>
      <c r="AJ892" s="117" t="str">
        <f>if('Ingest Template'!A892="Standard",(IF(OR('Ingest Template'!F892 = "Program Type - Special", 'Ingest Template'!F892 = "Program Type - Live Event"),'Ingest Template'!M892&amp; "|DAR|DAR|"&amp;TEXT('Ingest Template'!C892-3, "yyyy-mm-dd")&amp;"|"&amp;TEXT('Ingest Template'!C892+3, "yyyy-mm-dd"),'Ingest Template'!M892&amp; "|DAR|DAR|2021-01-01")),(IF(OR('Ingest Template'!F892 = "Program Type - Special", 'Ingest Template'!F892 = "Program Type - Live Event"),'Ingest Template'!M892&amp; "|Operations - Core Title|Operations - Core Title|"&amp;TEXT('Ingest Template'!C892-3, "yyyy-mm-dd")&amp;"|"&amp;TEXT('Ingest Template'!C892+3, "yyyy-mm-dd"),'Ingest Template'!M892&amp; "|Operations - Core Title|Operations - Core Title")))</f>
        <v>|Operations - Core Title|Operations - Core Title</v>
      </c>
      <c r="AK892" s="35"/>
      <c r="AL892" s="117" t="str">
        <f>if('Ingest Template'!A892="Standard",(IF(OR('Ingest Template'!F892 = "Program Type - Special", 'Ingest Template'!F892 = "Program Type - Live Event"),'Ingest Template'!Q892&amp;"|"&amp;TEXT('Ingest Template'!C892-3, "yyyy-mm-dd")&amp;"|"&amp;TEXT('Ingest Template'!C892+3, "yyyy-mm-dd"),'Ingest Template'!Q892&amp; "|2021-01-01")),(IF(OR('Ingest Template'!F892 = "Program Type - Special", 'Ingest Template'!F892 = "Program Type - Live Event"),'Ingest Template'!Q892&amp; "|"&amp;TEXT('Ingest Template'!C892-3, "yyyy-mm-dd")&amp;"|"&amp;TEXT('Ingest Template'!C892+3, "yyyy-mm-dd"),'Ingest Template'!Q892)))</f>
        <v/>
      </c>
      <c r="AM892" s="35" t="str">
        <f>'Ingest Template'!AC892</f>
        <v/>
      </c>
    </row>
    <row r="893">
      <c r="A893" s="15"/>
      <c r="B893" s="22" t="str">
        <f>'Ingest Template'!C893&amp;IF('Ingest Template'!A893 = "Standard", " - DAR","")</f>
        <v/>
      </c>
      <c r="C893" s="22" t="s">
        <v>83</v>
      </c>
      <c r="D893" s="22" t="str">
        <f t="array" ref="D893">CONCATENATE(INDEX(DropdownLists!$H$2:$H$11,MATCH(1,COUNTIF('Ingest Template'!E893,"*"&amp;DropdownLists!$I$2:$I$11&amp;"*"),0)),CHAR(10),'Ingest Template'!F893,CHAR(10),'Ingest Template'!G893,CHAR(10),VLOOKUP('Ingest Template'!D893,DropdownLists!C:D,2,FALSE))</f>
        <v>#N/A</v>
      </c>
      <c r="E893" s="22" t="str">
        <f>CONCATENATE('Ingest Template'!H893,CHAR(10),'Ingest Template'!I893,CHAR(10),'Ingest Template'!J893,CHAR(10))</f>
        <v>
</v>
      </c>
      <c r="F893" s="35" t="str">
        <f t="array" ref="F893">INDEX(DropdownLists!$O$2:$O$36,MATCH(1,COUNTIF(E893,"*"&amp;DropdownLists!$N$2:$N$36&amp;"*"),0))</f>
        <v/>
      </c>
      <c r="G893" s="35"/>
      <c r="H893" s="22" t="str">
        <f t="array" ref="H893">INDEX(DropdownLists!$E$2:$E$276,MATCH('Ingest Template'!D893,DropdownLists!$C$2:$C$276,0))</f>
        <v>#N/A</v>
      </c>
      <c r="I893" s="22"/>
      <c r="J893" s="22" t="str">
        <f t="array" ref="J893">iF('Ingest Template'!A893="Standard","Pristine Brand",INDEX(DropdownLists!$B$2:$B$246,MATCH('Ingest Template'!D893,DropdownLists!$C$2:$C$246,0)))</f>
        <v>#N/A</v>
      </c>
      <c r="K893" s="22" t="str">
        <f>iF('Ingest Template'!A893="Standard",'Ingest Template'!K893&amp;CHAR(10)&amp;'Ingest Template'!L893,"Competitive View")</f>
        <v>Competitive View</v>
      </c>
      <c r="L893" s="22" t="s">
        <v>95</v>
      </c>
      <c r="M893" s="45" t="str">
        <f>'Ingest Template'!B893</f>
        <v/>
      </c>
      <c r="N893" s="35"/>
      <c r="O893" s="35"/>
      <c r="P893" s="35"/>
      <c r="Q893" s="35"/>
      <c r="R893" s="35" t="str">
        <f>'Ingest Template'!D893</f>
        <v/>
      </c>
      <c r="S893" s="22" t="s">
        <v>101</v>
      </c>
      <c r="T893" s="35" t="str">
        <f>'Ingest Template'!V893</f>
        <v/>
      </c>
      <c r="U893" s="35" t="str">
        <f>'Ingest Template'!W893</f>
        <v/>
      </c>
      <c r="V893" s="35" t="str">
        <f>LOWER(SUBSTITUTE(SUBSTITUTE(SUBSTITUTE(SUBSTITUTE(SUBSTITUTE('Ingest Template'!X893,"https:",""),"www.",""),"/",""),"?hl=en",""),"instagram.com",""))</f>
        <v/>
      </c>
      <c r="W893" s="74" t="str">
        <f t="array" ref="W893">IF(
'Ingest Template'!Y893="",
SUBSTITUTE(
INDEX(DropdownLists!$F$2:$F$277,MATCH('Ingest Template'!D893,DropdownLists!$C$2:$C$277,0)),
CHAR(10),
"|"&amp;'Ingest Template'!C893&amp;CHAR(10)
)&amp;"|"&amp;'Ingest Template'!C893,
SUBSTITUTE(
INDEX(DropdownLists!$F$2:$F$277,MATCH('Ingest Template'!D893,DropdownLists!$C$2:$C$277,0)),
CHAR(10),
"|"&amp;'Ingest Template'!C893&amp;CHAR(10)
)&amp;"|"&amp;'Ingest Template'!C893&amp;CHAR(10)&amp;'Ingest Template'!Y893
)</f>
        <v>#N/A</v>
      </c>
      <c r="X893" s="74" t="str">
        <f>'Ingest Template'!Z893</f>
        <v/>
      </c>
      <c r="Y893" s="35" t="str">
        <f>SUBSTITUTE(SUBSTITUTE(SUBSTITUTE('Ingest Template'!AA893,"http:",""),"https:",""),"/","")</f>
        <v/>
      </c>
      <c r="Z893" s="35" t="str">
        <f t="array" ref="Z893">IF('Ingest Template'!A893="Standard",(IF(ISBLANK('Ingest Template'!AB893),"", 'Ingest Template'!AB893&amp;"|DAR")),(IF(ISBLANK('Ingest Template'!AB893),"", 'Ingest Template'!AB893&amp;"|TV Ops")))</f>
        <v/>
      </c>
      <c r="AA893" s="35"/>
      <c r="AB893" s="35" t="str">
        <f>'Ingest Template'!R893</f>
        <v/>
      </c>
      <c r="AC893" s="35" t="str">
        <f>'Ingest Template'!T893</f>
        <v/>
      </c>
      <c r="AD893" s="35" t="str">
        <f>'Ingest Template'!S893</f>
        <v/>
      </c>
      <c r="AE893" s="35" t="str">
        <f>'Ingest Template'!U893</f>
        <v/>
      </c>
      <c r="AF893" s="22"/>
      <c r="AG893" s="35" t="str">
        <f t="array" ref="AG893">IF('Ingest Template'!A893="Standard",(CONCATENATE(IF(ISBLANK('Ingest Template'!N893),"", 'Ingest Template'!N893&amp;"|DAR"),CHAR(10), IF(ISBLANK('Ingest Template'!O893),"", 'Ingest Template'!O893&amp;"|DAR"),CHAR(10), IF(ISBLANK('Ingest Template'!P893),"", 'Ingest Template'!P893&amp;"|DAR"))),(CONCATENATE(IF(ISBLANK('Ingest Template'!N893),"", 'Ingest Template'!N893&amp;"|TV Ops"),CHAR(10), IF(ISBLANK('Ingest Template'!O893),"", 'Ingest Template'!O893&amp;"|TV Ops"),CHAR(10), IF(ISBLANK('Ingest Template'!P893),"", 'Ingest Template'!P893&amp;"|TV Ops"))))</f>
        <v>
</v>
      </c>
      <c r="AH893" s="35"/>
      <c r="AI893" s="35"/>
      <c r="AJ893" s="117" t="str">
        <f>if('Ingest Template'!A893="Standard",(IF(OR('Ingest Template'!F893 = "Program Type - Special", 'Ingest Template'!F893 = "Program Type - Live Event"),'Ingest Template'!M893&amp; "|DAR|DAR|"&amp;TEXT('Ingest Template'!C893-3, "yyyy-mm-dd")&amp;"|"&amp;TEXT('Ingest Template'!C893+3, "yyyy-mm-dd"),'Ingest Template'!M893&amp; "|DAR|DAR|2021-01-01")),(IF(OR('Ingest Template'!F893 = "Program Type - Special", 'Ingest Template'!F893 = "Program Type - Live Event"),'Ingest Template'!M893&amp; "|Operations - Core Title|Operations - Core Title|"&amp;TEXT('Ingest Template'!C893-3, "yyyy-mm-dd")&amp;"|"&amp;TEXT('Ingest Template'!C893+3, "yyyy-mm-dd"),'Ingest Template'!M893&amp; "|Operations - Core Title|Operations - Core Title")))</f>
        <v>|Operations - Core Title|Operations - Core Title</v>
      </c>
      <c r="AK893" s="35"/>
      <c r="AL893" s="117" t="str">
        <f>if('Ingest Template'!A893="Standard",(IF(OR('Ingest Template'!F893 = "Program Type - Special", 'Ingest Template'!F893 = "Program Type - Live Event"),'Ingest Template'!Q893&amp;"|"&amp;TEXT('Ingest Template'!C893-3, "yyyy-mm-dd")&amp;"|"&amp;TEXT('Ingest Template'!C893+3, "yyyy-mm-dd"),'Ingest Template'!Q893&amp; "|2021-01-01")),(IF(OR('Ingest Template'!F893 = "Program Type - Special", 'Ingest Template'!F893 = "Program Type - Live Event"),'Ingest Template'!Q893&amp; "|"&amp;TEXT('Ingest Template'!C893-3, "yyyy-mm-dd")&amp;"|"&amp;TEXT('Ingest Template'!C893+3, "yyyy-mm-dd"),'Ingest Template'!Q893)))</f>
        <v/>
      </c>
      <c r="AM893" s="35" t="str">
        <f>'Ingest Template'!AC893</f>
        <v/>
      </c>
    </row>
    <row r="894">
      <c r="A894" s="15"/>
      <c r="B894" s="22" t="str">
        <f>'Ingest Template'!C894&amp;IF('Ingest Template'!A894 = "Standard", " - DAR","")</f>
        <v/>
      </c>
      <c r="C894" s="22" t="s">
        <v>83</v>
      </c>
      <c r="D894" s="22" t="str">
        <f t="array" ref="D894">CONCATENATE(INDEX(DropdownLists!$H$2:$H$11,MATCH(1,COUNTIF('Ingest Template'!E894,"*"&amp;DropdownLists!$I$2:$I$11&amp;"*"),0)),CHAR(10),'Ingest Template'!F894,CHAR(10),'Ingest Template'!G894,CHAR(10),VLOOKUP('Ingest Template'!D894,DropdownLists!C:D,2,FALSE))</f>
        <v>#N/A</v>
      </c>
      <c r="E894" s="22" t="str">
        <f>CONCATENATE('Ingest Template'!H894,CHAR(10),'Ingest Template'!I894,CHAR(10),'Ingest Template'!J894,CHAR(10))</f>
        <v>
</v>
      </c>
      <c r="F894" s="35" t="str">
        <f t="array" ref="F894">INDEX(DropdownLists!$O$2:$O$36,MATCH(1,COUNTIF(E894,"*"&amp;DropdownLists!$N$2:$N$36&amp;"*"),0))</f>
        <v/>
      </c>
      <c r="G894" s="35"/>
      <c r="H894" s="22" t="str">
        <f t="array" ref="H894">INDEX(DropdownLists!$E$2:$E$276,MATCH('Ingest Template'!D894,DropdownLists!$C$2:$C$276,0))</f>
        <v>#N/A</v>
      </c>
      <c r="I894" s="22"/>
      <c r="J894" s="22" t="str">
        <f t="array" ref="J894">iF('Ingest Template'!A894="Standard","Pristine Brand",INDEX(DropdownLists!$B$2:$B$246,MATCH('Ingest Template'!D894,DropdownLists!$C$2:$C$246,0)))</f>
        <v>#N/A</v>
      </c>
      <c r="K894" s="22" t="str">
        <f>iF('Ingest Template'!A894="Standard",'Ingest Template'!K894&amp;CHAR(10)&amp;'Ingest Template'!L894,"Competitive View")</f>
        <v>Competitive View</v>
      </c>
      <c r="L894" s="22" t="s">
        <v>95</v>
      </c>
      <c r="M894" s="45" t="str">
        <f>'Ingest Template'!B894</f>
        <v/>
      </c>
      <c r="N894" s="35"/>
      <c r="O894" s="35"/>
      <c r="P894" s="35"/>
      <c r="Q894" s="35"/>
      <c r="R894" s="35" t="str">
        <f>'Ingest Template'!D894</f>
        <v/>
      </c>
      <c r="S894" s="22" t="s">
        <v>101</v>
      </c>
      <c r="T894" s="35" t="str">
        <f>'Ingest Template'!V894</f>
        <v/>
      </c>
      <c r="U894" s="35" t="str">
        <f>'Ingest Template'!W894</f>
        <v/>
      </c>
      <c r="V894" s="35" t="str">
        <f>LOWER(SUBSTITUTE(SUBSTITUTE(SUBSTITUTE(SUBSTITUTE(SUBSTITUTE('Ingest Template'!X894,"https:",""),"www.",""),"/",""),"?hl=en",""),"instagram.com",""))</f>
        <v/>
      </c>
      <c r="W894" s="74" t="str">
        <f t="array" ref="W894">IF(
'Ingest Template'!Y894="",
SUBSTITUTE(
INDEX(DropdownLists!$F$2:$F$277,MATCH('Ingest Template'!D894,DropdownLists!$C$2:$C$277,0)),
CHAR(10),
"|"&amp;'Ingest Template'!C894&amp;CHAR(10)
)&amp;"|"&amp;'Ingest Template'!C894,
SUBSTITUTE(
INDEX(DropdownLists!$F$2:$F$277,MATCH('Ingest Template'!D894,DropdownLists!$C$2:$C$277,0)),
CHAR(10),
"|"&amp;'Ingest Template'!C894&amp;CHAR(10)
)&amp;"|"&amp;'Ingest Template'!C894&amp;CHAR(10)&amp;'Ingest Template'!Y894
)</f>
        <v>#N/A</v>
      </c>
      <c r="X894" s="74" t="str">
        <f>'Ingest Template'!Z894</f>
        <v/>
      </c>
      <c r="Y894" s="35" t="str">
        <f>SUBSTITUTE(SUBSTITUTE(SUBSTITUTE('Ingest Template'!AA894,"http:",""),"https:",""),"/","")</f>
        <v/>
      </c>
      <c r="Z894" s="35" t="str">
        <f t="array" ref="Z894">IF('Ingest Template'!A894="Standard",(IF(ISBLANK('Ingest Template'!AB894),"", 'Ingest Template'!AB894&amp;"|DAR")),(IF(ISBLANK('Ingest Template'!AB894),"", 'Ingest Template'!AB894&amp;"|TV Ops")))</f>
        <v/>
      </c>
      <c r="AA894" s="35"/>
      <c r="AB894" s="35" t="str">
        <f>'Ingest Template'!R894</f>
        <v/>
      </c>
      <c r="AC894" s="35" t="str">
        <f>'Ingest Template'!T894</f>
        <v/>
      </c>
      <c r="AD894" s="35" t="str">
        <f>'Ingest Template'!S894</f>
        <v/>
      </c>
      <c r="AE894" s="35" t="str">
        <f>'Ingest Template'!U894</f>
        <v/>
      </c>
      <c r="AF894" s="22"/>
      <c r="AG894" s="35" t="str">
        <f t="array" ref="AG894">IF('Ingest Template'!A894="Standard",(CONCATENATE(IF(ISBLANK('Ingest Template'!N894),"", 'Ingest Template'!N894&amp;"|DAR"),CHAR(10), IF(ISBLANK('Ingest Template'!O894),"", 'Ingest Template'!O894&amp;"|DAR"),CHAR(10), IF(ISBLANK('Ingest Template'!P894),"", 'Ingest Template'!P894&amp;"|DAR"))),(CONCATENATE(IF(ISBLANK('Ingest Template'!N894),"", 'Ingest Template'!N894&amp;"|TV Ops"),CHAR(10), IF(ISBLANK('Ingest Template'!O894),"", 'Ingest Template'!O894&amp;"|TV Ops"),CHAR(10), IF(ISBLANK('Ingest Template'!P894),"", 'Ingest Template'!P894&amp;"|TV Ops"))))</f>
        <v>
</v>
      </c>
      <c r="AH894" s="35"/>
      <c r="AI894" s="35"/>
      <c r="AJ894" s="117" t="str">
        <f>if('Ingest Template'!A894="Standard",(IF(OR('Ingest Template'!F894 = "Program Type - Special", 'Ingest Template'!F894 = "Program Type - Live Event"),'Ingest Template'!M894&amp; "|DAR|DAR|"&amp;TEXT('Ingest Template'!C894-3, "yyyy-mm-dd")&amp;"|"&amp;TEXT('Ingest Template'!C894+3, "yyyy-mm-dd"),'Ingest Template'!M894&amp; "|DAR|DAR|2021-01-01")),(IF(OR('Ingest Template'!F894 = "Program Type - Special", 'Ingest Template'!F894 = "Program Type - Live Event"),'Ingest Template'!M894&amp; "|Operations - Core Title|Operations - Core Title|"&amp;TEXT('Ingest Template'!C894-3, "yyyy-mm-dd")&amp;"|"&amp;TEXT('Ingest Template'!C894+3, "yyyy-mm-dd"),'Ingest Template'!M894&amp; "|Operations - Core Title|Operations - Core Title")))</f>
        <v>|Operations - Core Title|Operations - Core Title</v>
      </c>
      <c r="AK894" s="35"/>
      <c r="AL894" s="117" t="str">
        <f>if('Ingest Template'!A894="Standard",(IF(OR('Ingest Template'!F894 = "Program Type - Special", 'Ingest Template'!F894 = "Program Type - Live Event"),'Ingest Template'!Q894&amp;"|"&amp;TEXT('Ingest Template'!C894-3, "yyyy-mm-dd")&amp;"|"&amp;TEXT('Ingest Template'!C894+3, "yyyy-mm-dd"),'Ingest Template'!Q894&amp; "|2021-01-01")),(IF(OR('Ingest Template'!F894 = "Program Type - Special", 'Ingest Template'!F894 = "Program Type - Live Event"),'Ingest Template'!Q894&amp; "|"&amp;TEXT('Ingest Template'!C894-3, "yyyy-mm-dd")&amp;"|"&amp;TEXT('Ingest Template'!C894+3, "yyyy-mm-dd"),'Ingest Template'!Q894)))</f>
        <v/>
      </c>
      <c r="AM894" s="35" t="str">
        <f>'Ingest Template'!AC894</f>
        <v/>
      </c>
    </row>
    <row r="895">
      <c r="A895" s="15"/>
      <c r="B895" s="22" t="str">
        <f>'Ingest Template'!C895&amp;IF('Ingest Template'!A895 = "Standard", " - DAR","")</f>
        <v/>
      </c>
      <c r="C895" s="22" t="s">
        <v>83</v>
      </c>
      <c r="D895" s="22" t="str">
        <f t="array" ref="D895">CONCATENATE(INDEX(DropdownLists!$H$2:$H$11,MATCH(1,COUNTIF('Ingest Template'!E895,"*"&amp;DropdownLists!$I$2:$I$11&amp;"*"),0)),CHAR(10),'Ingest Template'!F895,CHAR(10),'Ingest Template'!G895,CHAR(10),VLOOKUP('Ingest Template'!D895,DropdownLists!C:D,2,FALSE))</f>
        <v>#N/A</v>
      </c>
      <c r="E895" s="22" t="str">
        <f>CONCATENATE('Ingest Template'!H895,CHAR(10),'Ingest Template'!I895,CHAR(10),'Ingest Template'!J895,CHAR(10))</f>
        <v>
</v>
      </c>
      <c r="F895" s="35" t="str">
        <f t="array" ref="F895">INDEX(DropdownLists!$O$2:$O$36,MATCH(1,COUNTIF(E895,"*"&amp;DropdownLists!$N$2:$N$36&amp;"*"),0))</f>
        <v/>
      </c>
      <c r="G895" s="35"/>
      <c r="H895" s="22" t="str">
        <f t="array" ref="H895">INDEX(DropdownLists!$E$2:$E$276,MATCH('Ingest Template'!D895,DropdownLists!$C$2:$C$276,0))</f>
        <v>#N/A</v>
      </c>
      <c r="I895" s="22"/>
      <c r="J895" s="22" t="str">
        <f t="array" ref="J895">iF('Ingest Template'!A895="Standard","Pristine Brand",INDEX(DropdownLists!$B$2:$B$246,MATCH('Ingest Template'!D895,DropdownLists!$C$2:$C$246,0)))</f>
        <v>#N/A</v>
      </c>
      <c r="K895" s="22" t="str">
        <f>iF('Ingest Template'!A895="Standard",'Ingest Template'!K895&amp;CHAR(10)&amp;'Ingest Template'!L895,"Competitive View")</f>
        <v>Competitive View</v>
      </c>
      <c r="L895" s="22" t="s">
        <v>95</v>
      </c>
      <c r="M895" s="45" t="str">
        <f>'Ingest Template'!B895</f>
        <v/>
      </c>
      <c r="N895" s="35"/>
      <c r="O895" s="35"/>
      <c r="P895" s="35"/>
      <c r="Q895" s="35"/>
      <c r="R895" s="35" t="str">
        <f>'Ingest Template'!D895</f>
        <v/>
      </c>
      <c r="S895" s="22" t="s">
        <v>101</v>
      </c>
      <c r="T895" s="35" t="str">
        <f>'Ingest Template'!V895</f>
        <v/>
      </c>
      <c r="U895" s="35" t="str">
        <f>'Ingest Template'!W895</f>
        <v/>
      </c>
      <c r="V895" s="35" t="str">
        <f>LOWER(SUBSTITUTE(SUBSTITUTE(SUBSTITUTE(SUBSTITUTE(SUBSTITUTE('Ingest Template'!X895,"https:",""),"www.",""),"/",""),"?hl=en",""),"instagram.com",""))</f>
        <v/>
      </c>
      <c r="W895" s="74" t="str">
        <f t="array" ref="W895">IF(
'Ingest Template'!Y895="",
SUBSTITUTE(
INDEX(DropdownLists!$F$2:$F$277,MATCH('Ingest Template'!D895,DropdownLists!$C$2:$C$277,0)),
CHAR(10),
"|"&amp;'Ingest Template'!C895&amp;CHAR(10)
)&amp;"|"&amp;'Ingest Template'!C895,
SUBSTITUTE(
INDEX(DropdownLists!$F$2:$F$277,MATCH('Ingest Template'!D895,DropdownLists!$C$2:$C$277,0)),
CHAR(10),
"|"&amp;'Ingest Template'!C895&amp;CHAR(10)
)&amp;"|"&amp;'Ingest Template'!C895&amp;CHAR(10)&amp;'Ingest Template'!Y895
)</f>
        <v>#N/A</v>
      </c>
      <c r="X895" s="74" t="str">
        <f>'Ingest Template'!Z895</f>
        <v/>
      </c>
      <c r="Y895" s="35" t="str">
        <f>SUBSTITUTE(SUBSTITUTE(SUBSTITUTE('Ingest Template'!AA895,"http:",""),"https:",""),"/","")</f>
        <v/>
      </c>
      <c r="Z895" s="35" t="str">
        <f t="array" ref="Z895">IF('Ingest Template'!A895="Standard",(IF(ISBLANK('Ingest Template'!AB895),"", 'Ingest Template'!AB895&amp;"|DAR")),(IF(ISBLANK('Ingest Template'!AB895),"", 'Ingest Template'!AB895&amp;"|TV Ops")))</f>
        <v/>
      </c>
      <c r="AA895" s="35"/>
      <c r="AB895" s="35" t="str">
        <f>'Ingest Template'!R895</f>
        <v/>
      </c>
      <c r="AC895" s="35" t="str">
        <f>'Ingest Template'!T895</f>
        <v/>
      </c>
      <c r="AD895" s="35" t="str">
        <f>'Ingest Template'!S895</f>
        <v/>
      </c>
      <c r="AE895" s="35" t="str">
        <f>'Ingest Template'!U895</f>
        <v/>
      </c>
      <c r="AF895" s="22"/>
      <c r="AG895" s="35" t="str">
        <f t="array" ref="AG895">IF('Ingest Template'!A895="Standard",(CONCATENATE(IF(ISBLANK('Ingest Template'!N895),"", 'Ingest Template'!N895&amp;"|DAR"),CHAR(10), IF(ISBLANK('Ingest Template'!O895),"", 'Ingest Template'!O895&amp;"|DAR"),CHAR(10), IF(ISBLANK('Ingest Template'!P895),"", 'Ingest Template'!P895&amp;"|DAR"))),(CONCATENATE(IF(ISBLANK('Ingest Template'!N895),"", 'Ingest Template'!N895&amp;"|TV Ops"),CHAR(10), IF(ISBLANK('Ingest Template'!O895),"", 'Ingest Template'!O895&amp;"|TV Ops"),CHAR(10), IF(ISBLANK('Ingest Template'!P895),"", 'Ingest Template'!P895&amp;"|TV Ops"))))</f>
        <v>
</v>
      </c>
      <c r="AH895" s="35"/>
      <c r="AI895" s="35"/>
      <c r="AJ895" s="117" t="str">
        <f>if('Ingest Template'!A895="Standard",(IF(OR('Ingest Template'!F895 = "Program Type - Special", 'Ingest Template'!F895 = "Program Type - Live Event"),'Ingest Template'!M895&amp; "|DAR|DAR|"&amp;TEXT('Ingest Template'!C895-3, "yyyy-mm-dd")&amp;"|"&amp;TEXT('Ingest Template'!C895+3, "yyyy-mm-dd"),'Ingest Template'!M895&amp; "|DAR|DAR|2021-01-01")),(IF(OR('Ingest Template'!F895 = "Program Type - Special", 'Ingest Template'!F895 = "Program Type - Live Event"),'Ingest Template'!M895&amp; "|Operations - Core Title|Operations - Core Title|"&amp;TEXT('Ingest Template'!C895-3, "yyyy-mm-dd")&amp;"|"&amp;TEXT('Ingest Template'!C895+3, "yyyy-mm-dd"),'Ingest Template'!M895&amp; "|Operations - Core Title|Operations - Core Title")))</f>
        <v>|Operations - Core Title|Operations - Core Title</v>
      </c>
      <c r="AK895" s="35"/>
      <c r="AL895" s="117" t="str">
        <f>if('Ingest Template'!A895="Standard",(IF(OR('Ingest Template'!F895 = "Program Type - Special", 'Ingest Template'!F895 = "Program Type - Live Event"),'Ingest Template'!Q895&amp;"|"&amp;TEXT('Ingest Template'!C895-3, "yyyy-mm-dd")&amp;"|"&amp;TEXT('Ingest Template'!C895+3, "yyyy-mm-dd"),'Ingest Template'!Q895&amp; "|2021-01-01")),(IF(OR('Ingest Template'!F895 = "Program Type - Special", 'Ingest Template'!F895 = "Program Type - Live Event"),'Ingest Template'!Q895&amp; "|"&amp;TEXT('Ingest Template'!C895-3, "yyyy-mm-dd")&amp;"|"&amp;TEXT('Ingest Template'!C895+3, "yyyy-mm-dd"),'Ingest Template'!Q895)))</f>
        <v/>
      </c>
      <c r="AM895" s="35" t="str">
        <f>'Ingest Template'!AC895</f>
        <v/>
      </c>
    </row>
    <row r="896">
      <c r="A896" s="15"/>
      <c r="B896" s="22" t="str">
        <f>'Ingest Template'!C896&amp;IF('Ingest Template'!A896 = "Standard", " - DAR","")</f>
        <v/>
      </c>
      <c r="C896" s="22" t="s">
        <v>83</v>
      </c>
      <c r="D896" s="22" t="str">
        <f t="array" ref="D896">CONCATENATE(INDEX(DropdownLists!$H$2:$H$11,MATCH(1,COUNTIF('Ingest Template'!E896,"*"&amp;DropdownLists!$I$2:$I$11&amp;"*"),0)),CHAR(10),'Ingest Template'!F896,CHAR(10),'Ingest Template'!G896,CHAR(10),VLOOKUP('Ingest Template'!D896,DropdownLists!C:D,2,FALSE))</f>
        <v>#N/A</v>
      </c>
      <c r="E896" s="22" t="str">
        <f>CONCATENATE('Ingest Template'!H896,CHAR(10),'Ingest Template'!I896,CHAR(10),'Ingest Template'!J896,CHAR(10))</f>
        <v>
</v>
      </c>
      <c r="F896" s="35" t="str">
        <f t="array" ref="F896">INDEX(DropdownLists!$O$2:$O$36,MATCH(1,COUNTIF(E896,"*"&amp;DropdownLists!$N$2:$N$36&amp;"*"),0))</f>
        <v/>
      </c>
      <c r="G896" s="35"/>
      <c r="H896" s="22" t="str">
        <f t="array" ref="H896">INDEX(DropdownLists!$E$2:$E$276,MATCH('Ingest Template'!D896,DropdownLists!$C$2:$C$276,0))</f>
        <v>#N/A</v>
      </c>
      <c r="I896" s="22"/>
      <c r="J896" s="22" t="str">
        <f t="array" ref="J896">iF('Ingest Template'!A896="Standard","Pristine Brand",INDEX(DropdownLists!$B$2:$B$246,MATCH('Ingest Template'!D896,DropdownLists!$C$2:$C$246,0)))</f>
        <v>#N/A</v>
      </c>
      <c r="K896" s="22" t="str">
        <f>iF('Ingest Template'!A896="Standard",'Ingest Template'!K896&amp;CHAR(10)&amp;'Ingest Template'!L896,"Competitive View")</f>
        <v>Competitive View</v>
      </c>
      <c r="L896" s="22" t="s">
        <v>95</v>
      </c>
      <c r="M896" s="45" t="str">
        <f>'Ingest Template'!B896</f>
        <v/>
      </c>
      <c r="N896" s="35"/>
      <c r="O896" s="35"/>
      <c r="P896" s="35"/>
      <c r="Q896" s="35"/>
      <c r="R896" s="35" t="str">
        <f>'Ingest Template'!D896</f>
        <v/>
      </c>
      <c r="S896" s="22" t="s">
        <v>101</v>
      </c>
      <c r="T896" s="35" t="str">
        <f>'Ingest Template'!V896</f>
        <v/>
      </c>
      <c r="U896" s="35" t="str">
        <f>'Ingest Template'!W896</f>
        <v/>
      </c>
      <c r="V896" s="35" t="str">
        <f>LOWER(SUBSTITUTE(SUBSTITUTE(SUBSTITUTE(SUBSTITUTE(SUBSTITUTE('Ingest Template'!X896,"https:",""),"www.",""),"/",""),"?hl=en",""),"instagram.com",""))</f>
        <v/>
      </c>
      <c r="W896" s="74" t="str">
        <f t="array" ref="W896">IF(
'Ingest Template'!Y896="",
SUBSTITUTE(
INDEX(DropdownLists!$F$2:$F$277,MATCH('Ingest Template'!D896,DropdownLists!$C$2:$C$277,0)),
CHAR(10),
"|"&amp;'Ingest Template'!C896&amp;CHAR(10)
)&amp;"|"&amp;'Ingest Template'!C896,
SUBSTITUTE(
INDEX(DropdownLists!$F$2:$F$277,MATCH('Ingest Template'!D896,DropdownLists!$C$2:$C$277,0)),
CHAR(10),
"|"&amp;'Ingest Template'!C896&amp;CHAR(10)
)&amp;"|"&amp;'Ingest Template'!C896&amp;CHAR(10)&amp;'Ingest Template'!Y896
)</f>
        <v>#N/A</v>
      </c>
      <c r="X896" s="74" t="str">
        <f>'Ingest Template'!Z896</f>
        <v/>
      </c>
      <c r="Y896" s="35" t="str">
        <f>SUBSTITUTE(SUBSTITUTE(SUBSTITUTE('Ingest Template'!AA896,"http:",""),"https:",""),"/","")</f>
        <v/>
      </c>
      <c r="Z896" s="35" t="str">
        <f t="array" ref="Z896">IF('Ingest Template'!A896="Standard",(IF(ISBLANK('Ingest Template'!AB896),"", 'Ingest Template'!AB896&amp;"|DAR")),(IF(ISBLANK('Ingest Template'!AB896),"", 'Ingest Template'!AB896&amp;"|TV Ops")))</f>
        <v/>
      </c>
      <c r="AA896" s="35"/>
      <c r="AB896" s="35" t="str">
        <f>'Ingest Template'!R896</f>
        <v/>
      </c>
      <c r="AC896" s="35" t="str">
        <f>'Ingest Template'!T896</f>
        <v/>
      </c>
      <c r="AD896" s="35" t="str">
        <f>'Ingest Template'!S896</f>
        <v/>
      </c>
      <c r="AE896" s="35" t="str">
        <f>'Ingest Template'!U896</f>
        <v/>
      </c>
      <c r="AF896" s="22"/>
      <c r="AG896" s="35" t="str">
        <f t="array" ref="AG896">IF('Ingest Template'!A896="Standard",(CONCATENATE(IF(ISBLANK('Ingest Template'!N896),"", 'Ingest Template'!N896&amp;"|DAR"),CHAR(10), IF(ISBLANK('Ingest Template'!O896),"", 'Ingest Template'!O896&amp;"|DAR"),CHAR(10), IF(ISBLANK('Ingest Template'!P896),"", 'Ingest Template'!P896&amp;"|DAR"))),(CONCATENATE(IF(ISBLANK('Ingest Template'!N896),"", 'Ingest Template'!N896&amp;"|TV Ops"),CHAR(10), IF(ISBLANK('Ingest Template'!O896),"", 'Ingest Template'!O896&amp;"|TV Ops"),CHAR(10), IF(ISBLANK('Ingest Template'!P896),"", 'Ingest Template'!P896&amp;"|TV Ops"))))</f>
        <v>
</v>
      </c>
      <c r="AH896" s="35"/>
      <c r="AI896" s="35"/>
      <c r="AJ896" s="117" t="str">
        <f>if('Ingest Template'!A896="Standard",(IF(OR('Ingest Template'!F896 = "Program Type - Special", 'Ingest Template'!F896 = "Program Type - Live Event"),'Ingest Template'!M896&amp; "|DAR|DAR|"&amp;TEXT('Ingest Template'!C896-3, "yyyy-mm-dd")&amp;"|"&amp;TEXT('Ingest Template'!C896+3, "yyyy-mm-dd"),'Ingest Template'!M896&amp; "|DAR|DAR|2021-01-01")),(IF(OR('Ingest Template'!F896 = "Program Type - Special", 'Ingest Template'!F896 = "Program Type - Live Event"),'Ingest Template'!M896&amp; "|Operations - Core Title|Operations - Core Title|"&amp;TEXT('Ingest Template'!C896-3, "yyyy-mm-dd")&amp;"|"&amp;TEXT('Ingest Template'!C896+3, "yyyy-mm-dd"),'Ingest Template'!M896&amp; "|Operations - Core Title|Operations - Core Title")))</f>
        <v>|Operations - Core Title|Operations - Core Title</v>
      </c>
      <c r="AK896" s="35"/>
      <c r="AL896" s="117" t="str">
        <f>if('Ingest Template'!A896="Standard",(IF(OR('Ingest Template'!F896 = "Program Type - Special", 'Ingest Template'!F896 = "Program Type - Live Event"),'Ingest Template'!Q896&amp;"|"&amp;TEXT('Ingest Template'!C896-3, "yyyy-mm-dd")&amp;"|"&amp;TEXT('Ingest Template'!C896+3, "yyyy-mm-dd"),'Ingest Template'!Q896&amp; "|2021-01-01")),(IF(OR('Ingest Template'!F896 = "Program Type - Special", 'Ingest Template'!F896 = "Program Type - Live Event"),'Ingest Template'!Q896&amp; "|"&amp;TEXT('Ingest Template'!C896-3, "yyyy-mm-dd")&amp;"|"&amp;TEXT('Ingest Template'!C896+3, "yyyy-mm-dd"),'Ingest Template'!Q896)))</f>
        <v/>
      </c>
      <c r="AM896" s="35" t="str">
        <f>'Ingest Template'!AC896</f>
        <v/>
      </c>
    </row>
    <row r="897">
      <c r="A897" s="15"/>
      <c r="B897" s="22" t="str">
        <f>'Ingest Template'!C897&amp;IF('Ingest Template'!A897 = "Standard", " - DAR","")</f>
        <v/>
      </c>
      <c r="C897" s="22" t="s">
        <v>83</v>
      </c>
      <c r="D897" s="22" t="str">
        <f t="array" ref="D897">CONCATENATE(INDEX(DropdownLists!$H$2:$H$11,MATCH(1,COUNTIF('Ingest Template'!E897,"*"&amp;DropdownLists!$I$2:$I$11&amp;"*"),0)),CHAR(10),'Ingest Template'!F897,CHAR(10),'Ingest Template'!G897,CHAR(10),VLOOKUP('Ingest Template'!D897,DropdownLists!C:D,2,FALSE))</f>
        <v>#N/A</v>
      </c>
      <c r="E897" s="22" t="str">
        <f>CONCATENATE('Ingest Template'!H897,CHAR(10),'Ingest Template'!I897,CHAR(10),'Ingest Template'!J897,CHAR(10))</f>
        <v>
</v>
      </c>
      <c r="F897" s="35" t="str">
        <f t="array" ref="F897">INDEX(DropdownLists!$O$2:$O$36,MATCH(1,COUNTIF(E897,"*"&amp;DropdownLists!$N$2:$N$36&amp;"*"),0))</f>
        <v/>
      </c>
      <c r="G897" s="35"/>
      <c r="H897" s="22" t="str">
        <f t="array" ref="H897">INDEX(DropdownLists!$E$2:$E$276,MATCH('Ingest Template'!D897,DropdownLists!$C$2:$C$276,0))</f>
        <v>#N/A</v>
      </c>
      <c r="I897" s="22"/>
      <c r="J897" s="22" t="str">
        <f t="array" ref="J897">iF('Ingest Template'!A897="Standard","Pristine Brand",INDEX(DropdownLists!$B$2:$B$246,MATCH('Ingest Template'!D897,DropdownLists!$C$2:$C$246,0)))</f>
        <v>#N/A</v>
      </c>
      <c r="K897" s="22" t="str">
        <f>iF('Ingest Template'!A897="Standard",'Ingest Template'!K897&amp;CHAR(10)&amp;'Ingest Template'!L897,"Competitive View")</f>
        <v>Competitive View</v>
      </c>
      <c r="L897" s="22" t="s">
        <v>95</v>
      </c>
      <c r="M897" s="45" t="str">
        <f>'Ingest Template'!B897</f>
        <v/>
      </c>
      <c r="N897" s="35"/>
      <c r="O897" s="35"/>
      <c r="P897" s="35"/>
      <c r="Q897" s="35"/>
      <c r="R897" s="35" t="str">
        <f>'Ingest Template'!D897</f>
        <v/>
      </c>
      <c r="S897" s="22" t="s">
        <v>101</v>
      </c>
      <c r="T897" s="35" t="str">
        <f>'Ingest Template'!V897</f>
        <v/>
      </c>
      <c r="U897" s="35" t="str">
        <f>'Ingest Template'!W897</f>
        <v/>
      </c>
      <c r="V897" s="35" t="str">
        <f>LOWER(SUBSTITUTE(SUBSTITUTE(SUBSTITUTE(SUBSTITUTE(SUBSTITUTE('Ingest Template'!X897,"https:",""),"www.",""),"/",""),"?hl=en",""),"instagram.com",""))</f>
        <v/>
      </c>
      <c r="W897" s="74" t="str">
        <f t="array" ref="W897">IF(
'Ingest Template'!Y897="",
SUBSTITUTE(
INDEX(DropdownLists!$F$2:$F$277,MATCH('Ingest Template'!D897,DropdownLists!$C$2:$C$277,0)),
CHAR(10),
"|"&amp;'Ingest Template'!C897&amp;CHAR(10)
)&amp;"|"&amp;'Ingest Template'!C897,
SUBSTITUTE(
INDEX(DropdownLists!$F$2:$F$277,MATCH('Ingest Template'!D897,DropdownLists!$C$2:$C$277,0)),
CHAR(10),
"|"&amp;'Ingest Template'!C897&amp;CHAR(10)
)&amp;"|"&amp;'Ingest Template'!C897&amp;CHAR(10)&amp;'Ingest Template'!Y897
)</f>
        <v>#N/A</v>
      </c>
      <c r="X897" s="74" t="str">
        <f>'Ingest Template'!Z897</f>
        <v/>
      </c>
      <c r="Y897" s="35" t="str">
        <f>SUBSTITUTE(SUBSTITUTE(SUBSTITUTE('Ingest Template'!AA897,"http:",""),"https:",""),"/","")</f>
        <v/>
      </c>
      <c r="Z897" s="35" t="str">
        <f t="array" ref="Z897">IF('Ingest Template'!A897="Standard",(IF(ISBLANK('Ingest Template'!AB897),"", 'Ingest Template'!AB897&amp;"|DAR")),(IF(ISBLANK('Ingest Template'!AB897),"", 'Ingest Template'!AB897&amp;"|TV Ops")))</f>
        <v/>
      </c>
      <c r="AA897" s="35"/>
      <c r="AB897" s="35" t="str">
        <f>'Ingest Template'!R897</f>
        <v/>
      </c>
      <c r="AC897" s="35" t="str">
        <f>'Ingest Template'!T897</f>
        <v/>
      </c>
      <c r="AD897" s="35" t="str">
        <f>'Ingest Template'!S897</f>
        <v/>
      </c>
      <c r="AE897" s="35" t="str">
        <f>'Ingest Template'!U897</f>
        <v/>
      </c>
      <c r="AF897" s="22"/>
      <c r="AG897" s="35" t="str">
        <f t="array" ref="AG897">IF('Ingest Template'!A897="Standard",(CONCATENATE(IF(ISBLANK('Ingest Template'!N897),"", 'Ingest Template'!N897&amp;"|DAR"),CHAR(10), IF(ISBLANK('Ingest Template'!O897),"", 'Ingest Template'!O897&amp;"|DAR"),CHAR(10), IF(ISBLANK('Ingest Template'!P897),"", 'Ingest Template'!P897&amp;"|DAR"))),(CONCATENATE(IF(ISBLANK('Ingest Template'!N897),"", 'Ingest Template'!N897&amp;"|TV Ops"),CHAR(10), IF(ISBLANK('Ingest Template'!O897),"", 'Ingest Template'!O897&amp;"|TV Ops"),CHAR(10), IF(ISBLANK('Ingest Template'!P897),"", 'Ingest Template'!P897&amp;"|TV Ops"))))</f>
        <v>
</v>
      </c>
      <c r="AH897" s="35"/>
      <c r="AI897" s="35"/>
      <c r="AJ897" s="117" t="str">
        <f>if('Ingest Template'!A897="Standard",(IF(OR('Ingest Template'!F897 = "Program Type - Special", 'Ingest Template'!F897 = "Program Type - Live Event"),'Ingest Template'!M897&amp; "|DAR|DAR|"&amp;TEXT('Ingest Template'!C897-3, "yyyy-mm-dd")&amp;"|"&amp;TEXT('Ingest Template'!C897+3, "yyyy-mm-dd"),'Ingest Template'!M897&amp; "|DAR|DAR|2021-01-01")),(IF(OR('Ingest Template'!F897 = "Program Type - Special", 'Ingest Template'!F897 = "Program Type - Live Event"),'Ingest Template'!M897&amp; "|Operations - Core Title|Operations - Core Title|"&amp;TEXT('Ingest Template'!C897-3, "yyyy-mm-dd")&amp;"|"&amp;TEXT('Ingest Template'!C897+3, "yyyy-mm-dd"),'Ingest Template'!M897&amp; "|Operations - Core Title|Operations - Core Title")))</f>
        <v>|Operations - Core Title|Operations - Core Title</v>
      </c>
      <c r="AK897" s="35"/>
      <c r="AL897" s="117" t="str">
        <f>if('Ingest Template'!A897="Standard",(IF(OR('Ingest Template'!F897 = "Program Type - Special", 'Ingest Template'!F897 = "Program Type - Live Event"),'Ingest Template'!Q897&amp;"|"&amp;TEXT('Ingest Template'!C897-3, "yyyy-mm-dd")&amp;"|"&amp;TEXT('Ingest Template'!C897+3, "yyyy-mm-dd"),'Ingest Template'!Q897&amp; "|2021-01-01")),(IF(OR('Ingest Template'!F897 = "Program Type - Special", 'Ingest Template'!F897 = "Program Type - Live Event"),'Ingest Template'!Q897&amp; "|"&amp;TEXT('Ingest Template'!C897-3, "yyyy-mm-dd")&amp;"|"&amp;TEXT('Ingest Template'!C897+3, "yyyy-mm-dd"),'Ingest Template'!Q897)))</f>
        <v/>
      </c>
      <c r="AM897" s="35" t="str">
        <f>'Ingest Template'!AC897</f>
        <v/>
      </c>
    </row>
    <row r="898">
      <c r="A898" s="15"/>
      <c r="B898" s="22" t="str">
        <f>'Ingest Template'!C898&amp;IF('Ingest Template'!A898 = "Standard", " - DAR","")</f>
        <v/>
      </c>
      <c r="C898" s="22" t="s">
        <v>83</v>
      </c>
      <c r="D898" s="22" t="str">
        <f t="array" ref="D898">CONCATENATE(INDEX(DropdownLists!$H$2:$H$11,MATCH(1,COUNTIF('Ingest Template'!E898,"*"&amp;DropdownLists!$I$2:$I$11&amp;"*"),0)),CHAR(10),'Ingest Template'!F898,CHAR(10),'Ingest Template'!G898,CHAR(10),VLOOKUP('Ingest Template'!D898,DropdownLists!C:D,2,FALSE))</f>
        <v>#N/A</v>
      </c>
      <c r="E898" s="22" t="str">
        <f>CONCATENATE('Ingest Template'!H898,CHAR(10),'Ingest Template'!I898,CHAR(10),'Ingest Template'!J898,CHAR(10))</f>
        <v>
</v>
      </c>
      <c r="F898" s="35" t="str">
        <f t="array" ref="F898">INDEX(DropdownLists!$O$2:$O$36,MATCH(1,COUNTIF(E898,"*"&amp;DropdownLists!$N$2:$N$36&amp;"*"),0))</f>
        <v/>
      </c>
      <c r="G898" s="35"/>
      <c r="H898" s="22" t="str">
        <f t="array" ref="H898">INDEX(DropdownLists!$E$2:$E$276,MATCH('Ingest Template'!D898,DropdownLists!$C$2:$C$276,0))</f>
        <v>#N/A</v>
      </c>
      <c r="I898" s="22"/>
      <c r="J898" s="22" t="str">
        <f t="array" ref="J898">iF('Ingest Template'!A898="Standard","Pristine Brand",INDEX(DropdownLists!$B$2:$B$246,MATCH('Ingest Template'!D898,DropdownLists!$C$2:$C$246,0)))</f>
        <v>#N/A</v>
      </c>
      <c r="K898" s="22" t="str">
        <f>iF('Ingest Template'!A898="Standard",'Ingest Template'!K898&amp;CHAR(10)&amp;'Ingest Template'!L898,"Competitive View")</f>
        <v>Competitive View</v>
      </c>
      <c r="L898" s="22" t="s">
        <v>95</v>
      </c>
      <c r="M898" s="45" t="str">
        <f>'Ingest Template'!B898</f>
        <v/>
      </c>
      <c r="N898" s="35"/>
      <c r="O898" s="35"/>
      <c r="P898" s="35"/>
      <c r="Q898" s="35"/>
      <c r="R898" s="35" t="str">
        <f>'Ingest Template'!D898</f>
        <v/>
      </c>
      <c r="S898" s="22" t="s">
        <v>101</v>
      </c>
      <c r="T898" s="35" t="str">
        <f>'Ingest Template'!V898</f>
        <v/>
      </c>
      <c r="U898" s="35" t="str">
        <f>'Ingest Template'!W898</f>
        <v/>
      </c>
      <c r="V898" s="35" t="str">
        <f>LOWER(SUBSTITUTE(SUBSTITUTE(SUBSTITUTE(SUBSTITUTE(SUBSTITUTE('Ingest Template'!X898,"https:",""),"www.",""),"/",""),"?hl=en",""),"instagram.com",""))</f>
        <v/>
      </c>
      <c r="W898" s="74" t="str">
        <f t="array" ref="W898">IF(
'Ingest Template'!Y898="",
SUBSTITUTE(
INDEX(DropdownLists!$F$2:$F$277,MATCH('Ingest Template'!D898,DropdownLists!$C$2:$C$277,0)),
CHAR(10),
"|"&amp;'Ingest Template'!C898&amp;CHAR(10)
)&amp;"|"&amp;'Ingest Template'!C898,
SUBSTITUTE(
INDEX(DropdownLists!$F$2:$F$277,MATCH('Ingest Template'!D898,DropdownLists!$C$2:$C$277,0)),
CHAR(10),
"|"&amp;'Ingest Template'!C898&amp;CHAR(10)
)&amp;"|"&amp;'Ingest Template'!C898&amp;CHAR(10)&amp;'Ingest Template'!Y898
)</f>
        <v>#N/A</v>
      </c>
      <c r="X898" s="74" t="str">
        <f>'Ingest Template'!Z898</f>
        <v/>
      </c>
      <c r="Y898" s="35" t="str">
        <f>SUBSTITUTE(SUBSTITUTE(SUBSTITUTE('Ingest Template'!AA898,"http:",""),"https:",""),"/","")</f>
        <v/>
      </c>
      <c r="Z898" s="35" t="str">
        <f t="array" ref="Z898">IF('Ingest Template'!A898="Standard",(IF(ISBLANK('Ingest Template'!AB898),"", 'Ingest Template'!AB898&amp;"|DAR")),(IF(ISBLANK('Ingest Template'!AB898),"", 'Ingest Template'!AB898&amp;"|TV Ops")))</f>
        <v/>
      </c>
      <c r="AA898" s="35"/>
      <c r="AB898" s="35" t="str">
        <f>'Ingest Template'!R898</f>
        <v/>
      </c>
      <c r="AC898" s="35" t="str">
        <f>'Ingest Template'!T898</f>
        <v/>
      </c>
      <c r="AD898" s="35" t="str">
        <f>'Ingest Template'!S898</f>
        <v/>
      </c>
      <c r="AE898" s="35" t="str">
        <f>'Ingest Template'!U898</f>
        <v/>
      </c>
      <c r="AF898" s="22"/>
      <c r="AG898" s="35" t="str">
        <f t="array" ref="AG898">IF('Ingest Template'!A898="Standard",(CONCATENATE(IF(ISBLANK('Ingest Template'!N898),"", 'Ingest Template'!N898&amp;"|DAR"),CHAR(10), IF(ISBLANK('Ingest Template'!O898),"", 'Ingest Template'!O898&amp;"|DAR"),CHAR(10), IF(ISBLANK('Ingest Template'!P898),"", 'Ingest Template'!P898&amp;"|DAR"))),(CONCATENATE(IF(ISBLANK('Ingest Template'!N898),"", 'Ingest Template'!N898&amp;"|TV Ops"),CHAR(10), IF(ISBLANK('Ingest Template'!O898),"", 'Ingest Template'!O898&amp;"|TV Ops"),CHAR(10), IF(ISBLANK('Ingest Template'!P898),"", 'Ingest Template'!P898&amp;"|TV Ops"))))</f>
        <v>
</v>
      </c>
      <c r="AH898" s="35"/>
      <c r="AI898" s="35"/>
      <c r="AJ898" s="117" t="str">
        <f>if('Ingest Template'!A898="Standard",(IF(OR('Ingest Template'!F898 = "Program Type - Special", 'Ingest Template'!F898 = "Program Type - Live Event"),'Ingest Template'!M898&amp; "|DAR|DAR|"&amp;TEXT('Ingest Template'!C898-3, "yyyy-mm-dd")&amp;"|"&amp;TEXT('Ingest Template'!C898+3, "yyyy-mm-dd"),'Ingest Template'!M898&amp; "|DAR|DAR|2021-01-01")),(IF(OR('Ingest Template'!F898 = "Program Type - Special", 'Ingest Template'!F898 = "Program Type - Live Event"),'Ingest Template'!M898&amp; "|Operations - Core Title|Operations - Core Title|"&amp;TEXT('Ingest Template'!C898-3, "yyyy-mm-dd")&amp;"|"&amp;TEXT('Ingest Template'!C898+3, "yyyy-mm-dd"),'Ingest Template'!M898&amp; "|Operations - Core Title|Operations - Core Title")))</f>
        <v>|Operations - Core Title|Operations - Core Title</v>
      </c>
      <c r="AK898" s="35"/>
      <c r="AL898" s="117" t="str">
        <f>if('Ingest Template'!A898="Standard",(IF(OR('Ingest Template'!F898 = "Program Type - Special", 'Ingest Template'!F898 = "Program Type - Live Event"),'Ingest Template'!Q898&amp;"|"&amp;TEXT('Ingest Template'!C898-3, "yyyy-mm-dd")&amp;"|"&amp;TEXT('Ingest Template'!C898+3, "yyyy-mm-dd"),'Ingest Template'!Q898&amp; "|2021-01-01")),(IF(OR('Ingest Template'!F898 = "Program Type - Special", 'Ingest Template'!F898 = "Program Type - Live Event"),'Ingest Template'!Q898&amp; "|"&amp;TEXT('Ingest Template'!C898-3, "yyyy-mm-dd")&amp;"|"&amp;TEXT('Ingest Template'!C898+3, "yyyy-mm-dd"),'Ingest Template'!Q898)))</f>
        <v/>
      </c>
      <c r="AM898" s="35" t="str">
        <f>'Ingest Template'!AC898</f>
        <v/>
      </c>
    </row>
    <row r="899">
      <c r="A899" s="15"/>
      <c r="B899" s="22" t="str">
        <f>'Ingest Template'!C899&amp;IF('Ingest Template'!A899 = "Standard", " - DAR","")</f>
        <v/>
      </c>
      <c r="C899" s="22" t="s">
        <v>83</v>
      </c>
      <c r="D899" s="22" t="str">
        <f t="array" ref="D899">CONCATENATE(INDEX(DropdownLists!$H$2:$H$11,MATCH(1,COUNTIF('Ingest Template'!E899,"*"&amp;DropdownLists!$I$2:$I$11&amp;"*"),0)),CHAR(10),'Ingest Template'!F899,CHAR(10),'Ingest Template'!G899,CHAR(10),VLOOKUP('Ingest Template'!D899,DropdownLists!C:D,2,FALSE))</f>
        <v>#N/A</v>
      </c>
      <c r="E899" s="22" t="str">
        <f>CONCATENATE('Ingest Template'!H899,CHAR(10),'Ingest Template'!I899,CHAR(10),'Ingest Template'!J899,CHAR(10))</f>
        <v>
</v>
      </c>
      <c r="F899" s="35" t="str">
        <f t="array" ref="F899">INDEX(DropdownLists!$O$2:$O$36,MATCH(1,COUNTIF(E899,"*"&amp;DropdownLists!$N$2:$N$36&amp;"*"),0))</f>
        <v/>
      </c>
      <c r="G899" s="35"/>
      <c r="H899" s="22" t="str">
        <f t="array" ref="H899">INDEX(DropdownLists!$E$2:$E$276,MATCH('Ingest Template'!D899,DropdownLists!$C$2:$C$276,0))</f>
        <v>#N/A</v>
      </c>
      <c r="I899" s="22"/>
      <c r="J899" s="22" t="str">
        <f t="array" ref="J899">iF('Ingest Template'!A899="Standard","Pristine Brand",INDEX(DropdownLists!$B$2:$B$246,MATCH('Ingest Template'!D899,DropdownLists!$C$2:$C$246,0)))</f>
        <v>#N/A</v>
      </c>
      <c r="K899" s="22" t="str">
        <f>iF('Ingest Template'!A899="Standard",'Ingest Template'!K899&amp;CHAR(10)&amp;'Ingest Template'!L899,"Competitive View")</f>
        <v>Competitive View</v>
      </c>
      <c r="L899" s="22" t="s">
        <v>95</v>
      </c>
      <c r="M899" s="45" t="str">
        <f>'Ingest Template'!B899</f>
        <v/>
      </c>
      <c r="N899" s="35"/>
      <c r="O899" s="35"/>
      <c r="P899" s="35"/>
      <c r="Q899" s="35"/>
      <c r="R899" s="35" t="str">
        <f>'Ingest Template'!D899</f>
        <v/>
      </c>
      <c r="S899" s="22" t="s">
        <v>101</v>
      </c>
      <c r="T899" s="35" t="str">
        <f>'Ingest Template'!V899</f>
        <v/>
      </c>
      <c r="U899" s="35" t="str">
        <f>'Ingest Template'!W899</f>
        <v/>
      </c>
      <c r="V899" s="35" t="str">
        <f>LOWER(SUBSTITUTE(SUBSTITUTE(SUBSTITUTE(SUBSTITUTE(SUBSTITUTE('Ingest Template'!X899,"https:",""),"www.",""),"/",""),"?hl=en",""),"instagram.com",""))</f>
        <v/>
      </c>
      <c r="W899" s="74" t="str">
        <f t="array" ref="W899">IF(
'Ingest Template'!Y899="",
SUBSTITUTE(
INDEX(DropdownLists!$F$2:$F$277,MATCH('Ingest Template'!D899,DropdownLists!$C$2:$C$277,0)),
CHAR(10),
"|"&amp;'Ingest Template'!C899&amp;CHAR(10)
)&amp;"|"&amp;'Ingest Template'!C899,
SUBSTITUTE(
INDEX(DropdownLists!$F$2:$F$277,MATCH('Ingest Template'!D899,DropdownLists!$C$2:$C$277,0)),
CHAR(10),
"|"&amp;'Ingest Template'!C899&amp;CHAR(10)
)&amp;"|"&amp;'Ingest Template'!C899&amp;CHAR(10)&amp;'Ingest Template'!Y899
)</f>
        <v>#N/A</v>
      </c>
      <c r="X899" s="74" t="str">
        <f>'Ingest Template'!Z899</f>
        <v/>
      </c>
      <c r="Y899" s="35" t="str">
        <f>SUBSTITUTE(SUBSTITUTE(SUBSTITUTE('Ingest Template'!AA899,"http:",""),"https:",""),"/","")</f>
        <v/>
      </c>
      <c r="Z899" s="35" t="str">
        <f t="array" ref="Z899">IF('Ingest Template'!A899="Standard",(IF(ISBLANK('Ingest Template'!AB899),"", 'Ingest Template'!AB899&amp;"|DAR")),(IF(ISBLANK('Ingest Template'!AB899),"", 'Ingest Template'!AB899&amp;"|TV Ops")))</f>
        <v/>
      </c>
      <c r="AA899" s="35"/>
      <c r="AB899" s="35" t="str">
        <f>'Ingest Template'!R899</f>
        <v/>
      </c>
      <c r="AC899" s="35" t="str">
        <f>'Ingest Template'!T899</f>
        <v/>
      </c>
      <c r="AD899" s="35" t="str">
        <f>'Ingest Template'!S899</f>
        <v/>
      </c>
      <c r="AE899" s="35" t="str">
        <f>'Ingest Template'!U899</f>
        <v/>
      </c>
      <c r="AF899" s="22"/>
      <c r="AG899" s="35" t="str">
        <f t="array" ref="AG899">IF('Ingest Template'!A899="Standard",(CONCATENATE(IF(ISBLANK('Ingest Template'!N899),"", 'Ingest Template'!N899&amp;"|DAR"),CHAR(10), IF(ISBLANK('Ingest Template'!O899),"", 'Ingest Template'!O899&amp;"|DAR"),CHAR(10), IF(ISBLANK('Ingest Template'!P899),"", 'Ingest Template'!P899&amp;"|DAR"))),(CONCATENATE(IF(ISBLANK('Ingest Template'!N899),"", 'Ingest Template'!N899&amp;"|TV Ops"),CHAR(10), IF(ISBLANK('Ingest Template'!O899),"", 'Ingest Template'!O899&amp;"|TV Ops"),CHAR(10), IF(ISBLANK('Ingest Template'!P899),"", 'Ingest Template'!P899&amp;"|TV Ops"))))</f>
        <v>
</v>
      </c>
      <c r="AH899" s="35"/>
      <c r="AI899" s="35"/>
      <c r="AJ899" s="117" t="str">
        <f>if('Ingest Template'!A899="Standard",(IF(OR('Ingest Template'!F899 = "Program Type - Special", 'Ingest Template'!F899 = "Program Type - Live Event"),'Ingest Template'!M899&amp; "|DAR|DAR|"&amp;TEXT('Ingest Template'!C899-3, "yyyy-mm-dd")&amp;"|"&amp;TEXT('Ingest Template'!C899+3, "yyyy-mm-dd"),'Ingest Template'!M899&amp; "|DAR|DAR|2021-01-01")),(IF(OR('Ingest Template'!F899 = "Program Type - Special", 'Ingest Template'!F899 = "Program Type - Live Event"),'Ingest Template'!M899&amp; "|Operations - Core Title|Operations - Core Title|"&amp;TEXT('Ingest Template'!C899-3, "yyyy-mm-dd")&amp;"|"&amp;TEXT('Ingest Template'!C899+3, "yyyy-mm-dd"),'Ingest Template'!M899&amp; "|Operations - Core Title|Operations - Core Title")))</f>
        <v>|Operations - Core Title|Operations - Core Title</v>
      </c>
      <c r="AK899" s="35"/>
      <c r="AL899" s="117" t="str">
        <f>if('Ingest Template'!A899="Standard",(IF(OR('Ingest Template'!F899 = "Program Type - Special", 'Ingest Template'!F899 = "Program Type - Live Event"),'Ingest Template'!Q899&amp;"|"&amp;TEXT('Ingest Template'!C899-3, "yyyy-mm-dd")&amp;"|"&amp;TEXT('Ingest Template'!C899+3, "yyyy-mm-dd"),'Ingest Template'!Q899&amp; "|2021-01-01")),(IF(OR('Ingest Template'!F899 = "Program Type - Special", 'Ingest Template'!F899 = "Program Type - Live Event"),'Ingest Template'!Q899&amp; "|"&amp;TEXT('Ingest Template'!C899-3, "yyyy-mm-dd")&amp;"|"&amp;TEXT('Ingest Template'!C899+3, "yyyy-mm-dd"),'Ingest Template'!Q899)))</f>
        <v/>
      </c>
      <c r="AM899" s="35" t="str">
        <f>'Ingest Template'!AC899</f>
        <v/>
      </c>
    </row>
    <row r="900">
      <c r="A900" s="15"/>
      <c r="B900" s="22" t="str">
        <f>'Ingest Template'!C900&amp;IF('Ingest Template'!A900 = "Standard", " - DAR","")</f>
        <v/>
      </c>
      <c r="C900" s="22" t="s">
        <v>83</v>
      </c>
      <c r="D900" s="22" t="str">
        <f t="array" ref="D900">CONCATENATE(INDEX(DropdownLists!$H$2:$H$11,MATCH(1,COUNTIF('Ingest Template'!E900,"*"&amp;DropdownLists!$I$2:$I$11&amp;"*"),0)),CHAR(10),'Ingest Template'!F900,CHAR(10),'Ingest Template'!G900,CHAR(10),VLOOKUP('Ingest Template'!D900,DropdownLists!C:D,2,FALSE))</f>
        <v>#N/A</v>
      </c>
      <c r="E900" s="22" t="str">
        <f>CONCATENATE('Ingest Template'!H900,CHAR(10),'Ingest Template'!I900,CHAR(10),'Ingest Template'!J900,CHAR(10))</f>
        <v>
</v>
      </c>
      <c r="F900" s="35" t="str">
        <f t="array" ref="F900">INDEX(DropdownLists!$O$2:$O$36,MATCH(1,COUNTIF(E900,"*"&amp;DropdownLists!$N$2:$N$36&amp;"*"),0))</f>
        <v/>
      </c>
      <c r="G900" s="35"/>
      <c r="H900" s="22" t="str">
        <f t="array" ref="H900">INDEX(DropdownLists!$E$2:$E$276,MATCH('Ingest Template'!D900,DropdownLists!$C$2:$C$276,0))</f>
        <v>#N/A</v>
      </c>
      <c r="I900" s="22"/>
      <c r="J900" s="22" t="str">
        <f t="array" ref="J900">iF('Ingest Template'!A900="Standard","Pristine Brand",INDEX(DropdownLists!$B$2:$B$246,MATCH('Ingest Template'!D900,DropdownLists!$C$2:$C$246,0)))</f>
        <v>#N/A</v>
      </c>
      <c r="K900" s="22" t="str">
        <f>iF('Ingest Template'!A900="Standard",'Ingest Template'!K900&amp;CHAR(10)&amp;'Ingest Template'!L900,"Competitive View")</f>
        <v>Competitive View</v>
      </c>
      <c r="L900" s="22" t="s">
        <v>95</v>
      </c>
      <c r="M900" s="45" t="str">
        <f>'Ingest Template'!B900</f>
        <v/>
      </c>
      <c r="N900" s="35"/>
      <c r="O900" s="35"/>
      <c r="P900" s="35"/>
      <c r="Q900" s="35"/>
      <c r="R900" s="35" t="str">
        <f>'Ingest Template'!D900</f>
        <v/>
      </c>
      <c r="S900" s="22" t="s">
        <v>101</v>
      </c>
      <c r="T900" s="35" t="str">
        <f>'Ingest Template'!V900</f>
        <v/>
      </c>
      <c r="U900" s="35" t="str">
        <f>'Ingest Template'!W900</f>
        <v/>
      </c>
      <c r="V900" s="35" t="str">
        <f>LOWER(SUBSTITUTE(SUBSTITUTE(SUBSTITUTE(SUBSTITUTE(SUBSTITUTE('Ingest Template'!X900,"https:",""),"www.",""),"/",""),"?hl=en",""),"instagram.com",""))</f>
        <v/>
      </c>
      <c r="W900" s="74" t="str">
        <f t="array" ref="W900">IF(
'Ingest Template'!Y900="",
SUBSTITUTE(
INDEX(DropdownLists!$F$2:$F$277,MATCH('Ingest Template'!D900,DropdownLists!$C$2:$C$277,0)),
CHAR(10),
"|"&amp;'Ingest Template'!C900&amp;CHAR(10)
)&amp;"|"&amp;'Ingest Template'!C900,
SUBSTITUTE(
INDEX(DropdownLists!$F$2:$F$277,MATCH('Ingest Template'!D900,DropdownLists!$C$2:$C$277,0)),
CHAR(10),
"|"&amp;'Ingest Template'!C900&amp;CHAR(10)
)&amp;"|"&amp;'Ingest Template'!C900&amp;CHAR(10)&amp;'Ingest Template'!Y900
)</f>
        <v>#N/A</v>
      </c>
      <c r="X900" s="74" t="str">
        <f>'Ingest Template'!Z900</f>
        <v/>
      </c>
      <c r="Y900" s="35" t="str">
        <f>SUBSTITUTE(SUBSTITUTE(SUBSTITUTE('Ingest Template'!AA900,"http:",""),"https:",""),"/","")</f>
        <v/>
      </c>
      <c r="Z900" s="35" t="str">
        <f t="array" ref="Z900">IF('Ingest Template'!A900="Standard",(IF(ISBLANK('Ingest Template'!AB900),"", 'Ingest Template'!AB900&amp;"|DAR")),(IF(ISBLANK('Ingest Template'!AB900),"", 'Ingest Template'!AB900&amp;"|TV Ops")))</f>
        <v/>
      </c>
      <c r="AA900" s="35"/>
      <c r="AB900" s="35" t="str">
        <f>'Ingest Template'!R900</f>
        <v/>
      </c>
      <c r="AC900" s="35" t="str">
        <f>'Ingest Template'!T900</f>
        <v/>
      </c>
      <c r="AD900" s="35" t="str">
        <f>'Ingest Template'!S900</f>
        <v/>
      </c>
      <c r="AE900" s="35" t="str">
        <f>'Ingest Template'!U900</f>
        <v/>
      </c>
      <c r="AF900" s="22"/>
      <c r="AG900" s="35" t="str">
        <f t="array" ref="AG900">IF('Ingest Template'!A900="Standard",(CONCATENATE(IF(ISBLANK('Ingest Template'!N900),"", 'Ingest Template'!N900&amp;"|DAR"),CHAR(10), IF(ISBLANK('Ingest Template'!O900),"", 'Ingest Template'!O900&amp;"|DAR"),CHAR(10), IF(ISBLANK('Ingest Template'!P900),"", 'Ingest Template'!P900&amp;"|DAR"))),(CONCATENATE(IF(ISBLANK('Ingest Template'!N900),"", 'Ingest Template'!N900&amp;"|TV Ops"),CHAR(10), IF(ISBLANK('Ingest Template'!O900),"", 'Ingest Template'!O900&amp;"|TV Ops"),CHAR(10), IF(ISBLANK('Ingest Template'!P900),"", 'Ingest Template'!P900&amp;"|TV Ops"))))</f>
        <v>
</v>
      </c>
      <c r="AH900" s="35"/>
      <c r="AI900" s="35"/>
      <c r="AJ900" s="117" t="str">
        <f>if('Ingest Template'!A900="Standard",(IF(OR('Ingest Template'!F900 = "Program Type - Special", 'Ingest Template'!F900 = "Program Type - Live Event"),'Ingest Template'!M900&amp; "|DAR|DAR|"&amp;TEXT('Ingest Template'!C900-3, "yyyy-mm-dd")&amp;"|"&amp;TEXT('Ingest Template'!C900+3, "yyyy-mm-dd"),'Ingest Template'!M900&amp; "|DAR|DAR|2021-01-01")),(IF(OR('Ingest Template'!F900 = "Program Type - Special", 'Ingest Template'!F900 = "Program Type - Live Event"),'Ingest Template'!M900&amp; "|Operations - Core Title|Operations - Core Title|"&amp;TEXT('Ingest Template'!C900-3, "yyyy-mm-dd")&amp;"|"&amp;TEXT('Ingest Template'!C900+3, "yyyy-mm-dd"),'Ingest Template'!M900&amp; "|Operations - Core Title|Operations - Core Title")))</f>
        <v>|Operations - Core Title|Operations - Core Title</v>
      </c>
      <c r="AK900" s="35"/>
      <c r="AL900" s="117" t="str">
        <f>if('Ingest Template'!A900="Standard",(IF(OR('Ingest Template'!F900 = "Program Type - Special", 'Ingest Template'!F900 = "Program Type - Live Event"),'Ingest Template'!Q900&amp;"|"&amp;TEXT('Ingest Template'!C900-3, "yyyy-mm-dd")&amp;"|"&amp;TEXT('Ingest Template'!C900+3, "yyyy-mm-dd"),'Ingest Template'!Q900&amp; "|2021-01-01")),(IF(OR('Ingest Template'!F900 = "Program Type - Special", 'Ingest Template'!F900 = "Program Type - Live Event"),'Ingest Template'!Q900&amp; "|"&amp;TEXT('Ingest Template'!C900-3, "yyyy-mm-dd")&amp;"|"&amp;TEXT('Ingest Template'!C900+3, "yyyy-mm-dd"),'Ingest Template'!Q900)))</f>
        <v/>
      </c>
      <c r="AM900" s="35" t="str">
        <f>'Ingest Template'!AC900</f>
        <v/>
      </c>
    </row>
    <row r="901">
      <c r="A901" s="15"/>
      <c r="B901" s="22" t="str">
        <f>'Ingest Template'!C901&amp;IF('Ingest Template'!A901 = "Standard", " - DAR","")</f>
        <v/>
      </c>
      <c r="C901" s="22" t="s">
        <v>83</v>
      </c>
      <c r="D901" s="22" t="str">
        <f t="array" ref="D901">CONCATENATE(INDEX(DropdownLists!$H$2:$H$11,MATCH(1,COUNTIF('Ingest Template'!E901,"*"&amp;DropdownLists!$I$2:$I$11&amp;"*"),0)),CHAR(10),'Ingest Template'!F901,CHAR(10),'Ingest Template'!G901,CHAR(10),VLOOKUP('Ingest Template'!D901,DropdownLists!C:D,2,FALSE))</f>
        <v>#N/A</v>
      </c>
      <c r="E901" s="22" t="str">
        <f>CONCATENATE('Ingest Template'!H901,CHAR(10),'Ingest Template'!I901,CHAR(10),'Ingest Template'!J901,CHAR(10))</f>
        <v>
</v>
      </c>
      <c r="F901" s="35" t="str">
        <f t="array" ref="F901">INDEX(DropdownLists!$O$2:$O$36,MATCH(1,COUNTIF(E901,"*"&amp;DropdownLists!$N$2:$N$36&amp;"*"),0))</f>
        <v/>
      </c>
      <c r="G901" s="35"/>
      <c r="H901" s="22" t="str">
        <f t="array" ref="H901">INDEX(DropdownLists!$E$2:$E$276,MATCH('Ingest Template'!D901,DropdownLists!$C$2:$C$276,0))</f>
        <v>#N/A</v>
      </c>
      <c r="I901" s="22"/>
      <c r="J901" s="22" t="str">
        <f t="array" ref="J901">iF('Ingest Template'!A901="Standard","Pristine Brand",INDEX(DropdownLists!$B$2:$B$246,MATCH('Ingest Template'!D901,DropdownLists!$C$2:$C$246,0)))</f>
        <v>#N/A</v>
      </c>
      <c r="K901" s="22" t="str">
        <f>iF('Ingest Template'!A901="Standard",'Ingest Template'!K901&amp;CHAR(10)&amp;'Ingest Template'!L901,"Competitive View")</f>
        <v>Competitive View</v>
      </c>
      <c r="L901" s="22" t="s">
        <v>95</v>
      </c>
      <c r="M901" s="45" t="str">
        <f>'Ingest Template'!B901</f>
        <v/>
      </c>
      <c r="N901" s="35"/>
      <c r="O901" s="35"/>
      <c r="P901" s="35"/>
      <c r="Q901" s="35"/>
      <c r="R901" s="35" t="str">
        <f>'Ingest Template'!D901</f>
        <v/>
      </c>
      <c r="S901" s="22" t="s">
        <v>101</v>
      </c>
      <c r="T901" s="35" t="str">
        <f>'Ingest Template'!V901</f>
        <v/>
      </c>
      <c r="U901" s="35" t="str">
        <f>'Ingest Template'!W901</f>
        <v/>
      </c>
      <c r="V901" s="35" t="str">
        <f>LOWER(SUBSTITUTE(SUBSTITUTE(SUBSTITUTE(SUBSTITUTE(SUBSTITUTE('Ingest Template'!X901,"https:",""),"www.",""),"/",""),"?hl=en",""),"instagram.com",""))</f>
        <v/>
      </c>
      <c r="W901" s="74" t="str">
        <f t="array" ref="W901">IF(
'Ingest Template'!Y901="",
SUBSTITUTE(
INDEX(DropdownLists!$F$2:$F$277,MATCH('Ingest Template'!D901,DropdownLists!$C$2:$C$277,0)),
CHAR(10),
"|"&amp;'Ingest Template'!C901&amp;CHAR(10)
)&amp;"|"&amp;'Ingest Template'!C901,
SUBSTITUTE(
INDEX(DropdownLists!$F$2:$F$277,MATCH('Ingest Template'!D901,DropdownLists!$C$2:$C$277,0)),
CHAR(10),
"|"&amp;'Ingest Template'!C901&amp;CHAR(10)
)&amp;"|"&amp;'Ingest Template'!C901&amp;CHAR(10)&amp;'Ingest Template'!Y901
)</f>
        <v>#N/A</v>
      </c>
      <c r="X901" s="74" t="str">
        <f>'Ingest Template'!Z901</f>
        <v/>
      </c>
      <c r="Y901" s="35" t="str">
        <f>SUBSTITUTE(SUBSTITUTE(SUBSTITUTE('Ingest Template'!AA901,"http:",""),"https:",""),"/","")</f>
        <v/>
      </c>
      <c r="Z901" s="35" t="str">
        <f t="array" ref="Z901">IF('Ingest Template'!A901="Standard",(IF(ISBLANK('Ingest Template'!AB901),"", 'Ingest Template'!AB901&amp;"|DAR")),(IF(ISBLANK('Ingest Template'!AB901),"", 'Ingest Template'!AB901&amp;"|TV Ops")))</f>
        <v/>
      </c>
      <c r="AA901" s="35"/>
      <c r="AB901" s="35" t="str">
        <f>'Ingest Template'!R901</f>
        <v/>
      </c>
      <c r="AC901" s="35" t="str">
        <f>'Ingest Template'!T901</f>
        <v/>
      </c>
      <c r="AD901" s="35" t="str">
        <f>'Ingest Template'!S901</f>
        <v/>
      </c>
      <c r="AE901" s="35" t="str">
        <f>'Ingest Template'!U901</f>
        <v/>
      </c>
      <c r="AF901" s="22"/>
      <c r="AG901" s="35" t="str">
        <f t="array" ref="AG901">IF('Ingest Template'!A901="Standard",(CONCATENATE(IF(ISBLANK('Ingest Template'!N901),"", 'Ingest Template'!N901&amp;"|DAR"),CHAR(10), IF(ISBLANK('Ingest Template'!O901),"", 'Ingest Template'!O901&amp;"|DAR"),CHAR(10), IF(ISBLANK('Ingest Template'!P901),"", 'Ingest Template'!P901&amp;"|DAR"))),(CONCATENATE(IF(ISBLANK('Ingest Template'!N901),"", 'Ingest Template'!N901&amp;"|TV Ops"),CHAR(10), IF(ISBLANK('Ingest Template'!O901),"", 'Ingest Template'!O901&amp;"|TV Ops"),CHAR(10), IF(ISBLANK('Ingest Template'!P901),"", 'Ingest Template'!P901&amp;"|TV Ops"))))</f>
        <v>
</v>
      </c>
      <c r="AH901" s="35"/>
      <c r="AI901" s="35"/>
      <c r="AJ901" s="117" t="str">
        <f>if('Ingest Template'!A901="Standard",(IF(OR('Ingest Template'!F901 = "Program Type - Special", 'Ingest Template'!F901 = "Program Type - Live Event"),'Ingest Template'!M901&amp; "|DAR|DAR|"&amp;TEXT('Ingest Template'!C901-3, "yyyy-mm-dd")&amp;"|"&amp;TEXT('Ingest Template'!C901+3, "yyyy-mm-dd"),'Ingest Template'!M901&amp; "|DAR|DAR|2021-01-01")),(IF(OR('Ingest Template'!F901 = "Program Type - Special", 'Ingest Template'!F901 = "Program Type - Live Event"),'Ingest Template'!M901&amp; "|Operations - Core Title|Operations - Core Title|"&amp;TEXT('Ingest Template'!C901-3, "yyyy-mm-dd")&amp;"|"&amp;TEXT('Ingest Template'!C901+3, "yyyy-mm-dd"),'Ingest Template'!M901&amp; "|Operations - Core Title|Operations - Core Title")))</f>
        <v>|Operations - Core Title|Operations - Core Title</v>
      </c>
      <c r="AK901" s="35"/>
      <c r="AL901" s="117" t="str">
        <f>if('Ingest Template'!A901="Standard",(IF(OR('Ingest Template'!F901 = "Program Type - Special", 'Ingest Template'!F901 = "Program Type - Live Event"),'Ingest Template'!Q901&amp;"|"&amp;TEXT('Ingest Template'!C901-3, "yyyy-mm-dd")&amp;"|"&amp;TEXT('Ingest Template'!C901+3, "yyyy-mm-dd"),'Ingest Template'!Q901&amp; "|2021-01-01")),(IF(OR('Ingest Template'!F901 = "Program Type - Special", 'Ingest Template'!F901 = "Program Type - Live Event"),'Ingest Template'!Q901&amp; "|"&amp;TEXT('Ingest Template'!C901-3, "yyyy-mm-dd")&amp;"|"&amp;TEXT('Ingest Template'!C901+3, "yyyy-mm-dd"),'Ingest Template'!Q901)))</f>
        <v/>
      </c>
      <c r="AM901" s="35" t="str">
        <f>'Ingest Template'!AC901</f>
        <v/>
      </c>
    </row>
    <row r="902">
      <c r="A902" s="15"/>
      <c r="B902" s="22" t="str">
        <f>'Ingest Template'!C902&amp;IF('Ingest Template'!A902 = "Standard", " - DAR","")</f>
        <v/>
      </c>
      <c r="C902" s="22" t="s">
        <v>83</v>
      </c>
      <c r="D902" s="22" t="str">
        <f t="array" ref="D902">CONCATENATE(INDEX(DropdownLists!$H$2:$H$11,MATCH(1,COUNTIF('Ingest Template'!E902,"*"&amp;DropdownLists!$I$2:$I$11&amp;"*"),0)),CHAR(10),'Ingest Template'!F902,CHAR(10),'Ingest Template'!G902,CHAR(10),VLOOKUP('Ingest Template'!D902,DropdownLists!C:D,2,FALSE))</f>
        <v>#N/A</v>
      </c>
      <c r="E902" s="22" t="str">
        <f>CONCATENATE('Ingest Template'!H902,CHAR(10),'Ingest Template'!I902,CHAR(10),'Ingest Template'!J902,CHAR(10))</f>
        <v>
</v>
      </c>
      <c r="F902" s="35" t="str">
        <f t="array" ref="F902">INDEX(DropdownLists!$O$2:$O$36,MATCH(1,COUNTIF(E902,"*"&amp;DropdownLists!$N$2:$N$36&amp;"*"),0))</f>
        <v/>
      </c>
      <c r="G902" s="35"/>
      <c r="H902" s="22" t="str">
        <f t="array" ref="H902">INDEX(DropdownLists!$E$2:$E$276,MATCH('Ingest Template'!D902,DropdownLists!$C$2:$C$276,0))</f>
        <v>#N/A</v>
      </c>
      <c r="I902" s="22"/>
      <c r="J902" s="22" t="str">
        <f t="array" ref="J902">iF('Ingest Template'!A902="Standard","Pristine Brand",INDEX(DropdownLists!$B$2:$B$246,MATCH('Ingest Template'!D902,DropdownLists!$C$2:$C$246,0)))</f>
        <v>#N/A</v>
      </c>
      <c r="K902" s="22" t="str">
        <f>iF('Ingest Template'!A902="Standard",'Ingest Template'!K902&amp;CHAR(10)&amp;'Ingest Template'!L902,"Competitive View")</f>
        <v>Competitive View</v>
      </c>
      <c r="L902" s="22" t="s">
        <v>95</v>
      </c>
      <c r="M902" s="45" t="str">
        <f>'Ingest Template'!B902</f>
        <v/>
      </c>
      <c r="N902" s="35"/>
      <c r="O902" s="35"/>
      <c r="P902" s="35"/>
      <c r="Q902" s="35"/>
      <c r="R902" s="35" t="str">
        <f>'Ingest Template'!D902</f>
        <v/>
      </c>
      <c r="S902" s="22" t="s">
        <v>101</v>
      </c>
      <c r="T902" s="35" t="str">
        <f>'Ingest Template'!V902</f>
        <v/>
      </c>
      <c r="U902" s="35" t="str">
        <f>'Ingest Template'!W902</f>
        <v/>
      </c>
      <c r="V902" s="35" t="str">
        <f>LOWER(SUBSTITUTE(SUBSTITUTE(SUBSTITUTE(SUBSTITUTE(SUBSTITUTE('Ingest Template'!X902,"https:",""),"www.",""),"/",""),"?hl=en",""),"instagram.com",""))</f>
        <v/>
      </c>
      <c r="W902" s="74" t="str">
        <f t="array" ref="W902">IF(
'Ingest Template'!Y902="",
SUBSTITUTE(
INDEX(DropdownLists!$F$2:$F$277,MATCH('Ingest Template'!D902,DropdownLists!$C$2:$C$277,0)),
CHAR(10),
"|"&amp;'Ingest Template'!C902&amp;CHAR(10)
)&amp;"|"&amp;'Ingest Template'!C902,
SUBSTITUTE(
INDEX(DropdownLists!$F$2:$F$277,MATCH('Ingest Template'!D902,DropdownLists!$C$2:$C$277,0)),
CHAR(10),
"|"&amp;'Ingest Template'!C902&amp;CHAR(10)
)&amp;"|"&amp;'Ingest Template'!C902&amp;CHAR(10)&amp;'Ingest Template'!Y902
)</f>
        <v>#N/A</v>
      </c>
      <c r="X902" s="74" t="str">
        <f>'Ingest Template'!Z902</f>
        <v/>
      </c>
      <c r="Y902" s="35" t="str">
        <f>SUBSTITUTE(SUBSTITUTE(SUBSTITUTE('Ingest Template'!AA902,"http:",""),"https:",""),"/","")</f>
        <v/>
      </c>
      <c r="Z902" s="35" t="str">
        <f t="array" ref="Z902">IF('Ingest Template'!A902="Standard",(IF(ISBLANK('Ingest Template'!AB902),"", 'Ingest Template'!AB902&amp;"|DAR")),(IF(ISBLANK('Ingest Template'!AB902),"", 'Ingest Template'!AB902&amp;"|TV Ops")))</f>
        <v/>
      </c>
      <c r="AA902" s="35"/>
      <c r="AB902" s="35" t="str">
        <f>'Ingest Template'!R902</f>
        <v/>
      </c>
      <c r="AC902" s="35" t="str">
        <f>'Ingest Template'!T902</f>
        <v/>
      </c>
      <c r="AD902" s="35" t="str">
        <f>'Ingest Template'!S902</f>
        <v/>
      </c>
      <c r="AE902" s="35" t="str">
        <f>'Ingest Template'!U902</f>
        <v/>
      </c>
      <c r="AF902" s="22"/>
      <c r="AG902" s="35" t="str">
        <f t="array" ref="AG902">IF('Ingest Template'!A902="Standard",(CONCATENATE(IF(ISBLANK('Ingest Template'!N902),"", 'Ingest Template'!N902&amp;"|DAR"),CHAR(10), IF(ISBLANK('Ingest Template'!O902),"", 'Ingest Template'!O902&amp;"|DAR"),CHAR(10), IF(ISBLANK('Ingest Template'!P902),"", 'Ingest Template'!P902&amp;"|DAR"))),(CONCATENATE(IF(ISBLANK('Ingest Template'!N902),"", 'Ingest Template'!N902&amp;"|TV Ops"),CHAR(10), IF(ISBLANK('Ingest Template'!O902),"", 'Ingest Template'!O902&amp;"|TV Ops"),CHAR(10), IF(ISBLANK('Ingest Template'!P902),"", 'Ingest Template'!P902&amp;"|TV Ops"))))</f>
        <v>
</v>
      </c>
      <c r="AH902" s="35"/>
      <c r="AI902" s="35"/>
      <c r="AJ902" s="117" t="str">
        <f>if('Ingest Template'!A902="Standard",(IF(OR('Ingest Template'!F902 = "Program Type - Special", 'Ingest Template'!F902 = "Program Type - Live Event"),'Ingest Template'!M902&amp; "|DAR|DAR|"&amp;TEXT('Ingest Template'!C902-3, "yyyy-mm-dd")&amp;"|"&amp;TEXT('Ingest Template'!C902+3, "yyyy-mm-dd"),'Ingest Template'!M902&amp; "|DAR|DAR|2021-01-01")),(IF(OR('Ingest Template'!F902 = "Program Type - Special", 'Ingest Template'!F902 = "Program Type - Live Event"),'Ingest Template'!M902&amp; "|Operations - Core Title|Operations - Core Title|"&amp;TEXT('Ingest Template'!C902-3, "yyyy-mm-dd")&amp;"|"&amp;TEXT('Ingest Template'!C902+3, "yyyy-mm-dd"),'Ingest Template'!M902&amp; "|Operations - Core Title|Operations - Core Title")))</f>
        <v>|Operations - Core Title|Operations - Core Title</v>
      </c>
      <c r="AK902" s="35"/>
      <c r="AL902" s="117" t="str">
        <f>if('Ingest Template'!A902="Standard",(IF(OR('Ingest Template'!F902 = "Program Type - Special", 'Ingest Template'!F902 = "Program Type - Live Event"),'Ingest Template'!Q902&amp;"|"&amp;TEXT('Ingest Template'!C902-3, "yyyy-mm-dd")&amp;"|"&amp;TEXT('Ingest Template'!C902+3, "yyyy-mm-dd"),'Ingest Template'!Q902&amp; "|2021-01-01")),(IF(OR('Ingest Template'!F902 = "Program Type - Special", 'Ingest Template'!F902 = "Program Type - Live Event"),'Ingest Template'!Q902&amp; "|"&amp;TEXT('Ingest Template'!C902-3, "yyyy-mm-dd")&amp;"|"&amp;TEXT('Ingest Template'!C902+3, "yyyy-mm-dd"),'Ingest Template'!Q902)))</f>
        <v/>
      </c>
      <c r="AM902" s="35" t="str">
        <f>'Ingest Template'!AC902</f>
        <v/>
      </c>
    </row>
    <row r="903">
      <c r="A903" s="15"/>
      <c r="B903" s="22" t="str">
        <f>'Ingest Template'!C903&amp;IF('Ingest Template'!A903 = "Standard", " - DAR","")</f>
        <v/>
      </c>
      <c r="C903" s="22" t="s">
        <v>83</v>
      </c>
      <c r="D903" s="22" t="str">
        <f t="array" ref="D903">CONCATENATE(INDEX(DropdownLists!$H$2:$H$11,MATCH(1,COUNTIF('Ingest Template'!E903,"*"&amp;DropdownLists!$I$2:$I$11&amp;"*"),0)),CHAR(10),'Ingest Template'!F903,CHAR(10),'Ingest Template'!G903,CHAR(10),VLOOKUP('Ingest Template'!D903,DropdownLists!C:D,2,FALSE))</f>
        <v>#N/A</v>
      </c>
      <c r="E903" s="22" t="str">
        <f>CONCATENATE('Ingest Template'!H903,CHAR(10),'Ingest Template'!I903,CHAR(10),'Ingest Template'!J903,CHAR(10))</f>
        <v>
</v>
      </c>
      <c r="F903" s="35" t="str">
        <f t="array" ref="F903">INDEX(DropdownLists!$O$2:$O$36,MATCH(1,COUNTIF(E903,"*"&amp;DropdownLists!$N$2:$N$36&amp;"*"),0))</f>
        <v/>
      </c>
      <c r="G903" s="35"/>
      <c r="H903" s="22" t="str">
        <f t="array" ref="H903">INDEX(DropdownLists!$E$2:$E$276,MATCH('Ingest Template'!D903,DropdownLists!$C$2:$C$276,0))</f>
        <v>#N/A</v>
      </c>
      <c r="I903" s="22"/>
      <c r="J903" s="22" t="str">
        <f t="array" ref="J903">iF('Ingest Template'!A903="Standard","Pristine Brand",INDEX(DropdownLists!$B$2:$B$246,MATCH('Ingest Template'!D903,DropdownLists!$C$2:$C$246,0)))</f>
        <v>#N/A</v>
      </c>
      <c r="K903" s="22" t="str">
        <f>iF('Ingest Template'!A903="Standard",'Ingest Template'!K903&amp;CHAR(10)&amp;'Ingest Template'!L903,"Competitive View")</f>
        <v>Competitive View</v>
      </c>
      <c r="L903" s="22" t="s">
        <v>95</v>
      </c>
      <c r="M903" s="45" t="str">
        <f>'Ingest Template'!B903</f>
        <v/>
      </c>
      <c r="N903" s="35"/>
      <c r="O903" s="35"/>
      <c r="P903" s="35"/>
      <c r="Q903" s="35"/>
      <c r="R903" s="35" t="str">
        <f>'Ingest Template'!D903</f>
        <v/>
      </c>
      <c r="S903" s="22" t="s">
        <v>101</v>
      </c>
      <c r="T903" s="35" t="str">
        <f>'Ingest Template'!V903</f>
        <v/>
      </c>
      <c r="U903" s="35" t="str">
        <f>'Ingest Template'!W903</f>
        <v/>
      </c>
      <c r="V903" s="35" t="str">
        <f>LOWER(SUBSTITUTE(SUBSTITUTE(SUBSTITUTE(SUBSTITUTE(SUBSTITUTE('Ingest Template'!X903,"https:",""),"www.",""),"/",""),"?hl=en",""),"instagram.com",""))</f>
        <v/>
      </c>
      <c r="W903" s="74" t="str">
        <f t="array" ref="W903">IF(
'Ingest Template'!Y903="",
SUBSTITUTE(
INDEX(DropdownLists!$F$2:$F$277,MATCH('Ingest Template'!D903,DropdownLists!$C$2:$C$277,0)),
CHAR(10),
"|"&amp;'Ingest Template'!C903&amp;CHAR(10)
)&amp;"|"&amp;'Ingest Template'!C903,
SUBSTITUTE(
INDEX(DropdownLists!$F$2:$F$277,MATCH('Ingest Template'!D903,DropdownLists!$C$2:$C$277,0)),
CHAR(10),
"|"&amp;'Ingest Template'!C903&amp;CHAR(10)
)&amp;"|"&amp;'Ingest Template'!C903&amp;CHAR(10)&amp;'Ingest Template'!Y903
)</f>
        <v>#N/A</v>
      </c>
      <c r="X903" s="74" t="str">
        <f>'Ingest Template'!Z903</f>
        <v/>
      </c>
      <c r="Y903" s="35" t="str">
        <f>SUBSTITUTE(SUBSTITUTE(SUBSTITUTE('Ingest Template'!AA903,"http:",""),"https:",""),"/","")</f>
        <v/>
      </c>
      <c r="Z903" s="35" t="str">
        <f t="array" ref="Z903">IF('Ingest Template'!A903="Standard",(IF(ISBLANK('Ingest Template'!AB903),"", 'Ingest Template'!AB903&amp;"|DAR")),(IF(ISBLANK('Ingest Template'!AB903),"", 'Ingest Template'!AB903&amp;"|TV Ops")))</f>
        <v/>
      </c>
      <c r="AA903" s="35"/>
      <c r="AB903" s="35" t="str">
        <f>'Ingest Template'!R903</f>
        <v/>
      </c>
      <c r="AC903" s="35" t="str">
        <f>'Ingest Template'!T903</f>
        <v/>
      </c>
      <c r="AD903" s="35" t="str">
        <f>'Ingest Template'!S903</f>
        <v/>
      </c>
      <c r="AE903" s="35" t="str">
        <f>'Ingest Template'!U903</f>
        <v/>
      </c>
      <c r="AF903" s="22"/>
      <c r="AG903" s="35" t="str">
        <f t="array" ref="AG903">IF('Ingest Template'!A903="Standard",(CONCATENATE(IF(ISBLANK('Ingest Template'!N903),"", 'Ingest Template'!N903&amp;"|DAR"),CHAR(10), IF(ISBLANK('Ingest Template'!O903),"", 'Ingest Template'!O903&amp;"|DAR"),CHAR(10), IF(ISBLANK('Ingest Template'!P903),"", 'Ingest Template'!P903&amp;"|DAR"))),(CONCATENATE(IF(ISBLANK('Ingest Template'!N903),"", 'Ingest Template'!N903&amp;"|TV Ops"),CHAR(10), IF(ISBLANK('Ingest Template'!O903),"", 'Ingest Template'!O903&amp;"|TV Ops"),CHAR(10), IF(ISBLANK('Ingest Template'!P903),"", 'Ingest Template'!P903&amp;"|TV Ops"))))</f>
        <v>
</v>
      </c>
      <c r="AH903" s="35"/>
      <c r="AI903" s="35"/>
      <c r="AJ903" s="117" t="str">
        <f>if('Ingest Template'!A903="Standard",(IF(OR('Ingest Template'!F903 = "Program Type - Special", 'Ingest Template'!F903 = "Program Type - Live Event"),'Ingest Template'!M903&amp; "|DAR|DAR|"&amp;TEXT('Ingest Template'!C903-3, "yyyy-mm-dd")&amp;"|"&amp;TEXT('Ingest Template'!C903+3, "yyyy-mm-dd"),'Ingest Template'!M903&amp; "|DAR|DAR|2021-01-01")),(IF(OR('Ingest Template'!F903 = "Program Type - Special", 'Ingest Template'!F903 = "Program Type - Live Event"),'Ingest Template'!M903&amp; "|Operations - Core Title|Operations - Core Title|"&amp;TEXT('Ingest Template'!C903-3, "yyyy-mm-dd")&amp;"|"&amp;TEXT('Ingest Template'!C903+3, "yyyy-mm-dd"),'Ingest Template'!M903&amp; "|Operations - Core Title|Operations - Core Title")))</f>
        <v>|Operations - Core Title|Operations - Core Title</v>
      </c>
      <c r="AK903" s="35"/>
      <c r="AL903" s="117" t="str">
        <f>if('Ingest Template'!A903="Standard",(IF(OR('Ingest Template'!F903 = "Program Type - Special", 'Ingest Template'!F903 = "Program Type - Live Event"),'Ingest Template'!Q903&amp;"|"&amp;TEXT('Ingest Template'!C903-3, "yyyy-mm-dd")&amp;"|"&amp;TEXT('Ingest Template'!C903+3, "yyyy-mm-dd"),'Ingest Template'!Q903&amp; "|2021-01-01")),(IF(OR('Ingest Template'!F903 = "Program Type - Special", 'Ingest Template'!F903 = "Program Type - Live Event"),'Ingest Template'!Q903&amp; "|"&amp;TEXT('Ingest Template'!C903-3, "yyyy-mm-dd")&amp;"|"&amp;TEXT('Ingest Template'!C903+3, "yyyy-mm-dd"),'Ingest Template'!Q903)))</f>
        <v/>
      </c>
      <c r="AM903" s="35" t="str">
        <f>'Ingest Template'!AC903</f>
        <v/>
      </c>
    </row>
    <row r="904">
      <c r="A904" s="15"/>
      <c r="B904" s="22" t="str">
        <f>'Ingest Template'!C904&amp;IF('Ingest Template'!A904 = "Standard", " - DAR","")</f>
        <v/>
      </c>
      <c r="C904" s="22" t="s">
        <v>83</v>
      </c>
      <c r="D904" s="22" t="str">
        <f t="array" ref="D904">CONCATENATE(INDEX(DropdownLists!$H$2:$H$11,MATCH(1,COUNTIF('Ingest Template'!E904,"*"&amp;DropdownLists!$I$2:$I$11&amp;"*"),0)),CHAR(10),'Ingest Template'!F904,CHAR(10),'Ingest Template'!G904,CHAR(10),VLOOKUP('Ingest Template'!D904,DropdownLists!C:D,2,FALSE))</f>
        <v>#N/A</v>
      </c>
      <c r="E904" s="22" t="str">
        <f>CONCATENATE('Ingest Template'!H904,CHAR(10),'Ingest Template'!I904,CHAR(10),'Ingest Template'!J904,CHAR(10))</f>
        <v>
</v>
      </c>
      <c r="F904" s="35" t="str">
        <f t="array" ref="F904">INDEX(DropdownLists!$O$2:$O$36,MATCH(1,COUNTIF(E904,"*"&amp;DropdownLists!$N$2:$N$36&amp;"*"),0))</f>
        <v/>
      </c>
      <c r="G904" s="35"/>
      <c r="H904" s="22" t="str">
        <f t="array" ref="H904">INDEX(DropdownLists!$E$2:$E$276,MATCH('Ingest Template'!D904,DropdownLists!$C$2:$C$276,0))</f>
        <v>#N/A</v>
      </c>
      <c r="I904" s="22"/>
      <c r="J904" s="22" t="str">
        <f t="array" ref="J904">iF('Ingest Template'!A904="Standard","Pristine Brand",INDEX(DropdownLists!$B$2:$B$246,MATCH('Ingest Template'!D904,DropdownLists!$C$2:$C$246,0)))</f>
        <v>#N/A</v>
      </c>
      <c r="K904" s="22" t="str">
        <f>iF('Ingest Template'!A904="Standard",'Ingest Template'!K904&amp;CHAR(10)&amp;'Ingest Template'!L904,"Competitive View")</f>
        <v>Competitive View</v>
      </c>
      <c r="L904" s="22" t="s">
        <v>95</v>
      </c>
      <c r="M904" s="45" t="str">
        <f>'Ingest Template'!B904</f>
        <v/>
      </c>
      <c r="N904" s="35"/>
      <c r="O904" s="35"/>
      <c r="P904" s="35"/>
      <c r="Q904" s="35"/>
      <c r="R904" s="35" t="str">
        <f>'Ingest Template'!D904</f>
        <v/>
      </c>
      <c r="S904" s="22" t="s">
        <v>101</v>
      </c>
      <c r="T904" s="35" t="str">
        <f>'Ingest Template'!V904</f>
        <v/>
      </c>
      <c r="U904" s="35" t="str">
        <f>'Ingest Template'!W904</f>
        <v/>
      </c>
      <c r="V904" s="35" t="str">
        <f>LOWER(SUBSTITUTE(SUBSTITUTE(SUBSTITUTE(SUBSTITUTE(SUBSTITUTE('Ingest Template'!X904,"https:",""),"www.",""),"/",""),"?hl=en",""),"instagram.com",""))</f>
        <v/>
      </c>
      <c r="W904" s="74" t="str">
        <f t="array" ref="W904">IF(
'Ingest Template'!Y904="",
SUBSTITUTE(
INDEX(DropdownLists!$F$2:$F$277,MATCH('Ingest Template'!D904,DropdownLists!$C$2:$C$277,0)),
CHAR(10),
"|"&amp;'Ingest Template'!C904&amp;CHAR(10)
)&amp;"|"&amp;'Ingest Template'!C904,
SUBSTITUTE(
INDEX(DropdownLists!$F$2:$F$277,MATCH('Ingest Template'!D904,DropdownLists!$C$2:$C$277,0)),
CHAR(10),
"|"&amp;'Ingest Template'!C904&amp;CHAR(10)
)&amp;"|"&amp;'Ingest Template'!C904&amp;CHAR(10)&amp;'Ingest Template'!Y904
)</f>
        <v>#N/A</v>
      </c>
      <c r="X904" s="74" t="str">
        <f>'Ingest Template'!Z904</f>
        <v/>
      </c>
      <c r="Y904" s="35" t="str">
        <f>SUBSTITUTE(SUBSTITUTE(SUBSTITUTE('Ingest Template'!AA904,"http:",""),"https:",""),"/","")</f>
        <v/>
      </c>
      <c r="Z904" s="35" t="str">
        <f t="array" ref="Z904">IF('Ingest Template'!A904="Standard",(IF(ISBLANK('Ingest Template'!AB904),"", 'Ingest Template'!AB904&amp;"|DAR")),(IF(ISBLANK('Ingest Template'!AB904),"", 'Ingest Template'!AB904&amp;"|TV Ops")))</f>
        <v/>
      </c>
      <c r="AA904" s="35"/>
      <c r="AB904" s="35" t="str">
        <f>'Ingest Template'!R904</f>
        <v/>
      </c>
      <c r="AC904" s="35" t="str">
        <f>'Ingest Template'!T904</f>
        <v/>
      </c>
      <c r="AD904" s="35" t="str">
        <f>'Ingest Template'!S904</f>
        <v/>
      </c>
      <c r="AE904" s="35" t="str">
        <f>'Ingest Template'!U904</f>
        <v/>
      </c>
      <c r="AF904" s="22"/>
      <c r="AG904" s="35" t="str">
        <f t="array" ref="AG904">IF('Ingest Template'!A904="Standard",(CONCATENATE(IF(ISBLANK('Ingest Template'!N904),"", 'Ingest Template'!N904&amp;"|DAR"),CHAR(10), IF(ISBLANK('Ingest Template'!O904),"", 'Ingest Template'!O904&amp;"|DAR"),CHAR(10), IF(ISBLANK('Ingest Template'!P904),"", 'Ingest Template'!P904&amp;"|DAR"))),(CONCATENATE(IF(ISBLANK('Ingest Template'!N904),"", 'Ingest Template'!N904&amp;"|TV Ops"),CHAR(10), IF(ISBLANK('Ingest Template'!O904),"", 'Ingest Template'!O904&amp;"|TV Ops"),CHAR(10), IF(ISBLANK('Ingest Template'!P904),"", 'Ingest Template'!P904&amp;"|TV Ops"))))</f>
        <v>
</v>
      </c>
      <c r="AH904" s="35"/>
      <c r="AI904" s="35"/>
      <c r="AJ904" s="117" t="str">
        <f>if('Ingest Template'!A904="Standard",(IF(OR('Ingest Template'!F904 = "Program Type - Special", 'Ingest Template'!F904 = "Program Type - Live Event"),'Ingest Template'!M904&amp; "|DAR|DAR|"&amp;TEXT('Ingest Template'!C904-3, "yyyy-mm-dd")&amp;"|"&amp;TEXT('Ingest Template'!C904+3, "yyyy-mm-dd"),'Ingest Template'!M904&amp; "|DAR|DAR|2021-01-01")),(IF(OR('Ingest Template'!F904 = "Program Type - Special", 'Ingest Template'!F904 = "Program Type - Live Event"),'Ingest Template'!M904&amp; "|Operations - Core Title|Operations - Core Title|"&amp;TEXT('Ingest Template'!C904-3, "yyyy-mm-dd")&amp;"|"&amp;TEXT('Ingest Template'!C904+3, "yyyy-mm-dd"),'Ingest Template'!M904&amp; "|Operations - Core Title|Operations - Core Title")))</f>
        <v>|Operations - Core Title|Operations - Core Title</v>
      </c>
      <c r="AK904" s="35"/>
      <c r="AL904" s="117" t="str">
        <f>if('Ingest Template'!A904="Standard",(IF(OR('Ingest Template'!F904 = "Program Type - Special", 'Ingest Template'!F904 = "Program Type - Live Event"),'Ingest Template'!Q904&amp;"|"&amp;TEXT('Ingest Template'!C904-3, "yyyy-mm-dd")&amp;"|"&amp;TEXT('Ingest Template'!C904+3, "yyyy-mm-dd"),'Ingest Template'!Q904&amp; "|2021-01-01")),(IF(OR('Ingest Template'!F904 = "Program Type - Special", 'Ingest Template'!F904 = "Program Type - Live Event"),'Ingest Template'!Q904&amp; "|"&amp;TEXT('Ingest Template'!C904-3, "yyyy-mm-dd")&amp;"|"&amp;TEXT('Ingest Template'!C904+3, "yyyy-mm-dd"),'Ingest Template'!Q904)))</f>
        <v/>
      </c>
      <c r="AM904" s="35" t="str">
        <f>'Ingest Template'!AC904</f>
        <v/>
      </c>
    </row>
    <row r="905">
      <c r="A905" s="15"/>
      <c r="B905" s="22" t="str">
        <f>'Ingest Template'!C905&amp;IF('Ingest Template'!A905 = "Standard", " - DAR","")</f>
        <v/>
      </c>
      <c r="C905" s="22" t="s">
        <v>83</v>
      </c>
      <c r="D905" s="22" t="str">
        <f t="array" ref="D905">CONCATENATE(INDEX(DropdownLists!$H$2:$H$11,MATCH(1,COUNTIF('Ingest Template'!E905,"*"&amp;DropdownLists!$I$2:$I$11&amp;"*"),0)),CHAR(10),'Ingest Template'!F905,CHAR(10),'Ingest Template'!G905,CHAR(10),VLOOKUP('Ingest Template'!D905,DropdownLists!C:D,2,FALSE))</f>
        <v>#N/A</v>
      </c>
      <c r="E905" s="22" t="str">
        <f>CONCATENATE('Ingest Template'!H905,CHAR(10),'Ingest Template'!I905,CHAR(10),'Ingest Template'!J905,CHAR(10))</f>
        <v>
</v>
      </c>
      <c r="F905" s="35" t="str">
        <f t="array" ref="F905">INDEX(DropdownLists!$O$2:$O$36,MATCH(1,COUNTIF(E905,"*"&amp;DropdownLists!$N$2:$N$36&amp;"*"),0))</f>
        <v/>
      </c>
      <c r="G905" s="35"/>
      <c r="H905" s="22" t="str">
        <f t="array" ref="H905">INDEX(DropdownLists!$E$2:$E$276,MATCH('Ingest Template'!D905,DropdownLists!$C$2:$C$276,0))</f>
        <v>#N/A</v>
      </c>
      <c r="I905" s="22"/>
      <c r="J905" s="22" t="str">
        <f t="array" ref="J905">iF('Ingest Template'!A905="Standard","Pristine Brand",INDEX(DropdownLists!$B$2:$B$246,MATCH('Ingest Template'!D905,DropdownLists!$C$2:$C$246,0)))</f>
        <v>#N/A</v>
      </c>
      <c r="K905" s="22" t="str">
        <f>iF('Ingest Template'!A905="Standard",'Ingest Template'!K905&amp;CHAR(10)&amp;'Ingest Template'!L905,"Competitive View")</f>
        <v>Competitive View</v>
      </c>
      <c r="L905" s="22" t="s">
        <v>95</v>
      </c>
      <c r="M905" s="45" t="str">
        <f>'Ingest Template'!B905</f>
        <v/>
      </c>
      <c r="N905" s="35"/>
      <c r="O905" s="35"/>
      <c r="P905" s="35"/>
      <c r="Q905" s="35"/>
      <c r="R905" s="35" t="str">
        <f>'Ingest Template'!D905</f>
        <v/>
      </c>
      <c r="S905" s="22" t="s">
        <v>101</v>
      </c>
      <c r="T905" s="35" t="str">
        <f>'Ingest Template'!V905</f>
        <v/>
      </c>
      <c r="U905" s="35" t="str">
        <f>'Ingest Template'!W905</f>
        <v/>
      </c>
      <c r="V905" s="35" t="str">
        <f>LOWER(SUBSTITUTE(SUBSTITUTE(SUBSTITUTE(SUBSTITUTE(SUBSTITUTE('Ingest Template'!X905,"https:",""),"www.",""),"/",""),"?hl=en",""),"instagram.com",""))</f>
        <v/>
      </c>
      <c r="W905" s="74" t="str">
        <f t="array" ref="W905">IF(
'Ingest Template'!Y905="",
SUBSTITUTE(
INDEX(DropdownLists!$F$2:$F$277,MATCH('Ingest Template'!D905,DropdownLists!$C$2:$C$277,0)),
CHAR(10),
"|"&amp;'Ingest Template'!C905&amp;CHAR(10)
)&amp;"|"&amp;'Ingest Template'!C905,
SUBSTITUTE(
INDEX(DropdownLists!$F$2:$F$277,MATCH('Ingest Template'!D905,DropdownLists!$C$2:$C$277,0)),
CHAR(10),
"|"&amp;'Ingest Template'!C905&amp;CHAR(10)
)&amp;"|"&amp;'Ingest Template'!C905&amp;CHAR(10)&amp;'Ingest Template'!Y905
)</f>
        <v>#N/A</v>
      </c>
      <c r="X905" s="74" t="str">
        <f>'Ingest Template'!Z905</f>
        <v/>
      </c>
      <c r="Y905" s="35" t="str">
        <f>SUBSTITUTE(SUBSTITUTE(SUBSTITUTE('Ingest Template'!AA905,"http:",""),"https:",""),"/","")</f>
        <v/>
      </c>
      <c r="Z905" s="35" t="str">
        <f t="array" ref="Z905">IF('Ingest Template'!A905="Standard",(IF(ISBLANK('Ingest Template'!AB905),"", 'Ingest Template'!AB905&amp;"|DAR")),(IF(ISBLANK('Ingest Template'!AB905),"", 'Ingest Template'!AB905&amp;"|TV Ops")))</f>
        <v/>
      </c>
      <c r="AA905" s="35"/>
      <c r="AB905" s="35" t="str">
        <f>'Ingest Template'!R905</f>
        <v/>
      </c>
      <c r="AC905" s="35" t="str">
        <f>'Ingest Template'!T905</f>
        <v/>
      </c>
      <c r="AD905" s="35" t="str">
        <f>'Ingest Template'!S905</f>
        <v/>
      </c>
      <c r="AE905" s="35" t="str">
        <f>'Ingest Template'!U905</f>
        <v/>
      </c>
      <c r="AF905" s="22"/>
      <c r="AG905" s="35" t="str">
        <f t="array" ref="AG905">IF('Ingest Template'!A905="Standard",(CONCATENATE(IF(ISBLANK('Ingest Template'!N905),"", 'Ingest Template'!N905&amp;"|DAR"),CHAR(10), IF(ISBLANK('Ingest Template'!O905),"", 'Ingest Template'!O905&amp;"|DAR"),CHAR(10), IF(ISBLANK('Ingest Template'!P905),"", 'Ingest Template'!P905&amp;"|DAR"))),(CONCATENATE(IF(ISBLANK('Ingest Template'!N905),"", 'Ingest Template'!N905&amp;"|TV Ops"),CHAR(10), IF(ISBLANK('Ingest Template'!O905),"", 'Ingest Template'!O905&amp;"|TV Ops"),CHAR(10), IF(ISBLANK('Ingest Template'!P905),"", 'Ingest Template'!P905&amp;"|TV Ops"))))</f>
        <v>
</v>
      </c>
      <c r="AH905" s="35"/>
      <c r="AI905" s="35"/>
      <c r="AJ905" s="117" t="str">
        <f>if('Ingest Template'!A905="Standard",(IF(OR('Ingest Template'!F905 = "Program Type - Special", 'Ingest Template'!F905 = "Program Type - Live Event"),'Ingest Template'!M905&amp; "|DAR|DAR|"&amp;TEXT('Ingest Template'!C905-3, "yyyy-mm-dd")&amp;"|"&amp;TEXT('Ingest Template'!C905+3, "yyyy-mm-dd"),'Ingest Template'!M905&amp; "|DAR|DAR|2021-01-01")),(IF(OR('Ingest Template'!F905 = "Program Type - Special", 'Ingest Template'!F905 = "Program Type - Live Event"),'Ingest Template'!M905&amp; "|Operations - Core Title|Operations - Core Title|"&amp;TEXT('Ingest Template'!C905-3, "yyyy-mm-dd")&amp;"|"&amp;TEXT('Ingest Template'!C905+3, "yyyy-mm-dd"),'Ingest Template'!M905&amp; "|Operations - Core Title|Operations - Core Title")))</f>
        <v>|Operations - Core Title|Operations - Core Title</v>
      </c>
      <c r="AK905" s="35"/>
      <c r="AL905" s="117" t="str">
        <f>if('Ingest Template'!A905="Standard",(IF(OR('Ingest Template'!F905 = "Program Type - Special", 'Ingest Template'!F905 = "Program Type - Live Event"),'Ingest Template'!Q905&amp;"|"&amp;TEXT('Ingest Template'!C905-3, "yyyy-mm-dd")&amp;"|"&amp;TEXT('Ingest Template'!C905+3, "yyyy-mm-dd"),'Ingest Template'!Q905&amp; "|2021-01-01")),(IF(OR('Ingest Template'!F905 = "Program Type - Special", 'Ingest Template'!F905 = "Program Type - Live Event"),'Ingest Template'!Q905&amp; "|"&amp;TEXT('Ingest Template'!C905-3, "yyyy-mm-dd")&amp;"|"&amp;TEXT('Ingest Template'!C905+3, "yyyy-mm-dd"),'Ingest Template'!Q905)))</f>
        <v/>
      </c>
      <c r="AM905" s="35" t="str">
        <f>'Ingest Template'!AC905</f>
        <v/>
      </c>
    </row>
    <row r="906">
      <c r="A906" s="15"/>
      <c r="B906" s="22" t="str">
        <f>'Ingest Template'!C906&amp;IF('Ingest Template'!A906 = "Standard", " - DAR","")</f>
        <v/>
      </c>
      <c r="C906" s="22" t="s">
        <v>83</v>
      </c>
      <c r="D906" s="22" t="str">
        <f t="array" ref="D906">CONCATENATE(INDEX(DropdownLists!$H$2:$H$11,MATCH(1,COUNTIF('Ingest Template'!E906,"*"&amp;DropdownLists!$I$2:$I$11&amp;"*"),0)),CHAR(10),'Ingest Template'!F906,CHAR(10),'Ingest Template'!G906,CHAR(10),VLOOKUP('Ingest Template'!D906,DropdownLists!C:D,2,FALSE))</f>
        <v>#N/A</v>
      </c>
      <c r="E906" s="22" t="str">
        <f>CONCATENATE('Ingest Template'!H906,CHAR(10),'Ingest Template'!I906,CHAR(10),'Ingest Template'!J906,CHAR(10))</f>
        <v>
</v>
      </c>
      <c r="F906" s="35" t="str">
        <f t="array" ref="F906">INDEX(DropdownLists!$O$2:$O$36,MATCH(1,COUNTIF(E906,"*"&amp;DropdownLists!$N$2:$N$36&amp;"*"),0))</f>
        <v/>
      </c>
      <c r="G906" s="35"/>
      <c r="H906" s="22" t="str">
        <f t="array" ref="H906">INDEX(DropdownLists!$E$2:$E$276,MATCH('Ingest Template'!D906,DropdownLists!$C$2:$C$276,0))</f>
        <v>#N/A</v>
      </c>
      <c r="I906" s="22"/>
      <c r="J906" s="22" t="str">
        <f t="array" ref="J906">iF('Ingest Template'!A906="Standard","Pristine Brand",INDEX(DropdownLists!$B$2:$B$246,MATCH('Ingest Template'!D906,DropdownLists!$C$2:$C$246,0)))</f>
        <v>#N/A</v>
      </c>
      <c r="K906" s="22" t="str">
        <f>iF('Ingest Template'!A906="Standard",'Ingest Template'!K906&amp;CHAR(10)&amp;'Ingest Template'!L906,"Competitive View")</f>
        <v>Competitive View</v>
      </c>
      <c r="L906" s="22" t="s">
        <v>95</v>
      </c>
      <c r="M906" s="45" t="str">
        <f>'Ingest Template'!B906</f>
        <v/>
      </c>
      <c r="N906" s="35"/>
      <c r="O906" s="35"/>
      <c r="P906" s="35"/>
      <c r="Q906" s="35"/>
      <c r="R906" s="35" t="str">
        <f>'Ingest Template'!D906</f>
        <v/>
      </c>
      <c r="S906" s="22" t="s">
        <v>101</v>
      </c>
      <c r="T906" s="35" t="str">
        <f>'Ingest Template'!V906</f>
        <v/>
      </c>
      <c r="U906" s="35" t="str">
        <f>'Ingest Template'!W906</f>
        <v/>
      </c>
      <c r="V906" s="35" t="str">
        <f>LOWER(SUBSTITUTE(SUBSTITUTE(SUBSTITUTE(SUBSTITUTE(SUBSTITUTE('Ingest Template'!X906,"https:",""),"www.",""),"/",""),"?hl=en",""),"instagram.com",""))</f>
        <v/>
      </c>
      <c r="W906" s="74" t="str">
        <f t="array" ref="W906">IF(
'Ingest Template'!Y906="",
SUBSTITUTE(
INDEX(DropdownLists!$F$2:$F$277,MATCH('Ingest Template'!D906,DropdownLists!$C$2:$C$277,0)),
CHAR(10),
"|"&amp;'Ingest Template'!C906&amp;CHAR(10)
)&amp;"|"&amp;'Ingest Template'!C906,
SUBSTITUTE(
INDEX(DropdownLists!$F$2:$F$277,MATCH('Ingest Template'!D906,DropdownLists!$C$2:$C$277,0)),
CHAR(10),
"|"&amp;'Ingest Template'!C906&amp;CHAR(10)
)&amp;"|"&amp;'Ingest Template'!C906&amp;CHAR(10)&amp;'Ingest Template'!Y906
)</f>
        <v>#N/A</v>
      </c>
      <c r="X906" s="74" t="str">
        <f>'Ingest Template'!Z906</f>
        <v/>
      </c>
      <c r="Y906" s="35" t="str">
        <f>SUBSTITUTE(SUBSTITUTE(SUBSTITUTE('Ingest Template'!AA906,"http:",""),"https:",""),"/","")</f>
        <v/>
      </c>
      <c r="Z906" s="35" t="str">
        <f t="array" ref="Z906">IF('Ingest Template'!A906="Standard",(IF(ISBLANK('Ingest Template'!AB906),"", 'Ingest Template'!AB906&amp;"|DAR")),(IF(ISBLANK('Ingest Template'!AB906),"", 'Ingest Template'!AB906&amp;"|TV Ops")))</f>
        <v/>
      </c>
      <c r="AA906" s="35"/>
      <c r="AB906" s="35" t="str">
        <f>'Ingest Template'!R906</f>
        <v/>
      </c>
      <c r="AC906" s="35" t="str">
        <f>'Ingest Template'!T906</f>
        <v/>
      </c>
      <c r="AD906" s="35" t="str">
        <f>'Ingest Template'!S906</f>
        <v/>
      </c>
      <c r="AE906" s="35" t="str">
        <f>'Ingest Template'!U906</f>
        <v/>
      </c>
      <c r="AF906" s="22"/>
      <c r="AG906" s="35" t="str">
        <f t="array" ref="AG906">IF('Ingest Template'!A906="Standard",(CONCATENATE(IF(ISBLANK('Ingest Template'!N906),"", 'Ingest Template'!N906&amp;"|DAR"),CHAR(10), IF(ISBLANK('Ingest Template'!O906),"", 'Ingest Template'!O906&amp;"|DAR"),CHAR(10), IF(ISBLANK('Ingest Template'!P906),"", 'Ingest Template'!P906&amp;"|DAR"))),(CONCATENATE(IF(ISBLANK('Ingest Template'!N906),"", 'Ingest Template'!N906&amp;"|TV Ops"),CHAR(10), IF(ISBLANK('Ingest Template'!O906),"", 'Ingest Template'!O906&amp;"|TV Ops"),CHAR(10), IF(ISBLANK('Ingest Template'!P906),"", 'Ingest Template'!P906&amp;"|TV Ops"))))</f>
        <v>
</v>
      </c>
      <c r="AH906" s="35"/>
      <c r="AI906" s="35"/>
      <c r="AJ906" s="117" t="str">
        <f>if('Ingest Template'!A906="Standard",(IF(OR('Ingest Template'!F906 = "Program Type - Special", 'Ingest Template'!F906 = "Program Type - Live Event"),'Ingest Template'!M906&amp; "|DAR|DAR|"&amp;TEXT('Ingest Template'!C906-3, "yyyy-mm-dd")&amp;"|"&amp;TEXT('Ingest Template'!C906+3, "yyyy-mm-dd"),'Ingest Template'!M906&amp; "|DAR|DAR|2021-01-01")),(IF(OR('Ingest Template'!F906 = "Program Type - Special", 'Ingest Template'!F906 = "Program Type - Live Event"),'Ingest Template'!M906&amp; "|Operations - Core Title|Operations - Core Title|"&amp;TEXT('Ingest Template'!C906-3, "yyyy-mm-dd")&amp;"|"&amp;TEXT('Ingest Template'!C906+3, "yyyy-mm-dd"),'Ingest Template'!M906&amp; "|Operations - Core Title|Operations - Core Title")))</f>
        <v>|Operations - Core Title|Operations - Core Title</v>
      </c>
      <c r="AK906" s="35"/>
      <c r="AL906" s="117" t="str">
        <f>if('Ingest Template'!A906="Standard",(IF(OR('Ingest Template'!F906 = "Program Type - Special", 'Ingest Template'!F906 = "Program Type - Live Event"),'Ingest Template'!Q906&amp;"|"&amp;TEXT('Ingest Template'!C906-3, "yyyy-mm-dd")&amp;"|"&amp;TEXT('Ingest Template'!C906+3, "yyyy-mm-dd"),'Ingest Template'!Q906&amp; "|2021-01-01")),(IF(OR('Ingest Template'!F906 = "Program Type - Special", 'Ingest Template'!F906 = "Program Type - Live Event"),'Ingest Template'!Q906&amp; "|"&amp;TEXT('Ingest Template'!C906-3, "yyyy-mm-dd")&amp;"|"&amp;TEXT('Ingest Template'!C906+3, "yyyy-mm-dd"),'Ingest Template'!Q906)))</f>
        <v/>
      </c>
      <c r="AM906" s="35" t="str">
        <f>'Ingest Template'!AC906</f>
        <v/>
      </c>
    </row>
    <row r="907">
      <c r="A907" s="15"/>
      <c r="B907" s="22" t="str">
        <f>'Ingest Template'!C907&amp;IF('Ingest Template'!A907 = "Standard", " - DAR","")</f>
        <v/>
      </c>
      <c r="C907" s="22" t="s">
        <v>83</v>
      </c>
      <c r="D907" s="22" t="str">
        <f t="array" ref="D907">CONCATENATE(INDEX(DropdownLists!$H$2:$H$11,MATCH(1,COUNTIF('Ingest Template'!E907,"*"&amp;DropdownLists!$I$2:$I$11&amp;"*"),0)),CHAR(10),'Ingest Template'!F907,CHAR(10),'Ingest Template'!G907,CHAR(10),VLOOKUP('Ingest Template'!D907,DropdownLists!C:D,2,FALSE))</f>
        <v>#N/A</v>
      </c>
      <c r="E907" s="22" t="str">
        <f>CONCATENATE('Ingest Template'!H907,CHAR(10),'Ingest Template'!I907,CHAR(10),'Ingest Template'!J907,CHAR(10))</f>
        <v>
</v>
      </c>
      <c r="F907" s="35" t="str">
        <f t="array" ref="F907">INDEX(DropdownLists!$O$2:$O$36,MATCH(1,COUNTIF(E907,"*"&amp;DropdownLists!$N$2:$N$36&amp;"*"),0))</f>
        <v/>
      </c>
      <c r="G907" s="35"/>
      <c r="H907" s="22" t="str">
        <f t="array" ref="H907">INDEX(DropdownLists!$E$2:$E$276,MATCH('Ingest Template'!D907,DropdownLists!$C$2:$C$276,0))</f>
        <v>#N/A</v>
      </c>
      <c r="I907" s="22"/>
      <c r="J907" s="22" t="str">
        <f t="array" ref="J907">iF('Ingest Template'!A907="Standard","Pristine Brand",INDEX(DropdownLists!$B$2:$B$246,MATCH('Ingest Template'!D907,DropdownLists!$C$2:$C$246,0)))</f>
        <v>#N/A</v>
      </c>
      <c r="K907" s="22" t="str">
        <f>iF('Ingest Template'!A907="Standard",'Ingest Template'!K907&amp;CHAR(10)&amp;'Ingest Template'!L907,"Competitive View")</f>
        <v>Competitive View</v>
      </c>
      <c r="L907" s="22" t="s">
        <v>95</v>
      </c>
      <c r="M907" s="45" t="str">
        <f>'Ingest Template'!B907</f>
        <v/>
      </c>
      <c r="N907" s="35"/>
      <c r="O907" s="35"/>
      <c r="P907" s="35"/>
      <c r="Q907" s="35"/>
      <c r="R907" s="35" t="str">
        <f>'Ingest Template'!D907</f>
        <v/>
      </c>
      <c r="S907" s="22" t="s">
        <v>101</v>
      </c>
      <c r="T907" s="35" t="str">
        <f>'Ingest Template'!V907</f>
        <v/>
      </c>
      <c r="U907" s="35" t="str">
        <f>'Ingest Template'!W907</f>
        <v/>
      </c>
      <c r="V907" s="35" t="str">
        <f>LOWER(SUBSTITUTE(SUBSTITUTE(SUBSTITUTE(SUBSTITUTE(SUBSTITUTE('Ingest Template'!X907,"https:",""),"www.",""),"/",""),"?hl=en",""),"instagram.com",""))</f>
        <v/>
      </c>
      <c r="W907" s="74" t="str">
        <f t="array" ref="W907">IF(
'Ingest Template'!Y907="",
SUBSTITUTE(
INDEX(DropdownLists!$F$2:$F$277,MATCH('Ingest Template'!D907,DropdownLists!$C$2:$C$277,0)),
CHAR(10),
"|"&amp;'Ingest Template'!C907&amp;CHAR(10)
)&amp;"|"&amp;'Ingest Template'!C907,
SUBSTITUTE(
INDEX(DropdownLists!$F$2:$F$277,MATCH('Ingest Template'!D907,DropdownLists!$C$2:$C$277,0)),
CHAR(10),
"|"&amp;'Ingest Template'!C907&amp;CHAR(10)
)&amp;"|"&amp;'Ingest Template'!C907&amp;CHAR(10)&amp;'Ingest Template'!Y907
)</f>
        <v>#N/A</v>
      </c>
      <c r="X907" s="74" t="str">
        <f>'Ingest Template'!Z907</f>
        <v/>
      </c>
      <c r="Y907" s="35" t="str">
        <f>SUBSTITUTE(SUBSTITUTE(SUBSTITUTE('Ingest Template'!AA907,"http:",""),"https:",""),"/","")</f>
        <v/>
      </c>
      <c r="Z907" s="35" t="str">
        <f t="array" ref="Z907">IF('Ingest Template'!A907="Standard",(IF(ISBLANK('Ingest Template'!AB907),"", 'Ingest Template'!AB907&amp;"|DAR")),(IF(ISBLANK('Ingest Template'!AB907),"", 'Ingest Template'!AB907&amp;"|TV Ops")))</f>
        <v/>
      </c>
      <c r="AA907" s="35"/>
      <c r="AB907" s="35" t="str">
        <f>'Ingest Template'!R907</f>
        <v/>
      </c>
      <c r="AC907" s="35" t="str">
        <f>'Ingest Template'!T907</f>
        <v/>
      </c>
      <c r="AD907" s="35" t="str">
        <f>'Ingest Template'!S907</f>
        <v/>
      </c>
      <c r="AE907" s="35" t="str">
        <f>'Ingest Template'!U907</f>
        <v/>
      </c>
      <c r="AF907" s="22"/>
      <c r="AG907" s="35" t="str">
        <f t="array" ref="AG907">IF('Ingest Template'!A907="Standard",(CONCATENATE(IF(ISBLANK('Ingest Template'!N907),"", 'Ingest Template'!N907&amp;"|DAR"),CHAR(10), IF(ISBLANK('Ingest Template'!O907),"", 'Ingest Template'!O907&amp;"|DAR"),CHAR(10), IF(ISBLANK('Ingest Template'!P907),"", 'Ingest Template'!P907&amp;"|DAR"))),(CONCATENATE(IF(ISBLANK('Ingest Template'!N907),"", 'Ingest Template'!N907&amp;"|TV Ops"),CHAR(10), IF(ISBLANK('Ingest Template'!O907),"", 'Ingest Template'!O907&amp;"|TV Ops"),CHAR(10), IF(ISBLANK('Ingest Template'!P907),"", 'Ingest Template'!P907&amp;"|TV Ops"))))</f>
        <v>
</v>
      </c>
      <c r="AH907" s="35"/>
      <c r="AI907" s="35"/>
      <c r="AJ907" s="117" t="str">
        <f>if('Ingest Template'!A907="Standard",(IF(OR('Ingest Template'!F907 = "Program Type - Special", 'Ingest Template'!F907 = "Program Type - Live Event"),'Ingest Template'!M907&amp; "|DAR|DAR|"&amp;TEXT('Ingest Template'!C907-3, "yyyy-mm-dd")&amp;"|"&amp;TEXT('Ingest Template'!C907+3, "yyyy-mm-dd"),'Ingest Template'!M907&amp; "|DAR|DAR|2021-01-01")),(IF(OR('Ingest Template'!F907 = "Program Type - Special", 'Ingest Template'!F907 = "Program Type - Live Event"),'Ingest Template'!M907&amp; "|Operations - Core Title|Operations - Core Title|"&amp;TEXT('Ingest Template'!C907-3, "yyyy-mm-dd")&amp;"|"&amp;TEXT('Ingest Template'!C907+3, "yyyy-mm-dd"),'Ingest Template'!M907&amp; "|Operations - Core Title|Operations - Core Title")))</f>
        <v>|Operations - Core Title|Operations - Core Title</v>
      </c>
      <c r="AK907" s="35"/>
      <c r="AL907" s="117" t="str">
        <f>if('Ingest Template'!A907="Standard",(IF(OR('Ingest Template'!F907 = "Program Type - Special", 'Ingest Template'!F907 = "Program Type - Live Event"),'Ingest Template'!Q907&amp;"|"&amp;TEXT('Ingest Template'!C907-3, "yyyy-mm-dd")&amp;"|"&amp;TEXT('Ingest Template'!C907+3, "yyyy-mm-dd"),'Ingest Template'!Q907&amp; "|2021-01-01")),(IF(OR('Ingest Template'!F907 = "Program Type - Special", 'Ingest Template'!F907 = "Program Type - Live Event"),'Ingest Template'!Q907&amp; "|"&amp;TEXT('Ingest Template'!C907-3, "yyyy-mm-dd")&amp;"|"&amp;TEXT('Ingest Template'!C907+3, "yyyy-mm-dd"),'Ingest Template'!Q907)))</f>
        <v/>
      </c>
      <c r="AM907" s="35" t="str">
        <f>'Ingest Template'!AC907</f>
        <v/>
      </c>
    </row>
    <row r="908">
      <c r="A908" s="15"/>
      <c r="B908" s="22" t="str">
        <f>'Ingest Template'!C908&amp;IF('Ingest Template'!A908 = "Standard", " - DAR","")</f>
        <v/>
      </c>
      <c r="C908" s="22" t="s">
        <v>83</v>
      </c>
      <c r="D908" s="22" t="str">
        <f t="array" ref="D908">CONCATENATE(INDEX(DropdownLists!$H$2:$H$11,MATCH(1,COUNTIF('Ingest Template'!E908,"*"&amp;DropdownLists!$I$2:$I$11&amp;"*"),0)),CHAR(10),'Ingest Template'!F908,CHAR(10),'Ingest Template'!G908,CHAR(10),VLOOKUP('Ingest Template'!D908,DropdownLists!C:D,2,FALSE))</f>
        <v>#N/A</v>
      </c>
      <c r="E908" s="22" t="str">
        <f>CONCATENATE('Ingest Template'!H908,CHAR(10),'Ingest Template'!I908,CHAR(10),'Ingest Template'!J908,CHAR(10))</f>
        <v>
</v>
      </c>
      <c r="F908" s="35" t="str">
        <f t="array" ref="F908">INDEX(DropdownLists!$O$2:$O$36,MATCH(1,COUNTIF(E908,"*"&amp;DropdownLists!$N$2:$N$36&amp;"*"),0))</f>
        <v/>
      </c>
      <c r="G908" s="35"/>
      <c r="H908" s="22" t="str">
        <f t="array" ref="H908">INDEX(DropdownLists!$E$2:$E$276,MATCH('Ingest Template'!D908,DropdownLists!$C$2:$C$276,0))</f>
        <v>#N/A</v>
      </c>
      <c r="I908" s="22"/>
      <c r="J908" s="22" t="str">
        <f t="array" ref="J908">iF('Ingest Template'!A908="Standard","Pristine Brand",INDEX(DropdownLists!$B$2:$B$246,MATCH('Ingest Template'!D908,DropdownLists!$C$2:$C$246,0)))</f>
        <v>#N/A</v>
      </c>
      <c r="K908" s="22" t="str">
        <f>iF('Ingest Template'!A908="Standard",'Ingest Template'!K908&amp;CHAR(10)&amp;'Ingest Template'!L908,"Competitive View")</f>
        <v>Competitive View</v>
      </c>
      <c r="L908" s="22" t="s">
        <v>95</v>
      </c>
      <c r="M908" s="45" t="str">
        <f>'Ingest Template'!B908</f>
        <v/>
      </c>
      <c r="N908" s="35"/>
      <c r="O908" s="35"/>
      <c r="P908" s="35"/>
      <c r="Q908" s="35"/>
      <c r="R908" s="35" t="str">
        <f>'Ingest Template'!D908</f>
        <v/>
      </c>
      <c r="S908" s="22" t="s">
        <v>101</v>
      </c>
      <c r="T908" s="35" t="str">
        <f>'Ingest Template'!V908</f>
        <v/>
      </c>
      <c r="U908" s="35" t="str">
        <f>'Ingest Template'!W908</f>
        <v/>
      </c>
      <c r="V908" s="35" t="str">
        <f>LOWER(SUBSTITUTE(SUBSTITUTE(SUBSTITUTE(SUBSTITUTE(SUBSTITUTE('Ingest Template'!X908,"https:",""),"www.",""),"/",""),"?hl=en",""),"instagram.com",""))</f>
        <v/>
      </c>
      <c r="W908" s="74" t="str">
        <f t="array" ref="W908">IF(
'Ingest Template'!Y908="",
SUBSTITUTE(
INDEX(DropdownLists!$F$2:$F$277,MATCH('Ingest Template'!D908,DropdownLists!$C$2:$C$277,0)),
CHAR(10),
"|"&amp;'Ingest Template'!C908&amp;CHAR(10)
)&amp;"|"&amp;'Ingest Template'!C908,
SUBSTITUTE(
INDEX(DropdownLists!$F$2:$F$277,MATCH('Ingest Template'!D908,DropdownLists!$C$2:$C$277,0)),
CHAR(10),
"|"&amp;'Ingest Template'!C908&amp;CHAR(10)
)&amp;"|"&amp;'Ingest Template'!C908&amp;CHAR(10)&amp;'Ingest Template'!Y908
)</f>
        <v>#N/A</v>
      </c>
      <c r="X908" s="74" t="str">
        <f>'Ingest Template'!Z908</f>
        <v/>
      </c>
      <c r="Y908" s="35" t="str">
        <f>SUBSTITUTE(SUBSTITUTE(SUBSTITUTE('Ingest Template'!AA908,"http:",""),"https:",""),"/","")</f>
        <v/>
      </c>
      <c r="Z908" s="35" t="str">
        <f t="array" ref="Z908">IF('Ingest Template'!A908="Standard",(IF(ISBLANK('Ingest Template'!AB908),"", 'Ingest Template'!AB908&amp;"|DAR")),(IF(ISBLANK('Ingest Template'!AB908),"", 'Ingest Template'!AB908&amp;"|TV Ops")))</f>
        <v/>
      </c>
      <c r="AA908" s="35"/>
      <c r="AB908" s="35" t="str">
        <f>'Ingest Template'!R908</f>
        <v/>
      </c>
      <c r="AC908" s="35" t="str">
        <f>'Ingest Template'!T908</f>
        <v/>
      </c>
      <c r="AD908" s="35" t="str">
        <f>'Ingest Template'!S908</f>
        <v/>
      </c>
      <c r="AE908" s="35" t="str">
        <f>'Ingest Template'!U908</f>
        <v/>
      </c>
      <c r="AF908" s="22"/>
      <c r="AG908" s="35" t="str">
        <f t="array" ref="AG908">IF('Ingest Template'!A908="Standard",(CONCATENATE(IF(ISBLANK('Ingest Template'!N908),"", 'Ingest Template'!N908&amp;"|DAR"),CHAR(10), IF(ISBLANK('Ingest Template'!O908),"", 'Ingest Template'!O908&amp;"|DAR"),CHAR(10), IF(ISBLANK('Ingest Template'!P908),"", 'Ingest Template'!P908&amp;"|DAR"))),(CONCATENATE(IF(ISBLANK('Ingest Template'!N908),"", 'Ingest Template'!N908&amp;"|TV Ops"),CHAR(10), IF(ISBLANK('Ingest Template'!O908),"", 'Ingest Template'!O908&amp;"|TV Ops"),CHAR(10), IF(ISBLANK('Ingest Template'!P908),"", 'Ingest Template'!P908&amp;"|TV Ops"))))</f>
        <v>
</v>
      </c>
      <c r="AH908" s="35"/>
      <c r="AI908" s="35"/>
      <c r="AJ908" s="117" t="str">
        <f>if('Ingest Template'!A908="Standard",(IF(OR('Ingest Template'!F908 = "Program Type - Special", 'Ingest Template'!F908 = "Program Type - Live Event"),'Ingest Template'!M908&amp; "|DAR|DAR|"&amp;TEXT('Ingest Template'!C908-3, "yyyy-mm-dd")&amp;"|"&amp;TEXT('Ingest Template'!C908+3, "yyyy-mm-dd"),'Ingest Template'!M908&amp; "|DAR|DAR|2021-01-01")),(IF(OR('Ingest Template'!F908 = "Program Type - Special", 'Ingest Template'!F908 = "Program Type - Live Event"),'Ingest Template'!M908&amp; "|Operations - Core Title|Operations - Core Title|"&amp;TEXT('Ingest Template'!C908-3, "yyyy-mm-dd")&amp;"|"&amp;TEXT('Ingest Template'!C908+3, "yyyy-mm-dd"),'Ingest Template'!M908&amp; "|Operations - Core Title|Operations - Core Title")))</f>
        <v>|Operations - Core Title|Operations - Core Title</v>
      </c>
      <c r="AK908" s="35"/>
      <c r="AL908" s="117" t="str">
        <f>if('Ingest Template'!A908="Standard",(IF(OR('Ingest Template'!F908 = "Program Type - Special", 'Ingest Template'!F908 = "Program Type - Live Event"),'Ingest Template'!Q908&amp;"|"&amp;TEXT('Ingest Template'!C908-3, "yyyy-mm-dd")&amp;"|"&amp;TEXT('Ingest Template'!C908+3, "yyyy-mm-dd"),'Ingest Template'!Q908&amp; "|2021-01-01")),(IF(OR('Ingest Template'!F908 = "Program Type - Special", 'Ingest Template'!F908 = "Program Type - Live Event"),'Ingest Template'!Q908&amp; "|"&amp;TEXT('Ingest Template'!C908-3, "yyyy-mm-dd")&amp;"|"&amp;TEXT('Ingest Template'!C908+3, "yyyy-mm-dd"),'Ingest Template'!Q908)))</f>
        <v/>
      </c>
      <c r="AM908" s="35" t="str">
        <f>'Ingest Template'!AC908</f>
        <v/>
      </c>
    </row>
    <row r="909">
      <c r="A909" s="15"/>
      <c r="B909" s="22" t="str">
        <f>'Ingest Template'!C909&amp;IF('Ingest Template'!A909 = "Standard", " - DAR","")</f>
        <v/>
      </c>
      <c r="C909" s="22" t="s">
        <v>83</v>
      </c>
      <c r="D909" s="22" t="str">
        <f t="array" ref="D909">CONCATENATE(INDEX(DropdownLists!$H$2:$H$11,MATCH(1,COUNTIF('Ingest Template'!E909,"*"&amp;DropdownLists!$I$2:$I$11&amp;"*"),0)),CHAR(10),'Ingest Template'!F909,CHAR(10),'Ingest Template'!G909,CHAR(10),VLOOKUP('Ingest Template'!D909,DropdownLists!C:D,2,FALSE))</f>
        <v>#N/A</v>
      </c>
      <c r="E909" s="22" t="str">
        <f>CONCATENATE('Ingest Template'!H909,CHAR(10),'Ingest Template'!I909,CHAR(10),'Ingest Template'!J909,CHAR(10))</f>
        <v>
</v>
      </c>
      <c r="F909" s="35" t="str">
        <f t="array" ref="F909">INDEX(DropdownLists!$O$2:$O$36,MATCH(1,COUNTIF(E909,"*"&amp;DropdownLists!$N$2:$N$36&amp;"*"),0))</f>
        <v/>
      </c>
      <c r="G909" s="35"/>
      <c r="H909" s="22" t="str">
        <f t="array" ref="H909">INDEX(DropdownLists!$E$2:$E$276,MATCH('Ingest Template'!D909,DropdownLists!$C$2:$C$276,0))</f>
        <v>#N/A</v>
      </c>
      <c r="I909" s="22"/>
      <c r="J909" s="22" t="str">
        <f t="array" ref="J909">iF('Ingest Template'!A909="Standard","Pristine Brand",INDEX(DropdownLists!$B$2:$B$246,MATCH('Ingest Template'!D909,DropdownLists!$C$2:$C$246,0)))</f>
        <v>#N/A</v>
      </c>
      <c r="K909" s="22" t="str">
        <f>iF('Ingest Template'!A909="Standard",'Ingest Template'!K909&amp;CHAR(10)&amp;'Ingest Template'!L909,"Competitive View")</f>
        <v>Competitive View</v>
      </c>
      <c r="L909" s="22" t="s">
        <v>95</v>
      </c>
      <c r="M909" s="45" t="str">
        <f>'Ingest Template'!B909</f>
        <v/>
      </c>
      <c r="N909" s="35"/>
      <c r="O909" s="35"/>
      <c r="P909" s="35"/>
      <c r="Q909" s="35"/>
      <c r="R909" s="35" t="str">
        <f>'Ingest Template'!D909</f>
        <v/>
      </c>
      <c r="S909" s="22" t="s">
        <v>101</v>
      </c>
      <c r="T909" s="35" t="str">
        <f>'Ingest Template'!V909</f>
        <v/>
      </c>
      <c r="U909" s="35" t="str">
        <f>'Ingest Template'!W909</f>
        <v/>
      </c>
      <c r="V909" s="35" t="str">
        <f>LOWER(SUBSTITUTE(SUBSTITUTE(SUBSTITUTE(SUBSTITUTE(SUBSTITUTE('Ingest Template'!X909,"https:",""),"www.",""),"/",""),"?hl=en",""),"instagram.com",""))</f>
        <v/>
      </c>
      <c r="W909" s="74" t="str">
        <f t="array" ref="W909">IF(
'Ingest Template'!Y909="",
SUBSTITUTE(
INDEX(DropdownLists!$F$2:$F$277,MATCH('Ingest Template'!D909,DropdownLists!$C$2:$C$277,0)),
CHAR(10),
"|"&amp;'Ingest Template'!C909&amp;CHAR(10)
)&amp;"|"&amp;'Ingest Template'!C909,
SUBSTITUTE(
INDEX(DropdownLists!$F$2:$F$277,MATCH('Ingest Template'!D909,DropdownLists!$C$2:$C$277,0)),
CHAR(10),
"|"&amp;'Ingest Template'!C909&amp;CHAR(10)
)&amp;"|"&amp;'Ingest Template'!C909&amp;CHAR(10)&amp;'Ingest Template'!Y909
)</f>
        <v>#N/A</v>
      </c>
      <c r="X909" s="74" t="str">
        <f>'Ingest Template'!Z909</f>
        <v/>
      </c>
      <c r="Y909" s="35" t="str">
        <f>SUBSTITUTE(SUBSTITUTE(SUBSTITUTE('Ingest Template'!AA909,"http:",""),"https:",""),"/","")</f>
        <v/>
      </c>
      <c r="Z909" s="35" t="str">
        <f t="array" ref="Z909">IF('Ingest Template'!A909="Standard",(IF(ISBLANK('Ingest Template'!AB909),"", 'Ingest Template'!AB909&amp;"|DAR")),(IF(ISBLANK('Ingest Template'!AB909),"", 'Ingest Template'!AB909&amp;"|TV Ops")))</f>
        <v/>
      </c>
      <c r="AA909" s="35"/>
      <c r="AB909" s="35" t="str">
        <f>'Ingest Template'!R909</f>
        <v/>
      </c>
      <c r="AC909" s="35" t="str">
        <f>'Ingest Template'!T909</f>
        <v/>
      </c>
      <c r="AD909" s="35" t="str">
        <f>'Ingest Template'!S909</f>
        <v/>
      </c>
      <c r="AE909" s="35" t="str">
        <f>'Ingest Template'!U909</f>
        <v/>
      </c>
      <c r="AF909" s="22"/>
      <c r="AG909" s="35" t="str">
        <f t="array" ref="AG909">IF('Ingest Template'!A909="Standard",(CONCATENATE(IF(ISBLANK('Ingest Template'!N909),"", 'Ingest Template'!N909&amp;"|DAR"),CHAR(10), IF(ISBLANK('Ingest Template'!O909),"", 'Ingest Template'!O909&amp;"|DAR"),CHAR(10), IF(ISBLANK('Ingest Template'!P909),"", 'Ingest Template'!P909&amp;"|DAR"))),(CONCATENATE(IF(ISBLANK('Ingest Template'!N909),"", 'Ingest Template'!N909&amp;"|TV Ops"),CHAR(10), IF(ISBLANK('Ingest Template'!O909),"", 'Ingest Template'!O909&amp;"|TV Ops"),CHAR(10), IF(ISBLANK('Ingest Template'!P909),"", 'Ingest Template'!P909&amp;"|TV Ops"))))</f>
        <v>
</v>
      </c>
      <c r="AH909" s="35"/>
      <c r="AI909" s="35"/>
      <c r="AJ909" s="117" t="str">
        <f>if('Ingest Template'!A909="Standard",(IF(OR('Ingest Template'!F909 = "Program Type - Special", 'Ingest Template'!F909 = "Program Type - Live Event"),'Ingest Template'!M909&amp; "|DAR|DAR|"&amp;TEXT('Ingest Template'!C909-3, "yyyy-mm-dd")&amp;"|"&amp;TEXT('Ingest Template'!C909+3, "yyyy-mm-dd"),'Ingest Template'!M909&amp; "|DAR|DAR|2021-01-01")),(IF(OR('Ingest Template'!F909 = "Program Type - Special", 'Ingest Template'!F909 = "Program Type - Live Event"),'Ingest Template'!M909&amp; "|Operations - Core Title|Operations - Core Title|"&amp;TEXT('Ingest Template'!C909-3, "yyyy-mm-dd")&amp;"|"&amp;TEXT('Ingest Template'!C909+3, "yyyy-mm-dd"),'Ingest Template'!M909&amp; "|Operations - Core Title|Operations - Core Title")))</f>
        <v>|Operations - Core Title|Operations - Core Title</v>
      </c>
      <c r="AK909" s="35"/>
      <c r="AL909" s="117" t="str">
        <f>if('Ingest Template'!A909="Standard",(IF(OR('Ingest Template'!F909 = "Program Type - Special", 'Ingest Template'!F909 = "Program Type - Live Event"),'Ingest Template'!Q909&amp;"|"&amp;TEXT('Ingest Template'!C909-3, "yyyy-mm-dd")&amp;"|"&amp;TEXT('Ingest Template'!C909+3, "yyyy-mm-dd"),'Ingest Template'!Q909&amp; "|2021-01-01")),(IF(OR('Ingest Template'!F909 = "Program Type - Special", 'Ingest Template'!F909 = "Program Type - Live Event"),'Ingest Template'!Q909&amp; "|"&amp;TEXT('Ingest Template'!C909-3, "yyyy-mm-dd")&amp;"|"&amp;TEXT('Ingest Template'!C909+3, "yyyy-mm-dd"),'Ingest Template'!Q909)))</f>
        <v/>
      </c>
      <c r="AM909" s="35" t="str">
        <f>'Ingest Template'!AC909</f>
        <v/>
      </c>
    </row>
    <row r="910">
      <c r="A910" s="15"/>
      <c r="B910" s="22" t="str">
        <f>'Ingest Template'!C910&amp;IF('Ingest Template'!A910 = "Standard", " - DAR","")</f>
        <v/>
      </c>
      <c r="C910" s="22" t="s">
        <v>83</v>
      </c>
      <c r="D910" s="22" t="str">
        <f t="array" ref="D910">CONCATENATE(INDEX(DropdownLists!$H$2:$H$11,MATCH(1,COUNTIF('Ingest Template'!E910,"*"&amp;DropdownLists!$I$2:$I$11&amp;"*"),0)),CHAR(10),'Ingest Template'!F910,CHAR(10),'Ingest Template'!G910,CHAR(10),VLOOKUP('Ingest Template'!D910,DropdownLists!C:D,2,FALSE))</f>
        <v>#N/A</v>
      </c>
      <c r="E910" s="22" t="str">
        <f>CONCATENATE('Ingest Template'!H910,CHAR(10),'Ingest Template'!I910,CHAR(10),'Ingest Template'!J910,CHAR(10))</f>
        <v>
</v>
      </c>
      <c r="F910" s="35" t="str">
        <f t="array" ref="F910">INDEX(DropdownLists!$O$2:$O$36,MATCH(1,COUNTIF(E910,"*"&amp;DropdownLists!$N$2:$N$36&amp;"*"),0))</f>
        <v/>
      </c>
      <c r="G910" s="35"/>
      <c r="H910" s="22" t="str">
        <f t="array" ref="H910">INDEX(DropdownLists!$E$2:$E$276,MATCH('Ingest Template'!D910,DropdownLists!$C$2:$C$276,0))</f>
        <v>#N/A</v>
      </c>
      <c r="I910" s="22"/>
      <c r="J910" s="22" t="str">
        <f t="array" ref="J910">iF('Ingest Template'!A910="Standard","Pristine Brand",INDEX(DropdownLists!$B$2:$B$246,MATCH('Ingest Template'!D910,DropdownLists!$C$2:$C$246,0)))</f>
        <v>#N/A</v>
      </c>
      <c r="K910" s="22" t="str">
        <f>iF('Ingest Template'!A910="Standard",'Ingest Template'!K910&amp;CHAR(10)&amp;'Ingest Template'!L910,"Competitive View")</f>
        <v>Competitive View</v>
      </c>
      <c r="L910" s="22" t="s">
        <v>95</v>
      </c>
      <c r="M910" s="45" t="str">
        <f>'Ingest Template'!B910</f>
        <v/>
      </c>
      <c r="N910" s="35"/>
      <c r="O910" s="35"/>
      <c r="P910" s="35"/>
      <c r="Q910" s="35"/>
      <c r="R910" s="35" t="str">
        <f>'Ingest Template'!D910</f>
        <v/>
      </c>
      <c r="S910" s="22" t="s">
        <v>101</v>
      </c>
      <c r="T910" s="35" t="str">
        <f>'Ingest Template'!V910</f>
        <v/>
      </c>
      <c r="U910" s="35" t="str">
        <f>'Ingest Template'!W910</f>
        <v/>
      </c>
      <c r="V910" s="35" t="str">
        <f>LOWER(SUBSTITUTE(SUBSTITUTE(SUBSTITUTE(SUBSTITUTE(SUBSTITUTE('Ingest Template'!X910,"https:",""),"www.",""),"/",""),"?hl=en",""),"instagram.com",""))</f>
        <v/>
      </c>
      <c r="W910" s="74" t="str">
        <f t="array" ref="W910">IF(
'Ingest Template'!Y910="",
SUBSTITUTE(
INDEX(DropdownLists!$F$2:$F$277,MATCH('Ingest Template'!D910,DropdownLists!$C$2:$C$277,0)),
CHAR(10),
"|"&amp;'Ingest Template'!C910&amp;CHAR(10)
)&amp;"|"&amp;'Ingest Template'!C910,
SUBSTITUTE(
INDEX(DropdownLists!$F$2:$F$277,MATCH('Ingest Template'!D910,DropdownLists!$C$2:$C$277,0)),
CHAR(10),
"|"&amp;'Ingest Template'!C910&amp;CHAR(10)
)&amp;"|"&amp;'Ingest Template'!C910&amp;CHAR(10)&amp;'Ingest Template'!Y910
)</f>
        <v>#N/A</v>
      </c>
      <c r="X910" s="74" t="str">
        <f>'Ingest Template'!Z910</f>
        <v/>
      </c>
      <c r="Y910" s="35" t="str">
        <f>SUBSTITUTE(SUBSTITUTE(SUBSTITUTE('Ingest Template'!AA910,"http:",""),"https:",""),"/","")</f>
        <v/>
      </c>
      <c r="Z910" s="35" t="str">
        <f t="array" ref="Z910">IF('Ingest Template'!A910="Standard",(IF(ISBLANK('Ingest Template'!AB910),"", 'Ingest Template'!AB910&amp;"|DAR")),(IF(ISBLANK('Ingest Template'!AB910),"", 'Ingest Template'!AB910&amp;"|TV Ops")))</f>
        <v/>
      </c>
      <c r="AA910" s="35"/>
      <c r="AB910" s="35" t="str">
        <f>'Ingest Template'!R910</f>
        <v/>
      </c>
      <c r="AC910" s="35" t="str">
        <f>'Ingest Template'!T910</f>
        <v/>
      </c>
      <c r="AD910" s="35" t="str">
        <f>'Ingest Template'!S910</f>
        <v/>
      </c>
      <c r="AE910" s="35" t="str">
        <f>'Ingest Template'!U910</f>
        <v/>
      </c>
      <c r="AF910" s="22"/>
      <c r="AG910" s="35" t="str">
        <f t="array" ref="AG910">IF('Ingest Template'!A910="Standard",(CONCATENATE(IF(ISBLANK('Ingest Template'!N910),"", 'Ingest Template'!N910&amp;"|DAR"),CHAR(10), IF(ISBLANK('Ingest Template'!O910),"", 'Ingest Template'!O910&amp;"|DAR"),CHAR(10), IF(ISBLANK('Ingest Template'!P910),"", 'Ingest Template'!P910&amp;"|DAR"))),(CONCATENATE(IF(ISBLANK('Ingest Template'!N910),"", 'Ingest Template'!N910&amp;"|TV Ops"),CHAR(10), IF(ISBLANK('Ingest Template'!O910),"", 'Ingest Template'!O910&amp;"|TV Ops"),CHAR(10), IF(ISBLANK('Ingest Template'!P910),"", 'Ingest Template'!P910&amp;"|TV Ops"))))</f>
        <v>
</v>
      </c>
      <c r="AH910" s="35"/>
      <c r="AI910" s="35"/>
      <c r="AJ910" s="117" t="str">
        <f>if('Ingest Template'!A910="Standard",(IF(OR('Ingest Template'!F910 = "Program Type - Special", 'Ingest Template'!F910 = "Program Type - Live Event"),'Ingest Template'!M910&amp; "|DAR|DAR|"&amp;TEXT('Ingest Template'!C910-3, "yyyy-mm-dd")&amp;"|"&amp;TEXT('Ingest Template'!C910+3, "yyyy-mm-dd"),'Ingest Template'!M910&amp; "|DAR|DAR|2021-01-01")),(IF(OR('Ingest Template'!F910 = "Program Type - Special", 'Ingest Template'!F910 = "Program Type - Live Event"),'Ingest Template'!M910&amp; "|Operations - Core Title|Operations - Core Title|"&amp;TEXT('Ingest Template'!C910-3, "yyyy-mm-dd")&amp;"|"&amp;TEXT('Ingest Template'!C910+3, "yyyy-mm-dd"),'Ingest Template'!M910&amp; "|Operations - Core Title|Operations - Core Title")))</f>
        <v>|Operations - Core Title|Operations - Core Title</v>
      </c>
      <c r="AK910" s="35"/>
      <c r="AL910" s="117" t="str">
        <f>if('Ingest Template'!A910="Standard",(IF(OR('Ingest Template'!F910 = "Program Type - Special", 'Ingest Template'!F910 = "Program Type - Live Event"),'Ingest Template'!Q910&amp;"|"&amp;TEXT('Ingest Template'!C910-3, "yyyy-mm-dd")&amp;"|"&amp;TEXT('Ingest Template'!C910+3, "yyyy-mm-dd"),'Ingest Template'!Q910&amp; "|2021-01-01")),(IF(OR('Ingest Template'!F910 = "Program Type - Special", 'Ingest Template'!F910 = "Program Type - Live Event"),'Ingest Template'!Q910&amp; "|"&amp;TEXT('Ingest Template'!C910-3, "yyyy-mm-dd")&amp;"|"&amp;TEXT('Ingest Template'!C910+3, "yyyy-mm-dd"),'Ingest Template'!Q910)))</f>
        <v/>
      </c>
      <c r="AM910" s="35" t="str">
        <f>'Ingest Template'!AC910</f>
        <v/>
      </c>
    </row>
    <row r="911">
      <c r="A911" s="15"/>
      <c r="B911" s="22" t="str">
        <f>'Ingest Template'!C911&amp;IF('Ingest Template'!A911 = "Standard", " - DAR","")</f>
        <v/>
      </c>
      <c r="C911" s="22" t="s">
        <v>83</v>
      </c>
      <c r="D911" s="22" t="str">
        <f t="array" ref="D911">CONCATENATE(INDEX(DropdownLists!$H$2:$H$11,MATCH(1,COUNTIF('Ingest Template'!E911,"*"&amp;DropdownLists!$I$2:$I$11&amp;"*"),0)),CHAR(10),'Ingest Template'!F911,CHAR(10),'Ingest Template'!G911,CHAR(10),VLOOKUP('Ingest Template'!D911,DropdownLists!C:D,2,FALSE))</f>
        <v>#N/A</v>
      </c>
      <c r="E911" s="22" t="str">
        <f>CONCATENATE('Ingest Template'!H911,CHAR(10),'Ingest Template'!I911,CHAR(10),'Ingest Template'!J911,CHAR(10))</f>
        <v>
</v>
      </c>
      <c r="F911" s="35" t="str">
        <f t="array" ref="F911">INDEX(DropdownLists!$O$2:$O$36,MATCH(1,COUNTIF(E911,"*"&amp;DropdownLists!$N$2:$N$36&amp;"*"),0))</f>
        <v/>
      </c>
      <c r="G911" s="35"/>
      <c r="H911" s="22" t="str">
        <f t="array" ref="H911">INDEX(DropdownLists!$E$2:$E$276,MATCH('Ingest Template'!D911,DropdownLists!$C$2:$C$276,0))</f>
        <v>#N/A</v>
      </c>
      <c r="I911" s="22"/>
      <c r="J911" s="22" t="str">
        <f t="array" ref="J911">iF('Ingest Template'!A911="Standard","Pristine Brand",INDEX(DropdownLists!$B$2:$B$246,MATCH('Ingest Template'!D911,DropdownLists!$C$2:$C$246,0)))</f>
        <v>#N/A</v>
      </c>
      <c r="K911" s="22" t="str">
        <f>iF('Ingest Template'!A911="Standard",'Ingest Template'!K911&amp;CHAR(10)&amp;'Ingest Template'!L911,"Competitive View")</f>
        <v>Competitive View</v>
      </c>
      <c r="L911" s="22" t="s">
        <v>95</v>
      </c>
      <c r="M911" s="45" t="str">
        <f>'Ingest Template'!B911</f>
        <v/>
      </c>
      <c r="N911" s="35"/>
      <c r="O911" s="35"/>
      <c r="P911" s="35"/>
      <c r="Q911" s="35"/>
      <c r="R911" s="35" t="str">
        <f>'Ingest Template'!D911</f>
        <v/>
      </c>
      <c r="S911" s="22" t="s">
        <v>101</v>
      </c>
      <c r="T911" s="35" t="str">
        <f>'Ingest Template'!V911</f>
        <v/>
      </c>
      <c r="U911" s="35" t="str">
        <f>'Ingest Template'!W911</f>
        <v/>
      </c>
      <c r="V911" s="35" t="str">
        <f>LOWER(SUBSTITUTE(SUBSTITUTE(SUBSTITUTE(SUBSTITUTE(SUBSTITUTE('Ingest Template'!X911,"https:",""),"www.",""),"/",""),"?hl=en",""),"instagram.com",""))</f>
        <v/>
      </c>
      <c r="W911" s="74" t="str">
        <f t="array" ref="W911">IF(
'Ingest Template'!Y911="",
SUBSTITUTE(
INDEX(DropdownLists!$F$2:$F$277,MATCH('Ingest Template'!D911,DropdownLists!$C$2:$C$277,0)),
CHAR(10),
"|"&amp;'Ingest Template'!C911&amp;CHAR(10)
)&amp;"|"&amp;'Ingest Template'!C911,
SUBSTITUTE(
INDEX(DropdownLists!$F$2:$F$277,MATCH('Ingest Template'!D911,DropdownLists!$C$2:$C$277,0)),
CHAR(10),
"|"&amp;'Ingest Template'!C911&amp;CHAR(10)
)&amp;"|"&amp;'Ingest Template'!C911&amp;CHAR(10)&amp;'Ingest Template'!Y911
)</f>
        <v>#N/A</v>
      </c>
      <c r="X911" s="74" t="str">
        <f>'Ingest Template'!Z911</f>
        <v/>
      </c>
      <c r="Y911" s="35" t="str">
        <f>SUBSTITUTE(SUBSTITUTE(SUBSTITUTE('Ingest Template'!AA911,"http:",""),"https:",""),"/","")</f>
        <v/>
      </c>
      <c r="Z911" s="35" t="str">
        <f t="array" ref="Z911">IF('Ingest Template'!A911="Standard",(IF(ISBLANK('Ingest Template'!AB911),"", 'Ingest Template'!AB911&amp;"|DAR")),(IF(ISBLANK('Ingest Template'!AB911),"", 'Ingest Template'!AB911&amp;"|TV Ops")))</f>
        <v/>
      </c>
      <c r="AA911" s="35"/>
      <c r="AB911" s="35" t="str">
        <f>'Ingest Template'!R911</f>
        <v/>
      </c>
      <c r="AC911" s="35" t="str">
        <f>'Ingest Template'!T911</f>
        <v/>
      </c>
      <c r="AD911" s="35" t="str">
        <f>'Ingest Template'!S911</f>
        <v/>
      </c>
      <c r="AE911" s="35" t="str">
        <f>'Ingest Template'!U911</f>
        <v/>
      </c>
      <c r="AF911" s="22"/>
      <c r="AG911" s="35" t="str">
        <f t="array" ref="AG911">IF('Ingest Template'!A911="Standard",(CONCATENATE(IF(ISBLANK('Ingest Template'!N911),"", 'Ingest Template'!N911&amp;"|DAR"),CHAR(10), IF(ISBLANK('Ingest Template'!O911),"", 'Ingest Template'!O911&amp;"|DAR"),CHAR(10), IF(ISBLANK('Ingest Template'!P911),"", 'Ingest Template'!P911&amp;"|DAR"))),(CONCATENATE(IF(ISBLANK('Ingest Template'!N911),"", 'Ingest Template'!N911&amp;"|TV Ops"),CHAR(10), IF(ISBLANK('Ingest Template'!O911),"", 'Ingest Template'!O911&amp;"|TV Ops"),CHAR(10), IF(ISBLANK('Ingest Template'!P911),"", 'Ingest Template'!P911&amp;"|TV Ops"))))</f>
        <v>
</v>
      </c>
      <c r="AH911" s="35"/>
      <c r="AI911" s="35"/>
      <c r="AJ911" s="117" t="str">
        <f>if('Ingest Template'!A911="Standard",(IF(OR('Ingest Template'!F911 = "Program Type - Special", 'Ingest Template'!F911 = "Program Type - Live Event"),'Ingest Template'!M911&amp; "|DAR|DAR|"&amp;TEXT('Ingest Template'!C911-3, "yyyy-mm-dd")&amp;"|"&amp;TEXT('Ingest Template'!C911+3, "yyyy-mm-dd"),'Ingest Template'!M911&amp; "|DAR|DAR|2021-01-01")),(IF(OR('Ingest Template'!F911 = "Program Type - Special", 'Ingest Template'!F911 = "Program Type - Live Event"),'Ingest Template'!M911&amp; "|Operations - Core Title|Operations - Core Title|"&amp;TEXT('Ingest Template'!C911-3, "yyyy-mm-dd")&amp;"|"&amp;TEXT('Ingest Template'!C911+3, "yyyy-mm-dd"),'Ingest Template'!M911&amp; "|Operations - Core Title|Operations - Core Title")))</f>
        <v>|Operations - Core Title|Operations - Core Title</v>
      </c>
      <c r="AK911" s="35"/>
      <c r="AL911" s="117" t="str">
        <f>if('Ingest Template'!A911="Standard",(IF(OR('Ingest Template'!F911 = "Program Type - Special", 'Ingest Template'!F911 = "Program Type - Live Event"),'Ingest Template'!Q911&amp;"|"&amp;TEXT('Ingest Template'!C911-3, "yyyy-mm-dd")&amp;"|"&amp;TEXT('Ingest Template'!C911+3, "yyyy-mm-dd"),'Ingest Template'!Q911&amp; "|2021-01-01")),(IF(OR('Ingest Template'!F911 = "Program Type - Special", 'Ingest Template'!F911 = "Program Type - Live Event"),'Ingest Template'!Q911&amp; "|"&amp;TEXT('Ingest Template'!C911-3, "yyyy-mm-dd")&amp;"|"&amp;TEXT('Ingest Template'!C911+3, "yyyy-mm-dd"),'Ingest Template'!Q911)))</f>
        <v/>
      </c>
      <c r="AM911" s="35" t="str">
        <f>'Ingest Template'!AC911</f>
        <v/>
      </c>
    </row>
    <row r="912">
      <c r="A912" s="15"/>
      <c r="B912" s="22" t="str">
        <f>'Ingest Template'!C912&amp;IF('Ingest Template'!A912 = "Standard", " - DAR","")</f>
        <v/>
      </c>
      <c r="C912" s="22" t="s">
        <v>83</v>
      </c>
      <c r="D912" s="22" t="str">
        <f t="array" ref="D912">CONCATENATE(INDEX(DropdownLists!$H$2:$H$11,MATCH(1,COUNTIF('Ingest Template'!E912,"*"&amp;DropdownLists!$I$2:$I$11&amp;"*"),0)),CHAR(10),'Ingest Template'!F912,CHAR(10),'Ingest Template'!G912,CHAR(10),VLOOKUP('Ingest Template'!D912,DropdownLists!C:D,2,FALSE))</f>
        <v>#N/A</v>
      </c>
      <c r="E912" s="22" t="str">
        <f>CONCATENATE('Ingest Template'!H912,CHAR(10),'Ingest Template'!I912,CHAR(10),'Ingest Template'!J912,CHAR(10))</f>
        <v>
</v>
      </c>
      <c r="F912" s="35" t="str">
        <f t="array" ref="F912">INDEX(DropdownLists!$O$2:$O$36,MATCH(1,COUNTIF(E912,"*"&amp;DropdownLists!$N$2:$N$36&amp;"*"),0))</f>
        <v/>
      </c>
      <c r="G912" s="35"/>
      <c r="H912" s="22" t="str">
        <f t="array" ref="H912">INDEX(DropdownLists!$E$2:$E$276,MATCH('Ingest Template'!D912,DropdownLists!$C$2:$C$276,0))</f>
        <v>#N/A</v>
      </c>
      <c r="I912" s="22"/>
      <c r="J912" s="22" t="str">
        <f t="array" ref="J912">iF('Ingest Template'!A912="Standard","Pristine Brand",INDEX(DropdownLists!$B$2:$B$246,MATCH('Ingest Template'!D912,DropdownLists!$C$2:$C$246,0)))</f>
        <v>#N/A</v>
      </c>
      <c r="K912" s="22" t="str">
        <f>iF('Ingest Template'!A912="Standard",'Ingest Template'!K912&amp;CHAR(10)&amp;'Ingest Template'!L912,"Competitive View")</f>
        <v>Competitive View</v>
      </c>
      <c r="L912" s="22" t="s">
        <v>95</v>
      </c>
      <c r="M912" s="45" t="str">
        <f>'Ingest Template'!B912</f>
        <v/>
      </c>
      <c r="N912" s="35"/>
      <c r="O912" s="35"/>
      <c r="P912" s="35"/>
      <c r="Q912" s="35"/>
      <c r="R912" s="35" t="str">
        <f>'Ingest Template'!D912</f>
        <v/>
      </c>
      <c r="S912" s="22" t="s">
        <v>101</v>
      </c>
      <c r="T912" s="35" t="str">
        <f>'Ingest Template'!V912</f>
        <v/>
      </c>
      <c r="U912" s="35" t="str">
        <f>'Ingest Template'!W912</f>
        <v/>
      </c>
      <c r="V912" s="35" t="str">
        <f>LOWER(SUBSTITUTE(SUBSTITUTE(SUBSTITUTE(SUBSTITUTE(SUBSTITUTE('Ingest Template'!X912,"https:",""),"www.",""),"/",""),"?hl=en",""),"instagram.com",""))</f>
        <v/>
      </c>
      <c r="W912" s="74" t="str">
        <f t="array" ref="W912">IF(
'Ingest Template'!Y912="",
SUBSTITUTE(
INDEX(DropdownLists!$F$2:$F$277,MATCH('Ingest Template'!D912,DropdownLists!$C$2:$C$277,0)),
CHAR(10),
"|"&amp;'Ingest Template'!C912&amp;CHAR(10)
)&amp;"|"&amp;'Ingest Template'!C912,
SUBSTITUTE(
INDEX(DropdownLists!$F$2:$F$277,MATCH('Ingest Template'!D912,DropdownLists!$C$2:$C$277,0)),
CHAR(10),
"|"&amp;'Ingest Template'!C912&amp;CHAR(10)
)&amp;"|"&amp;'Ingest Template'!C912&amp;CHAR(10)&amp;'Ingest Template'!Y912
)</f>
        <v>#N/A</v>
      </c>
      <c r="X912" s="74" t="str">
        <f>'Ingest Template'!Z912</f>
        <v/>
      </c>
      <c r="Y912" s="35" t="str">
        <f>SUBSTITUTE(SUBSTITUTE(SUBSTITUTE('Ingest Template'!AA912,"http:",""),"https:",""),"/","")</f>
        <v/>
      </c>
      <c r="Z912" s="35" t="str">
        <f t="array" ref="Z912">IF('Ingest Template'!A912="Standard",(IF(ISBLANK('Ingest Template'!AB912),"", 'Ingest Template'!AB912&amp;"|DAR")),(IF(ISBLANK('Ingest Template'!AB912),"", 'Ingest Template'!AB912&amp;"|TV Ops")))</f>
        <v/>
      </c>
      <c r="AA912" s="35"/>
      <c r="AB912" s="35" t="str">
        <f>'Ingest Template'!R912</f>
        <v/>
      </c>
      <c r="AC912" s="35" t="str">
        <f>'Ingest Template'!T912</f>
        <v/>
      </c>
      <c r="AD912" s="35" t="str">
        <f>'Ingest Template'!S912</f>
        <v/>
      </c>
      <c r="AE912" s="35" t="str">
        <f>'Ingest Template'!U912</f>
        <v/>
      </c>
      <c r="AF912" s="22"/>
      <c r="AG912" s="35" t="str">
        <f t="array" ref="AG912">IF('Ingest Template'!A912="Standard",(CONCATENATE(IF(ISBLANK('Ingest Template'!N912),"", 'Ingest Template'!N912&amp;"|DAR"),CHAR(10), IF(ISBLANK('Ingest Template'!O912),"", 'Ingest Template'!O912&amp;"|DAR"),CHAR(10), IF(ISBLANK('Ingest Template'!P912),"", 'Ingest Template'!P912&amp;"|DAR"))),(CONCATENATE(IF(ISBLANK('Ingest Template'!N912),"", 'Ingest Template'!N912&amp;"|TV Ops"),CHAR(10), IF(ISBLANK('Ingest Template'!O912),"", 'Ingest Template'!O912&amp;"|TV Ops"),CHAR(10), IF(ISBLANK('Ingest Template'!P912),"", 'Ingest Template'!P912&amp;"|TV Ops"))))</f>
        <v>
</v>
      </c>
      <c r="AH912" s="35"/>
      <c r="AI912" s="35"/>
      <c r="AJ912" s="117" t="str">
        <f>if('Ingest Template'!A912="Standard",(IF(OR('Ingest Template'!F912 = "Program Type - Special", 'Ingest Template'!F912 = "Program Type - Live Event"),'Ingest Template'!M912&amp; "|DAR|DAR|"&amp;TEXT('Ingest Template'!C912-3, "yyyy-mm-dd")&amp;"|"&amp;TEXT('Ingest Template'!C912+3, "yyyy-mm-dd"),'Ingest Template'!M912&amp; "|DAR|DAR|2021-01-01")),(IF(OR('Ingest Template'!F912 = "Program Type - Special", 'Ingest Template'!F912 = "Program Type - Live Event"),'Ingest Template'!M912&amp; "|Operations - Core Title|Operations - Core Title|"&amp;TEXT('Ingest Template'!C912-3, "yyyy-mm-dd")&amp;"|"&amp;TEXT('Ingest Template'!C912+3, "yyyy-mm-dd"),'Ingest Template'!M912&amp; "|Operations - Core Title|Operations - Core Title")))</f>
        <v>|Operations - Core Title|Operations - Core Title</v>
      </c>
      <c r="AK912" s="35"/>
      <c r="AL912" s="117" t="str">
        <f>if('Ingest Template'!A912="Standard",(IF(OR('Ingest Template'!F912 = "Program Type - Special", 'Ingest Template'!F912 = "Program Type - Live Event"),'Ingest Template'!Q912&amp;"|"&amp;TEXT('Ingest Template'!C912-3, "yyyy-mm-dd")&amp;"|"&amp;TEXT('Ingest Template'!C912+3, "yyyy-mm-dd"),'Ingest Template'!Q912&amp; "|2021-01-01")),(IF(OR('Ingest Template'!F912 = "Program Type - Special", 'Ingest Template'!F912 = "Program Type - Live Event"),'Ingest Template'!Q912&amp; "|"&amp;TEXT('Ingest Template'!C912-3, "yyyy-mm-dd")&amp;"|"&amp;TEXT('Ingest Template'!C912+3, "yyyy-mm-dd"),'Ingest Template'!Q912)))</f>
        <v/>
      </c>
      <c r="AM912" s="35" t="str">
        <f>'Ingest Template'!AC912</f>
        <v/>
      </c>
    </row>
    <row r="913">
      <c r="A913" s="15"/>
      <c r="B913" s="22" t="str">
        <f>'Ingest Template'!C913&amp;IF('Ingest Template'!A913 = "Standard", " - DAR","")</f>
        <v/>
      </c>
      <c r="C913" s="22" t="s">
        <v>83</v>
      </c>
      <c r="D913" s="22" t="str">
        <f t="array" ref="D913">CONCATENATE(INDEX(DropdownLists!$H$2:$H$11,MATCH(1,COUNTIF('Ingest Template'!E913,"*"&amp;DropdownLists!$I$2:$I$11&amp;"*"),0)),CHAR(10),'Ingest Template'!F913,CHAR(10),'Ingest Template'!G913,CHAR(10),VLOOKUP('Ingest Template'!D913,DropdownLists!C:D,2,FALSE))</f>
        <v>#N/A</v>
      </c>
      <c r="E913" s="22" t="str">
        <f>CONCATENATE('Ingest Template'!H913,CHAR(10),'Ingest Template'!I913,CHAR(10),'Ingest Template'!J913,CHAR(10))</f>
        <v>
</v>
      </c>
      <c r="F913" s="35" t="str">
        <f t="array" ref="F913">INDEX(DropdownLists!$O$2:$O$36,MATCH(1,COUNTIF(E913,"*"&amp;DropdownLists!$N$2:$N$36&amp;"*"),0))</f>
        <v/>
      </c>
      <c r="G913" s="35"/>
      <c r="H913" s="22" t="str">
        <f t="array" ref="H913">INDEX(DropdownLists!$E$2:$E$276,MATCH('Ingest Template'!D913,DropdownLists!$C$2:$C$276,0))</f>
        <v>#N/A</v>
      </c>
      <c r="I913" s="22"/>
      <c r="J913" s="22" t="str">
        <f t="array" ref="J913">iF('Ingest Template'!A913="Standard","Pristine Brand",INDEX(DropdownLists!$B$2:$B$246,MATCH('Ingest Template'!D913,DropdownLists!$C$2:$C$246,0)))</f>
        <v>#N/A</v>
      </c>
      <c r="K913" s="22" t="str">
        <f>iF('Ingest Template'!A913="Standard",'Ingest Template'!K913&amp;CHAR(10)&amp;'Ingest Template'!L913,"Competitive View")</f>
        <v>Competitive View</v>
      </c>
      <c r="L913" s="22" t="s">
        <v>95</v>
      </c>
      <c r="M913" s="45" t="str">
        <f>'Ingest Template'!B913</f>
        <v/>
      </c>
      <c r="N913" s="35"/>
      <c r="O913" s="35"/>
      <c r="P913" s="35"/>
      <c r="Q913" s="35"/>
      <c r="R913" s="35" t="str">
        <f>'Ingest Template'!D913</f>
        <v/>
      </c>
      <c r="S913" s="22" t="s">
        <v>101</v>
      </c>
      <c r="T913" s="35" t="str">
        <f>'Ingest Template'!V913</f>
        <v/>
      </c>
      <c r="U913" s="35" t="str">
        <f>'Ingest Template'!W913</f>
        <v/>
      </c>
      <c r="V913" s="35" t="str">
        <f>LOWER(SUBSTITUTE(SUBSTITUTE(SUBSTITUTE(SUBSTITUTE(SUBSTITUTE('Ingest Template'!X913,"https:",""),"www.",""),"/",""),"?hl=en",""),"instagram.com",""))</f>
        <v/>
      </c>
      <c r="W913" s="74" t="str">
        <f t="array" ref="W913">IF(
'Ingest Template'!Y913="",
SUBSTITUTE(
INDEX(DropdownLists!$F$2:$F$277,MATCH('Ingest Template'!D913,DropdownLists!$C$2:$C$277,0)),
CHAR(10),
"|"&amp;'Ingest Template'!C913&amp;CHAR(10)
)&amp;"|"&amp;'Ingest Template'!C913,
SUBSTITUTE(
INDEX(DropdownLists!$F$2:$F$277,MATCH('Ingest Template'!D913,DropdownLists!$C$2:$C$277,0)),
CHAR(10),
"|"&amp;'Ingest Template'!C913&amp;CHAR(10)
)&amp;"|"&amp;'Ingest Template'!C913&amp;CHAR(10)&amp;'Ingest Template'!Y913
)</f>
        <v>#N/A</v>
      </c>
      <c r="X913" s="74" t="str">
        <f>'Ingest Template'!Z913</f>
        <v/>
      </c>
      <c r="Y913" s="35" t="str">
        <f>SUBSTITUTE(SUBSTITUTE(SUBSTITUTE('Ingest Template'!AA913,"http:",""),"https:",""),"/","")</f>
        <v/>
      </c>
      <c r="Z913" s="35" t="str">
        <f t="array" ref="Z913">IF('Ingest Template'!A913="Standard",(IF(ISBLANK('Ingest Template'!AB913),"", 'Ingest Template'!AB913&amp;"|DAR")),(IF(ISBLANK('Ingest Template'!AB913),"", 'Ingest Template'!AB913&amp;"|TV Ops")))</f>
        <v/>
      </c>
      <c r="AA913" s="35"/>
      <c r="AB913" s="35" t="str">
        <f>'Ingest Template'!R913</f>
        <v/>
      </c>
      <c r="AC913" s="35" t="str">
        <f>'Ingest Template'!T913</f>
        <v/>
      </c>
      <c r="AD913" s="35" t="str">
        <f>'Ingest Template'!S913</f>
        <v/>
      </c>
      <c r="AE913" s="35" t="str">
        <f>'Ingest Template'!U913</f>
        <v/>
      </c>
      <c r="AF913" s="22"/>
      <c r="AG913" s="35" t="str">
        <f t="array" ref="AG913">IF('Ingest Template'!A913="Standard",(CONCATENATE(IF(ISBLANK('Ingest Template'!N913),"", 'Ingest Template'!N913&amp;"|DAR"),CHAR(10), IF(ISBLANK('Ingest Template'!O913),"", 'Ingest Template'!O913&amp;"|DAR"),CHAR(10), IF(ISBLANK('Ingest Template'!P913),"", 'Ingest Template'!P913&amp;"|DAR"))),(CONCATENATE(IF(ISBLANK('Ingest Template'!N913),"", 'Ingest Template'!N913&amp;"|TV Ops"),CHAR(10), IF(ISBLANK('Ingest Template'!O913),"", 'Ingest Template'!O913&amp;"|TV Ops"),CHAR(10), IF(ISBLANK('Ingest Template'!P913),"", 'Ingest Template'!P913&amp;"|TV Ops"))))</f>
        <v>
</v>
      </c>
      <c r="AH913" s="35"/>
      <c r="AI913" s="35"/>
      <c r="AJ913" s="117" t="str">
        <f>if('Ingest Template'!A913="Standard",(IF(OR('Ingest Template'!F913 = "Program Type - Special", 'Ingest Template'!F913 = "Program Type - Live Event"),'Ingest Template'!M913&amp; "|DAR|DAR|"&amp;TEXT('Ingest Template'!C913-3, "yyyy-mm-dd")&amp;"|"&amp;TEXT('Ingest Template'!C913+3, "yyyy-mm-dd"),'Ingest Template'!M913&amp; "|DAR|DAR|2021-01-01")),(IF(OR('Ingest Template'!F913 = "Program Type - Special", 'Ingest Template'!F913 = "Program Type - Live Event"),'Ingest Template'!M913&amp; "|Operations - Core Title|Operations - Core Title|"&amp;TEXT('Ingest Template'!C913-3, "yyyy-mm-dd")&amp;"|"&amp;TEXT('Ingest Template'!C913+3, "yyyy-mm-dd"),'Ingest Template'!M913&amp; "|Operations - Core Title|Operations - Core Title")))</f>
        <v>|Operations - Core Title|Operations - Core Title</v>
      </c>
      <c r="AK913" s="35"/>
      <c r="AL913" s="117" t="str">
        <f>if('Ingest Template'!A913="Standard",(IF(OR('Ingest Template'!F913 = "Program Type - Special", 'Ingest Template'!F913 = "Program Type - Live Event"),'Ingest Template'!Q913&amp;"|"&amp;TEXT('Ingest Template'!C913-3, "yyyy-mm-dd")&amp;"|"&amp;TEXT('Ingest Template'!C913+3, "yyyy-mm-dd"),'Ingest Template'!Q913&amp; "|2021-01-01")),(IF(OR('Ingest Template'!F913 = "Program Type - Special", 'Ingest Template'!F913 = "Program Type - Live Event"),'Ingest Template'!Q913&amp; "|"&amp;TEXT('Ingest Template'!C913-3, "yyyy-mm-dd")&amp;"|"&amp;TEXT('Ingest Template'!C913+3, "yyyy-mm-dd"),'Ingest Template'!Q913)))</f>
        <v/>
      </c>
      <c r="AM913" s="35" t="str">
        <f>'Ingest Template'!AC913</f>
        <v/>
      </c>
    </row>
    <row r="914">
      <c r="A914" s="15"/>
      <c r="B914" s="22" t="str">
        <f>'Ingest Template'!C914&amp;IF('Ingest Template'!A914 = "Standard", " - DAR","")</f>
        <v/>
      </c>
      <c r="C914" s="22" t="s">
        <v>83</v>
      </c>
      <c r="D914" s="22" t="str">
        <f t="array" ref="D914">CONCATENATE(INDEX(DropdownLists!$H$2:$H$11,MATCH(1,COUNTIF('Ingest Template'!E914,"*"&amp;DropdownLists!$I$2:$I$11&amp;"*"),0)),CHAR(10),'Ingest Template'!F914,CHAR(10),'Ingest Template'!G914,CHAR(10),VLOOKUP('Ingest Template'!D914,DropdownLists!C:D,2,FALSE))</f>
        <v>#N/A</v>
      </c>
      <c r="E914" s="22" t="str">
        <f>CONCATENATE('Ingest Template'!H914,CHAR(10),'Ingest Template'!I914,CHAR(10),'Ingest Template'!J914,CHAR(10))</f>
        <v>
</v>
      </c>
      <c r="F914" s="35" t="str">
        <f t="array" ref="F914">INDEX(DropdownLists!$O$2:$O$36,MATCH(1,COUNTIF(E914,"*"&amp;DropdownLists!$N$2:$N$36&amp;"*"),0))</f>
        <v/>
      </c>
      <c r="G914" s="35"/>
      <c r="H914" s="22" t="str">
        <f t="array" ref="H914">INDEX(DropdownLists!$E$2:$E$276,MATCH('Ingest Template'!D914,DropdownLists!$C$2:$C$276,0))</f>
        <v>#N/A</v>
      </c>
      <c r="I914" s="22"/>
      <c r="J914" s="22" t="str">
        <f t="array" ref="J914">iF('Ingest Template'!A914="Standard","Pristine Brand",INDEX(DropdownLists!$B$2:$B$246,MATCH('Ingest Template'!D914,DropdownLists!$C$2:$C$246,0)))</f>
        <v>#N/A</v>
      </c>
      <c r="K914" s="22" t="str">
        <f>iF('Ingest Template'!A914="Standard",'Ingest Template'!K914&amp;CHAR(10)&amp;'Ingest Template'!L914,"Competitive View")</f>
        <v>Competitive View</v>
      </c>
      <c r="L914" s="22" t="s">
        <v>95</v>
      </c>
      <c r="M914" s="45" t="str">
        <f>'Ingest Template'!B914</f>
        <v/>
      </c>
      <c r="N914" s="35"/>
      <c r="O914" s="35"/>
      <c r="P914" s="35"/>
      <c r="Q914" s="35"/>
      <c r="R914" s="35" t="str">
        <f>'Ingest Template'!D914</f>
        <v/>
      </c>
      <c r="S914" s="22" t="s">
        <v>101</v>
      </c>
      <c r="T914" s="35" t="str">
        <f>'Ingest Template'!V914</f>
        <v/>
      </c>
      <c r="U914" s="35" t="str">
        <f>'Ingest Template'!W914</f>
        <v/>
      </c>
      <c r="V914" s="35" t="str">
        <f>LOWER(SUBSTITUTE(SUBSTITUTE(SUBSTITUTE(SUBSTITUTE(SUBSTITUTE('Ingest Template'!X914,"https:",""),"www.",""),"/",""),"?hl=en",""),"instagram.com",""))</f>
        <v/>
      </c>
      <c r="W914" s="74" t="str">
        <f t="array" ref="W914">IF(
'Ingest Template'!Y914="",
SUBSTITUTE(
INDEX(DropdownLists!$F$2:$F$277,MATCH('Ingest Template'!D914,DropdownLists!$C$2:$C$277,0)),
CHAR(10),
"|"&amp;'Ingest Template'!C914&amp;CHAR(10)
)&amp;"|"&amp;'Ingest Template'!C914,
SUBSTITUTE(
INDEX(DropdownLists!$F$2:$F$277,MATCH('Ingest Template'!D914,DropdownLists!$C$2:$C$277,0)),
CHAR(10),
"|"&amp;'Ingest Template'!C914&amp;CHAR(10)
)&amp;"|"&amp;'Ingest Template'!C914&amp;CHAR(10)&amp;'Ingest Template'!Y914
)</f>
        <v>#N/A</v>
      </c>
      <c r="X914" s="74" t="str">
        <f>'Ingest Template'!Z914</f>
        <v/>
      </c>
      <c r="Y914" s="35" t="str">
        <f>SUBSTITUTE(SUBSTITUTE(SUBSTITUTE('Ingest Template'!AA914,"http:",""),"https:",""),"/","")</f>
        <v/>
      </c>
      <c r="Z914" s="35" t="str">
        <f t="array" ref="Z914">IF('Ingest Template'!A914="Standard",(IF(ISBLANK('Ingest Template'!AB914),"", 'Ingest Template'!AB914&amp;"|DAR")),(IF(ISBLANK('Ingest Template'!AB914),"", 'Ingest Template'!AB914&amp;"|TV Ops")))</f>
        <v/>
      </c>
      <c r="AA914" s="35"/>
      <c r="AB914" s="35" t="str">
        <f>'Ingest Template'!R914</f>
        <v/>
      </c>
      <c r="AC914" s="35" t="str">
        <f>'Ingest Template'!T914</f>
        <v/>
      </c>
      <c r="AD914" s="35" t="str">
        <f>'Ingest Template'!S914</f>
        <v/>
      </c>
      <c r="AE914" s="35" t="str">
        <f>'Ingest Template'!U914</f>
        <v/>
      </c>
      <c r="AF914" s="22"/>
      <c r="AG914" s="35" t="str">
        <f t="array" ref="AG914">IF('Ingest Template'!A914="Standard",(CONCATENATE(IF(ISBLANK('Ingest Template'!N914),"", 'Ingest Template'!N914&amp;"|DAR"),CHAR(10), IF(ISBLANK('Ingest Template'!O914),"", 'Ingest Template'!O914&amp;"|DAR"),CHAR(10), IF(ISBLANK('Ingest Template'!P914),"", 'Ingest Template'!P914&amp;"|DAR"))),(CONCATENATE(IF(ISBLANK('Ingest Template'!N914),"", 'Ingest Template'!N914&amp;"|TV Ops"),CHAR(10), IF(ISBLANK('Ingest Template'!O914),"", 'Ingest Template'!O914&amp;"|TV Ops"),CHAR(10), IF(ISBLANK('Ingest Template'!P914),"", 'Ingest Template'!P914&amp;"|TV Ops"))))</f>
        <v>
</v>
      </c>
      <c r="AH914" s="35"/>
      <c r="AI914" s="35"/>
      <c r="AJ914" s="117" t="str">
        <f>if('Ingest Template'!A914="Standard",(IF(OR('Ingest Template'!F914 = "Program Type - Special", 'Ingest Template'!F914 = "Program Type - Live Event"),'Ingest Template'!M914&amp; "|DAR|DAR|"&amp;TEXT('Ingest Template'!C914-3, "yyyy-mm-dd")&amp;"|"&amp;TEXT('Ingest Template'!C914+3, "yyyy-mm-dd"),'Ingest Template'!M914&amp; "|DAR|DAR|2021-01-01")),(IF(OR('Ingest Template'!F914 = "Program Type - Special", 'Ingest Template'!F914 = "Program Type - Live Event"),'Ingest Template'!M914&amp; "|Operations - Core Title|Operations - Core Title|"&amp;TEXT('Ingest Template'!C914-3, "yyyy-mm-dd")&amp;"|"&amp;TEXT('Ingest Template'!C914+3, "yyyy-mm-dd"),'Ingest Template'!M914&amp; "|Operations - Core Title|Operations - Core Title")))</f>
        <v>|Operations - Core Title|Operations - Core Title</v>
      </c>
      <c r="AK914" s="35"/>
      <c r="AL914" s="117" t="str">
        <f>if('Ingest Template'!A914="Standard",(IF(OR('Ingest Template'!F914 = "Program Type - Special", 'Ingest Template'!F914 = "Program Type - Live Event"),'Ingest Template'!Q914&amp;"|"&amp;TEXT('Ingest Template'!C914-3, "yyyy-mm-dd")&amp;"|"&amp;TEXT('Ingest Template'!C914+3, "yyyy-mm-dd"),'Ingest Template'!Q914&amp; "|2021-01-01")),(IF(OR('Ingest Template'!F914 = "Program Type - Special", 'Ingest Template'!F914 = "Program Type - Live Event"),'Ingest Template'!Q914&amp; "|"&amp;TEXT('Ingest Template'!C914-3, "yyyy-mm-dd")&amp;"|"&amp;TEXT('Ingest Template'!C914+3, "yyyy-mm-dd"),'Ingest Template'!Q914)))</f>
        <v/>
      </c>
      <c r="AM914" s="35" t="str">
        <f>'Ingest Template'!AC914</f>
        <v/>
      </c>
    </row>
    <row r="915">
      <c r="A915" s="15"/>
      <c r="B915" s="22" t="str">
        <f>'Ingest Template'!C915&amp;IF('Ingest Template'!A915 = "Standard", " - DAR","")</f>
        <v/>
      </c>
      <c r="C915" s="22" t="s">
        <v>83</v>
      </c>
      <c r="D915" s="22" t="str">
        <f t="array" ref="D915">CONCATENATE(INDEX(DropdownLists!$H$2:$H$11,MATCH(1,COUNTIF('Ingest Template'!E915,"*"&amp;DropdownLists!$I$2:$I$11&amp;"*"),0)),CHAR(10),'Ingest Template'!F915,CHAR(10),'Ingest Template'!G915,CHAR(10),VLOOKUP('Ingest Template'!D915,DropdownLists!C:D,2,FALSE))</f>
        <v>#N/A</v>
      </c>
      <c r="E915" s="22" t="str">
        <f>CONCATENATE('Ingest Template'!H915,CHAR(10),'Ingest Template'!I915,CHAR(10),'Ingest Template'!J915,CHAR(10))</f>
        <v>
</v>
      </c>
      <c r="F915" s="35" t="str">
        <f t="array" ref="F915">INDEX(DropdownLists!$O$2:$O$36,MATCH(1,COUNTIF(E915,"*"&amp;DropdownLists!$N$2:$N$36&amp;"*"),0))</f>
        <v/>
      </c>
      <c r="G915" s="35"/>
      <c r="H915" s="22" t="str">
        <f t="array" ref="H915">INDEX(DropdownLists!$E$2:$E$276,MATCH('Ingest Template'!D915,DropdownLists!$C$2:$C$276,0))</f>
        <v>#N/A</v>
      </c>
      <c r="I915" s="22"/>
      <c r="J915" s="22" t="str">
        <f t="array" ref="J915">iF('Ingest Template'!A915="Standard","Pristine Brand",INDEX(DropdownLists!$B$2:$B$246,MATCH('Ingest Template'!D915,DropdownLists!$C$2:$C$246,0)))</f>
        <v>#N/A</v>
      </c>
      <c r="K915" s="22" t="str">
        <f>iF('Ingest Template'!A915="Standard",'Ingest Template'!K915&amp;CHAR(10)&amp;'Ingest Template'!L915,"Competitive View")</f>
        <v>Competitive View</v>
      </c>
      <c r="L915" s="22" t="s">
        <v>95</v>
      </c>
      <c r="M915" s="45" t="str">
        <f>'Ingest Template'!B915</f>
        <v/>
      </c>
      <c r="N915" s="35"/>
      <c r="O915" s="35"/>
      <c r="P915" s="35"/>
      <c r="Q915" s="35"/>
      <c r="R915" s="35" t="str">
        <f>'Ingest Template'!D915</f>
        <v/>
      </c>
      <c r="S915" s="22" t="s">
        <v>101</v>
      </c>
      <c r="T915" s="35" t="str">
        <f>'Ingest Template'!V915</f>
        <v/>
      </c>
      <c r="U915" s="35" t="str">
        <f>'Ingest Template'!W915</f>
        <v/>
      </c>
      <c r="V915" s="35" t="str">
        <f>LOWER(SUBSTITUTE(SUBSTITUTE(SUBSTITUTE(SUBSTITUTE(SUBSTITUTE('Ingest Template'!X915,"https:",""),"www.",""),"/",""),"?hl=en",""),"instagram.com",""))</f>
        <v/>
      </c>
      <c r="W915" s="74" t="str">
        <f t="array" ref="W915">IF(
'Ingest Template'!Y915="",
SUBSTITUTE(
INDEX(DropdownLists!$F$2:$F$277,MATCH('Ingest Template'!D915,DropdownLists!$C$2:$C$277,0)),
CHAR(10),
"|"&amp;'Ingest Template'!C915&amp;CHAR(10)
)&amp;"|"&amp;'Ingest Template'!C915,
SUBSTITUTE(
INDEX(DropdownLists!$F$2:$F$277,MATCH('Ingest Template'!D915,DropdownLists!$C$2:$C$277,0)),
CHAR(10),
"|"&amp;'Ingest Template'!C915&amp;CHAR(10)
)&amp;"|"&amp;'Ingest Template'!C915&amp;CHAR(10)&amp;'Ingest Template'!Y915
)</f>
        <v>#N/A</v>
      </c>
      <c r="X915" s="74" t="str">
        <f>'Ingest Template'!Z915</f>
        <v/>
      </c>
      <c r="Y915" s="35" t="str">
        <f>SUBSTITUTE(SUBSTITUTE(SUBSTITUTE('Ingest Template'!AA915,"http:",""),"https:",""),"/","")</f>
        <v/>
      </c>
      <c r="Z915" s="35" t="str">
        <f t="array" ref="Z915">IF('Ingest Template'!A915="Standard",(IF(ISBLANK('Ingest Template'!AB915),"", 'Ingest Template'!AB915&amp;"|DAR")),(IF(ISBLANK('Ingest Template'!AB915),"", 'Ingest Template'!AB915&amp;"|TV Ops")))</f>
        <v/>
      </c>
      <c r="AA915" s="35"/>
      <c r="AB915" s="35" t="str">
        <f>'Ingest Template'!R915</f>
        <v/>
      </c>
      <c r="AC915" s="35" t="str">
        <f>'Ingest Template'!T915</f>
        <v/>
      </c>
      <c r="AD915" s="35" t="str">
        <f>'Ingest Template'!S915</f>
        <v/>
      </c>
      <c r="AE915" s="35" t="str">
        <f>'Ingest Template'!U915</f>
        <v/>
      </c>
      <c r="AF915" s="22"/>
      <c r="AG915" s="35" t="str">
        <f t="array" ref="AG915">IF('Ingest Template'!A915="Standard",(CONCATENATE(IF(ISBLANK('Ingest Template'!N915),"", 'Ingest Template'!N915&amp;"|DAR"),CHAR(10), IF(ISBLANK('Ingest Template'!O915),"", 'Ingest Template'!O915&amp;"|DAR"),CHAR(10), IF(ISBLANK('Ingest Template'!P915),"", 'Ingest Template'!P915&amp;"|DAR"))),(CONCATENATE(IF(ISBLANK('Ingest Template'!N915),"", 'Ingest Template'!N915&amp;"|TV Ops"),CHAR(10), IF(ISBLANK('Ingest Template'!O915),"", 'Ingest Template'!O915&amp;"|TV Ops"),CHAR(10), IF(ISBLANK('Ingest Template'!P915),"", 'Ingest Template'!P915&amp;"|TV Ops"))))</f>
        <v>
</v>
      </c>
      <c r="AH915" s="35"/>
      <c r="AI915" s="35"/>
      <c r="AJ915" s="117" t="str">
        <f>if('Ingest Template'!A915="Standard",(IF(OR('Ingest Template'!F915 = "Program Type - Special", 'Ingest Template'!F915 = "Program Type - Live Event"),'Ingest Template'!M915&amp; "|DAR|DAR|"&amp;TEXT('Ingest Template'!C915-3, "yyyy-mm-dd")&amp;"|"&amp;TEXT('Ingest Template'!C915+3, "yyyy-mm-dd"),'Ingest Template'!M915&amp; "|DAR|DAR|2021-01-01")),(IF(OR('Ingest Template'!F915 = "Program Type - Special", 'Ingest Template'!F915 = "Program Type - Live Event"),'Ingest Template'!M915&amp; "|Operations - Core Title|Operations - Core Title|"&amp;TEXT('Ingest Template'!C915-3, "yyyy-mm-dd")&amp;"|"&amp;TEXT('Ingest Template'!C915+3, "yyyy-mm-dd"),'Ingest Template'!M915&amp; "|Operations - Core Title|Operations - Core Title")))</f>
        <v>|Operations - Core Title|Operations - Core Title</v>
      </c>
      <c r="AK915" s="35"/>
      <c r="AL915" s="117" t="str">
        <f>if('Ingest Template'!A915="Standard",(IF(OR('Ingest Template'!F915 = "Program Type - Special", 'Ingest Template'!F915 = "Program Type - Live Event"),'Ingest Template'!Q915&amp;"|"&amp;TEXT('Ingest Template'!C915-3, "yyyy-mm-dd")&amp;"|"&amp;TEXT('Ingest Template'!C915+3, "yyyy-mm-dd"),'Ingest Template'!Q915&amp; "|2021-01-01")),(IF(OR('Ingest Template'!F915 = "Program Type - Special", 'Ingest Template'!F915 = "Program Type - Live Event"),'Ingest Template'!Q915&amp; "|"&amp;TEXT('Ingest Template'!C915-3, "yyyy-mm-dd")&amp;"|"&amp;TEXT('Ingest Template'!C915+3, "yyyy-mm-dd"),'Ingest Template'!Q915)))</f>
        <v/>
      </c>
      <c r="AM915" s="35" t="str">
        <f>'Ingest Template'!AC915</f>
        <v/>
      </c>
    </row>
    <row r="916">
      <c r="A916" s="15"/>
      <c r="B916" s="22" t="str">
        <f>'Ingest Template'!C916&amp;IF('Ingest Template'!A916 = "Standard", " - DAR","")</f>
        <v/>
      </c>
      <c r="C916" s="22" t="s">
        <v>83</v>
      </c>
      <c r="D916" s="22" t="str">
        <f t="array" ref="D916">CONCATENATE(INDEX(DropdownLists!$H$2:$H$11,MATCH(1,COUNTIF('Ingest Template'!E916,"*"&amp;DropdownLists!$I$2:$I$11&amp;"*"),0)),CHAR(10),'Ingest Template'!F916,CHAR(10),'Ingest Template'!G916,CHAR(10),VLOOKUP('Ingest Template'!D916,DropdownLists!C:D,2,FALSE))</f>
        <v>#N/A</v>
      </c>
      <c r="E916" s="22" t="str">
        <f>CONCATENATE('Ingest Template'!H916,CHAR(10),'Ingest Template'!I916,CHAR(10),'Ingest Template'!J916,CHAR(10))</f>
        <v>
</v>
      </c>
      <c r="F916" s="35" t="str">
        <f t="array" ref="F916">INDEX(DropdownLists!$O$2:$O$36,MATCH(1,COUNTIF(E916,"*"&amp;DropdownLists!$N$2:$N$36&amp;"*"),0))</f>
        <v/>
      </c>
      <c r="G916" s="35"/>
      <c r="H916" s="22" t="str">
        <f t="array" ref="H916">INDEX(DropdownLists!$E$2:$E$276,MATCH('Ingest Template'!D916,DropdownLists!$C$2:$C$276,0))</f>
        <v>#N/A</v>
      </c>
      <c r="I916" s="22"/>
      <c r="J916" s="22" t="str">
        <f t="array" ref="J916">iF('Ingest Template'!A916="Standard","Pristine Brand",INDEX(DropdownLists!$B$2:$B$246,MATCH('Ingest Template'!D916,DropdownLists!$C$2:$C$246,0)))</f>
        <v>#N/A</v>
      </c>
      <c r="K916" s="22" t="str">
        <f>iF('Ingest Template'!A916="Standard",'Ingest Template'!K916&amp;CHAR(10)&amp;'Ingest Template'!L916,"Competitive View")</f>
        <v>Competitive View</v>
      </c>
      <c r="L916" s="22" t="s">
        <v>95</v>
      </c>
      <c r="M916" s="45" t="str">
        <f>'Ingest Template'!B916</f>
        <v/>
      </c>
      <c r="N916" s="35"/>
      <c r="O916" s="35"/>
      <c r="P916" s="35"/>
      <c r="Q916" s="35"/>
      <c r="R916" s="35" t="str">
        <f>'Ingest Template'!D916</f>
        <v/>
      </c>
      <c r="S916" s="22" t="s">
        <v>101</v>
      </c>
      <c r="T916" s="35" t="str">
        <f>'Ingest Template'!V916</f>
        <v/>
      </c>
      <c r="U916" s="35" t="str">
        <f>'Ingest Template'!W916</f>
        <v/>
      </c>
      <c r="V916" s="35" t="str">
        <f>LOWER(SUBSTITUTE(SUBSTITUTE(SUBSTITUTE(SUBSTITUTE(SUBSTITUTE('Ingest Template'!X916,"https:",""),"www.",""),"/",""),"?hl=en",""),"instagram.com",""))</f>
        <v/>
      </c>
      <c r="W916" s="74" t="str">
        <f t="array" ref="W916">IF(
'Ingest Template'!Y916="",
SUBSTITUTE(
INDEX(DropdownLists!$F$2:$F$277,MATCH('Ingest Template'!D916,DropdownLists!$C$2:$C$277,0)),
CHAR(10),
"|"&amp;'Ingest Template'!C916&amp;CHAR(10)
)&amp;"|"&amp;'Ingest Template'!C916,
SUBSTITUTE(
INDEX(DropdownLists!$F$2:$F$277,MATCH('Ingest Template'!D916,DropdownLists!$C$2:$C$277,0)),
CHAR(10),
"|"&amp;'Ingest Template'!C916&amp;CHAR(10)
)&amp;"|"&amp;'Ingest Template'!C916&amp;CHAR(10)&amp;'Ingest Template'!Y916
)</f>
        <v>#N/A</v>
      </c>
      <c r="X916" s="74" t="str">
        <f>'Ingest Template'!Z916</f>
        <v/>
      </c>
      <c r="Y916" s="35" t="str">
        <f>SUBSTITUTE(SUBSTITUTE(SUBSTITUTE('Ingest Template'!AA916,"http:",""),"https:",""),"/","")</f>
        <v/>
      </c>
      <c r="Z916" s="35" t="str">
        <f t="array" ref="Z916">IF('Ingest Template'!A916="Standard",(IF(ISBLANK('Ingest Template'!AB916),"", 'Ingest Template'!AB916&amp;"|DAR")),(IF(ISBLANK('Ingest Template'!AB916),"", 'Ingest Template'!AB916&amp;"|TV Ops")))</f>
        <v/>
      </c>
      <c r="AA916" s="35"/>
      <c r="AB916" s="35" t="str">
        <f>'Ingest Template'!R916</f>
        <v/>
      </c>
      <c r="AC916" s="35" t="str">
        <f>'Ingest Template'!T916</f>
        <v/>
      </c>
      <c r="AD916" s="35" t="str">
        <f>'Ingest Template'!S916</f>
        <v/>
      </c>
      <c r="AE916" s="35" t="str">
        <f>'Ingest Template'!U916</f>
        <v/>
      </c>
      <c r="AF916" s="22"/>
      <c r="AG916" s="35" t="str">
        <f t="array" ref="AG916">IF('Ingest Template'!A916="Standard",(CONCATENATE(IF(ISBLANK('Ingest Template'!N916),"", 'Ingest Template'!N916&amp;"|DAR"),CHAR(10), IF(ISBLANK('Ingest Template'!O916),"", 'Ingest Template'!O916&amp;"|DAR"),CHAR(10), IF(ISBLANK('Ingest Template'!P916),"", 'Ingest Template'!P916&amp;"|DAR"))),(CONCATENATE(IF(ISBLANK('Ingest Template'!N916),"", 'Ingest Template'!N916&amp;"|TV Ops"),CHAR(10), IF(ISBLANK('Ingest Template'!O916),"", 'Ingest Template'!O916&amp;"|TV Ops"),CHAR(10), IF(ISBLANK('Ingest Template'!P916),"", 'Ingest Template'!P916&amp;"|TV Ops"))))</f>
        <v>
</v>
      </c>
      <c r="AH916" s="35"/>
      <c r="AI916" s="35"/>
      <c r="AJ916" s="117" t="str">
        <f>if('Ingest Template'!A916="Standard",(IF(OR('Ingest Template'!F916 = "Program Type - Special", 'Ingest Template'!F916 = "Program Type - Live Event"),'Ingest Template'!M916&amp; "|DAR|DAR|"&amp;TEXT('Ingest Template'!C916-3, "yyyy-mm-dd")&amp;"|"&amp;TEXT('Ingest Template'!C916+3, "yyyy-mm-dd"),'Ingest Template'!M916&amp; "|DAR|DAR|2021-01-01")),(IF(OR('Ingest Template'!F916 = "Program Type - Special", 'Ingest Template'!F916 = "Program Type - Live Event"),'Ingest Template'!M916&amp; "|Operations - Core Title|Operations - Core Title|"&amp;TEXT('Ingest Template'!C916-3, "yyyy-mm-dd")&amp;"|"&amp;TEXT('Ingest Template'!C916+3, "yyyy-mm-dd"),'Ingest Template'!M916&amp; "|Operations - Core Title|Operations - Core Title")))</f>
        <v>|Operations - Core Title|Operations - Core Title</v>
      </c>
      <c r="AK916" s="35"/>
      <c r="AL916" s="117" t="str">
        <f>if('Ingest Template'!A916="Standard",(IF(OR('Ingest Template'!F916 = "Program Type - Special", 'Ingest Template'!F916 = "Program Type - Live Event"),'Ingest Template'!Q916&amp;"|"&amp;TEXT('Ingest Template'!C916-3, "yyyy-mm-dd")&amp;"|"&amp;TEXT('Ingest Template'!C916+3, "yyyy-mm-dd"),'Ingest Template'!Q916&amp; "|2021-01-01")),(IF(OR('Ingest Template'!F916 = "Program Type - Special", 'Ingest Template'!F916 = "Program Type - Live Event"),'Ingest Template'!Q916&amp; "|"&amp;TEXT('Ingest Template'!C916-3, "yyyy-mm-dd")&amp;"|"&amp;TEXT('Ingest Template'!C916+3, "yyyy-mm-dd"),'Ingest Template'!Q916)))</f>
        <v/>
      </c>
      <c r="AM916" s="35" t="str">
        <f>'Ingest Template'!AC916</f>
        <v/>
      </c>
    </row>
    <row r="917">
      <c r="A917" s="15"/>
      <c r="B917" s="22" t="str">
        <f>'Ingest Template'!C917&amp;IF('Ingest Template'!A917 = "Standard", " - DAR","")</f>
        <v/>
      </c>
      <c r="C917" s="22" t="s">
        <v>83</v>
      </c>
      <c r="D917" s="22" t="str">
        <f t="array" ref="D917">CONCATENATE(INDEX(DropdownLists!$H$2:$H$11,MATCH(1,COUNTIF('Ingest Template'!E917,"*"&amp;DropdownLists!$I$2:$I$11&amp;"*"),0)),CHAR(10),'Ingest Template'!F917,CHAR(10),'Ingest Template'!G917,CHAR(10),VLOOKUP('Ingest Template'!D917,DropdownLists!C:D,2,FALSE))</f>
        <v>#N/A</v>
      </c>
      <c r="E917" s="22" t="str">
        <f>CONCATENATE('Ingest Template'!H917,CHAR(10),'Ingest Template'!I917,CHAR(10),'Ingest Template'!J917,CHAR(10))</f>
        <v>
</v>
      </c>
      <c r="F917" s="35" t="str">
        <f t="array" ref="F917">INDEX(DropdownLists!$O$2:$O$36,MATCH(1,COUNTIF(E917,"*"&amp;DropdownLists!$N$2:$N$36&amp;"*"),0))</f>
        <v/>
      </c>
      <c r="G917" s="35"/>
      <c r="H917" s="22" t="str">
        <f t="array" ref="H917">INDEX(DropdownLists!$E$2:$E$276,MATCH('Ingest Template'!D917,DropdownLists!$C$2:$C$276,0))</f>
        <v>#N/A</v>
      </c>
      <c r="I917" s="22"/>
      <c r="J917" s="22" t="str">
        <f t="array" ref="J917">iF('Ingest Template'!A917="Standard","Pristine Brand",INDEX(DropdownLists!$B$2:$B$246,MATCH('Ingest Template'!D917,DropdownLists!$C$2:$C$246,0)))</f>
        <v>#N/A</v>
      </c>
      <c r="K917" s="22" t="str">
        <f>iF('Ingest Template'!A917="Standard",'Ingest Template'!K917&amp;CHAR(10)&amp;'Ingest Template'!L917,"Competitive View")</f>
        <v>Competitive View</v>
      </c>
      <c r="L917" s="22" t="s">
        <v>95</v>
      </c>
      <c r="M917" s="45" t="str">
        <f>'Ingest Template'!B917</f>
        <v/>
      </c>
      <c r="N917" s="35"/>
      <c r="O917" s="35"/>
      <c r="P917" s="35"/>
      <c r="Q917" s="35"/>
      <c r="R917" s="35" t="str">
        <f>'Ingest Template'!D917</f>
        <v/>
      </c>
      <c r="S917" s="22" t="s">
        <v>101</v>
      </c>
      <c r="T917" s="35" t="str">
        <f>'Ingest Template'!V917</f>
        <v/>
      </c>
      <c r="U917" s="35" t="str">
        <f>'Ingest Template'!W917</f>
        <v/>
      </c>
      <c r="V917" s="35" t="str">
        <f>LOWER(SUBSTITUTE(SUBSTITUTE(SUBSTITUTE(SUBSTITUTE(SUBSTITUTE('Ingest Template'!X917,"https:",""),"www.",""),"/",""),"?hl=en",""),"instagram.com",""))</f>
        <v/>
      </c>
      <c r="W917" s="74" t="str">
        <f t="array" ref="W917">IF(
'Ingest Template'!Y917="",
SUBSTITUTE(
INDEX(DropdownLists!$F$2:$F$277,MATCH('Ingest Template'!D917,DropdownLists!$C$2:$C$277,0)),
CHAR(10),
"|"&amp;'Ingest Template'!C917&amp;CHAR(10)
)&amp;"|"&amp;'Ingest Template'!C917,
SUBSTITUTE(
INDEX(DropdownLists!$F$2:$F$277,MATCH('Ingest Template'!D917,DropdownLists!$C$2:$C$277,0)),
CHAR(10),
"|"&amp;'Ingest Template'!C917&amp;CHAR(10)
)&amp;"|"&amp;'Ingest Template'!C917&amp;CHAR(10)&amp;'Ingest Template'!Y917
)</f>
        <v>#N/A</v>
      </c>
      <c r="X917" s="74" t="str">
        <f>'Ingest Template'!Z917</f>
        <v/>
      </c>
      <c r="Y917" s="35" t="str">
        <f>SUBSTITUTE(SUBSTITUTE(SUBSTITUTE('Ingest Template'!AA917,"http:",""),"https:",""),"/","")</f>
        <v/>
      </c>
      <c r="Z917" s="35" t="str">
        <f t="array" ref="Z917">IF('Ingest Template'!A917="Standard",(IF(ISBLANK('Ingest Template'!AB917),"", 'Ingest Template'!AB917&amp;"|DAR")),(IF(ISBLANK('Ingest Template'!AB917),"", 'Ingest Template'!AB917&amp;"|TV Ops")))</f>
        <v/>
      </c>
      <c r="AA917" s="35"/>
      <c r="AB917" s="35" t="str">
        <f>'Ingest Template'!R917</f>
        <v/>
      </c>
      <c r="AC917" s="35" t="str">
        <f>'Ingest Template'!T917</f>
        <v/>
      </c>
      <c r="AD917" s="35" t="str">
        <f>'Ingest Template'!S917</f>
        <v/>
      </c>
      <c r="AE917" s="35" t="str">
        <f>'Ingest Template'!U917</f>
        <v/>
      </c>
      <c r="AF917" s="22"/>
      <c r="AG917" s="35" t="str">
        <f t="array" ref="AG917">IF('Ingest Template'!A917="Standard",(CONCATENATE(IF(ISBLANK('Ingest Template'!N917),"", 'Ingest Template'!N917&amp;"|DAR"),CHAR(10), IF(ISBLANK('Ingest Template'!O917),"", 'Ingest Template'!O917&amp;"|DAR"),CHAR(10), IF(ISBLANK('Ingest Template'!P917),"", 'Ingest Template'!P917&amp;"|DAR"))),(CONCATENATE(IF(ISBLANK('Ingest Template'!N917),"", 'Ingest Template'!N917&amp;"|TV Ops"),CHAR(10), IF(ISBLANK('Ingest Template'!O917),"", 'Ingest Template'!O917&amp;"|TV Ops"),CHAR(10), IF(ISBLANK('Ingest Template'!P917),"", 'Ingest Template'!P917&amp;"|TV Ops"))))</f>
        <v>
</v>
      </c>
      <c r="AH917" s="35"/>
      <c r="AI917" s="35"/>
      <c r="AJ917" s="117" t="str">
        <f>if('Ingest Template'!A917="Standard",(IF(OR('Ingest Template'!F917 = "Program Type - Special", 'Ingest Template'!F917 = "Program Type - Live Event"),'Ingest Template'!M917&amp; "|DAR|DAR|"&amp;TEXT('Ingest Template'!C917-3, "yyyy-mm-dd")&amp;"|"&amp;TEXT('Ingest Template'!C917+3, "yyyy-mm-dd"),'Ingest Template'!M917&amp; "|DAR|DAR|2021-01-01")),(IF(OR('Ingest Template'!F917 = "Program Type - Special", 'Ingest Template'!F917 = "Program Type - Live Event"),'Ingest Template'!M917&amp; "|Operations - Core Title|Operations - Core Title|"&amp;TEXT('Ingest Template'!C917-3, "yyyy-mm-dd")&amp;"|"&amp;TEXT('Ingest Template'!C917+3, "yyyy-mm-dd"),'Ingest Template'!M917&amp; "|Operations - Core Title|Operations - Core Title")))</f>
        <v>|Operations - Core Title|Operations - Core Title</v>
      </c>
      <c r="AK917" s="35"/>
      <c r="AL917" s="117" t="str">
        <f>if('Ingest Template'!A917="Standard",(IF(OR('Ingest Template'!F917 = "Program Type - Special", 'Ingest Template'!F917 = "Program Type - Live Event"),'Ingest Template'!Q917&amp;"|"&amp;TEXT('Ingest Template'!C917-3, "yyyy-mm-dd")&amp;"|"&amp;TEXT('Ingest Template'!C917+3, "yyyy-mm-dd"),'Ingest Template'!Q917&amp; "|2021-01-01")),(IF(OR('Ingest Template'!F917 = "Program Type - Special", 'Ingest Template'!F917 = "Program Type - Live Event"),'Ingest Template'!Q917&amp; "|"&amp;TEXT('Ingest Template'!C917-3, "yyyy-mm-dd")&amp;"|"&amp;TEXT('Ingest Template'!C917+3, "yyyy-mm-dd"),'Ingest Template'!Q917)))</f>
        <v/>
      </c>
      <c r="AM917" s="35" t="str">
        <f>'Ingest Template'!AC917</f>
        <v/>
      </c>
    </row>
    <row r="918">
      <c r="A918" s="15"/>
      <c r="B918" s="22" t="str">
        <f>'Ingest Template'!C918&amp;IF('Ingest Template'!A918 = "Standard", " - DAR","")</f>
        <v/>
      </c>
      <c r="C918" s="22" t="s">
        <v>83</v>
      </c>
      <c r="D918" s="22" t="str">
        <f t="array" ref="D918">CONCATENATE(INDEX(DropdownLists!$H$2:$H$11,MATCH(1,COUNTIF('Ingest Template'!E918,"*"&amp;DropdownLists!$I$2:$I$11&amp;"*"),0)),CHAR(10),'Ingest Template'!F918,CHAR(10),'Ingest Template'!G918,CHAR(10),VLOOKUP('Ingest Template'!D918,DropdownLists!C:D,2,FALSE))</f>
        <v>#N/A</v>
      </c>
      <c r="E918" s="22" t="str">
        <f>CONCATENATE('Ingest Template'!H918,CHAR(10),'Ingest Template'!I918,CHAR(10),'Ingest Template'!J918,CHAR(10))</f>
        <v>
</v>
      </c>
      <c r="F918" s="35" t="str">
        <f t="array" ref="F918">INDEX(DropdownLists!$O$2:$O$36,MATCH(1,COUNTIF(E918,"*"&amp;DropdownLists!$N$2:$N$36&amp;"*"),0))</f>
        <v/>
      </c>
      <c r="G918" s="35"/>
      <c r="H918" s="22" t="str">
        <f t="array" ref="H918">INDEX(DropdownLists!$E$2:$E$276,MATCH('Ingest Template'!D918,DropdownLists!$C$2:$C$276,0))</f>
        <v>#N/A</v>
      </c>
      <c r="I918" s="22"/>
      <c r="J918" s="22" t="str">
        <f t="array" ref="J918">iF('Ingest Template'!A918="Standard","Pristine Brand",INDEX(DropdownLists!$B$2:$B$246,MATCH('Ingest Template'!D918,DropdownLists!$C$2:$C$246,0)))</f>
        <v>#N/A</v>
      </c>
      <c r="K918" s="22" t="str">
        <f>iF('Ingest Template'!A918="Standard",'Ingest Template'!K918&amp;CHAR(10)&amp;'Ingest Template'!L918,"Competitive View")</f>
        <v>Competitive View</v>
      </c>
      <c r="L918" s="22" t="s">
        <v>95</v>
      </c>
      <c r="M918" s="45" t="str">
        <f>'Ingest Template'!B918</f>
        <v/>
      </c>
      <c r="N918" s="35"/>
      <c r="O918" s="35"/>
      <c r="P918" s="35"/>
      <c r="Q918" s="35"/>
      <c r="R918" s="35" t="str">
        <f>'Ingest Template'!D918</f>
        <v/>
      </c>
      <c r="S918" s="22" t="s">
        <v>101</v>
      </c>
      <c r="T918" s="35" t="str">
        <f>'Ingest Template'!V918</f>
        <v/>
      </c>
      <c r="U918" s="35" t="str">
        <f>'Ingest Template'!W918</f>
        <v/>
      </c>
      <c r="V918" s="35" t="str">
        <f>LOWER(SUBSTITUTE(SUBSTITUTE(SUBSTITUTE(SUBSTITUTE(SUBSTITUTE('Ingest Template'!X918,"https:",""),"www.",""),"/",""),"?hl=en",""),"instagram.com",""))</f>
        <v/>
      </c>
      <c r="W918" s="74" t="str">
        <f t="array" ref="W918">IF(
'Ingest Template'!Y918="",
SUBSTITUTE(
INDEX(DropdownLists!$F$2:$F$277,MATCH('Ingest Template'!D918,DropdownLists!$C$2:$C$277,0)),
CHAR(10),
"|"&amp;'Ingest Template'!C918&amp;CHAR(10)
)&amp;"|"&amp;'Ingest Template'!C918,
SUBSTITUTE(
INDEX(DropdownLists!$F$2:$F$277,MATCH('Ingest Template'!D918,DropdownLists!$C$2:$C$277,0)),
CHAR(10),
"|"&amp;'Ingest Template'!C918&amp;CHAR(10)
)&amp;"|"&amp;'Ingest Template'!C918&amp;CHAR(10)&amp;'Ingest Template'!Y918
)</f>
        <v>#N/A</v>
      </c>
      <c r="X918" s="74" t="str">
        <f>'Ingest Template'!Z918</f>
        <v/>
      </c>
      <c r="Y918" s="35" t="str">
        <f>SUBSTITUTE(SUBSTITUTE(SUBSTITUTE('Ingest Template'!AA918,"http:",""),"https:",""),"/","")</f>
        <v/>
      </c>
      <c r="Z918" s="35" t="str">
        <f t="array" ref="Z918">IF('Ingest Template'!A918="Standard",(IF(ISBLANK('Ingest Template'!AB918),"", 'Ingest Template'!AB918&amp;"|DAR")),(IF(ISBLANK('Ingest Template'!AB918),"", 'Ingest Template'!AB918&amp;"|TV Ops")))</f>
        <v/>
      </c>
      <c r="AA918" s="35"/>
      <c r="AB918" s="35" t="str">
        <f>'Ingest Template'!R918</f>
        <v/>
      </c>
      <c r="AC918" s="35" t="str">
        <f>'Ingest Template'!T918</f>
        <v/>
      </c>
      <c r="AD918" s="35" t="str">
        <f>'Ingest Template'!S918</f>
        <v/>
      </c>
      <c r="AE918" s="35" t="str">
        <f>'Ingest Template'!U918</f>
        <v/>
      </c>
      <c r="AF918" s="22"/>
      <c r="AG918" s="35" t="str">
        <f t="array" ref="AG918">IF('Ingest Template'!A918="Standard",(CONCATENATE(IF(ISBLANK('Ingest Template'!N918),"", 'Ingest Template'!N918&amp;"|DAR"),CHAR(10), IF(ISBLANK('Ingest Template'!O918),"", 'Ingest Template'!O918&amp;"|DAR"),CHAR(10), IF(ISBLANK('Ingest Template'!P918),"", 'Ingest Template'!P918&amp;"|DAR"))),(CONCATENATE(IF(ISBLANK('Ingest Template'!N918),"", 'Ingest Template'!N918&amp;"|TV Ops"),CHAR(10), IF(ISBLANK('Ingest Template'!O918),"", 'Ingest Template'!O918&amp;"|TV Ops"),CHAR(10), IF(ISBLANK('Ingest Template'!P918),"", 'Ingest Template'!P918&amp;"|TV Ops"))))</f>
        <v>
</v>
      </c>
      <c r="AH918" s="35"/>
      <c r="AI918" s="35"/>
      <c r="AJ918" s="117" t="str">
        <f>if('Ingest Template'!A918="Standard",(IF(OR('Ingest Template'!F918 = "Program Type - Special", 'Ingest Template'!F918 = "Program Type - Live Event"),'Ingest Template'!M918&amp; "|DAR|DAR|"&amp;TEXT('Ingest Template'!C918-3, "yyyy-mm-dd")&amp;"|"&amp;TEXT('Ingest Template'!C918+3, "yyyy-mm-dd"),'Ingest Template'!M918&amp; "|DAR|DAR|2021-01-01")),(IF(OR('Ingest Template'!F918 = "Program Type - Special", 'Ingest Template'!F918 = "Program Type - Live Event"),'Ingest Template'!M918&amp; "|Operations - Core Title|Operations - Core Title|"&amp;TEXT('Ingest Template'!C918-3, "yyyy-mm-dd")&amp;"|"&amp;TEXT('Ingest Template'!C918+3, "yyyy-mm-dd"),'Ingest Template'!M918&amp; "|Operations - Core Title|Operations - Core Title")))</f>
        <v>|Operations - Core Title|Operations - Core Title</v>
      </c>
      <c r="AK918" s="35"/>
      <c r="AL918" s="117" t="str">
        <f>if('Ingest Template'!A918="Standard",(IF(OR('Ingest Template'!F918 = "Program Type - Special", 'Ingest Template'!F918 = "Program Type - Live Event"),'Ingest Template'!Q918&amp;"|"&amp;TEXT('Ingest Template'!C918-3, "yyyy-mm-dd")&amp;"|"&amp;TEXT('Ingest Template'!C918+3, "yyyy-mm-dd"),'Ingest Template'!Q918&amp; "|2021-01-01")),(IF(OR('Ingest Template'!F918 = "Program Type - Special", 'Ingest Template'!F918 = "Program Type - Live Event"),'Ingest Template'!Q918&amp; "|"&amp;TEXT('Ingest Template'!C918-3, "yyyy-mm-dd")&amp;"|"&amp;TEXT('Ingest Template'!C918+3, "yyyy-mm-dd"),'Ingest Template'!Q918)))</f>
        <v/>
      </c>
      <c r="AM918" s="35" t="str">
        <f>'Ingest Template'!AC918</f>
        <v/>
      </c>
    </row>
    <row r="919">
      <c r="A919" s="15"/>
      <c r="B919" s="22" t="str">
        <f>'Ingest Template'!C919&amp;IF('Ingest Template'!A919 = "Standard", " - DAR","")</f>
        <v/>
      </c>
      <c r="C919" s="22" t="s">
        <v>83</v>
      </c>
      <c r="D919" s="22" t="str">
        <f t="array" ref="D919">CONCATENATE(INDEX(DropdownLists!$H$2:$H$11,MATCH(1,COUNTIF('Ingest Template'!E919,"*"&amp;DropdownLists!$I$2:$I$11&amp;"*"),0)),CHAR(10),'Ingest Template'!F919,CHAR(10),'Ingest Template'!G919,CHAR(10),VLOOKUP('Ingest Template'!D919,DropdownLists!C:D,2,FALSE))</f>
        <v>#N/A</v>
      </c>
      <c r="E919" s="22" t="str">
        <f>CONCATENATE('Ingest Template'!H919,CHAR(10),'Ingest Template'!I919,CHAR(10),'Ingest Template'!J919,CHAR(10))</f>
        <v>
</v>
      </c>
      <c r="F919" s="35" t="str">
        <f t="array" ref="F919">INDEX(DropdownLists!$O$2:$O$36,MATCH(1,COUNTIF(E919,"*"&amp;DropdownLists!$N$2:$N$36&amp;"*"),0))</f>
        <v/>
      </c>
      <c r="G919" s="35"/>
      <c r="H919" s="22" t="str">
        <f t="array" ref="H919">INDEX(DropdownLists!$E$2:$E$276,MATCH('Ingest Template'!D919,DropdownLists!$C$2:$C$276,0))</f>
        <v>#N/A</v>
      </c>
      <c r="I919" s="22"/>
      <c r="J919" s="22" t="str">
        <f t="array" ref="J919">iF('Ingest Template'!A919="Standard","Pristine Brand",INDEX(DropdownLists!$B$2:$B$246,MATCH('Ingest Template'!D919,DropdownLists!$C$2:$C$246,0)))</f>
        <v>#N/A</v>
      </c>
      <c r="K919" s="22" t="str">
        <f>iF('Ingest Template'!A919="Standard",'Ingest Template'!K919&amp;CHAR(10)&amp;'Ingest Template'!L919,"Competitive View")</f>
        <v>Competitive View</v>
      </c>
      <c r="L919" s="22" t="s">
        <v>95</v>
      </c>
      <c r="M919" s="45" t="str">
        <f>'Ingest Template'!B919</f>
        <v/>
      </c>
      <c r="N919" s="35"/>
      <c r="O919" s="35"/>
      <c r="P919" s="35"/>
      <c r="Q919" s="35"/>
      <c r="R919" s="35" t="str">
        <f>'Ingest Template'!D919</f>
        <v/>
      </c>
      <c r="S919" s="22" t="s">
        <v>101</v>
      </c>
      <c r="T919" s="35" t="str">
        <f>'Ingest Template'!V919</f>
        <v/>
      </c>
      <c r="U919" s="35" t="str">
        <f>'Ingest Template'!W919</f>
        <v/>
      </c>
      <c r="V919" s="35" t="str">
        <f>LOWER(SUBSTITUTE(SUBSTITUTE(SUBSTITUTE(SUBSTITUTE(SUBSTITUTE('Ingest Template'!X919,"https:",""),"www.",""),"/",""),"?hl=en",""),"instagram.com",""))</f>
        <v/>
      </c>
      <c r="W919" s="74" t="str">
        <f t="array" ref="W919">IF(
'Ingest Template'!Y919="",
SUBSTITUTE(
INDEX(DropdownLists!$F$2:$F$277,MATCH('Ingest Template'!D919,DropdownLists!$C$2:$C$277,0)),
CHAR(10),
"|"&amp;'Ingest Template'!C919&amp;CHAR(10)
)&amp;"|"&amp;'Ingest Template'!C919,
SUBSTITUTE(
INDEX(DropdownLists!$F$2:$F$277,MATCH('Ingest Template'!D919,DropdownLists!$C$2:$C$277,0)),
CHAR(10),
"|"&amp;'Ingest Template'!C919&amp;CHAR(10)
)&amp;"|"&amp;'Ingest Template'!C919&amp;CHAR(10)&amp;'Ingest Template'!Y919
)</f>
        <v>#N/A</v>
      </c>
      <c r="X919" s="74" t="str">
        <f>'Ingest Template'!Z919</f>
        <v/>
      </c>
      <c r="Y919" s="35" t="str">
        <f>SUBSTITUTE(SUBSTITUTE(SUBSTITUTE('Ingest Template'!AA919,"http:",""),"https:",""),"/","")</f>
        <v/>
      </c>
      <c r="Z919" s="35" t="str">
        <f t="array" ref="Z919">IF('Ingest Template'!A919="Standard",(IF(ISBLANK('Ingest Template'!AB919),"", 'Ingest Template'!AB919&amp;"|DAR")),(IF(ISBLANK('Ingest Template'!AB919),"", 'Ingest Template'!AB919&amp;"|TV Ops")))</f>
        <v/>
      </c>
      <c r="AA919" s="35"/>
      <c r="AB919" s="35" t="str">
        <f>'Ingest Template'!R919</f>
        <v/>
      </c>
      <c r="AC919" s="35" t="str">
        <f>'Ingest Template'!T919</f>
        <v/>
      </c>
      <c r="AD919" s="35" t="str">
        <f>'Ingest Template'!S919</f>
        <v/>
      </c>
      <c r="AE919" s="35" t="str">
        <f>'Ingest Template'!U919</f>
        <v/>
      </c>
      <c r="AF919" s="22"/>
      <c r="AG919" s="35" t="str">
        <f t="array" ref="AG919">IF('Ingest Template'!A919="Standard",(CONCATENATE(IF(ISBLANK('Ingest Template'!N919),"", 'Ingest Template'!N919&amp;"|DAR"),CHAR(10), IF(ISBLANK('Ingest Template'!O919),"", 'Ingest Template'!O919&amp;"|DAR"),CHAR(10), IF(ISBLANK('Ingest Template'!P919),"", 'Ingest Template'!P919&amp;"|DAR"))),(CONCATENATE(IF(ISBLANK('Ingest Template'!N919),"", 'Ingest Template'!N919&amp;"|TV Ops"),CHAR(10), IF(ISBLANK('Ingest Template'!O919),"", 'Ingest Template'!O919&amp;"|TV Ops"),CHAR(10), IF(ISBLANK('Ingest Template'!P919),"", 'Ingest Template'!P919&amp;"|TV Ops"))))</f>
        <v>
</v>
      </c>
      <c r="AH919" s="35"/>
      <c r="AI919" s="35"/>
      <c r="AJ919" s="117" t="str">
        <f>if('Ingest Template'!A919="Standard",(IF(OR('Ingest Template'!F919 = "Program Type - Special", 'Ingest Template'!F919 = "Program Type - Live Event"),'Ingest Template'!M919&amp; "|DAR|DAR|"&amp;TEXT('Ingest Template'!C919-3, "yyyy-mm-dd")&amp;"|"&amp;TEXT('Ingest Template'!C919+3, "yyyy-mm-dd"),'Ingest Template'!M919&amp; "|DAR|DAR|2021-01-01")),(IF(OR('Ingest Template'!F919 = "Program Type - Special", 'Ingest Template'!F919 = "Program Type - Live Event"),'Ingest Template'!M919&amp; "|Operations - Core Title|Operations - Core Title|"&amp;TEXT('Ingest Template'!C919-3, "yyyy-mm-dd")&amp;"|"&amp;TEXT('Ingest Template'!C919+3, "yyyy-mm-dd"),'Ingest Template'!M919&amp; "|Operations - Core Title|Operations - Core Title")))</f>
        <v>|Operations - Core Title|Operations - Core Title</v>
      </c>
      <c r="AK919" s="35"/>
      <c r="AL919" s="117" t="str">
        <f>if('Ingest Template'!A919="Standard",(IF(OR('Ingest Template'!F919 = "Program Type - Special", 'Ingest Template'!F919 = "Program Type - Live Event"),'Ingest Template'!Q919&amp;"|"&amp;TEXT('Ingest Template'!C919-3, "yyyy-mm-dd")&amp;"|"&amp;TEXT('Ingest Template'!C919+3, "yyyy-mm-dd"),'Ingest Template'!Q919&amp; "|2021-01-01")),(IF(OR('Ingest Template'!F919 = "Program Type - Special", 'Ingest Template'!F919 = "Program Type - Live Event"),'Ingest Template'!Q919&amp; "|"&amp;TEXT('Ingest Template'!C919-3, "yyyy-mm-dd")&amp;"|"&amp;TEXT('Ingest Template'!C919+3, "yyyy-mm-dd"),'Ingest Template'!Q919)))</f>
        <v/>
      </c>
      <c r="AM919" s="35" t="str">
        <f>'Ingest Template'!AC919</f>
        <v/>
      </c>
    </row>
    <row r="920">
      <c r="A920" s="15"/>
      <c r="B920" s="22" t="str">
        <f>'Ingest Template'!C920&amp;IF('Ingest Template'!A920 = "Standard", " - DAR","")</f>
        <v/>
      </c>
      <c r="C920" s="22" t="s">
        <v>83</v>
      </c>
      <c r="D920" s="22" t="str">
        <f t="array" ref="D920">CONCATENATE(INDEX(DropdownLists!$H$2:$H$11,MATCH(1,COUNTIF('Ingest Template'!E920,"*"&amp;DropdownLists!$I$2:$I$11&amp;"*"),0)),CHAR(10),'Ingest Template'!F920,CHAR(10),'Ingest Template'!G920,CHAR(10),VLOOKUP('Ingest Template'!D920,DropdownLists!C:D,2,FALSE))</f>
        <v>#N/A</v>
      </c>
      <c r="E920" s="22" t="str">
        <f>CONCATENATE('Ingest Template'!H920,CHAR(10),'Ingest Template'!I920,CHAR(10),'Ingest Template'!J920,CHAR(10))</f>
        <v>
</v>
      </c>
      <c r="F920" s="35" t="str">
        <f t="array" ref="F920">INDEX(DropdownLists!$O$2:$O$36,MATCH(1,COUNTIF(E920,"*"&amp;DropdownLists!$N$2:$N$36&amp;"*"),0))</f>
        <v/>
      </c>
      <c r="G920" s="35"/>
      <c r="H920" s="22" t="str">
        <f t="array" ref="H920">INDEX(DropdownLists!$E$2:$E$276,MATCH('Ingest Template'!D920,DropdownLists!$C$2:$C$276,0))</f>
        <v>#N/A</v>
      </c>
      <c r="I920" s="22"/>
      <c r="J920" s="22" t="str">
        <f t="array" ref="J920">iF('Ingest Template'!A920="Standard","Pristine Brand",INDEX(DropdownLists!$B$2:$B$246,MATCH('Ingest Template'!D920,DropdownLists!$C$2:$C$246,0)))</f>
        <v>#N/A</v>
      </c>
      <c r="K920" s="22" t="str">
        <f>iF('Ingest Template'!A920="Standard",'Ingest Template'!K920&amp;CHAR(10)&amp;'Ingest Template'!L920,"Competitive View")</f>
        <v>Competitive View</v>
      </c>
      <c r="L920" s="22" t="s">
        <v>95</v>
      </c>
      <c r="M920" s="45" t="str">
        <f>'Ingest Template'!B920</f>
        <v/>
      </c>
      <c r="N920" s="35"/>
      <c r="O920" s="35"/>
      <c r="P920" s="35"/>
      <c r="Q920" s="35"/>
      <c r="R920" s="35" t="str">
        <f>'Ingest Template'!D920</f>
        <v/>
      </c>
      <c r="S920" s="22" t="s">
        <v>101</v>
      </c>
      <c r="T920" s="35" t="str">
        <f>'Ingest Template'!V920</f>
        <v/>
      </c>
      <c r="U920" s="35" t="str">
        <f>'Ingest Template'!W920</f>
        <v/>
      </c>
      <c r="V920" s="35" t="str">
        <f>LOWER(SUBSTITUTE(SUBSTITUTE(SUBSTITUTE(SUBSTITUTE(SUBSTITUTE('Ingest Template'!X920,"https:",""),"www.",""),"/",""),"?hl=en",""),"instagram.com",""))</f>
        <v/>
      </c>
      <c r="W920" s="74" t="str">
        <f t="array" ref="W920">IF(
'Ingest Template'!Y920="",
SUBSTITUTE(
INDEX(DropdownLists!$F$2:$F$277,MATCH('Ingest Template'!D920,DropdownLists!$C$2:$C$277,0)),
CHAR(10),
"|"&amp;'Ingest Template'!C920&amp;CHAR(10)
)&amp;"|"&amp;'Ingest Template'!C920,
SUBSTITUTE(
INDEX(DropdownLists!$F$2:$F$277,MATCH('Ingest Template'!D920,DropdownLists!$C$2:$C$277,0)),
CHAR(10),
"|"&amp;'Ingest Template'!C920&amp;CHAR(10)
)&amp;"|"&amp;'Ingest Template'!C920&amp;CHAR(10)&amp;'Ingest Template'!Y920
)</f>
        <v>#N/A</v>
      </c>
      <c r="X920" s="74" t="str">
        <f>'Ingest Template'!Z920</f>
        <v/>
      </c>
      <c r="Y920" s="35" t="str">
        <f>SUBSTITUTE(SUBSTITUTE(SUBSTITUTE('Ingest Template'!AA920,"http:",""),"https:",""),"/","")</f>
        <v/>
      </c>
      <c r="Z920" s="35" t="str">
        <f t="array" ref="Z920">IF('Ingest Template'!A920="Standard",(IF(ISBLANK('Ingest Template'!AB920),"", 'Ingest Template'!AB920&amp;"|DAR")),(IF(ISBLANK('Ingest Template'!AB920),"", 'Ingest Template'!AB920&amp;"|TV Ops")))</f>
        <v/>
      </c>
      <c r="AA920" s="35"/>
      <c r="AB920" s="35" t="str">
        <f>'Ingest Template'!R920</f>
        <v/>
      </c>
      <c r="AC920" s="35" t="str">
        <f>'Ingest Template'!T920</f>
        <v/>
      </c>
      <c r="AD920" s="35" t="str">
        <f>'Ingest Template'!S920</f>
        <v/>
      </c>
      <c r="AE920" s="35" t="str">
        <f>'Ingest Template'!U920</f>
        <v/>
      </c>
      <c r="AF920" s="22"/>
      <c r="AG920" s="35" t="str">
        <f t="array" ref="AG920">IF('Ingest Template'!A920="Standard",(CONCATENATE(IF(ISBLANK('Ingest Template'!N920),"", 'Ingest Template'!N920&amp;"|DAR"),CHAR(10), IF(ISBLANK('Ingest Template'!O920),"", 'Ingest Template'!O920&amp;"|DAR"),CHAR(10), IF(ISBLANK('Ingest Template'!P920),"", 'Ingest Template'!P920&amp;"|DAR"))),(CONCATENATE(IF(ISBLANK('Ingest Template'!N920),"", 'Ingest Template'!N920&amp;"|TV Ops"),CHAR(10), IF(ISBLANK('Ingest Template'!O920),"", 'Ingest Template'!O920&amp;"|TV Ops"),CHAR(10), IF(ISBLANK('Ingest Template'!P920),"", 'Ingest Template'!P920&amp;"|TV Ops"))))</f>
        <v>
</v>
      </c>
      <c r="AH920" s="35"/>
      <c r="AI920" s="35"/>
      <c r="AJ920" s="117" t="str">
        <f>if('Ingest Template'!A920="Standard",(IF(OR('Ingest Template'!F920 = "Program Type - Special", 'Ingest Template'!F920 = "Program Type - Live Event"),'Ingest Template'!M920&amp; "|DAR|DAR|"&amp;TEXT('Ingest Template'!C920-3, "yyyy-mm-dd")&amp;"|"&amp;TEXT('Ingest Template'!C920+3, "yyyy-mm-dd"),'Ingest Template'!M920&amp; "|DAR|DAR|2021-01-01")),(IF(OR('Ingest Template'!F920 = "Program Type - Special", 'Ingest Template'!F920 = "Program Type - Live Event"),'Ingest Template'!M920&amp; "|Operations - Core Title|Operations - Core Title|"&amp;TEXT('Ingest Template'!C920-3, "yyyy-mm-dd")&amp;"|"&amp;TEXT('Ingest Template'!C920+3, "yyyy-mm-dd"),'Ingest Template'!M920&amp; "|Operations - Core Title|Operations - Core Title")))</f>
        <v>|Operations - Core Title|Operations - Core Title</v>
      </c>
      <c r="AK920" s="35"/>
      <c r="AL920" s="117" t="str">
        <f>if('Ingest Template'!A920="Standard",(IF(OR('Ingest Template'!F920 = "Program Type - Special", 'Ingest Template'!F920 = "Program Type - Live Event"),'Ingest Template'!Q920&amp;"|"&amp;TEXT('Ingest Template'!C920-3, "yyyy-mm-dd")&amp;"|"&amp;TEXT('Ingest Template'!C920+3, "yyyy-mm-dd"),'Ingest Template'!Q920&amp; "|2021-01-01")),(IF(OR('Ingest Template'!F920 = "Program Type - Special", 'Ingest Template'!F920 = "Program Type - Live Event"),'Ingest Template'!Q920&amp; "|"&amp;TEXT('Ingest Template'!C920-3, "yyyy-mm-dd")&amp;"|"&amp;TEXT('Ingest Template'!C920+3, "yyyy-mm-dd"),'Ingest Template'!Q920)))</f>
        <v/>
      </c>
      <c r="AM920" s="35" t="str">
        <f>'Ingest Template'!AC920</f>
        <v/>
      </c>
    </row>
    <row r="921">
      <c r="A921" s="15"/>
      <c r="B921" s="22" t="str">
        <f>'Ingest Template'!C921&amp;IF('Ingest Template'!A921 = "Standard", " - DAR","")</f>
        <v/>
      </c>
      <c r="C921" s="22" t="s">
        <v>83</v>
      </c>
      <c r="D921" s="22" t="str">
        <f t="array" ref="D921">CONCATENATE(INDEX(DropdownLists!$H$2:$H$11,MATCH(1,COUNTIF('Ingest Template'!E921,"*"&amp;DropdownLists!$I$2:$I$11&amp;"*"),0)),CHAR(10),'Ingest Template'!F921,CHAR(10),'Ingest Template'!G921,CHAR(10),VLOOKUP('Ingest Template'!D921,DropdownLists!C:D,2,FALSE))</f>
        <v>#N/A</v>
      </c>
      <c r="E921" s="22" t="str">
        <f>CONCATENATE('Ingest Template'!H921,CHAR(10),'Ingest Template'!I921,CHAR(10),'Ingest Template'!J921,CHAR(10))</f>
        <v>
</v>
      </c>
      <c r="F921" s="35" t="str">
        <f t="array" ref="F921">INDEX(DropdownLists!$O$2:$O$36,MATCH(1,COUNTIF(E921,"*"&amp;DropdownLists!$N$2:$N$36&amp;"*"),0))</f>
        <v/>
      </c>
      <c r="G921" s="35"/>
      <c r="H921" s="22" t="str">
        <f t="array" ref="H921">INDEX(DropdownLists!$E$2:$E$276,MATCH('Ingest Template'!D921,DropdownLists!$C$2:$C$276,0))</f>
        <v>#N/A</v>
      </c>
      <c r="I921" s="22"/>
      <c r="J921" s="22" t="str">
        <f t="array" ref="J921">iF('Ingest Template'!A921="Standard","Pristine Brand",INDEX(DropdownLists!$B$2:$B$246,MATCH('Ingest Template'!D921,DropdownLists!$C$2:$C$246,0)))</f>
        <v>#N/A</v>
      </c>
      <c r="K921" s="22" t="str">
        <f>iF('Ingest Template'!A921="Standard",'Ingest Template'!K921&amp;CHAR(10)&amp;'Ingest Template'!L921,"Competitive View")</f>
        <v>Competitive View</v>
      </c>
      <c r="L921" s="22" t="s">
        <v>95</v>
      </c>
      <c r="M921" s="45" t="str">
        <f>'Ingest Template'!B921</f>
        <v/>
      </c>
      <c r="N921" s="35"/>
      <c r="O921" s="35"/>
      <c r="P921" s="35"/>
      <c r="Q921" s="35"/>
      <c r="R921" s="35" t="str">
        <f>'Ingest Template'!D921</f>
        <v/>
      </c>
      <c r="S921" s="22" t="s">
        <v>101</v>
      </c>
      <c r="T921" s="35" t="str">
        <f>'Ingest Template'!V921</f>
        <v/>
      </c>
      <c r="U921" s="35" t="str">
        <f>'Ingest Template'!W921</f>
        <v/>
      </c>
      <c r="V921" s="35" t="str">
        <f>LOWER(SUBSTITUTE(SUBSTITUTE(SUBSTITUTE(SUBSTITUTE(SUBSTITUTE('Ingest Template'!X921,"https:",""),"www.",""),"/",""),"?hl=en",""),"instagram.com",""))</f>
        <v/>
      </c>
      <c r="W921" s="74" t="str">
        <f t="array" ref="W921">IF(
'Ingest Template'!Y921="",
SUBSTITUTE(
INDEX(DropdownLists!$F$2:$F$277,MATCH('Ingest Template'!D921,DropdownLists!$C$2:$C$277,0)),
CHAR(10),
"|"&amp;'Ingest Template'!C921&amp;CHAR(10)
)&amp;"|"&amp;'Ingest Template'!C921,
SUBSTITUTE(
INDEX(DropdownLists!$F$2:$F$277,MATCH('Ingest Template'!D921,DropdownLists!$C$2:$C$277,0)),
CHAR(10),
"|"&amp;'Ingest Template'!C921&amp;CHAR(10)
)&amp;"|"&amp;'Ingest Template'!C921&amp;CHAR(10)&amp;'Ingest Template'!Y921
)</f>
        <v>#N/A</v>
      </c>
      <c r="X921" s="74" t="str">
        <f>'Ingest Template'!Z921</f>
        <v/>
      </c>
      <c r="Y921" s="35" t="str">
        <f>SUBSTITUTE(SUBSTITUTE(SUBSTITUTE('Ingest Template'!AA921,"http:",""),"https:",""),"/","")</f>
        <v/>
      </c>
      <c r="Z921" s="35" t="str">
        <f t="array" ref="Z921">IF('Ingest Template'!A921="Standard",(IF(ISBLANK('Ingest Template'!AB921),"", 'Ingest Template'!AB921&amp;"|DAR")),(IF(ISBLANK('Ingest Template'!AB921),"", 'Ingest Template'!AB921&amp;"|TV Ops")))</f>
        <v/>
      </c>
      <c r="AA921" s="35"/>
      <c r="AB921" s="35" t="str">
        <f>'Ingest Template'!R921</f>
        <v/>
      </c>
      <c r="AC921" s="35" t="str">
        <f>'Ingest Template'!T921</f>
        <v/>
      </c>
      <c r="AD921" s="35" t="str">
        <f>'Ingest Template'!S921</f>
        <v/>
      </c>
      <c r="AE921" s="35" t="str">
        <f>'Ingest Template'!U921</f>
        <v/>
      </c>
      <c r="AF921" s="22"/>
      <c r="AG921" s="35" t="str">
        <f t="array" ref="AG921">IF('Ingest Template'!A921="Standard",(CONCATENATE(IF(ISBLANK('Ingest Template'!N921),"", 'Ingest Template'!N921&amp;"|DAR"),CHAR(10), IF(ISBLANK('Ingest Template'!O921),"", 'Ingest Template'!O921&amp;"|DAR"),CHAR(10), IF(ISBLANK('Ingest Template'!P921),"", 'Ingest Template'!P921&amp;"|DAR"))),(CONCATENATE(IF(ISBLANK('Ingest Template'!N921),"", 'Ingest Template'!N921&amp;"|TV Ops"),CHAR(10), IF(ISBLANK('Ingest Template'!O921),"", 'Ingest Template'!O921&amp;"|TV Ops"),CHAR(10), IF(ISBLANK('Ingest Template'!P921),"", 'Ingest Template'!P921&amp;"|TV Ops"))))</f>
        <v>
</v>
      </c>
      <c r="AH921" s="35"/>
      <c r="AI921" s="35"/>
      <c r="AJ921" s="117" t="str">
        <f>if('Ingest Template'!A921="Standard",(IF(OR('Ingest Template'!F921 = "Program Type - Special", 'Ingest Template'!F921 = "Program Type - Live Event"),'Ingest Template'!M921&amp; "|DAR|DAR|"&amp;TEXT('Ingest Template'!C921-3, "yyyy-mm-dd")&amp;"|"&amp;TEXT('Ingest Template'!C921+3, "yyyy-mm-dd"),'Ingest Template'!M921&amp; "|DAR|DAR|2021-01-01")),(IF(OR('Ingest Template'!F921 = "Program Type - Special", 'Ingest Template'!F921 = "Program Type - Live Event"),'Ingest Template'!M921&amp; "|Operations - Core Title|Operations - Core Title|"&amp;TEXT('Ingest Template'!C921-3, "yyyy-mm-dd")&amp;"|"&amp;TEXT('Ingest Template'!C921+3, "yyyy-mm-dd"),'Ingest Template'!M921&amp; "|Operations - Core Title|Operations - Core Title")))</f>
        <v>|Operations - Core Title|Operations - Core Title</v>
      </c>
      <c r="AK921" s="35"/>
      <c r="AL921" s="117" t="str">
        <f>if('Ingest Template'!A921="Standard",(IF(OR('Ingest Template'!F921 = "Program Type - Special", 'Ingest Template'!F921 = "Program Type - Live Event"),'Ingest Template'!Q921&amp;"|"&amp;TEXT('Ingest Template'!C921-3, "yyyy-mm-dd")&amp;"|"&amp;TEXT('Ingest Template'!C921+3, "yyyy-mm-dd"),'Ingest Template'!Q921&amp; "|2021-01-01")),(IF(OR('Ingest Template'!F921 = "Program Type - Special", 'Ingest Template'!F921 = "Program Type - Live Event"),'Ingest Template'!Q921&amp; "|"&amp;TEXT('Ingest Template'!C921-3, "yyyy-mm-dd")&amp;"|"&amp;TEXT('Ingest Template'!C921+3, "yyyy-mm-dd"),'Ingest Template'!Q921)))</f>
        <v/>
      </c>
      <c r="AM921" s="35" t="str">
        <f>'Ingest Template'!AC921</f>
        <v/>
      </c>
    </row>
    <row r="922">
      <c r="A922" s="15"/>
      <c r="B922" s="22" t="str">
        <f>'Ingest Template'!C922&amp;IF('Ingest Template'!A922 = "Standard", " - DAR","")</f>
        <v/>
      </c>
      <c r="C922" s="22" t="s">
        <v>83</v>
      </c>
      <c r="D922" s="22" t="str">
        <f t="array" ref="D922">CONCATENATE(INDEX(DropdownLists!$H$2:$H$11,MATCH(1,COUNTIF('Ingest Template'!E922,"*"&amp;DropdownLists!$I$2:$I$11&amp;"*"),0)),CHAR(10),'Ingest Template'!F922,CHAR(10),'Ingest Template'!G922,CHAR(10),VLOOKUP('Ingest Template'!D922,DropdownLists!C:D,2,FALSE))</f>
        <v>#N/A</v>
      </c>
      <c r="E922" s="22" t="str">
        <f>CONCATENATE('Ingest Template'!H922,CHAR(10),'Ingest Template'!I922,CHAR(10),'Ingest Template'!J922,CHAR(10))</f>
        <v>
</v>
      </c>
      <c r="F922" s="35" t="str">
        <f t="array" ref="F922">INDEX(DropdownLists!$O$2:$O$36,MATCH(1,COUNTIF(E922,"*"&amp;DropdownLists!$N$2:$N$36&amp;"*"),0))</f>
        <v/>
      </c>
      <c r="G922" s="35"/>
      <c r="H922" s="22" t="str">
        <f t="array" ref="H922">INDEX(DropdownLists!$E$2:$E$276,MATCH('Ingest Template'!D922,DropdownLists!$C$2:$C$276,0))</f>
        <v>#N/A</v>
      </c>
      <c r="I922" s="22"/>
      <c r="J922" s="22" t="str">
        <f t="array" ref="J922">iF('Ingest Template'!A922="Standard","Pristine Brand",INDEX(DropdownLists!$B$2:$B$246,MATCH('Ingest Template'!D922,DropdownLists!$C$2:$C$246,0)))</f>
        <v>#N/A</v>
      </c>
      <c r="K922" s="22" t="str">
        <f>iF('Ingest Template'!A922="Standard",'Ingest Template'!K922&amp;CHAR(10)&amp;'Ingest Template'!L922,"Competitive View")</f>
        <v>Competitive View</v>
      </c>
      <c r="L922" s="22" t="s">
        <v>95</v>
      </c>
      <c r="M922" s="45" t="str">
        <f>'Ingest Template'!B922</f>
        <v/>
      </c>
      <c r="N922" s="35"/>
      <c r="O922" s="35"/>
      <c r="P922" s="35"/>
      <c r="Q922" s="35"/>
      <c r="R922" s="35" t="str">
        <f>'Ingest Template'!D922</f>
        <v/>
      </c>
      <c r="S922" s="22" t="s">
        <v>101</v>
      </c>
      <c r="T922" s="35" t="str">
        <f>'Ingest Template'!V922</f>
        <v/>
      </c>
      <c r="U922" s="35" t="str">
        <f>'Ingest Template'!W922</f>
        <v/>
      </c>
      <c r="V922" s="35" t="str">
        <f>LOWER(SUBSTITUTE(SUBSTITUTE(SUBSTITUTE(SUBSTITUTE(SUBSTITUTE('Ingest Template'!X922,"https:",""),"www.",""),"/",""),"?hl=en",""),"instagram.com",""))</f>
        <v/>
      </c>
      <c r="W922" s="74" t="str">
        <f t="array" ref="W922">IF(
'Ingest Template'!Y922="",
SUBSTITUTE(
INDEX(DropdownLists!$F$2:$F$277,MATCH('Ingest Template'!D922,DropdownLists!$C$2:$C$277,0)),
CHAR(10),
"|"&amp;'Ingest Template'!C922&amp;CHAR(10)
)&amp;"|"&amp;'Ingest Template'!C922,
SUBSTITUTE(
INDEX(DropdownLists!$F$2:$F$277,MATCH('Ingest Template'!D922,DropdownLists!$C$2:$C$277,0)),
CHAR(10),
"|"&amp;'Ingest Template'!C922&amp;CHAR(10)
)&amp;"|"&amp;'Ingest Template'!C922&amp;CHAR(10)&amp;'Ingest Template'!Y922
)</f>
        <v>#N/A</v>
      </c>
      <c r="X922" s="74" t="str">
        <f>'Ingest Template'!Z922</f>
        <v/>
      </c>
      <c r="Y922" s="35" t="str">
        <f>SUBSTITUTE(SUBSTITUTE(SUBSTITUTE('Ingest Template'!AA922,"http:",""),"https:",""),"/","")</f>
        <v/>
      </c>
      <c r="Z922" s="35" t="str">
        <f t="array" ref="Z922">IF('Ingest Template'!A922="Standard",(IF(ISBLANK('Ingest Template'!AB922),"", 'Ingest Template'!AB922&amp;"|DAR")),(IF(ISBLANK('Ingest Template'!AB922),"", 'Ingest Template'!AB922&amp;"|TV Ops")))</f>
        <v/>
      </c>
      <c r="AA922" s="35"/>
      <c r="AB922" s="35" t="str">
        <f>'Ingest Template'!R922</f>
        <v/>
      </c>
      <c r="AC922" s="35" t="str">
        <f>'Ingest Template'!T922</f>
        <v/>
      </c>
      <c r="AD922" s="35" t="str">
        <f>'Ingest Template'!S922</f>
        <v/>
      </c>
      <c r="AE922" s="35" t="str">
        <f>'Ingest Template'!U922</f>
        <v/>
      </c>
      <c r="AF922" s="22"/>
      <c r="AG922" s="35" t="str">
        <f t="array" ref="AG922">IF('Ingest Template'!A922="Standard",(CONCATENATE(IF(ISBLANK('Ingest Template'!N922),"", 'Ingest Template'!N922&amp;"|DAR"),CHAR(10), IF(ISBLANK('Ingest Template'!O922),"", 'Ingest Template'!O922&amp;"|DAR"),CHAR(10), IF(ISBLANK('Ingest Template'!P922),"", 'Ingest Template'!P922&amp;"|DAR"))),(CONCATENATE(IF(ISBLANK('Ingest Template'!N922),"", 'Ingest Template'!N922&amp;"|TV Ops"),CHAR(10), IF(ISBLANK('Ingest Template'!O922),"", 'Ingest Template'!O922&amp;"|TV Ops"),CHAR(10), IF(ISBLANK('Ingest Template'!P922),"", 'Ingest Template'!P922&amp;"|TV Ops"))))</f>
        <v>
</v>
      </c>
      <c r="AH922" s="35"/>
      <c r="AI922" s="35"/>
      <c r="AJ922" s="117" t="str">
        <f>if('Ingest Template'!A922="Standard",(IF(OR('Ingest Template'!F922 = "Program Type - Special", 'Ingest Template'!F922 = "Program Type - Live Event"),'Ingest Template'!M922&amp; "|DAR|DAR|"&amp;TEXT('Ingest Template'!C922-3, "yyyy-mm-dd")&amp;"|"&amp;TEXT('Ingest Template'!C922+3, "yyyy-mm-dd"),'Ingest Template'!M922&amp; "|DAR|DAR|2021-01-01")),(IF(OR('Ingest Template'!F922 = "Program Type - Special", 'Ingest Template'!F922 = "Program Type - Live Event"),'Ingest Template'!M922&amp; "|Operations - Core Title|Operations - Core Title|"&amp;TEXT('Ingest Template'!C922-3, "yyyy-mm-dd")&amp;"|"&amp;TEXT('Ingest Template'!C922+3, "yyyy-mm-dd"),'Ingest Template'!M922&amp; "|Operations - Core Title|Operations - Core Title")))</f>
        <v>|Operations - Core Title|Operations - Core Title</v>
      </c>
      <c r="AK922" s="35"/>
      <c r="AL922" s="117" t="str">
        <f>if('Ingest Template'!A922="Standard",(IF(OR('Ingest Template'!F922 = "Program Type - Special", 'Ingest Template'!F922 = "Program Type - Live Event"),'Ingest Template'!Q922&amp;"|"&amp;TEXT('Ingest Template'!C922-3, "yyyy-mm-dd")&amp;"|"&amp;TEXT('Ingest Template'!C922+3, "yyyy-mm-dd"),'Ingest Template'!Q922&amp; "|2021-01-01")),(IF(OR('Ingest Template'!F922 = "Program Type - Special", 'Ingest Template'!F922 = "Program Type - Live Event"),'Ingest Template'!Q922&amp; "|"&amp;TEXT('Ingest Template'!C922-3, "yyyy-mm-dd")&amp;"|"&amp;TEXT('Ingest Template'!C922+3, "yyyy-mm-dd"),'Ingest Template'!Q922)))</f>
        <v/>
      </c>
      <c r="AM922" s="35" t="str">
        <f>'Ingest Template'!AC922</f>
        <v/>
      </c>
    </row>
    <row r="923">
      <c r="A923" s="15"/>
      <c r="B923" s="22" t="str">
        <f>'Ingest Template'!C923&amp;IF('Ingest Template'!A923 = "Standard", " - DAR","")</f>
        <v/>
      </c>
      <c r="C923" s="22" t="s">
        <v>83</v>
      </c>
      <c r="D923" s="22" t="str">
        <f t="array" ref="D923">CONCATENATE(INDEX(DropdownLists!$H$2:$H$11,MATCH(1,COUNTIF('Ingest Template'!E923,"*"&amp;DropdownLists!$I$2:$I$11&amp;"*"),0)),CHAR(10),'Ingest Template'!F923,CHAR(10),'Ingest Template'!G923,CHAR(10),VLOOKUP('Ingest Template'!D923,DropdownLists!C:D,2,FALSE))</f>
        <v>#N/A</v>
      </c>
      <c r="E923" s="22" t="str">
        <f>CONCATENATE('Ingest Template'!H923,CHAR(10),'Ingest Template'!I923,CHAR(10),'Ingest Template'!J923,CHAR(10))</f>
        <v>
</v>
      </c>
      <c r="F923" s="35" t="str">
        <f t="array" ref="F923">INDEX(DropdownLists!$O$2:$O$36,MATCH(1,COUNTIF(E923,"*"&amp;DropdownLists!$N$2:$N$36&amp;"*"),0))</f>
        <v/>
      </c>
      <c r="G923" s="35"/>
      <c r="H923" s="22" t="str">
        <f t="array" ref="H923">INDEX(DropdownLists!$E$2:$E$276,MATCH('Ingest Template'!D923,DropdownLists!$C$2:$C$276,0))</f>
        <v>#N/A</v>
      </c>
      <c r="I923" s="22"/>
      <c r="J923" s="22" t="str">
        <f t="array" ref="J923">iF('Ingest Template'!A923="Standard","Pristine Brand",INDEX(DropdownLists!$B$2:$B$246,MATCH('Ingest Template'!D923,DropdownLists!$C$2:$C$246,0)))</f>
        <v>#N/A</v>
      </c>
      <c r="K923" s="22" t="str">
        <f>iF('Ingest Template'!A923="Standard",'Ingest Template'!K923&amp;CHAR(10)&amp;'Ingest Template'!L923,"Competitive View")</f>
        <v>Competitive View</v>
      </c>
      <c r="L923" s="22" t="s">
        <v>95</v>
      </c>
      <c r="M923" s="45" t="str">
        <f>'Ingest Template'!B923</f>
        <v/>
      </c>
      <c r="N923" s="35"/>
      <c r="O923" s="35"/>
      <c r="P923" s="35"/>
      <c r="Q923" s="35"/>
      <c r="R923" s="35" t="str">
        <f>'Ingest Template'!D923</f>
        <v/>
      </c>
      <c r="S923" s="22" t="s">
        <v>101</v>
      </c>
      <c r="T923" s="35" t="str">
        <f>'Ingest Template'!V923</f>
        <v/>
      </c>
      <c r="U923" s="35" t="str">
        <f>'Ingest Template'!W923</f>
        <v/>
      </c>
      <c r="V923" s="35" t="str">
        <f>LOWER(SUBSTITUTE(SUBSTITUTE(SUBSTITUTE(SUBSTITUTE(SUBSTITUTE('Ingest Template'!X923,"https:",""),"www.",""),"/",""),"?hl=en",""),"instagram.com",""))</f>
        <v/>
      </c>
      <c r="W923" s="74" t="str">
        <f t="array" ref="W923">IF(
'Ingest Template'!Y923="",
SUBSTITUTE(
INDEX(DropdownLists!$F$2:$F$277,MATCH('Ingest Template'!D923,DropdownLists!$C$2:$C$277,0)),
CHAR(10),
"|"&amp;'Ingest Template'!C923&amp;CHAR(10)
)&amp;"|"&amp;'Ingest Template'!C923,
SUBSTITUTE(
INDEX(DropdownLists!$F$2:$F$277,MATCH('Ingest Template'!D923,DropdownLists!$C$2:$C$277,0)),
CHAR(10),
"|"&amp;'Ingest Template'!C923&amp;CHAR(10)
)&amp;"|"&amp;'Ingest Template'!C923&amp;CHAR(10)&amp;'Ingest Template'!Y923
)</f>
        <v>#N/A</v>
      </c>
      <c r="X923" s="74" t="str">
        <f>'Ingest Template'!Z923</f>
        <v/>
      </c>
      <c r="Y923" s="35" t="str">
        <f>SUBSTITUTE(SUBSTITUTE(SUBSTITUTE('Ingest Template'!AA923,"http:",""),"https:",""),"/","")</f>
        <v/>
      </c>
      <c r="Z923" s="35" t="str">
        <f t="array" ref="Z923">IF('Ingest Template'!A923="Standard",(IF(ISBLANK('Ingest Template'!AB923),"", 'Ingest Template'!AB923&amp;"|DAR")),(IF(ISBLANK('Ingest Template'!AB923),"", 'Ingest Template'!AB923&amp;"|TV Ops")))</f>
        <v/>
      </c>
      <c r="AA923" s="35"/>
      <c r="AB923" s="35" t="str">
        <f>'Ingest Template'!R923</f>
        <v/>
      </c>
      <c r="AC923" s="35" t="str">
        <f>'Ingest Template'!T923</f>
        <v/>
      </c>
      <c r="AD923" s="35" t="str">
        <f>'Ingest Template'!S923</f>
        <v/>
      </c>
      <c r="AE923" s="35" t="str">
        <f>'Ingest Template'!U923</f>
        <v/>
      </c>
      <c r="AF923" s="22"/>
      <c r="AG923" s="35" t="str">
        <f t="array" ref="AG923">IF('Ingest Template'!A923="Standard",(CONCATENATE(IF(ISBLANK('Ingest Template'!N923),"", 'Ingest Template'!N923&amp;"|DAR"),CHAR(10), IF(ISBLANK('Ingest Template'!O923),"", 'Ingest Template'!O923&amp;"|DAR"),CHAR(10), IF(ISBLANK('Ingest Template'!P923),"", 'Ingest Template'!P923&amp;"|DAR"))),(CONCATENATE(IF(ISBLANK('Ingest Template'!N923),"", 'Ingest Template'!N923&amp;"|TV Ops"),CHAR(10), IF(ISBLANK('Ingest Template'!O923),"", 'Ingest Template'!O923&amp;"|TV Ops"),CHAR(10), IF(ISBLANK('Ingest Template'!P923),"", 'Ingest Template'!P923&amp;"|TV Ops"))))</f>
        <v>
</v>
      </c>
      <c r="AH923" s="35"/>
      <c r="AI923" s="35"/>
      <c r="AJ923" s="117" t="str">
        <f>if('Ingest Template'!A923="Standard",(IF(OR('Ingest Template'!F923 = "Program Type - Special", 'Ingest Template'!F923 = "Program Type - Live Event"),'Ingest Template'!M923&amp; "|DAR|DAR|"&amp;TEXT('Ingest Template'!C923-3, "yyyy-mm-dd")&amp;"|"&amp;TEXT('Ingest Template'!C923+3, "yyyy-mm-dd"),'Ingest Template'!M923&amp; "|DAR|DAR|2021-01-01")),(IF(OR('Ingest Template'!F923 = "Program Type - Special", 'Ingest Template'!F923 = "Program Type - Live Event"),'Ingest Template'!M923&amp; "|Operations - Core Title|Operations - Core Title|"&amp;TEXT('Ingest Template'!C923-3, "yyyy-mm-dd")&amp;"|"&amp;TEXT('Ingest Template'!C923+3, "yyyy-mm-dd"),'Ingest Template'!M923&amp; "|Operations - Core Title|Operations - Core Title")))</f>
        <v>|Operations - Core Title|Operations - Core Title</v>
      </c>
      <c r="AK923" s="35"/>
      <c r="AL923" s="117" t="str">
        <f>if('Ingest Template'!A923="Standard",(IF(OR('Ingest Template'!F923 = "Program Type - Special", 'Ingest Template'!F923 = "Program Type - Live Event"),'Ingest Template'!Q923&amp;"|"&amp;TEXT('Ingest Template'!C923-3, "yyyy-mm-dd")&amp;"|"&amp;TEXT('Ingest Template'!C923+3, "yyyy-mm-dd"),'Ingest Template'!Q923&amp; "|2021-01-01")),(IF(OR('Ingest Template'!F923 = "Program Type - Special", 'Ingest Template'!F923 = "Program Type - Live Event"),'Ingest Template'!Q923&amp; "|"&amp;TEXT('Ingest Template'!C923-3, "yyyy-mm-dd")&amp;"|"&amp;TEXT('Ingest Template'!C923+3, "yyyy-mm-dd"),'Ingest Template'!Q923)))</f>
        <v/>
      </c>
      <c r="AM923" s="35" t="str">
        <f>'Ingest Template'!AC923</f>
        <v/>
      </c>
    </row>
    <row r="924">
      <c r="A924" s="15"/>
      <c r="B924" s="22" t="str">
        <f>'Ingest Template'!C924&amp;IF('Ingest Template'!A924 = "Standard", " - DAR","")</f>
        <v/>
      </c>
      <c r="C924" s="22" t="s">
        <v>83</v>
      </c>
      <c r="D924" s="22" t="str">
        <f t="array" ref="D924">CONCATENATE(INDEX(DropdownLists!$H$2:$H$11,MATCH(1,COUNTIF('Ingest Template'!E924,"*"&amp;DropdownLists!$I$2:$I$11&amp;"*"),0)),CHAR(10),'Ingest Template'!F924,CHAR(10),'Ingest Template'!G924,CHAR(10),VLOOKUP('Ingest Template'!D924,DropdownLists!C:D,2,FALSE))</f>
        <v>#N/A</v>
      </c>
      <c r="E924" s="22" t="str">
        <f>CONCATENATE('Ingest Template'!H924,CHAR(10),'Ingest Template'!I924,CHAR(10),'Ingest Template'!J924,CHAR(10))</f>
        <v>
</v>
      </c>
      <c r="F924" s="35" t="str">
        <f t="array" ref="F924">INDEX(DropdownLists!$O$2:$O$36,MATCH(1,COUNTIF(E924,"*"&amp;DropdownLists!$N$2:$N$36&amp;"*"),0))</f>
        <v/>
      </c>
      <c r="G924" s="35"/>
      <c r="H924" s="22" t="str">
        <f t="array" ref="H924">INDEX(DropdownLists!$E$2:$E$276,MATCH('Ingest Template'!D924,DropdownLists!$C$2:$C$276,0))</f>
        <v>#N/A</v>
      </c>
      <c r="I924" s="22"/>
      <c r="J924" s="22" t="str">
        <f t="array" ref="J924">iF('Ingest Template'!A924="Standard","Pristine Brand",INDEX(DropdownLists!$B$2:$B$246,MATCH('Ingest Template'!D924,DropdownLists!$C$2:$C$246,0)))</f>
        <v>#N/A</v>
      </c>
      <c r="K924" s="22" t="str">
        <f>iF('Ingest Template'!A924="Standard",'Ingest Template'!K924&amp;CHAR(10)&amp;'Ingest Template'!L924,"Competitive View")</f>
        <v>Competitive View</v>
      </c>
      <c r="L924" s="22" t="s">
        <v>95</v>
      </c>
      <c r="M924" s="45" t="str">
        <f>'Ingest Template'!B924</f>
        <v/>
      </c>
      <c r="N924" s="35"/>
      <c r="O924" s="35"/>
      <c r="P924" s="35"/>
      <c r="Q924" s="35"/>
      <c r="R924" s="35" t="str">
        <f>'Ingest Template'!D924</f>
        <v/>
      </c>
      <c r="S924" s="22" t="s">
        <v>101</v>
      </c>
      <c r="T924" s="35" t="str">
        <f>'Ingest Template'!V924</f>
        <v/>
      </c>
      <c r="U924" s="35" t="str">
        <f>'Ingest Template'!W924</f>
        <v/>
      </c>
      <c r="V924" s="35" t="str">
        <f>LOWER(SUBSTITUTE(SUBSTITUTE(SUBSTITUTE(SUBSTITUTE(SUBSTITUTE('Ingest Template'!X924,"https:",""),"www.",""),"/",""),"?hl=en",""),"instagram.com",""))</f>
        <v/>
      </c>
      <c r="W924" s="74" t="str">
        <f t="array" ref="W924">IF(
'Ingest Template'!Y924="",
SUBSTITUTE(
INDEX(DropdownLists!$F$2:$F$277,MATCH('Ingest Template'!D924,DropdownLists!$C$2:$C$277,0)),
CHAR(10),
"|"&amp;'Ingest Template'!C924&amp;CHAR(10)
)&amp;"|"&amp;'Ingest Template'!C924,
SUBSTITUTE(
INDEX(DropdownLists!$F$2:$F$277,MATCH('Ingest Template'!D924,DropdownLists!$C$2:$C$277,0)),
CHAR(10),
"|"&amp;'Ingest Template'!C924&amp;CHAR(10)
)&amp;"|"&amp;'Ingest Template'!C924&amp;CHAR(10)&amp;'Ingest Template'!Y924
)</f>
        <v>#N/A</v>
      </c>
      <c r="X924" s="74" t="str">
        <f>'Ingest Template'!Z924</f>
        <v/>
      </c>
      <c r="Y924" s="35" t="str">
        <f>SUBSTITUTE(SUBSTITUTE(SUBSTITUTE('Ingest Template'!AA924,"http:",""),"https:",""),"/","")</f>
        <v/>
      </c>
      <c r="Z924" s="35" t="str">
        <f t="array" ref="Z924">IF('Ingest Template'!A924="Standard",(IF(ISBLANK('Ingest Template'!AB924),"", 'Ingest Template'!AB924&amp;"|DAR")),(IF(ISBLANK('Ingest Template'!AB924),"", 'Ingest Template'!AB924&amp;"|TV Ops")))</f>
        <v/>
      </c>
      <c r="AA924" s="35"/>
      <c r="AB924" s="35" t="str">
        <f>'Ingest Template'!R924</f>
        <v/>
      </c>
      <c r="AC924" s="35" t="str">
        <f>'Ingest Template'!T924</f>
        <v/>
      </c>
      <c r="AD924" s="35" t="str">
        <f>'Ingest Template'!S924</f>
        <v/>
      </c>
      <c r="AE924" s="35" t="str">
        <f>'Ingest Template'!U924</f>
        <v/>
      </c>
      <c r="AF924" s="22"/>
      <c r="AG924" s="35" t="str">
        <f t="array" ref="AG924">IF('Ingest Template'!A924="Standard",(CONCATENATE(IF(ISBLANK('Ingest Template'!N924),"", 'Ingest Template'!N924&amp;"|DAR"),CHAR(10), IF(ISBLANK('Ingest Template'!O924),"", 'Ingest Template'!O924&amp;"|DAR"),CHAR(10), IF(ISBLANK('Ingest Template'!P924),"", 'Ingest Template'!P924&amp;"|DAR"))),(CONCATENATE(IF(ISBLANK('Ingest Template'!N924),"", 'Ingest Template'!N924&amp;"|TV Ops"),CHAR(10), IF(ISBLANK('Ingest Template'!O924),"", 'Ingest Template'!O924&amp;"|TV Ops"),CHAR(10), IF(ISBLANK('Ingest Template'!P924),"", 'Ingest Template'!P924&amp;"|TV Ops"))))</f>
        <v>
</v>
      </c>
      <c r="AH924" s="35"/>
      <c r="AI924" s="35"/>
      <c r="AJ924" s="117" t="str">
        <f>if('Ingest Template'!A924="Standard",(IF(OR('Ingest Template'!F924 = "Program Type - Special", 'Ingest Template'!F924 = "Program Type - Live Event"),'Ingest Template'!M924&amp; "|DAR|DAR|"&amp;TEXT('Ingest Template'!C924-3, "yyyy-mm-dd")&amp;"|"&amp;TEXT('Ingest Template'!C924+3, "yyyy-mm-dd"),'Ingest Template'!M924&amp; "|DAR|DAR|2021-01-01")),(IF(OR('Ingest Template'!F924 = "Program Type - Special", 'Ingest Template'!F924 = "Program Type - Live Event"),'Ingest Template'!M924&amp; "|Operations - Core Title|Operations - Core Title|"&amp;TEXT('Ingest Template'!C924-3, "yyyy-mm-dd")&amp;"|"&amp;TEXT('Ingest Template'!C924+3, "yyyy-mm-dd"),'Ingest Template'!M924&amp; "|Operations - Core Title|Operations - Core Title")))</f>
        <v>|Operations - Core Title|Operations - Core Title</v>
      </c>
      <c r="AK924" s="35"/>
      <c r="AL924" s="117" t="str">
        <f>if('Ingest Template'!A924="Standard",(IF(OR('Ingest Template'!F924 = "Program Type - Special", 'Ingest Template'!F924 = "Program Type - Live Event"),'Ingest Template'!Q924&amp;"|"&amp;TEXT('Ingest Template'!C924-3, "yyyy-mm-dd")&amp;"|"&amp;TEXT('Ingest Template'!C924+3, "yyyy-mm-dd"),'Ingest Template'!Q924&amp; "|2021-01-01")),(IF(OR('Ingest Template'!F924 = "Program Type - Special", 'Ingest Template'!F924 = "Program Type - Live Event"),'Ingest Template'!Q924&amp; "|"&amp;TEXT('Ingest Template'!C924-3, "yyyy-mm-dd")&amp;"|"&amp;TEXT('Ingest Template'!C924+3, "yyyy-mm-dd"),'Ingest Template'!Q924)))</f>
        <v/>
      </c>
      <c r="AM924" s="35" t="str">
        <f>'Ingest Template'!AC924</f>
        <v/>
      </c>
    </row>
    <row r="925">
      <c r="A925" s="15"/>
      <c r="B925" s="22" t="str">
        <f>'Ingest Template'!C925&amp;IF('Ingest Template'!A925 = "Standard", " - DAR","")</f>
        <v/>
      </c>
      <c r="C925" s="22" t="s">
        <v>83</v>
      </c>
      <c r="D925" s="22" t="str">
        <f t="array" ref="D925">CONCATENATE(INDEX(DropdownLists!$H$2:$H$11,MATCH(1,COUNTIF('Ingest Template'!E925,"*"&amp;DropdownLists!$I$2:$I$11&amp;"*"),0)),CHAR(10),'Ingest Template'!F925,CHAR(10),'Ingest Template'!G925,CHAR(10),VLOOKUP('Ingest Template'!D925,DropdownLists!C:D,2,FALSE))</f>
        <v>#N/A</v>
      </c>
      <c r="E925" s="22" t="str">
        <f>CONCATENATE('Ingest Template'!H925,CHAR(10),'Ingest Template'!I925,CHAR(10),'Ingest Template'!J925,CHAR(10))</f>
        <v>
</v>
      </c>
      <c r="F925" s="35" t="str">
        <f t="array" ref="F925">INDEX(DropdownLists!$O$2:$O$36,MATCH(1,COUNTIF(E925,"*"&amp;DropdownLists!$N$2:$N$36&amp;"*"),0))</f>
        <v/>
      </c>
      <c r="G925" s="35"/>
      <c r="H925" s="22" t="str">
        <f t="array" ref="H925">INDEX(DropdownLists!$E$2:$E$276,MATCH('Ingest Template'!D925,DropdownLists!$C$2:$C$276,0))</f>
        <v>#N/A</v>
      </c>
      <c r="I925" s="22"/>
      <c r="J925" s="22" t="str">
        <f t="array" ref="J925">iF('Ingest Template'!A925="Standard","Pristine Brand",INDEX(DropdownLists!$B$2:$B$246,MATCH('Ingest Template'!D925,DropdownLists!$C$2:$C$246,0)))</f>
        <v>#N/A</v>
      </c>
      <c r="K925" s="22" t="str">
        <f>iF('Ingest Template'!A925="Standard",'Ingest Template'!K925&amp;CHAR(10)&amp;'Ingest Template'!L925,"Competitive View")</f>
        <v>Competitive View</v>
      </c>
      <c r="L925" s="22" t="s">
        <v>95</v>
      </c>
      <c r="M925" s="45" t="str">
        <f>'Ingest Template'!B925</f>
        <v/>
      </c>
      <c r="N925" s="35"/>
      <c r="O925" s="35"/>
      <c r="P925" s="35"/>
      <c r="Q925" s="35"/>
      <c r="R925" s="35" t="str">
        <f>'Ingest Template'!D925</f>
        <v/>
      </c>
      <c r="S925" s="22" t="s">
        <v>101</v>
      </c>
      <c r="T925" s="35" t="str">
        <f>'Ingest Template'!V925</f>
        <v/>
      </c>
      <c r="U925" s="35" t="str">
        <f>'Ingest Template'!W925</f>
        <v/>
      </c>
      <c r="V925" s="35" t="str">
        <f>LOWER(SUBSTITUTE(SUBSTITUTE(SUBSTITUTE(SUBSTITUTE(SUBSTITUTE('Ingest Template'!X925,"https:",""),"www.",""),"/",""),"?hl=en",""),"instagram.com",""))</f>
        <v/>
      </c>
      <c r="W925" s="74" t="str">
        <f t="array" ref="W925">IF(
'Ingest Template'!Y925="",
SUBSTITUTE(
INDEX(DropdownLists!$F$2:$F$277,MATCH('Ingest Template'!D925,DropdownLists!$C$2:$C$277,0)),
CHAR(10),
"|"&amp;'Ingest Template'!C925&amp;CHAR(10)
)&amp;"|"&amp;'Ingest Template'!C925,
SUBSTITUTE(
INDEX(DropdownLists!$F$2:$F$277,MATCH('Ingest Template'!D925,DropdownLists!$C$2:$C$277,0)),
CHAR(10),
"|"&amp;'Ingest Template'!C925&amp;CHAR(10)
)&amp;"|"&amp;'Ingest Template'!C925&amp;CHAR(10)&amp;'Ingest Template'!Y925
)</f>
        <v>#N/A</v>
      </c>
      <c r="X925" s="74" t="str">
        <f>'Ingest Template'!Z925</f>
        <v/>
      </c>
      <c r="Y925" s="35" t="str">
        <f>SUBSTITUTE(SUBSTITUTE(SUBSTITUTE('Ingest Template'!AA925,"http:",""),"https:",""),"/","")</f>
        <v/>
      </c>
      <c r="Z925" s="35" t="str">
        <f t="array" ref="Z925">IF('Ingest Template'!A925="Standard",(IF(ISBLANK('Ingest Template'!AB925),"", 'Ingest Template'!AB925&amp;"|DAR")),(IF(ISBLANK('Ingest Template'!AB925),"", 'Ingest Template'!AB925&amp;"|TV Ops")))</f>
        <v/>
      </c>
      <c r="AA925" s="35"/>
      <c r="AB925" s="35" t="str">
        <f>'Ingest Template'!R925</f>
        <v/>
      </c>
      <c r="AC925" s="35" t="str">
        <f>'Ingest Template'!T925</f>
        <v/>
      </c>
      <c r="AD925" s="35" t="str">
        <f>'Ingest Template'!S925</f>
        <v/>
      </c>
      <c r="AE925" s="35" t="str">
        <f>'Ingest Template'!U925</f>
        <v/>
      </c>
      <c r="AF925" s="22"/>
      <c r="AG925" s="35" t="str">
        <f t="array" ref="AG925">IF('Ingest Template'!A925="Standard",(CONCATENATE(IF(ISBLANK('Ingest Template'!N925),"", 'Ingest Template'!N925&amp;"|DAR"),CHAR(10), IF(ISBLANK('Ingest Template'!O925),"", 'Ingest Template'!O925&amp;"|DAR"),CHAR(10), IF(ISBLANK('Ingest Template'!P925),"", 'Ingest Template'!P925&amp;"|DAR"))),(CONCATENATE(IF(ISBLANK('Ingest Template'!N925),"", 'Ingest Template'!N925&amp;"|TV Ops"),CHAR(10), IF(ISBLANK('Ingest Template'!O925),"", 'Ingest Template'!O925&amp;"|TV Ops"),CHAR(10), IF(ISBLANK('Ingest Template'!P925),"", 'Ingest Template'!P925&amp;"|TV Ops"))))</f>
        <v>
</v>
      </c>
      <c r="AH925" s="35"/>
      <c r="AI925" s="35"/>
      <c r="AJ925" s="117" t="str">
        <f>if('Ingest Template'!A925="Standard",(IF(OR('Ingest Template'!F925 = "Program Type - Special", 'Ingest Template'!F925 = "Program Type - Live Event"),'Ingest Template'!M925&amp; "|DAR|DAR|"&amp;TEXT('Ingest Template'!C925-3, "yyyy-mm-dd")&amp;"|"&amp;TEXT('Ingest Template'!C925+3, "yyyy-mm-dd"),'Ingest Template'!M925&amp; "|DAR|DAR|2021-01-01")),(IF(OR('Ingest Template'!F925 = "Program Type - Special", 'Ingest Template'!F925 = "Program Type - Live Event"),'Ingest Template'!M925&amp; "|Operations - Core Title|Operations - Core Title|"&amp;TEXT('Ingest Template'!C925-3, "yyyy-mm-dd")&amp;"|"&amp;TEXT('Ingest Template'!C925+3, "yyyy-mm-dd"),'Ingest Template'!M925&amp; "|Operations - Core Title|Operations - Core Title")))</f>
        <v>|Operations - Core Title|Operations - Core Title</v>
      </c>
      <c r="AK925" s="35"/>
      <c r="AL925" s="117" t="str">
        <f>if('Ingest Template'!A925="Standard",(IF(OR('Ingest Template'!F925 = "Program Type - Special", 'Ingest Template'!F925 = "Program Type - Live Event"),'Ingest Template'!Q925&amp;"|"&amp;TEXT('Ingest Template'!C925-3, "yyyy-mm-dd")&amp;"|"&amp;TEXT('Ingest Template'!C925+3, "yyyy-mm-dd"),'Ingest Template'!Q925&amp; "|2021-01-01")),(IF(OR('Ingest Template'!F925 = "Program Type - Special", 'Ingest Template'!F925 = "Program Type - Live Event"),'Ingest Template'!Q925&amp; "|"&amp;TEXT('Ingest Template'!C925-3, "yyyy-mm-dd")&amp;"|"&amp;TEXT('Ingest Template'!C925+3, "yyyy-mm-dd"),'Ingest Template'!Q925)))</f>
        <v/>
      </c>
      <c r="AM925" s="35" t="str">
        <f>'Ingest Template'!AC925</f>
        <v/>
      </c>
    </row>
    <row r="926">
      <c r="A926" s="15"/>
      <c r="B926" s="22" t="str">
        <f>'Ingest Template'!C926&amp;IF('Ingest Template'!A926 = "Standard", " - DAR","")</f>
        <v/>
      </c>
      <c r="C926" s="22" t="s">
        <v>83</v>
      </c>
      <c r="D926" s="22" t="str">
        <f t="array" ref="D926">CONCATENATE(INDEX(DropdownLists!$H$2:$H$11,MATCH(1,COUNTIF('Ingest Template'!E926,"*"&amp;DropdownLists!$I$2:$I$11&amp;"*"),0)),CHAR(10),'Ingest Template'!F926,CHAR(10),'Ingest Template'!G926,CHAR(10),VLOOKUP('Ingest Template'!D926,DropdownLists!C:D,2,FALSE))</f>
        <v>#N/A</v>
      </c>
      <c r="E926" s="22" t="str">
        <f>CONCATENATE('Ingest Template'!H926,CHAR(10),'Ingest Template'!I926,CHAR(10),'Ingest Template'!J926,CHAR(10))</f>
        <v>
</v>
      </c>
      <c r="F926" s="35" t="str">
        <f t="array" ref="F926">INDEX(DropdownLists!$O$2:$O$36,MATCH(1,COUNTIF(E926,"*"&amp;DropdownLists!$N$2:$N$36&amp;"*"),0))</f>
        <v/>
      </c>
      <c r="G926" s="35"/>
      <c r="H926" s="22" t="str">
        <f t="array" ref="H926">INDEX(DropdownLists!$E$2:$E$276,MATCH('Ingest Template'!D926,DropdownLists!$C$2:$C$276,0))</f>
        <v>#N/A</v>
      </c>
      <c r="I926" s="22"/>
      <c r="J926" s="22" t="str">
        <f t="array" ref="J926">iF('Ingest Template'!A926="Standard","Pristine Brand",INDEX(DropdownLists!$B$2:$B$246,MATCH('Ingest Template'!D926,DropdownLists!$C$2:$C$246,0)))</f>
        <v>#N/A</v>
      </c>
      <c r="K926" s="22" t="str">
        <f>iF('Ingest Template'!A926="Standard",'Ingest Template'!K926&amp;CHAR(10)&amp;'Ingest Template'!L926,"Competitive View")</f>
        <v>Competitive View</v>
      </c>
      <c r="L926" s="22" t="s">
        <v>95</v>
      </c>
      <c r="M926" s="45" t="str">
        <f>'Ingest Template'!B926</f>
        <v/>
      </c>
      <c r="N926" s="35"/>
      <c r="O926" s="35"/>
      <c r="P926" s="35"/>
      <c r="Q926" s="35"/>
      <c r="R926" s="35" t="str">
        <f>'Ingest Template'!D926</f>
        <v/>
      </c>
      <c r="S926" s="22" t="s">
        <v>101</v>
      </c>
      <c r="T926" s="35" t="str">
        <f>'Ingest Template'!V926</f>
        <v/>
      </c>
      <c r="U926" s="35" t="str">
        <f>'Ingest Template'!W926</f>
        <v/>
      </c>
      <c r="V926" s="35" t="str">
        <f>LOWER(SUBSTITUTE(SUBSTITUTE(SUBSTITUTE(SUBSTITUTE(SUBSTITUTE('Ingest Template'!X926,"https:",""),"www.",""),"/",""),"?hl=en",""),"instagram.com",""))</f>
        <v/>
      </c>
      <c r="W926" s="74" t="str">
        <f t="array" ref="W926">IF(
'Ingest Template'!Y926="",
SUBSTITUTE(
INDEX(DropdownLists!$F$2:$F$277,MATCH('Ingest Template'!D926,DropdownLists!$C$2:$C$277,0)),
CHAR(10),
"|"&amp;'Ingest Template'!C926&amp;CHAR(10)
)&amp;"|"&amp;'Ingest Template'!C926,
SUBSTITUTE(
INDEX(DropdownLists!$F$2:$F$277,MATCH('Ingest Template'!D926,DropdownLists!$C$2:$C$277,0)),
CHAR(10),
"|"&amp;'Ingest Template'!C926&amp;CHAR(10)
)&amp;"|"&amp;'Ingest Template'!C926&amp;CHAR(10)&amp;'Ingest Template'!Y926
)</f>
        <v>#N/A</v>
      </c>
      <c r="X926" s="74" t="str">
        <f>'Ingest Template'!Z926</f>
        <v/>
      </c>
      <c r="Y926" s="35" t="str">
        <f>SUBSTITUTE(SUBSTITUTE(SUBSTITUTE('Ingest Template'!AA926,"http:",""),"https:",""),"/","")</f>
        <v/>
      </c>
      <c r="Z926" s="35" t="str">
        <f t="array" ref="Z926">IF('Ingest Template'!A926="Standard",(IF(ISBLANK('Ingest Template'!AB926),"", 'Ingest Template'!AB926&amp;"|DAR")),(IF(ISBLANK('Ingest Template'!AB926),"", 'Ingest Template'!AB926&amp;"|TV Ops")))</f>
        <v/>
      </c>
      <c r="AA926" s="35"/>
      <c r="AB926" s="35" t="str">
        <f>'Ingest Template'!R926</f>
        <v/>
      </c>
      <c r="AC926" s="35" t="str">
        <f>'Ingest Template'!T926</f>
        <v/>
      </c>
      <c r="AD926" s="35" t="str">
        <f>'Ingest Template'!S926</f>
        <v/>
      </c>
      <c r="AE926" s="35" t="str">
        <f>'Ingest Template'!U926</f>
        <v/>
      </c>
      <c r="AF926" s="22"/>
      <c r="AG926" s="35" t="str">
        <f t="array" ref="AG926">IF('Ingest Template'!A926="Standard",(CONCATENATE(IF(ISBLANK('Ingest Template'!N926),"", 'Ingest Template'!N926&amp;"|DAR"),CHAR(10), IF(ISBLANK('Ingest Template'!O926),"", 'Ingest Template'!O926&amp;"|DAR"),CHAR(10), IF(ISBLANK('Ingest Template'!P926),"", 'Ingest Template'!P926&amp;"|DAR"))),(CONCATENATE(IF(ISBLANK('Ingest Template'!N926),"", 'Ingest Template'!N926&amp;"|TV Ops"),CHAR(10), IF(ISBLANK('Ingest Template'!O926),"", 'Ingest Template'!O926&amp;"|TV Ops"),CHAR(10), IF(ISBLANK('Ingest Template'!P926),"", 'Ingest Template'!P926&amp;"|TV Ops"))))</f>
        <v>
</v>
      </c>
      <c r="AH926" s="35"/>
      <c r="AI926" s="35"/>
      <c r="AJ926" s="117" t="str">
        <f>if('Ingest Template'!A926="Standard",(IF(OR('Ingest Template'!F926 = "Program Type - Special", 'Ingest Template'!F926 = "Program Type - Live Event"),'Ingest Template'!M926&amp; "|DAR|DAR|"&amp;TEXT('Ingest Template'!C926-3, "yyyy-mm-dd")&amp;"|"&amp;TEXT('Ingest Template'!C926+3, "yyyy-mm-dd"),'Ingest Template'!M926&amp; "|DAR|DAR|2021-01-01")),(IF(OR('Ingest Template'!F926 = "Program Type - Special", 'Ingest Template'!F926 = "Program Type - Live Event"),'Ingest Template'!M926&amp; "|Operations - Core Title|Operations - Core Title|"&amp;TEXT('Ingest Template'!C926-3, "yyyy-mm-dd")&amp;"|"&amp;TEXT('Ingest Template'!C926+3, "yyyy-mm-dd"),'Ingest Template'!M926&amp; "|Operations - Core Title|Operations - Core Title")))</f>
        <v>|Operations - Core Title|Operations - Core Title</v>
      </c>
      <c r="AK926" s="35"/>
      <c r="AL926" s="117" t="str">
        <f>if('Ingest Template'!A926="Standard",(IF(OR('Ingest Template'!F926 = "Program Type - Special", 'Ingest Template'!F926 = "Program Type - Live Event"),'Ingest Template'!Q926&amp;"|"&amp;TEXT('Ingest Template'!C926-3, "yyyy-mm-dd")&amp;"|"&amp;TEXT('Ingest Template'!C926+3, "yyyy-mm-dd"),'Ingest Template'!Q926&amp; "|2021-01-01")),(IF(OR('Ingest Template'!F926 = "Program Type - Special", 'Ingest Template'!F926 = "Program Type - Live Event"),'Ingest Template'!Q926&amp; "|"&amp;TEXT('Ingest Template'!C926-3, "yyyy-mm-dd")&amp;"|"&amp;TEXT('Ingest Template'!C926+3, "yyyy-mm-dd"),'Ingest Template'!Q926)))</f>
        <v/>
      </c>
      <c r="AM926" s="35" t="str">
        <f>'Ingest Template'!AC926</f>
        <v/>
      </c>
    </row>
    <row r="927">
      <c r="A927" s="15"/>
      <c r="B927" s="22" t="str">
        <f>'Ingest Template'!C927&amp;IF('Ingest Template'!A927 = "Standard", " - DAR","")</f>
        <v/>
      </c>
      <c r="C927" s="22" t="s">
        <v>83</v>
      </c>
      <c r="D927" s="22" t="str">
        <f t="array" ref="D927">CONCATENATE(INDEX(DropdownLists!$H$2:$H$11,MATCH(1,COUNTIF('Ingest Template'!E927,"*"&amp;DropdownLists!$I$2:$I$11&amp;"*"),0)),CHAR(10),'Ingest Template'!F927,CHAR(10),'Ingest Template'!G927,CHAR(10),VLOOKUP('Ingest Template'!D927,DropdownLists!C:D,2,FALSE))</f>
        <v>#N/A</v>
      </c>
      <c r="E927" s="22" t="str">
        <f>CONCATENATE('Ingest Template'!H927,CHAR(10),'Ingest Template'!I927,CHAR(10),'Ingest Template'!J927,CHAR(10))</f>
        <v>
</v>
      </c>
      <c r="F927" s="35" t="str">
        <f t="array" ref="F927">INDEX(DropdownLists!$O$2:$O$36,MATCH(1,COUNTIF(E927,"*"&amp;DropdownLists!$N$2:$N$36&amp;"*"),0))</f>
        <v/>
      </c>
      <c r="G927" s="35"/>
      <c r="H927" s="22" t="str">
        <f t="array" ref="H927">INDEX(DropdownLists!$E$2:$E$276,MATCH('Ingest Template'!D927,DropdownLists!$C$2:$C$276,0))</f>
        <v>#N/A</v>
      </c>
      <c r="I927" s="22"/>
      <c r="J927" s="22" t="str">
        <f t="array" ref="J927">iF('Ingest Template'!A927="Standard","Pristine Brand",INDEX(DropdownLists!$B$2:$B$246,MATCH('Ingest Template'!D927,DropdownLists!$C$2:$C$246,0)))</f>
        <v>#N/A</v>
      </c>
      <c r="K927" s="22" t="str">
        <f>iF('Ingest Template'!A927="Standard",'Ingest Template'!K927&amp;CHAR(10)&amp;'Ingest Template'!L927,"Competitive View")</f>
        <v>Competitive View</v>
      </c>
      <c r="L927" s="22" t="s">
        <v>95</v>
      </c>
      <c r="M927" s="45" t="str">
        <f>'Ingest Template'!B927</f>
        <v/>
      </c>
      <c r="N927" s="35"/>
      <c r="O927" s="35"/>
      <c r="P927" s="35"/>
      <c r="Q927" s="35"/>
      <c r="R927" s="35" t="str">
        <f>'Ingest Template'!D927</f>
        <v/>
      </c>
      <c r="S927" s="22" t="s">
        <v>101</v>
      </c>
      <c r="T927" s="35" t="str">
        <f>'Ingest Template'!V927</f>
        <v/>
      </c>
      <c r="U927" s="35" t="str">
        <f>'Ingest Template'!W927</f>
        <v/>
      </c>
      <c r="V927" s="35" t="str">
        <f>LOWER(SUBSTITUTE(SUBSTITUTE(SUBSTITUTE(SUBSTITUTE(SUBSTITUTE('Ingest Template'!X927,"https:",""),"www.",""),"/",""),"?hl=en",""),"instagram.com",""))</f>
        <v/>
      </c>
      <c r="W927" s="74" t="str">
        <f t="array" ref="W927">IF(
'Ingest Template'!Y927="",
SUBSTITUTE(
INDEX(DropdownLists!$F$2:$F$277,MATCH('Ingest Template'!D927,DropdownLists!$C$2:$C$277,0)),
CHAR(10),
"|"&amp;'Ingest Template'!C927&amp;CHAR(10)
)&amp;"|"&amp;'Ingest Template'!C927,
SUBSTITUTE(
INDEX(DropdownLists!$F$2:$F$277,MATCH('Ingest Template'!D927,DropdownLists!$C$2:$C$277,0)),
CHAR(10),
"|"&amp;'Ingest Template'!C927&amp;CHAR(10)
)&amp;"|"&amp;'Ingest Template'!C927&amp;CHAR(10)&amp;'Ingest Template'!Y927
)</f>
        <v>#N/A</v>
      </c>
      <c r="X927" s="74" t="str">
        <f>'Ingest Template'!Z927</f>
        <v/>
      </c>
      <c r="Y927" s="35" t="str">
        <f>SUBSTITUTE(SUBSTITUTE(SUBSTITUTE('Ingest Template'!AA927,"http:",""),"https:",""),"/","")</f>
        <v/>
      </c>
      <c r="Z927" s="35" t="str">
        <f t="array" ref="Z927">IF('Ingest Template'!A927="Standard",(IF(ISBLANK('Ingest Template'!AB927),"", 'Ingest Template'!AB927&amp;"|DAR")),(IF(ISBLANK('Ingest Template'!AB927),"", 'Ingest Template'!AB927&amp;"|TV Ops")))</f>
        <v/>
      </c>
      <c r="AA927" s="35"/>
      <c r="AB927" s="35" t="str">
        <f>'Ingest Template'!R927</f>
        <v/>
      </c>
      <c r="AC927" s="35" t="str">
        <f>'Ingest Template'!T927</f>
        <v/>
      </c>
      <c r="AD927" s="35" t="str">
        <f>'Ingest Template'!S927</f>
        <v/>
      </c>
      <c r="AE927" s="35" t="str">
        <f>'Ingest Template'!U927</f>
        <v/>
      </c>
      <c r="AF927" s="22"/>
      <c r="AG927" s="35" t="str">
        <f t="array" ref="AG927">IF('Ingest Template'!A927="Standard",(CONCATENATE(IF(ISBLANK('Ingest Template'!N927),"", 'Ingest Template'!N927&amp;"|DAR"),CHAR(10), IF(ISBLANK('Ingest Template'!O927),"", 'Ingest Template'!O927&amp;"|DAR"),CHAR(10), IF(ISBLANK('Ingest Template'!P927),"", 'Ingest Template'!P927&amp;"|DAR"))),(CONCATENATE(IF(ISBLANK('Ingest Template'!N927),"", 'Ingest Template'!N927&amp;"|TV Ops"),CHAR(10), IF(ISBLANK('Ingest Template'!O927),"", 'Ingest Template'!O927&amp;"|TV Ops"),CHAR(10), IF(ISBLANK('Ingest Template'!P927),"", 'Ingest Template'!P927&amp;"|TV Ops"))))</f>
        <v>
</v>
      </c>
      <c r="AH927" s="35"/>
      <c r="AI927" s="35"/>
      <c r="AJ927" s="117" t="str">
        <f>if('Ingest Template'!A927="Standard",(IF(OR('Ingest Template'!F927 = "Program Type - Special", 'Ingest Template'!F927 = "Program Type - Live Event"),'Ingest Template'!M927&amp; "|DAR|DAR|"&amp;TEXT('Ingest Template'!C927-3, "yyyy-mm-dd")&amp;"|"&amp;TEXT('Ingest Template'!C927+3, "yyyy-mm-dd"),'Ingest Template'!M927&amp; "|DAR|DAR|2021-01-01")),(IF(OR('Ingest Template'!F927 = "Program Type - Special", 'Ingest Template'!F927 = "Program Type - Live Event"),'Ingest Template'!M927&amp; "|Operations - Core Title|Operations - Core Title|"&amp;TEXT('Ingest Template'!C927-3, "yyyy-mm-dd")&amp;"|"&amp;TEXT('Ingest Template'!C927+3, "yyyy-mm-dd"),'Ingest Template'!M927&amp; "|Operations - Core Title|Operations - Core Title")))</f>
        <v>|Operations - Core Title|Operations - Core Title</v>
      </c>
      <c r="AK927" s="35"/>
      <c r="AL927" s="117" t="str">
        <f>if('Ingest Template'!A927="Standard",(IF(OR('Ingest Template'!F927 = "Program Type - Special", 'Ingest Template'!F927 = "Program Type - Live Event"),'Ingest Template'!Q927&amp;"|"&amp;TEXT('Ingest Template'!C927-3, "yyyy-mm-dd")&amp;"|"&amp;TEXT('Ingest Template'!C927+3, "yyyy-mm-dd"),'Ingest Template'!Q927&amp; "|2021-01-01")),(IF(OR('Ingest Template'!F927 = "Program Type - Special", 'Ingest Template'!F927 = "Program Type - Live Event"),'Ingest Template'!Q927&amp; "|"&amp;TEXT('Ingest Template'!C927-3, "yyyy-mm-dd")&amp;"|"&amp;TEXT('Ingest Template'!C927+3, "yyyy-mm-dd"),'Ingest Template'!Q927)))</f>
        <v/>
      </c>
      <c r="AM927" s="35" t="str">
        <f>'Ingest Template'!AC927</f>
        <v/>
      </c>
    </row>
    <row r="928">
      <c r="A928" s="15"/>
      <c r="B928" s="22" t="str">
        <f>'Ingest Template'!C928&amp;IF('Ingest Template'!A928 = "Standard", " - DAR","")</f>
        <v/>
      </c>
      <c r="C928" s="22" t="s">
        <v>83</v>
      </c>
      <c r="D928" s="22" t="str">
        <f t="array" ref="D928">CONCATENATE(INDEX(DropdownLists!$H$2:$H$11,MATCH(1,COUNTIF('Ingest Template'!E928,"*"&amp;DropdownLists!$I$2:$I$11&amp;"*"),0)),CHAR(10),'Ingest Template'!F928,CHAR(10),'Ingest Template'!G928,CHAR(10),VLOOKUP('Ingest Template'!D928,DropdownLists!C:D,2,FALSE))</f>
        <v>#N/A</v>
      </c>
      <c r="E928" s="22" t="str">
        <f>CONCATENATE('Ingest Template'!H928,CHAR(10),'Ingest Template'!I928,CHAR(10),'Ingest Template'!J928,CHAR(10))</f>
        <v>
</v>
      </c>
      <c r="F928" s="35" t="str">
        <f t="array" ref="F928">INDEX(DropdownLists!$O$2:$O$36,MATCH(1,COUNTIF(E928,"*"&amp;DropdownLists!$N$2:$N$36&amp;"*"),0))</f>
        <v/>
      </c>
      <c r="G928" s="35"/>
      <c r="H928" s="22" t="str">
        <f t="array" ref="H928">INDEX(DropdownLists!$E$2:$E$276,MATCH('Ingest Template'!D928,DropdownLists!$C$2:$C$276,0))</f>
        <v>#N/A</v>
      </c>
      <c r="I928" s="22"/>
      <c r="J928" s="22" t="str">
        <f t="array" ref="J928">iF('Ingest Template'!A928="Standard","Pristine Brand",INDEX(DropdownLists!$B$2:$B$246,MATCH('Ingest Template'!D928,DropdownLists!$C$2:$C$246,0)))</f>
        <v>#N/A</v>
      </c>
      <c r="K928" s="22" t="str">
        <f>iF('Ingest Template'!A928="Standard",'Ingest Template'!K928&amp;CHAR(10)&amp;'Ingest Template'!L928,"Competitive View")</f>
        <v>Competitive View</v>
      </c>
      <c r="L928" s="22" t="s">
        <v>95</v>
      </c>
      <c r="M928" s="45" t="str">
        <f>'Ingest Template'!B928</f>
        <v/>
      </c>
      <c r="N928" s="35"/>
      <c r="O928" s="35"/>
      <c r="P928" s="35"/>
      <c r="Q928" s="35"/>
      <c r="R928" s="35" t="str">
        <f>'Ingest Template'!D928</f>
        <v/>
      </c>
      <c r="S928" s="22" t="s">
        <v>101</v>
      </c>
      <c r="T928" s="35" t="str">
        <f>'Ingest Template'!V928</f>
        <v/>
      </c>
      <c r="U928" s="35" t="str">
        <f>'Ingest Template'!W928</f>
        <v/>
      </c>
      <c r="V928" s="35" t="str">
        <f>LOWER(SUBSTITUTE(SUBSTITUTE(SUBSTITUTE(SUBSTITUTE(SUBSTITUTE('Ingest Template'!X928,"https:",""),"www.",""),"/",""),"?hl=en",""),"instagram.com",""))</f>
        <v/>
      </c>
      <c r="W928" s="74" t="str">
        <f t="array" ref="W928">IF(
'Ingest Template'!Y928="",
SUBSTITUTE(
INDEX(DropdownLists!$F$2:$F$277,MATCH('Ingest Template'!D928,DropdownLists!$C$2:$C$277,0)),
CHAR(10),
"|"&amp;'Ingest Template'!C928&amp;CHAR(10)
)&amp;"|"&amp;'Ingest Template'!C928,
SUBSTITUTE(
INDEX(DropdownLists!$F$2:$F$277,MATCH('Ingest Template'!D928,DropdownLists!$C$2:$C$277,0)),
CHAR(10),
"|"&amp;'Ingest Template'!C928&amp;CHAR(10)
)&amp;"|"&amp;'Ingest Template'!C928&amp;CHAR(10)&amp;'Ingest Template'!Y928
)</f>
        <v>#N/A</v>
      </c>
      <c r="X928" s="74" t="str">
        <f>'Ingest Template'!Z928</f>
        <v/>
      </c>
      <c r="Y928" s="35" t="str">
        <f>SUBSTITUTE(SUBSTITUTE(SUBSTITUTE('Ingest Template'!AA928,"http:",""),"https:",""),"/","")</f>
        <v/>
      </c>
      <c r="Z928" s="35" t="str">
        <f t="array" ref="Z928">IF('Ingest Template'!A928="Standard",(IF(ISBLANK('Ingest Template'!AB928),"", 'Ingest Template'!AB928&amp;"|DAR")),(IF(ISBLANK('Ingest Template'!AB928),"", 'Ingest Template'!AB928&amp;"|TV Ops")))</f>
        <v/>
      </c>
      <c r="AA928" s="35"/>
      <c r="AB928" s="35" t="str">
        <f>'Ingest Template'!R928</f>
        <v/>
      </c>
      <c r="AC928" s="35" t="str">
        <f>'Ingest Template'!T928</f>
        <v/>
      </c>
      <c r="AD928" s="35" t="str">
        <f>'Ingest Template'!S928</f>
        <v/>
      </c>
      <c r="AE928" s="35" t="str">
        <f>'Ingest Template'!U928</f>
        <v/>
      </c>
      <c r="AF928" s="22"/>
      <c r="AG928" s="35" t="str">
        <f t="array" ref="AG928">IF('Ingest Template'!A928="Standard",(CONCATENATE(IF(ISBLANK('Ingest Template'!N928),"", 'Ingest Template'!N928&amp;"|DAR"),CHAR(10), IF(ISBLANK('Ingest Template'!O928),"", 'Ingest Template'!O928&amp;"|DAR"),CHAR(10), IF(ISBLANK('Ingest Template'!P928),"", 'Ingest Template'!P928&amp;"|DAR"))),(CONCATENATE(IF(ISBLANK('Ingest Template'!N928),"", 'Ingest Template'!N928&amp;"|TV Ops"),CHAR(10), IF(ISBLANK('Ingest Template'!O928),"", 'Ingest Template'!O928&amp;"|TV Ops"),CHAR(10), IF(ISBLANK('Ingest Template'!P928),"", 'Ingest Template'!P928&amp;"|TV Ops"))))</f>
        <v>
</v>
      </c>
      <c r="AH928" s="35"/>
      <c r="AI928" s="35"/>
      <c r="AJ928" s="117" t="str">
        <f>if('Ingest Template'!A928="Standard",(IF(OR('Ingest Template'!F928 = "Program Type - Special", 'Ingest Template'!F928 = "Program Type - Live Event"),'Ingest Template'!M928&amp; "|DAR|DAR|"&amp;TEXT('Ingest Template'!C928-3, "yyyy-mm-dd")&amp;"|"&amp;TEXT('Ingest Template'!C928+3, "yyyy-mm-dd"),'Ingest Template'!M928&amp; "|DAR|DAR|2021-01-01")),(IF(OR('Ingest Template'!F928 = "Program Type - Special", 'Ingest Template'!F928 = "Program Type - Live Event"),'Ingest Template'!M928&amp; "|Operations - Core Title|Operations - Core Title|"&amp;TEXT('Ingest Template'!C928-3, "yyyy-mm-dd")&amp;"|"&amp;TEXT('Ingest Template'!C928+3, "yyyy-mm-dd"),'Ingest Template'!M928&amp; "|Operations - Core Title|Operations - Core Title")))</f>
        <v>|Operations - Core Title|Operations - Core Title</v>
      </c>
      <c r="AK928" s="35"/>
      <c r="AL928" s="117" t="str">
        <f>if('Ingest Template'!A928="Standard",(IF(OR('Ingest Template'!F928 = "Program Type - Special", 'Ingest Template'!F928 = "Program Type - Live Event"),'Ingest Template'!Q928&amp;"|"&amp;TEXT('Ingest Template'!C928-3, "yyyy-mm-dd")&amp;"|"&amp;TEXT('Ingest Template'!C928+3, "yyyy-mm-dd"),'Ingest Template'!Q928&amp; "|2021-01-01")),(IF(OR('Ingest Template'!F928 = "Program Type - Special", 'Ingest Template'!F928 = "Program Type - Live Event"),'Ingest Template'!Q928&amp; "|"&amp;TEXT('Ingest Template'!C928-3, "yyyy-mm-dd")&amp;"|"&amp;TEXT('Ingest Template'!C928+3, "yyyy-mm-dd"),'Ingest Template'!Q928)))</f>
        <v/>
      </c>
      <c r="AM928" s="35" t="str">
        <f>'Ingest Template'!AC928</f>
        <v/>
      </c>
    </row>
    <row r="929">
      <c r="A929" s="15"/>
      <c r="B929" s="22" t="str">
        <f>'Ingest Template'!C929&amp;IF('Ingest Template'!A929 = "Standard", " - DAR","")</f>
        <v/>
      </c>
      <c r="C929" s="22" t="s">
        <v>83</v>
      </c>
      <c r="D929" s="22" t="str">
        <f t="array" ref="D929">CONCATENATE(INDEX(DropdownLists!$H$2:$H$11,MATCH(1,COUNTIF('Ingest Template'!E929,"*"&amp;DropdownLists!$I$2:$I$11&amp;"*"),0)),CHAR(10),'Ingest Template'!F929,CHAR(10),'Ingest Template'!G929,CHAR(10),VLOOKUP('Ingest Template'!D929,DropdownLists!C:D,2,FALSE))</f>
        <v>#N/A</v>
      </c>
      <c r="E929" s="22" t="str">
        <f>CONCATENATE('Ingest Template'!H929,CHAR(10),'Ingest Template'!I929,CHAR(10),'Ingest Template'!J929,CHAR(10))</f>
        <v>
</v>
      </c>
      <c r="F929" s="35" t="str">
        <f t="array" ref="F929">INDEX(DropdownLists!$O$2:$O$36,MATCH(1,COUNTIF(E929,"*"&amp;DropdownLists!$N$2:$N$36&amp;"*"),0))</f>
        <v/>
      </c>
      <c r="G929" s="35"/>
      <c r="H929" s="22" t="str">
        <f t="array" ref="H929">INDEX(DropdownLists!$E$2:$E$276,MATCH('Ingest Template'!D929,DropdownLists!$C$2:$C$276,0))</f>
        <v>#N/A</v>
      </c>
      <c r="I929" s="22"/>
      <c r="J929" s="22" t="str">
        <f t="array" ref="J929">iF('Ingest Template'!A929="Standard","Pristine Brand",INDEX(DropdownLists!$B$2:$B$246,MATCH('Ingest Template'!D929,DropdownLists!$C$2:$C$246,0)))</f>
        <v>#N/A</v>
      </c>
      <c r="K929" s="22" t="str">
        <f>iF('Ingest Template'!A929="Standard",'Ingest Template'!K929&amp;CHAR(10)&amp;'Ingest Template'!L929,"Competitive View")</f>
        <v>Competitive View</v>
      </c>
      <c r="L929" s="22" t="s">
        <v>95</v>
      </c>
      <c r="M929" s="45" t="str">
        <f>'Ingest Template'!B929</f>
        <v/>
      </c>
      <c r="N929" s="35"/>
      <c r="O929" s="35"/>
      <c r="P929" s="35"/>
      <c r="Q929" s="35"/>
      <c r="R929" s="35" t="str">
        <f>'Ingest Template'!D929</f>
        <v/>
      </c>
      <c r="S929" s="22" t="s">
        <v>101</v>
      </c>
      <c r="T929" s="35" t="str">
        <f>'Ingest Template'!V929</f>
        <v/>
      </c>
      <c r="U929" s="35" t="str">
        <f>'Ingest Template'!W929</f>
        <v/>
      </c>
      <c r="V929" s="35" t="str">
        <f>LOWER(SUBSTITUTE(SUBSTITUTE(SUBSTITUTE(SUBSTITUTE(SUBSTITUTE('Ingest Template'!X929,"https:",""),"www.",""),"/",""),"?hl=en",""),"instagram.com",""))</f>
        <v/>
      </c>
      <c r="W929" s="74" t="str">
        <f t="array" ref="W929">IF(
'Ingest Template'!Y929="",
SUBSTITUTE(
INDEX(DropdownLists!$F$2:$F$277,MATCH('Ingest Template'!D929,DropdownLists!$C$2:$C$277,0)),
CHAR(10),
"|"&amp;'Ingest Template'!C929&amp;CHAR(10)
)&amp;"|"&amp;'Ingest Template'!C929,
SUBSTITUTE(
INDEX(DropdownLists!$F$2:$F$277,MATCH('Ingest Template'!D929,DropdownLists!$C$2:$C$277,0)),
CHAR(10),
"|"&amp;'Ingest Template'!C929&amp;CHAR(10)
)&amp;"|"&amp;'Ingest Template'!C929&amp;CHAR(10)&amp;'Ingest Template'!Y929
)</f>
        <v>#N/A</v>
      </c>
      <c r="X929" s="74" t="str">
        <f>'Ingest Template'!Z929</f>
        <v/>
      </c>
      <c r="Y929" s="35" t="str">
        <f>SUBSTITUTE(SUBSTITUTE(SUBSTITUTE('Ingest Template'!AA929,"http:",""),"https:",""),"/","")</f>
        <v/>
      </c>
      <c r="Z929" s="35" t="str">
        <f t="array" ref="Z929">IF('Ingest Template'!A929="Standard",(IF(ISBLANK('Ingest Template'!AB929),"", 'Ingest Template'!AB929&amp;"|DAR")),(IF(ISBLANK('Ingest Template'!AB929),"", 'Ingest Template'!AB929&amp;"|TV Ops")))</f>
        <v/>
      </c>
      <c r="AA929" s="35"/>
      <c r="AB929" s="35" t="str">
        <f>'Ingest Template'!R929</f>
        <v/>
      </c>
      <c r="AC929" s="35" t="str">
        <f>'Ingest Template'!T929</f>
        <v/>
      </c>
      <c r="AD929" s="35" t="str">
        <f>'Ingest Template'!S929</f>
        <v/>
      </c>
      <c r="AE929" s="35" t="str">
        <f>'Ingest Template'!U929</f>
        <v/>
      </c>
      <c r="AF929" s="22"/>
      <c r="AG929" s="35" t="str">
        <f t="array" ref="AG929">IF('Ingest Template'!A929="Standard",(CONCATENATE(IF(ISBLANK('Ingest Template'!N929),"", 'Ingest Template'!N929&amp;"|DAR"),CHAR(10), IF(ISBLANK('Ingest Template'!O929),"", 'Ingest Template'!O929&amp;"|DAR"),CHAR(10), IF(ISBLANK('Ingest Template'!P929),"", 'Ingest Template'!P929&amp;"|DAR"))),(CONCATENATE(IF(ISBLANK('Ingest Template'!N929),"", 'Ingest Template'!N929&amp;"|TV Ops"),CHAR(10), IF(ISBLANK('Ingest Template'!O929),"", 'Ingest Template'!O929&amp;"|TV Ops"),CHAR(10), IF(ISBLANK('Ingest Template'!P929),"", 'Ingest Template'!P929&amp;"|TV Ops"))))</f>
        <v>
</v>
      </c>
      <c r="AH929" s="35"/>
      <c r="AI929" s="35"/>
      <c r="AJ929" s="117" t="str">
        <f>if('Ingest Template'!A929="Standard",(IF(OR('Ingest Template'!F929 = "Program Type - Special", 'Ingest Template'!F929 = "Program Type - Live Event"),'Ingest Template'!M929&amp; "|DAR|DAR|"&amp;TEXT('Ingest Template'!C929-3, "yyyy-mm-dd")&amp;"|"&amp;TEXT('Ingest Template'!C929+3, "yyyy-mm-dd"),'Ingest Template'!M929&amp; "|DAR|DAR|2021-01-01")),(IF(OR('Ingest Template'!F929 = "Program Type - Special", 'Ingest Template'!F929 = "Program Type - Live Event"),'Ingest Template'!M929&amp; "|Operations - Core Title|Operations - Core Title|"&amp;TEXT('Ingest Template'!C929-3, "yyyy-mm-dd")&amp;"|"&amp;TEXT('Ingest Template'!C929+3, "yyyy-mm-dd"),'Ingest Template'!M929&amp; "|Operations - Core Title|Operations - Core Title")))</f>
        <v>|Operations - Core Title|Operations - Core Title</v>
      </c>
      <c r="AK929" s="35"/>
      <c r="AL929" s="117" t="str">
        <f>if('Ingest Template'!A929="Standard",(IF(OR('Ingest Template'!F929 = "Program Type - Special", 'Ingest Template'!F929 = "Program Type - Live Event"),'Ingest Template'!Q929&amp;"|"&amp;TEXT('Ingest Template'!C929-3, "yyyy-mm-dd")&amp;"|"&amp;TEXT('Ingest Template'!C929+3, "yyyy-mm-dd"),'Ingest Template'!Q929&amp; "|2021-01-01")),(IF(OR('Ingest Template'!F929 = "Program Type - Special", 'Ingest Template'!F929 = "Program Type - Live Event"),'Ingest Template'!Q929&amp; "|"&amp;TEXT('Ingest Template'!C929-3, "yyyy-mm-dd")&amp;"|"&amp;TEXT('Ingest Template'!C929+3, "yyyy-mm-dd"),'Ingest Template'!Q929)))</f>
        <v/>
      </c>
      <c r="AM929" s="35" t="str">
        <f>'Ingest Template'!AC929</f>
        <v/>
      </c>
    </row>
    <row r="930">
      <c r="A930" s="15"/>
      <c r="B930" s="22" t="str">
        <f>'Ingest Template'!C930&amp;IF('Ingest Template'!A930 = "Standard", " - DAR","")</f>
        <v/>
      </c>
      <c r="C930" s="22" t="s">
        <v>83</v>
      </c>
      <c r="D930" s="22" t="str">
        <f t="array" ref="D930">CONCATENATE(INDEX(DropdownLists!$H$2:$H$11,MATCH(1,COUNTIF('Ingest Template'!E930,"*"&amp;DropdownLists!$I$2:$I$11&amp;"*"),0)),CHAR(10),'Ingest Template'!F930,CHAR(10),'Ingest Template'!G930,CHAR(10),VLOOKUP('Ingest Template'!D930,DropdownLists!C:D,2,FALSE))</f>
        <v>#N/A</v>
      </c>
      <c r="E930" s="22" t="str">
        <f>CONCATENATE('Ingest Template'!H930,CHAR(10),'Ingest Template'!I930,CHAR(10),'Ingest Template'!J930,CHAR(10))</f>
        <v>
</v>
      </c>
      <c r="F930" s="35" t="str">
        <f t="array" ref="F930">INDEX(DropdownLists!$O$2:$O$36,MATCH(1,COUNTIF(E930,"*"&amp;DropdownLists!$N$2:$N$36&amp;"*"),0))</f>
        <v/>
      </c>
      <c r="G930" s="35"/>
      <c r="H930" s="22" t="str">
        <f t="array" ref="H930">INDEX(DropdownLists!$E$2:$E$276,MATCH('Ingest Template'!D930,DropdownLists!$C$2:$C$276,0))</f>
        <v>#N/A</v>
      </c>
      <c r="I930" s="22"/>
      <c r="J930" s="22" t="str">
        <f t="array" ref="J930">iF('Ingest Template'!A930="Standard","Pristine Brand",INDEX(DropdownLists!$B$2:$B$246,MATCH('Ingest Template'!D930,DropdownLists!$C$2:$C$246,0)))</f>
        <v>#N/A</v>
      </c>
      <c r="K930" s="22" t="str">
        <f>iF('Ingest Template'!A930="Standard",'Ingest Template'!K930&amp;CHAR(10)&amp;'Ingest Template'!L930,"Competitive View")</f>
        <v>Competitive View</v>
      </c>
      <c r="L930" s="22" t="s">
        <v>95</v>
      </c>
      <c r="M930" s="45" t="str">
        <f>'Ingest Template'!B930</f>
        <v/>
      </c>
      <c r="N930" s="35"/>
      <c r="O930" s="35"/>
      <c r="P930" s="35"/>
      <c r="Q930" s="35"/>
      <c r="R930" s="35" t="str">
        <f>'Ingest Template'!D930</f>
        <v/>
      </c>
      <c r="S930" s="22" t="s">
        <v>101</v>
      </c>
      <c r="T930" s="35" t="str">
        <f>'Ingest Template'!V930</f>
        <v/>
      </c>
      <c r="U930" s="35" t="str">
        <f>'Ingest Template'!W930</f>
        <v/>
      </c>
      <c r="V930" s="35" t="str">
        <f>LOWER(SUBSTITUTE(SUBSTITUTE(SUBSTITUTE(SUBSTITUTE(SUBSTITUTE('Ingest Template'!X930,"https:",""),"www.",""),"/",""),"?hl=en",""),"instagram.com",""))</f>
        <v/>
      </c>
      <c r="W930" s="74" t="str">
        <f t="array" ref="W930">IF(
'Ingest Template'!Y930="",
SUBSTITUTE(
INDEX(DropdownLists!$F$2:$F$277,MATCH('Ingest Template'!D930,DropdownLists!$C$2:$C$277,0)),
CHAR(10),
"|"&amp;'Ingest Template'!C930&amp;CHAR(10)
)&amp;"|"&amp;'Ingest Template'!C930,
SUBSTITUTE(
INDEX(DropdownLists!$F$2:$F$277,MATCH('Ingest Template'!D930,DropdownLists!$C$2:$C$277,0)),
CHAR(10),
"|"&amp;'Ingest Template'!C930&amp;CHAR(10)
)&amp;"|"&amp;'Ingest Template'!C930&amp;CHAR(10)&amp;'Ingest Template'!Y930
)</f>
        <v>#N/A</v>
      </c>
      <c r="X930" s="74" t="str">
        <f>'Ingest Template'!Z930</f>
        <v/>
      </c>
      <c r="Y930" s="35" t="str">
        <f>SUBSTITUTE(SUBSTITUTE(SUBSTITUTE('Ingest Template'!AA930,"http:",""),"https:",""),"/","")</f>
        <v/>
      </c>
      <c r="Z930" s="35" t="str">
        <f t="array" ref="Z930">IF('Ingest Template'!A930="Standard",(IF(ISBLANK('Ingest Template'!AB930),"", 'Ingest Template'!AB930&amp;"|DAR")),(IF(ISBLANK('Ingest Template'!AB930),"", 'Ingest Template'!AB930&amp;"|TV Ops")))</f>
        <v/>
      </c>
      <c r="AA930" s="35"/>
      <c r="AB930" s="35" t="str">
        <f>'Ingest Template'!R930</f>
        <v/>
      </c>
      <c r="AC930" s="35" t="str">
        <f>'Ingest Template'!T930</f>
        <v/>
      </c>
      <c r="AD930" s="35" t="str">
        <f>'Ingest Template'!S930</f>
        <v/>
      </c>
      <c r="AE930" s="35" t="str">
        <f>'Ingest Template'!U930</f>
        <v/>
      </c>
      <c r="AF930" s="22"/>
      <c r="AG930" s="35" t="str">
        <f t="array" ref="AG930">IF('Ingest Template'!A930="Standard",(CONCATENATE(IF(ISBLANK('Ingest Template'!N930),"", 'Ingest Template'!N930&amp;"|DAR"),CHAR(10), IF(ISBLANK('Ingest Template'!O930),"", 'Ingest Template'!O930&amp;"|DAR"),CHAR(10), IF(ISBLANK('Ingest Template'!P930),"", 'Ingest Template'!P930&amp;"|DAR"))),(CONCATENATE(IF(ISBLANK('Ingest Template'!N930),"", 'Ingest Template'!N930&amp;"|TV Ops"),CHAR(10), IF(ISBLANK('Ingest Template'!O930),"", 'Ingest Template'!O930&amp;"|TV Ops"),CHAR(10), IF(ISBLANK('Ingest Template'!P930),"", 'Ingest Template'!P930&amp;"|TV Ops"))))</f>
        <v>
</v>
      </c>
      <c r="AH930" s="35"/>
      <c r="AI930" s="35"/>
      <c r="AJ930" s="117" t="str">
        <f>if('Ingest Template'!A930="Standard",(IF(OR('Ingest Template'!F930 = "Program Type - Special", 'Ingest Template'!F930 = "Program Type - Live Event"),'Ingest Template'!M930&amp; "|DAR|DAR|"&amp;TEXT('Ingest Template'!C930-3, "yyyy-mm-dd")&amp;"|"&amp;TEXT('Ingest Template'!C930+3, "yyyy-mm-dd"),'Ingest Template'!M930&amp; "|DAR|DAR|2021-01-01")),(IF(OR('Ingest Template'!F930 = "Program Type - Special", 'Ingest Template'!F930 = "Program Type - Live Event"),'Ingest Template'!M930&amp; "|Operations - Core Title|Operations - Core Title|"&amp;TEXT('Ingest Template'!C930-3, "yyyy-mm-dd")&amp;"|"&amp;TEXT('Ingest Template'!C930+3, "yyyy-mm-dd"),'Ingest Template'!M930&amp; "|Operations - Core Title|Operations - Core Title")))</f>
        <v>|Operations - Core Title|Operations - Core Title</v>
      </c>
      <c r="AK930" s="35"/>
      <c r="AL930" s="117" t="str">
        <f>if('Ingest Template'!A930="Standard",(IF(OR('Ingest Template'!F930 = "Program Type - Special", 'Ingest Template'!F930 = "Program Type - Live Event"),'Ingest Template'!Q930&amp;"|"&amp;TEXT('Ingest Template'!C930-3, "yyyy-mm-dd")&amp;"|"&amp;TEXT('Ingest Template'!C930+3, "yyyy-mm-dd"),'Ingest Template'!Q930&amp; "|2021-01-01")),(IF(OR('Ingest Template'!F930 = "Program Type - Special", 'Ingest Template'!F930 = "Program Type - Live Event"),'Ingest Template'!Q930&amp; "|"&amp;TEXT('Ingest Template'!C930-3, "yyyy-mm-dd")&amp;"|"&amp;TEXT('Ingest Template'!C930+3, "yyyy-mm-dd"),'Ingest Template'!Q930)))</f>
        <v/>
      </c>
      <c r="AM930" s="35" t="str">
        <f>'Ingest Template'!AC930</f>
        <v/>
      </c>
    </row>
    <row r="931">
      <c r="A931" s="15"/>
      <c r="B931" s="22" t="str">
        <f>'Ingest Template'!C931&amp;IF('Ingest Template'!A931 = "Standard", " - DAR","")</f>
        <v/>
      </c>
      <c r="C931" s="22" t="s">
        <v>83</v>
      </c>
      <c r="D931" s="22" t="str">
        <f t="array" ref="D931">CONCATENATE(INDEX(DropdownLists!$H$2:$H$11,MATCH(1,COUNTIF('Ingest Template'!E931,"*"&amp;DropdownLists!$I$2:$I$11&amp;"*"),0)),CHAR(10),'Ingest Template'!F931,CHAR(10),'Ingest Template'!G931,CHAR(10),VLOOKUP('Ingest Template'!D931,DropdownLists!C:D,2,FALSE))</f>
        <v>#N/A</v>
      </c>
      <c r="E931" s="22" t="str">
        <f>CONCATENATE('Ingest Template'!H931,CHAR(10),'Ingest Template'!I931,CHAR(10),'Ingest Template'!J931,CHAR(10))</f>
        <v>
</v>
      </c>
      <c r="F931" s="35" t="str">
        <f t="array" ref="F931">INDEX(DropdownLists!$O$2:$O$36,MATCH(1,COUNTIF(E931,"*"&amp;DropdownLists!$N$2:$N$36&amp;"*"),0))</f>
        <v/>
      </c>
      <c r="G931" s="35"/>
      <c r="H931" s="22" t="str">
        <f t="array" ref="H931">INDEX(DropdownLists!$E$2:$E$276,MATCH('Ingest Template'!D931,DropdownLists!$C$2:$C$276,0))</f>
        <v>#N/A</v>
      </c>
      <c r="I931" s="22"/>
      <c r="J931" s="22" t="str">
        <f t="array" ref="J931">iF('Ingest Template'!A931="Standard","Pristine Brand",INDEX(DropdownLists!$B$2:$B$246,MATCH('Ingest Template'!D931,DropdownLists!$C$2:$C$246,0)))</f>
        <v>#N/A</v>
      </c>
      <c r="K931" s="22" t="str">
        <f>iF('Ingest Template'!A931="Standard",'Ingest Template'!K931&amp;CHAR(10)&amp;'Ingest Template'!L931,"Competitive View")</f>
        <v>Competitive View</v>
      </c>
      <c r="L931" s="22" t="s">
        <v>95</v>
      </c>
      <c r="M931" s="45" t="str">
        <f>'Ingest Template'!B931</f>
        <v/>
      </c>
      <c r="N931" s="35"/>
      <c r="O931" s="35"/>
      <c r="P931" s="35"/>
      <c r="Q931" s="35"/>
      <c r="R931" s="35" t="str">
        <f>'Ingest Template'!D931</f>
        <v/>
      </c>
      <c r="S931" s="22" t="s">
        <v>101</v>
      </c>
      <c r="T931" s="35" t="str">
        <f>'Ingest Template'!V931</f>
        <v/>
      </c>
      <c r="U931" s="35" t="str">
        <f>'Ingest Template'!W931</f>
        <v/>
      </c>
      <c r="V931" s="35" t="str">
        <f>LOWER(SUBSTITUTE(SUBSTITUTE(SUBSTITUTE(SUBSTITUTE(SUBSTITUTE('Ingest Template'!X931,"https:",""),"www.",""),"/",""),"?hl=en",""),"instagram.com",""))</f>
        <v/>
      </c>
      <c r="W931" s="74" t="str">
        <f t="array" ref="W931">IF(
'Ingest Template'!Y931="",
SUBSTITUTE(
INDEX(DropdownLists!$F$2:$F$277,MATCH('Ingest Template'!D931,DropdownLists!$C$2:$C$277,0)),
CHAR(10),
"|"&amp;'Ingest Template'!C931&amp;CHAR(10)
)&amp;"|"&amp;'Ingest Template'!C931,
SUBSTITUTE(
INDEX(DropdownLists!$F$2:$F$277,MATCH('Ingest Template'!D931,DropdownLists!$C$2:$C$277,0)),
CHAR(10),
"|"&amp;'Ingest Template'!C931&amp;CHAR(10)
)&amp;"|"&amp;'Ingest Template'!C931&amp;CHAR(10)&amp;'Ingest Template'!Y931
)</f>
        <v>#N/A</v>
      </c>
      <c r="X931" s="74" t="str">
        <f>'Ingest Template'!Z931</f>
        <v/>
      </c>
      <c r="Y931" s="35" t="str">
        <f>SUBSTITUTE(SUBSTITUTE(SUBSTITUTE('Ingest Template'!AA931,"http:",""),"https:",""),"/","")</f>
        <v/>
      </c>
      <c r="Z931" s="35" t="str">
        <f t="array" ref="Z931">IF('Ingest Template'!A931="Standard",(IF(ISBLANK('Ingest Template'!AB931),"", 'Ingest Template'!AB931&amp;"|DAR")),(IF(ISBLANK('Ingest Template'!AB931),"", 'Ingest Template'!AB931&amp;"|TV Ops")))</f>
        <v/>
      </c>
      <c r="AA931" s="35"/>
      <c r="AB931" s="35" t="str">
        <f>'Ingest Template'!R931</f>
        <v/>
      </c>
      <c r="AC931" s="35" t="str">
        <f>'Ingest Template'!T931</f>
        <v/>
      </c>
      <c r="AD931" s="35" t="str">
        <f>'Ingest Template'!S931</f>
        <v/>
      </c>
      <c r="AE931" s="35" t="str">
        <f>'Ingest Template'!U931</f>
        <v/>
      </c>
      <c r="AF931" s="22"/>
      <c r="AG931" s="35" t="str">
        <f t="array" ref="AG931">IF('Ingest Template'!A931="Standard",(CONCATENATE(IF(ISBLANK('Ingest Template'!N931),"", 'Ingest Template'!N931&amp;"|DAR"),CHAR(10), IF(ISBLANK('Ingest Template'!O931),"", 'Ingest Template'!O931&amp;"|DAR"),CHAR(10), IF(ISBLANK('Ingest Template'!P931),"", 'Ingest Template'!P931&amp;"|DAR"))),(CONCATENATE(IF(ISBLANK('Ingest Template'!N931),"", 'Ingest Template'!N931&amp;"|TV Ops"),CHAR(10), IF(ISBLANK('Ingest Template'!O931),"", 'Ingest Template'!O931&amp;"|TV Ops"),CHAR(10), IF(ISBLANK('Ingest Template'!P931),"", 'Ingest Template'!P931&amp;"|TV Ops"))))</f>
        <v>
</v>
      </c>
      <c r="AH931" s="35"/>
      <c r="AI931" s="35"/>
      <c r="AJ931" s="117" t="str">
        <f>if('Ingest Template'!A931="Standard",(IF(OR('Ingest Template'!F931 = "Program Type - Special", 'Ingest Template'!F931 = "Program Type - Live Event"),'Ingest Template'!M931&amp; "|DAR|DAR|"&amp;TEXT('Ingest Template'!C931-3, "yyyy-mm-dd")&amp;"|"&amp;TEXT('Ingest Template'!C931+3, "yyyy-mm-dd"),'Ingest Template'!M931&amp; "|DAR|DAR|2021-01-01")),(IF(OR('Ingest Template'!F931 = "Program Type - Special", 'Ingest Template'!F931 = "Program Type - Live Event"),'Ingest Template'!M931&amp; "|Operations - Core Title|Operations - Core Title|"&amp;TEXT('Ingest Template'!C931-3, "yyyy-mm-dd")&amp;"|"&amp;TEXT('Ingest Template'!C931+3, "yyyy-mm-dd"),'Ingest Template'!M931&amp; "|Operations - Core Title|Operations - Core Title")))</f>
        <v>|Operations - Core Title|Operations - Core Title</v>
      </c>
      <c r="AK931" s="35"/>
      <c r="AL931" s="117" t="str">
        <f>if('Ingest Template'!A931="Standard",(IF(OR('Ingest Template'!F931 = "Program Type - Special", 'Ingest Template'!F931 = "Program Type - Live Event"),'Ingest Template'!Q931&amp;"|"&amp;TEXT('Ingest Template'!C931-3, "yyyy-mm-dd")&amp;"|"&amp;TEXT('Ingest Template'!C931+3, "yyyy-mm-dd"),'Ingest Template'!Q931&amp; "|2021-01-01")),(IF(OR('Ingest Template'!F931 = "Program Type - Special", 'Ingest Template'!F931 = "Program Type - Live Event"),'Ingest Template'!Q931&amp; "|"&amp;TEXT('Ingest Template'!C931-3, "yyyy-mm-dd")&amp;"|"&amp;TEXT('Ingest Template'!C931+3, "yyyy-mm-dd"),'Ingest Template'!Q931)))</f>
        <v/>
      </c>
      <c r="AM931" s="35" t="str">
        <f>'Ingest Template'!AC931</f>
        <v/>
      </c>
    </row>
    <row r="932">
      <c r="A932" s="15"/>
      <c r="B932" s="22" t="str">
        <f>'Ingest Template'!C932&amp;IF('Ingest Template'!A932 = "Standard", " - DAR","")</f>
        <v/>
      </c>
      <c r="C932" s="22" t="s">
        <v>83</v>
      </c>
      <c r="D932" s="22" t="str">
        <f t="array" ref="D932">CONCATENATE(INDEX(DropdownLists!$H$2:$H$11,MATCH(1,COUNTIF('Ingest Template'!E932,"*"&amp;DropdownLists!$I$2:$I$11&amp;"*"),0)),CHAR(10),'Ingest Template'!F932,CHAR(10),'Ingest Template'!G932,CHAR(10),VLOOKUP('Ingest Template'!D932,DropdownLists!C:D,2,FALSE))</f>
        <v>#N/A</v>
      </c>
      <c r="E932" s="22" t="str">
        <f>CONCATENATE('Ingest Template'!H932,CHAR(10),'Ingest Template'!I932,CHAR(10),'Ingest Template'!J932,CHAR(10))</f>
        <v>
</v>
      </c>
      <c r="F932" s="35" t="str">
        <f t="array" ref="F932">INDEX(DropdownLists!$O$2:$O$36,MATCH(1,COUNTIF(E932,"*"&amp;DropdownLists!$N$2:$N$36&amp;"*"),0))</f>
        <v/>
      </c>
      <c r="G932" s="35"/>
      <c r="H932" s="22" t="str">
        <f t="array" ref="H932">INDEX(DropdownLists!$E$2:$E$276,MATCH('Ingest Template'!D932,DropdownLists!$C$2:$C$276,0))</f>
        <v>#N/A</v>
      </c>
      <c r="I932" s="22"/>
      <c r="J932" s="22" t="str">
        <f t="array" ref="J932">iF('Ingest Template'!A932="Standard","Pristine Brand",INDEX(DropdownLists!$B$2:$B$246,MATCH('Ingest Template'!D932,DropdownLists!$C$2:$C$246,0)))</f>
        <v>#N/A</v>
      </c>
      <c r="K932" s="22" t="str">
        <f>iF('Ingest Template'!A932="Standard",'Ingest Template'!K932&amp;CHAR(10)&amp;'Ingest Template'!L932,"Competitive View")</f>
        <v>Competitive View</v>
      </c>
      <c r="L932" s="22" t="s">
        <v>95</v>
      </c>
      <c r="M932" s="45" t="str">
        <f>'Ingest Template'!B932</f>
        <v/>
      </c>
      <c r="N932" s="35"/>
      <c r="O932" s="35"/>
      <c r="P932" s="35"/>
      <c r="Q932" s="35"/>
      <c r="R932" s="35" t="str">
        <f>'Ingest Template'!D932</f>
        <v/>
      </c>
      <c r="S932" s="22" t="s">
        <v>101</v>
      </c>
      <c r="T932" s="35" t="str">
        <f>'Ingest Template'!V932</f>
        <v/>
      </c>
      <c r="U932" s="35" t="str">
        <f>'Ingest Template'!W932</f>
        <v/>
      </c>
      <c r="V932" s="35" t="str">
        <f>LOWER(SUBSTITUTE(SUBSTITUTE(SUBSTITUTE(SUBSTITUTE(SUBSTITUTE('Ingest Template'!X932,"https:",""),"www.",""),"/",""),"?hl=en",""),"instagram.com",""))</f>
        <v/>
      </c>
      <c r="W932" s="74" t="str">
        <f t="array" ref="W932">IF(
'Ingest Template'!Y932="",
SUBSTITUTE(
INDEX(DropdownLists!$F$2:$F$277,MATCH('Ingest Template'!D932,DropdownLists!$C$2:$C$277,0)),
CHAR(10),
"|"&amp;'Ingest Template'!C932&amp;CHAR(10)
)&amp;"|"&amp;'Ingest Template'!C932,
SUBSTITUTE(
INDEX(DropdownLists!$F$2:$F$277,MATCH('Ingest Template'!D932,DropdownLists!$C$2:$C$277,0)),
CHAR(10),
"|"&amp;'Ingest Template'!C932&amp;CHAR(10)
)&amp;"|"&amp;'Ingest Template'!C932&amp;CHAR(10)&amp;'Ingest Template'!Y932
)</f>
        <v>#N/A</v>
      </c>
      <c r="X932" s="74" t="str">
        <f>'Ingest Template'!Z932</f>
        <v/>
      </c>
      <c r="Y932" s="35" t="str">
        <f>SUBSTITUTE(SUBSTITUTE(SUBSTITUTE('Ingest Template'!AA932,"http:",""),"https:",""),"/","")</f>
        <v/>
      </c>
      <c r="Z932" s="35" t="str">
        <f t="array" ref="Z932">IF('Ingest Template'!A932="Standard",(IF(ISBLANK('Ingest Template'!AB932),"", 'Ingest Template'!AB932&amp;"|DAR")),(IF(ISBLANK('Ingest Template'!AB932),"", 'Ingest Template'!AB932&amp;"|TV Ops")))</f>
        <v/>
      </c>
      <c r="AA932" s="35"/>
      <c r="AB932" s="35" t="str">
        <f>'Ingest Template'!R932</f>
        <v/>
      </c>
      <c r="AC932" s="35" t="str">
        <f>'Ingest Template'!T932</f>
        <v/>
      </c>
      <c r="AD932" s="35" t="str">
        <f>'Ingest Template'!S932</f>
        <v/>
      </c>
      <c r="AE932" s="35" t="str">
        <f>'Ingest Template'!U932</f>
        <v/>
      </c>
      <c r="AF932" s="22"/>
      <c r="AG932" s="35" t="str">
        <f t="array" ref="AG932">IF('Ingest Template'!A932="Standard",(CONCATENATE(IF(ISBLANK('Ingest Template'!N932),"", 'Ingest Template'!N932&amp;"|DAR"),CHAR(10), IF(ISBLANK('Ingest Template'!O932),"", 'Ingest Template'!O932&amp;"|DAR"),CHAR(10), IF(ISBLANK('Ingest Template'!P932),"", 'Ingest Template'!P932&amp;"|DAR"))),(CONCATENATE(IF(ISBLANK('Ingest Template'!N932),"", 'Ingest Template'!N932&amp;"|TV Ops"),CHAR(10), IF(ISBLANK('Ingest Template'!O932),"", 'Ingest Template'!O932&amp;"|TV Ops"),CHAR(10), IF(ISBLANK('Ingest Template'!P932),"", 'Ingest Template'!P932&amp;"|TV Ops"))))</f>
        <v>
</v>
      </c>
      <c r="AH932" s="35"/>
      <c r="AI932" s="35"/>
      <c r="AJ932" s="117" t="str">
        <f>if('Ingest Template'!A932="Standard",(IF(OR('Ingest Template'!F932 = "Program Type - Special", 'Ingest Template'!F932 = "Program Type - Live Event"),'Ingest Template'!M932&amp; "|DAR|DAR|"&amp;TEXT('Ingest Template'!C932-3, "yyyy-mm-dd")&amp;"|"&amp;TEXT('Ingest Template'!C932+3, "yyyy-mm-dd"),'Ingest Template'!M932&amp; "|DAR|DAR|2021-01-01")),(IF(OR('Ingest Template'!F932 = "Program Type - Special", 'Ingest Template'!F932 = "Program Type - Live Event"),'Ingest Template'!M932&amp; "|Operations - Core Title|Operations - Core Title|"&amp;TEXT('Ingest Template'!C932-3, "yyyy-mm-dd")&amp;"|"&amp;TEXT('Ingest Template'!C932+3, "yyyy-mm-dd"),'Ingest Template'!M932&amp; "|Operations - Core Title|Operations - Core Title")))</f>
        <v>|Operations - Core Title|Operations - Core Title</v>
      </c>
      <c r="AK932" s="35"/>
      <c r="AL932" s="117" t="str">
        <f>if('Ingest Template'!A932="Standard",(IF(OR('Ingest Template'!F932 = "Program Type - Special", 'Ingest Template'!F932 = "Program Type - Live Event"),'Ingest Template'!Q932&amp;"|"&amp;TEXT('Ingest Template'!C932-3, "yyyy-mm-dd")&amp;"|"&amp;TEXT('Ingest Template'!C932+3, "yyyy-mm-dd"),'Ingest Template'!Q932&amp; "|2021-01-01")),(IF(OR('Ingest Template'!F932 = "Program Type - Special", 'Ingest Template'!F932 = "Program Type - Live Event"),'Ingest Template'!Q932&amp; "|"&amp;TEXT('Ingest Template'!C932-3, "yyyy-mm-dd")&amp;"|"&amp;TEXT('Ingest Template'!C932+3, "yyyy-mm-dd"),'Ingest Template'!Q932)))</f>
        <v/>
      </c>
      <c r="AM932" s="35" t="str">
        <f>'Ingest Template'!AC932</f>
        <v/>
      </c>
    </row>
    <row r="933">
      <c r="A933" s="15"/>
      <c r="B933" s="22" t="str">
        <f>'Ingest Template'!C933&amp;IF('Ingest Template'!A933 = "Standard", " - DAR","")</f>
        <v/>
      </c>
      <c r="C933" s="22" t="s">
        <v>83</v>
      </c>
      <c r="D933" s="22" t="str">
        <f t="array" ref="D933">CONCATENATE(INDEX(DropdownLists!$H$2:$H$11,MATCH(1,COUNTIF('Ingest Template'!E933,"*"&amp;DropdownLists!$I$2:$I$11&amp;"*"),0)),CHAR(10),'Ingest Template'!F933,CHAR(10),'Ingest Template'!G933,CHAR(10),VLOOKUP('Ingest Template'!D933,DropdownLists!C:D,2,FALSE))</f>
        <v>#N/A</v>
      </c>
      <c r="E933" s="22" t="str">
        <f>CONCATENATE('Ingest Template'!H933,CHAR(10),'Ingest Template'!I933,CHAR(10),'Ingest Template'!J933,CHAR(10))</f>
        <v>
</v>
      </c>
      <c r="F933" s="35" t="str">
        <f t="array" ref="F933">INDEX(DropdownLists!$O$2:$O$36,MATCH(1,COUNTIF(E933,"*"&amp;DropdownLists!$N$2:$N$36&amp;"*"),0))</f>
        <v/>
      </c>
      <c r="G933" s="35"/>
      <c r="H933" s="22" t="str">
        <f t="array" ref="H933">INDEX(DropdownLists!$E$2:$E$276,MATCH('Ingest Template'!D933,DropdownLists!$C$2:$C$276,0))</f>
        <v>#N/A</v>
      </c>
      <c r="I933" s="22"/>
      <c r="J933" s="22" t="str">
        <f t="array" ref="J933">iF('Ingest Template'!A933="Standard","Pristine Brand",INDEX(DropdownLists!$B$2:$B$246,MATCH('Ingest Template'!D933,DropdownLists!$C$2:$C$246,0)))</f>
        <v>#N/A</v>
      </c>
      <c r="K933" s="22" t="str">
        <f>iF('Ingest Template'!A933="Standard",'Ingest Template'!K933&amp;CHAR(10)&amp;'Ingest Template'!L933,"Competitive View")</f>
        <v>Competitive View</v>
      </c>
      <c r="L933" s="22" t="s">
        <v>95</v>
      </c>
      <c r="M933" s="45" t="str">
        <f>'Ingest Template'!B933</f>
        <v/>
      </c>
      <c r="N933" s="35"/>
      <c r="O933" s="35"/>
      <c r="P933" s="35"/>
      <c r="Q933" s="35"/>
      <c r="R933" s="35" t="str">
        <f>'Ingest Template'!D933</f>
        <v/>
      </c>
      <c r="S933" s="22" t="s">
        <v>101</v>
      </c>
      <c r="T933" s="35" t="str">
        <f>'Ingest Template'!V933</f>
        <v/>
      </c>
      <c r="U933" s="35" t="str">
        <f>'Ingest Template'!W933</f>
        <v/>
      </c>
      <c r="V933" s="35" t="str">
        <f>LOWER(SUBSTITUTE(SUBSTITUTE(SUBSTITUTE(SUBSTITUTE(SUBSTITUTE('Ingest Template'!X933,"https:",""),"www.",""),"/",""),"?hl=en",""),"instagram.com",""))</f>
        <v/>
      </c>
      <c r="W933" s="74" t="str">
        <f t="array" ref="W933">IF(
'Ingest Template'!Y933="",
SUBSTITUTE(
INDEX(DropdownLists!$F$2:$F$277,MATCH('Ingest Template'!D933,DropdownLists!$C$2:$C$277,0)),
CHAR(10),
"|"&amp;'Ingest Template'!C933&amp;CHAR(10)
)&amp;"|"&amp;'Ingest Template'!C933,
SUBSTITUTE(
INDEX(DropdownLists!$F$2:$F$277,MATCH('Ingest Template'!D933,DropdownLists!$C$2:$C$277,0)),
CHAR(10),
"|"&amp;'Ingest Template'!C933&amp;CHAR(10)
)&amp;"|"&amp;'Ingest Template'!C933&amp;CHAR(10)&amp;'Ingest Template'!Y933
)</f>
        <v>#N/A</v>
      </c>
      <c r="X933" s="74" t="str">
        <f>'Ingest Template'!Z933</f>
        <v/>
      </c>
      <c r="Y933" s="35" t="str">
        <f>SUBSTITUTE(SUBSTITUTE(SUBSTITUTE('Ingest Template'!AA933,"http:",""),"https:",""),"/","")</f>
        <v/>
      </c>
      <c r="Z933" s="35" t="str">
        <f t="array" ref="Z933">IF('Ingest Template'!A933="Standard",(IF(ISBLANK('Ingest Template'!AB933),"", 'Ingest Template'!AB933&amp;"|DAR")),(IF(ISBLANK('Ingest Template'!AB933),"", 'Ingest Template'!AB933&amp;"|TV Ops")))</f>
        <v/>
      </c>
      <c r="AA933" s="35"/>
      <c r="AB933" s="35" t="str">
        <f>'Ingest Template'!R933</f>
        <v/>
      </c>
      <c r="AC933" s="35" t="str">
        <f>'Ingest Template'!T933</f>
        <v/>
      </c>
      <c r="AD933" s="35" t="str">
        <f>'Ingest Template'!S933</f>
        <v/>
      </c>
      <c r="AE933" s="35" t="str">
        <f>'Ingest Template'!U933</f>
        <v/>
      </c>
      <c r="AF933" s="22"/>
      <c r="AG933" s="35" t="str">
        <f t="array" ref="AG933">IF('Ingest Template'!A933="Standard",(CONCATENATE(IF(ISBLANK('Ingest Template'!N933),"", 'Ingest Template'!N933&amp;"|DAR"),CHAR(10), IF(ISBLANK('Ingest Template'!O933),"", 'Ingest Template'!O933&amp;"|DAR"),CHAR(10), IF(ISBLANK('Ingest Template'!P933),"", 'Ingest Template'!P933&amp;"|DAR"))),(CONCATENATE(IF(ISBLANK('Ingest Template'!N933),"", 'Ingest Template'!N933&amp;"|TV Ops"),CHAR(10), IF(ISBLANK('Ingest Template'!O933),"", 'Ingest Template'!O933&amp;"|TV Ops"),CHAR(10), IF(ISBLANK('Ingest Template'!P933),"", 'Ingest Template'!P933&amp;"|TV Ops"))))</f>
        <v>
</v>
      </c>
      <c r="AH933" s="35"/>
      <c r="AI933" s="35"/>
      <c r="AJ933" s="117" t="str">
        <f>if('Ingest Template'!A933="Standard",(IF(OR('Ingest Template'!F933 = "Program Type - Special", 'Ingest Template'!F933 = "Program Type - Live Event"),'Ingest Template'!M933&amp; "|DAR|DAR|"&amp;TEXT('Ingest Template'!C933-3, "yyyy-mm-dd")&amp;"|"&amp;TEXT('Ingest Template'!C933+3, "yyyy-mm-dd"),'Ingest Template'!M933&amp; "|DAR|DAR|2021-01-01")),(IF(OR('Ingest Template'!F933 = "Program Type - Special", 'Ingest Template'!F933 = "Program Type - Live Event"),'Ingest Template'!M933&amp; "|Operations - Core Title|Operations - Core Title|"&amp;TEXT('Ingest Template'!C933-3, "yyyy-mm-dd")&amp;"|"&amp;TEXT('Ingest Template'!C933+3, "yyyy-mm-dd"),'Ingest Template'!M933&amp; "|Operations - Core Title|Operations - Core Title")))</f>
        <v>|Operations - Core Title|Operations - Core Title</v>
      </c>
      <c r="AK933" s="35"/>
      <c r="AL933" s="117" t="str">
        <f>if('Ingest Template'!A933="Standard",(IF(OR('Ingest Template'!F933 = "Program Type - Special", 'Ingest Template'!F933 = "Program Type - Live Event"),'Ingest Template'!Q933&amp;"|"&amp;TEXT('Ingest Template'!C933-3, "yyyy-mm-dd")&amp;"|"&amp;TEXT('Ingest Template'!C933+3, "yyyy-mm-dd"),'Ingest Template'!Q933&amp; "|2021-01-01")),(IF(OR('Ingest Template'!F933 = "Program Type - Special", 'Ingest Template'!F933 = "Program Type - Live Event"),'Ingest Template'!Q933&amp; "|"&amp;TEXT('Ingest Template'!C933-3, "yyyy-mm-dd")&amp;"|"&amp;TEXT('Ingest Template'!C933+3, "yyyy-mm-dd"),'Ingest Template'!Q933)))</f>
        <v/>
      </c>
      <c r="AM933" s="35" t="str">
        <f>'Ingest Template'!AC933</f>
        <v/>
      </c>
    </row>
    <row r="934">
      <c r="A934" s="15"/>
      <c r="B934" s="22" t="str">
        <f>'Ingest Template'!C934&amp;IF('Ingest Template'!A934 = "Standard", " - DAR","")</f>
        <v/>
      </c>
      <c r="C934" s="22" t="s">
        <v>83</v>
      </c>
      <c r="D934" s="22" t="str">
        <f t="array" ref="D934">CONCATENATE(INDEX(DropdownLists!$H$2:$H$11,MATCH(1,COUNTIF('Ingest Template'!E934,"*"&amp;DropdownLists!$I$2:$I$11&amp;"*"),0)),CHAR(10),'Ingest Template'!F934,CHAR(10),'Ingest Template'!G934,CHAR(10),VLOOKUP('Ingest Template'!D934,DropdownLists!C:D,2,FALSE))</f>
        <v>#N/A</v>
      </c>
      <c r="E934" s="22" t="str">
        <f>CONCATENATE('Ingest Template'!H934,CHAR(10),'Ingest Template'!I934,CHAR(10),'Ingest Template'!J934,CHAR(10))</f>
        <v>
</v>
      </c>
      <c r="F934" s="35" t="str">
        <f t="array" ref="F934">INDEX(DropdownLists!$O$2:$O$36,MATCH(1,COUNTIF(E934,"*"&amp;DropdownLists!$N$2:$N$36&amp;"*"),0))</f>
        <v/>
      </c>
      <c r="G934" s="35"/>
      <c r="H934" s="22" t="str">
        <f t="array" ref="H934">INDEX(DropdownLists!$E$2:$E$276,MATCH('Ingest Template'!D934,DropdownLists!$C$2:$C$276,0))</f>
        <v>#N/A</v>
      </c>
      <c r="I934" s="22"/>
      <c r="J934" s="22" t="str">
        <f t="array" ref="J934">iF('Ingest Template'!A934="Standard","Pristine Brand",INDEX(DropdownLists!$B$2:$B$246,MATCH('Ingest Template'!D934,DropdownLists!$C$2:$C$246,0)))</f>
        <v>#N/A</v>
      </c>
      <c r="K934" s="22" t="str">
        <f>iF('Ingest Template'!A934="Standard",'Ingest Template'!K934&amp;CHAR(10)&amp;'Ingest Template'!L934,"Competitive View")</f>
        <v>Competitive View</v>
      </c>
      <c r="L934" s="22" t="s">
        <v>95</v>
      </c>
      <c r="M934" s="45" t="str">
        <f>'Ingest Template'!B934</f>
        <v/>
      </c>
      <c r="N934" s="35"/>
      <c r="O934" s="35"/>
      <c r="P934" s="35"/>
      <c r="Q934" s="35"/>
      <c r="R934" s="35" t="str">
        <f>'Ingest Template'!D934</f>
        <v/>
      </c>
      <c r="S934" s="22" t="s">
        <v>101</v>
      </c>
      <c r="T934" s="35" t="str">
        <f>'Ingest Template'!V934</f>
        <v/>
      </c>
      <c r="U934" s="35" t="str">
        <f>'Ingest Template'!W934</f>
        <v/>
      </c>
      <c r="V934" s="35" t="str">
        <f>LOWER(SUBSTITUTE(SUBSTITUTE(SUBSTITUTE(SUBSTITUTE(SUBSTITUTE('Ingest Template'!X934,"https:",""),"www.",""),"/",""),"?hl=en",""),"instagram.com",""))</f>
        <v/>
      </c>
      <c r="W934" s="74" t="str">
        <f t="array" ref="W934">IF(
'Ingest Template'!Y934="",
SUBSTITUTE(
INDEX(DropdownLists!$F$2:$F$277,MATCH('Ingest Template'!D934,DropdownLists!$C$2:$C$277,0)),
CHAR(10),
"|"&amp;'Ingest Template'!C934&amp;CHAR(10)
)&amp;"|"&amp;'Ingest Template'!C934,
SUBSTITUTE(
INDEX(DropdownLists!$F$2:$F$277,MATCH('Ingest Template'!D934,DropdownLists!$C$2:$C$277,0)),
CHAR(10),
"|"&amp;'Ingest Template'!C934&amp;CHAR(10)
)&amp;"|"&amp;'Ingest Template'!C934&amp;CHAR(10)&amp;'Ingest Template'!Y934
)</f>
        <v>#N/A</v>
      </c>
      <c r="X934" s="74" t="str">
        <f>'Ingest Template'!Z934</f>
        <v/>
      </c>
      <c r="Y934" s="35" t="str">
        <f>SUBSTITUTE(SUBSTITUTE(SUBSTITUTE('Ingest Template'!AA934,"http:",""),"https:",""),"/","")</f>
        <v/>
      </c>
      <c r="Z934" s="35" t="str">
        <f t="array" ref="Z934">IF('Ingest Template'!A934="Standard",(IF(ISBLANK('Ingest Template'!AB934),"", 'Ingest Template'!AB934&amp;"|DAR")),(IF(ISBLANK('Ingest Template'!AB934),"", 'Ingest Template'!AB934&amp;"|TV Ops")))</f>
        <v/>
      </c>
      <c r="AA934" s="35"/>
      <c r="AB934" s="35" t="str">
        <f>'Ingest Template'!R934</f>
        <v/>
      </c>
      <c r="AC934" s="35" t="str">
        <f>'Ingest Template'!T934</f>
        <v/>
      </c>
      <c r="AD934" s="35" t="str">
        <f>'Ingest Template'!S934</f>
        <v/>
      </c>
      <c r="AE934" s="35" t="str">
        <f>'Ingest Template'!U934</f>
        <v/>
      </c>
      <c r="AF934" s="22"/>
      <c r="AG934" s="35" t="str">
        <f t="array" ref="AG934">IF('Ingest Template'!A934="Standard",(CONCATENATE(IF(ISBLANK('Ingest Template'!N934),"", 'Ingest Template'!N934&amp;"|DAR"),CHAR(10), IF(ISBLANK('Ingest Template'!O934),"", 'Ingest Template'!O934&amp;"|DAR"),CHAR(10), IF(ISBLANK('Ingest Template'!P934),"", 'Ingest Template'!P934&amp;"|DAR"))),(CONCATENATE(IF(ISBLANK('Ingest Template'!N934),"", 'Ingest Template'!N934&amp;"|TV Ops"),CHAR(10), IF(ISBLANK('Ingest Template'!O934),"", 'Ingest Template'!O934&amp;"|TV Ops"),CHAR(10), IF(ISBLANK('Ingest Template'!P934),"", 'Ingest Template'!P934&amp;"|TV Ops"))))</f>
        <v>
</v>
      </c>
      <c r="AH934" s="35"/>
      <c r="AI934" s="35"/>
      <c r="AJ934" s="117" t="str">
        <f>if('Ingest Template'!A934="Standard",(IF(OR('Ingest Template'!F934 = "Program Type - Special", 'Ingest Template'!F934 = "Program Type - Live Event"),'Ingest Template'!M934&amp; "|DAR|DAR|"&amp;TEXT('Ingest Template'!C934-3, "yyyy-mm-dd")&amp;"|"&amp;TEXT('Ingest Template'!C934+3, "yyyy-mm-dd"),'Ingest Template'!M934&amp; "|DAR|DAR|2021-01-01")),(IF(OR('Ingest Template'!F934 = "Program Type - Special", 'Ingest Template'!F934 = "Program Type - Live Event"),'Ingest Template'!M934&amp; "|Operations - Core Title|Operations - Core Title|"&amp;TEXT('Ingest Template'!C934-3, "yyyy-mm-dd")&amp;"|"&amp;TEXT('Ingest Template'!C934+3, "yyyy-mm-dd"),'Ingest Template'!M934&amp; "|Operations - Core Title|Operations - Core Title")))</f>
        <v>|Operations - Core Title|Operations - Core Title</v>
      </c>
      <c r="AK934" s="35"/>
      <c r="AL934" s="117" t="str">
        <f>if('Ingest Template'!A934="Standard",(IF(OR('Ingest Template'!F934 = "Program Type - Special", 'Ingest Template'!F934 = "Program Type - Live Event"),'Ingest Template'!Q934&amp;"|"&amp;TEXT('Ingest Template'!C934-3, "yyyy-mm-dd")&amp;"|"&amp;TEXT('Ingest Template'!C934+3, "yyyy-mm-dd"),'Ingest Template'!Q934&amp; "|2021-01-01")),(IF(OR('Ingest Template'!F934 = "Program Type - Special", 'Ingest Template'!F934 = "Program Type - Live Event"),'Ingest Template'!Q934&amp; "|"&amp;TEXT('Ingest Template'!C934-3, "yyyy-mm-dd")&amp;"|"&amp;TEXT('Ingest Template'!C934+3, "yyyy-mm-dd"),'Ingest Template'!Q934)))</f>
        <v/>
      </c>
      <c r="AM934" s="35" t="str">
        <f>'Ingest Template'!AC934</f>
        <v/>
      </c>
    </row>
    <row r="935">
      <c r="A935" s="15"/>
      <c r="B935" s="22" t="str">
        <f>'Ingest Template'!C935&amp;IF('Ingest Template'!A935 = "Standard", " - DAR","")</f>
        <v/>
      </c>
      <c r="C935" s="22" t="s">
        <v>83</v>
      </c>
      <c r="D935" s="22" t="str">
        <f t="array" ref="D935">CONCATENATE(INDEX(DropdownLists!$H$2:$H$11,MATCH(1,COUNTIF('Ingest Template'!E935,"*"&amp;DropdownLists!$I$2:$I$11&amp;"*"),0)),CHAR(10),'Ingest Template'!F935,CHAR(10),'Ingest Template'!G935,CHAR(10),VLOOKUP('Ingest Template'!D935,DropdownLists!C:D,2,FALSE))</f>
        <v>#N/A</v>
      </c>
      <c r="E935" s="22" t="str">
        <f>CONCATENATE('Ingest Template'!H935,CHAR(10),'Ingest Template'!I935,CHAR(10),'Ingest Template'!J935,CHAR(10))</f>
        <v>
</v>
      </c>
      <c r="F935" s="35" t="str">
        <f t="array" ref="F935">INDEX(DropdownLists!$O$2:$O$36,MATCH(1,COUNTIF(E935,"*"&amp;DropdownLists!$N$2:$N$36&amp;"*"),0))</f>
        <v/>
      </c>
      <c r="G935" s="35"/>
      <c r="H935" s="22" t="str">
        <f t="array" ref="H935">INDEX(DropdownLists!$E$2:$E$276,MATCH('Ingest Template'!D935,DropdownLists!$C$2:$C$276,0))</f>
        <v>#N/A</v>
      </c>
      <c r="I935" s="22"/>
      <c r="J935" s="22" t="str">
        <f t="array" ref="J935">iF('Ingest Template'!A935="Standard","Pristine Brand",INDEX(DropdownLists!$B$2:$B$246,MATCH('Ingest Template'!D935,DropdownLists!$C$2:$C$246,0)))</f>
        <v>#N/A</v>
      </c>
      <c r="K935" s="22" t="str">
        <f>iF('Ingest Template'!A935="Standard",'Ingest Template'!K935&amp;CHAR(10)&amp;'Ingest Template'!L935,"Competitive View")</f>
        <v>Competitive View</v>
      </c>
      <c r="L935" s="22" t="s">
        <v>95</v>
      </c>
      <c r="M935" s="45" t="str">
        <f>'Ingest Template'!B935</f>
        <v/>
      </c>
      <c r="N935" s="35"/>
      <c r="O935" s="35"/>
      <c r="P935" s="35"/>
      <c r="Q935" s="35"/>
      <c r="R935" s="35" t="str">
        <f>'Ingest Template'!D935</f>
        <v/>
      </c>
      <c r="S935" s="22" t="s">
        <v>101</v>
      </c>
      <c r="T935" s="35" t="str">
        <f>'Ingest Template'!V935</f>
        <v/>
      </c>
      <c r="U935" s="35" t="str">
        <f>'Ingest Template'!W935</f>
        <v/>
      </c>
      <c r="V935" s="35" t="str">
        <f>LOWER(SUBSTITUTE(SUBSTITUTE(SUBSTITUTE(SUBSTITUTE(SUBSTITUTE('Ingest Template'!X935,"https:",""),"www.",""),"/",""),"?hl=en",""),"instagram.com",""))</f>
        <v/>
      </c>
      <c r="W935" s="74" t="str">
        <f t="array" ref="W935">IF(
'Ingest Template'!Y935="",
SUBSTITUTE(
INDEX(DropdownLists!$F$2:$F$277,MATCH('Ingest Template'!D935,DropdownLists!$C$2:$C$277,0)),
CHAR(10),
"|"&amp;'Ingest Template'!C935&amp;CHAR(10)
)&amp;"|"&amp;'Ingest Template'!C935,
SUBSTITUTE(
INDEX(DropdownLists!$F$2:$F$277,MATCH('Ingest Template'!D935,DropdownLists!$C$2:$C$277,0)),
CHAR(10),
"|"&amp;'Ingest Template'!C935&amp;CHAR(10)
)&amp;"|"&amp;'Ingest Template'!C935&amp;CHAR(10)&amp;'Ingest Template'!Y935
)</f>
        <v>#N/A</v>
      </c>
      <c r="X935" s="74" t="str">
        <f>'Ingest Template'!Z935</f>
        <v/>
      </c>
      <c r="Y935" s="35" t="str">
        <f>SUBSTITUTE(SUBSTITUTE(SUBSTITUTE('Ingest Template'!AA935,"http:",""),"https:",""),"/","")</f>
        <v/>
      </c>
      <c r="Z935" s="35" t="str">
        <f t="array" ref="Z935">IF('Ingest Template'!A935="Standard",(IF(ISBLANK('Ingest Template'!AB935),"", 'Ingest Template'!AB935&amp;"|DAR")),(IF(ISBLANK('Ingest Template'!AB935),"", 'Ingest Template'!AB935&amp;"|TV Ops")))</f>
        <v/>
      </c>
      <c r="AA935" s="35"/>
      <c r="AB935" s="35" t="str">
        <f>'Ingest Template'!R935</f>
        <v/>
      </c>
      <c r="AC935" s="35" t="str">
        <f>'Ingest Template'!T935</f>
        <v/>
      </c>
      <c r="AD935" s="35" t="str">
        <f>'Ingest Template'!S935</f>
        <v/>
      </c>
      <c r="AE935" s="35" t="str">
        <f>'Ingest Template'!U935</f>
        <v/>
      </c>
      <c r="AF935" s="22"/>
      <c r="AG935" s="35" t="str">
        <f t="array" ref="AG935">IF('Ingest Template'!A935="Standard",(CONCATENATE(IF(ISBLANK('Ingest Template'!N935),"", 'Ingest Template'!N935&amp;"|DAR"),CHAR(10), IF(ISBLANK('Ingest Template'!O935),"", 'Ingest Template'!O935&amp;"|DAR"),CHAR(10), IF(ISBLANK('Ingest Template'!P935),"", 'Ingest Template'!P935&amp;"|DAR"))),(CONCATENATE(IF(ISBLANK('Ingest Template'!N935),"", 'Ingest Template'!N935&amp;"|TV Ops"),CHAR(10), IF(ISBLANK('Ingest Template'!O935),"", 'Ingest Template'!O935&amp;"|TV Ops"),CHAR(10), IF(ISBLANK('Ingest Template'!P935),"", 'Ingest Template'!P935&amp;"|TV Ops"))))</f>
        <v>
</v>
      </c>
      <c r="AH935" s="35"/>
      <c r="AI935" s="35"/>
      <c r="AJ935" s="117" t="str">
        <f>if('Ingest Template'!A935="Standard",(IF(OR('Ingest Template'!F935 = "Program Type - Special", 'Ingest Template'!F935 = "Program Type - Live Event"),'Ingest Template'!M935&amp; "|DAR|DAR|"&amp;TEXT('Ingest Template'!C935-3, "yyyy-mm-dd")&amp;"|"&amp;TEXT('Ingest Template'!C935+3, "yyyy-mm-dd"),'Ingest Template'!M935&amp; "|DAR|DAR|2021-01-01")),(IF(OR('Ingest Template'!F935 = "Program Type - Special", 'Ingest Template'!F935 = "Program Type - Live Event"),'Ingest Template'!M935&amp; "|Operations - Core Title|Operations - Core Title|"&amp;TEXT('Ingest Template'!C935-3, "yyyy-mm-dd")&amp;"|"&amp;TEXT('Ingest Template'!C935+3, "yyyy-mm-dd"),'Ingest Template'!M935&amp; "|Operations - Core Title|Operations - Core Title")))</f>
        <v>|Operations - Core Title|Operations - Core Title</v>
      </c>
      <c r="AK935" s="35"/>
      <c r="AL935" s="117" t="str">
        <f>if('Ingest Template'!A935="Standard",(IF(OR('Ingest Template'!F935 = "Program Type - Special", 'Ingest Template'!F935 = "Program Type - Live Event"),'Ingest Template'!Q935&amp;"|"&amp;TEXT('Ingest Template'!C935-3, "yyyy-mm-dd")&amp;"|"&amp;TEXT('Ingest Template'!C935+3, "yyyy-mm-dd"),'Ingest Template'!Q935&amp; "|2021-01-01")),(IF(OR('Ingest Template'!F935 = "Program Type - Special", 'Ingest Template'!F935 = "Program Type - Live Event"),'Ingest Template'!Q935&amp; "|"&amp;TEXT('Ingest Template'!C935-3, "yyyy-mm-dd")&amp;"|"&amp;TEXT('Ingest Template'!C935+3, "yyyy-mm-dd"),'Ingest Template'!Q935)))</f>
        <v/>
      </c>
      <c r="AM935" s="35" t="str">
        <f>'Ingest Template'!AC935</f>
        <v/>
      </c>
    </row>
    <row r="936">
      <c r="A936" s="15"/>
      <c r="B936" s="22" t="str">
        <f>'Ingest Template'!C936&amp;IF('Ingest Template'!A936 = "Standard", " - DAR","")</f>
        <v/>
      </c>
      <c r="C936" s="22" t="s">
        <v>83</v>
      </c>
      <c r="D936" s="22" t="str">
        <f t="array" ref="D936">CONCATENATE(INDEX(DropdownLists!$H$2:$H$11,MATCH(1,COUNTIF('Ingest Template'!E936,"*"&amp;DropdownLists!$I$2:$I$11&amp;"*"),0)),CHAR(10),'Ingest Template'!F936,CHAR(10),'Ingest Template'!G936,CHAR(10),VLOOKUP('Ingest Template'!D936,DropdownLists!C:D,2,FALSE))</f>
        <v>#N/A</v>
      </c>
      <c r="E936" s="22" t="str">
        <f>CONCATENATE('Ingest Template'!H936,CHAR(10),'Ingest Template'!I936,CHAR(10),'Ingest Template'!J936,CHAR(10))</f>
        <v>
</v>
      </c>
      <c r="F936" s="35" t="str">
        <f t="array" ref="F936">INDEX(DropdownLists!$O$2:$O$36,MATCH(1,COUNTIF(E936,"*"&amp;DropdownLists!$N$2:$N$36&amp;"*"),0))</f>
        <v/>
      </c>
      <c r="G936" s="35"/>
      <c r="H936" s="22" t="str">
        <f t="array" ref="H936">INDEX(DropdownLists!$E$2:$E$276,MATCH('Ingest Template'!D936,DropdownLists!$C$2:$C$276,0))</f>
        <v>#N/A</v>
      </c>
      <c r="I936" s="22"/>
      <c r="J936" s="22" t="str">
        <f t="array" ref="J936">iF('Ingest Template'!A936="Standard","Pristine Brand",INDEX(DropdownLists!$B$2:$B$246,MATCH('Ingest Template'!D936,DropdownLists!$C$2:$C$246,0)))</f>
        <v>#N/A</v>
      </c>
      <c r="K936" s="22" t="str">
        <f>iF('Ingest Template'!A936="Standard",'Ingest Template'!K936&amp;CHAR(10)&amp;'Ingest Template'!L936,"Competitive View")</f>
        <v>Competitive View</v>
      </c>
      <c r="L936" s="22" t="s">
        <v>95</v>
      </c>
      <c r="M936" s="45" t="str">
        <f>'Ingest Template'!B936</f>
        <v/>
      </c>
      <c r="N936" s="35"/>
      <c r="O936" s="35"/>
      <c r="P936" s="35"/>
      <c r="Q936" s="35"/>
      <c r="R936" s="35" t="str">
        <f>'Ingest Template'!D936</f>
        <v/>
      </c>
      <c r="S936" s="22" t="s">
        <v>101</v>
      </c>
      <c r="T936" s="35" t="str">
        <f>'Ingest Template'!V936</f>
        <v/>
      </c>
      <c r="U936" s="35" t="str">
        <f>'Ingest Template'!W936</f>
        <v/>
      </c>
      <c r="V936" s="35" t="str">
        <f>LOWER(SUBSTITUTE(SUBSTITUTE(SUBSTITUTE(SUBSTITUTE(SUBSTITUTE('Ingest Template'!X936,"https:",""),"www.",""),"/",""),"?hl=en",""),"instagram.com",""))</f>
        <v/>
      </c>
      <c r="W936" s="74" t="str">
        <f t="array" ref="W936">IF(
'Ingest Template'!Y936="",
SUBSTITUTE(
INDEX(DropdownLists!$F$2:$F$277,MATCH('Ingest Template'!D936,DropdownLists!$C$2:$C$277,0)),
CHAR(10),
"|"&amp;'Ingest Template'!C936&amp;CHAR(10)
)&amp;"|"&amp;'Ingest Template'!C936,
SUBSTITUTE(
INDEX(DropdownLists!$F$2:$F$277,MATCH('Ingest Template'!D936,DropdownLists!$C$2:$C$277,0)),
CHAR(10),
"|"&amp;'Ingest Template'!C936&amp;CHAR(10)
)&amp;"|"&amp;'Ingest Template'!C936&amp;CHAR(10)&amp;'Ingest Template'!Y936
)</f>
        <v>#N/A</v>
      </c>
      <c r="X936" s="74" t="str">
        <f>'Ingest Template'!Z936</f>
        <v/>
      </c>
      <c r="Y936" s="35" t="str">
        <f>SUBSTITUTE(SUBSTITUTE(SUBSTITUTE('Ingest Template'!AA936,"http:",""),"https:",""),"/","")</f>
        <v/>
      </c>
      <c r="Z936" s="35" t="str">
        <f t="array" ref="Z936">IF('Ingest Template'!A936="Standard",(IF(ISBLANK('Ingest Template'!AB936),"", 'Ingest Template'!AB936&amp;"|DAR")),(IF(ISBLANK('Ingest Template'!AB936),"", 'Ingest Template'!AB936&amp;"|TV Ops")))</f>
        <v/>
      </c>
      <c r="AA936" s="35"/>
      <c r="AB936" s="35" t="str">
        <f>'Ingest Template'!R936</f>
        <v/>
      </c>
      <c r="AC936" s="35" t="str">
        <f>'Ingest Template'!T936</f>
        <v/>
      </c>
      <c r="AD936" s="35" t="str">
        <f>'Ingest Template'!S936</f>
        <v/>
      </c>
      <c r="AE936" s="35" t="str">
        <f>'Ingest Template'!U936</f>
        <v/>
      </c>
      <c r="AF936" s="22"/>
      <c r="AG936" s="35" t="str">
        <f t="array" ref="AG936">IF('Ingest Template'!A936="Standard",(CONCATENATE(IF(ISBLANK('Ingest Template'!N936),"", 'Ingest Template'!N936&amp;"|DAR"),CHAR(10), IF(ISBLANK('Ingest Template'!O936),"", 'Ingest Template'!O936&amp;"|DAR"),CHAR(10), IF(ISBLANK('Ingest Template'!P936),"", 'Ingest Template'!P936&amp;"|DAR"))),(CONCATENATE(IF(ISBLANK('Ingest Template'!N936),"", 'Ingest Template'!N936&amp;"|TV Ops"),CHAR(10), IF(ISBLANK('Ingest Template'!O936),"", 'Ingest Template'!O936&amp;"|TV Ops"),CHAR(10), IF(ISBLANK('Ingest Template'!P936),"", 'Ingest Template'!P936&amp;"|TV Ops"))))</f>
        <v>
</v>
      </c>
      <c r="AH936" s="35"/>
      <c r="AI936" s="35"/>
      <c r="AJ936" s="117" t="str">
        <f>if('Ingest Template'!A936="Standard",(IF(OR('Ingest Template'!F936 = "Program Type - Special", 'Ingest Template'!F936 = "Program Type - Live Event"),'Ingest Template'!M936&amp; "|DAR|DAR|"&amp;TEXT('Ingest Template'!C936-3, "yyyy-mm-dd")&amp;"|"&amp;TEXT('Ingest Template'!C936+3, "yyyy-mm-dd"),'Ingest Template'!M936&amp; "|DAR|DAR|2021-01-01")),(IF(OR('Ingest Template'!F936 = "Program Type - Special", 'Ingest Template'!F936 = "Program Type - Live Event"),'Ingest Template'!M936&amp; "|Operations - Core Title|Operations - Core Title|"&amp;TEXT('Ingest Template'!C936-3, "yyyy-mm-dd")&amp;"|"&amp;TEXT('Ingest Template'!C936+3, "yyyy-mm-dd"),'Ingest Template'!M936&amp; "|Operations - Core Title|Operations - Core Title")))</f>
        <v>|Operations - Core Title|Operations - Core Title</v>
      </c>
      <c r="AK936" s="35"/>
      <c r="AL936" s="117" t="str">
        <f>if('Ingest Template'!A936="Standard",(IF(OR('Ingest Template'!F936 = "Program Type - Special", 'Ingest Template'!F936 = "Program Type - Live Event"),'Ingest Template'!Q936&amp;"|"&amp;TEXT('Ingest Template'!C936-3, "yyyy-mm-dd")&amp;"|"&amp;TEXT('Ingest Template'!C936+3, "yyyy-mm-dd"),'Ingest Template'!Q936&amp; "|2021-01-01")),(IF(OR('Ingest Template'!F936 = "Program Type - Special", 'Ingest Template'!F936 = "Program Type - Live Event"),'Ingest Template'!Q936&amp; "|"&amp;TEXT('Ingest Template'!C936-3, "yyyy-mm-dd")&amp;"|"&amp;TEXT('Ingest Template'!C936+3, "yyyy-mm-dd"),'Ingest Template'!Q936)))</f>
        <v/>
      </c>
      <c r="AM936" s="35" t="str">
        <f>'Ingest Template'!AC936</f>
        <v/>
      </c>
    </row>
    <row r="937">
      <c r="A937" s="15"/>
      <c r="B937" s="22" t="str">
        <f>'Ingest Template'!C937&amp;IF('Ingest Template'!A937 = "Standard", " - DAR","")</f>
        <v/>
      </c>
      <c r="C937" s="22" t="s">
        <v>83</v>
      </c>
      <c r="D937" s="22" t="str">
        <f t="array" ref="D937">CONCATENATE(INDEX(DropdownLists!$H$2:$H$11,MATCH(1,COUNTIF('Ingest Template'!E937,"*"&amp;DropdownLists!$I$2:$I$11&amp;"*"),0)),CHAR(10),'Ingest Template'!F937,CHAR(10),'Ingest Template'!G937,CHAR(10),VLOOKUP('Ingest Template'!D937,DropdownLists!C:D,2,FALSE))</f>
        <v>#N/A</v>
      </c>
      <c r="E937" s="22" t="str">
        <f>CONCATENATE('Ingest Template'!H937,CHAR(10),'Ingest Template'!I937,CHAR(10),'Ingest Template'!J937,CHAR(10))</f>
        <v>
</v>
      </c>
      <c r="F937" s="35" t="str">
        <f t="array" ref="F937">INDEX(DropdownLists!$O$2:$O$36,MATCH(1,COUNTIF(E937,"*"&amp;DropdownLists!$N$2:$N$36&amp;"*"),0))</f>
        <v/>
      </c>
      <c r="G937" s="35"/>
      <c r="H937" s="22" t="str">
        <f t="array" ref="H937">INDEX(DropdownLists!$E$2:$E$276,MATCH('Ingest Template'!D937,DropdownLists!$C$2:$C$276,0))</f>
        <v>#N/A</v>
      </c>
      <c r="I937" s="22"/>
      <c r="J937" s="22" t="str">
        <f t="array" ref="J937">iF('Ingest Template'!A937="Standard","Pristine Brand",INDEX(DropdownLists!$B$2:$B$246,MATCH('Ingest Template'!D937,DropdownLists!$C$2:$C$246,0)))</f>
        <v>#N/A</v>
      </c>
      <c r="K937" s="22" t="str">
        <f>iF('Ingest Template'!A937="Standard",'Ingest Template'!K937&amp;CHAR(10)&amp;'Ingest Template'!L937,"Competitive View")</f>
        <v>Competitive View</v>
      </c>
      <c r="L937" s="22" t="s">
        <v>95</v>
      </c>
      <c r="M937" s="45" t="str">
        <f>'Ingest Template'!B937</f>
        <v/>
      </c>
      <c r="N937" s="35"/>
      <c r="O937" s="35"/>
      <c r="P937" s="35"/>
      <c r="Q937" s="35"/>
      <c r="R937" s="35" t="str">
        <f>'Ingest Template'!D937</f>
        <v/>
      </c>
      <c r="S937" s="22" t="s">
        <v>101</v>
      </c>
      <c r="T937" s="35" t="str">
        <f>'Ingest Template'!V937</f>
        <v/>
      </c>
      <c r="U937" s="35" t="str">
        <f>'Ingest Template'!W937</f>
        <v/>
      </c>
      <c r="V937" s="35" t="str">
        <f>LOWER(SUBSTITUTE(SUBSTITUTE(SUBSTITUTE(SUBSTITUTE(SUBSTITUTE('Ingest Template'!X937,"https:",""),"www.",""),"/",""),"?hl=en",""),"instagram.com",""))</f>
        <v/>
      </c>
      <c r="W937" s="74" t="str">
        <f t="array" ref="W937">IF(
'Ingest Template'!Y937="",
SUBSTITUTE(
INDEX(DropdownLists!$F$2:$F$277,MATCH('Ingest Template'!D937,DropdownLists!$C$2:$C$277,0)),
CHAR(10),
"|"&amp;'Ingest Template'!C937&amp;CHAR(10)
)&amp;"|"&amp;'Ingest Template'!C937,
SUBSTITUTE(
INDEX(DropdownLists!$F$2:$F$277,MATCH('Ingest Template'!D937,DropdownLists!$C$2:$C$277,0)),
CHAR(10),
"|"&amp;'Ingest Template'!C937&amp;CHAR(10)
)&amp;"|"&amp;'Ingest Template'!C937&amp;CHAR(10)&amp;'Ingest Template'!Y937
)</f>
        <v>#N/A</v>
      </c>
      <c r="X937" s="74" t="str">
        <f>'Ingest Template'!Z937</f>
        <v/>
      </c>
      <c r="Y937" s="35" t="str">
        <f>SUBSTITUTE(SUBSTITUTE(SUBSTITUTE('Ingest Template'!AA937,"http:",""),"https:",""),"/","")</f>
        <v/>
      </c>
      <c r="Z937" s="35" t="str">
        <f t="array" ref="Z937">IF('Ingest Template'!A937="Standard",(IF(ISBLANK('Ingest Template'!AB937),"", 'Ingest Template'!AB937&amp;"|DAR")),(IF(ISBLANK('Ingest Template'!AB937),"", 'Ingest Template'!AB937&amp;"|TV Ops")))</f>
        <v/>
      </c>
      <c r="AA937" s="35"/>
      <c r="AB937" s="35" t="str">
        <f>'Ingest Template'!R937</f>
        <v/>
      </c>
      <c r="AC937" s="35" t="str">
        <f>'Ingest Template'!T937</f>
        <v/>
      </c>
      <c r="AD937" s="35" t="str">
        <f>'Ingest Template'!S937</f>
        <v/>
      </c>
      <c r="AE937" s="35" t="str">
        <f>'Ingest Template'!U937</f>
        <v/>
      </c>
      <c r="AF937" s="22"/>
      <c r="AG937" s="35" t="str">
        <f t="array" ref="AG937">IF('Ingest Template'!A937="Standard",(CONCATENATE(IF(ISBLANK('Ingest Template'!N937),"", 'Ingest Template'!N937&amp;"|DAR"),CHAR(10), IF(ISBLANK('Ingest Template'!O937),"", 'Ingest Template'!O937&amp;"|DAR"),CHAR(10), IF(ISBLANK('Ingest Template'!P937),"", 'Ingest Template'!P937&amp;"|DAR"))),(CONCATENATE(IF(ISBLANK('Ingest Template'!N937),"", 'Ingest Template'!N937&amp;"|TV Ops"),CHAR(10), IF(ISBLANK('Ingest Template'!O937),"", 'Ingest Template'!O937&amp;"|TV Ops"),CHAR(10), IF(ISBLANK('Ingest Template'!P937),"", 'Ingest Template'!P937&amp;"|TV Ops"))))</f>
        <v>
</v>
      </c>
      <c r="AH937" s="35"/>
      <c r="AI937" s="35"/>
      <c r="AJ937" s="117" t="str">
        <f>if('Ingest Template'!A937="Standard",(IF(OR('Ingest Template'!F937 = "Program Type - Special", 'Ingest Template'!F937 = "Program Type - Live Event"),'Ingest Template'!M937&amp; "|DAR|DAR|"&amp;TEXT('Ingest Template'!C937-3, "yyyy-mm-dd")&amp;"|"&amp;TEXT('Ingest Template'!C937+3, "yyyy-mm-dd"),'Ingest Template'!M937&amp; "|DAR|DAR|2021-01-01")),(IF(OR('Ingest Template'!F937 = "Program Type - Special", 'Ingest Template'!F937 = "Program Type - Live Event"),'Ingest Template'!M937&amp; "|Operations - Core Title|Operations - Core Title|"&amp;TEXT('Ingest Template'!C937-3, "yyyy-mm-dd")&amp;"|"&amp;TEXT('Ingest Template'!C937+3, "yyyy-mm-dd"),'Ingest Template'!M937&amp; "|Operations - Core Title|Operations - Core Title")))</f>
        <v>|Operations - Core Title|Operations - Core Title</v>
      </c>
      <c r="AK937" s="35"/>
      <c r="AL937" s="117" t="str">
        <f>if('Ingest Template'!A937="Standard",(IF(OR('Ingest Template'!F937 = "Program Type - Special", 'Ingest Template'!F937 = "Program Type - Live Event"),'Ingest Template'!Q937&amp;"|"&amp;TEXT('Ingest Template'!C937-3, "yyyy-mm-dd")&amp;"|"&amp;TEXT('Ingest Template'!C937+3, "yyyy-mm-dd"),'Ingest Template'!Q937&amp; "|2021-01-01")),(IF(OR('Ingest Template'!F937 = "Program Type - Special", 'Ingest Template'!F937 = "Program Type - Live Event"),'Ingest Template'!Q937&amp; "|"&amp;TEXT('Ingest Template'!C937-3, "yyyy-mm-dd")&amp;"|"&amp;TEXT('Ingest Template'!C937+3, "yyyy-mm-dd"),'Ingest Template'!Q937)))</f>
        <v/>
      </c>
      <c r="AM937" s="35" t="str">
        <f>'Ingest Template'!AC937</f>
        <v/>
      </c>
    </row>
    <row r="938">
      <c r="A938" s="15"/>
      <c r="B938" s="22" t="str">
        <f>'Ingest Template'!C938&amp;IF('Ingest Template'!A938 = "Standard", " - DAR","")</f>
        <v/>
      </c>
      <c r="C938" s="22" t="s">
        <v>83</v>
      </c>
      <c r="D938" s="22" t="str">
        <f t="array" ref="D938">CONCATENATE(INDEX(DropdownLists!$H$2:$H$11,MATCH(1,COUNTIF('Ingest Template'!E938,"*"&amp;DropdownLists!$I$2:$I$11&amp;"*"),0)),CHAR(10),'Ingest Template'!F938,CHAR(10),'Ingest Template'!G938,CHAR(10),VLOOKUP('Ingest Template'!D938,DropdownLists!C:D,2,FALSE))</f>
        <v>#N/A</v>
      </c>
      <c r="E938" s="22" t="str">
        <f>CONCATENATE('Ingest Template'!H938,CHAR(10),'Ingest Template'!I938,CHAR(10),'Ingest Template'!J938,CHAR(10))</f>
        <v>
</v>
      </c>
      <c r="F938" s="35" t="str">
        <f t="array" ref="F938">INDEX(DropdownLists!$O$2:$O$36,MATCH(1,COUNTIF(E938,"*"&amp;DropdownLists!$N$2:$N$36&amp;"*"),0))</f>
        <v/>
      </c>
      <c r="G938" s="35"/>
      <c r="H938" s="22" t="str">
        <f t="array" ref="H938">INDEX(DropdownLists!$E$2:$E$276,MATCH('Ingest Template'!D938,DropdownLists!$C$2:$C$276,0))</f>
        <v>#N/A</v>
      </c>
      <c r="I938" s="22"/>
      <c r="J938" s="22" t="str">
        <f t="array" ref="J938">iF('Ingest Template'!A938="Standard","Pristine Brand",INDEX(DropdownLists!$B$2:$B$246,MATCH('Ingest Template'!D938,DropdownLists!$C$2:$C$246,0)))</f>
        <v>#N/A</v>
      </c>
      <c r="K938" s="22" t="str">
        <f>iF('Ingest Template'!A938="Standard",'Ingest Template'!K938&amp;CHAR(10)&amp;'Ingest Template'!L938,"Competitive View")</f>
        <v>Competitive View</v>
      </c>
      <c r="L938" s="22" t="s">
        <v>95</v>
      </c>
      <c r="M938" s="45" t="str">
        <f>'Ingest Template'!B938</f>
        <v/>
      </c>
      <c r="N938" s="35"/>
      <c r="O938" s="35"/>
      <c r="P938" s="35"/>
      <c r="Q938" s="35"/>
      <c r="R938" s="35" t="str">
        <f>'Ingest Template'!D938</f>
        <v/>
      </c>
      <c r="S938" s="22" t="s">
        <v>101</v>
      </c>
      <c r="T938" s="35" t="str">
        <f>'Ingest Template'!V938</f>
        <v/>
      </c>
      <c r="U938" s="35" t="str">
        <f>'Ingest Template'!W938</f>
        <v/>
      </c>
      <c r="V938" s="35" t="str">
        <f>LOWER(SUBSTITUTE(SUBSTITUTE(SUBSTITUTE(SUBSTITUTE(SUBSTITUTE('Ingest Template'!X938,"https:",""),"www.",""),"/",""),"?hl=en",""),"instagram.com",""))</f>
        <v/>
      </c>
      <c r="W938" s="74" t="str">
        <f t="array" ref="W938">IF(
'Ingest Template'!Y938="",
SUBSTITUTE(
INDEX(DropdownLists!$F$2:$F$277,MATCH('Ingest Template'!D938,DropdownLists!$C$2:$C$277,0)),
CHAR(10),
"|"&amp;'Ingest Template'!C938&amp;CHAR(10)
)&amp;"|"&amp;'Ingest Template'!C938,
SUBSTITUTE(
INDEX(DropdownLists!$F$2:$F$277,MATCH('Ingest Template'!D938,DropdownLists!$C$2:$C$277,0)),
CHAR(10),
"|"&amp;'Ingest Template'!C938&amp;CHAR(10)
)&amp;"|"&amp;'Ingest Template'!C938&amp;CHAR(10)&amp;'Ingest Template'!Y938
)</f>
        <v>#N/A</v>
      </c>
      <c r="X938" s="74" t="str">
        <f>'Ingest Template'!Z938</f>
        <v/>
      </c>
      <c r="Y938" s="35" t="str">
        <f>SUBSTITUTE(SUBSTITUTE(SUBSTITUTE('Ingest Template'!AA938,"http:",""),"https:",""),"/","")</f>
        <v/>
      </c>
      <c r="Z938" s="35" t="str">
        <f t="array" ref="Z938">IF('Ingest Template'!A938="Standard",(IF(ISBLANK('Ingest Template'!AB938),"", 'Ingest Template'!AB938&amp;"|DAR")),(IF(ISBLANK('Ingest Template'!AB938),"", 'Ingest Template'!AB938&amp;"|TV Ops")))</f>
        <v/>
      </c>
      <c r="AA938" s="35"/>
      <c r="AB938" s="35" t="str">
        <f>'Ingest Template'!R938</f>
        <v/>
      </c>
      <c r="AC938" s="35" t="str">
        <f>'Ingest Template'!T938</f>
        <v/>
      </c>
      <c r="AD938" s="35" t="str">
        <f>'Ingest Template'!S938</f>
        <v/>
      </c>
      <c r="AE938" s="35" t="str">
        <f>'Ingest Template'!U938</f>
        <v/>
      </c>
      <c r="AF938" s="22"/>
      <c r="AG938" s="35" t="str">
        <f t="array" ref="AG938">IF('Ingest Template'!A938="Standard",(CONCATENATE(IF(ISBLANK('Ingest Template'!N938),"", 'Ingest Template'!N938&amp;"|DAR"),CHAR(10), IF(ISBLANK('Ingest Template'!O938),"", 'Ingest Template'!O938&amp;"|DAR"),CHAR(10), IF(ISBLANK('Ingest Template'!P938),"", 'Ingest Template'!P938&amp;"|DAR"))),(CONCATENATE(IF(ISBLANK('Ingest Template'!N938),"", 'Ingest Template'!N938&amp;"|TV Ops"),CHAR(10), IF(ISBLANK('Ingest Template'!O938),"", 'Ingest Template'!O938&amp;"|TV Ops"),CHAR(10), IF(ISBLANK('Ingest Template'!P938),"", 'Ingest Template'!P938&amp;"|TV Ops"))))</f>
        <v>
</v>
      </c>
      <c r="AH938" s="35"/>
      <c r="AI938" s="35"/>
      <c r="AJ938" s="117" t="str">
        <f>if('Ingest Template'!A938="Standard",(IF(OR('Ingest Template'!F938 = "Program Type - Special", 'Ingest Template'!F938 = "Program Type - Live Event"),'Ingest Template'!M938&amp; "|DAR|DAR|"&amp;TEXT('Ingest Template'!C938-3, "yyyy-mm-dd")&amp;"|"&amp;TEXT('Ingest Template'!C938+3, "yyyy-mm-dd"),'Ingest Template'!M938&amp; "|DAR|DAR|2021-01-01")),(IF(OR('Ingest Template'!F938 = "Program Type - Special", 'Ingest Template'!F938 = "Program Type - Live Event"),'Ingest Template'!M938&amp; "|Operations - Core Title|Operations - Core Title|"&amp;TEXT('Ingest Template'!C938-3, "yyyy-mm-dd")&amp;"|"&amp;TEXT('Ingest Template'!C938+3, "yyyy-mm-dd"),'Ingest Template'!M938&amp; "|Operations - Core Title|Operations - Core Title")))</f>
        <v>|Operations - Core Title|Operations - Core Title</v>
      </c>
      <c r="AK938" s="35"/>
      <c r="AL938" s="117" t="str">
        <f>if('Ingest Template'!A938="Standard",(IF(OR('Ingest Template'!F938 = "Program Type - Special", 'Ingest Template'!F938 = "Program Type - Live Event"),'Ingest Template'!Q938&amp;"|"&amp;TEXT('Ingest Template'!C938-3, "yyyy-mm-dd")&amp;"|"&amp;TEXT('Ingest Template'!C938+3, "yyyy-mm-dd"),'Ingest Template'!Q938&amp; "|2021-01-01")),(IF(OR('Ingest Template'!F938 = "Program Type - Special", 'Ingest Template'!F938 = "Program Type - Live Event"),'Ingest Template'!Q938&amp; "|"&amp;TEXT('Ingest Template'!C938-3, "yyyy-mm-dd")&amp;"|"&amp;TEXT('Ingest Template'!C938+3, "yyyy-mm-dd"),'Ingest Template'!Q938)))</f>
        <v/>
      </c>
      <c r="AM938" s="35" t="str">
        <f>'Ingest Template'!AC938</f>
        <v/>
      </c>
    </row>
    <row r="939">
      <c r="A939" s="15"/>
      <c r="B939" s="22" t="str">
        <f>'Ingest Template'!C939&amp;IF('Ingest Template'!A939 = "Standard", " - DAR","")</f>
        <v/>
      </c>
      <c r="C939" s="22" t="s">
        <v>83</v>
      </c>
      <c r="D939" s="22" t="str">
        <f t="array" ref="D939">CONCATENATE(INDEX(DropdownLists!$H$2:$H$11,MATCH(1,COUNTIF('Ingest Template'!E939,"*"&amp;DropdownLists!$I$2:$I$11&amp;"*"),0)),CHAR(10),'Ingest Template'!F939,CHAR(10),'Ingest Template'!G939,CHAR(10),VLOOKUP('Ingest Template'!D939,DropdownLists!C:D,2,FALSE))</f>
        <v>#N/A</v>
      </c>
      <c r="E939" s="22" t="str">
        <f>CONCATENATE('Ingest Template'!H939,CHAR(10),'Ingest Template'!I939,CHAR(10),'Ingest Template'!J939,CHAR(10))</f>
        <v>
</v>
      </c>
      <c r="F939" s="35" t="str">
        <f t="array" ref="F939">INDEX(DropdownLists!$O$2:$O$36,MATCH(1,COUNTIF(E939,"*"&amp;DropdownLists!$N$2:$N$36&amp;"*"),0))</f>
        <v/>
      </c>
      <c r="G939" s="35"/>
      <c r="H939" s="22" t="str">
        <f t="array" ref="H939">INDEX(DropdownLists!$E$2:$E$276,MATCH('Ingest Template'!D939,DropdownLists!$C$2:$C$276,0))</f>
        <v>#N/A</v>
      </c>
      <c r="I939" s="22"/>
      <c r="J939" s="22" t="str">
        <f t="array" ref="J939">iF('Ingest Template'!A939="Standard","Pristine Brand",INDEX(DropdownLists!$B$2:$B$246,MATCH('Ingest Template'!D939,DropdownLists!$C$2:$C$246,0)))</f>
        <v>#N/A</v>
      </c>
      <c r="K939" s="22" t="str">
        <f>iF('Ingest Template'!A939="Standard",'Ingest Template'!K939&amp;CHAR(10)&amp;'Ingest Template'!L939,"Competitive View")</f>
        <v>Competitive View</v>
      </c>
      <c r="L939" s="22" t="s">
        <v>95</v>
      </c>
      <c r="M939" s="45" t="str">
        <f>'Ingest Template'!B939</f>
        <v/>
      </c>
      <c r="N939" s="35"/>
      <c r="O939" s="35"/>
      <c r="P939" s="35"/>
      <c r="Q939" s="35"/>
      <c r="R939" s="35" t="str">
        <f>'Ingest Template'!D939</f>
        <v/>
      </c>
      <c r="S939" s="22" t="s">
        <v>101</v>
      </c>
      <c r="T939" s="35" t="str">
        <f>'Ingest Template'!V939</f>
        <v/>
      </c>
      <c r="U939" s="35" t="str">
        <f>'Ingest Template'!W939</f>
        <v/>
      </c>
      <c r="V939" s="35" t="str">
        <f>LOWER(SUBSTITUTE(SUBSTITUTE(SUBSTITUTE(SUBSTITUTE(SUBSTITUTE('Ingest Template'!X939,"https:",""),"www.",""),"/",""),"?hl=en",""),"instagram.com",""))</f>
        <v/>
      </c>
      <c r="W939" s="74" t="str">
        <f t="array" ref="W939">IF(
'Ingest Template'!Y939="",
SUBSTITUTE(
INDEX(DropdownLists!$F$2:$F$277,MATCH('Ingest Template'!D939,DropdownLists!$C$2:$C$277,0)),
CHAR(10),
"|"&amp;'Ingest Template'!C939&amp;CHAR(10)
)&amp;"|"&amp;'Ingest Template'!C939,
SUBSTITUTE(
INDEX(DropdownLists!$F$2:$F$277,MATCH('Ingest Template'!D939,DropdownLists!$C$2:$C$277,0)),
CHAR(10),
"|"&amp;'Ingest Template'!C939&amp;CHAR(10)
)&amp;"|"&amp;'Ingest Template'!C939&amp;CHAR(10)&amp;'Ingest Template'!Y939
)</f>
        <v>#N/A</v>
      </c>
      <c r="X939" s="74" t="str">
        <f>'Ingest Template'!Z939</f>
        <v/>
      </c>
      <c r="Y939" s="35" t="str">
        <f>SUBSTITUTE(SUBSTITUTE(SUBSTITUTE('Ingest Template'!AA939,"http:",""),"https:",""),"/","")</f>
        <v/>
      </c>
      <c r="Z939" s="35" t="str">
        <f t="array" ref="Z939">IF('Ingest Template'!A939="Standard",(IF(ISBLANK('Ingest Template'!AB939),"", 'Ingest Template'!AB939&amp;"|DAR")),(IF(ISBLANK('Ingest Template'!AB939),"", 'Ingest Template'!AB939&amp;"|TV Ops")))</f>
        <v/>
      </c>
      <c r="AA939" s="35"/>
      <c r="AB939" s="35" t="str">
        <f>'Ingest Template'!R939</f>
        <v/>
      </c>
      <c r="AC939" s="35" t="str">
        <f>'Ingest Template'!T939</f>
        <v/>
      </c>
      <c r="AD939" s="35" t="str">
        <f>'Ingest Template'!S939</f>
        <v/>
      </c>
      <c r="AE939" s="35" t="str">
        <f>'Ingest Template'!U939</f>
        <v/>
      </c>
      <c r="AF939" s="22"/>
      <c r="AG939" s="35" t="str">
        <f t="array" ref="AG939">IF('Ingest Template'!A939="Standard",(CONCATENATE(IF(ISBLANK('Ingest Template'!N939),"", 'Ingest Template'!N939&amp;"|DAR"),CHAR(10), IF(ISBLANK('Ingest Template'!O939),"", 'Ingest Template'!O939&amp;"|DAR"),CHAR(10), IF(ISBLANK('Ingest Template'!P939),"", 'Ingest Template'!P939&amp;"|DAR"))),(CONCATENATE(IF(ISBLANK('Ingest Template'!N939),"", 'Ingest Template'!N939&amp;"|TV Ops"),CHAR(10), IF(ISBLANK('Ingest Template'!O939),"", 'Ingest Template'!O939&amp;"|TV Ops"),CHAR(10), IF(ISBLANK('Ingest Template'!P939),"", 'Ingest Template'!P939&amp;"|TV Ops"))))</f>
        <v>
</v>
      </c>
      <c r="AH939" s="35"/>
      <c r="AI939" s="35"/>
      <c r="AJ939" s="117" t="str">
        <f>if('Ingest Template'!A939="Standard",(IF(OR('Ingest Template'!F939 = "Program Type - Special", 'Ingest Template'!F939 = "Program Type - Live Event"),'Ingest Template'!M939&amp; "|DAR|DAR|"&amp;TEXT('Ingest Template'!C939-3, "yyyy-mm-dd")&amp;"|"&amp;TEXT('Ingest Template'!C939+3, "yyyy-mm-dd"),'Ingest Template'!M939&amp; "|DAR|DAR|2021-01-01")),(IF(OR('Ingest Template'!F939 = "Program Type - Special", 'Ingest Template'!F939 = "Program Type - Live Event"),'Ingest Template'!M939&amp; "|Operations - Core Title|Operations - Core Title|"&amp;TEXT('Ingest Template'!C939-3, "yyyy-mm-dd")&amp;"|"&amp;TEXT('Ingest Template'!C939+3, "yyyy-mm-dd"),'Ingest Template'!M939&amp; "|Operations - Core Title|Operations - Core Title")))</f>
        <v>|Operations - Core Title|Operations - Core Title</v>
      </c>
      <c r="AK939" s="35"/>
      <c r="AL939" s="117" t="str">
        <f>if('Ingest Template'!A939="Standard",(IF(OR('Ingest Template'!F939 = "Program Type - Special", 'Ingest Template'!F939 = "Program Type - Live Event"),'Ingest Template'!Q939&amp;"|"&amp;TEXT('Ingest Template'!C939-3, "yyyy-mm-dd")&amp;"|"&amp;TEXT('Ingest Template'!C939+3, "yyyy-mm-dd"),'Ingest Template'!Q939&amp; "|2021-01-01")),(IF(OR('Ingest Template'!F939 = "Program Type - Special", 'Ingest Template'!F939 = "Program Type - Live Event"),'Ingest Template'!Q939&amp; "|"&amp;TEXT('Ingest Template'!C939-3, "yyyy-mm-dd")&amp;"|"&amp;TEXT('Ingest Template'!C939+3, "yyyy-mm-dd"),'Ingest Template'!Q939)))</f>
        <v/>
      </c>
      <c r="AM939" s="35" t="str">
        <f>'Ingest Template'!AC939</f>
        <v/>
      </c>
    </row>
    <row r="940">
      <c r="A940" s="15"/>
      <c r="B940" s="22" t="str">
        <f>'Ingest Template'!C940&amp;IF('Ingest Template'!A940 = "Standard", " - DAR","")</f>
        <v/>
      </c>
      <c r="C940" s="22" t="s">
        <v>83</v>
      </c>
      <c r="D940" s="22" t="str">
        <f t="array" ref="D940">CONCATENATE(INDEX(DropdownLists!$H$2:$H$11,MATCH(1,COUNTIF('Ingest Template'!E940,"*"&amp;DropdownLists!$I$2:$I$11&amp;"*"),0)),CHAR(10),'Ingest Template'!F940,CHAR(10),'Ingest Template'!G940,CHAR(10),VLOOKUP('Ingest Template'!D940,DropdownLists!C:D,2,FALSE))</f>
        <v>#N/A</v>
      </c>
      <c r="E940" s="22" t="str">
        <f>CONCATENATE('Ingest Template'!H940,CHAR(10),'Ingest Template'!I940,CHAR(10),'Ingest Template'!J940,CHAR(10))</f>
        <v>
</v>
      </c>
      <c r="F940" s="35" t="str">
        <f t="array" ref="F940">INDEX(DropdownLists!$O$2:$O$36,MATCH(1,COUNTIF(E940,"*"&amp;DropdownLists!$N$2:$N$36&amp;"*"),0))</f>
        <v/>
      </c>
      <c r="G940" s="35"/>
      <c r="H940" s="22" t="str">
        <f t="array" ref="H940">INDEX(DropdownLists!$E$2:$E$276,MATCH('Ingest Template'!D940,DropdownLists!$C$2:$C$276,0))</f>
        <v>#N/A</v>
      </c>
      <c r="I940" s="22"/>
      <c r="J940" s="22" t="str">
        <f t="array" ref="J940">iF('Ingest Template'!A940="Standard","Pristine Brand",INDEX(DropdownLists!$B$2:$B$246,MATCH('Ingest Template'!D940,DropdownLists!$C$2:$C$246,0)))</f>
        <v>#N/A</v>
      </c>
      <c r="K940" s="22" t="str">
        <f>iF('Ingest Template'!A940="Standard",'Ingest Template'!K940&amp;CHAR(10)&amp;'Ingest Template'!L940,"Competitive View")</f>
        <v>Competitive View</v>
      </c>
      <c r="L940" s="22" t="s">
        <v>95</v>
      </c>
      <c r="M940" s="45" t="str">
        <f>'Ingest Template'!B940</f>
        <v/>
      </c>
      <c r="N940" s="35"/>
      <c r="O940" s="35"/>
      <c r="P940" s="35"/>
      <c r="Q940" s="35"/>
      <c r="R940" s="35" t="str">
        <f>'Ingest Template'!D940</f>
        <v/>
      </c>
      <c r="S940" s="22" t="s">
        <v>101</v>
      </c>
      <c r="T940" s="35" t="str">
        <f>'Ingest Template'!V940</f>
        <v/>
      </c>
      <c r="U940" s="35" t="str">
        <f>'Ingest Template'!W940</f>
        <v/>
      </c>
      <c r="V940" s="35" t="str">
        <f>LOWER(SUBSTITUTE(SUBSTITUTE(SUBSTITUTE(SUBSTITUTE(SUBSTITUTE('Ingest Template'!X940,"https:",""),"www.",""),"/",""),"?hl=en",""),"instagram.com",""))</f>
        <v/>
      </c>
      <c r="W940" s="74" t="str">
        <f t="array" ref="W940">IF(
'Ingest Template'!Y940="",
SUBSTITUTE(
INDEX(DropdownLists!$F$2:$F$277,MATCH('Ingest Template'!D940,DropdownLists!$C$2:$C$277,0)),
CHAR(10),
"|"&amp;'Ingest Template'!C940&amp;CHAR(10)
)&amp;"|"&amp;'Ingest Template'!C940,
SUBSTITUTE(
INDEX(DropdownLists!$F$2:$F$277,MATCH('Ingest Template'!D940,DropdownLists!$C$2:$C$277,0)),
CHAR(10),
"|"&amp;'Ingest Template'!C940&amp;CHAR(10)
)&amp;"|"&amp;'Ingest Template'!C940&amp;CHAR(10)&amp;'Ingest Template'!Y940
)</f>
        <v>#N/A</v>
      </c>
      <c r="X940" s="74" t="str">
        <f>'Ingest Template'!Z940</f>
        <v/>
      </c>
      <c r="Y940" s="35" t="str">
        <f>SUBSTITUTE(SUBSTITUTE(SUBSTITUTE('Ingest Template'!AA940,"http:",""),"https:",""),"/","")</f>
        <v/>
      </c>
      <c r="Z940" s="35" t="str">
        <f t="array" ref="Z940">IF('Ingest Template'!A940="Standard",(IF(ISBLANK('Ingest Template'!AB940),"", 'Ingest Template'!AB940&amp;"|DAR")),(IF(ISBLANK('Ingest Template'!AB940),"", 'Ingest Template'!AB940&amp;"|TV Ops")))</f>
        <v/>
      </c>
      <c r="AA940" s="35"/>
      <c r="AB940" s="35" t="str">
        <f>'Ingest Template'!R940</f>
        <v/>
      </c>
      <c r="AC940" s="35" t="str">
        <f>'Ingest Template'!T940</f>
        <v/>
      </c>
      <c r="AD940" s="35" t="str">
        <f>'Ingest Template'!S940</f>
        <v/>
      </c>
      <c r="AE940" s="35" t="str">
        <f>'Ingest Template'!U940</f>
        <v/>
      </c>
      <c r="AF940" s="22"/>
      <c r="AG940" s="35" t="str">
        <f t="array" ref="AG940">IF('Ingest Template'!A940="Standard",(CONCATENATE(IF(ISBLANK('Ingest Template'!N940),"", 'Ingest Template'!N940&amp;"|DAR"),CHAR(10), IF(ISBLANK('Ingest Template'!O940),"", 'Ingest Template'!O940&amp;"|DAR"),CHAR(10), IF(ISBLANK('Ingest Template'!P940),"", 'Ingest Template'!P940&amp;"|DAR"))),(CONCATENATE(IF(ISBLANK('Ingest Template'!N940),"", 'Ingest Template'!N940&amp;"|TV Ops"),CHAR(10), IF(ISBLANK('Ingest Template'!O940),"", 'Ingest Template'!O940&amp;"|TV Ops"),CHAR(10), IF(ISBLANK('Ingest Template'!P940),"", 'Ingest Template'!P940&amp;"|TV Ops"))))</f>
        <v>
</v>
      </c>
      <c r="AH940" s="35"/>
      <c r="AI940" s="35"/>
      <c r="AJ940" s="117" t="str">
        <f>if('Ingest Template'!A940="Standard",(IF(OR('Ingest Template'!F940 = "Program Type - Special", 'Ingest Template'!F940 = "Program Type - Live Event"),'Ingest Template'!M940&amp; "|DAR|DAR|"&amp;TEXT('Ingest Template'!C940-3, "yyyy-mm-dd")&amp;"|"&amp;TEXT('Ingest Template'!C940+3, "yyyy-mm-dd"),'Ingest Template'!M940&amp; "|DAR|DAR|2021-01-01")),(IF(OR('Ingest Template'!F940 = "Program Type - Special", 'Ingest Template'!F940 = "Program Type - Live Event"),'Ingest Template'!M940&amp; "|Operations - Core Title|Operations - Core Title|"&amp;TEXT('Ingest Template'!C940-3, "yyyy-mm-dd")&amp;"|"&amp;TEXT('Ingest Template'!C940+3, "yyyy-mm-dd"),'Ingest Template'!M940&amp; "|Operations - Core Title|Operations - Core Title")))</f>
        <v>|Operations - Core Title|Operations - Core Title</v>
      </c>
      <c r="AK940" s="35"/>
      <c r="AL940" s="117" t="str">
        <f>if('Ingest Template'!A940="Standard",(IF(OR('Ingest Template'!F940 = "Program Type - Special", 'Ingest Template'!F940 = "Program Type - Live Event"),'Ingest Template'!Q940&amp;"|"&amp;TEXT('Ingest Template'!C940-3, "yyyy-mm-dd")&amp;"|"&amp;TEXT('Ingest Template'!C940+3, "yyyy-mm-dd"),'Ingest Template'!Q940&amp; "|2021-01-01")),(IF(OR('Ingest Template'!F940 = "Program Type - Special", 'Ingest Template'!F940 = "Program Type - Live Event"),'Ingest Template'!Q940&amp; "|"&amp;TEXT('Ingest Template'!C940-3, "yyyy-mm-dd")&amp;"|"&amp;TEXT('Ingest Template'!C940+3, "yyyy-mm-dd"),'Ingest Template'!Q940)))</f>
        <v/>
      </c>
      <c r="AM940" s="35" t="str">
        <f>'Ingest Template'!AC940</f>
        <v/>
      </c>
    </row>
    <row r="941">
      <c r="A941" s="15"/>
      <c r="B941" s="22" t="str">
        <f>'Ingest Template'!C941&amp;IF('Ingest Template'!A941 = "Standard", " - DAR","")</f>
        <v/>
      </c>
      <c r="C941" s="22" t="s">
        <v>83</v>
      </c>
      <c r="D941" s="22" t="str">
        <f t="array" ref="D941">CONCATENATE(INDEX(DropdownLists!$H$2:$H$11,MATCH(1,COUNTIF('Ingest Template'!E941,"*"&amp;DropdownLists!$I$2:$I$11&amp;"*"),0)),CHAR(10),'Ingest Template'!F941,CHAR(10),'Ingest Template'!G941,CHAR(10),VLOOKUP('Ingest Template'!D941,DropdownLists!C:D,2,FALSE))</f>
        <v>#N/A</v>
      </c>
      <c r="E941" s="22" t="str">
        <f>CONCATENATE('Ingest Template'!H941,CHAR(10),'Ingest Template'!I941,CHAR(10),'Ingest Template'!J941,CHAR(10))</f>
        <v>
</v>
      </c>
      <c r="F941" s="35" t="str">
        <f t="array" ref="F941">INDEX(DropdownLists!$O$2:$O$36,MATCH(1,COUNTIF(E941,"*"&amp;DropdownLists!$N$2:$N$36&amp;"*"),0))</f>
        <v/>
      </c>
      <c r="G941" s="35"/>
      <c r="H941" s="22" t="str">
        <f t="array" ref="H941">INDEX(DropdownLists!$E$2:$E$276,MATCH('Ingest Template'!D941,DropdownLists!$C$2:$C$276,0))</f>
        <v>#N/A</v>
      </c>
      <c r="I941" s="22"/>
      <c r="J941" s="22" t="str">
        <f t="array" ref="J941">iF('Ingest Template'!A941="Standard","Pristine Brand",INDEX(DropdownLists!$B$2:$B$246,MATCH('Ingest Template'!D941,DropdownLists!$C$2:$C$246,0)))</f>
        <v>#N/A</v>
      </c>
      <c r="K941" s="22" t="str">
        <f>iF('Ingest Template'!A941="Standard",'Ingest Template'!K941&amp;CHAR(10)&amp;'Ingest Template'!L941,"Competitive View")</f>
        <v>Competitive View</v>
      </c>
      <c r="L941" s="22" t="s">
        <v>95</v>
      </c>
      <c r="M941" s="45" t="str">
        <f>'Ingest Template'!B941</f>
        <v/>
      </c>
      <c r="N941" s="35"/>
      <c r="O941" s="35"/>
      <c r="P941" s="35"/>
      <c r="Q941" s="35"/>
      <c r="R941" s="35" t="str">
        <f>'Ingest Template'!D941</f>
        <v/>
      </c>
      <c r="S941" s="22" t="s">
        <v>101</v>
      </c>
      <c r="T941" s="35" t="str">
        <f>'Ingest Template'!V941</f>
        <v/>
      </c>
      <c r="U941" s="35" t="str">
        <f>'Ingest Template'!W941</f>
        <v/>
      </c>
      <c r="V941" s="35" t="str">
        <f>LOWER(SUBSTITUTE(SUBSTITUTE(SUBSTITUTE(SUBSTITUTE(SUBSTITUTE('Ingest Template'!X941,"https:",""),"www.",""),"/",""),"?hl=en",""),"instagram.com",""))</f>
        <v/>
      </c>
      <c r="W941" s="74" t="str">
        <f t="array" ref="W941">IF(
'Ingest Template'!Y941="",
SUBSTITUTE(
INDEX(DropdownLists!$F$2:$F$277,MATCH('Ingest Template'!D941,DropdownLists!$C$2:$C$277,0)),
CHAR(10),
"|"&amp;'Ingest Template'!C941&amp;CHAR(10)
)&amp;"|"&amp;'Ingest Template'!C941,
SUBSTITUTE(
INDEX(DropdownLists!$F$2:$F$277,MATCH('Ingest Template'!D941,DropdownLists!$C$2:$C$277,0)),
CHAR(10),
"|"&amp;'Ingest Template'!C941&amp;CHAR(10)
)&amp;"|"&amp;'Ingest Template'!C941&amp;CHAR(10)&amp;'Ingest Template'!Y941
)</f>
        <v>#N/A</v>
      </c>
      <c r="X941" s="74" t="str">
        <f>'Ingest Template'!Z941</f>
        <v/>
      </c>
      <c r="Y941" s="35" t="str">
        <f>SUBSTITUTE(SUBSTITUTE(SUBSTITUTE('Ingest Template'!AA941,"http:",""),"https:",""),"/","")</f>
        <v/>
      </c>
      <c r="Z941" s="35" t="str">
        <f t="array" ref="Z941">IF('Ingest Template'!A941="Standard",(IF(ISBLANK('Ingest Template'!AB941),"", 'Ingest Template'!AB941&amp;"|DAR")),(IF(ISBLANK('Ingest Template'!AB941),"", 'Ingest Template'!AB941&amp;"|TV Ops")))</f>
        <v/>
      </c>
      <c r="AA941" s="35"/>
      <c r="AB941" s="35" t="str">
        <f>'Ingest Template'!R941</f>
        <v/>
      </c>
      <c r="AC941" s="35" t="str">
        <f>'Ingest Template'!T941</f>
        <v/>
      </c>
      <c r="AD941" s="35" t="str">
        <f>'Ingest Template'!S941</f>
        <v/>
      </c>
      <c r="AE941" s="35" t="str">
        <f>'Ingest Template'!U941</f>
        <v/>
      </c>
      <c r="AF941" s="22"/>
      <c r="AG941" s="35" t="str">
        <f t="array" ref="AG941">IF('Ingest Template'!A941="Standard",(CONCATENATE(IF(ISBLANK('Ingest Template'!N941),"", 'Ingest Template'!N941&amp;"|DAR"),CHAR(10), IF(ISBLANK('Ingest Template'!O941),"", 'Ingest Template'!O941&amp;"|DAR"),CHAR(10), IF(ISBLANK('Ingest Template'!P941),"", 'Ingest Template'!P941&amp;"|DAR"))),(CONCATENATE(IF(ISBLANK('Ingest Template'!N941),"", 'Ingest Template'!N941&amp;"|TV Ops"),CHAR(10), IF(ISBLANK('Ingest Template'!O941),"", 'Ingest Template'!O941&amp;"|TV Ops"),CHAR(10), IF(ISBLANK('Ingest Template'!P941),"", 'Ingest Template'!P941&amp;"|TV Ops"))))</f>
        <v>
</v>
      </c>
      <c r="AH941" s="35"/>
      <c r="AI941" s="35"/>
      <c r="AJ941" s="117" t="str">
        <f>if('Ingest Template'!A941="Standard",(IF(OR('Ingest Template'!F941 = "Program Type - Special", 'Ingest Template'!F941 = "Program Type - Live Event"),'Ingest Template'!M941&amp; "|DAR|DAR|"&amp;TEXT('Ingest Template'!C941-3, "yyyy-mm-dd")&amp;"|"&amp;TEXT('Ingest Template'!C941+3, "yyyy-mm-dd"),'Ingest Template'!M941&amp; "|DAR|DAR|2021-01-01")),(IF(OR('Ingest Template'!F941 = "Program Type - Special", 'Ingest Template'!F941 = "Program Type - Live Event"),'Ingest Template'!M941&amp; "|Operations - Core Title|Operations - Core Title|"&amp;TEXT('Ingest Template'!C941-3, "yyyy-mm-dd")&amp;"|"&amp;TEXT('Ingest Template'!C941+3, "yyyy-mm-dd"),'Ingest Template'!M941&amp; "|Operations - Core Title|Operations - Core Title")))</f>
        <v>|Operations - Core Title|Operations - Core Title</v>
      </c>
      <c r="AK941" s="35"/>
      <c r="AL941" s="117" t="str">
        <f>if('Ingest Template'!A941="Standard",(IF(OR('Ingest Template'!F941 = "Program Type - Special", 'Ingest Template'!F941 = "Program Type - Live Event"),'Ingest Template'!Q941&amp;"|"&amp;TEXT('Ingest Template'!C941-3, "yyyy-mm-dd")&amp;"|"&amp;TEXT('Ingest Template'!C941+3, "yyyy-mm-dd"),'Ingest Template'!Q941&amp; "|2021-01-01")),(IF(OR('Ingest Template'!F941 = "Program Type - Special", 'Ingest Template'!F941 = "Program Type - Live Event"),'Ingest Template'!Q941&amp; "|"&amp;TEXT('Ingest Template'!C941-3, "yyyy-mm-dd")&amp;"|"&amp;TEXT('Ingest Template'!C941+3, "yyyy-mm-dd"),'Ingest Template'!Q941)))</f>
        <v/>
      </c>
      <c r="AM941" s="35" t="str">
        <f>'Ingest Template'!AC941</f>
        <v/>
      </c>
    </row>
    <row r="942">
      <c r="A942" s="15"/>
      <c r="B942" s="22" t="str">
        <f>'Ingest Template'!C942&amp;IF('Ingest Template'!A942 = "Standard", " - DAR","")</f>
        <v/>
      </c>
      <c r="C942" s="22" t="s">
        <v>83</v>
      </c>
      <c r="D942" s="22" t="str">
        <f t="array" ref="D942">CONCATENATE(INDEX(DropdownLists!$H$2:$H$11,MATCH(1,COUNTIF('Ingest Template'!E942,"*"&amp;DropdownLists!$I$2:$I$11&amp;"*"),0)),CHAR(10),'Ingest Template'!F942,CHAR(10),'Ingest Template'!G942,CHAR(10),VLOOKUP('Ingest Template'!D942,DropdownLists!C:D,2,FALSE))</f>
        <v>#N/A</v>
      </c>
      <c r="E942" s="22" t="str">
        <f>CONCATENATE('Ingest Template'!H942,CHAR(10),'Ingest Template'!I942,CHAR(10),'Ingest Template'!J942,CHAR(10))</f>
        <v>
</v>
      </c>
      <c r="F942" s="35" t="str">
        <f t="array" ref="F942">INDEX(DropdownLists!$O$2:$O$36,MATCH(1,COUNTIF(E942,"*"&amp;DropdownLists!$N$2:$N$36&amp;"*"),0))</f>
        <v/>
      </c>
      <c r="G942" s="35"/>
      <c r="H942" s="22" t="str">
        <f t="array" ref="H942">INDEX(DropdownLists!$E$2:$E$276,MATCH('Ingest Template'!D942,DropdownLists!$C$2:$C$276,0))</f>
        <v>#N/A</v>
      </c>
      <c r="I942" s="22"/>
      <c r="J942" s="22" t="str">
        <f t="array" ref="J942">iF('Ingest Template'!A942="Standard","Pristine Brand",INDEX(DropdownLists!$B$2:$B$246,MATCH('Ingest Template'!D942,DropdownLists!$C$2:$C$246,0)))</f>
        <v>#N/A</v>
      </c>
      <c r="K942" s="22" t="str">
        <f>iF('Ingest Template'!A942="Standard",'Ingest Template'!K942&amp;CHAR(10)&amp;'Ingest Template'!L942,"Competitive View")</f>
        <v>Competitive View</v>
      </c>
      <c r="L942" s="22" t="s">
        <v>95</v>
      </c>
      <c r="M942" s="45" t="str">
        <f>'Ingest Template'!B942</f>
        <v/>
      </c>
      <c r="N942" s="35"/>
      <c r="O942" s="35"/>
      <c r="P942" s="35"/>
      <c r="Q942" s="35"/>
      <c r="R942" s="35" t="str">
        <f>'Ingest Template'!D942</f>
        <v/>
      </c>
      <c r="S942" s="22" t="s">
        <v>101</v>
      </c>
      <c r="T942" s="35" t="str">
        <f>'Ingest Template'!V942</f>
        <v/>
      </c>
      <c r="U942" s="35" t="str">
        <f>'Ingest Template'!W942</f>
        <v/>
      </c>
      <c r="V942" s="35" t="str">
        <f>LOWER(SUBSTITUTE(SUBSTITUTE(SUBSTITUTE(SUBSTITUTE(SUBSTITUTE('Ingest Template'!X942,"https:",""),"www.",""),"/",""),"?hl=en",""),"instagram.com",""))</f>
        <v/>
      </c>
      <c r="W942" s="74" t="str">
        <f t="array" ref="W942">IF(
'Ingest Template'!Y942="",
SUBSTITUTE(
INDEX(DropdownLists!$F$2:$F$277,MATCH('Ingest Template'!D942,DropdownLists!$C$2:$C$277,0)),
CHAR(10),
"|"&amp;'Ingest Template'!C942&amp;CHAR(10)
)&amp;"|"&amp;'Ingest Template'!C942,
SUBSTITUTE(
INDEX(DropdownLists!$F$2:$F$277,MATCH('Ingest Template'!D942,DropdownLists!$C$2:$C$277,0)),
CHAR(10),
"|"&amp;'Ingest Template'!C942&amp;CHAR(10)
)&amp;"|"&amp;'Ingest Template'!C942&amp;CHAR(10)&amp;'Ingest Template'!Y942
)</f>
        <v>#N/A</v>
      </c>
      <c r="X942" s="74" t="str">
        <f>'Ingest Template'!Z942</f>
        <v/>
      </c>
      <c r="Y942" s="35" t="str">
        <f>SUBSTITUTE(SUBSTITUTE(SUBSTITUTE('Ingest Template'!AA942,"http:",""),"https:",""),"/","")</f>
        <v/>
      </c>
      <c r="Z942" s="35" t="str">
        <f t="array" ref="Z942">IF('Ingest Template'!A942="Standard",(IF(ISBLANK('Ingest Template'!AB942),"", 'Ingest Template'!AB942&amp;"|DAR")),(IF(ISBLANK('Ingest Template'!AB942),"", 'Ingest Template'!AB942&amp;"|TV Ops")))</f>
        <v/>
      </c>
      <c r="AA942" s="35"/>
      <c r="AB942" s="35" t="str">
        <f>'Ingest Template'!R942</f>
        <v/>
      </c>
      <c r="AC942" s="35" t="str">
        <f>'Ingest Template'!T942</f>
        <v/>
      </c>
      <c r="AD942" s="35" t="str">
        <f>'Ingest Template'!S942</f>
        <v/>
      </c>
      <c r="AE942" s="35" t="str">
        <f>'Ingest Template'!U942</f>
        <v/>
      </c>
      <c r="AF942" s="22"/>
      <c r="AG942" s="35" t="str">
        <f t="array" ref="AG942">IF('Ingest Template'!A942="Standard",(CONCATENATE(IF(ISBLANK('Ingest Template'!N942),"", 'Ingest Template'!N942&amp;"|DAR"),CHAR(10), IF(ISBLANK('Ingest Template'!O942),"", 'Ingest Template'!O942&amp;"|DAR"),CHAR(10), IF(ISBLANK('Ingest Template'!P942),"", 'Ingest Template'!P942&amp;"|DAR"))),(CONCATENATE(IF(ISBLANK('Ingest Template'!N942),"", 'Ingest Template'!N942&amp;"|TV Ops"),CHAR(10), IF(ISBLANK('Ingest Template'!O942),"", 'Ingest Template'!O942&amp;"|TV Ops"),CHAR(10), IF(ISBLANK('Ingest Template'!P942),"", 'Ingest Template'!P942&amp;"|TV Ops"))))</f>
        <v>
</v>
      </c>
      <c r="AH942" s="35"/>
      <c r="AI942" s="35"/>
      <c r="AJ942" s="117" t="str">
        <f>if('Ingest Template'!A942="Standard",(IF(OR('Ingest Template'!F942 = "Program Type - Special", 'Ingest Template'!F942 = "Program Type - Live Event"),'Ingest Template'!M942&amp; "|DAR|DAR|"&amp;TEXT('Ingest Template'!C942-3, "yyyy-mm-dd")&amp;"|"&amp;TEXT('Ingest Template'!C942+3, "yyyy-mm-dd"),'Ingest Template'!M942&amp; "|DAR|DAR|2021-01-01")),(IF(OR('Ingest Template'!F942 = "Program Type - Special", 'Ingest Template'!F942 = "Program Type - Live Event"),'Ingest Template'!M942&amp; "|Operations - Core Title|Operations - Core Title|"&amp;TEXT('Ingest Template'!C942-3, "yyyy-mm-dd")&amp;"|"&amp;TEXT('Ingest Template'!C942+3, "yyyy-mm-dd"),'Ingest Template'!M942&amp; "|Operations - Core Title|Operations - Core Title")))</f>
        <v>|Operations - Core Title|Operations - Core Title</v>
      </c>
      <c r="AK942" s="35"/>
      <c r="AL942" s="117" t="str">
        <f>if('Ingest Template'!A942="Standard",(IF(OR('Ingest Template'!F942 = "Program Type - Special", 'Ingest Template'!F942 = "Program Type - Live Event"),'Ingest Template'!Q942&amp;"|"&amp;TEXT('Ingest Template'!C942-3, "yyyy-mm-dd")&amp;"|"&amp;TEXT('Ingest Template'!C942+3, "yyyy-mm-dd"),'Ingest Template'!Q942&amp; "|2021-01-01")),(IF(OR('Ingest Template'!F942 = "Program Type - Special", 'Ingest Template'!F942 = "Program Type - Live Event"),'Ingest Template'!Q942&amp; "|"&amp;TEXT('Ingest Template'!C942-3, "yyyy-mm-dd")&amp;"|"&amp;TEXT('Ingest Template'!C942+3, "yyyy-mm-dd"),'Ingest Template'!Q942)))</f>
        <v/>
      </c>
      <c r="AM942" s="35" t="str">
        <f>'Ingest Template'!AC942</f>
        <v/>
      </c>
    </row>
    <row r="943">
      <c r="A943" s="15"/>
      <c r="B943" s="22" t="str">
        <f>'Ingest Template'!C943&amp;IF('Ingest Template'!A943 = "Standard", " - DAR","")</f>
        <v/>
      </c>
      <c r="C943" s="22" t="s">
        <v>83</v>
      </c>
      <c r="D943" s="22" t="str">
        <f t="array" ref="D943">CONCATENATE(INDEX(DropdownLists!$H$2:$H$11,MATCH(1,COUNTIF('Ingest Template'!E943,"*"&amp;DropdownLists!$I$2:$I$11&amp;"*"),0)),CHAR(10),'Ingest Template'!F943,CHAR(10),'Ingest Template'!G943,CHAR(10),VLOOKUP('Ingest Template'!D943,DropdownLists!C:D,2,FALSE))</f>
        <v>#N/A</v>
      </c>
      <c r="E943" s="22" t="str">
        <f>CONCATENATE('Ingest Template'!H943,CHAR(10),'Ingest Template'!I943,CHAR(10),'Ingest Template'!J943,CHAR(10))</f>
        <v>
</v>
      </c>
      <c r="F943" s="35" t="str">
        <f t="array" ref="F943">INDEX(DropdownLists!$O$2:$O$36,MATCH(1,COUNTIF(E943,"*"&amp;DropdownLists!$N$2:$N$36&amp;"*"),0))</f>
        <v/>
      </c>
      <c r="G943" s="35"/>
      <c r="H943" s="22" t="str">
        <f t="array" ref="H943">INDEX(DropdownLists!$E$2:$E$276,MATCH('Ingest Template'!D943,DropdownLists!$C$2:$C$276,0))</f>
        <v>#N/A</v>
      </c>
      <c r="I943" s="22"/>
      <c r="J943" s="22" t="str">
        <f t="array" ref="J943">iF('Ingest Template'!A943="Standard","Pristine Brand",INDEX(DropdownLists!$B$2:$B$246,MATCH('Ingest Template'!D943,DropdownLists!$C$2:$C$246,0)))</f>
        <v>#N/A</v>
      </c>
      <c r="K943" s="22" t="str">
        <f>iF('Ingest Template'!A943="Standard",'Ingest Template'!K943&amp;CHAR(10)&amp;'Ingest Template'!L943,"Competitive View")</f>
        <v>Competitive View</v>
      </c>
      <c r="L943" s="22" t="s">
        <v>95</v>
      </c>
      <c r="M943" s="45" t="str">
        <f>'Ingest Template'!B943</f>
        <v/>
      </c>
      <c r="N943" s="35"/>
      <c r="O943" s="35"/>
      <c r="P943" s="35"/>
      <c r="Q943" s="35"/>
      <c r="R943" s="35" t="str">
        <f>'Ingest Template'!D943</f>
        <v/>
      </c>
      <c r="S943" s="22" t="s">
        <v>101</v>
      </c>
      <c r="T943" s="35" t="str">
        <f>'Ingest Template'!V943</f>
        <v/>
      </c>
      <c r="U943" s="35" t="str">
        <f>'Ingest Template'!W943</f>
        <v/>
      </c>
      <c r="V943" s="35" t="str">
        <f>LOWER(SUBSTITUTE(SUBSTITUTE(SUBSTITUTE(SUBSTITUTE(SUBSTITUTE('Ingest Template'!X943,"https:",""),"www.",""),"/",""),"?hl=en",""),"instagram.com",""))</f>
        <v/>
      </c>
      <c r="W943" s="74" t="str">
        <f t="array" ref="W943">IF(
'Ingest Template'!Y943="",
SUBSTITUTE(
INDEX(DropdownLists!$F$2:$F$277,MATCH('Ingest Template'!D943,DropdownLists!$C$2:$C$277,0)),
CHAR(10),
"|"&amp;'Ingest Template'!C943&amp;CHAR(10)
)&amp;"|"&amp;'Ingest Template'!C943,
SUBSTITUTE(
INDEX(DropdownLists!$F$2:$F$277,MATCH('Ingest Template'!D943,DropdownLists!$C$2:$C$277,0)),
CHAR(10),
"|"&amp;'Ingest Template'!C943&amp;CHAR(10)
)&amp;"|"&amp;'Ingest Template'!C943&amp;CHAR(10)&amp;'Ingest Template'!Y943
)</f>
        <v>#N/A</v>
      </c>
      <c r="X943" s="74" t="str">
        <f>'Ingest Template'!Z943</f>
        <v/>
      </c>
      <c r="Y943" s="35" t="str">
        <f>SUBSTITUTE(SUBSTITUTE(SUBSTITUTE('Ingest Template'!AA943,"http:",""),"https:",""),"/","")</f>
        <v/>
      </c>
      <c r="Z943" s="35" t="str">
        <f t="array" ref="Z943">IF('Ingest Template'!A943="Standard",(IF(ISBLANK('Ingest Template'!AB943),"", 'Ingest Template'!AB943&amp;"|DAR")),(IF(ISBLANK('Ingest Template'!AB943),"", 'Ingest Template'!AB943&amp;"|TV Ops")))</f>
        <v/>
      </c>
      <c r="AA943" s="35"/>
      <c r="AB943" s="35" t="str">
        <f>'Ingest Template'!R943</f>
        <v/>
      </c>
      <c r="AC943" s="35" t="str">
        <f>'Ingest Template'!T943</f>
        <v/>
      </c>
      <c r="AD943" s="35" t="str">
        <f>'Ingest Template'!S943</f>
        <v/>
      </c>
      <c r="AE943" s="35" t="str">
        <f>'Ingest Template'!U943</f>
        <v/>
      </c>
      <c r="AF943" s="22"/>
      <c r="AG943" s="35" t="str">
        <f t="array" ref="AG943">IF('Ingest Template'!A943="Standard",(CONCATENATE(IF(ISBLANK('Ingest Template'!N943),"", 'Ingest Template'!N943&amp;"|DAR"),CHAR(10), IF(ISBLANK('Ingest Template'!O943),"", 'Ingest Template'!O943&amp;"|DAR"),CHAR(10), IF(ISBLANK('Ingest Template'!P943),"", 'Ingest Template'!P943&amp;"|DAR"))),(CONCATENATE(IF(ISBLANK('Ingest Template'!N943),"", 'Ingest Template'!N943&amp;"|TV Ops"),CHAR(10), IF(ISBLANK('Ingest Template'!O943),"", 'Ingest Template'!O943&amp;"|TV Ops"),CHAR(10), IF(ISBLANK('Ingest Template'!P943),"", 'Ingest Template'!P943&amp;"|TV Ops"))))</f>
        <v>
</v>
      </c>
      <c r="AH943" s="35"/>
      <c r="AI943" s="35"/>
      <c r="AJ943" s="117" t="str">
        <f>if('Ingest Template'!A943="Standard",(IF(OR('Ingest Template'!F943 = "Program Type - Special", 'Ingest Template'!F943 = "Program Type - Live Event"),'Ingest Template'!M943&amp; "|DAR|DAR|"&amp;TEXT('Ingest Template'!C943-3, "yyyy-mm-dd")&amp;"|"&amp;TEXT('Ingest Template'!C943+3, "yyyy-mm-dd"),'Ingest Template'!M943&amp; "|DAR|DAR|2021-01-01")),(IF(OR('Ingest Template'!F943 = "Program Type - Special", 'Ingest Template'!F943 = "Program Type - Live Event"),'Ingest Template'!M943&amp; "|Operations - Core Title|Operations - Core Title|"&amp;TEXT('Ingest Template'!C943-3, "yyyy-mm-dd")&amp;"|"&amp;TEXT('Ingest Template'!C943+3, "yyyy-mm-dd"),'Ingest Template'!M943&amp; "|Operations - Core Title|Operations - Core Title")))</f>
        <v>|Operations - Core Title|Operations - Core Title</v>
      </c>
      <c r="AK943" s="35"/>
      <c r="AL943" s="117" t="str">
        <f>if('Ingest Template'!A943="Standard",(IF(OR('Ingest Template'!F943 = "Program Type - Special", 'Ingest Template'!F943 = "Program Type - Live Event"),'Ingest Template'!Q943&amp;"|"&amp;TEXT('Ingest Template'!C943-3, "yyyy-mm-dd")&amp;"|"&amp;TEXT('Ingest Template'!C943+3, "yyyy-mm-dd"),'Ingest Template'!Q943&amp; "|2021-01-01")),(IF(OR('Ingest Template'!F943 = "Program Type - Special", 'Ingest Template'!F943 = "Program Type - Live Event"),'Ingest Template'!Q943&amp; "|"&amp;TEXT('Ingest Template'!C943-3, "yyyy-mm-dd")&amp;"|"&amp;TEXT('Ingest Template'!C943+3, "yyyy-mm-dd"),'Ingest Template'!Q943)))</f>
        <v/>
      </c>
      <c r="AM943" s="35" t="str">
        <f>'Ingest Template'!AC943</f>
        <v/>
      </c>
    </row>
    <row r="944">
      <c r="A944" s="15"/>
      <c r="B944" s="22" t="str">
        <f>'Ingest Template'!C944&amp;IF('Ingest Template'!A944 = "Standard", " - DAR","")</f>
        <v/>
      </c>
      <c r="C944" s="22" t="s">
        <v>83</v>
      </c>
      <c r="D944" s="22" t="str">
        <f t="array" ref="D944">CONCATENATE(INDEX(DropdownLists!$H$2:$H$11,MATCH(1,COUNTIF('Ingest Template'!E944,"*"&amp;DropdownLists!$I$2:$I$11&amp;"*"),0)),CHAR(10),'Ingest Template'!F944,CHAR(10),'Ingest Template'!G944,CHAR(10),VLOOKUP('Ingest Template'!D944,DropdownLists!C:D,2,FALSE))</f>
        <v>#N/A</v>
      </c>
      <c r="E944" s="22" t="str">
        <f>CONCATENATE('Ingest Template'!H944,CHAR(10),'Ingest Template'!I944,CHAR(10),'Ingest Template'!J944,CHAR(10))</f>
        <v>
</v>
      </c>
      <c r="F944" s="35" t="str">
        <f t="array" ref="F944">INDEX(DropdownLists!$O$2:$O$36,MATCH(1,COUNTIF(E944,"*"&amp;DropdownLists!$N$2:$N$36&amp;"*"),0))</f>
        <v/>
      </c>
      <c r="G944" s="35"/>
      <c r="H944" s="22" t="str">
        <f t="array" ref="H944">INDEX(DropdownLists!$E$2:$E$276,MATCH('Ingest Template'!D944,DropdownLists!$C$2:$C$276,0))</f>
        <v>#N/A</v>
      </c>
      <c r="I944" s="22"/>
      <c r="J944" s="22" t="str">
        <f t="array" ref="J944">iF('Ingest Template'!A944="Standard","Pristine Brand",INDEX(DropdownLists!$B$2:$B$246,MATCH('Ingest Template'!D944,DropdownLists!$C$2:$C$246,0)))</f>
        <v>#N/A</v>
      </c>
      <c r="K944" s="22" t="str">
        <f>iF('Ingest Template'!A944="Standard",'Ingest Template'!K944&amp;CHAR(10)&amp;'Ingest Template'!L944,"Competitive View")</f>
        <v>Competitive View</v>
      </c>
      <c r="L944" s="22" t="s">
        <v>95</v>
      </c>
      <c r="M944" s="45" t="str">
        <f>'Ingest Template'!B944</f>
        <v/>
      </c>
      <c r="N944" s="35"/>
      <c r="O944" s="35"/>
      <c r="P944" s="35"/>
      <c r="Q944" s="35"/>
      <c r="R944" s="35" t="str">
        <f>'Ingest Template'!D944</f>
        <v/>
      </c>
      <c r="S944" s="22" t="s">
        <v>101</v>
      </c>
      <c r="T944" s="35" t="str">
        <f>'Ingest Template'!V944</f>
        <v/>
      </c>
      <c r="U944" s="35" t="str">
        <f>'Ingest Template'!W944</f>
        <v/>
      </c>
      <c r="V944" s="35" t="str">
        <f>LOWER(SUBSTITUTE(SUBSTITUTE(SUBSTITUTE(SUBSTITUTE(SUBSTITUTE('Ingest Template'!X944,"https:",""),"www.",""),"/",""),"?hl=en",""),"instagram.com",""))</f>
        <v/>
      </c>
      <c r="W944" s="74" t="str">
        <f t="array" ref="W944">IF(
'Ingest Template'!Y944="",
SUBSTITUTE(
INDEX(DropdownLists!$F$2:$F$277,MATCH('Ingest Template'!D944,DropdownLists!$C$2:$C$277,0)),
CHAR(10),
"|"&amp;'Ingest Template'!C944&amp;CHAR(10)
)&amp;"|"&amp;'Ingest Template'!C944,
SUBSTITUTE(
INDEX(DropdownLists!$F$2:$F$277,MATCH('Ingest Template'!D944,DropdownLists!$C$2:$C$277,0)),
CHAR(10),
"|"&amp;'Ingest Template'!C944&amp;CHAR(10)
)&amp;"|"&amp;'Ingest Template'!C944&amp;CHAR(10)&amp;'Ingest Template'!Y944
)</f>
        <v>#N/A</v>
      </c>
      <c r="X944" s="74" t="str">
        <f>'Ingest Template'!Z944</f>
        <v/>
      </c>
      <c r="Y944" s="35" t="str">
        <f>SUBSTITUTE(SUBSTITUTE(SUBSTITUTE('Ingest Template'!AA944,"http:",""),"https:",""),"/","")</f>
        <v/>
      </c>
      <c r="Z944" s="35" t="str">
        <f t="array" ref="Z944">IF('Ingest Template'!A944="Standard",(IF(ISBLANK('Ingest Template'!AB944),"", 'Ingest Template'!AB944&amp;"|DAR")),(IF(ISBLANK('Ingest Template'!AB944),"", 'Ingest Template'!AB944&amp;"|TV Ops")))</f>
        <v/>
      </c>
      <c r="AA944" s="35"/>
      <c r="AB944" s="35" t="str">
        <f>'Ingest Template'!R944</f>
        <v/>
      </c>
      <c r="AC944" s="35" t="str">
        <f>'Ingest Template'!T944</f>
        <v/>
      </c>
      <c r="AD944" s="35" t="str">
        <f>'Ingest Template'!S944</f>
        <v/>
      </c>
      <c r="AE944" s="35" t="str">
        <f>'Ingest Template'!U944</f>
        <v/>
      </c>
      <c r="AF944" s="22"/>
      <c r="AG944" s="35" t="str">
        <f t="array" ref="AG944">IF('Ingest Template'!A944="Standard",(CONCATENATE(IF(ISBLANK('Ingest Template'!N944),"", 'Ingest Template'!N944&amp;"|DAR"),CHAR(10), IF(ISBLANK('Ingest Template'!O944),"", 'Ingest Template'!O944&amp;"|DAR"),CHAR(10), IF(ISBLANK('Ingest Template'!P944),"", 'Ingest Template'!P944&amp;"|DAR"))),(CONCATENATE(IF(ISBLANK('Ingest Template'!N944),"", 'Ingest Template'!N944&amp;"|TV Ops"),CHAR(10), IF(ISBLANK('Ingest Template'!O944),"", 'Ingest Template'!O944&amp;"|TV Ops"),CHAR(10), IF(ISBLANK('Ingest Template'!P944),"", 'Ingest Template'!P944&amp;"|TV Ops"))))</f>
        <v>
</v>
      </c>
      <c r="AH944" s="35"/>
      <c r="AI944" s="35"/>
      <c r="AJ944" s="117" t="str">
        <f>if('Ingest Template'!A944="Standard",(IF(OR('Ingest Template'!F944 = "Program Type - Special", 'Ingest Template'!F944 = "Program Type - Live Event"),'Ingest Template'!M944&amp; "|DAR|DAR|"&amp;TEXT('Ingest Template'!C944-3, "yyyy-mm-dd")&amp;"|"&amp;TEXT('Ingest Template'!C944+3, "yyyy-mm-dd"),'Ingest Template'!M944&amp; "|DAR|DAR|2021-01-01")),(IF(OR('Ingest Template'!F944 = "Program Type - Special", 'Ingest Template'!F944 = "Program Type - Live Event"),'Ingest Template'!M944&amp; "|Operations - Core Title|Operations - Core Title|"&amp;TEXT('Ingest Template'!C944-3, "yyyy-mm-dd")&amp;"|"&amp;TEXT('Ingest Template'!C944+3, "yyyy-mm-dd"),'Ingest Template'!M944&amp; "|Operations - Core Title|Operations - Core Title")))</f>
        <v>|Operations - Core Title|Operations - Core Title</v>
      </c>
      <c r="AK944" s="35"/>
      <c r="AL944" s="117" t="str">
        <f>if('Ingest Template'!A944="Standard",(IF(OR('Ingest Template'!F944 = "Program Type - Special", 'Ingest Template'!F944 = "Program Type - Live Event"),'Ingest Template'!Q944&amp;"|"&amp;TEXT('Ingest Template'!C944-3, "yyyy-mm-dd")&amp;"|"&amp;TEXT('Ingest Template'!C944+3, "yyyy-mm-dd"),'Ingest Template'!Q944&amp; "|2021-01-01")),(IF(OR('Ingest Template'!F944 = "Program Type - Special", 'Ingest Template'!F944 = "Program Type - Live Event"),'Ingest Template'!Q944&amp; "|"&amp;TEXT('Ingest Template'!C944-3, "yyyy-mm-dd")&amp;"|"&amp;TEXT('Ingest Template'!C944+3, "yyyy-mm-dd"),'Ingest Template'!Q944)))</f>
        <v/>
      </c>
      <c r="AM944" s="35" t="str">
        <f>'Ingest Template'!AC944</f>
        <v/>
      </c>
    </row>
    <row r="945">
      <c r="A945" s="15"/>
      <c r="B945" s="22" t="str">
        <f>'Ingest Template'!C945&amp;IF('Ingest Template'!A945 = "Standard", " - DAR","")</f>
        <v/>
      </c>
      <c r="C945" s="22" t="s">
        <v>83</v>
      </c>
      <c r="D945" s="22" t="str">
        <f t="array" ref="D945">CONCATENATE(INDEX(DropdownLists!$H$2:$H$11,MATCH(1,COUNTIF('Ingest Template'!E945,"*"&amp;DropdownLists!$I$2:$I$11&amp;"*"),0)),CHAR(10),'Ingest Template'!F945,CHAR(10),'Ingest Template'!G945,CHAR(10),VLOOKUP('Ingest Template'!D945,DropdownLists!C:D,2,FALSE))</f>
        <v>#N/A</v>
      </c>
      <c r="E945" s="22" t="str">
        <f>CONCATENATE('Ingest Template'!H945,CHAR(10),'Ingest Template'!I945,CHAR(10),'Ingest Template'!J945,CHAR(10))</f>
        <v>
</v>
      </c>
      <c r="F945" s="35" t="str">
        <f t="array" ref="F945">INDEX(DropdownLists!$O$2:$O$36,MATCH(1,COUNTIF(E945,"*"&amp;DropdownLists!$N$2:$N$36&amp;"*"),0))</f>
        <v/>
      </c>
      <c r="G945" s="35"/>
      <c r="H945" s="22" t="str">
        <f t="array" ref="H945">INDEX(DropdownLists!$E$2:$E$276,MATCH('Ingest Template'!D945,DropdownLists!$C$2:$C$276,0))</f>
        <v>#N/A</v>
      </c>
      <c r="I945" s="22"/>
      <c r="J945" s="22" t="str">
        <f t="array" ref="J945">iF('Ingest Template'!A945="Standard","Pristine Brand",INDEX(DropdownLists!$B$2:$B$246,MATCH('Ingest Template'!D945,DropdownLists!$C$2:$C$246,0)))</f>
        <v>#N/A</v>
      </c>
      <c r="K945" s="22" t="str">
        <f>iF('Ingest Template'!A945="Standard",'Ingest Template'!K945&amp;CHAR(10)&amp;'Ingest Template'!L945,"Competitive View")</f>
        <v>Competitive View</v>
      </c>
      <c r="L945" s="22" t="s">
        <v>95</v>
      </c>
      <c r="M945" s="45" t="str">
        <f>'Ingest Template'!B945</f>
        <v/>
      </c>
      <c r="N945" s="35"/>
      <c r="O945" s="35"/>
      <c r="P945" s="35"/>
      <c r="Q945" s="35"/>
      <c r="R945" s="35" t="str">
        <f>'Ingest Template'!D945</f>
        <v/>
      </c>
      <c r="S945" s="22" t="s">
        <v>101</v>
      </c>
      <c r="T945" s="35" t="str">
        <f>'Ingest Template'!V945</f>
        <v/>
      </c>
      <c r="U945" s="35" t="str">
        <f>'Ingest Template'!W945</f>
        <v/>
      </c>
      <c r="V945" s="35" t="str">
        <f>LOWER(SUBSTITUTE(SUBSTITUTE(SUBSTITUTE(SUBSTITUTE(SUBSTITUTE('Ingest Template'!X945,"https:",""),"www.",""),"/",""),"?hl=en",""),"instagram.com",""))</f>
        <v/>
      </c>
      <c r="W945" s="74" t="str">
        <f t="array" ref="W945">IF(
'Ingest Template'!Y945="",
SUBSTITUTE(
INDEX(DropdownLists!$F$2:$F$277,MATCH('Ingest Template'!D945,DropdownLists!$C$2:$C$277,0)),
CHAR(10),
"|"&amp;'Ingest Template'!C945&amp;CHAR(10)
)&amp;"|"&amp;'Ingest Template'!C945,
SUBSTITUTE(
INDEX(DropdownLists!$F$2:$F$277,MATCH('Ingest Template'!D945,DropdownLists!$C$2:$C$277,0)),
CHAR(10),
"|"&amp;'Ingest Template'!C945&amp;CHAR(10)
)&amp;"|"&amp;'Ingest Template'!C945&amp;CHAR(10)&amp;'Ingest Template'!Y945
)</f>
        <v>#N/A</v>
      </c>
      <c r="X945" s="74" t="str">
        <f>'Ingest Template'!Z945</f>
        <v/>
      </c>
      <c r="Y945" s="35" t="str">
        <f>SUBSTITUTE(SUBSTITUTE(SUBSTITUTE('Ingest Template'!AA945,"http:",""),"https:",""),"/","")</f>
        <v/>
      </c>
      <c r="Z945" s="35" t="str">
        <f t="array" ref="Z945">IF('Ingest Template'!A945="Standard",(IF(ISBLANK('Ingest Template'!AB945),"", 'Ingest Template'!AB945&amp;"|DAR")),(IF(ISBLANK('Ingest Template'!AB945),"", 'Ingest Template'!AB945&amp;"|TV Ops")))</f>
        <v/>
      </c>
      <c r="AA945" s="35"/>
      <c r="AB945" s="35" t="str">
        <f>'Ingest Template'!R945</f>
        <v/>
      </c>
      <c r="AC945" s="35" t="str">
        <f>'Ingest Template'!T945</f>
        <v/>
      </c>
      <c r="AD945" s="35" t="str">
        <f>'Ingest Template'!S945</f>
        <v/>
      </c>
      <c r="AE945" s="35" t="str">
        <f>'Ingest Template'!U945</f>
        <v/>
      </c>
      <c r="AF945" s="22"/>
      <c r="AG945" s="35" t="str">
        <f t="array" ref="AG945">IF('Ingest Template'!A945="Standard",(CONCATENATE(IF(ISBLANK('Ingest Template'!N945),"", 'Ingest Template'!N945&amp;"|DAR"),CHAR(10), IF(ISBLANK('Ingest Template'!O945),"", 'Ingest Template'!O945&amp;"|DAR"),CHAR(10), IF(ISBLANK('Ingest Template'!P945),"", 'Ingest Template'!P945&amp;"|DAR"))),(CONCATENATE(IF(ISBLANK('Ingest Template'!N945),"", 'Ingest Template'!N945&amp;"|TV Ops"),CHAR(10), IF(ISBLANK('Ingest Template'!O945),"", 'Ingest Template'!O945&amp;"|TV Ops"),CHAR(10), IF(ISBLANK('Ingest Template'!P945),"", 'Ingest Template'!P945&amp;"|TV Ops"))))</f>
        <v>
</v>
      </c>
      <c r="AH945" s="35"/>
      <c r="AI945" s="35"/>
      <c r="AJ945" s="117" t="str">
        <f>if('Ingest Template'!A945="Standard",(IF(OR('Ingest Template'!F945 = "Program Type - Special", 'Ingest Template'!F945 = "Program Type - Live Event"),'Ingest Template'!M945&amp; "|DAR|DAR|"&amp;TEXT('Ingest Template'!C945-3, "yyyy-mm-dd")&amp;"|"&amp;TEXT('Ingest Template'!C945+3, "yyyy-mm-dd"),'Ingest Template'!M945&amp; "|DAR|DAR|2021-01-01")),(IF(OR('Ingest Template'!F945 = "Program Type - Special", 'Ingest Template'!F945 = "Program Type - Live Event"),'Ingest Template'!M945&amp; "|Operations - Core Title|Operations - Core Title|"&amp;TEXT('Ingest Template'!C945-3, "yyyy-mm-dd")&amp;"|"&amp;TEXT('Ingest Template'!C945+3, "yyyy-mm-dd"),'Ingest Template'!M945&amp; "|Operations - Core Title|Operations - Core Title")))</f>
        <v>|Operations - Core Title|Operations - Core Title</v>
      </c>
      <c r="AK945" s="35"/>
      <c r="AL945" s="117" t="str">
        <f>if('Ingest Template'!A945="Standard",(IF(OR('Ingest Template'!F945 = "Program Type - Special", 'Ingest Template'!F945 = "Program Type - Live Event"),'Ingest Template'!Q945&amp;"|"&amp;TEXT('Ingest Template'!C945-3, "yyyy-mm-dd")&amp;"|"&amp;TEXT('Ingest Template'!C945+3, "yyyy-mm-dd"),'Ingest Template'!Q945&amp; "|2021-01-01")),(IF(OR('Ingest Template'!F945 = "Program Type - Special", 'Ingest Template'!F945 = "Program Type - Live Event"),'Ingest Template'!Q945&amp; "|"&amp;TEXT('Ingest Template'!C945-3, "yyyy-mm-dd")&amp;"|"&amp;TEXT('Ingest Template'!C945+3, "yyyy-mm-dd"),'Ingest Template'!Q945)))</f>
        <v/>
      </c>
      <c r="AM945" s="35" t="str">
        <f>'Ingest Template'!AC945</f>
        <v/>
      </c>
    </row>
    <row r="946">
      <c r="A946" s="15"/>
      <c r="B946" s="22" t="str">
        <f>'Ingest Template'!C946&amp;IF('Ingest Template'!A946 = "Standard", " - DAR","")</f>
        <v/>
      </c>
      <c r="C946" s="22" t="s">
        <v>83</v>
      </c>
      <c r="D946" s="22" t="str">
        <f t="array" ref="D946">CONCATENATE(INDEX(DropdownLists!$H$2:$H$11,MATCH(1,COUNTIF('Ingest Template'!E946,"*"&amp;DropdownLists!$I$2:$I$11&amp;"*"),0)),CHAR(10),'Ingest Template'!F946,CHAR(10),'Ingest Template'!G946,CHAR(10),VLOOKUP('Ingest Template'!D946,DropdownLists!C:D,2,FALSE))</f>
        <v>#N/A</v>
      </c>
      <c r="E946" s="22" t="str">
        <f>CONCATENATE('Ingest Template'!H946,CHAR(10),'Ingest Template'!I946,CHAR(10),'Ingest Template'!J946,CHAR(10))</f>
        <v>
</v>
      </c>
      <c r="F946" s="35" t="str">
        <f t="array" ref="F946">INDEX(DropdownLists!$O$2:$O$36,MATCH(1,COUNTIF(E946,"*"&amp;DropdownLists!$N$2:$N$36&amp;"*"),0))</f>
        <v/>
      </c>
      <c r="G946" s="35"/>
      <c r="H946" s="22" t="str">
        <f t="array" ref="H946">INDEX(DropdownLists!$E$2:$E$276,MATCH('Ingest Template'!D946,DropdownLists!$C$2:$C$276,0))</f>
        <v>#N/A</v>
      </c>
      <c r="I946" s="22"/>
      <c r="J946" s="22" t="str">
        <f t="array" ref="J946">iF('Ingest Template'!A946="Standard","Pristine Brand",INDEX(DropdownLists!$B$2:$B$246,MATCH('Ingest Template'!D946,DropdownLists!$C$2:$C$246,0)))</f>
        <v>#N/A</v>
      </c>
      <c r="K946" s="22" t="str">
        <f>iF('Ingest Template'!A946="Standard",'Ingest Template'!K946&amp;CHAR(10)&amp;'Ingest Template'!L946,"Competitive View")</f>
        <v>Competitive View</v>
      </c>
      <c r="L946" s="22" t="s">
        <v>95</v>
      </c>
      <c r="M946" s="45" t="str">
        <f>'Ingest Template'!B946</f>
        <v/>
      </c>
      <c r="N946" s="35"/>
      <c r="O946" s="35"/>
      <c r="P946" s="35"/>
      <c r="Q946" s="35"/>
      <c r="R946" s="35" t="str">
        <f>'Ingest Template'!D946</f>
        <v/>
      </c>
      <c r="S946" s="22" t="s">
        <v>101</v>
      </c>
      <c r="T946" s="35" t="str">
        <f>'Ingest Template'!V946</f>
        <v/>
      </c>
      <c r="U946" s="35" t="str">
        <f>'Ingest Template'!W946</f>
        <v/>
      </c>
      <c r="V946" s="35" t="str">
        <f>LOWER(SUBSTITUTE(SUBSTITUTE(SUBSTITUTE(SUBSTITUTE(SUBSTITUTE('Ingest Template'!X946,"https:",""),"www.",""),"/",""),"?hl=en",""),"instagram.com",""))</f>
        <v/>
      </c>
      <c r="W946" s="74" t="str">
        <f t="array" ref="W946">IF(
'Ingest Template'!Y946="",
SUBSTITUTE(
INDEX(DropdownLists!$F$2:$F$277,MATCH('Ingest Template'!D946,DropdownLists!$C$2:$C$277,0)),
CHAR(10),
"|"&amp;'Ingest Template'!C946&amp;CHAR(10)
)&amp;"|"&amp;'Ingest Template'!C946,
SUBSTITUTE(
INDEX(DropdownLists!$F$2:$F$277,MATCH('Ingest Template'!D946,DropdownLists!$C$2:$C$277,0)),
CHAR(10),
"|"&amp;'Ingest Template'!C946&amp;CHAR(10)
)&amp;"|"&amp;'Ingest Template'!C946&amp;CHAR(10)&amp;'Ingest Template'!Y946
)</f>
        <v>#N/A</v>
      </c>
      <c r="X946" s="74" t="str">
        <f>'Ingest Template'!Z946</f>
        <v/>
      </c>
      <c r="Y946" s="35" t="str">
        <f>SUBSTITUTE(SUBSTITUTE(SUBSTITUTE('Ingest Template'!AA946,"http:",""),"https:",""),"/","")</f>
        <v/>
      </c>
      <c r="Z946" s="35" t="str">
        <f t="array" ref="Z946">IF('Ingest Template'!A946="Standard",(IF(ISBLANK('Ingest Template'!AB946),"", 'Ingest Template'!AB946&amp;"|DAR")),(IF(ISBLANK('Ingest Template'!AB946),"", 'Ingest Template'!AB946&amp;"|TV Ops")))</f>
        <v/>
      </c>
      <c r="AA946" s="35"/>
      <c r="AB946" s="35" t="str">
        <f>'Ingest Template'!R946</f>
        <v/>
      </c>
      <c r="AC946" s="35" t="str">
        <f>'Ingest Template'!T946</f>
        <v/>
      </c>
      <c r="AD946" s="35" t="str">
        <f>'Ingest Template'!S946</f>
        <v/>
      </c>
      <c r="AE946" s="35" t="str">
        <f>'Ingest Template'!U946</f>
        <v/>
      </c>
      <c r="AF946" s="22"/>
      <c r="AG946" s="35" t="str">
        <f t="array" ref="AG946">IF('Ingest Template'!A946="Standard",(CONCATENATE(IF(ISBLANK('Ingest Template'!N946),"", 'Ingest Template'!N946&amp;"|DAR"),CHAR(10), IF(ISBLANK('Ingest Template'!O946),"", 'Ingest Template'!O946&amp;"|DAR"),CHAR(10), IF(ISBLANK('Ingest Template'!P946),"", 'Ingest Template'!P946&amp;"|DAR"))),(CONCATENATE(IF(ISBLANK('Ingest Template'!N946),"", 'Ingest Template'!N946&amp;"|TV Ops"),CHAR(10), IF(ISBLANK('Ingest Template'!O946),"", 'Ingest Template'!O946&amp;"|TV Ops"),CHAR(10), IF(ISBLANK('Ingest Template'!P946),"", 'Ingest Template'!P946&amp;"|TV Ops"))))</f>
        <v>
</v>
      </c>
      <c r="AH946" s="35"/>
      <c r="AI946" s="35"/>
      <c r="AJ946" s="117" t="str">
        <f>if('Ingest Template'!A946="Standard",(IF(OR('Ingest Template'!F946 = "Program Type - Special", 'Ingest Template'!F946 = "Program Type - Live Event"),'Ingest Template'!M946&amp; "|DAR|DAR|"&amp;TEXT('Ingest Template'!C946-3, "yyyy-mm-dd")&amp;"|"&amp;TEXT('Ingest Template'!C946+3, "yyyy-mm-dd"),'Ingest Template'!M946&amp; "|DAR|DAR|2021-01-01")),(IF(OR('Ingest Template'!F946 = "Program Type - Special", 'Ingest Template'!F946 = "Program Type - Live Event"),'Ingest Template'!M946&amp; "|Operations - Core Title|Operations - Core Title|"&amp;TEXT('Ingest Template'!C946-3, "yyyy-mm-dd")&amp;"|"&amp;TEXT('Ingest Template'!C946+3, "yyyy-mm-dd"),'Ingest Template'!M946&amp; "|Operations - Core Title|Operations - Core Title")))</f>
        <v>|Operations - Core Title|Operations - Core Title</v>
      </c>
      <c r="AK946" s="35"/>
      <c r="AL946" s="117" t="str">
        <f>if('Ingest Template'!A946="Standard",(IF(OR('Ingest Template'!F946 = "Program Type - Special", 'Ingest Template'!F946 = "Program Type - Live Event"),'Ingest Template'!Q946&amp;"|"&amp;TEXT('Ingest Template'!C946-3, "yyyy-mm-dd")&amp;"|"&amp;TEXT('Ingest Template'!C946+3, "yyyy-mm-dd"),'Ingest Template'!Q946&amp; "|2021-01-01")),(IF(OR('Ingest Template'!F946 = "Program Type - Special", 'Ingest Template'!F946 = "Program Type - Live Event"),'Ingest Template'!Q946&amp; "|"&amp;TEXT('Ingest Template'!C946-3, "yyyy-mm-dd")&amp;"|"&amp;TEXT('Ingest Template'!C946+3, "yyyy-mm-dd"),'Ingest Template'!Q946)))</f>
        <v/>
      </c>
      <c r="AM946" s="35" t="str">
        <f>'Ingest Template'!AC946</f>
        <v/>
      </c>
    </row>
    <row r="947">
      <c r="A947" s="15"/>
      <c r="B947" s="22" t="str">
        <f>'Ingest Template'!C947&amp;IF('Ingest Template'!A947 = "Standard", " - DAR","")</f>
        <v/>
      </c>
      <c r="C947" s="22" t="s">
        <v>83</v>
      </c>
      <c r="D947" s="22" t="str">
        <f t="array" ref="D947">CONCATENATE(INDEX(DropdownLists!$H$2:$H$11,MATCH(1,COUNTIF('Ingest Template'!E947,"*"&amp;DropdownLists!$I$2:$I$11&amp;"*"),0)),CHAR(10),'Ingest Template'!F947,CHAR(10),'Ingest Template'!G947,CHAR(10),VLOOKUP('Ingest Template'!D947,DropdownLists!C:D,2,FALSE))</f>
        <v>#N/A</v>
      </c>
      <c r="E947" s="22" t="str">
        <f>CONCATENATE('Ingest Template'!H947,CHAR(10),'Ingest Template'!I947,CHAR(10),'Ingest Template'!J947,CHAR(10))</f>
        <v>
</v>
      </c>
      <c r="F947" s="35" t="str">
        <f t="array" ref="F947">INDEX(DropdownLists!$O$2:$O$36,MATCH(1,COUNTIF(E947,"*"&amp;DropdownLists!$N$2:$N$36&amp;"*"),0))</f>
        <v/>
      </c>
      <c r="G947" s="35"/>
      <c r="H947" s="22" t="str">
        <f t="array" ref="H947">INDEX(DropdownLists!$E$2:$E$276,MATCH('Ingest Template'!D947,DropdownLists!$C$2:$C$276,0))</f>
        <v>#N/A</v>
      </c>
      <c r="I947" s="22"/>
      <c r="J947" s="22" t="str">
        <f t="array" ref="J947">iF('Ingest Template'!A947="Standard","Pristine Brand",INDEX(DropdownLists!$B$2:$B$246,MATCH('Ingest Template'!D947,DropdownLists!$C$2:$C$246,0)))</f>
        <v>#N/A</v>
      </c>
      <c r="K947" s="22" t="str">
        <f>iF('Ingest Template'!A947="Standard",'Ingest Template'!K947&amp;CHAR(10)&amp;'Ingest Template'!L947,"Competitive View")</f>
        <v>Competitive View</v>
      </c>
      <c r="L947" s="22" t="s">
        <v>95</v>
      </c>
      <c r="M947" s="45" t="str">
        <f>'Ingest Template'!B947</f>
        <v/>
      </c>
      <c r="N947" s="35"/>
      <c r="O947" s="35"/>
      <c r="P947" s="35"/>
      <c r="Q947" s="35"/>
      <c r="R947" s="35" t="str">
        <f>'Ingest Template'!D947</f>
        <v/>
      </c>
      <c r="S947" s="22" t="s">
        <v>101</v>
      </c>
      <c r="T947" s="35" t="str">
        <f>'Ingest Template'!V947</f>
        <v/>
      </c>
      <c r="U947" s="35" t="str">
        <f>'Ingest Template'!W947</f>
        <v/>
      </c>
      <c r="V947" s="35" t="str">
        <f>LOWER(SUBSTITUTE(SUBSTITUTE(SUBSTITUTE(SUBSTITUTE(SUBSTITUTE('Ingest Template'!X947,"https:",""),"www.",""),"/",""),"?hl=en",""),"instagram.com",""))</f>
        <v/>
      </c>
      <c r="W947" s="74" t="str">
        <f t="array" ref="W947">IF(
'Ingest Template'!Y947="",
SUBSTITUTE(
INDEX(DropdownLists!$F$2:$F$277,MATCH('Ingest Template'!D947,DropdownLists!$C$2:$C$277,0)),
CHAR(10),
"|"&amp;'Ingest Template'!C947&amp;CHAR(10)
)&amp;"|"&amp;'Ingest Template'!C947,
SUBSTITUTE(
INDEX(DropdownLists!$F$2:$F$277,MATCH('Ingest Template'!D947,DropdownLists!$C$2:$C$277,0)),
CHAR(10),
"|"&amp;'Ingest Template'!C947&amp;CHAR(10)
)&amp;"|"&amp;'Ingest Template'!C947&amp;CHAR(10)&amp;'Ingest Template'!Y947
)</f>
        <v>#N/A</v>
      </c>
      <c r="X947" s="74" t="str">
        <f>'Ingest Template'!Z947</f>
        <v/>
      </c>
      <c r="Y947" s="35" t="str">
        <f>SUBSTITUTE(SUBSTITUTE(SUBSTITUTE('Ingest Template'!AA947,"http:",""),"https:",""),"/","")</f>
        <v/>
      </c>
      <c r="Z947" s="35" t="str">
        <f t="array" ref="Z947">IF('Ingest Template'!A947="Standard",(IF(ISBLANK('Ingest Template'!AB947),"", 'Ingest Template'!AB947&amp;"|DAR")),(IF(ISBLANK('Ingest Template'!AB947),"", 'Ingest Template'!AB947&amp;"|TV Ops")))</f>
        <v/>
      </c>
      <c r="AA947" s="35"/>
      <c r="AB947" s="35" t="str">
        <f>'Ingest Template'!R947</f>
        <v/>
      </c>
      <c r="AC947" s="35" t="str">
        <f>'Ingest Template'!T947</f>
        <v/>
      </c>
      <c r="AD947" s="35" t="str">
        <f>'Ingest Template'!S947</f>
        <v/>
      </c>
      <c r="AE947" s="35" t="str">
        <f>'Ingest Template'!U947</f>
        <v/>
      </c>
      <c r="AF947" s="22"/>
      <c r="AG947" s="35" t="str">
        <f t="array" ref="AG947">IF('Ingest Template'!A947="Standard",(CONCATENATE(IF(ISBLANK('Ingest Template'!N947),"", 'Ingest Template'!N947&amp;"|DAR"),CHAR(10), IF(ISBLANK('Ingest Template'!O947),"", 'Ingest Template'!O947&amp;"|DAR"),CHAR(10), IF(ISBLANK('Ingest Template'!P947),"", 'Ingest Template'!P947&amp;"|DAR"))),(CONCATENATE(IF(ISBLANK('Ingest Template'!N947),"", 'Ingest Template'!N947&amp;"|TV Ops"),CHAR(10), IF(ISBLANK('Ingest Template'!O947),"", 'Ingest Template'!O947&amp;"|TV Ops"),CHAR(10), IF(ISBLANK('Ingest Template'!P947),"", 'Ingest Template'!P947&amp;"|TV Ops"))))</f>
        <v>
</v>
      </c>
      <c r="AH947" s="35"/>
      <c r="AI947" s="35"/>
      <c r="AJ947" s="117" t="str">
        <f>if('Ingest Template'!A947="Standard",(IF(OR('Ingest Template'!F947 = "Program Type - Special", 'Ingest Template'!F947 = "Program Type - Live Event"),'Ingest Template'!M947&amp; "|DAR|DAR|"&amp;TEXT('Ingest Template'!C947-3, "yyyy-mm-dd")&amp;"|"&amp;TEXT('Ingest Template'!C947+3, "yyyy-mm-dd"),'Ingest Template'!M947&amp; "|DAR|DAR|2021-01-01")),(IF(OR('Ingest Template'!F947 = "Program Type - Special", 'Ingest Template'!F947 = "Program Type - Live Event"),'Ingest Template'!M947&amp; "|Operations - Core Title|Operations - Core Title|"&amp;TEXT('Ingest Template'!C947-3, "yyyy-mm-dd")&amp;"|"&amp;TEXT('Ingest Template'!C947+3, "yyyy-mm-dd"),'Ingest Template'!M947&amp; "|Operations - Core Title|Operations - Core Title")))</f>
        <v>|Operations - Core Title|Operations - Core Title</v>
      </c>
      <c r="AK947" s="35"/>
      <c r="AL947" s="117" t="str">
        <f>if('Ingest Template'!A947="Standard",(IF(OR('Ingest Template'!F947 = "Program Type - Special", 'Ingest Template'!F947 = "Program Type - Live Event"),'Ingest Template'!Q947&amp;"|"&amp;TEXT('Ingest Template'!C947-3, "yyyy-mm-dd")&amp;"|"&amp;TEXT('Ingest Template'!C947+3, "yyyy-mm-dd"),'Ingest Template'!Q947&amp; "|2021-01-01")),(IF(OR('Ingest Template'!F947 = "Program Type - Special", 'Ingest Template'!F947 = "Program Type - Live Event"),'Ingest Template'!Q947&amp; "|"&amp;TEXT('Ingest Template'!C947-3, "yyyy-mm-dd")&amp;"|"&amp;TEXT('Ingest Template'!C947+3, "yyyy-mm-dd"),'Ingest Template'!Q947)))</f>
        <v/>
      </c>
      <c r="AM947" s="35" t="str">
        <f>'Ingest Template'!AC947</f>
        <v/>
      </c>
    </row>
    <row r="948">
      <c r="A948" s="15"/>
      <c r="B948" s="22" t="str">
        <f>'Ingest Template'!C948&amp;IF('Ingest Template'!A948 = "Standard", " - DAR","")</f>
        <v/>
      </c>
      <c r="C948" s="22" t="s">
        <v>83</v>
      </c>
      <c r="D948" s="22" t="str">
        <f t="array" ref="D948">CONCATENATE(INDEX(DropdownLists!$H$2:$H$11,MATCH(1,COUNTIF('Ingest Template'!E948,"*"&amp;DropdownLists!$I$2:$I$11&amp;"*"),0)),CHAR(10),'Ingest Template'!F948,CHAR(10),'Ingest Template'!G948,CHAR(10),VLOOKUP('Ingest Template'!D948,DropdownLists!C:D,2,FALSE))</f>
        <v>#N/A</v>
      </c>
      <c r="E948" s="22" t="str">
        <f>CONCATENATE('Ingest Template'!H948,CHAR(10),'Ingest Template'!I948,CHAR(10),'Ingest Template'!J948,CHAR(10))</f>
        <v>
</v>
      </c>
      <c r="F948" s="35" t="str">
        <f t="array" ref="F948">INDEX(DropdownLists!$O$2:$O$36,MATCH(1,COUNTIF(E948,"*"&amp;DropdownLists!$N$2:$N$36&amp;"*"),0))</f>
        <v/>
      </c>
      <c r="G948" s="35"/>
      <c r="H948" s="22" t="str">
        <f t="array" ref="H948">INDEX(DropdownLists!$E$2:$E$276,MATCH('Ingest Template'!D948,DropdownLists!$C$2:$C$276,0))</f>
        <v>#N/A</v>
      </c>
      <c r="I948" s="22"/>
      <c r="J948" s="22" t="str">
        <f t="array" ref="J948">iF('Ingest Template'!A948="Standard","Pristine Brand",INDEX(DropdownLists!$B$2:$B$246,MATCH('Ingest Template'!D948,DropdownLists!$C$2:$C$246,0)))</f>
        <v>#N/A</v>
      </c>
      <c r="K948" s="22" t="str">
        <f>iF('Ingest Template'!A948="Standard",'Ingest Template'!K948&amp;CHAR(10)&amp;'Ingest Template'!L948,"Competitive View")</f>
        <v>Competitive View</v>
      </c>
      <c r="L948" s="22" t="s">
        <v>95</v>
      </c>
      <c r="M948" s="45" t="str">
        <f>'Ingest Template'!B948</f>
        <v/>
      </c>
      <c r="N948" s="35"/>
      <c r="O948" s="35"/>
      <c r="P948" s="35"/>
      <c r="Q948" s="35"/>
      <c r="R948" s="35" t="str">
        <f>'Ingest Template'!D948</f>
        <v/>
      </c>
      <c r="S948" s="22" t="s">
        <v>101</v>
      </c>
      <c r="T948" s="35" t="str">
        <f>'Ingest Template'!V948</f>
        <v/>
      </c>
      <c r="U948" s="35" t="str">
        <f>'Ingest Template'!W948</f>
        <v/>
      </c>
      <c r="V948" s="35" t="str">
        <f>LOWER(SUBSTITUTE(SUBSTITUTE(SUBSTITUTE(SUBSTITUTE(SUBSTITUTE('Ingest Template'!X948,"https:",""),"www.",""),"/",""),"?hl=en",""),"instagram.com",""))</f>
        <v/>
      </c>
      <c r="W948" s="74" t="str">
        <f t="array" ref="W948">IF(
'Ingest Template'!Y948="",
SUBSTITUTE(
INDEX(DropdownLists!$F$2:$F$277,MATCH('Ingest Template'!D948,DropdownLists!$C$2:$C$277,0)),
CHAR(10),
"|"&amp;'Ingest Template'!C948&amp;CHAR(10)
)&amp;"|"&amp;'Ingest Template'!C948,
SUBSTITUTE(
INDEX(DropdownLists!$F$2:$F$277,MATCH('Ingest Template'!D948,DropdownLists!$C$2:$C$277,0)),
CHAR(10),
"|"&amp;'Ingest Template'!C948&amp;CHAR(10)
)&amp;"|"&amp;'Ingest Template'!C948&amp;CHAR(10)&amp;'Ingest Template'!Y948
)</f>
        <v>#N/A</v>
      </c>
      <c r="X948" s="74" t="str">
        <f>'Ingest Template'!Z948</f>
        <v/>
      </c>
      <c r="Y948" s="35" t="str">
        <f>SUBSTITUTE(SUBSTITUTE(SUBSTITUTE('Ingest Template'!AA948,"http:",""),"https:",""),"/","")</f>
        <v/>
      </c>
      <c r="Z948" s="35" t="str">
        <f t="array" ref="Z948">IF('Ingest Template'!A948="Standard",(IF(ISBLANK('Ingest Template'!AB948),"", 'Ingest Template'!AB948&amp;"|DAR")),(IF(ISBLANK('Ingest Template'!AB948),"", 'Ingest Template'!AB948&amp;"|TV Ops")))</f>
        <v/>
      </c>
      <c r="AA948" s="35"/>
      <c r="AB948" s="35" t="str">
        <f>'Ingest Template'!R948</f>
        <v/>
      </c>
      <c r="AC948" s="35" t="str">
        <f>'Ingest Template'!T948</f>
        <v/>
      </c>
      <c r="AD948" s="35" t="str">
        <f>'Ingest Template'!S948</f>
        <v/>
      </c>
      <c r="AE948" s="35" t="str">
        <f>'Ingest Template'!U948</f>
        <v/>
      </c>
      <c r="AF948" s="22"/>
      <c r="AG948" s="35" t="str">
        <f t="array" ref="AG948">IF('Ingest Template'!A948="Standard",(CONCATENATE(IF(ISBLANK('Ingest Template'!N948),"", 'Ingest Template'!N948&amp;"|DAR"),CHAR(10), IF(ISBLANK('Ingest Template'!O948),"", 'Ingest Template'!O948&amp;"|DAR"),CHAR(10), IF(ISBLANK('Ingest Template'!P948),"", 'Ingest Template'!P948&amp;"|DAR"))),(CONCATENATE(IF(ISBLANK('Ingest Template'!N948),"", 'Ingest Template'!N948&amp;"|TV Ops"),CHAR(10), IF(ISBLANK('Ingest Template'!O948),"", 'Ingest Template'!O948&amp;"|TV Ops"),CHAR(10), IF(ISBLANK('Ingest Template'!P948),"", 'Ingest Template'!P948&amp;"|TV Ops"))))</f>
        <v>
</v>
      </c>
      <c r="AH948" s="35"/>
      <c r="AI948" s="35"/>
      <c r="AJ948" s="117" t="str">
        <f>if('Ingest Template'!A948="Standard",(IF(OR('Ingest Template'!F948 = "Program Type - Special", 'Ingest Template'!F948 = "Program Type - Live Event"),'Ingest Template'!M948&amp; "|DAR|DAR|"&amp;TEXT('Ingest Template'!C948-3, "yyyy-mm-dd")&amp;"|"&amp;TEXT('Ingest Template'!C948+3, "yyyy-mm-dd"),'Ingest Template'!M948&amp; "|DAR|DAR|2021-01-01")),(IF(OR('Ingest Template'!F948 = "Program Type - Special", 'Ingest Template'!F948 = "Program Type - Live Event"),'Ingest Template'!M948&amp; "|Operations - Core Title|Operations - Core Title|"&amp;TEXT('Ingest Template'!C948-3, "yyyy-mm-dd")&amp;"|"&amp;TEXT('Ingest Template'!C948+3, "yyyy-mm-dd"),'Ingest Template'!M948&amp; "|Operations - Core Title|Operations - Core Title")))</f>
        <v>|Operations - Core Title|Operations - Core Title</v>
      </c>
      <c r="AK948" s="35"/>
      <c r="AL948" s="117" t="str">
        <f>if('Ingest Template'!A948="Standard",(IF(OR('Ingest Template'!F948 = "Program Type - Special", 'Ingest Template'!F948 = "Program Type - Live Event"),'Ingest Template'!Q948&amp;"|"&amp;TEXT('Ingest Template'!C948-3, "yyyy-mm-dd")&amp;"|"&amp;TEXT('Ingest Template'!C948+3, "yyyy-mm-dd"),'Ingest Template'!Q948&amp; "|2021-01-01")),(IF(OR('Ingest Template'!F948 = "Program Type - Special", 'Ingest Template'!F948 = "Program Type - Live Event"),'Ingest Template'!Q948&amp; "|"&amp;TEXT('Ingest Template'!C948-3, "yyyy-mm-dd")&amp;"|"&amp;TEXT('Ingest Template'!C948+3, "yyyy-mm-dd"),'Ingest Template'!Q948)))</f>
        <v/>
      </c>
      <c r="AM948" s="35" t="str">
        <f>'Ingest Template'!AC948</f>
        <v/>
      </c>
    </row>
    <row r="949">
      <c r="A949" s="15"/>
      <c r="B949" s="22" t="str">
        <f>'Ingest Template'!C949&amp;IF('Ingest Template'!A949 = "Standard", " - DAR","")</f>
        <v/>
      </c>
      <c r="C949" s="22" t="s">
        <v>83</v>
      </c>
      <c r="D949" s="22" t="str">
        <f t="array" ref="D949">CONCATENATE(INDEX(DropdownLists!$H$2:$H$11,MATCH(1,COUNTIF('Ingest Template'!E949,"*"&amp;DropdownLists!$I$2:$I$11&amp;"*"),0)),CHAR(10),'Ingest Template'!F949,CHAR(10),'Ingest Template'!G949,CHAR(10),VLOOKUP('Ingest Template'!D949,DropdownLists!C:D,2,FALSE))</f>
        <v>#N/A</v>
      </c>
      <c r="E949" s="22" t="str">
        <f>CONCATENATE('Ingest Template'!H949,CHAR(10),'Ingest Template'!I949,CHAR(10),'Ingest Template'!J949,CHAR(10))</f>
        <v>
</v>
      </c>
      <c r="F949" s="35" t="str">
        <f t="array" ref="F949">INDEX(DropdownLists!$O$2:$O$36,MATCH(1,COUNTIF(E949,"*"&amp;DropdownLists!$N$2:$N$36&amp;"*"),0))</f>
        <v/>
      </c>
      <c r="G949" s="35"/>
      <c r="H949" s="22" t="str">
        <f t="array" ref="H949">INDEX(DropdownLists!$E$2:$E$276,MATCH('Ingest Template'!D949,DropdownLists!$C$2:$C$276,0))</f>
        <v>#N/A</v>
      </c>
      <c r="I949" s="22"/>
      <c r="J949" s="22" t="str">
        <f t="array" ref="J949">iF('Ingest Template'!A949="Standard","Pristine Brand",INDEX(DropdownLists!$B$2:$B$246,MATCH('Ingest Template'!D949,DropdownLists!$C$2:$C$246,0)))</f>
        <v>#N/A</v>
      </c>
      <c r="K949" s="22" t="str">
        <f>iF('Ingest Template'!A949="Standard",'Ingest Template'!K949&amp;CHAR(10)&amp;'Ingest Template'!L949,"Competitive View")</f>
        <v>Competitive View</v>
      </c>
      <c r="L949" s="22" t="s">
        <v>95</v>
      </c>
      <c r="M949" s="45" t="str">
        <f>'Ingest Template'!B949</f>
        <v/>
      </c>
      <c r="N949" s="35"/>
      <c r="O949" s="35"/>
      <c r="P949" s="35"/>
      <c r="Q949" s="35"/>
      <c r="R949" s="35" t="str">
        <f>'Ingest Template'!D949</f>
        <v/>
      </c>
      <c r="S949" s="22" t="s">
        <v>101</v>
      </c>
      <c r="T949" s="35" t="str">
        <f>'Ingest Template'!V949</f>
        <v/>
      </c>
      <c r="U949" s="35" t="str">
        <f>'Ingest Template'!W949</f>
        <v/>
      </c>
      <c r="V949" s="35" t="str">
        <f>LOWER(SUBSTITUTE(SUBSTITUTE(SUBSTITUTE(SUBSTITUTE(SUBSTITUTE('Ingest Template'!X949,"https:",""),"www.",""),"/",""),"?hl=en",""),"instagram.com",""))</f>
        <v/>
      </c>
      <c r="W949" s="74" t="str">
        <f t="array" ref="W949">IF(
'Ingest Template'!Y949="",
SUBSTITUTE(
INDEX(DropdownLists!$F$2:$F$277,MATCH('Ingest Template'!D949,DropdownLists!$C$2:$C$277,0)),
CHAR(10),
"|"&amp;'Ingest Template'!C949&amp;CHAR(10)
)&amp;"|"&amp;'Ingest Template'!C949,
SUBSTITUTE(
INDEX(DropdownLists!$F$2:$F$277,MATCH('Ingest Template'!D949,DropdownLists!$C$2:$C$277,0)),
CHAR(10),
"|"&amp;'Ingest Template'!C949&amp;CHAR(10)
)&amp;"|"&amp;'Ingest Template'!C949&amp;CHAR(10)&amp;'Ingest Template'!Y949
)</f>
        <v>#N/A</v>
      </c>
      <c r="X949" s="74" t="str">
        <f>'Ingest Template'!Z949</f>
        <v/>
      </c>
      <c r="Y949" s="35" t="str">
        <f>SUBSTITUTE(SUBSTITUTE(SUBSTITUTE('Ingest Template'!AA949,"http:",""),"https:",""),"/","")</f>
        <v/>
      </c>
      <c r="Z949" s="35" t="str">
        <f t="array" ref="Z949">IF('Ingest Template'!A949="Standard",(IF(ISBLANK('Ingest Template'!AB949),"", 'Ingest Template'!AB949&amp;"|DAR")),(IF(ISBLANK('Ingest Template'!AB949),"", 'Ingest Template'!AB949&amp;"|TV Ops")))</f>
        <v/>
      </c>
      <c r="AA949" s="35"/>
      <c r="AB949" s="35" t="str">
        <f>'Ingest Template'!R949</f>
        <v/>
      </c>
      <c r="AC949" s="35" t="str">
        <f>'Ingest Template'!T949</f>
        <v/>
      </c>
      <c r="AD949" s="35" t="str">
        <f>'Ingest Template'!S949</f>
        <v/>
      </c>
      <c r="AE949" s="35" t="str">
        <f>'Ingest Template'!U949</f>
        <v/>
      </c>
      <c r="AF949" s="22"/>
      <c r="AG949" s="35" t="str">
        <f t="array" ref="AG949">IF('Ingest Template'!A949="Standard",(CONCATENATE(IF(ISBLANK('Ingest Template'!N949),"", 'Ingest Template'!N949&amp;"|DAR"),CHAR(10), IF(ISBLANK('Ingest Template'!O949),"", 'Ingest Template'!O949&amp;"|DAR"),CHAR(10), IF(ISBLANK('Ingest Template'!P949),"", 'Ingest Template'!P949&amp;"|DAR"))),(CONCATENATE(IF(ISBLANK('Ingest Template'!N949),"", 'Ingest Template'!N949&amp;"|TV Ops"),CHAR(10), IF(ISBLANK('Ingest Template'!O949),"", 'Ingest Template'!O949&amp;"|TV Ops"),CHAR(10), IF(ISBLANK('Ingest Template'!P949),"", 'Ingest Template'!P949&amp;"|TV Ops"))))</f>
        <v>
</v>
      </c>
      <c r="AH949" s="35"/>
      <c r="AI949" s="35"/>
      <c r="AJ949" s="117" t="str">
        <f>if('Ingest Template'!A949="Standard",(IF(OR('Ingest Template'!F949 = "Program Type - Special", 'Ingest Template'!F949 = "Program Type - Live Event"),'Ingest Template'!M949&amp; "|DAR|DAR|"&amp;TEXT('Ingest Template'!C949-3, "yyyy-mm-dd")&amp;"|"&amp;TEXT('Ingest Template'!C949+3, "yyyy-mm-dd"),'Ingest Template'!M949&amp; "|DAR|DAR|2021-01-01")),(IF(OR('Ingest Template'!F949 = "Program Type - Special", 'Ingest Template'!F949 = "Program Type - Live Event"),'Ingest Template'!M949&amp; "|Operations - Core Title|Operations - Core Title|"&amp;TEXT('Ingest Template'!C949-3, "yyyy-mm-dd")&amp;"|"&amp;TEXT('Ingest Template'!C949+3, "yyyy-mm-dd"),'Ingest Template'!M949&amp; "|Operations - Core Title|Operations - Core Title")))</f>
        <v>|Operations - Core Title|Operations - Core Title</v>
      </c>
      <c r="AK949" s="35"/>
      <c r="AL949" s="117" t="str">
        <f>if('Ingest Template'!A949="Standard",(IF(OR('Ingest Template'!F949 = "Program Type - Special", 'Ingest Template'!F949 = "Program Type - Live Event"),'Ingest Template'!Q949&amp;"|"&amp;TEXT('Ingest Template'!C949-3, "yyyy-mm-dd")&amp;"|"&amp;TEXT('Ingest Template'!C949+3, "yyyy-mm-dd"),'Ingest Template'!Q949&amp; "|2021-01-01")),(IF(OR('Ingest Template'!F949 = "Program Type - Special", 'Ingest Template'!F949 = "Program Type - Live Event"),'Ingest Template'!Q949&amp; "|"&amp;TEXT('Ingest Template'!C949-3, "yyyy-mm-dd")&amp;"|"&amp;TEXT('Ingest Template'!C949+3, "yyyy-mm-dd"),'Ingest Template'!Q949)))</f>
        <v/>
      </c>
      <c r="AM949" s="35" t="str">
        <f>'Ingest Template'!AC949</f>
        <v/>
      </c>
    </row>
    <row r="950">
      <c r="A950" s="15"/>
      <c r="B950" s="22" t="str">
        <f>'Ingest Template'!C950&amp;IF('Ingest Template'!A950 = "Standard", " - DAR","")</f>
        <v/>
      </c>
      <c r="C950" s="22" t="s">
        <v>83</v>
      </c>
      <c r="D950" s="22" t="str">
        <f t="array" ref="D950">CONCATENATE(INDEX(DropdownLists!$H$2:$H$11,MATCH(1,COUNTIF('Ingest Template'!E950,"*"&amp;DropdownLists!$I$2:$I$11&amp;"*"),0)),CHAR(10),'Ingest Template'!F950,CHAR(10),'Ingest Template'!G950,CHAR(10),VLOOKUP('Ingest Template'!D950,DropdownLists!C:D,2,FALSE))</f>
        <v>#N/A</v>
      </c>
      <c r="E950" s="22" t="str">
        <f>CONCATENATE('Ingest Template'!H950,CHAR(10),'Ingest Template'!I950,CHAR(10),'Ingest Template'!J950,CHAR(10))</f>
        <v>
</v>
      </c>
      <c r="F950" s="35" t="str">
        <f t="array" ref="F950">INDEX(DropdownLists!$O$2:$O$36,MATCH(1,COUNTIF(E950,"*"&amp;DropdownLists!$N$2:$N$36&amp;"*"),0))</f>
        <v/>
      </c>
      <c r="G950" s="35"/>
      <c r="H950" s="22" t="str">
        <f t="array" ref="H950">INDEX(DropdownLists!$E$2:$E$276,MATCH('Ingest Template'!D950,DropdownLists!$C$2:$C$276,0))</f>
        <v>#N/A</v>
      </c>
      <c r="I950" s="22"/>
      <c r="J950" s="22" t="str">
        <f t="array" ref="J950">iF('Ingest Template'!A950="Standard","Pristine Brand",INDEX(DropdownLists!$B$2:$B$246,MATCH('Ingest Template'!D950,DropdownLists!$C$2:$C$246,0)))</f>
        <v>#N/A</v>
      </c>
      <c r="K950" s="22" t="str">
        <f>iF('Ingest Template'!A950="Standard",'Ingest Template'!K950&amp;CHAR(10)&amp;'Ingest Template'!L950,"Competitive View")</f>
        <v>Competitive View</v>
      </c>
      <c r="L950" s="22" t="s">
        <v>95</v>
      </c>
      <c r="M950" s="45" t="str">
        <f>'Ingest Template'!B950</f>
        <v/>
      </c>
      <c r="N950" s="35"/>
      <c r="O950" s="35"/>
      <c r="P950" s="35"/>
      <c r="Q950" s="35"/>
      <c r="R950" s="35" t="str">
        <f>'Ingest Template'!D950</f>
        <v/>
      </c>
      <c r="S950" s="22" t="s">
        <v>101</v>
      </c>
      <c r="T950" s="35" t="str">
        <f>'Ingest Template'!V950</f>
        <v/>
      </c>
      <c r="U950" s="35" t="str">
        <f>'Ingest Template'!W950</f>
        <v/>
      </c>
      <c r="V950" s="35" t="str">
        <f>LOWER(SUBSTITUTE(SUBSTITUTE(SUBSTITUTE(SUBSTITUTE(SUBSTITUTE('Ingest Template'!X950,"https:",""),"www.",""),"/",""),"?hl=en",""),"instagram.com",""))</f>
        <v/>
      </c>
      <c r="W950" s="74" t="str">
        <f t="array" ref="W950">IF(
'Ingest Template'!Y950="",
SUBSTITUTE(
INDEX(DropdownLists!$F$2:$F$277,MATCH('Ingest Template'!D950,DropdownLists!$C$2:$C$277,0)),
CHAR(10),
"|"&amp;'Ingest Template'!C950&amp;CHAR(10)
)&amp;"|"&amp;'Ingest Template'!C950,
SUBSTITUTE(
INDEX(DropdownLists!$F$2:$F$277,MATCH('Ingest Template'!D950,DropdownLists!$C$2:$C$277,0)),
CHAR(10),
"|"&amp;'Ingest Template'!C950&amp;CHAR(10)
)&amp;"|"&amp;'Ingest Template'!C950&amp;CHAR(10)&amp;'Ingest Template'!Y950
)</f>
        <v>#N/A</v>
      </c>
      <c r="X950" s="74" t="str">
        <f>'Ingest Template'!Z950</f>
        <v/>
      </c>
      <c r="Y950" s="35" t="str">
        <f>SUBSTITUTE(SUBSTITUTE(SUBSTITUTE('Ingest Template'!AA950,"http:",""),"https:",""),"/","")</f>
        <v/>
      </c>
      <c r="Z950" s="35" t="str">
        <f t="array" ref="Z950">IF('Ingest Template'!A950="Standard",(IF(ISBLANK('Ingest Template'!AB950),"", 'Ingest Template'!AB950&amp;"|DAR")),(IF(ISBLANK('Ingest Template'!AB950),"", 'Ingest Template'!AB950&amp;"|TV Ops")))</f>
        <v/>
      </c>
      <c r="AA950" s="35"/>
      <c r="AB950" s="35" t="str">
        <f>'Ingest Template'!R950</f>
        <v/>
      </c>
      <c r="AC950" s="35" t="str">
        <f>'Ingest Template'!T950</f>
        <v/>
      </c>
      <c r="AD950" s="35" t="str">
        <f>'Ingest Template'!S950</f>
        <v/>
      </c>
      <c r="AE950" s="35" t="str">
        <f>'Ingest Template'!U950</f>
        <v/>
      </c>
      <c r="AF950" s="22"/>
      <c r="AG950" s="35" t="str">
        <f t="array" ref="AG950">IF('Ingest Template'!A950="Standard",(CONCATENATE(IF(ISBLANK('Ingest Template'!N950),"", 'Ingest Template'!N950&amp;"|DAR"),CHAR(10), IF(ISBLANK('Ingest Template'!O950),"", 'Ingest Template'!O950&amp;"|DAR"),CHAR(10), IF(ISBLANK('Ingest Template'!P950),"", 'Ingest Template'!P950&amp;"|DAR"))),(CONCATENATE(IF(ISBLANK('Ingest Template'!N950),"", 'Ingest Template'!N950&amp;"|TV Ops"),CHAR(10), IF(ISBLANK('Ingest Template'!O950),"", 'Ingest Template'!O950&amp;"|TV Ops"),CHAR(10), IF(ISBLANK('Ingest Template'!P950),"", 'Ingest Template'!P950&amp;"|TV Ops"))))</f>
        <v>
</v>
      </c>
      <c r="AH950" s="35"/>
      <c r="AI950" s="35"/>
      <c r="AJ950" s="117" t="str">
        <f>if('Ingest Template'!A950="Standard",(IF(OR('Ingest Template'!F950 = "Program Type - Special", 'Ingest Template'!F950 = "Program Type - Live Event"),'Ingest Template'!M950&amp; "|DAR|DAR|"&amp;TEXT('Ingest Template'!C950-3, "yyyy-mm-dd")&amp;"|"&amp;TEXT('Ingest Template'!C950+3, "yyyy-mm-dd"),'Ingest Template'!M950&amp; "|DAR|DAR|2021-01-01")),(IF(OR('Ingest Template'!F950 = "Program Type - Special", 'Ingest Template'!F950 = "Program Type - Live Event"),'Ingest Template'!M950&amp; "|Operations - Core Title|Operations - Core Title|"&amp;TEXT('Ingest Template'!C950-3, "yyyy-mm-dd")&amp;"|"&amp;TEXT('Ingest Template'!C950+3, "yyyy-mm-dd"),'Ingest Template'!M950&amp; "|Operations - Core Title|Operations - Core Title")))</f>
        <v>|Operations - Core Title|Operations - Core Title</v>
      </c>
      <c r="AK950" s="35"/>
      <c r="AL950" s="117" t="str">
        <f>if('Ingest Template'!A950="Standard",(IF(OR('Ingest Template'!F950 = "Program Type - Special", 'Ingest Template'!F950 = "Program Type - Live Event"),'Ingest Template'!Q950&amp;"|"&amp;TEXT('Ingest Template'!C950-3, "yyyy-mm-dd")&amp;"|"&amp;TEXT('Ingest Template'!C950+3, "yyyy-mm-dd"),'Ingest Template'!Q950&amp; "|2021-01-01")),(IF(OR('Ingest Template'!F950 = "Program Type - Special", 'Ingest Template'!F950 = "Program Type - Live Event"),'Ingest Template'!Q950&amp; "|"&amp;TEXT('Ingest Template'!C950-3, "yyyy-mm-dd")&amp;"|"&amp;TEXT('Ingest Template'!C950+3, "yyyy-mm-dd"),'Ingest Template'!Q950)))</f>
        <v/>
      </c>
      <c r="AM950" s="35" t="str">
        <f>'Ingest Template'!AC950</f>
        <v/>
      </c>
    </row>
    <row r="951">
      <c r="A951" s="15"/>
      <c r="B951" s="22" t="str">
        <f>'Ingest Template'!C951&amp;IF('Ingest Template'!A951 = "Standard", " - DAR","")</f>
        <v/>
      </c>
      <c r="C951" s="22" t="s">
        <v>83</v>
      </c>
      <c r="D951" s="22" t="str">
        <f t="array" ref="D951">CONCATENATE(INDEX(DropdownLists!$H$2:$H$11,MATCH(1,COUNTIF('Ingest Template'!E951,"*"&amp;DropdownLists!$I$2:$I$11&amp;"*"),0)),CHAR(10),'Ingest Template'!F951,CHAR(10),'Ingest Template'!G951,CHAR(10),VLOOKUP('Ingest Template'!D951,DropdownLists!C:D,2,FALSE))</f>
        <v>#N/A</v>
      </c>
      <c r="E951" s="22" t="str">
        <f>CONCATENATE('Ingest Template'!H951,CHAR(10),'Ingest Template'!I951,CHAR(10),'Ingest Template'!J951,CHAR(10))</f>
        <v>
</v>
      </c>
      <c r="F951" s="35" t="str">
        <f t="array" ref="F951">INDEX(DropdownLists!$O$2:$O$36,MATCH(1,COUNTIF(E951,"*"&amp;DropdownLists!$N$2:$N$36&amp;"*"),0))</f>
        <v/>
      </c>
      <c r="G951" s="35"/>
      <c r="H951" s="22" t="str">
        <f t="array" ref="H951">INDEX(DropdownLists!$E$2:$E$276,MATCH('Ingest Template'!D951,DropdownLists!$C$2:$C$276,0))</f>
        <v>#N/A</v>
      </c>
      <c r="I951" s="22"/>
      <c r="J951" s="22" t="str">
        <f t="array" ref="J951">iF('Ingest Template'!A951="Standard","Pristine Brand",INDEX(DropdownLists!$B$2:$B$246,MATCH('Ingest Template'!D951,DropdownLists!$C$2:$C$246,0)))</f>
        <v>#N/A</v>
      </c>
      <c r="K951" s="22" t="str">
        <f>iF('Ingest Template'!A951="Standard",'Ingest Template'!K951&amp;CHAR(10)&amp;'Ingest Template'!L951,"Competitive View")</f>
        <v>Competitive View</v>
      </c>
      <c r="L951" s="22" t="s">
        <v>95</v>
      </c>
      <c r="M951" s="45" t="str">
        <f>'Ingest Template'!B951</f>
        <v/>
      </c>
      <c r="N951" s="35"/>
      <c r="O951" s="35"/>
      <c r="P951" s="35"/>
      <c r="Q951" s="35"/>
      <c r="R951" s="35" t="str">
        <f>'Ingest Template'!D951</f>
        <v/>
      </c>
      <c r="S951" s="22" t="s">
        <v>101</v>
      </c>
      <c r="T951" s="35" t="str">
        <f>'Ingest Template'!V951</f>
        <v/>
      </c>
      <c r="U951" s="35" t="str">
        <f>'Ingest Template'!W951</f>
        <v/>
      </c>
      <c r="V951" s="35" t="str">
        <f>LOWER(SUBSTITUTE(SUBSTITUTE(SUBSTITUTE(SUBSTITUTE(SUBSTITUTE('Ingest Template'!X951,"https:",""),"www.",""),"/",""),"?hl=en",""),"instagram.com",""))</f>
        <v/>
      </c>
      <c r="W951" s="74" t="str">
        <f t="array" ref="W951">IF(
'Ingest Template'!Y951="",
SUBSTITUTE(
INDEX(DropdownLists!$F$2:$F$277,MATCH('Ingest Template'!D951,DropdownLists!$C$2:$C$277,0)),
CHAR(10),
"|"&amp;'Ingest Template'!C951&amp;CHAR(10)
)&amp;"|"&amp;'Ingest Template'!C951,
SUBSTITUTE(
INDEX(DropdownLists!$F$2:$F$277,MATCH('Ingest Template'!D951,DropdownLists!$C$2:$C$277,0)),
CHAR(10),
"|"&amp;'Ingest Template'!C951&amp;CHAR(10)
)&amp;"|"&amp;'Ingest Template'!C951&amp;CHAR(10)&amp;'Ingest Template'!Y951
)</f>
        <v>#N/A</v>
      </c>
      <c r="X951" s="74" t="str">
        <f>'Ingest Template'!Z951</f>
        <v/>
      </c>
      <c r="Y951" s="35" t="str">
        <f>SUBSTITUTE(SUBSTITUTE(SUBSTITUTE('Ingest Template'!AA951,"http:",""),"https:",""),"/","")</f>
        <v/>
      </c>
      <c r="Z951" s="35" t="str">
        <f t="array" ref="Z951">IF('Ingest Template'!A951="Standard",(IF(ISBLANK('Ingest Template'!AB951),"", 'Ingest Template'!AB951&amp;"|DAR")),(IF(ISBLANK('Ingest Template'!AB951),"", 'Ingest Template'!AB951&amp;"|TV Ops")))</f>
        <v/>
      </c>
      <c r="AA951" s="35"/>
      <c r="AB951" s="35" t="str">
        <f>'Ingest Template'!R951</f>
        <v/>
      </c>
      <c r="AC951" s="35" t="str">
        <f>'Ingest Template'!T951</f>
        <v/>
      </c>
      <c r="AD951" s="35" t="str">
        <f>'Ingest Template'!S951</f>
        <v/>
      </c>
      <c r="AE951" s="35" t="str">
        <f>'Ingest Template'!U951</f>
        <v/>
      </c>
      <c r="AF951" s="22"/>
      <c r="AG951" s="35" t="str">
        <f t="array" ref="AG951">IF('Ingest Template'!A951="Standard",(CONCATENATE(IF(ISBLANK('Ingest Template'!N951),"", 'Ingest Template'!N951&amp;"|DAR"),CHAR(10), IF(ISBLANK('Ingest Template'!O951),"", 'Ingest Template'!O951&amp;"|DAR"),CHAR(10), IF(ISBLANK('Ingest Template'!P951),"", 'Ingest Template'!P951&amp;"|DAR"))),(CONCATENATE(IF(ISBLANK('Ingest Template'!N951),"", 'Ingest Template'!N951&amp;"|TV Ops"),CHAR(10), IF(ISBLANK('Ingest Template'!O951),"", 'Ingest Template'!O951&amp;"|TV Ops"),CHAR(10), IF(ISBLANK('Ingest Template'!P951),"", 'Ingest Template'!P951&amp;"|TV Ops"))))</f>
        <v>
</v>
      </c>
      <c r="AH951" s="35"/>
      <c r="AI951" s="35"/>
      <c r="AJ951" s="117" t="str">
        <f>if('Ingest Template'!A951="Standard",(IF(OR('Ingest Template'!F951 = "Program Type - Special", 'Ingest Template'!F951 = "Program Type - Live Event"),'Ingest Template'!M951&amp; "|DAR|DAR|"&amp;TEXT('Ingest Template'!C951-3, "yyyy-mm-dd")&amp;"|"&amp;TEXT('Ingest Template'!C951+3, "yyyy-mm-dd"),'Ingest Template'!M951&amp; "|DAR|DAR|2021-01-01")),(IF(OR('Ingest Template'!F951 = "Program Type - Special", 'Ingest Template'!F951 = "Program Type - Live Event"),'Ingest Template'!M951&amp; "|Operations - Core Title|Operations - Core Title|"&amp;TEXT('Ingest Template'!C951-3, "yyyy-mm-dd")&amp;"|"&amp;TEXT('Ingest Template'!C951+3, "yyyy-mm-dd"),'Ingest Template'!M951&amp; "|Operations - Core Title|Operations - Core Title")))</f>
        <v>|Operations - Core Title|Operations - Core Title</v>
      </c>
      <c r="AK951" s="35"/>
      <c r="AL951" s="117" t="str">
        <f>if('Ingest Template'!A951="Standard",(IF(OR('Ingest Template'!F951 = "Program Type - Special", 'Ingest Template'!F951 = "Program Type - Live Event"),'Ingest Template'!Q951&amp;"|"&amp;TEXT('Ingest Template'!C951-3, "yyyy-mm-dd")&amp;"|"&amp;TEXT('Ingest Template'!C951+3, "yyyy-mm-dd"),'Ingest Template'!Q951&amp; "|2021-01-01")),(IF(OR('Ingest Template'!F951 = "Program Type - Special", 'Ingest Template'!F951 = "Program Type - Live Event"),'Ingest Template'!Q951&amp; "|"&amp;TEXT('Ingest Template'!C951-3, "yyyy-mm-dd")&amp;"|"&amp;TEXT('Ingest Template'!C951+3, "yyyy-mm-dd"),'Ingest Template'!Q951)))</f>
        <v/>
      </c>
      <c r="AM951" s="35" t="str">
        <f>'Ingest Template'!AC951</f>
        <v/>
      </c>
    </row>
    <row r="952">
      <c r="A952" s="15"/>
      <c r="B952" s="22" t="str">
        <f>'Ingest Template'!C952&amp;IF('Ingest Template'!A952 = "Standard", " - DAR","")</f>
        <v/>
      </c>
      <c r="C952" s="22" t="s">
        <v>83</v>
      </c>
      <c r="D952" s="22" t="str">
        <f t="array" ref="D952">CONCATENATE(INDEX(DropdownLists!$H$2:$H$11,MATCH(1,COUNTIF('Ingest Template'!E952,"*"&amp;DropdownLists!$I$2:$I$11&amp;"*"),0)),CHAR(10),'Ingest Template'!F952,CHAR(10),'Ingest Template'!G952,CHAR(10),VLOOKUP('Ingest Template'!D952,DropdownLists!C:D,2,FALSE))</f>
        <v>#N/A</v>
      </c>
      <c r="E952" s="22" t="str">
        <f>CONCATENATE('Ingest Template'!H952,CHAR(10),'Ingest Template'!I952,CHAR(10),'Ingest Template'!J952,CHAR(10))</f>
        <v>
</v>
      </c>
      <c r="F952" s="35" t="str">
        <f t="array" ref="F952">INDEX(DropdownLists!$O$2:$O$36,MATCH(1,COUNTIF(E952,"*"&amp;DropdownLists!$N$2:$N$36&amp;"*"),0))</f>
        <v/>
      </c>
      <c r="G952" s="35"/>
      <c r="H952" s="22" t="str">
        <f t="array" ref="H952">INDEX(DropdownLists!$E$2:$E$276,MATCH('Ingest Template'!D952,DropdownLists!$C$2:$C$276,0))</f>
        <v>#N/A</v>
      </c>
      <c r="I952" s="22"/>
      <c r="J952" s="22" t="str">
        <f t="array" ref="J952">iF('Ingest Template'!A952="Standard","Pristine Brand",INDEX(DropdownLists!$B$2:$B$246,MATCH('Ingest Template'!D952,DropdownLists!$C$2:$C$246,0)))</f>
        <v>#N/A</v>
      </c>
      <c r="K952" s="22" t="str">
        <f>iF('Ingest Template'!A952="Standard",'Ingest Template'!K952&amp;CHAR(10)&amp;'Ingest Template'!L952,"Competitive View")</f>
        <v>Competitive View</v>
      </c>
      <c r="L952" s="22" t="s">
        <v>95</v>
      </c>
      <c r="M952" s="45" t="str">
        <f>'Ingest Template'!B952</f>
        <v/>
      </c>
      <c r="N952" s="35"/>
      <c r="O952" s="35"/>
      <c r="P952" s="35"/>
      <c r="Q952" s="35"/>
      <c r="R952" s="35" t="str">
        <f>'Ingest Template'!D952</f>
        <v/>
      </c>
      <c r="S952" s="22" t="s">
        <v>101</v>
      </c>
      <c r="T952" s="35" t="str">
        <f>'Ingest Template'!V952</f>
        <v/>
      </c>
      <c r="U952" s="35" t="str">
        <f>'Ingest Template'!W952</f>
        <v/>
      </c>
      <c r="V952" s="35" t="str">
        <f>LOWER(SUBSTITUTE(SUBSTITUTE(SUBSTITUTE(SUBSTITUTE(SUBSTITUTE('Ingest Template'!X952,"https:",""),"www.",""),"/",""),"?hl=en",""),"instagram.com",""))</f>
        <v/>
      </c>
      <c r="W952" s="74" t="str">
        <f t="array" ref="W952">IF(
'Ingest Template'!Y952="",
SUBSTITUTE(
INDEX(DropdownLists!$F$2:$F$277,MATCH('Ingest Template'!D952,DropdownLists!$C$2:$C$277,0)),
CHAR(10),
"|"&amp;'Ingest Template'!C952&amp;CHAR(10)
)&amp;"|"&amp;'Ingest Template'!C952,
SUBSTITUTE(
INDEX(DropdownLists!$F$2:$F$277,MATCH('Ingest Template'!D952,DropdownLists!$C$2:$C$277,0)),
CHAR(10),
"|"&amp;'Ingest Template'!C952&amp;CHAR(10)
)&amp;"|"&amp;'Ingest Template'!C952&amp;CHAR(10)&amp;'Ingest Template'!Y952
)</f>
        <v>#N/A</v>
      </c>
      <c r="X952" s="74" t="str">
        <f>'Ingest Template'!Z952</f>
        <v/>
      </c>
      <c r="Y952" s="35" t="str">
        <f>SUBSTITUTE(SUBSTITUTE(SUBSTITUTE('Ingest Template'!AA952,"http:",""),"https:",""),"/","")</f>
        <v/>
      </c>
      <c r="Z952" s="35" t="str">
        <f t="array" ref="Z952">IF('Ingest Template'!A952="Standard",(IF(ISBLANK('Ingest Template'!AB952),"", 'Ingest Template'!AB952&amp;"|DAR")),(IF(ISBLANK('Ingest Template'!AB952),"", 'Ingest Template'!AB952&amp;"|TV Ops")))</f>
        <v/>
      </c>
      <c r="AA952" s="35"/>
      <c r="AB952" s="35" t="str">
        <f>'Ingest Template'!R952</f>
        <v/>
      </c>
      <c r="AC952" s="35" t="str">
        <f>'Ingest Template'!T952</f>
        <v/>
      </c>
      <c r="AD952" s="35" t="str">
        <f>'Ingest Template'!S952</f>
        <v/>
      </c>
      <c r="AE952" s="35" t="str">
        <f>'Ingest Template'!U952</f>
        <v/>
      </c>
      <c r="AF952" s="22"/>
      <c r="AG952" s="35" t="str">
        <f t="array" ref="AG952">IF('Ingest Template'!A952="Standard",(CONCATENATE(IF(ISBLANK('Ingest Template'!N952),"", 'Ingest Template'!N952&amp;"|DAR"),CHAR(10), IF(ISBLANK('Ingest Template'!O952),"", 'Ingest Template'!O952&amp;"|DAR"),CHAR(10), IF(ISBLANK('Ingest Template'!P952),"", 'Ingest Template'!P952&amp;"|DAR"))),(CONCATENATE(IF(ISBLANK('Ingest Template'!N952),"", 'Ingest Template'!N952&amp;"|TV Ops"),CHAR(10), IF(ISBLANK('Ingest Template'!O952),"", 'Ingest Template'!O952&amp;"|TV Ops"),CHAR(10), IF(ISBLANK('Ingest Template'!P952),"", 'Ingest Template'!P952&amp;"|TV Ops"))))</f>
        <v>
</v>
      </c>
      <c r="AH952" s="35"/>
      <c r="AI952" s="35"/>
      <c r="AJ952" s="117" t="str">
        <f>if('Ingest Template'!A952="Standard",(IF(OR('Ingest Template'!F952 = "Program Type - Special", 'Ingest Template'!F952 = "Program Type - Live Event"),'Ingest Template'!M952&amp; "|DAR|DAR|"&amp;TEXT('Ingest Template'!C952-3, "yyyy-mm-dd")&amp;"|"&amp;TEXT('Ingest Template'!C952+3, "yyyy-mm-dd"),'Ingest Template'!M952&amp; "|DAR|DAR|2021-01-01")),(IF(OR('Ingest Template'!F952 = "Program Type - Special", 'Ingest Template'!F952 = "Program Type - Live Event"),'Ingest Template'!M952&amp; "|Operations - Core Title|Operations - Core Title|"&amp;TEXT('Ingest Template'!C952-3, "yyyy-mm-dd")&amp;"|"&amp;TEXT('Ingest Template'!C952+3, "yyyy-mm-dd"),'Ingest Template'!M952&amp; "|Operations - Core Title|Operations - Core Title")))</f>
        <v>|Operations - Core Title|Operations - Core Title</v>
      </c>
      <c r="AK952" s="35"/>
      <c r="AL952" s="117" t="str">
        <f>if('Ingest Template'!A952="Standard",(IF(OR('Ingest Template'!F952 = "Program Type - Special", 'Ingest Template'!F952 = "Program Type - Live Event"),'Ingest Template'!Q952&amp;"|"&amp;TEXT('Ingest Template'!C952-3, "yyyy-mm-dd")&amp;"|"&amp;TEXT('Ingest Template'!C952+3, "yyyy-mm-dd"),'Ingest Template'!Q952&amp; "|2021-01-01")),(IF(OR('Ingest Template'!F952 = "Program Type - Special", 'Ingest Template'!F952 = "Program Type - Live Event"),'Ingest Template'!Q952&amp; "|"&amp;TEXT('Ingest Template'!C952-3, "yyyy-mm-dd")&amp;"|"&amp;TEXT('Ingest Template'!C952+3, "yyyy-mm-dd"),'Ingest Template'!Q952)))</f>
        <v/>
      </c>
      <c r="AM952" s="35" t="str">
        <f>'Ingest Template'!AC952</f>
        <v/>
      </c>
    </row>
    <row r="953">
      <c r="A953" s="15"/>
      <c r="B953" s="22" t="str">
        <f>'Ingest Template'!C953&amp;IF('Ingest Template'!A953 = "Standard", " - DAR","")</f>
        <v/>
      </c>
      <c r="C953" s="22" t="s">
        <v>83</v>
      </c>
      <c r="D953" s="22" t="str">
        <f t="array" ref="D953">CONCATENATE(INDEX(DropdownLists!$H$2:$H$11,MATCH(1,COUNTIF('Ingest Template'!E953,"*"&amp;DropdownLists!$I$2:$I$11&amp;"*"),0)),CHAR(10),'Ingest Template'!F953,CHAR(10),'Ingest Template'!G953,CHAR(10),VLOOKUP('Ingest Template'!D953,DropdownLists!C:D,2,FALSE))</f>
        <v>#N/A</v>
      </c>
      <c r="E953" s="22" t="str">
        <f>CONCATENATE('Ingest Template'!H953,CHAR(10),'Ingest Template'!I953,CHAR(10),'Ingest Template'!J953,CHAR(10))</f>
        <v>
</v>
      </c>
      <c r="F953" s="35" t="str">
        <f t="array" ref="F953">INDEX(DropdownLists!$O$2:$O$36,MATCH(1,COUNTIF(E953,"*"&amp;DropdownLists!$N$2:$N$36&amp;"*"),0))</f>
        <v/>
      </c>
      <c r="G953" s="35"/>
      <c r="H953" s="22" t="str">
        <f t="array" ref="H953">INDEX(DropdownLists!$E$2:$E$276,MATCH('Ingest Template'!D953,DropdownLists!$C$2:$C$276,0))</f>
        <v>#N/A</v>
      </c>
      <c r="I953" s="22"/>
      <c r="J953" s="22" t="str">
        <f t="array" ref="J953">iF('Ingest Template'!A953="Standard","Pristine Brand",INDEX(DropdownLists!$B$2:$B$246,MATCH('Ingest Template'!D953,DropdownLists!$C$2:$C$246,0)))</f>
        <v>#N/A</v>
      </c>
      <c r="K953" s="22" t="str">
        <f>iF('Ingest Template'!A953="Standard",'Ingest Template'!K953&amp;CHAR(10)&amp;'Ingest Template'!L953,"Competitive View")</f>
        <v>Competitive View</v>
      </c>
      <c r="L953" s="22" t="s">
        <v>95</v>
      </c>
      <c r="M953" s="45" t="str">
        <f>'Ingest Template'!B953</f>
        <v/>
      </c>
      <c r="N953" s="35"/>
      <c r="O953" s="35"/>
      <c r="P953" s="35"/>
      <c r="Q953" s="35"/>
      <c r="R953" s="35" t="str">
        <f>'Ingest Template'!D953</f>
        <v/>
      </c>
      <c r="S953" s="22" t="s">
        <v>101</v>
      </c>
      <c r="T953" s="35" t="str">
        <f>'Ingest Template'!V953</f>
        <v/>
      </c>
      <c r="U953" s="35" t="str">
        <f>'Ingest Template'!W953</f>
        <v/>
      </c>
      <c r="V953" s="35" t="str">
        <f>LOWER(SUBSTITUTE(SUBSTITUTE(SUBSTITUTE(SUBSTITUTE(SUBSTITUTE('Ingest Template'!X953,"https:",""),"www.",""),"/",""),"?hl=en",""),"instagram.com",""))</f>
        <v/>
      </c>
      <c r="W953" s="74" t="str">
        <f t="array" ref="W953">IF(
'Ingest Template'!Y953="",
SUBSTITUTE(
INDEX(DropdownLists!$F$2:$F$277,MATCH('Ingest Template'!D953,DropdownLists!$C$2:$C$277,0)),
CHAR(10),
"|"&amp;'Ingest Template'!C953&amp;CHAR(10)
)&amp;"|"&amp;'Ingest Template'!C953,
SUBSTITUTE(
INDEX(DropdownLists!$F$2:$F$277,MATCH('Ingest Template'!D953,DropdownLists!$C$2:$C$277,0)),
CHAR(10),
"|"&amp;'Ingest Template'!C953&amp;CHAR(10)
)&amp;"|"&amp;'Ingest Template'!C953&amp;CHAR(10)&amp;'Ingest Template'!Y953
)</f>
        <v>#N/A</v>
      </c>
      <c r="X953" s="74" t="str">
        <f>'Ingest Template'!Z953</f>
        <v/>
      </c>
      <c r="Y953" s="35" t="str">
        <f>SUBSTITUTE(SUBSTITUTE(SUBSTITUTE('Ingest Template'!AA953,"http:",""),"https:",""),"/","")</f>
        <v/>
      </c>
      <c r="Z953" s="35" t="str">
        <f t="array" ref="Z953">IF('Ingest Template'!A953="Standard",(IF(ISBLANK('Ingest Template'!AB953),"", 'Ingest Template'!AB953&amp;"|DAR")),(IF(ISBLANK('Ingest Template'!AB953),"", 'Ingest Template'!AB953&amp;"|TV Ops")))</f>
        <v/>
      </c>
      <c r="AA953" s="35"/>
      <c r="AB953" s="35" t="str">
        <f>'Ingest Template'!R953</f>
        <v/>
      </c>
      <c r="AC953" s="35" t="str">
        <f>'Ingest Template'!T953</f>
        <v/>
      </c>
      <c r="AD953" s="35" t="str">
        <f>'Ingest Template'!S953</f>
        <v/>
      </c>
      <c r="AE953" s="35" t="str">
        <f>'Ingest Template'!U953</f>
        <v/>
      </c>
      <c r="AF953" s="22"/>
      <c r="AG953" s="35" t="str">
        <f t="array" ref="AG953">IF('Ingest Template'!A953="Standard",(CONCATENATE(IF(ISBLANK('Ingest Template'!N953),"", 'Ingest Template'!N953&amp;"|DAR"),CHAR(10), IF(ISBLANK('Ingest Template'!O953),"", 'Ingest Template'!O953&amp;"|DAR"),CHAR(10), IF(ISBLANK('Ingest Template'!P953),"", 'Ingest Template'!P953&amp;"|DAR"))),(CONCATENATE(IF(ISBLANK('Ingest Template'!N953),"", 'Ingest Template'!N953&amp;"|TV Ops"),CHAR(10), IF(ISBLANK('Ingest Template'!O953),"", 'Ingest Template'!O953&amp;"|TV Ops"),CHAR(10), IF(ISBLANK('Ingest Template'!P953),"", 'Ingest Template'!P953&amp;"|TV Ops"))))</f>
        <v>
</v>
      </c>
      <c r="AH953" s="35"/>
      <c r="AI953" s="35"/>
      <c r="AJ953" s="117" t="str">
        <f>if('Ingest Template'!A953="Standard",(IF(OR('Ingest Template'!F953 = "Program Type - Special", 'Ingest Template'!F953 = "Program Type - Live Event"),'Ingest Template'!M953&amp; "|DAR|DAR|"&amp;TEXT('Ingest Template'!C953-3, "yyyy-mm-dd")&amp;"|"&amp;TEXT('Ingest Template'!C953+3, "yyyy-mm-dd"),'Ingest Template'!M953&amp; "|DAR|DAR|2021-01-01")),(IF(OR('Ingest Template'!F953 = "Program Type - Special", 'Ingest Template'!F953 = "Program Type - Live Event"),'Ingest Template'!M953&amp; "|Operations - Core Title|Operations - Core Title|"&amp;TEXT('Ingest Template'!C953-3, "yyyy-mm-dd")&amp;"|"&amp;TEXT('Ingest Template'!C953+3, "yyyy-mm-dd"),'Ingest Template'!M953&amp; "|Operations - Core Title|Operations - Core Title")))</f>
        <v>|Operations - Core Title|Operations - Core Title</v>
      </c>
      <c r="AK953" s="35"/>
      <c r="AL953" s="117" t="str">
        <f>if('Ingest Template'!A953="Standard",(IF(OR('Ingest Template'!F953 = "Program Type - Special", 'Ingest Template'!F953 = "Program Type - Live Event"),'Ingest Template'!Q953&amp;"|"&amp;TEXT('Ingest Template'!C953-3, "yyyy-mm-dd")&amp;"|"&amp;TEXT('Ingest Template'!C953+3, "yyyy-mm-dd"),'Ingest Template'!Q953&amp; "|2021-01-01")),(IF(OR('Ingest Template'!F953 = "Program Type - Special", 'Ingest Template'!F953 = "Program Type - Live Event"),'Ingest Template'!Q953&amp; "|"&amp;TEXT('Ingest Template'!C953-3, "yyyy-mm-dd")&amp;"|"&amp;TEXT('Ingest Template'!C953+3, "yyyy-mm-dd"),'Ingest Template'!Q953)))</f>
        <v/>
      </c>
      <c r="AM953" s="35" t="str">
        <f>'Ingest Template'!AC953</f>
        <v/>
      </c>
    </row>
    <row r="954">
      <c r="A954" s="15"/>
      <c r="B954" s="22" t="str">
        <f>'Ingest Template'!C954&amp;IF('Ingest Template'!A954 = "Standard", " - DAR","")</f>
        <v/>
      </c>
      <c r="C954" s="22" t="s">
        <v>83</v>
      </c>
      <c r="D954" s="22" t="str">
        <f t="array" ref="D954">CONCATENATE(INDEX(DropdownLists!$H$2:$H$11,MATCH(1,COUNTIF('Ingest Template'!E954,"*"&amp;DropdownLists!$I$2:$I$11&amp;"*"),0)),CHAR(10),'Ingest Template'!F954,CHAR(10),'Ingest Template'!G954,CHAR(10),VLOOKUP('Ingest Template'!D954,DropdownLists!C:D,2,FALSE))</f>
        <v>#N/A</v>
      </c>
      <c r="E954" s="22" t="str">
        <f>CONCATENATE('Ingest Template'!H954,CHAR(10),'Ingest Template'!I954,CHAR(10),'Ingest Template'!J954,CHAR(10))</f>
        <v>
</v>
      </c>
      <c r="F954" s="35" t="str">
        <f t="array" ref="F954">INDEX(DropdownLists!$O$2:$O$36,MATCH(1,COUNTIF(E954,"*"&amp;DropdownLists!$N$2:$N$36&amp;"*"),0))</f>
        <v/>
      </c>
      <c r="G954" s="35"/>
      <c r="H954" s="22" t="str">
        <f t="array" ref="H954">INDEX(DropdownLists!$E$2:$E$276,MATCH('Ingest Template'!D954,DropdownLists!$C$2:$C$276,0))</f>
        <v>#N/A</v>
      </c>
      <c r="I954" s="22"/>
      <c r="J954" s="22" t="str">
        <f t="array" ref="J954">iF('Ingest Template'!A954="Standard","Pristine Brand",INDEX(DropdownLists!$B$2:$B$246,MATCH('Ingest Template'!D954,DropdownLists!$C$2:$C$246,0)))</f>
        <v>#N/A</v>
      </c>
      <c r="K954" s="22" t="str">
        <f>iF('Ingest Template'!A954="Standard",'Ingest Template'!K954&amp;CHAR(10)&amp;'Ingest Template'!L954,"Competitive View")</f>
        <v>Competitive View</v>
      </c>
      <c r="L954" s="22" t="s">
        <v>95</v>
      </c>
      <c r="M954" s="45" t="str">
        <f>'Ingest Template'!B954</f>
        <v/>
      </c>
      <c r="N954" s="35"/>
      <c r="O954" s="35"/>
      <c r="P954" s="35"/>
      <c r="Q954" s="35"/>
      <c r="R954" s="35" t="str">
        <f>'Ingest Template'!D954</f>
        <v/>
      </c>
      <c r="S954" s="22" t="s">
        <v>101</v>
      </c>
      <c r="T954" s="35" t="str">
        <f>'Ingest Template'!V954</f>
        <v/>
      </c>
      <c r="U954" s="35" t="str">
        <f>'Ingest Template'!W954</f>
        <v/>
      </c>
      <c r="V954" s="35" t="str">
        <f>LOWER(SUBSTITUTE(SUBSTITUTE(SUBSTITUTE(SUBSTITUTE(SUBSTITUTE('Ingest Template'!X954,"https:",""),"www.",""),"/",""),"?hl=en",""),"instagram.com",""))</f>
        <v/>
      </c>
      <c r="W954" s="74" t="str">
        <f t="array" ref="W954">IF(
'Ingest Template'!Y954="",
SUBSTITUTE(
INDEX(DropdownLists!$F$2:$F$277,MATCH('Ingest Template'!D954,DropdownLists!$C$2:$C$277,0)),
CHAR(10),
"|"&amp;'Ingest Template'!C954&amp;CHAR(10)
)&amp;"|"&amp;'Ingest Template'!C954,
SUBSTITUTE(
INDEX(DropdownLists!$F$2:$F$277,MATCH('Ingest Template'!D954,DropdownLists!$C$2:$C$277,0)),
CHAR(10),
"|"&amp;'Ingest Template'!C954&amp;CHAR(10)
)&amp;"|"&amp;'Ingest Template'!C954&amp;CHAR(10)&amp;'Ingest Template'!Y954
)</f>
        <v>#N/A</v>
      </c>
      <c r="X954" s="74" t="str">
        <f>'Ingest Template'!Z954</f>
        <v/>
      </c>
      <c r="Y954" s="35" t="str">
        <f>SUBSTITUTE(SUBSTITUTE(SUBSTITUTE('Ingest Template'!AA954,"http:",""),"https:",""),"/","")</f>
        <v/>
      </c>
      <c r="Z954" s="35" t="str">
        <f t="array" ref="Z954">IF('Ingest Template'!A954="Standard",(IF(ISBLANK('Ingest Template'!AB954),"", 'Ingest Template'!AB954&amp;"|DAR")),(IF(ISBLANK('Ingest Template'!AB954),"", 'Ingest Template'!AB954&amp;"|TV Ops")))</f>
        <v/>
      </c>
      <c r="AA954" s="35"/>
      <c r="AB954" s="35" t="str">
        <f>'Ingest Template'!R954</f>
        <v/>
      </c>
      <c r="AC954" s="35" t="str">
        <f>'Ingest Template'!T954</f>
        <v/>
      </c>
      <c r="AD954" s="35" t="str">
        <f>'Ingest Template'!S954</f>
        <v/>
      </c>
      <c r="AE954" s="35" t="str">
        <f>'Ingest Template'!U954</f>
        <v/>
      </c>
      <c r="AF954" s="22"/>
      <c r="AG954" s="35" t="str">
        <f t="array" ref="AG954">IF('Ingest Template'!A954="Standard",(CONCATENATE(IF(ISBLANK('Ingest Template'!N954),"", 'Ingest Template'!N954&amp;"|DAR"),CHAR(10), IF(ISBLANK('Ingest Template'!O954),"", 'Ingest Template'!O954&amp;"|DAR"),CHAR(10), IF(ISBLANK('Ingest Template'!P954),"", 'Ingest Template'!P954&amp;"|DAR"))),(CONCATENATE(IF(ISBLANK('Ingest Template'!N954),"", 'Ingest Template'!N954&amp;"|TV Ops"),CHAR(10), IF(ISBLANK('Ingest Template'!O954),"", 'Ingest Template'!O954&amp;"|TV Ops"),CHAR(10), IF(ISBLANK('Ingest Template'!P954),"", 'Ingest Template'!P954&amp;"|TV Ops"))))</f>
        <v>
</v>
      </c>
      <c r="AH954" s="35"/>
      <c r="AI954" s="35"/>
      <c r="AJ954" s="117" t="str">
        <f>if('Ingest Template'!A954="Standard",(IF(OR('Ingest Template'!F954 = "Program Type - Special", 'Ingest Template'!F954 = "Program Type - Live Event"),'Ingest Template'!M954&amp; "|DAR|DAR|"&amp;TEXT('Ingest Template'!C954-3, "yyyy-mm-dd")&amp;"|"&amp;TEXT('Ingest Template'!C954+3, "yyyy-mm-dd"),'Ingest Template'!M954&amp; "|DAR|DAR|2021-01-01")),(IF(OR('Ingest Template'!F954 = "Program Type - Special", 'Ingest Template'!F954 = "Program Type - Live Event"),'Ingest Template'!M954&amp; "|Operations - Core Title|Operations - Core Title|"&amp;TEXT('Ingest Template'!C954-3, "yyyy-mm-dd")&amp;"|"&amp;TEXT('Ingest Template'!C954+3, "yyyy-mm-dd"),'Ingest Template'!M954&amp; "|Operations - Core Title|Operations - Core Title")))</f>
        <v>|Operations - Core Title|Operations - Core Title</v>
      </c>
      <c r="AK954" s="35"/>
      <c r="AL954" s="117" t="str">
        <f>if('Ingest Template'!A954="Standard",(IF(OR('Ingest Template'!F954 = "Program Type - Special", 'Ingest Template'!F954 = "Program Type - Live Event"),'Ingest Template'!Q954&amp;"|"&amp;TEXT('Ingest Template'!C954-3, "yyyy-mm-dd")&amp;"|"&amp;TEXT('Ingest Template'!C954+3, "yyyy-mm-dd"),'Ingest Template'!Q954&amp; "|2021-01-01")),(IF(OR('Ingest Template'!F954 = "Program Type - Special", 'Ingest Template'!F954 = "Program Type - Live Event"),'Ingest Template'!Q954&amp; "|"&amp;TEXT('Ingest Template'!C954-3, "yyyy-mm-dd")&amp;"|"&amp;TEXT('Ingest Template'!C954+3, "yyyy-mm-dd"),'Ingest Template'!Q954)))</f>
        <v/>
      </c>
      <c r="AM954" s="35" t="str">
        <f>'Ingest Template'!AC954</f>
        <v/>
      </c>
    </row>
    <row r="955">
      <c r="A955" s="15"/>
      <c r="B955" s="22" t="str">
        <f>'Ingest Template'!C955&amp;IF('Ingest Template'!A955 = "Standard", " - DAR","")</f>
        <v/>
      </c>
      <c r="C955" s="22" t="s">
        <v>83</v>
      </c>
      <c r="D955" s="22" t="str">
        <f t="array" ref="D955">CONCATENATE(INDEX(DropdownLists!$H$2:$H$11,MATCH(1,COUNTIF('Ingest Template'!E955,"*"&amp;DropdownLists!$I$2:$I$11&amp;"*"),0)),CHAR(10),'Ingest Template'!F955,CHAR(10),'Ingest Template'!G955,CHAR(10),VLOOKUP('Ingest Template'!D955,DropdownLists!C:D,2,FALSE))</f>
        <v>#N/A</v>
      </c>
      <c r="E955" s="22" t="str">
        <f>CONCATENATE('Ingest Template'!H955,CHAR(10),'Ingest Template'!I955,CHAR(10),'Ingest Template'!J955,CHAR(10))</f>
        <v>
</v>
      </c>
      <c r="F955" s="35" t="str">
        <f t="array" ref="F955">INDEX(DropdownLists!$O$2:$O$36,MATCH(1,COUNTIF(E955,"*"&amp;DropdownLists!$N$2:$N$36&amp;"*"),0))</f>
        <v/>
      </c>
      <c r="G955" s="35"/>
      <c r="H955" s="22" t="str">
        <f t="array" ref="H955">INDEX(DropdownLists!$E$2:$E$276,MATCH('Ingest Template'!D955,DropdownLists!$C$2:$C$276,0))</f>
        <v>#N/A</v>
      </c>
      <c r="I955" s="22"/>
      <c r="J955" s="22" t="str">
        <f t="array" ref="J955">iF('Ingest Template'!A955="Standard","Pristine Brand",INDEX(DropdownLists!$B$2:$B$246,MATCH('Ingest Template'!D955,DropdownLists!$C$2:$C$246,0)))</f>
        <v>#N/A</v>
      </c>
      <c r="K955" s="22" t="str">
        <f>iF('Ingest Template'!A955="Standard",'Ingest Template'!K955&amp;CHAR(10)&amp;'Ingest Template'!L955,"Competitive View")</f>
        <v>Competitive View</v>
      </c>
      <c r="L955" s="22" t="s">
        <v>95</v>
      </c>
      <c r="M955" s="45" t="str">
        <f>'Ingest Template'!B955</f>
        <v/>
      </c>
      <c r="N955" s="35"/>
      <c r="O955" s="35"/>
      <c r="P955" s="35"/>
      <c r="Q955" s="35"/>
      <c r="R955" s="35" t="str">
        <f>'Ingest Template'!D955</f>
        <v/>
      </c>
      <c r="S955" s="22" t="s">
        <v>101</v>
      </c>
      <c r="T955" s="35" t="str">
        <f>'Ingest Template'!V955</f>
        <v/>
      </c>
      <c r="U955" s="35" t="str">
        <f>'Ingest Template'!W955</f>
        <v/>
      </c>
      <c r="V955" s="35" t="str">
        <f>LOWER(SUBSTITUTE(SUBSTITUTE(SUBSTITUTE(SUBSTITUTE(SUBSTITUTE('Ingest Template'!X955,"https:",""),"www.",""),"/",""),"?hl=en",""),"instagram.com",""))</f>
        <v/>
      </c>
      <c r="W955" s="74" t="str">
        <f t="array" ref="W955">IF(
'Ingest Template'!Y955="",
SUBSTITUTE(
INDEX(DropdownLists!$F$2:$F$277,MATCH('Ingest Template'!D955,DropdownLists!$C$2:$C$277,0)),
CHAR(10),
"|"&amp;'Ingest Template'!C955&amp;CHAR(10)
)&amp;"|"&amp;'Ingest Template'!C955,
SUBSTITUTE(
INDEX(DropdownLists!$F$2:$F$277,MATCH('Ingest Template'!D955,DropdownLists!$C$2:$C$277,0)),
CHAR(10),
"|"&amp;'Ingest Template'!C955&amp;CHAR(10)
)&amp;"|"&amp;'Ingest Template'!C955&amp;CHAR(10)&amp;'Ingest Template'!Y955
)</f>
        <v>#N/A</v>
      </c>
      <c r="X955" s="74" t="str">
        <f>'Ingest Template'!Z955</f>
        <v/>
      </c>
      <c r="Y955" s="35" t="str">
        <f>SUBSTITUTE(SUBSTITUTE(SUBSTITUTE('Ingest Template'!AA955,"http:",""),"https:",""),"/","")</f>
        <v/>
      </c>
      <c r="Z955" s="35" t="str">
        <f t="array" ref="Z955">IF('Ingest Template'!A955="Standard",(IF(ISBLANK('Ingest Template'!AB955),"", 'Ingest Template'!AB955&amp;"|DAR")),(IF(ISBLANK('Ingest Template'!AB955),"", 'Ingest Template'!AB955&amp;"|TV Ops")))</f>
        <v/>
      </c>
      <c r="AA955" s="35"/>
      <c r="AB955" s="35" t="str">
        <f>'Ingest Template'!R955</f>
        <v/>
      </c>
      <c r="AC955" s="35" t="str">
        <f>'Ingest Template'!T955</f>
        <v/>
      </c>
      <c r="AD955" s="35" t="str">
        <f>'Ingest Template'!S955</f>
        <v/>
      </c>
      <c r="AE955" s="35" t="str">
        <f>'Ingest Template'!U955</f>
        <v/>
      </c>
      <c r="AF955" s="22"/>
      <c r="AG955" s="35" t="str">
        <f t="array" ref="AG955">IF('Ingest Template'!A955="Standard",(CONCATENATE(IF(ISBLANK('Ingest Template'!N955),"", 'Ingest Template'!N955&amp;"|DAR"),CHAR(10), IF(ISBLANK('Ingest Template'!O955),"", 'Ingest Template'!O955&amp;"|DAR"),CHAR(10), IF(ISBLANK('Ingest Template'!P955),"", 'Ingest Template'!P955&amp;"|DAR"))),(CONCATENATE(IF(ISBLANK('Ingest Template'!N955),"", 'Ingest Template'!N955&amp;"|TV Ops"),CHAR(10), IF(ISBLANK('Ingest Template'!O955),"", 'Ingest Template'!O955&amp;"|TV Ops"),CHAR(10), IF(ISBLANK('Ingest Template'!P955),"", 'Ingest Template'!P955&amp;"|TV Ops"))))</f>
        <v>
</v>
      </c>
      <c r="AH955" s="35"/>
      <c r="AI955" s="35"/>
      <c r="AJ955" s="117" t="str">
        <f>if('Ingest Template'!A955="Standard",(IF(OR('Ingest Template'!F955 = "Program Type - Special", 'Ingest Template'!F955 = "Program Type - Live Event"),'Ingest Template'!M955&amp; "|DAR|DAR|"&amp;TEXT('Ingest Template'!C955-3, "yyyy-mm-dd")&amp;"|"&amp;TEXT('Ingest Template'!C955+3, "yyyy-mm-dd"),'Ingest Template'!M955&amp; "|DAR|DAR|2021-01-01")),(IF(OR('Ingest Template'!F955 = "Program Type - Special", 'Ingest Template'!F955 = "Program Type - Live Event"),'Ingest Template'!M955&amp; "|Operations - Core Title|Operations - Core Title|"&amp;TEXT('Ingest Template'!C955-3, "yyyy-mm-dd")&amp;"|"&amp;TEXT('Ingest Template'!C955+3, "yyyy-mm-dd"),'Ingest Template'!M955&amp; "|Operations - Core Title|Operations - Core Title")))</f>
        <v>|Operations - Core Title|Operations - Core Title</v>
      </c>
      <c r="AK955" s="35"/>
      <c r="AL955" s="117" t="str">
        <f>if('Ingest Template'!A955="Standard",(IF(OR('Ingest Template'!F955 = "Program Type - Special", 'Ingest Template'!F955 = "Program Type - Live Event"),'Ingest Template'!Q955&amp;"|"&amp;TEXT('Ingest Template'!C955-3, "yyyy-mm-dd")&amp;"|"&amp;TEXT('Ingest Template'!C955+3, "yyyy-mm-dd"),'Ingest Template'!Q955&amp; "|2021-01-01")),(IF(OR('Ingest Template'!F955 = "Program Type - Special", 'Ingest Template'!F955 = "Program Type - Live Event"),'Ingest Template'!Q955&amp; "|"&amp;TEXT('Ingest Template'!C955-3, "yyyy-mm-dd")&amp;"|"&amp;TEXT('Ingest Template'!C955+3, "yyyy-mm-dd"),'Ingest Template'!Q955)))</f>
        <v/>
      </c>
      <c r="AM955" s="35" t="str">
        <f>'Ingest Template'!AC955</f>
        <v/>
      </c>
    </row>
    <row r="956">
      <c r="A956" s="15"/>
      <c r="B956" s="22" t="str">
        <f>'Ingest Template'!C956&amp;IF('Ingest Template'!A956 = "Standard", " - DAR","")</f>
        <v/>
      </c>
      <c r="C956" s="22" t="s">
        <v>83</v>
      </c>
      <c r="D956" s="22" t="str">
        <f t="array" ref="D956">CONCATENATE(INDEX(DropdownLists!$H$2:$H$11,MATCH(1,COUNTIF('Ingest Template'!E956,"*"&amp;DropdownLists!$I$2:$I$11&amp;"*"),0)),CHAR(10),'Ingest Template'!F956,CHAR(10),'Ingest Template'!G956,CHAR(10),VLOOKUP('Ingest Template'!D956,DropdownLists!C:D,2,FALSE))</f>
        <v>#N/A</v>
      </c>
      <c r="E956" s="22" t="str">
        <f>CONCATENATE('Ingest Template'!H956,CHAR(10),'Ingest Template'!I956,CHAR(10),'Ingest Template'!J956,CHAR(10))</f>
        <v>
</v>
      </c>
      <c r="F956" s="35" t="str">
        <f t="array" ref="F956">INDEX(DropdownLists!$O$2:$O$36,MATCH(1,COUNTIF(E956,"*"&amp;DropdownLists!$N$2:$N$36&amp;"*"),0))</f>
        <v/>
      </c>
      <c r="G956" s="35"/>
      <c r="H956" s="22" t="str">
        <f t="array" ref="H956">INDEX(DropdownLists!$E$2:$E$276,MATCH('Ingest Template'!D956,DropdownLists!$C$2:$C$276,0))</f>
        <v>#N/A</v>
      </c>
      <c r="I956" s="22"/>
      <c r="J956" s="22" t="str">
        <f t="array" ref="J956">iF('Ingest Template'!A956="Standard","Pristine Brand",INDEX(DropdownLists!$B$2:$B$246,MATCH('Ingest Template'!D956,DropdownLists!$C$2:$C$246,0)))</f>
        <v>#N/A</v>
      </c>
      <c r="K956" s="22" t="str">
        <f>iF('Ingest Template'!A956="Standard",'Ingest Template'!K956&amp;CHAR(10)&amp;'Ingest Template'!L956,"Competitive View")</f>
        <v>Competitive View</v>
      </c>
      <c r="L956" s="22" t="s">
        <v>95</v>
      </c>
      <c r="M956" s="45" t="str">
        <f>'Ingest Template'!B956</f>
        <v/>
      </c>
      <c r="N956" s="35"/>
      <c r="O956" s="35"/>
      <c r="P956" s="35"/>
      <c r="Q956" s="35"/>
      <c r="R956" s="35" t="str">
        <f>'Ingest Template'!D956</f>
        <v/>
      </c>
      <c r="S956" s="22" t="s">
        <v>101</v>
      </c>
      <c r="T956" s="35" t="str">
        <f>'Ingest Template'!V956</f>
        <v/>
      </c>
      <c r="U956" s="35" t="str">
        <f>'Ingest Template'!W956</f>
        <v/>
      </c>
      <c r="V956" s="35" t="str">
        <f>LOWER(SUBSTITUTE(SUBSTITUTE(SUBSTITUTE(SUBSTITUTE(SUBSTITUTE('Ingest Template'!X956,"https:",""),"www.",""),"/",""),"?hl=en",""),"instagram.com",""))</f>
        <v/>
      </c>
      <c r="W956" s="74" t="str">
        <f t="array" ref="W956">IF(
'Ingest Template'!Y956="",
SUBSTITUTE(
INDEX(DropdownLists!$F$2:$F$277,MATCH('Ingest Template'!D956,DropdownLists!$C$2:$C$277,0)),
CHAR(10),
"|"&amp;'Ingest Template'!C956&amp;CHAR(10)
)&amp;"|"&amp;'Ingest Template'!C956,
SUBSTITUTE(
INDEX(DropdownLists!$F$2:$F$277,MATCH('Ingest Template'!D956,DropdownLists!$C$2:$C$277,0)),
CHAR(10),
"|"&amp;'Ingest Template'!C956&amp;CHAR(10)
)&amp;"|"&amp;'Ingest Template'!C956&amp;CHAR(10)&amp;'Ingest Template'!Y956
)</f>
        <v>#N/A</v>
      </c>
      <c r="X956" s="74" t="str">
        <f>'Ingest Template'!Z956</f>
        <v/>
      </c>
      <c r="Y956" s="35" t="str">
        <f>SUBSTITUTE(SUBSTITUTE(SUBSTITUTE('Ingest Template'!AA956,"http:",""),"https:",""),"/","")</f>
        <v/>
      </c>
      <c r="Z956" s="35" t="str">
        <f t="array" ref="Z956">IF('Ingest Template'!A956="Standard",(IF(ISBLANK('Ingest Template'!AB956),"", 'Ingest Template'!AB956&amp;"|DAR")),(IF(ISBLANK('Ingest Template'!AB956),"", 'Ingest Template'!AB956&amp;"|TV Ops")))</f>
        <v/>
      </c>
      <c r="AA956" s="35"/>
      <c r="AB956" s="35" t="str">
        <f>'Ingest Template'!R956</f>
        <v/>
      </c>
      <c r="AC956" s="35" t="str">
        <f>'Ingest Template'!T956</f>
        <v/>
      </c>
      <c r="AD956" s="35" t="str">
        <f>'Ingest Template'!S956</f>
        <v/>
      </c>
      <c r="AE956" s="35" t="str">
        <f>'Ingest Template'!U956</f>
        <v/>
      </c>
      <c r="AF956" s="22"/>
      <c r="AG956" s="35" t="str">
        <f t="array" ref="AG956">IF('Ingest Template'!A956="Standard",(CONCATENATE(IF(ISBLANK('Ingest Template'!N956),"", 'Ingest Template'!N956&amp;"|DAR"),CHAR(10), IF(ISBLANK('Ingest Template'!O956),"", 'Ingest Template'!O956&amp;"|DAR"),CHAR(10), IF(ISBLANK('Ingest Template'!P956),"", 'Ingest Template'!P956&amp;"|DAR"))),(CONCATENATE(IF(ISBLANK('Ingest Template'!N956),"", 'Ingest Template'!N956&amp;"|TV Ops"),CHAR(10), IF(ISBLANK('Ingest Template'!O956),"", 'Ingest Template'!O956&amp;"|TV Ops"),CHAR(10), IF(ISBLANK('Ingest Template'!P956),"", 'Ingest Template'!P956&amp;"|TV Ops"))))</f>
        <v>
</v>
      </c>
      <c r="AH956" s="35"/>
      <c r="AI956" s="35"/>
      <c r="AJ956" s="117" t="str">
        <f>if('Ingest Template'!A956="Standard",(IF(OR('Ingest Template'!F956 = "Program Type - Special", 'Ingest Template'!F956 = "Program Type - Live Event"),'Ingest Template'!M956&amp; "|DAR|DAR|"&amp;TEXT('Ingest Template'!C956-3, "yyyy-mm-dd")&amp;"|"&amp;TEXT('Ingest Template'!C956+3, "yyyy-mm-dd"),'Ingest Template'!M956&amp; "|DAR|DAR|2021-01-01")),(IF(OR('Ingest Template'!F956 = "Program Type - Special", 'Ingest Template'!F956 = "Program Type - Live Event"),'Ingest Template'!M956&amp; "|Operations - Core Title|Operations - Core Title|"&amp;TEXT('Ingest Template'!C956-3, "yyyy-mm-dd")&amp;"|"&amp;TEXT('Ingest Template'!C956+3, "yyyy-mm-dd"),'Ingest Template'!M956&amp; "|Operations - Core Title|Operations - Core Title")))</f>
        <v>|Operations - Core Title|Operations - Core Title</v>
      </c>
      <c r="AK956" s="35"/>
      <c r="AL956" s="117" t="str">
        <f>if('Ingest Template'!A956="Standard",(IF(OR('Ingest Template'!F956 = "Program Type - Special", 'Ingest Template'!F956 = "Program Type - Live Event"),'Ingest Template'!Q956&amp;"|"&amp;TEXT('Ingest Template'!C956-3, "yyyy-mm-dd")&amp;"|"&amp;TEXT('Ingest Template'!C956+3, "yyyy-mm-dd"),'Ingest Template'!Q956&amp; "|2021-01-01")),(IF(OR('Ingest Template'!F956 = "Program Type - Special", 'Ingest Template'!F956 = "Program Type - Live Event"),'Ingest Template'!Q956&amp; "|"&amp;TEXT('Ingest Template'!C956-3, "yyyy-mm-dd")&amp;"|"&amp;TEXT('Ingest Template'!C956+3, "yyyy-mm-dd"),'Ingest Template'!Q956)))</f>
        <v/>
      </c>
      <c r="AM956" s="35" t="str">
        <f>'Ingest Template'!AC956</f>
        <v/>
      </c>
    </row>
    <row r="957">
      <c r="A957" s="15"/>
      <c r="B957" s="22" t="str">
        <f>'Ingest Template'!C957&amp;IF('Ingest Template'!A957 = "Standard", " - DAR","")</f>
        <v/>
      </c>
      <c r="C957" s="22" t="s">
        <v>83</v>
      </c>
      <c r="D957" s="22" t="str">
        <f t="array" ref="D957">CONCATENATE(INDEX(DropdownLists!$H$2:$H$11,MATCH(1,COUNTIF('Ingest Template'!E957,"*"&amp;DropdownLists!$I$2:$I$11&amp;"*"),0)),CHAR(10),'Ingest Template'!F957,CHAR(10),'Ingest Template'!G957,CHAR(10),VLOOKUP('Ingest Template'!D957,DropdownLists!C:D,2,FALSE))</f>
        <v>#N/A</v>
      </c>
      <c r="E957" s="22" t="str">
        <f>CONCATENATE('Ingest Template'!H957,CHAR(10),'Ingest Template'!I957,CHAR(10),'Ingest Template'!J957,CHAR(10))</f>
        <v>
</v>
      </c>
      <c r="F957" s="35" t="str">
        <f t="array" ref="F957">INDEX(DropdownLists!$O$2:$O$36,MATCH(1,COUNTIF(E957,"*"&amp;DropdownLists!$N$2:$N$36&amp;"*"),0))</f>
        <v/>
      </c>
      <c r="G957" s="35"/>
      <c r="H957" s="22" t="str">
        <f t="array" ref="H957">INDEX(DropdownLists!$E$2:$E$276,MATCH('Ingest Template'!D957,DropdownLists!$C$2:$C$276,0))</f>
        <v>#N/A</v>
      </c>
      <c r="I957" s="22"/>
      <c r="J957" s="22" t="str">
        <f t="array" ref="J957">iF('Ingest Template'!A957="Standard","Pristine Brand",INDEX(DropdownLists!$B$2:$B$246,MATCH('Ingest Template'!D957,DropdownLists!$C$2:$C$246,0)))</f>
        <v>#N/A</v>
      </c>
      <c r="K957" s="22" t="str">
        <f>iF('Ingest Template'!A957="Standard",'Ingest Template'!K957&amp;CHAR(10)&amp;'Ingest Template'!L957,"Competitive View")</f>
        <v>Competitive View</v>
      </c>
      <c r="L957" s="22" t="s">
        <v>95</v>
      </c>
      <c r="M957" s="45" t="str">
        <f>'Ingest Template'!B957</f>
        <v/>
      </c>
      <c r="N957" s="35"/>
      <c r="O957" s="35"/>
      <c r="P957" s="35"/>
      <c r="Q957" s="35"/>
      <c r="R957" s="35" t="str">
        <f>'Ingest Template'!D957</f>
        <v/>
      </c>
      <c r="S957" s="22" t="s">
        <v>101</v>
      </c>
      <c r="T957" s="35" t="str">
        <f>'Ingest Template'!V957</f>
        <v/>
      </c>
      <c r="U957" s="35" t="str">
        <f>'Ingest Template'!W957</f>
        <v/>
      </c>
      <c r="V957" s="35" t="str">
        <f>LOWER(SUBSTITUTE(SUBSTITUTE(SUBSTITUTE(SUBSTITUTE(SUBSTITUTE('Ingest Template'!X957,"https:",""),"www.",""),"/",""),"?hl=en",""),"instagram.com",""))</f>
        <v/>
      </c>
      <c r="W957" s="74" t="str">
        <f t="array" ref="W957">IF(
'Ingest Template'!Y957="",
SUBSTITUTE(
INDEX(DropdownLists!$F$2:$F$277,MATCH('Ingest Template'!D957,DropdownLists!$C$2:$C$277,0)),
CHAR(10),
"|"&amp;'Ingest Template'!C957&amp;CHAR(10)
)&amp;"|"&amp;'Ingest Template'!C957,
SUBSTITUTE(
INDEX(DropdownLists!$F$2:$F$277,MATCH('Ingest Template'!D957,DropdownLists!$C$2:$C$277,0)),
CHAR(10),
"|"&amp;'Ingest Template'!C957&amp;CHAR(10)
)&amp;"|"&amp;'Ingest Template'!C957&amp;CHAR(10)&amp;'Ingest Template'!Y957
)</f>
        <v>#N/A</v>
      </c>
      <c r="X957" s="74" t="str">
        <f>'Ingest Template'!Z957</f>
        <v/>
      </c>
      <c r="Y957" s="35" t="str">
        <f>SUBSTITUTE(SUBSTITUTE(SUBSTITUTE('Ingest Template'!AA957,"http:",""),"https:",""),"/","")</f>
        <v/>
      </c>
      <c r="Z957" s="35" t="str">
        <f t="array" ref="Z957">IF('Ingest Template'!A957="Standard",(IF(ISBLANK('Ingest Template'!AB957),"", 'Ingest Template'!AB957&amp;"|DAR")),(IF(ISBLANK('Ingest Template'!AB957),"", 'Ingest Template'!AB957&amp;"|TV Ops")))</f>
        <v/>
      </c>
      <c r="AA957" s="35"/>
      <c r="AB957" s="35" t="str">
        <f>'Ingest Template'!R957</f>
        <v/>
      </c>
      <c r="AC957" s="35" t="str">
        <f>'Ingest Template'!T957</f>
        <v/>
      </c>
      <c r="AD957" s="35" t="str">
        <f>'Ingest Template'!S957</f>
        <v/>
      </c>
      <c r="AE957" s="35" t="str">
        <f>'Ingest Template'!U957</f>
        <v/>
      </c>
      <c r="AF957" s="22"/>
      <c r="AG957" s="35" t="str">
        <f t="array" ref="AG957">IF('Ingest Template'!A957="Standard",(CONCATENATE(IF(ISBLANK('Ingest Template'!N957),"", 'Ingest Template'!N957&amp;"|DAR"),CHAR(10), IF(ISBLANK('Ingest Template'!O957),"", 'Ingest Template'!O957&amp;"|DAR"),CHAR(10), IF(ISBLANK('Ingest Template'!P957),"", 'Ingest Template'!P957&amp;"|DAR"))),(CONCATENATE(IF(ISBLANK('Ingest Template'!N957),"", 'Ingest Template'!N957&amp;"|TV Ops"),CHAR(10), IF(ISBLANK('Ingest Template'!O957),"", 'Ingest Template'!O957&amp;"|TV Ops"),CHAR(10), IF(ISBLANK('Ingest Template'!P957),"", 'Ingest Template'!P957&amp;"|TV Ops"))))</f>
        <v>
</v>
      </c>
      <c r="AH957" s="35"/>
      <c r="AI957" s="35"/>
      <c r="AJ957" s="117" t="str">
        <f>if('Ingest Template'!A957="Standard",(IF(OR('Ingest Template'!F957 = "Program Type - Special", 'Ingest Template'!F957 = "Program Type - Live Event"),'Ingest Template'!M957&amp; "|DAR|DAR|"&amp;TEXT('Ingest Template'!C957-3, "yyyy-mm-dd")&amp;"|"&amp;TEXT('Ingest Template'!C957+3, "yyyy-mm-dd"),'Ingest Template'!M957&amp; "|DAR|DAR|2021-01-01")),(IF(OR('Ingest Template'!F957 = "Program Type - Special", 'Ingest Template'!F957 = "Program Type - Live Event"),'Ingest Template'!M957&amp; "|Operations - Core Title|Operations - Core Title|"&amp;TEXT('Ingest Template'!C957-3, "yyyy-mm-dd")&amp;"|"&amp;TEXT('Ingest Template'!C957+3, "yyyy-mm-dd"),'Ingest Template'!M957&amp; "|Operations - Core Title|Operations - Core Title")))</f>
        <v>|Operations - Core Title|Operations - Core Title</v>
      </c>
      <c r="AK957" s="35"/>
      <c r="AL957" s="117" t="str">
        <f>if('Ingest Template'!A957="Standard",(IF(OR('Ingest Template'!F957 = "Program Type - Special", 'Ingest Template'!F957 = "Program Type - Live Event"),'Ingest Template'!Q957&amp;"|"&amp;TEXT('Ingest Template'!C957-3, "yyyy-mm-dd")&amp;"|"&amp;TEXT('Ingest Template'!C957+3, "yyyy-mm-dd"),'Ingest Template'!Q957&amp; "|2021-01-01")),(IF(OR('Ingest Template'!F957 = "Program Type - Special", 'Ingest Template'!F957 = "Program Type - Live Event"),'Ingest Template'!Q957&amp; "|"&amp;TEXT('Ingest Template'!C957-3, "yyyy-mm-dd")&amp;"|"&amp;TEXT('Ingest Template'!C957+3, "yyyy-mm-dd"),'Ingest Template'!Q957)))</f>
        <v/>
      </c>
      <c r="AM957" s="35" t="str">
        <f>'Ingest Template'!AC957</f>
        <v/>
      </c>
    </row>
    <row r="958">
      <c r="A958" s="15"/>
      <c r="B958" s="22" t="str">
        <f>'Ingest Template'!C958&amp;IF('Ingest Template'!A958 = "Standard", " - DAR","")</f>
        <v/>
      </c>
      <c r="C958" s="22" t="s">
        <v>83</v>
      </c>
      <c r="D958" s="22" t="str">
        <f t="array" ref="D958">CONCATENATE(INDEX(DropdownLists!$H$2:$H$11,MATCH(1,COUNTIF('Ingest Template'!E958,"*"&amp;DropdownLists!$I$2:$I$11&amp;"*"),0)),CHAR(10),'Ingest Template'!F958,CHAR(10),'Ingest Template'!G958,CHAR(10),VLOOKUP('Ingest Template'!D958,DropdownLists!C:D,2,FALSE))</f>
        <v>#N/A</v>
      </c>
      <c r="E958" s="22" t="str">
        <f>CONCATENATE('Ingest Template'!H958,CHAR(10),'Ingest Template'!I958,CHAR(10),'Ingest Template'!J958,CHAR(10))</f>
        <v>
</v>
      </c>
      <c r="F958" s="35" t="str">
        <f t="array" ref="F958">INDEX(DropdownLists!$O$2:$O$36,MATCH(1,COUNTIF(E958,"*"&amp;DropdownLists!$N$2:$N$36&amp;"*"),0))</f>
        <v/>
      </c>
      <c r="G958" s="35"/>
      <c r="H958" s="22" t="str">
        <f t="array" ref="H958">INDEX(DropdownLists!$E$2:$E$276,MATCH('Ingest Template'!D958,DropdownLists!$C$2:$C$276,0))</f>
        <v>#N/A</v>
      </c>
      <c r="I958" s="22"/>
      <c r="J958" s="22" t="str">
        <f t="array" ref="J958">iF('Ingest Template'!A958="Standard","Pristine Brand",INDEX(DropdownLists!$B$2:$B$246,MATCH('Ingest Template'!D958,DropdownLists!$C$2:$C$246,0)))</f>
        <v>#N/A</v>
      </c>
      <c r="K958" s="22" t="str">
        <f>iF('Ingest Template'!A958="Standard",'Ingest Template'!K958&amp;CHAR(10)&amp;'Ingest Template'!L958,"Competitive View")</f>
        <v>Competitive View</v>
      </c>
      <c r="L958" s="22" t="s">
        <v>95</v>
      </c>
      <c r="M958" s="45" t="str">
        <f>'Ingest Template'!B958</f>
        <v/>
      </c>
      <c r="N958" s="35"/>
      <c r="O958" s="35"/>
      <c r="P958" s="35"/>
      <c r="Q958" s="35"/>
      <c r="R958" s="35" t="str">
        <f>'Ingest Template'!D958</f>
        <v/>
      </c>
      <c r="S958" s="22" t="s">
        <v>101</v>
      </c>
      <c r="T958" s="35" t="str">
        <f>'Ingest Template'!V958</f>
        <v/>
      </c>
      <c r="U958" s="35" t="str">
        <f>'Ingest Template'!W958</f>
        <v/>
      </c>
      <c r="V958" s="35" t="str">
        <f>LOWER(SUBSTITUTE(SUBSTITUTE(SUBSTITUTE(SUBSTITUTE(SUBSTITUTE('Ingest Template'!X958,"https:",""),"www.",""),"/",""),"?hl=en",""),"instagram.com",""))</f>
        <v/>
      </c>
      <c r="W958" s="74" t="str">
        <f t="array" ref="W958">IF(
'Ingest Template'!Y958="",
SUBSTITUTE(
INDEX(DropdownLists!$F$2:$F$277,MATCH('Ingest Template'!D958,DropdownLists!$C$2:$C$277,0)),
CHAR(10),
"|"&amp;'Ingest Template'!C958&amp;CHAR(10)
)&amp;"|"&amp;'Ingest Template'!C958,
SUBSTITUTE(
INDEX(DropdownLists!$F$2:$F$277,MATCH('Ingest Template'!D958,DropdownLists!$C$2:$C$277,0)),
CHAR(10),
"|"&amp;'Ingest Template'!C958&amp;CHAR(10)
)&amp;"|"&amp;'Ingest Template'!C958&amp;CHAR(10)&amp;'Ingest Template'!Y958
)</f>
        <v>#N/A</v>
      </c>
      <c r="X958" s="74" t="str">
        <f>'Ingest Template'!Z958</f>
        <v/>
      </c>
      <c r="Y958" s="35" t="str">
        <f>SUBSTITUTE(SUBSTITUTE(SUBSTITUTE('Ingest Template'!AA958,"http:",""),"https:",""),"/","")</f>
        <v/>
      </c>
      <c r="Z958" s="35" t="str">
        <f t="array" ref="Z958">IF('Ingest Template'!A958="Standard",(IF(ISBLANK('Ingest Template'!AB958),"", 'Ingest Template'!AB958&amp;"|DAR")),(IF(ISBLANK('Ingest Template'!AB958),"", 'Ingest Template'!AB958&amp;"|TV Ops")))</f>
        <v/>
      </c>
      <c r="AA958" s="35"/>
      <c r="AB958" s="35" t="str">
        <f>'Ingest Template'!R958</f>
        <v/>
      </c>
      <c r="AC958" s="35" t="str">
        <f>'Ingest Template'!T958</f>
        <v/>
      </c>
      <c r="AD958" s="35" t="str">
        <f>'Ingest Template'!S958</f>
        <v/>
      </c>
      <c r="AE958" s="35" t="str">
        <f>'Ingest Template'!U958</f>
        <v/>
      </c>
      <c r="AF958" s="22"/>
      <c r="AG958" s="35" t="str">
        <f t="array" ref="AG958">IF('Ingest Template'!A958="Standard",(CONCATENATE(IF(ISBLANK('Ingest Template'!N958),"", 'Ingest Template'!N958&amp;"|DAR"),CHAR(10), IF(ISBLANK('Ingest Template'!O958),"", 'Ingest Template'!O958&amp;"|DAR"),CHAR(10), IF(ISBLANK('Ingest Template'!P958),"", 'Ingest Template'!P958&amp;"|DAR"))),(CONCATENATE(IF(ISBLANK('Ingest Template'!N958),"", 'Ingest Template'!N958&amp;"|TV Ops"),CHAR(10), IF(ISBLANK('Ingest Template'!O958),"", 'Ingest Template'!O958&amp;"|TV Ops"),CHAR(10), IF(ISBLANK('Ingest Template'!P958),"", 'Ingest Template'!P958&amp;"|TV Ops"))))</f>
        <v>
</v>
      </c>
      <c r="AH958" s="35"/>
      <c r="AI958" s="35"/>
      <c r="AJ958" s="117" t="str">
        <f>if('Ingest Template'!A958="Standard",(IF(OR('Ingest Template'!F958 = "Program Type - Special", 'Ingest Template'!F958 = "Program Type - Live Event"),'Ingest Template'!M958&amp; "|DAR|DAR|"&amp;TEXT('Ingest Template'!C958-3, "yyyy-mm-dd")&amp;"|"&amp;TEXT('Ingest Template'!C958+3, "yyyy-mm-dd"),'Ingest Template'!M958&amp; "|DAR|DAR|2021-01-01")),(IF(OR('Ingest Template'!F958 = "Program Type - Special", 'Ingest Template'!F958 = "Program Type - Live Event"),'Ingest Template'!M958&amp; "|Operations - Core Title|Operations - Core Title|"&amp;TEXT('Ingest Template'!C958-3, "yyyy-mm-dd")&amp;"|"&amp;TEXT('Ingest Template'!C958+3, "yyyy-mm-dd"),'Ingest Template'!M958&amp; "|Operations - Core Title|Operations - Core Title")))</f>
        <v>|Operations - Core Title|Operations - Core Title</v>
      </c>
      <c r="AK958" s="35"/>
      <c r="AL958" s="117" t="str">
        <f>if('Ingest Template'!A958="Standard",(IF(OR('Ingest Template'!F958 = "Program Type - Special", 'Ingest Template'!F958 = "Program Type - Live Event"),'Ingest Template'!Q958&amp;"|"&amp;TEXT('Ingest Template'!C958-3, "yyyy-mm-dd")&amp;"|"&amp;TEXT('Ingest Template'!C958+3, "yyyy-mm-dd"),'Ingest Template'!Q958&amp; "|2021-01-01")),(IF(OR('Ingest Template'!F958 = "Program Type - Special", 'Ingest Template'!F958 = "Program Type - Live Event"),'Ingest Template'!Q958&amp; "|"&amp;TEXT('Ingest Template'!C958-3, "yyyy-mm-dd")&amp;"|"&amp;TEXT('Ingest Template'!C958+3, "yyyy-mm-dd"),'Ingest Template'!Q958)))</f>
        <v/>
      </c>
      <c r="AM958" s="35" t="str">
        <f>'Ingest Template'!AC958</f>
        <v/>
      </c>
    </row>
    <row r="959">
      <c r="A959" s="15"/>
      <c r="B959" s="22" t="str">
        <f>'Ingest Template'!C959&amp;IF('Ingest Template'!A959 = "Standard", " - DAR","")</f>
        <v/>
      </c>
      <c r="C959" s="22" t="s">
        <v>83</v>
      </c>
      <c r="D959" s="22" t="str">
        <f t="array" ref="D959">CONCATENATE(INDEX(DropdownLists!$H$2:$H$11,MATCH(1,COUNTIF('Ingest Template'!E959,"*"&amp;DropdownLists!$I$2:$I$11&amp;"*"),0)),CHAR(10),'Ingest Template'!F959,CHAR(10),'Ingest Template'!G959,CHAR(10),VLOOKUP('Ingest Template'!D959,DropdownLists!C:D,2,FALSE))</f>
        <v>#N/A</v>
      </c>
      <c r="E959" s="22" t="str">
        <f>CONCATENATE('Ingest Template'!H959,CHAR(10),'Ingest Template'!I959,CHAR(10),'Ingest Template'!J959,CHAR(10))</f>
        <v>
</v>
      </c>
      <c r="F959" s="35" t="str">
        <f t="array" ref="F959">INDEX(DropdownLists!$O$2:$O$36,MATCH(1,COUNTIF(E959,"*"&amp;DropdownLists!$N$2:$N$36&amp;"*"),0))</f>
        <v/>
      </c>
      <c r="G959" s="35"/>
      <c r="H959" s="22" t="str">
        <f t="array" ref="H959">INDEX(DropdownLists!$E$2:$E$276,MATCH('Ingest Template'!D959,DropdownLists!$C$2:$C$276,0))</f>
        <v>#N/A</v>
      </c>
      <c r="I959" s="22"/>
      <c r="J959" s="22" t="str">
        <f t="array" ref="J959">iF('Ingest Template'!A959="Standard","Pristine Brand",INDEX(DropdownLists!$B$2:$B$246,MATCH('Ingest Template'!D959,DropdownLists!$C$2:$C$246,0)))</f>
        <v>#N/A</v>
      </c>
      <c r="K959" s="22" t="str">
        <f>iF('Ingest Template'!A959="Standard",'Ingest Template'!K959&amp;CHAR(10)&amp;'Ingest Template'!L959,"Competitive View")</f>
        <v>Competitive View</v>
      </c>
      <c r="L959" s="22" t="s">
        <v>95</v>
      </c>
      <c r="M959" s="45" t="str">
        <f>'Ingest Template'!B959</f>
        <v/>
      </c>
      <c r="N959" s="35"/>
      <c r="O959" s="35"/>
      <c r="P959" s="35"/>
      <c r="Q959" s="35"/>
      <c r="R959" s="35" t="str">
        <f>'Ingest Template'!D959</f>
        <v/>
      </c>
      <c r="S959" s="22" t="s">
        <v>101</v>
      </c>
      <c r="T959" s="35" t="str">
        <f>'Ingest Template'!V959</f>
        <v/>
      </c>
      <c r="U959" s="35" t="str">
        <f>'Ingest Template'!W959</f>
        <v/>
      </c>
      <c r="V959" s="35" t="str">
        <f>LOWER(SUBSTITUTE(SUBSTITUTE(SUBSTITUTE(SUBSTITUTE(SUBSTITUTE('Ingest Template'!X959,"https:",""),"www.",""),"/",""),"?hl=en",""),"instagram.com",""))</f>
        <v/>
      </c>
      <c r="W959" s="74" t="str">
        <f t="array" ref="W959">IF(
'Ingest Template'!Y959="",
SUBSTITUTE(
INDEX(DropdownLists!$F$2:$F$277,MATCH('Ingest Template'!D959,DropdownLists!$C$2:$C$277,0)),
CHAR(10),
"|"&amp;'Ingest Template'!C959&amp;CHAR(10)
)&amp;"|"&amp;'Ingest Template'!C959,
SUBSTITUTE(
INDEX(DropdownLists!$F$2:$F$277,MATCH('Ingest Template'!D959,DropdownLists!$C$2:$C$277,0)),
CHAR(10),
"|"&amp;'Ingest Template'!C959&amp;CHAR(10)
)&amp;"|"&amp;'Ingest Template'!C959&amp;CHAR(10)&amp;'Ingest Template'!Y959
)</f>
        <v>#N/A</v>
      </c>
      <c r="X959" s="74" t="str">
        <f>'Ingest Template'!Z959</f>
        <v/>
      </c>
      <c r="Y959" s="35" t="str">
        <f>SUBSTITUTE(SUBSTITUTE(SUBSTITUTE('Ingest Template'!AA959,"http:",""),"https:",""),"/","")</f>
        <v/>
      </c>
      <c r="Z959" s="35" t="str">
        <f t="array" ref="Z959">IF('Ingest Template'!A959="Standard",(IF(ISBLANK('Ingest Template'!AB959),"", 'Ingest Template'!AB959&amp;"|DAR")),(IF(ISBLANK('Ingest Template'!AB959),"", 'Ingest Template'!AB959&amp;"|TV Ops")))</f>
        <v/>
      </c>
      <c r="AA959" s="35"/>
      <c r="AB959" s="35" t="str">
        <f>'Ingest Template'!R959</f>
        <v/>
      </c>
      <c r="AC959" s="35" t="str">
        <f>'Ingest Template'!T959</f>
        <v/>
      </c>
      <c r="AD959" s="35" t="str">
        <f>'Ingest Template'!S959</f>
        <v/>
      </c>
      <c r="AE959" s="35" t="str">
        <f>'Ingest Template'!U959</f>
        <v/>
      </c>
      <c r="AF959" s="22"/>
      <c r="AG959" s="35" t="str">
        <f t="array" ref="AG959">IF('Ingest Template'!A959="Standard",(CONCATENATE(IF(ISBLANK('Ingest Template'!N959),"", 'Ingest Template'!N959&amp;"|DAR"),CHAR(10), IF(ISBLANK('Ingest Template'!O959),"", 'Ingest Template'!O959&amp;"|DAR"),CHAR(10), IF(ISBLANK('Ingest Template'!P959),"", 'Ingest Template'!P959&amp;"|DAR"))),(CONCATENATE(IF(ISBLANK('Ingest Template'!N959),"", 'Ingest Template'!N959&amp;"|TV Ops"),CHAR(10), IF(ISBLANK('Ingest Template'!O959),"", 'Ingest Template'!O959&amp;"|TV Ops"),CHAR(10), IF(ISBLANK('Ingest Template'!P959),"", 'Ingest Template'!P959&amp;"|TV Ops"))))</f>
        <v>
</v>
      </c>
      <c r="AH959" s="35"/>
      <c r="AI959" s="35"/>
      <c r="AJ959" s="117" t="str">
        <f>if('Ingest Template'!A959="Standard",(IF(OR('Ingest Template'!F959 = "Program Type - Special", 'Ingest Template'!F959 = "Program Type - Live Event"),'Ingest Template'!M959&amp; "|DAR|DAR|"&amp;TEXT('Ingest Template'!C959-3, "yyyy-mm-dd")&amp;"|"&amp;TEXT('Ingest Template'!C959+3, "yyyy-mm-dd"),'Ingest Template'!M959&amp; "|DAR|DAR|2021-01-01")),(IF(OR('Ingest Template'!F959 = "Program Type - Special", 'Ingest Template'!F959 = "Program Type - Live Event"),'Ingest Template'!M959&amp; "|Operations - Core Title|Operations - Core Title|"&amp;TEXT('Ingest Template'!C959-3, "yyyy-mm-dd")&amp;"|"&amp;TEXT('Ingest Template'!C959+3, "yyyy-mm-dd"),'Ingest Template'!M959&amp; "|Operations - Core Title|Operations - Core Title")))</f>
        <v>|Operations - Core Title|Operations - Core Title</v>
      </c>
      <c r="AK959" s="35"/>
      <c r="AL959" s="117" t="str">
        <f>if('Ingest Template'!A959="Standard",(IF(OR('Ingest Template'!F959 = "Program Type - Special", 'Ingest Template'!F959 = "Program Type - Live Event"),'Ingest Template'!Q959&amp;"|"&amp;TEXT('Ingest Template'!C959-3, "yyyy-mm-dd")&amp;"|"&amp;TEXT('Ingest Template'!C959+3, "yyyy-mm-dd"),'Ingest Template'!Q959&amp; "|2021-01-01")),(IF(OR('Ingest Template'!F959 = "Program Type - Special", 'Ingest Template'!F959 = "Program Type - Live Event"),'Ingest Template'!Q959&amp; "|"&amp;TEXT('Ingest Template'!C959-3, "yyyy-mm-dd")&amp;"|"&amp;TEXT('Ingest Template'!C959+3, "yyyy-mm-dd"),'Ingest Template'!Q959)))</f>
        <v/>
      </c>
      <c r="AM959" s="35" t="str">
        <f>'Ingest Template'!AC959</f>
        <v/>
      </c>
    </row>
    <row r="960">
      <c r="A960" s="15"/>
      <c r="B960" s="22" t="str">
        <f>'Ingest Template'!C960&amp;IF('Ingest Template'!A960 = "Standard", " - DAR","")</f>
        <v/>
      </c>
      <c r="C960" s="22" t="s">
        <v>83</v>
      </c>
      <c r="D960" s="22" t="str">
        <f t="array" ref="D960">CONCATENATE(INDEX(DropdownLists!$H$2:$H$11,MATCH(1,COUNTIF('Ingest Template'!E960,"*"&amp;DropdownLists!$I$2:$I$11&amp;"*"),0)),CHAR(10),'Ingest Template'!F960,CHAR(10),'Ingest Template'!G960,CHAR(10),VLOOKUP('Ingest Template'!D960,DropdownLists!C:D,2,FALSE))</f>
        <v>#N/A</v>
      </c>
      <c r="E960" s="22" t="str">
        <f>CONCATENATE('Ingest Template'!H960,CHAR(10),'Ingest Template'!I960,CHAR(10),'Ingest Template'!J960,CHAR(10))</f>
        <v>
</v>
      </c>
      <c r="F960" s="35" t="str">
        <f t="array" ref="F960">INDEX(DropdownLists!$O$2:$O$36,MATCH(1,COUNTIF(E960,"*"&amp;DropdownLists!$N$2:$N$36&amp;"*"),0))</f>
        <v/>
      </c>
      <c r="G960" s="35"/>
      <c r="H960" s="22" t="str">
        <f t="array" ref="H960">INDEX(DropdownLists!$E$2:$E$276,MATCH('Ingest Template'!D960,DropdownLists!$C$2:$C$276,0))</f>
        <v>#N/A</v>
      </c>
      <c r="I960" s="22"/>
      <c r="J960" s="22" t="str">
        <f t="array" ref="J960">iF('Ingest Template'!A960="Standard","Pristine Brand",INDEX(DropdownLists!$B$2:$B$246,MATCH('Ingest Template'!D960,DropdownLists!$C$2:$C$246,0)))</f>
        <v>#N/A</v>
      </c>
      <c r="K960" s="22" t="str">
        <f>iF('Ingest Template'!A960="Standard",'Ingest Template'!K960&amp;CHAR(10)&amp;'Ingest Template'!L960,"Competitive View")</f>
        <v>Competitive View</v>
      </c>
      <c r="L960" s="22" t="s">
        <v>95</v>
      </c>
      <c r="M960" s="45" t="str">
        <f>'Ingest Template'!B960</f>
        <v/>
      </c>
      <c r="N960" s="35"/>
      <c r="O960" s="35"/>
      <c r="P960" s="35"/>
      <c r="Q960" s="35"/>
      <c r="R960" s="35" t="str">
        <f>'Ingest Template'!D960</f>
        <v/>
      </c>
      <c r="S960" s="22" t="s">
        <v>101</v>
      </c>
      <c r="T960" s="35" t="str">
        <f>'Ingest Template'!V960</f>
        <v/>
      </c>
      <c r="U960" s="35" t="str">
        <f>'Ingest Template'!W960</f>
        <v/>
      </c>
      <c r="V960" s="35" t="str">
        <f>LOWER(SUBSTITUTE(SUBSTITUTE(SUBSTITUTE(SUBSTITUTE(SUBSTITUTE('Ingest Template'!X960,"https:",""),"www.",""),"/",""),"?hl=en",""),"instagram.com",""))</f>
        <v/>
      </c>
      <c r="W960" s="74" t="str">
        <f t="array" ref="W960">IF(
'Ingest Template'!Y960="",
SUBSTITUTE(
INDEX(DropdownLists!$F$2:$F$277,MATCH('Ingest Template'!D960,DropdownLists!$C$2:$C$277,0)),
CHAR(10),
"|"&amp;'Ingest Template'!C960&amp;CHAR(10)
)&amp;"|"&amp;'Ingest Template'!C960,
SUBSTITUTE(
INDEX(DropdownLists!$F$2:$F$277,MATCH('Ingest Template'!D960,DropdownLists!$C$2:$C$277,0)),
CHAR(10),
"|"&amp;'Ingest Template'!C960&amp;CHAR(10)
)&amp;"|"&amp;'Ingest Template'!C960&amp;CHAR(10)&amp;'Ingest Template'!Y960
)</f>
        <v>#N/A</v>
      </c>
      <c r="X960" s="74" t="str">
        <f>'Ingest Template'!Z960</f>
        <v/>
      </c>
      <c r="Y960" s="35" t="str">
        <f>SUBSTITUTE(SUBSTITUTE(SUBSTITUTE('Ingest Template'!AA960,"http:",""),"https:",""),"/","")</f>
        <v/>
      </c>
      <c r="Z960" s="35" t="str">
        <f t="array" ref="Z960">IF('Ingest Template'!A960="Standard",(IF(ISBLANK('Ingest Template'!AB960),"", 'Ingest Template'!AB960&amp;"|DAR")),(IF(ISBLANK('Ingest Template'!AB960),"", 'Ingest Template'!AB960&amp;"|TV Ops")))</f>
        <v/>
      </c>
      <c r="AA960" s="35"/>
      <c r="AB960" s="35" t="str">
        <f>'Ingest Template'!R960</f>
        <v/>
      </c>
      <c r="AC960" s="35" t="str">
        <f>'Ingest Template'!T960</f>
        <v/>
      </c>
      <c r="AD960" s="35" t="str">
        <f>'Ingest Template'!S960</f>
        <v/>
      </c>
      <c r="AE960" s="35" t="str">
        <f>'Ingest Template'!U960</f>
        <v/>
      </c>
      <c r="AF960" s="22"/>
      <c r="AG960" s="35" t="str">
        <f t="array" ref="AG960">IF('Ingest Template'!A960="Standard",(CONCATENATE(IF(ISBLANK('Ingest Template'!N960),"", 'Ingest Template'!N960&amp;"|DAR"),CHAR(10), IF(ISBLANK('Ingest Template'!O960),"", 'Ingest Template'!O960&amp;"|DAR"),CHAR(10), IF(ISBLANK('Ingest Template'!P960),"", 'Ingest Template'!P960&amp;"|DAR"))),(CONCATENATE(IF(ISBLANK('Ingest Template'!N960),"", 'Ingest Template'!N960&amp;"|TV Ops"),CHAR(10), IF(ISBLANK('Ingest Template'!O960),"", 'Ingest Template'!O960&amp;"|TV Ops"),CHAR(10), IF(ISBLANK('Ingest Template'!P960),"", 'Ingest Template'!P960&amp;"|TV Ops"))))</f>
        <v>
</v>
      </c>
      <c r="AH960" s="35"/>
      <c r="AI960" s="35"/>
      <c r="AJ960" s="117" t="str">
        <f>if('Ingest Template'!A960="Standard",(IF(OR('Ingest Template'!F960 = "Program Type - Special", 'Ingest Template'!F960 = "Program Type - Live Event"),'Ingest Template'!M960&amp; "|DAR|DAR|"&amp;TEXT('Ingest Template'!C960-3, "yyyy-mm-dd")&amp;"|"&amp;TEXT('Ingest Template'!C960+3, "yyyy-mm-dd"),'Ingest Template'!M960&amp; "|DAR|DAR|2021-01-01")),(IF(OR('Ingest Template'!F960 = "Program Type - Special", 'Ingest Template'!F960 = "Program Type - Live Event"),'Ingest Template'!M960&amp; "|Operations - Core Title|Operations - Core Title|"&amp;TEXT('Ingest Template'!C960-3, "yyyy-mm-dd")&amp;"|"&amp;TEXT('Ingest Template'!C960+3, "yyyy-mm-dd"),'Ingest Template'!M960&amp; "|Operations - Core Title|Operations - Core Title")))</f>
        <v>|Operations - Core Title|Operations - Core Title</v>
      </c>
      <c r="AK960" s="35"/>
      <c r="AL960" s="117" t="str">
        <f>if('Ingest Template'!A960="Standard",(IF(OR('Ingest Template'!F960 = "Program Type - Special", 'Ingest Template'!F960 = "Program Type - Live Event"),'Ingest Template'!Q960&amp;"|"&amp;TEXT('Ingest Template'!C960-3, "yyyy-mm-dd")&amp;"|"&amp;TEXT('Ingest Template'!C960+3, "yyyy-mm-dd"),'Ingest Template'!Q960&amp; "|2021-01-01")),(IF(OR('Ingest Template'!F960 = "Program Type - Special", 'Ingest Template'!F960 = "Program Type - Live Event"),'Ingest Template'!Q960&amp; "|"&amp;TEXT('Ingest Template'!C960-3, "yyyy-mm-dd")&amp;"|"&amp;TEXT('Ingest Template'!C960+3, "yyyy-mm-dd"),'Ingest Template'!Q960)))</f>
        <v/>
      </c>
      <c r="AM960" s="35" t="str">
        <f>'Ingest Template'!AC960</f>
        <v/>
      </c>
    </row>
    <row r="961">
      <c r="A961" s="15"/>
      <c r="B961" s="22" t="str">
        <f>'Ingest Template'!C961&amp;IF('Ingest Template'!A961 = "Standard", " - DAR","")</f>
        <v/>
      </c>
      <c r="C961" s="22" t="s">
        <v>83</v>
      </c>
      <c r="D961" s="22" t="str">
        <f t="array" ref="D961">CONCATENATE(INDEX(DropdownLists!$H$2:$H$11,MATCH(1,COUNTIF('Ingest Template'!E961,"*"&amp;DropdownLists!$I$2:$I$11&amp;"*"),0)),CHAR(10),'Ingest Template'!F961,CHAR(10),'Ingest Template'!G961,CHAR(10),VLOOKUP('Ingest Template'!D961,DropdownLists!C:D,2,FALSE))</f>
        <v>#N/A</v>
      </c>
      <c r="E961" s="22" t="str">
        <f>CONCATENATE('Ingest Template'!H961,CHAR(10),'Ingest Template'!I961,CHAR(10),'Ingest Template'!J961,CHAR(10))</f>
        <v>
</v>
      </c>
      <c r="F961" s="35" t="str">
        <f t="array" ref="F961">INDEX(DropdownLists!$O$2:$O$36,MATCH(1,COUNTIF(E961,"*"&amp;DropdownLists!$N$2:$N$36&amp;"*"),0))</f>
        <v/>
      </c>
      <c r="G961" s="35"/>
      <c r="H961" s="22" t="str">
        <f t="array" ref="H961">INDEX(DropdownLists!$E$2:$E$276,MATCH('Ingest Template'!D961,DropdownLists!$C$2:$C$276,0))</f>
        <v>#N/A</v>
      </c>
      <c r="I961" s="22"/>
      <c r="J961" s="22" t="str">
        <f t="array" ref="J961">iF('Ingest Template'!A961="Standard","Pristine Brand",INDEX(DropdownLists!$B$2:$B$246,MATCH('Ingest Template'!D961,DropdownLists!$C$2:$C$246,0)))</f>
        <v>#N/A</v>
      </c>
      <c r="K961" s="22" t="str">
        <f>iF('Ingest Template'!A961="Standard",'Ingest Template'!K961&amp;CHAR(10)&amp;'Ingest Template'!L961,"Competitive View")</f>
        <v>Competitive View</v>
      </c>
      <c r="L961" s="22" t="s">
        <v>95</v>
      </c>
      <c r="M961" s="45" t="str">
        <f>'Ingest Template'!B961</f>
        <v/>
      </c>
      <c r="N961" s="35"/>
      <c r="O961" s="35"/>
      <c r="P961" s="35"/>
      <c r="Q961" s="35"/>
      <c r="R961" s="35" t="str">
        <f>'Ingest Template'!D961</f>
        <v/>
      </c>
      <c r="S961" s="22" t="s">
        <v>101</v>
      </c>
      <c r="T961" s="35" t="str">
        <f>'Ingest Template'!V961</f>
        <v/>
      </c>
      <c r="U961" s="35" t="str">
        <f>'Ingest Template'!W961</f>
        <v/>
      </c>
      <c r="V961" s="35" t="str">
        <f>LOWER(SUBSTITUTE(SUBSTITUTE(SUBSTITUTE(SUBSTITUTE(SUBSTITUTE('Ingest Template'!X961,"https:",""),"www.",""),"/",""),"?hl=en",""),"instagram.com",""))</f>
        <v/>
      </c>
      <c r="W961" s="74" t="str">
        <f t="array" ref="W961">IF(
'Ingest Template'!Y961="",
SUBSTITUTE(
INDEX(DropdownLists!$F$2:$F$277,MATCH('Ingest Template'!D961,DropdownLists!$C$2:$C$277,0)),
CHAR(10),
"|"&amp;'Ingest Template'!C961&amp;CHAR(10)
)&amp;"|"&amp;'Ingest Template'!C961,
SUBSTITUTE(
INDEX(DropdownLists!$F$2:$F$277,MATCH('Ingest Template'!D961,DropdownLists!$C$2:$C$277,0)),
CHAR(10),
"|"&amp;'Ingest Template'!C961&amp;CHAR(10)
)&amp;"|"&amp;'Ingest Template'!C961&amp;CHAR(10)&amp;'Ingest Template'!Y961
)</f>
        <v>#N/A</v>
      </c>
      <c r="X961" s="74" t="str">
        <f>'Ingest Template'!Z961</f>
        <v/>
      </c>
      <c r="Y961" s="35" t="str">
        <f>SUBSTITUTE(SUBSTITUTE(SUBSTITUTE('Ingest Template'!AA961,"http:",""),"https:",""),"/","")</f>
        <v/>
      </c>
      <c r="Z961" s="35" t="str">
        <f t="array" ref="Z961">IF('Ingest Template'!A961="Standard",(IF(ISBLANK('Ingest Template'!AB961),"", 'Ingest Template'!AB961&amp;"|DAR")),(IF(ISBLANK('Ingest Template'!AB961),"", 'Ingest Template'!AB961&amp;"|TV Ops")))</f>
        <v/>
      </c>
      <c r="AA961" s="35"/>
      <c r="AB961" s="35" t="str">
        <f>'Ingest Template'!R961</f>
        <v/>
      </c>
      <c r="AC961" s="35" t="str">
        <f>'Ingest Template'!T961</f>
        <v/>
      </c>
      <c r="AD961" s="35" t="str">
        <f>'Ingest Template'!S961</f>
        <v/>
      </c>
      <c r="AE961" s="35" t="str">
        <f>'Ingest Template'!U961</f>
        <v/>
      </c>
      <c r="AF961" s="22"/>
      <c r="AG961" s="35" t="str">
        <f t="array" ref="AG961">IF('Ingest Template'!A961="Standard",(CONCATENATE(IF(ISBLANK('Ingest Template'!N961),"", 'Ingest Template'!N961&amp;"|DAR"),CHAR(10), IF(ISBLANK('Ingest Template'!O961),"", 'Ingest Template'!O961&amp;"|DAR"),CHAR(10), IF(ISBLANK('Ingest Template'!P961),"", 'Ingest Template'!P961&amp;"|DAR"))),(CONCATENATE(IF(ISBLANK('Ingest Template'!N961),"", 'Ingest Template'!N961&amp;"|TV Ops"),CHAR(10), IF(ISBLANK('Ingest Template'!O961),"", 'Ingest Template'!O961&amp;"|TV Ops"),CHAR(10), IF(ISBLANK('Ingest Template'!P961),"", 'Ingest Template'!P961&amp;"|TV Ops"))))</f>
        <v>
</v>
      </c>
      <c r="AH961" s="35"/>
      <c r="AI961" s="35"/>
      <c r="AJ961" s="117" t="str">
        <f>if('Ingest Template'!A961="Standard",(IF(OR('Ingest Template'!F961 = "Program Type - Special", 'Ingest Template'!F961 = "Program Type - Live Event"),'Ingest Template'!M961&amp; "|DAR|DAR|"&amp;TEXT('Ingest Template'!C961-3, "yyyy-mm-dd")&amp;"|"&amp;TEXT('Ingest Template'!C961+3, "yyyy-mm-dd"),'Ingest Template'!M961&amp; "|DAR|DAR|2021-01-01")),(IF(OR('Ingest Template'!F961 = "Program Type - Special", 'Ingest Template'!F961 = "Program Type - Live Event"),'Ingest Template'!M961&amp; "|Operations - Core Title|Operations - Core Title|"&amp;TEXT('Ingest Template'!C961-3, "yyyy-mm-dd")&amp;"|"&amp;TEXT('Ingest Template'!C961+3, "yyyy-mm-dd"),'Ingest Template'!M961&amp; "|Operations - Core Title|Operations - Core Title")))</f>
        <v>|Operations - Core Title|Operations - Core Title</v>
      </c>
      <c r="AK961" s="35"/>
      <c r="AL961" s="117" t="str">
        <f>if('Ingest Template'!A961="Standard",(IF(OR('Ingest Template'!F961 = "Program Type - Special", 'Ingest Template'!F961 = "Program Type - Live Event"),'Ingest Template'!Q961&amp;"|"&amp;TEXT('Ingest Template'!C961-3, "yyyy-mm-dd")&amp;"|"&amp;TEXT('Ingest Template'!C961+3, "yyyy-mm-dd"),'Ingest Template'!Q961&amp; "|2021-01-01")),(IF(OR('Ingest Template'!F961 = "Program Type - Special", 'Ingest Template'!F961 = "Program Type - Live Event"),'Ingest Template'!Q961&amp; "|"&amp;TEXT('Ingest Template'!C961-3, "yyyy-mm-dd")&amp;"|"&amp;TEXT('Ingest Template'!C961+3, "yyyy-mm-dd"),'Ingest Template'!Q961)))</f>
        <v/>
      </c>
      <c r="AM961" s="35" t="str">
        <f>'Ingest Template'!AC961</f>
        <v/>
      </c>
    </row>
    <row r="962">
      <c r="A962" s="15"/>
      <c r="B962" s="22" t="str">
        <f>'Ingest Template'!C962&amp;IF('Ingest Template'!A962 = "Standard", " - DAR","")</f>
        <v/>
      </c>
      <c r="C962" s="22" t="s">
        <v>83</v>
      </c>
      <c r="D962" s="22" t="str">
        <f t="array" ref="D962">CONCATENATE(INDEX(DropdownLists!$H$2:$H$11,MATCH(1,COUNTIF('Ingest Template'!E962,"*"&amp;DropdownLists!$I$2:$I$11&amp;"*"),0)),CHAR(10),'Ingest Template'!F962,CHAR(10),'Ingest Template'!G962,CHAR(10),VLOOKUP('Ingest Template'!D962,DropdownLists!C:D,2,FALSE))</f>
        <v>#N/A</v>
      </c>
      <c r="E962" s="22" t="str">
        <f>CONCATENATE('Ingest Template'!H962,CHAR(10),'Ingest Template'!I962,CHAR(10),'Ingest Template'!J962,CHAR(10))</f>
        <v>
</v>
      </c>
      <c r="F962" s="35" t="str">
        <f t="array" ref="F962">INDEX(DropdownLists!$O$2:$O$36,MATCH(1,COUNTIF(E962,"*"&amp;DropdownLists!$N$2:$N$36&amp;"*"),0))</f>
        <v/>
      </c>
      <c r="G962" s="35"/>
      <c r="H962" s="22" t="str">
        <f t="array" ref="H962">INDEX(DropdownLists!$E$2:$E$276,MATCH('Ingest Template'!D962,DropdownLists!$C$2:$C$276,0))</f>
        <v>#N/A</v>
      </c>
      <c r="I962" s="22"/>
      <c r="J962" s="22" t="str">
        <f t="array" ref="J962">iF('Ingest Template'!A962="Standard","Pristine Brand",INDEX(DropdownLists!$B$2:$B$246,MATCH('Ingest Template'!D962,DropdownLists!$C$2:$C$246,0)))</f>
        <v>#N/A</v>
      </c>
      <c r="K962" s="22" t="str">
        <f>iF('Ingest Template'!A962="Standard",'Ingest Template'!K962&amp;CHAR(10)&amp;'Ingest Template'!L962,"Competitive View")</f>
        <v>Competitive View</v>
      </c>
      <c r="L962" s="22" t="s">
        <v>95</v>
      </c>
      <c r="M962" s="45" t="str">
        <f>'Ingest Template'!B962</f>
        <v/>
      </c>
      <c r="N962" s="35"/>
      <c r="O962" s="35"/>
      <c r="P962" s="35"/>
      <c r="Q962" s="35"/>
      <c r="R962" s="35" t="str">
        <f>'Ingest Template'!D962</f>
        <v/>
      </c>
      <c r="S962" s="22" t="s">
        <v>101</v>
      </c>
      <c r="T962" s="35" t="str">
        <f>'Ingest Template'!V962</f>
        <v/>
      </c>
      <c r="U962" s="35" t="str">
        <f>'Ingest Template'!W962</f>
        <v/>
      </c>
      <c r="V962" s="35" t="str">
        <f>LOWER(SUBSTITUTE(SUBSTITUTE(SUBSTITUTE(SUBSTITUTE(SUBSTITUTE('Ingest Template'!X962,"https:",""),"www.",""),"/",""),"?hl=en",""),"instagram.com",""))</f>
        <v/>
      </c>
      <c r="W962" s="74" t="str">
        <f t="array" ref="W962">IF(
'Ingest Template'!Y962="",
SUBSTITUTE(
INDEX(DropdownLists!$F$2:$F$277,MATCH('Ingest Template'!D962,DropdownLists!$C$2:$C$277,0)),
CHAR(10),
"|"&amp;'Ingest Template'!C962&amp;CHAR(10)
)&amp;"|"&amp;'Ingest Template'!C962,
SUBSTITUTE(
INDEX(DropdownLists!$F$2:$F$277,MATCH('Ingest Template'!D962,DropdownLists!$C$2:$C$277,0)),
CHAR(10),
"|"&amp;'Ingest Template'!C962&amp;CHAR(10)
)&amp;"|"&amp;'Ingest Template'!C962&amp;CHAR(10)&amp;'Ingest Template'!Y962
)</f>
        <v>#N/A</v>
      </c>
      <c r="X962" s="74" t="str">
        <f>'Ingest Template'!Z962</f>
        <v/>
      </c>
      <c r="Y962" s="35" t="str">
        <f>SUBSTITUTE(SUBSTITUTE(SUBSTITUTE('Ingest Template'!AA962,"http:",""),"https:",""),"/","")</f>
        <v/>
      </c>
      <c r="Z962" s="35" t="str">
        <f t="array" ref="Z962">IF('Ingest Template'!A962="Standard",(IF(ISBLANK('Ingest Template'!AB962),"", 'Ingest Template'!AB962&amp;"|DAR")),(IF(ISBLANK('Ingest Template'!AB962),"", 'Ingest Template'!AB962&amp;"|TV Ops")))</f>
        <v/>
      </c>
      <c r="AA962" s="35"/>
      <c r="AB962" s="35" t="str">
        <f>'Ingest Template'!R962</f>
        <v/>
      </c>
      <c r="AC962" s="35" t="str">
        <f>'Ingest Template'!T962</f>
        <v/>
      </c>
      <c r="AD962" s="35" t="str">
        <f>'Ingest Template'!S962</f>
        <v/>
      </c>
      <c r="AE962" s="35" t="str">
        <f>'Ingest Template'!U962</f>
        <v/>
      </c>
      <c r="AF962" s="22"/>
      <c r="AG962" s="35" t="str">
        <f t="array" ref="AG962">IF('Ingest Template'!A962="Standard",(CONCATENATE(IF(ISBLANK('Ingest Template'!N962),"", 'Ingest Template'!N962&amp;"|DAR"),CHAR(10), IF(ISBLANK('Ingest Template'!O962),"", 'Ingest Template'!O962&amp;"|DAR"),CHAR(10), IF(ISBLANK('Ingest Template'!P962),"", 'Ingest Template'!P962&amp;"|DAR"))),(CONCATENATE(IF(ISBLANK('Ingest Template'!N962),"", 'Ingest Template'!N962&amp;"|TV Ops"),CHAR(10), IF(ISBLANK('Ingest Template'!O962),"", 'Ingest Template'!O962&amp;"|TV Ops"),CHAR(10), IF(ISBLANK('Ingest Template'!P962),"", 'Ingest Template'!P962&amp;"|TV Ops"))))</f>
        <v>
</v>
      </c>
      <c r="AH962" s="35"/>
      <c r="AI962" s="35"/>
      <c r="AJ962" s="117" t="str">
        <f>if('Ingest Template'!A962="Standard",(IF(OR('Ingest Template'!F962 = "Program Type - Special", 'Ingest Template'!F962 = "Program Type - Live Event"),'Ingest Template'!M962&amp; "|DAR|DAR|"&amp;TEXT('Ingest Template'!C962-3, "yyyy-mm-dd")&amp;"|"&amp;TEXT('Ingest Template'!C962+3, "yyyy-mm-dd"),'Ingest Template'!M962&amp; "|DAR|DAR|2021-01-01")),(IF(OR('Ingest Template'!F962 = "Program Type - Special", 'Ingest Template'!F962 = "Program Type - Live Event"),'Ingest Template'!M962&amp; "|Operations - Core Title|Operations - Core Title|"&amp;TEXT('Ingest Template'!C962-3, "yyyy-mm-dd")&amp;"|"&amp;TEXT('Ingest Template'!C962+3, "yyyy-mm-dd"),'Ingest Template'!M962&amp; "|Operations - Core Title|Operations - Core Title")))</f>
        <v>|Operations - Core Title|Operations - Core Title</v>
      </c>
      <c r="AK962" s="35"/>
      <c r="AL962" s="117" t="str">
        <f>if('Ingest Template'!A962="Standard",(IF(OR('Ingest Template'!F962 = "Program Type - Special", 'Ingest Template'!F962 = "Program Type - Live Event"),'Ingest Template'!Q962&amp;"|"&amp;TEXT('Ingest Template'!C962-3, "yyyy-mm-dd")&amp;"|"&amp;TEXT('Ingest Template'!C962+3, "yyyy-mm-dd"),'Ingest Template'!Q962&amp; "|2021-01-01")),(IF(OR('Ingest Template'!F962 = "Program Type - Special", 'Ingest Template'!F962 = "Program Type - Live Event"),'Ingest Template'!Q962&amp; "|"&amp;TEXT('Ingest Template'!C962-3, "yyyy-mm-dd")&amp;"|"&amp;TEXT('Ingest Template'!C962+3, "yyyy-mm-dd"),'Ingest Template'!Q962)))</f>
        <v/>
      </c>
      <c r="AM962" s="35" t="str">
        <f>'Ingest Template'!AC962</f>
        <v/>
      </c>
    </row>
    <row r="963">
      <c r="A963" s="15"/>
      <c r="B963" s="22" t="str">
        <f>'Ingest Template'!C963&amp;IF('Ingest Template'!A963 = "Standard", " - DAR","")</f>
        <v/>
      </c>
      <c r="C963" s="22" t="s">
        <v>83</v>
      </c>
      <c r="D963" s="22" t="str">
        <f t="array" ref="D963">CONCATENATE(INDEX(DropdownLists!$H$2:$H$11,MATCH(1,COUNTIF('Ingest Template'!E963,"*"&amp;DropdownLists!$I$2:$I$11&amp;"*"),0)),CHAR(10),'Ingest Template'!F963,CHAR(10),'Ingest Template'!G963,CHAR(10),VLOOKUP('Ingest Template'!D963,DropdownLists!C:D,2,FALSE))</f>
        <v>#N/A</v>
      </c>
      <c r="E963" s="22" t="str">
        <f>CONCATENATE('Ingest Template'!H963,CHAR(10),'Ingest Template'!I963,CHAR(10),'Ingest Template'!J963,CHAR(10))</f>
        <v>
</v>
      </c>
      <c r="F963" s="35" t="str">
        <f t="array" ref="F963">INDEX(DropdownLists!$O$2:$O$36,MATCH(1,COUNTIF(E963,"*"&amp;DropdownLists!$N$2:$N$36&amp;"*"),0))</f>
        <v/>
      </c>
      <c r="G963" s="35"/>
      <c r="H963" s="22" t="str">
        <f t="array" ref="H963">INDEX(DropdownLists!$E$2:$E$276,MATCH('Ingest Template'!D963,DropdownLists!$C$2:$C$276,0))</f>
        <v>#N/A</v>
      </c>
      <c r="I963" s="22"/>
      <c r="J963" s="22" t="str">
        <f t="array" ref="J963">iF('Ingest Template'!A963="Standard","Pristine Brand",INDEX(DropdownLists!$B$2:$B$246,MATCH('Ingest Template'!D963,DropdownLists!$C$2:$C$246,0)))</f>
        <v>#N/A</v>
      </c>
      <c r="K963" s="22" t="str">
        <f>iF('Ingest Template'!A963="Standard",'Ingest Template'!K963&amp;CHAR(10)&amp;'Ingest Template'!L963,"Competitive View")</f>
        <v>Competitive View</v>
      </c>
      <c r="L963" s="22" t="s">
        <v>95</v>
      </c>
      <c r="M963" s="45" t="str">
        <f>'Ingest Template'!B963</f>
        <v/>
      </c>
      <c r="N963" s="35"/>
      <c r="O963" s="35"/>
      <c r="P963" s="35"/>
      <c r="Q963" s="35"/>
      <c r="R963" s="35" t="str">
        <f>'Ingest Template'!D963</f>
        <v/>
      </c>
      <c r="S963" s="22" t="s">
        <v>101</v>
      </c>
      <c r="T963" s="35" t="str">
        <f>'Ingest Template'!V963</f>
        <v/>
      </c>
      <c r="U963" s="35" t="str">
        <f>'Ingest Template'!W963</f>
        <v/>
      </c>
      <c r="V963" s="35" t="str">
        <f>LOWER(SUBSTITUTE(SUBSTITUTE(SUBSTITUTE(SUBSTITUTE(SUBSTITUTE('Ingest Template'!X963,"https:",""),"www.",""),"/",""),"?hl=en",""),"instagram.com",""))</f>
        <v/>
      </c>
      <c r="W963" s="74" t="str">
        <f t="array" ref="W963">IF(
'Ingest Template'!Y963="",
SUBSTITUTE(
INDEX(DropdownLists!$F$2:$F$277,MATCH('Ingest Template'!D963,DropdownLists!$C$2:$C$277,0)),
CHAR(10),
"|"&amp;'Ingest Template'!C963&amp;CHAR(10)
)&amp;"|"&amp;'Ingest Template'!C963,
SUBSTITUTE(
INDEX(DropdownLists!$F$2:$F$277,MATCH('Ingest Template'!D963,DropdownLists!$C$2:$C$277,0)),
CHAR(10),
"|"&amp;'Ingest Template'!C963&amp;CHAR(10)
)&amp;"|"&amp;'Ingest Template'!C963&amp;CHAR(10)&amp;'Ingest Template'!Y963
)</f>
        <v>#N/A</v>
      </c>
      <c r="X963" s="74" t="str">
        <f>'Ingest Template'!Z963</f>
        <v/>
      </c>
      <c r="Y963" s="35" t="str">
        <f>SUBSTITUTE(SUBSTITUTE(SUBSTITUTE('Ingest Template'!AA963,"http:",""),"https:",""),"/","")</f>
        <v/>
      </c>
      <c r="Z963" s="35" t="str">
        <f t="array" ref="Z963">IF('Ingest Template'!A963="Standard",(IF(ISBLANK('Ingest Template'!AB963),"", 'Ingest Template'!AB963&amp;"|DAR")),(IF(ISBLANK('Ingest Template'!AB963),"", 'Ingest Template'!AB963&amp;"|TV Ops")))</f>
        <v/>
      </c>
      <c r="AA963" s="35"/>
      <c r="AB963" s="35" t="str">
        <f>'Ingest Template'!R963</f>
        <v/>
      </c>
      <c r="AC963" s="35" t="str">
        <f>'Ingest Template'!T963</f>
        <v/>
      </c>
      <c r="AD963" s="35" t="str">
        <f>'Ingest Template'!S963</f>
        <v/>
      </c>
      <c r="AE963" s="35" t="str">
        <f>'Ingest Template'!U963</f>
        <v/>
      </c>
      <c r="AF963" s="22"/>
      <c r="AG963" s="35" t="str">
        <f t="array" ref="AG963">IF('Ingest Template'!A963="Standard",(CONCATENATE(IF(ISBLANK('Ingest Template'!N963),"", 'Ingest Template'!N963&amp;"|DAR"),CHAR(10), IF(ISBLANK('Ingest Template'!O963),"", 'Ingest Template'!O963&amp;"|DAR"),CHAR(10), IF(ISBLANK('Ingest Template'!P963),"", 'Ingest Template'!P963&amp;"|DAR"))),(CONCATENATE(IF(ISBLANK('Ingest Template'!N963),"", 'Ingest Template'!N963&amp;"|TV Ops"),CHAR(10), IF(ISBLANK('Ingest Template'!O963),"", 'Ingest Template'!O963&amp;"|TV Ops"),CHAR(10), IF(ISBLANK('Ingest Template'!P963),"", 'Ingest Template'!P963&amp;"|TV Ops"))))</f>
        <v>
</v>
      </c>
      <c r="AH963" s="35"/>
      <c r="AI963" s="35"/>
      <c r="AJ963" s="117" t="str">
        <f>if('Ingest Template'!A963="Standard",(IF(OR('Ingest Template'!F963 = "Program Type - Special", 'Ingest Template'!F963 = "Program Type - Live Event"),'Ingest Template'!M963&amp; "|DAR|DAR|"&amp;TEXT('Ingest Template'!C963-3, "yyyy-mm-dd")&amp;"|"&amp;TEXT('Ingest Template'!C963+3, "yyyy-mm-dd"),'Ingest Template'!M963&amp; "|DAR|DAR|2021-01-01")),(IF(OR('Ingest Template'!F963 = "Program Type - Special", 'Ingest Template'!F963 = "Program Type - Live Event"),'Ingest Template'!M963&amp; "|Operations - Core Title|Operations - Core Title|"&amp;TEXT('Ingest Template'!C963-3, "yyyy-mm-dd")&amp;"|"&amp;TEXT('Ingest Template'!C963+3, "yyyy-mm-dd"),'Ingest Template'!M963&amp; "|Operations - Core Title|Operations - Core Title")))</f>
        <v>|Operations - Core Title|Operations - Core Title</v>
      </c>
      <c r="AK963" s="35"/>
      <c r="AL963" s="117" t="str">
        <f>if('Ingest Template'!A963="Standard",(IF(OR('Ingest Template'!F963 = "Program Type - Special", 'Ingest Template'!F963 = "Program Type - Live Event"),'Ingest Template'!Q963&amp;"|"&amp;TEXT('Ingest Template'!C963-3, "yyyy-mm-dd")&amp;"|"&amp;TEXT('Ingest Template'!C963+3, "yyyy-mm-dd"),'Ingest Template'!Q963&amp; "|2021-01-01")),(IF(OR('Ingest Template'!F963 = "Program Type - Special", 'Ingest Template'!F963 = "Program Type - Live Event"),'Ingest Template'!Q963&amp; "|"&amp;TEXT('Ingest Template'!C963-3, "yyyy-mm-dd")&amp;"|"&amp;TEXT('Ingest Template'!C963+3, "yyyy-mm-dd"),'Ingest Template'!Q963)))</f>
        <v/>
      </c>
      <c r="AM963" s="35" t="str">
        <f>'Ingest Template'!AC963</f>
        <v/>
      </c>
    </row>
    <row r="964">
      <c r="A964" s="15"/>
      <c r="B964" s="22" t="str">
        <f>'Ingest Template'!C964&amp;IF('Ingest Template'!A964 = "Standard", " - DAR","")</f>
        <v/>
      </c>
      <c r="C964" s="22" t="s">
        <v>83</v>
      </c>
      <c r="D964" s="22" t="str">
        <f t="array" ref="D964">CONCATENATE(INDEX(DropdownLists!$H$2:$H$11,MATCH(1,COUNTIF('Ingest Template'!E964,"*"&amp;DropdownLists!$I$2:$I$11&amp;"*"),0)),CHAR(10),'Ingest Template'!F964,CHAR(10),'Ingest Template'!G964,CHAR(10),VLOOKUP('Ingest Template'!D964,DropdownLists!C:D,2,FALSE))</f>
        <v>#N/A</v>
      </c>
      <c r="E964" s="22" t="str">
        <f>CONCATENATE('Ingest Template'!H964,CHAR(10),'Ingest Template'!I964,CHAR(10),'Ingest Template'!J964,CHAR(10))</f>
        <v>
</v>
      </c>
      <c r="F964" s="35" t="str">
        <f t="array" ref="F964">INDEX(DropdownLists!$O$2:$O$36,MATCH(1,COUNTIF(E964,"*"&amp;DropdownLists!$N$2:$N$36&amp;"*"),0))</f>
        <v/>
      </c>
      <c r="G964" s="35"/>
      <c r="H964" s="22" t="str">
        <f t="array" ref="H964">INDEX(DropdownLists!$E$2:$E$276,MATCH('Ingest Template'!D964,DropdownLists!$C$2:$C$276,0))</f>
        <v>#N/A</v>
      </c>
      <c r="I964" s="22"/>
      <c r="J964" s="22" t="str">
        <f t="array" ref="J964">iF('Ingest Template'!A964="Standard","Pristine Brand",INDEX(DropdownLists!$B$2:$B$246,MATCH('Ingest Template'!D964,DropdownLists!$C$2:$C$246,0)))</f>
        <v>#N/A</v>
      </c>
      <c r="K964" s="22" t="str">
        <f>iF('Ingest Template'!A964="Standard",'Ingest Template'!K964&amp;CHAR(10)&amp;'Ingest Template'!L964,"Competitive View")</f>
        <v>Competitive View</v>
      </c>
      <c r="L964" s="22" t="s">
        <v>95</v>
      </c>
      <c r="M964" s="45" t="str">
        <f>'Ingest Template'!B964</f>
        <v/>
      </c>
      <c r="N964" s="35"/>
      <c r="O964" s="35"/>
      <c r="P964" s="35"/>
      <c r="Q964" s="35"/>
      <c r="R964" s="35" t="str">
        <f>'Ingest Template'!D964</f>
        <v/>
      </c>
      <c r="S964" s="22" t="s">
        <v>101</v>
      </c>
      <c r="T964" s="35" t="str">
        <f>'Ingest Template'!V964</f>
        <v/>
      </c>
      <c r="U964" s="35" t="str">
        <f>'Ingest Template'!W964</f>
        <v/>
      </c>
      <c r="V964" s="35" t="str">
        <f>LOWER(SUBSTITUTE(SUBSTITUTE(SUBSTITUTE(SUBSTITUTE(SUBSTITUTE('Ingest Template'!X964,"https:",""),"www.",""),"/",""),"?hl=en",""),"instagram.com",""))</f>
        <v/>
      </c>
      <c r="W964" s="74" t="str">
        <f t="array" ref="W964">IF(
'Ingest Template'!Y964="",
SUBSTITUTE(
INDEX(DropdownLists!$F$2:$F$277,MATCH('Ingest Template'!D964,DropdownLists!$C$2:$C$277,0)),
CHAR(10),
"|"&amp;'Ingest Template'!C964&amp;CHAR(10)
)&amp;"|"&amp;'Ingest Template'!C964,
SUBSTITUTE(
INDEX(DropdownLists!$F$2:$F$277,MATCH('Ingest Template'!D964,DropdownLists!$C$2:$C$277,0)),
CHAR(10),
"|"&amp;'Ingest Template'!C964&amp;CHAR(10)
)&amp;"|"&amp;'Ingest Template'!C964&amp;CHAR(10)&amp;'Ingest Template'!Y964
)</f>
        <v>#N/A</v>
      </c>
      <c r="X964" s="74" t="str">
        <f>'Ingest Template'!Z964</f>
        <v/>
      </c>
      <c r="Y964" s="35" t="str">
        <f>SUBSTITUTE(SUBSTITUTE(SUBSTITUTE('Ingest Template'!AA964,"http:",""),"https:",""),"/","")</f>
        <v/>
      </c>
      <c r="Z964" s="35" t="str">
        <f t="array" ref="Z964">IF('Ingest Template'!A964="Standard",(IF(ISBLANK('Ingest Template'!AB964),"", 'Ingest Template'!AB964&amp;"|DAR")),(IF(ISBLANK('Ingest Template'!AB964),"", 'Ingest Template'!AB964&amp;"|TV Ops")))</f>
        <v/>
      </c>
      <c r="AA964" s="35"/>
      <c r="AB964" s="35" t="str">
        <f>'Ingest Template'!R964</f>
        <v/>
      </c>
      <c r="AC964" s="35" t="str">
        <f>'Ingest Template'!T964</f>
        <v/>
      </c>
      <c r="AD964" s="35" t="str">
        <f>'Ingest Template'!S964</f>
        <v/>
      </c>
      <c r="AE964" s="35" t="str">
        <f>'Ingest Template'!U964</f>
        <v/>
      </c>
      <c r="AF964" s="22"/>
      <c r="AG964" s="35" t="str">
        <f t="array" ref="AG964">IF('Ingest Template'!A964="Standard",(CONCATENATE(IF(ISBLANK('Ingest Template'!N964),"", 'Ingest Template'!N964&amp;"|DAR"),CHAR(10), IF(ISBLANK('Ingest Template'!O964),"", 'Ingest Template'!O964&amp;"|DAR"),CHAR(10), IF(ISBLANK('Ingest Template'!P964),"", 'Ingest Template'!P964&amp;"|DAR"))),(CONCATENATE(IF(ISBLANK('Ingest Template'!N964),"", 'Ingest Template'!N964&amp;"|TV Ops"),CHAR(10), IF(ISBLANK('Ingest Template'!O964),"", 'Ingest Template'!O964&amp;"|TV Ops"),CHAR(10), IF(ISBLANK('Ingest Template'!P964),"", 'Ingest Template'!P964&amp;"|TV Ops"))))</f>
        <v>
</v>
      </c>
      <c r="AH964" s="35"/>
      <c r="AI964" s="35"/>
      <c r="AJ964" s="117" t="str">
        <f>if('Ingest Template'!A964="Standard",(IF(OR('Ingest Template'!F964 = "Program Type - Special", 'Ingest Template'!F964 = "Program Type - Live Event"),'Ingest Template'!M964&amp; "|DAR|DAR|"&amp;TEXT('Ingest Template'!C964-3, "yyyy-mm-dd")&amp;"|"&amp;TEXT('Ingest Template'!C964+3, "yyyy-mm-dd"),'Ingest Template'!M964&amp; "|DAR|DAR|2021-01-01")),(IF(OR('Ingest Template'!F964 = "Program Type - Special", 'Ingest Template'!F964 = "Program Type - Live Event"),'Ingest Template'!M964&amp; "|Operations - Core Title|Operations - Core Title|"&amp;TEXT('Ingest Template'!C964-3, "yyyy-mm-dd")&amp;"|"&amp;TEXT('Ingest Template'!C964+3, "yyyy-mm-dd"),'Ingest Template'!M964&amp; "|Operations - Core Title|Operations - Core Title")))</f>
        <v>|Operations - Core Title|Operations - Core Title</v>
      </c>
      <c r="AK964" s="35"/>
      <c r="AL964" s="117" t="str">
        <f>if('Ingest Template'!A964="Standard",(IF(OR('Ingest Template'!F964 = "Program Type - Special", 'Ingest Template'!F964 = "Program Type - Live Event"),'Ingest Template'!Q964&amp;"|"&amp;TEXT('Ingest Template'!C964-3, "yyyy-mm-dd")&amp;"|"&amp;TEXT('Ingest Template'!C964+3, "yyyy-mm-dd"),'Ingest Template'!Q964&amp; "|2021-01-01")),(IF(OR('Ingest Template'!F964 = "Program Type - Special", 'Ingest Template'!F964 = "Program Type - Live Event"),'Ingest Template'!Q964&amp; "|"&amp;TEXT('Ingest Template'!C964-3, "yyyy-mm-dd")&amp;"|"&amp;TEXT('Ingest Template'!C964+3, "yyyy-mm-dd"),'Ingest Template'!Q964)))</f>
        <v/>
      </c>
      <c r="AM964" s="35" t="str">
        <f>'Ingest Template'!AC964</f>
        <v/>
      </c>
    </row>
    <row r="965">
      <c r="A965" s="15"/>
      <c r="B965" s="22" t="str">
        <f>'Ingest Template'!C965&amp;IF('Ingest Template'!A965 = "Standard", " - DAR","")</f>
        <v/>
      </c>
      <c r="C965" s="22" t="s">
        <v>83</v>
      </c>
      <c r="D965" s="22" t="str">
        <f t="array" ref="D965">CONCATENATE(INDEX(DropdownLists!$H$2:$H$11,MATCH(1,COUNTIF('Ingest Template'!E965,"*"&amp;DropdownLists!$I$2:$I$11&amp;"*"),0)),CHAR(10),'Ingest Template'!F965,CHAR(10),'Ingest Template'!G965,CHAR(10),VLOOKUP('Ingest Template'!D965,DropdownLists!C:D,2,FALSE))</f>
        <v>#N/A</v>
      </c>
      <c r="E965" s="22" t="str">
        <f>CONCATENATE('Ingest Template'!H965,CHAR(10),'Ingest Template'!I965,CHAR(10),'Ingest Template'!J965,CHAR(10))</f>
        <v>
</v>
      </c>
      <c r="F965" s="35" t="str">
        <f t="array" ref="F965">INDEX(DropdownLists!$O$2:$O$36,MATCH(1,COUNTIF(E965,"*"&amp;DropdownLists!$N$2:$N$36&amp;"*"),0))</f>
        <v/>
      </c>
      <c r="G965" s="35"/>
      <c r="H965" s="22" t="str">
        <f t="array" ref="H965">INDEX(DropdownLists!$E$2:$E$276,MATCH('Ingest Template'!D965,DropdownLists!$C$2:$C$276,0))</f>
        <v>#N/A</v>
      </c>
      <c r="I965" s="22"/>
      <c r="J965" s="22" t="str">
        <f t="array" ref="J965">iF('Ingest Template'!A965="Standard","Pristine Brand",INDEX(DropdownLists!$B$2:$B$246,MATCH('Ingest Template'!D965,DropdownLists!$C$2:$C$246,0)))</f>
        <v>#N/A</v>
      </c>
      <c r="K965" s="22" t="str">
        <f>iF('Ingest Template'!A965="Standard",'Ingest Template'!K965&amp;CHAR(10)&amp;'Ingest Template'!L965,"Competitive View")</f>
        <v>Competitive View</v>
      </c>
      <c r="L965" s="22" t="s">
        <v>95</v>
      </c>
      <c r="M965" s="45" t="str">
        <f>'Ingest Template'!B965</f>
        <v/>
      </c>
      <c r="N965" s="35"/>
      <c r="O965" s="35"/>
      <c r="P965" s="35"/>
      <c r="Q965" s="35"/>
      <c r="R965" s="35" t="str">
        <f>'Ingest Template'!D965</f>
        <v/>
      </c>
      <c r="S965" s="22" t="s">
        <v>101</v>
      </c>
      <c r="T965" s="35" t="str">
        <f>'Ingest Template'!V965</f>
        <v/>
      </c>
      <c r="U965" s="35" t="str">
        <f>'Ingest Template'!W965</f>
        <v/>
      </c>
      <c r="V965" s="35" t="str">
        <f>LOWER(SUBSTITUTE(SUBSTITUTE(SUBSTITUTE(SUBSTITUTE(SUBSTITUTE('Ingest Template'!X965,"https:",""),"www.",""),"/",""),"?hl=en",""),"instagram.com",""))</f>
        <v/>
      </c>
      <c r="W965" s="74" t="str">
        <f t="array" ref="W965">IF(
'Ingest Template'!Y965="",
SUBSTITUTE(
INDEX(DropdownLists!$F$2:$F$277,MATCH('Ingest Template'!D965,DropdownLists!$C$2:$C$277,0)),
CHAR(10),
"|"&amp;'Ingest Template'!C965&amp;CHAR(10)
)&amp;"|"&amp;'Ingest Template'!C965,
SUBSTITUTE(
INDEX(DropdownLists!$F$2:$F$277,MATCH('Ingest Template'!D965,DropdownLists!$C$2:$C$277,0)),
CHAR(10),
"|"&amp;'Ingest Template'!C965&amp;CHAR(10)
)&amp;"|"&amp;'Ingest Template'!C965&amp;CHAR(10)&amp;'Ingest Template'!Y965
)</f>
        <v>#N/A</v>
      </c>
      <c r="X965" s="74" t="str">
        <f>'Ingest Template'!Z965</f>
        <v/>
      </c>
      <c r="Y965" s="35" t="str">
        <f>SUBSTITUTE(SUBSTITUTE(SUBSTITUTE('Ingest Template'!AA965,"http:",""),"https:",""),"/","")</f>
        <v/>
      </c>
      <c r="Z965" s="35" t="str">
        <f t="array" ref="Z965">IF('Ingest Template'!A965="Standard",(IF(ISBLANK('Ingest Template'!AB965),"", 'Ingest Template'!AB965&amp;"|DAR")),(IF(ISBLANK('Ingest Template'!AB965),"", 'Ingest Template'!AB965&amp;"|TV Ops")))</f>
        <v/>
      </c>
      <c r="AA965" s="35"/>
      <c r="AB965" s="35" t="str">
        <f>'Ingest Template'!R965</f>
        <v/>
      </c>
      <c r="AC965" s="35" t="str">
        <f>'Ingest Template'!T965</f>
        <v/>
      </c>
      <c r="AD965" s="35" t="str">
        <f>'Ingest Template'!S965</f>
        <v/>
      </c>
      <c r="AE965" s="35" t="str">
        <f>'Ingest Template'!U965</f>
        <v/>
      </c>
      <c r="AF965" s="22"/>
      <c r="AG965" s="35" t="str">
        <f t="array" ref="AG965">IF('Ingest Template'!A965="Standard",(CONCATENATE(IF(ISBLANK('Ingest Template'!N965),"", 'Ingest Template'!N965&amp;"|DAR"),CHAR(10), IF(ISBLANK('Ingest Template'!O965),"", 'Ingest Template'!O965&amp;"|DAR"),CHAR(10), IF(ISBLANK('Ingest Template'!P965),"", 'Ingest Template'!P965&amp;"|DAR"))),(CONCATENATE(IF(ISBLANK('Ingest Template'!N965),"", 'Ingest Template'!N965&amp;"|TV Ops"),CHAR(10), IF(ISBLANK('Ingest Template'!O965),"", 'Ingest Template'!O965&amp;"|TV Ops"),CHAR(10), IF(ISBLANK('Ingest Template'!P965),"", 'Ingest Template'!P965&amp;"|TV Ops"))))</f>
        <v>
</v>
      </c>
      <c r="AH965" s="35"/>
      <c r="AI965" s="35"/>
      <c r="AJ965" s="117" t="str">
        <f>if('Ingest Template'!A965="Standard",(IF(OR('Ingest Template'!F965 = "Program Type - Special", 'Ingest Template'!F965 = "Program Type - Live Event"),'Ingest Template'!M965&amp; "|DAR|DAR|"&amp;TEXT('Ingest Template'!C965-3, "yyyy-mm-dd")&amp;"|"&amp;TEXT('Ingest Template'!C965+3, "yyyy-mm-dd"),'Ingest Template'!M965&amp; "|DAR|DAR|2021-01-01")),(IF(OR('Ingest Template'!F965 = "Program Type - Special", 'Ingest Template'!F965 = "Program Type - Live Event"),'Ingest Template'!M965&amp; "|Operations - Core Title|Operations - Core Title|"&amp;TEXT('Ingest Template'!C965-3, "yyyy-mm-dd")&amp;"|"&amp;TEXT('Ingest Template'!C965+3, "yyyy-mm-dd"),'Ingest Template'!M965&amp; "|Operations - Core Title|Operations - Core Title")))</f>
        <v>|Operations - Core Title|Operations - Core Title</v>
      </c>
      <c r="AK965" s="35"/>
      <c r="AL965" s="117" t="str">
        <f>if('Ingest Template'!A965="Standard",(IF(OR('Ingest Template'!F965 = "Program Type - Special", 'Ingest Template'!F965 = "Program Type - Live Event"),'Ingest Template'!Q965&amp;"|"&amp;TEXT('Ingest Template'!C965-3, "yyyy-mm-dd")&amp;"|"&amp;TEXT('Ingest Template'!C965+3, "yyyy-mm-dd"),'Ingest Template'!Q965&amp; "|2021-01-01")),(IF(OR('Ingest Template'!F965 = "Program Type - Special", 'Ingest Template'!F965 = "Program Type - Live Event"),'Ingest Template'!Q965&amp; "|"&amp;TEXT('Ingest Template'!C965-3, "yyyy-mm-dd")&amp;"|"&amp;TEXT('Ingest Template'!C965+3, "yyyy-mm-dd"),'Ingest Template'!Q965)))</f>
        <v/>
      </c>
      <c r="AM965" s="35" t="str">
        <f>'Ingest Template'!AC965</f>
        <v/>
      </c>
    </row>
    <row r="966">
      <c r="A966" s="15"/>
      <c r="B966" s="22" t="str">
        <f>'Ingest Template'!C966&amp;IF('Ingest Template'!A966 = "Standard", " - DAR","")</f>
        <v/>
      </c>
      <c r="C966" s="22" t="s">
        <v>83</v>
      </c>
      <c r="D966" s="22" t="str">
        <f t="array" ref="D966">CONCATENATE(INDEX(DropdownLists!$H$2:$H$11,MATCH(1,COUNTIF('Ingest Template'!E966,"*"&amp;DropdownLists!$I$2:$I$11&amp;"*"),0)),CHAR(10),'Ingest Template'!F966,CHAR(10),'Ingest Template'!G966,CHAR(10),VLOOKUP('Ingest Template'!D966,DropdownLists!C:D,2,FALSE))</f>
        <v>#N/A</v>
      </c>
      <c r="E966" s="22" t="str">
        <f>CONCATENATE('Ingest Template'!H966,CHAR(10),'Ingest Template'!I966,CHAR(10),'Ingest Template'!J966,CHAR(10))</f>
        <v>
</v>
      </c>
      <c r="F966" s="35" t="str">
        <f t="array" ref="F966">INDEX(DropdownLists!$O$2:$O$36,MATCH(1,COUNTIF(E966,"*"&amp;DropdownLists!$N$2:$N$36&amp;"*"),0))</f>
        <v/>
      </c>
      <c r="G966" s="35"/>
      <c r="H966" s="22" t="str">
        <f t="array" ref="H966">INDEX(DropdownLists!$E$2:$E$276,MATCH('Ingest Template'!D966,DropdownLists!$C$2:$C$276,0))</f>
        <v>#N/A</v>
      </c>
      <c r="I966" s="22"/>
      <c r="J966" s="22" t="str">
        <f t="array" ref="J966">iF('Ingest Template'!A966="Standard","Pristine Brand",INDEX(DropdownLists!$B$2:$B$246,MATCH('Ingest Template'!D966,DropdownLists!$C$2:$C$246,0)))</f>
        <v>#N/A</v>
      </c>
      <c r="K966" s="22" t="str">
        <f>iF('Ingest Template'!A966="Standard",'Ingest Template'!K966&amp;CHAR(10)&amp;'Ingest Template'!L966,"Competitive View")</f>
        <v>Competitive View</v>
      </c>
      <c r="L966" s="22" t="s">
        <v>95</v>
      </c>
      <c r="M966" s="45" t="str">
        <f>'Ingest Template'!B966</f>
        <v/>
      </c>
      <c r="N966" s="35"/>
      <c r="O966" s="35"/>
      <c r="P966" s="35"/>
      <c r="Q966" s="35"/>
      <c r="R966" s="35" t="str">
        <f>'Ingest Template'!D966</f>
        <v/>
      </c>
      <c r="S966" s="22" t="s">
        <v>101</v>
      </c>
      <c r="T966" s="35" t="str">
        <f>'Ingest Template'!V966</f>
        <v/>
      </c>
      <c r="U966" s="35" t="str">
        <f>'Ingest Template'!W966</f>
        <v/>
      </c>
      <c r="V966" s="35" t="str">
        <f>LOWER(SUBSTITUTE(SUBSTITUTE(SUBSTITUTE(SUBSTITUTE(SUBSTITUTE('Ingest Template'!X966,"https:",""),"www.",""),"/",""),"?hl=en",""),"instagram.com",""))</f>
        <v/>
      </c>
      <c r="W966" s="74" t="str">
        <f t="array" ref="W966">IF(
'Ingest Template'!Y966="",
SUBSTITUTE(
INDEX(DropdownLists!$F$2:$F$277,MATCH('Ingest Template'!D966,DropdownLists!$C$2:$C$277,0)),
CHAR(10),
"|"&amp;'Ingest Template'!C966&amp;CHAR(10)
)&amp;"|"&amp;'Ingest Template'!C966,
SUBSTITUTE(
INDEX(DropdownLists!$F$2:$F$277,MATCH('Ingest Template'!D966,DropdownLists!$C$2:$C$277,0)),
CHAR(10),
"|"&amp;'Ingest Template'!C966&amp;CHAR(10)
)&amp;"|"&amp;'Ingest Template'!C966&amp;CHAR(10)&amp;'Ingest Template'!Y966
)</f>
        <v>#N/A</v>
      </c>
      <c r="X966" s="74" t="str">
        <f>'Ingest Template'!Z966</f>
        <v/>
      </c>
      <c r="Y966" s="35" t="str">
        <f>SUBSTITUTE(SUBSTITUTE(SUBSTITUTE('Ingest Template'!AA966,"http:",""),"https:",""),"/","")</f>
        <v/>
      </c>
      <c r="Z966" s="35" t="str">
        <f t="array" ref="Z966">IF('Ingest Template'!A966="Standard",(IF(ISBLANK('Ingest Template'!AB966),"", 'Ingest Template'!AB966&amp;"|DAR")),(IF(ISBLANK('Ingest Template'!AB966),"", 'Ingest Template'!AB966&amp;"|TV Ops")))</f>
        <v/>
      </c>
      <c r="AA966" s="35"/>
      <c r="AB966" s="35" t="str">
        <f>'Ingest Template'!R966</f>
        <v/>
      </c>
      <c r="AC966" s="35" t="str">
        <f>'Ingest Template'!T966</f>
        <v/>
      </c>
      <c r="AD966" s="35" t="str">
        <f>'Ingest Template'!S966</f>
        <v/>
      </c>
      <c r="AE966" s="35" t="str">
        <f>'Ingest Template'!U966</f>
        <v/>
      </c>
      <c r="AF966" s="22"/>
      <c r="AG966" s="35" t="str">
        <f t="array" ref="AG966">IF('Ingest Template'!A966="Standard",(CONCATENATE(IF(ISBLANK('Ingest Template'!N966),"", 'Ingest Template'!N966&amp;"|DAR"),CHAR(10), IF(ISBLANK('Ingest Template'!O966),"", 'Ingest Template'!O966&amp;"|DAR"),CHAR(10), IF(ISBLANK('Ingest Template'!P966),"", 'Ingest Template'!P966&amp;"|DAR"))),(CONCATENATE(IF(ISBLANK('Ingest Template'!N966),"", 'Ingest Template'!N966&amp;"|TV Ops"),CHAR(10), IF(ISBLANK('Ingest Template'!O966),"", 'Ingest Template'!O966&amp;"|TV Ops"),CHAR(10), IF(ISBLANK('Ingest Template'!P966),"", 'Ingest Template'!P966&amp;"|TV Ops"))))</f>
        <v>
</v>
      </c>
      <c r="AH966" s="35"/>
      <c r="AI966" s="35"/>
      <c r="AJ966" s="117" t="str">
        <f>if('Ingest Template'!A966="Standard",(IF(OR('Ingest Template'!F966 = "Program Type - Special", 'Ingest Template'!F966 = "Program Type - Live Event"),'Ingest Template'!M966&amp; "|DAR|DAR|"&amp;TEXT('Ingest Template'!C966-3, "yyyy-mm-dd")&amp;"|"&amp;TEXT('Ingest Template'!C966+3, "yyyy-mm-dd"),'Ingest Template'!M966&amp; "|DAR|DAR|2021-01-01")),(IF(OR('Ingest Template'!F966 = "Program Type - Special", 'Ingest Template'!F966 = "Program Type - Live Event"),'Ingest Template'!M966&amp; "|Operations - Core Title|Operations - Core Title|"&amp;TEXT('Ingest Template'!C966-3, "yyyy-mm-dd")&amp;"|"&amp;TEXT('Ingest Template'!C966+3, "yyyy-mm-dd"),'Ingest Template'!M966&amp; "|Operations - Core Title|Operations - Core Title")))</f>
        <v>|Operations - Core Title|Operations - Core Title</v>
      </c>
      <c r="AK966" s="35"/>
      <c r="AL966" s="117" t="str">
        <f>if('Ingest Template'!A966="Standard",(IF(OR('Ingest Template'!F966 = "Program Type - Special", 'Ingest Template'!F966 = "Program Type - Live Event"),'Ingest Template'!Q966&amp;"|"&amp;TEXT('Ingest Template'!C966-3, "yyyy-mm-dd")&amp;"|"&amp;TEXT('Ingest Template'!C966+3, "yyyy-mm-dd"),'Ingest Template'!Q966&amp; "|2021-01-01")),(IF(OR('Ingest Template'!F966 = "Program Type - Special", 'Ingest Template'!F966 = "Program Type - Live Event"),'Ingest Template'!Q966&amp; "|"&amp;TEXT('Ingest Template'!C966-3, "yyyy-mm-dd")&amp;"|"&amp;TEXT('Ingest Template'!C966+3, "yyyy-mm-dd"),'Ingest Template'!Q966)))</f>
        <v/>
      </c>
      <c r="AM966" s="35" t="str">
        <f>'Ingest Template'!AC966</f>
        <v/>
      </c>
    </row>
    <row r="967">
      <c r="A967" s="15"/>
      <c r="B967" s="22" t="str">
        <f>'Ingest Template'!C967&amp;IF('Ingest Template'!A967 = "Standard", " - DAR","")</f>
        <v/>
      </c>
      <c r="C967" s="22" t="s">
        <v>83</v>
      </c>
      <c r="D967" s="22" t="str">
        <f t="array" ref="D967">CONCATENATE(INDEX(DropdownLists!$H$2:$H$11,MATCH(1,COUNTIF('Ingest Template'!E967,"*"&amp;DropdownLists!$I$2:$I$11&amp;"*"),0)),CHAR(10),'Ingest Template'!F967,CHAR(10),'Ingest Template'!G967,CHAR(10),VLOOKUP('Ingest Template'!D967,DropdownLists!C:D,2,FALSE))</f>
        <v>#N/A</v>
      </c>
      <c r="E967" s="22" t="str">
        <f>CONCATENATE('Ingest Template'!H967,CHAR(10),'Ingest Template'!I967,CHAR(10),'Ingest Template'!J967,CHAR(10))</f>
        <v>
</v>
      </c>
      <c r="F967" s="35" t="str">
        <f t="array" ref="F967">INDEX(DropdownLists!$O$2:$O$36,MATCH(1,COUNTIF(E967,"*"&amp;DropdownLists!$N$2:$N$36&amp;"*"),0))</f>
        <v/>
      </c>
      <c r="G967" s="35"/>
      <c r="H967" s="22" t="str">
        <f t="array" ref="H967">INDEX(DropdownLists!$E$2:$E$276,MATCH('Ingest Template'!D967,DropdownLists!$C$2:$C$276,0))</f>
        <v>#N/A</v>
      </c>
      <c r="I967" s="22"/>
      <c r="J967" s="22" t="str">
        <f t="array" ref="J967">iF('Ingest Template'!A967="Standard","Pristine Brand",INDEX(DropdownLists!$B$2:$B$246,MATCH('Ingest Template'!D967,DropdownLists!$C$2:$C$246,0)))</f>
        <v>#N/A</v>
      </c>
      <c r="K967" s="22" t="str">
        <f>iF('Ingest Template'!A967="Standard",'Ingest Template'!K967&amp;CHAR(10)&amp;'Ingest Template'!L967,"Competitive View")</f>
        <v>Competitive View</v>
      </c>
      <c r="L967" s="22" t="s">
        <v>95</v>
      </c>
      <c r="M967" s="45" t="str">
        <f>'Ingest Template'!B967</f>
        <v/>
      </c>
      <c r="N967" s="35"/>
      <c r="O967" s="35"/>
      <c r="P967" s="35"/>
      <c r="Q967" s="35"/>
      <c r="R967" s="35" t="str">
        <f>'Ingest Template'!D967</f>
        <v/>
      </c>
      <c r="S967" s="22" t="s">
        <v>101</v>
      </c>
      <c r="T967" s="35" t="str">
        <f>'Ingest Template'!V967</f>
        <v/>
      </c>
      <c r="U967" s="35" t="str">
        <f>'Ingest Template'!W967</f>
        <v/>
      </c>
      <c r="V967" s="35" t="str">
        <f>LOWER(SUBSTITUTE(SUBSTITUTE(SUBSTITUTE(SUBSTITUTE(SUBSTITUTE('Ingest Template'!X967,"https:",""),"www.",""),"/",""),"?hl=en",""),"instagram.com",""))</f>
        <v/>
      </c>
      <c r="W967" s="74" t="str">
        <f t="array" ref="W967">IF(
'Ingest Template'!Y967="",
SUBSTITUTE(
INDEX(DropdownLists!$F$2:$F$277,MATCH('Ingest Template'!D967,DropdownLists!$C$2:$C$277,0)),
CHAR(10),
"|"&amp;'Ingest Template'!C967&amp;CHAR(10)
)&amp;"|"&amp;'Ingest Template'!C967,
SUBSTITUTE(
INDEX(DropdownLists!$F$2:$F$277,MATCH('Ingest Template'!D967,DropdownLists!$C$2:$C$277,0)),
CHAR(10),
"|"&amp;'Ingest Template'!C967&amp;CHAR(10)
)&amp;"|"&amp;'Ingest Template'!C967&amp;CHAR(10)&amp;'Ingest Template'!Y967
)</f>
        <v>#N/A</v>
      </c>
      <c r="X967" s="74" t="str">
        <f>'Ingest Template'!Z967</f>
        <v/>
      </c>
      <c r="Y967" s="35" t="str">
        <f>SUBSTITUTE(SUBSTITUTE(SUBSTITUTE('Ingest Template'!AA967,"http:",""),"https:",""),"/","")</f>
        <v/>
      </c>
      <c r="Z967" s="35" t="str">
        <f t="array" ref="Z967">IF('Ingest Template'!A967="Standard",(IF(ISBLANK('Ingest Template'!AB967),"", 'Ingest Template'!AB967&amp;"|DAR")),(IF(ISBLANK('Ingest Template'!AB967),"", 'Ingest Template'!AB967&amp;"|TV Ops")))</f>
        <v/>
      </c>
      <c r="AA967" s="35"/>
      <c r="AB967" s="35" t="str">
        <f>'Ingest Template'!R967</f>
        <v/>
      </c>
      <c r="AC967" s="35" t="str">
        <f>'Ingest Template'!T967</f>
        <v/>
      </c>
      <c r="AD967" s="35" t="str">
        <f>'Ingest Template'!S967</f>
        <v/>
      </c>
      <c r="AE967" s="35" t="str">
        <f>'Ingest Template'!U967</f>
        <v/>
      </c>
      <c r="AF967" s="22"/>
      <c r="AG967" s="35" t="str">
        <f t="array" ref="AG967">IF('Ingest Template'!A967="Standard",(CONCATENATE(IF(ISBLANK('Ingest Template'!N967),"", 'Ingest Template'!N967&amp;"|DAR"),CHAR(10), IF(ISBLANK('Ingest Template'!O967),"", 'Ingest Template'!O967&amp;"|DAR"),CHAR(10), IF(ISBLANK('Ingest Template'!P967),"", 'Ingest Template'!P967&amp;"|DAR"))),(CONCATENATE(IF(ISBLANK('Ingest Template'!N967),"", 'Ingest Template'!N967&amp;"|TV Ops"),CHAR(10), IF(ISBLANK('Ingest Template'!O967),"", 'Ingest Template'!O967&amp;"|TV Ops"),CHAR(10), IF(ISBLANK('Ingest Template'!P967),"", 'Ingest Template'!P967&amp;"|TV Ops"))))</f>
        <v>
</v>
      </c>
      <c r="AH967" s="35"/>
      <c r="AI967" s="35"/>
      <c r="AJ967" s="117" t="str">
        <f>if('Ingest Template'!A967="Standard",(IF(OR('Ingest Template'!F967 = "Program Type - Special", 'Ingest Template'!F967 = "Program Type - Live Event"),'Ingest Template'!M967&amp; "|DAR|DAR|"&amp;TEXT('Ingest Template'!C967-3, "yyyy-mm-dd")&amp;"|"&amp;TEXT('Ingest Template'!C967+3, "yyyy-mm-dd"),'Ingest Template'!M967&amp; "|DAR|DAR|2021-01-01")),(IF(OR('Ingest Template'!F967 = "Program Type - Special", 'Ingest Template'!F967 = "Program Type - Live Event"),'Ingest Template'!M967&amp; "|Operations - Core Title|Operations - Core Title|"&amp;TEXT('Ingest Template'!C967-3, "yyyy-mm-dd")&amp;"|"&amp;TEXT('Ingest Template'!C967+3, "yyyy-mm-dd"),'Ingest Template'!M967&amp; "|Operations - Core Title|Operations - Core Title")))</f>
        <v>|Operations - Core Title|Operations - Core Title</v>
      </c>
      <c r="AK967" s="35"/>
      <c r="AL967" s="117" t="str">
        <f>if('Ingest Template'!A967="Standard",(IF(OR('Ingest Template'!F967 = "Program Type - Special", 'Ingest Template'!F967 = "Program Type - Live Event"),'Ingest Template'!Q967&amp;"|"&amp;TEXT('Ingest Template'!C967-3, "yyyy-mm-dd")&amp;"|"&amp;TEXT('Ingest Template'!C967+3, "yyyy-mm-dd"),'Ingest Template'!Q967&amp; "|2021-01-01")),(IF(OR('Ingest Template'!F967 = "Program Type - Special", 'Ingest Template'!F967 = "Program Type - Live Event"),'Ingest Template'!Q967&amp; "|"&amp;TEXT('Ingest Template'!C967-3, "yyyy-mm-dd")&amp;"|"&amp;TEXT('Ingest Template'!C967+3, "yyyy-mm-dd"),'Ingest Template'!Q967)))</f>
        <v/>
      </c>
      <c r="AM967" s="35" t="str">
        <f>'Ingest Template'!AC967</f>
        <v/>
      </c>
    </row>
    <row r="968">
      <c r="A968" s="15"/>
      <c r="B968" s="22" t="str">
        <f>'Ingest Template'!C968&amp;IF('Ingest Template'!A968 = "Standard", " - DAR","")</f>
        <v/>
      </c>
      <c r="C968" s="22" t="s">
        <v>83</v>
      </c>
      <c r="D968" s="22" t="str">
        <f t="array" ref="D968">CONCATENATE(INDEX(DropdownLists!$H$2:$H$11,MATCH(1,COUNTIF('Ingest Template'!E968,"*"&amp;DropdownLists!$I$2:$I$11&amp;"*"),0)),CHAR(10),'Ingest Template'!F968,CHAR(10),'Ingest Template'!G968,CHAR(10),VLOOKUP('Ingest Template'!D968,DropdownLists!C:D,2,FALSE))</f>
        <v>#N/A</v>
      </c>
      <c r="E968" s="22" t="str">
        <f>CONCATENATE('Ingest Template'!H968,CHAR(10),'Ingest Template'!I968,CHAR(10),'Ingest Template'!J968,CHAR(10))</f>
        <v>
</v>
      </c>
      <c r="F968" s="35" t="str">
        <f t="array" ref="F968">INDEX(DropdownLists!$O$2:$O$36,MATCH(1,COUNTIF(E968,"*"&amp;DropdownLists!$N$2:$N$36&amp;"*"),0))</f>
        <v/>
      </c>
      <c r="G968" s="35"/>
      <c r="H968" s="22" t="str">
        <f t="array" ref="H968">INDEX(DropdownLists!$E$2:$E$276,MATCH('Ingest Template'!D968,DropdownLists!$C$2:$C$276,0))</f>
        <v>#N/A</v>
      </c>
      <c r="I968" s="22"/>
      <c r="J968" s="22" t="str">
        <f t="array" ref="J968">iF('Ingest Template'!A968="Standard","Pristine Brand",INDEX(DropdownLists!$B$2:$B$246,MATCH('Ingest Template'!D968,DropdownLists!$C$2:$C$246,0)))</f>
        <v>#N/A</v>
      </c>
      <c r="K968" s="22" t="str">
        <f>iF('Ingest Template'!A968="Standard",'Ingest Template'!K968&amp;CHAR(10)&amp;'Ingest Template'!L968,"Competitive View")</f>
        <v>Competitive View</v>
      </c>
      <c r="L968" s="22" t="s">
        <v>95</v>
      </c>
      <c r="M968" s="45" t="str">
        <f>'Ingest Template'!B968</f>
        <v/>
      </c>
      <c r="N968" s="35"/>
      <c r="O968" s="35"/>
      <c r="P968" s="35"/>
      <c r="Q968" s="35"/>
      <c r="R968" s="35" t="str">
        <f>'Ingest Template'!D968</f>
        <v/>
      </c>
      <c r="S968" s="22" t="s">
        <v>101</v>
      </c>
      <c r="T968" s="35" t="str">
        <f>'Ingest Template'!V968</f>
        <v/>
      </c>
      <c r="U968" s="35" t="str">
        <f>'Ingest Template'!W968</f>
        <v/>
      </c>
      <c r="V968" s="35" t="str">
        <f>LOWER(SUBSTITUTE(SUBSTITUTE(SUBSTITUTE(SUBSTITUTE(SUBSTITUTE('Ingest Template'!X968,"https:",""),"www.",""),"/",""),"?hl=en",""),"instagram.com",""))</f>
        <v/>
      </c>
      <c r="W968" s="74" t="str">
        <f t="array" ref="W968">IF(
'Ingest Template'!Y968="",
SUBSTITUTE(
INDEX(DropdownLists!$F$2:$F$277,MATCH('Ingest Template'!D968,DropdownLists!$C$2:$C$277,0)),
CHAR(10),
"|"&amp;'Ingest Template'!C968&amp;CHAR(10)
)&amp;"|"&amp;'Ingest Template'!C968,
SUBSTITUTE(
INDEX(DropdownLists!$F$2:$F$277,MATCH('Ingest Template'!D968,DropdownLists!$C$2:$C$277,0)),
CHAR(10),
"|"&amp;'Ingest Template'!C968&amp;CHAR(10)
)&amp;"|"&amp;'Ingest Template'!C968&amp;CHAR(10)&amp;'Ingest Template'!Y968
)</f>
        <v>#N/A</v>
      </c>
      <c r="X968" s="74" t="str">
        <f>'Ingest Template'!Z968</f>
        <v/>
      </c>
      <c r="Y968" s="35" t="str">
        <f>SUBSTITUTE(SUBSTITUTE(SUBSTITUTE('Ingest Template'!AA968,"http:",""),"https:",""),"/","")</f>
        <v/>
      </c>
      <c r="Z968" s="35" t="str">
        <f t="array" ref="Z968">IF('Ingest Template'!A968="Standard",(IF(ISBLANK('Ingest Template'!AB968),"", 'Ingest Template'!AB968&amp;"|DAR")),(IF(ISBLANK('Ingest Template'!AB968),"", 'Ingest Template'!AB968&amp;"|TV Ops")))</f>
        <v/>
      </c>
      <c r="AA968" s="35"/>
      <c r="AB968" s="35" t="str">
        <f>'Ingest Template'!R968</f>
        <v/>
      </c>
      <c r="AC968" s="35" t="str">
        <f>'Ingest Template'!T968</f>
        <v/>
      </c>
      <c r="AD968" s="35" t="str">
        <f>'Ingest Template'!S968</f>
        <v/>
      </c>
      <c r="AE968" s="35" t="str">
        <f>'Ingest Template'!U968</f>
        <v/>
      </c>
      <c r="AF968" s="22"/>
      <c r="AG968" s="35" t="str">
        <f t="array" ref="AG968">IF('Ingest Template'!A968="Standard",(CONCATENATE(IF(ISBLANK('Ingest Template'!N968),"", 'Ingest Template'!N968&amp;"|DAR"),CHAR(10), IF(ISBLANK('Ingest Template'!O968),"", 'Ingest Template'!O968&amp;"|DAR"),CHAR(10), IF(ISBLANK('Ingest Template'!P968),"", 'Ingest Template'!P968&amp;"|DAR"))),(CONCATENATE(IF(ISBLANK('Ingest Template'!N968),"", 'Ingest Template'!N968&amp;"|TV Ops"),CHAR(10), IF(ISBLANK('Ingest Template'!O968),"", 'Ingest Template'!O968&amp;"|TV Ops"),CHAR(10), IF(ISBLANK('Ingest Template'!P968),"", 'Ingest Template'!P968&amp;"|TV Ops"))))</f>
        <v>
</v>
      </c>
      <c r="AH968" s="35"/>
      <c r="AI968" s="35"/>
      <c r="AJ968" s="117" t="str">
        <f>if('Ingest Template'!A968="Standard",(IF(OR('Ingest Template'!F968 = "Program Type - Special", 'Ingest Template'!F968 = "Program Type - Live Event"),'Ingest Template'!M968&amp; "|DAR|DAR|"&amp;TEXT('Ingest Template'!C968-3, "yyyy-mm-dd")&amp;"|"&amp;TEXT('Ingest Template'!C968+3, "yyyy-mm-dd"),'Ingest Template'!M968&amp; "|DAR|DAR|2021-01-01")),(IF(OR('Ingest Template'!F968 = "Program Type - Special", 'Ingest Template'!F968 = "Program Type - Live Event"),'Ingest Template'!M968&amp; "|Operations - Core Title|Operations - Core Title|"&amp;TEXT('Ingest Template'!C968-3, "yyyy-mm-dd")&amp;"|"&amp;TEXT('Ingest Template'!C968+3, "yyyy-mm-dd"),'Ingest Template'!M968&amp; "|Operations - Core Title|Operations - Core Title")))</f>
        <v>|Operations - Core Title|Operations - Core Title</v>
      </c>
      <c r="AK968" s="35"/>
      <c r="AL968" s="117" t="str">
        <f>if('Ingest Template'!A968="Standard",(IF(OR('Ingest Template'!F968 = "Program Type - Special", 'Ingest Template'!F968 = "Program Type - Live Event"),'Ingest Template'!Q968&amp;"|"&amp;TEXT('Ingest Template'!C968-3, "yyyy-mm-dd")&amp;"|"&amp;TEXT('Ingest Template'!C968+3, "yyyy-mm-dd"),'Ingest Template'!Q968&amp; "|2021-01-01")),(IF(OR('Ingest Template'!F968 = "Program Type - Special", 'Ingest Template'!F968 = "Program Type - Live Event"),'Ingest Template'!Q968&amp; "|"&amp;TEXT('Ingest Template'!C968-3, "yyyy-mm-dd")&amp;"|"&amp;TEXT('Ingest Template'!C968+3, "yyyy-mm-dd"),'Ingest Template'!Q968)))</f>
        <v/>
      </c>
      <c r="AM968" s="35" t="str">
        <f>'Ingest Template'!AC968</f>
        <v/>
      </c>
    </row>
    <row r="969">
      <c r="A969" s="15"/>
      <c r="B969" s="22" t="str">
        <f>'Ingest Template'!C969&amp;IF('Ingest Template'!A969 = "Standard", " - DAR","")</f>
        <v/>
      </c>
      <c r="C969" s="22" t="s">
        <v>83</v>
      </c>
      <c r="D969" s="22" t="str">
        <f t="array" ref="D969">CONCATENATE(INDEX(DropdownLists!$H$2:$H$11,MATCH(1,COUNTIF('Ingest Template'!E969,"*"&amp;DropdownLists!$I$2:$I$11&amp;"*"),0)),CHAR(10),'Ingest Template'!F969,CHAR(10),'Ingest Template'!G969,CHAR(10),VLOOKUP('Ingest Template'!D969,DropdownLists!C:D,2,FALSE))</f>
        <v>#N/A</v>
      </c>
      <c r="E969" s="22" t="str">
        <f>CONCATENATE('Ingest Template'!H969,CHAR(10),'Ingest Template'!I969,CHAR(10),'Ingest Template'!J969,CHAR(10))</f>
        <v>
</v>
      </c>
      <c r="F969" s="35" t="str">
        <f t="array" ref="F969">INDEX(DropdownLists!$O$2:$O$36,MATCH(1,COUNTIF(E969,"*"&amp;DropdownLists!$N$2:$N$36&amp;"*"),0))</f>
        <v/>
      </c>
      <c r="G969" s="35"/>
      <c r="H969" s="22" t="str">
        <f t="array" ref="H969">INDEX(DropdownLists!$E$2:$E$276,MATCH('Ingest Template'!D969,DropdownLists!$C$2:$C$276,0))</f>
        <v>#N/A</v>
      </c>
      <c r="I969" s="22"/>
      <c r="J969" s="22" t="str">
        <f t="array" ref="J969">iF('Ingest Template'!A969="Standard","Pristine Brand",INDEX(DropdownLists!$B$2:$B$246,MATCH('Ingest Template'!D969,DropdownLists!$C$2:$C$246,0)))</f>
        <v>#N/A</v>
      </c>
      <c r="K969" s="22" t="str">
        <f>iF('Ingest Template'!A969="Standard",'Ingest Template'!K969&amp;CHAR(10)&amp;'Ingest Template'!L969,"Competitive View")</f>
        <v>Competitive View</v>
      </c>
      <c r="L969" s="22" t="s">
        <v>95</v>
      </c>
      <c r="M969" s="45" t="str">
        <f>'Ingest Template'!B969</f>
        <v/>
      </c>
      <c r="N969" s="35"/>
      <c r="O969" s="35"/>
      <c r="P969" s="35"/>
      <c r="Q969" s="35"/>
      <c r="R969" s="35" t="str">
        <f>'Ingest Template'!D969</f>
        <v/>
      </c>
      <c r="S969" s="22" t="s">
        <v>101</v>
      </c>
      <c r="T969" s="35" t="str">
        <f>'Ingest Template'!V969</f>
        <v/>
      </c>
      <c r="U969" s="35" t="str">
        <f>'Ingest Template'!W969</f>
        <v/>
      </c>
      <c r="V969" s="35" t="str">
        <f>LOWER(SUBSTITUTE(SUBSTITUTE(SUBSTITUTE(SUBSTITUTE(SUBSTITUTE('Ingest Template'!X969,"https:",""),"www.",""),"/",""),"?hl=en",""),"instagram.com",""))</f>
        <v/>
      </c>
      <c r="W969" s="74" t="str">
        <f t="array" ref="W969">IF(
'Ingest Template'!Y969="",
SUBSTITUTE(
INDEX(DropdownLists!$F$2:$F$277,MATCH('Ingest Template'!D969,DropdownLists!$C$2:$C$277,0)),
CHAR(10),
"|"&amp;'Ingest Template'!C969&amp;CHAR(10)
)&amp;"|"&amp;'Ingest Template'!C969,
SUBSTITUTE(
INDEX(DropdownLists!$F$2:$F$277,MATCH('Ingest Template'!D969,DropdownLists!$C$2:$C$277,0)),
CHAR(10),
"|"&amp;'Ingest Template'!C969&amp;CHAR(10)
)&amp;"|"&amp;'Ingest Template'!C969&amp;CHAR(10)&amp;'Ingest Template'!Y969
)</f>
        <v>#N/A</v>
      </c>
      <c r="X969" s="74" t="str">
        <f>'Ingest Template'!Z969</f>
        <v/>
      </c>
      <c r="Y969" s="35" t="str">
        <f>SUBSTITUTE(SUBSTITUTE(SUBSTITUTE('Ingest Template'!AA969,"http:",""),"https:",""),"/","")</f>
        <v/>
      </c>
      <c r="Z969" s="35" t="str">
        <f t="array" ref="Z969">IF('Ingest Template'!A969="Standard",(IF(ISBLANK('Ingest Template'!AB969),"", 'Ingest Template'!AB969&amp;"|DAR")),(IF(ISBLANK('Ingest Template'!AB969),"", 'Ingest Template'!AB969&amp;"|TV Ops")))</f>
        <v/>
      </c>
      <c r="AA969" s="35"/>
      <c r="AB969" s="35" t="str">
        <f>'Ingest Template'!R969</f>
        <v/>
      </c>
      <c r="AC969" s="35" t="str">
        <f>'Ingest Template'!T969</f>
        <v/>
      </c>
      <c r="AD969" s="35" t="str">
        <f>'Ingest Template'!S969</f>
        <v/>
      </c>
      <c r="AE969" s="35" t="str">
        <f>'Ingest Template'!U969</f>
        <v/>
      </c>
      <c r="AF969" s="22"/>
      <c r="AG969" s="35" t="str">
        <f t="array" ref="AG969">IF('Ingest Template'!A969="Standard",(CONCATENATE(IF(ISBLANK('Ingest Template'!N969),"", 'Ingest Template'!N969&amp;"|DAR"),CHAR(10), IF(ISBLANK('Ingest Template'!O969),"", 'Ingest Template'!O969&amp;"|DAR"),CHAR(10), IF(ISBLANK('Ingest Template'!P969),"", 'Ingest Template'!P969&amp;"|DAR"))),(CONCATENATE(IF(ISBLANK('Ingest Template'!N969),"", 'Ingest Template'!N969&amp;"|TV Ops"),CHAR(10), IF(ISBLANK('Ingest Template'!O969),"", 'Ingest Template'!O969&amp;"|TV Ops"),CHAR(10), IF(ISBLANK('Ingest Template'!P969),"", 'Ingest Template'!P969&amp;"|TV Ops"))))</f>
        <v>
</v>
      </c>
      <c r="AH969" s="35"/>
      <c r="AI969" s="35"/>
      <c r="AJ969" s="117" t="str">
        <f>if('Ingest Template'!A969="Standard",(IF(OR('Ingest Template'!F969 = "Program Type - Special", 'Ingest Template'!F969 = "Program Type - Live Event"),'Ingest Template'!M969&amp; "|DAR|DAR|"&amp;TEXT('Ingest Template'!C969-3, "yyyy-mm-dd")&amp;"|"&amp;TEXT('Ingest Template'!C969+3, "yyyy-mm-dd"),'Ingest Template'!M969&amp; "|DAR|DAR|2021-01-01")),(IF(OR('Ingest Template'!F969 = "Program Type - Special", 'Ingest Template'!F969 = "Program Type - Live Event"),'Ingest Template'!M969&amp; "|Operations - Core Title|Operations - Core Title|"&amp;TEXT('Ingest Template'!C969-3, "yyyy-mm-dd")&amp;"|"&amp;TEXT('Ingest Template'!C969+3, "yyyy-mm-dd"),'Ingest Template'!M969&amp; "|Operations - Core Title|Operations - Core Title")))</f>
        <v>|Operations - Core Title|Operations - Core Title</v>
      </c>
      <c r="AK969" s="35"/>
      <c r="AL969" s="117" t="str">
        <f>if('Ingest Template'!A969="Standard",(IF(OR('Ingest Template'!F969 = "Program Type - Special", 'Ingest Template'!F969 = "Program Type - Live Event"),'Ingest Template'!Q969&amp;"|"&amp;TEXT('Ingest Template'!C969-3, "yyyy-mm-dd")&amp;"|"&amp;TEXT('Ingest Template'!C969+3, "yyyy-mm-dd"),'Ingest Template'!Q969&amp; "|2021-01-01")),(IF(OR('Ingest Template'!F969 = "Program Type - Special", 'Ingest Template'!F969 = "Program Type - Live Event"),'Ingest Template'!Q969&amp; "|"&amp;TEXT('Ingest Template'!C969-3, "yyyy-mm-dd")&amp;"|"&amp;TEXT('Ingest Template'!C969+3, "yyyy-mm-dd"),'Ingest Template'!Q969)))</f>
        <v/>
      </c>
      <c r="AM969" s="35" t="str">
        <f>'Ingest Template'!AC969</f>
        <v/>
      </c>
    </row>
    <row r="970">
      <c r="A970" s="15"/>
      <c r="B970" s="22" t="str">
        <f>'Ingest Template'!C970&amp;IF('Ingest Template'!A970 = "Standard", " - DAR","")</f>
        <v/>
      </c>
      <c r="C970" s="22" t="s">
        <v>83</v>
      </c>
      <c r="D970" s="22" t="str">
        <f t="array" ref="D970">CONCATENATE(INDEX(DropdownLists!$H$2:$H$11,MATCH(1,COUNTIF('Ingest Template'!E970,"*"&amp;DropdownLists!$I$2:$I$11&amp;"*"),0)),CHAR(10),'Ingest Template'!F970,CHAR(10),'Ingest Template'!G970,CHAR(10),VLOOKUP('Ingest Template'!D970,DropdownLists!C:D,2,FALSE))</f>
        <v>#N/A</v>
      </c>
      <c r="E970" s="22" t="str">
        <f>CONCATENATE('Ingest Template'!H970,CHAR(10),'Ingest Template'!I970,CHAR(10),'Ingest Template'!J970,CHAR(10))</f>
        <v>
</v>
      </c>
      <c r="F970" s="35" t="str">
        <f t="array" ref="F970">INDEX(DropdownLists!$O$2:$O$36,MATCH(1,COUNTIF(E970,"*"&amp;DropdownLists!$N$2:$N$36&amp;"*"),0))</f>
        <v/>
      </c>
      <c r="G970" s="35"/>
      <c r="H970" s="22" t="str">
        <f t="array" ref="H970">INDEX(DropdownLists!$E$2:$E$276,MATCH('Ingest Template'!D970,DropdownLists!$C$2:$C$276,0))</f>
        <v>#N/A</v>
      </c>
      <c r="I970" s="22"/>
      <c r="J970" s="22" t="str">
        <f t="array" ref="J970">iF('Ingest Template'!A970="Standard","Pristine Brand",INDEX(DropdownLists!$B$2:$B$246,MATCH('Ingest Template'!D970,DropdownLists!$C$2:$C$246,0)))</f>
        <v>#N/A</v>
      </c>
      <c r="K970" s="22" t="str">
        <f>iF('Ingest Template'!A970="Standard",'Ingest Template'!K970&amp;CHAR(10)&amp;'Ingest Template'!L970,"Competitive View")</f>
        <v>Competitive View</v>
      </c>
      <c r="L970" s="22" t="s">
        <v>95</v>
      </c>
      <c r="M970" s="45" t="str">
        <f>'Ingest Template'!B970</f>
        <v/>
      </c>
      <c r="N970" s="35"/>
      <c r="O970" s="35"/>
      <c r="P970" s="35"/>
      <c r="Q970" s="35"/>
      <c r="R970" s="35" t="str">
        <f>'Ingest Template'!D970</f>
        <v/>
      </c>
      <c r="S970" s="22" t="s">
        <v>101</v>
      </c>
      <c r="T970" s="35" t="str">
        <f>'Ingest Template'!V970</f>
        <v/>
      </c>
      <c r="U970" s="35" t="str">
        <f>'Ingest Template'!W970</f>
        <v/>
      </c>
      <c r="V970" s="35" t="str">
        <f>LOWER(SUBSTITUTE(SUBSTITUTE(SUBSTITUTE(SUBSTITUTE(SUBSTITUTE('Ingest Template'!X970,"https:",""),"www.",""),"/",""),"?hl=en",""),"instagram.com",""))</f>
        <v/>
      </c>
      <c r="W970" s="74" t="str">
        <f t="array" ref="W970">IF(
'Ingest Template'!Y970="",
SUBSTITUTE(
INDEX(DropdownLists!$F$2:$F$277,MATCH('Ingest Template'!D970,DropdownLists!$C$2:$C$277,0)),
CHAR(10),
"|"&amp;'Ingest Template'!C970&amp;CHAR(10)
)&amp;"|"&amp;'Ingest Template'!C970,
SUBSTITUTE(
INDEX(DropdownLists!$F$2:$F$277,MATCH('Ingest Template'!D970,DropdownLists!$C$2:$C$277,0)),
CHAR(10),
"|"&amp;'Ingest Template'!C970&amp;CHAR(10)
)&amp;"|"&amp;'Ingest Template'!C970&amp;CHAR(10)&amp;'Ingest Template'!Y970
)</f>
        <v>#N/A</v>
      </c>
      <c r="X970" s="74" t="str">
        <f>'Ingest Template'!Z970</f>
        <v/>
      </c>
      <c r="Y970" s="35" t="str">
        <f>SUBSTITUTE(SUBSTITUTE(SUBSTITUTE('Ingest Template'!AA970,"http:",""),"https:",""),"/","")</f>
        <v/>
      </c>
      <c r="Z970" s="35" t="str">
        <f t="array" ref="Z970">IF('Ingest Template'!A970="Standard",(IF(ISBLANK('Ingest Template'!AB970),"", 'Ingest Template'!AB970&amp;"|DAR")),(IF(ISBLANK('Ingest Template'!AB970),"", 'Ingest Template'!AB970&amp;"|TV Ops")))</f>
        <v/>
      </c>
      <c r="AA970" s="35"/>
      <c r="AB970" s="35" t="str">
        <f>'Ingest Template'!R970</f>
        <v/>
      </c>
      <c r="AC970" s="35" t="str">
        <f>'Ingest Template'!T970</f>
        <v/>
      </c>
      <c r="AD970" s="35" t="str">
        <f>'Ingest Template'!S970</f>
        <v/>
      </c>
      <c r="AE970" s="35" t="str">
        <f>'Ingest Template'!U970</f>
        <v/>
      </c>
      <c r="AF970" s="22"/>
      <c r="AG970" s="35" t="str">
        <f t="array" ref="AG970">IF('Ingest Template'!A970="Standard",(CONCATENATE(IF(ISBLANK('Ingest Template'!N970),"", 'Ingest Template'!N970&amp;"|DAR"),CHAR(10), IF(ISBLANK('Ingest Template'!O970),"", 'Ingest Template'!O970&amp;"|DAR"),CHAR(10), IF(ISBLANK('Ingest Template'!P970),"", 'Ingest Template'!P970&amp;"|DAR"))),(CONCATENATE(IF(ISBLANK('Ingest Template'!N970),"", 'Ingest Template'!N970&amp;"|TV Ops"),CHAR(10), IF(ISBLANK('Ingest Template'!O970),"", 'Ingest Template'!O970&amp;"|TV Ops"),CHAR(10), IF(ISBLANK('Ingest Template'!P970),"", 'Ingest Template'!P970&amp;"|TV Ops"))))</f>
        <v>
</v>
      </c>
      <c r="AH970" s="35"/>
      <c r="AI970" s="35"/>
      <c r="AJ970" s="117" t="str">
        <f>if('Ingest Template'!A970="Standard",(IF(OR('Ingest Template'!F970 = "Program Type - Special", 'Ingest Template'!F970 = "Program Type - Live Event"),'Ingest Template'!M970&amp; "|DAR|DAR|"&amp;TEXT('Ingest Template'!C970-3, "yyyy-mm-dd")&amp;"|"&amp;TEXT('Ingest Template'!C970+3, "yyyy-mm-dd"),'Ingest Template'!M970&amp; "|DAR|DAR|2021-01-01")),(IF(OR('Ingest Template'!F970 = "Program Type - Special", 'Ingest Template'!F970 = "Program Type - Live Event"),'Ingest Template'!M970&amp; "|Operations - Core Title|Operations - Core Title|"&amp;TEXT('Ingest Template'!C970-3, "yyyy-mm-dd")&amp;"|"&amp;TEXT('Ingest Template'!C970+3, "yyyy-mm-dd"),'Ingest Template'!M970&amp; "|Operations - Core Title|Operations - Core Title")))</f>
        <v>|Operations - Core Title|Operations - Core Title</v>
      </c>
      <c r="AK970" s="35"/>
      <c r="AL970" s="117" t="str">
        <f>if('Ingest Template'!A970="Standard",(IF(OR('Ingest Template'!F970 = "Program Type - Special", 'Ingest Template'!F970 = "Program Type - Live Event"),'Ingest Template'!Q970&amp;"|"&amp;TEXT('Ingest Template'!C970-3, "yyyy-mm-dd")&amp;"|"&amp;TEXT('Ingest Template'!C970+3, "yyyy-mm-dd"),'Ingest Template'!Q970&amp; "|2021-01-01")),(IF(OR('Ingest Template'!F970 = "Program Type - Special", 'Ingest Template'!F970 = "Program Type - Live Event"),'Ingest Template'!Q970&amp; "|"&amp;TEXT('Ingest Template'!C970-3, "yyyy-mm-dd")&amp;"|"&amp;TEXT('Ingest Template'!C970+3, "yyyy-mm-dd"),'Ingest Template'!Q970)))</f>
        <v/>
      </c>
      <c r="AM970" s="35" t="str">
        <f>'Ingest Template'!AC970</f>
        <v/>
      </c>
    </row>
    <row r="971">
      <c r="A971" s="15"/>
      <c r="B971" s="22" t="str">
        <f>'Ingest Template'!C971&amp;IF('Ingest Template'!A971 = "Standard", " - DAR","")</f>
        <v/>
      </c>
      <c r="C971" s="22" t="s">
        <v>83</v>
      </c>
      <c r="D971" s="22" t="str">
        <f t="array" ref="D971">CONCATENATE(INDEX(DropdownLists!$H$2:$H$11,MATCH(1,COUNTIF('Ingest Template'!E971,"*"&amp;DropdownLists!$I$2:$I$11&amp;"*"),0)),CHAR(10),'Ingest Template'!F971,CHAR(10),'Ingest Template'!G971,CHAR(10),VLOOKUP('Ingest Template'!D971,DropdownLists!C:D,2,FALSE))</f>
        <v>#N/A</v>
      </c>
      <c r="E971" s="22" t="str">
        <f>CONCATENATE('Ingest Template'!H971,CHAR(10),'Ingest Template'!I971,CHAR(10),'Ingest Template'!J971,CHAR(10))</f>
        <v>
</v>
      </c>
      <c r="F971" s="35" t="str">
        <f t="array" ref="F971">INDEX(DropdownLists!$O$2:$O$36,MATCH(1,COUNTIF(E971,"*"&amp;DropdownLists!$N$2:$N$36&amp;"*"),0))</f>
        <v/>
      </c>
      <c r="G971" s="35"/>
      <c r="H971" s="22" t="str">
        <f t="array" ref="H971">INDEX(DropdownLists!$E$2:$E$276,MATCH('Ingest Template'!D971,DropdownLists!$C$2:$C$276,0))</f>
        <v>#N/A</v>
      </c>
      <c r="I971" s="22"/>
      <c r="J971" s="22" t="str">
        <f t="array" ref="J971">iF('Ingest Template'!A971="Standard","Pristine Brand",INDEX(DropdownLists!$B$2:$B$246,MATCH('Ingest Template'!D971,DropdownLists!$C$2:$C$246,0)))</f>
        <v>#N/A</v>
      </c>
      <c r="K971" s="22" t="str">
        <f>iF('Ingest Template'!A971="Standard",'Ingest Template'!K971&amp;CHAR(10)&amp;'Ingest Template'!L971,"Competitive View")</f>
        <v>Competitive View</v>
      </c>
      <c r="L971" s="22" t="s">
        <v>95</v>
      </c>
      <c r="M971" s="45" t="str">
        <f>'Ingest Template'!B971</f>
        <v/>
      </c>
      <c r="N971" s="35"/>
      <c r="O971" s="35"/>
      <c r="P971" s="35"/>
      <c r="Q971" s="35"/>
      <c r="R971" s="35" t="str">
        <f>'Ingest Template'!D971</f>
        <v/>
      </c>
      <c r="S971" s="22" t="s">
        <v>101</v>
      </c>
      <c r="T971" s="35" t="str">
        <f>'Ingest Template'!V971</f>
        <v/>
      </c>
      <c r="U971" s="35" t="str">
        <f>'Ingest Template'!W971</f>
        <v/>
      </c>
      <c r="V971" s="35" t="str">
        <f>LOWER(SUBSTITUTE(SUBSTITUTE(SUBSTITUTE(SUBSTITUTE(SUBSTITUTE('Ingest Template'!X971,"https:",""),"www.",""),"/",""),"?hl=en",""),"instagram.com",""))</f>
        <v/>
      </c>
      <c r="W971" s="74" t="str">
        <f t="array" ref="W971">IF(
'Ingest Template'!Y971="",
SUBSTITUTE(
INDEX(DropdownLists!$F$2:$F$277,MATCH('Ingest Template'!D971,DropdownLists!$C$2:$C$277,0)),
CHAR(10),
"|"&amp;'Ingest Template'!C971&amp;CHAR(10)
)&amp;"|"&amp;'Ingest Template'!C971,
SUBSTITUTE(
INDEX(DropdownLists!$F$2:$F$277,MATCH('Ingest Template'!D971,DropdownLists!$C$2:$C$277,0)),
CHAR(10),
"|"&amp;'Ingest Template'!C971&amp;CHAR(10)
)&amp;"|"&amp;'Ingest Template'!C971&amp;CHAR(10)&amp;'Ingest Template'!Y971
)</f>
        <v>#N/A</v>
      </c>
      <c r="X971" s="74" t="str">
        <f>'Ingest Template'!Z971</f>
        <v/>
      </c>
      <c r="Y971" s="35" t="str">
        <f>SUBSTITUTE(SUBSTITUTE(SUBSTITUTE('Ingest Template'!AA971,"http:",""),"https:",""),"/","")</f>
        <v/>
      </c>
      <c r="Z971" s="35" t="str">
        <f t="array" ref="Z971">IF('Ingest Template'!A971="Standard",(IF(ISBLANK('Ingest Template'!AB971),"", 'Ingest Template'!AB971&amp;"|DAR")),(IF(ISBLANK('Ingest Template'!AB971),"", 'Ingest Template'!AB971&amp;"|TV Ops")))</f>
        <v/>
      </c>
      <c r="AA971" s="35"/>
      <c r="AB971" s="35" t="str">
        <f>'Ingest Template'!R971</f>
        <v/>
      </c>
      <c r="AC971" s="35" t="str">
        <f>'Ingest Template'!T971</f>
        <v/>
      </c>
      <c r="AD971" s="35" t="str">
        <f>'Ingest Template'!S971</f>
        <v/>
      </c>
      <c r="AE971" s="35" t="str">
        <f>'Ingest Template'!U971</f>
        <v/>
      </c>
      <c r="AF971" s="22"/>
      <c r="AG971" s="35" t="str">
        <f t="array" ref="AG971">IF('Ingest Template'!A971="Standard",(CONCATENATE(IF(ISBLANK('Ingest Template'!N971),"", 'Ingest Template'!N971&amp;"|DAR"),CHAR(10), IF(ISBLANK('Ingest Template'!O971),"", 'Ingest Template'!O971&amp;"|DAR"),CHAR(10), IF(ISBLANK('Ingest Template'!P971),"", 'Ingest Template'!P971&amp;"|DAR"))),(CONCATENATE(IF(ISBLANK('Ingest Template'!N971),"", 'Ingest Template'!N971&amp;"|TV Ops"),CHAR(10), IF(ISBLANK('Ingest Template'!O971),"", 'Ingest Template'!O971&amp;"|TV Ops"),CHAR(10), IF(ISBLANK('Ingest Template'!P971),"", 'Ingest Template'!P971&amp;"|TV Ops"))))</f>
        <v>
</v>
      </c>
      <c r="AH971" s="35"/>
      <c r="AI971" s="35"/>
      <c r="AJ971" s="117" t="str">
        <f>if('Ingest Template'!A971="Standard",(IF(OR('Ingest Template'!F971 = "Program Type - Special", 'Ingest Template'!F971 = "Program Type - Live Event"),'Ingest Template'!M971&amp; "|DAR|DAR|"&amp;TEXT('Ingest Template'!C971-3, "yyyy-mm-dd")&amp;"|"&amp;TEXT('Ingest Template'!C971+3, "yyyy-mm-dd"),'Ingest Template'!M971&amp; "|DAR|DAR|2021-01-01")),(IF(OR('Ingest Template'!F971 = "Program Type - Special", 'Ingest Template'!F971 = "Program Type - Live Event"),'Ingest Template'!M971&amp; "|Operations - Core Title|Operations - Core Title|"&amp;TEXT('Ingest Template'!C971-3, "yyyy-mm-dd")&amp;"|"&amp;TEXT('Ingest Template'!C971+3, "yyyy-mm-dd"),'Ingest Template'!M971&amp; "|Operations - Core Title|Operations - Core Title")))</f>
        <v>|Operations - Core Title|Operations - Core Title</v>
      </c>
      <c r="AK971" s="35"/>
      <c r="AL971" s="117" t="str">
        <f>if('Ingest Template'!A971="Standard",(IF(OR('Ingest Template'!F971 = "Program Type - Special", 'Ingest Template'!F971 = "Program Type - Live Event"),'Ingest Template'!Q971&amp;"|"&amp;TEXT('Ingest Template'!C971-3, "yyyy-mm-dd")&amp;"|"&amp;TEXT('Ingest Template'!C971+3, "yyyy-mm-dd"),'Ingest Template'!Q971&amp; "|2021-01-01")),(IF(OR('Ingest Template'!F971 = "Program Type - Special", 'Ingest Template'!F971 = "Program Type - Live Event"),'Ingest Template'!Q971&amp; "|"&amp;TEXT('Ingest Template'!C971-3, "yyyy-mm-dd")&amp;"|"&amp;TEXT('Ingest Template'!C971+3, "yyyy-mm-dd"),'Ingest Template'!Q971)))</f>
        <v/>
      </c>
      <c r="AM971" s="35" t="str">
        <f>'Ingest Template'!AC971</f>
        <v/>
      </c>
    </row>
    <row r="972">
      <c r="A972" s="15"/>
      <c r="B972" s="22" t="str">
        <f>'Ingest Template'!C972&amp;IF('Ingest Template'!A972 = "Standard", " - DAR","")</f>
        <v/>
      </c>
      <c r="C972" s="22" t="s">
        <v>83</v>
      </c>
      <c r="D972" s="22" t="str">
        <f t="array" ref="D972">CONCATENATE(INDEX(DropdownLists!$H$2:$H$11,MATCH(1,COUNTIF('Ingest Template'!E972,"*"&amp;DropdownLists!$I$2:$I$11&amp;"*"),0)),CHAR(10),'Ingest Template'!F972,CHAR(10),'Ingest Template'!G972,CHAR(10),VLOOKUP('Ingest Template'!D972,DropdownLists!C:D,2,FALSE))</f>
        <v>#N/A</v>
      </c>
      <c r="E972" s="22" t="str">
        <f>CONCATENATE('Ingest Template'!H972,CHAR(10),'Ingest Template'!I972,CHAR(10),'Ingest Template'!J972,CHAR(10))</f>
        <v>
</v>
      </c>
      <c r="F972" s="35" t="str">
        <f t="array" ref="F972">INDEX(DropdownLists!$O$2:$O$36,MATCH(1,COUNTIF(E972,"*"&amp;DropdownLists!$N$2:$N$36&amp;"*"),0))</f>
        <v/>
      </c>
      <c r="G972" s="35"/>
      <c r="H972" s="22" t="str">
        <f t="array" ref="H972">INDEX(DropdownLists!$E$2:$E$276,MATCH('Ingest Template'!D972,DropdownLists!$C$2:$C$276,0))</f>
        <v>#N/A</v>
      </c>
      <c r="I972" s="22"/>
      <c r="J972" s="22" t="str">
        <f t="array" ref="J972">iF('Ingest Template'!A972="Standard","Pristine Brand",INDEX(DropdownLists!$B$2:$B$246,MATCH('Ingest Template'!D972,DropdownLists!$C$2:$C$246,0)))</f>
        <v>#N/A</v>
      </c>
      <c r="K972" s="22" t="str">
        <f>iF('Ingest Template'!A972="Standard",'Ingest Template'!K972&amp;CHAR(10)&amp;'Ingest Template'!L972,"Competitive View")</f>
        <v>Competitive View</v>
      </c>
      <c r="L972" s="22" t="s">
        <v>95</v>
      </c>
      <c r="M972" s="45" t="str">
        <f>'Ingest Template'!B972</f>
        <v/>
      </c>
      <c r="N972" s="35"/>
      <c r="O972" s="35"/>
      <c r="P972" s="35"/>
      <c r="Q972" s="35"/>
      <c r="R972" s="35" t="str">
        <f>'Ingest Template'!D972</f>
        <v/>
      </c>
      <c r="S972" s="22" t="s">
        <v>101</v>
      </c>
      <c r="T972" s="35" t="str">
        <f>'Ingest Template'!V972</f>
        <v/>
      </c>
      <c r="U972" s="35" t="str">
        <f>'Ingest Template'!W972</f>
        <v/>
      </c>
      <c r="V972" s="35" t="str">
        <f>LOWER(SUBSTITUTE(SUBSTITUTE(SUBSTITUTE(SUBSTITUTE(SUBSTITUTE('Ingest Template'!X972,"https:",""),"www.",""),"/",""),"?hl=en",""),"instagram.com",""))</f>
        <v/>
      </c>
      <c r="W972" s="74" t="str">
        <f t="array" ref="W972">IF(
'Ingest Template'!Y972="",
SUBSTITUTE(
INDEX(DropdownLists!$F$2:$F$277,MATCH('Ingest Template'!D972,DropdownLists!$C$2:$C$277,0)),
CHAR(10),
"|"&amp;'Ingest Template'!C972&amp;CHAR(10)
)&amp;"|"&amp;'Ingest Template'!C972,
SUBSTITUTE(
INDEX(DropdownLists!$F$2:$F$277,MATCH('Ingest Template'!D972,DropdownLists!$C$2:$C$277,0)),
CHAR(10),
"|"&amp;'Ingest Template'!C972&amp;CHAR(10)
)&amp;"|"&amp;'Ingest Template'!C972&amp;CHAR(10)&amp;'Ingest Template'!Y972
)</f>
        <v>#N/A</v>
      </c>
      <c r="X972" s="74" t="str">
        <f>'Ingest Template'!Z972</f>
        <v/>
      </c>
      <c r="Y972" s="35" t="str">
        <f>SUBSTITUTE(SUBSTITUTE(SUBSTITUTE('Ingest Template'!AA972,"http:",""),"https:",""),"/","")</f>
        <v/>
      </c>
      <c r="Z972" s="35" t="str">
        <f t="array" ref="Z972">IF('Ingest Template'!A972="Standard",(IF(ISBLANK('Ingest Template'!AB972),"", 'Ingest Template'!AB972&amp;"|DAR")),(IF(ISBLANK('Ingest Template'!AB972),"", 'Ingest Template'!AB972&amp;"|TV Ops")))</f>
        <v/>
      </c>
      <c r="AA972" s="35"/>
      <c r="AB972" s="35" t="str">
        <f>'Ingest Template'!R972</f>
        <v/>
      </c>
      <c r="AC972" s="35" t="str">
        <f>'Ingest Template'!T972</f>
        <v/>
      </c>
      <c r="AD972" s="35" t="str">
        <f>'Ingest Template'!S972</f>
        <v/>
      </c>
      <c r="AE972" s="35" t="str">
        <f>'Ingest Template'!U972</f>
        <v/>
      </c>
      <c r="AF972" s="22"/>
      <c r="AG972" s="35" t="str">
        <f t="array" ref="AG972">IF('Ingest Template'!A972="Standard",(CONCATENATE(IF(ISBLANK('Ingest Template'!N972),"", 'Ingest Template'!N972&amp;"|DAR"),CHAR(10), IF(ISBLANK('Ingest Template'!O972),"", 'Ingest Template'!O972&amp;"|DAR"),CHAR(10), IF(ISBLANK('Ingest Template'!P972),"", 'Ingest Template'!P972&amp;"|DAR"))),(CONCATENATE(IF(ISBLANK('Ingest Template'!N972),"", 'Ingest Template'!N972&amp;"|TV Ops"),CHAR(10), IF(ISBLANK('Ingest Template'!O972),"", 'Ingest Template'!O972&amp;"|TV Ops"),CHAR(10), IF(ISBLANK('Ingest Template'!P972),"", 'Ingest Template'!P972&amp;"|TV Ops"))))</f>
        <v>
</v>
      </c>
      <c r="AH972" s="35"/>
      <c r="AI972" s="35"/>
      <c r="AJ972" s="117" t="str">
        <f>if('Ingest Template'!A972="Standard",(IF(OR('Ingest Template'!F972 = "Program Type - Special", 'Ingest Template'!F972 = "Program Type - Live Event"),'Ingest Template'!M972&amp; "|DAR|DAR|"&amp;TEXT('Ingest Template'!C972-3, "yyyy-mm-dd")&amp;"|"&amp;TEXT('Ingest Template'!C972+3, "yyyy-mm-dd"),'Ingest Template'!M972&amp; "|DAR|DAR|2021-01-01")),(IF(OR('Ingest Template'!F972 = "Program Type - Special", 'Ingest Template'!F972 = "Program Type - Live Event"),'Ingest Template'!M972&amp; "|Operations - Core Title|Operations - Core Title|"&amp;TEXT('Ingest Template'!C972-3, "yyyy-mm-dd")&amp;"|"&amp;TEXT('Ingest Template'!C972+3, "yyyy-mm-dd"),'Ingest Template'!M972&amp; "|Operations - Core Title|Operations - Core Title")))</f>
        <v>|Operations - Core Title|Operations - Core Title</v>
      </c>
      <c r="AK972" s="35"/>
      <c r="AL972" s="117" t="str">
        <f>if('Ingest Template'!A972="Standard",(IF(OR('Ingest Template'!F972 = "Program Type - Special", 'Ingest Template'!F972 = "Program Type - Live Event"),'Ingest Template'!Q972&amp;"|"&amp;TEXT('Ingest Template'!C972-3, "yyyy-mm-dd")&amp;"|"&amp;TEXT('Ingest Template'!C972+3, "yyyy-mm-dd"),'Ingest Template'!Q972&amp; "|2021-01-01")),(IF(OR('Ingest Template'!F972 = "Program Type - Special", 'Ingest Template'!F972 = "Program Type - Live Event"),'Ingest Template'!Q972&amp; "|"&amp;TEXT('Ingest Template'!C972-3, "yyyy-mm-dd")&amp;"|"&amp;TEXT('Ingest Template'!C972+3, "yyyy-mm-dd"),'Ingest Template'!Q972)))</f>
        <v/>
      </c>
      <c r="AM972" s="35" t="str">
        <f>'Ingest Template'!AC972</f>
        <v/>
      </c>
    </row>
    <row r="973">
      <c r="A973" s="15"/>
      <c r="B973" s="22" t="str">
        <f>'Ingest Template'!C973&amp;IF('Ingest Template'!A973 = "Standard", " - DAR","")</f>
        <v/>
      </c>
      <c r="C973" s="22" t="s">
        <v>83</v>
      </c>
      <c r="D973" s="22" t="str">
        <f t="array" ref="D973">CONCATENATE(INDEX(DropdownLists!$H$2:$H$11,MATCH(1,COUNTIF('Ingest Template'!E973,"*"&amp;DropdownLists!$I$2:$I$11&amp;"*"),0)),CHAR(10),'Ingest Template'!F973,CHAR(10),'Ingest Template'!G973,CHAR(10),VLOOKUP('Ingest Template'!D973,DropdownLists!C:D,2,FALSE))</f>
        <v>#N/A</v>
      </c>
      <c r="E973" s="22" t="str">
        <f>CONCATENATE('Ingest Template'!H973,CHAR(10),'Ingest Template'!I973,CHAR(10),'Ingest Template'!J973,CHAR(10))</f>
        <v>
</v>
      </c>
      <c r="F973" s="35" t="str">
        <f t="array" ref="F973">INDEX(DropdownLists!$O$2:$O$36,MATCH(1,COUNTIF(E973,"*"&amp;DropdownLists!$N$2:$N$36&amp;"*"),0))</f>
        <v/>
      </c>
      <c r="G973" s="35"/>
      <c r="H973" s="22" t="str">
        <f t="array" ref="H973">INDEX(DropdownLists!$E$2:$E$276,MATCH('Ingest Template'!D973,DropdownLists!$C$2:$C$276,0))</f>
        <v>#N/A</v>
      </c>
      <c r="I973" s="22"/>
      <c r="J973" s="22" t="str">
        <f t="array" ref="J973">iF('Ingest Template'!A973="Standard","Pristine Brand",INDEX(DropdownLists!$B$2:$B$246,MATCH('Ingest Template'!D973,DropdownLists!$C$2:$C$246,0)))</f>
        <v>#N/A</v>
      </c>
      <c r="K973" s="22" t="str">
        <f>iF('Ingest Template'!A973="Standard",'Ingest Template'!K973&amp;CHAR(10)&amp;'Ingest Template'!L973,"Competitive View")</f>
        <v>Competitive View</v>
      </c>
      <c r="L973" s="22" t="s">
        <v>95</v>
      </c>
      <c r="M973" s="45" t="str">
        <f>'Ingest Template'!B973</f>
        <v/>
      </c>
      <c r="N973" s="35"/>
      <c r="O973" s="35"/>
      <c r="P973" s="35"/>
      <c r="Q973" s="35"/>
      <c r="R973" s="35" t="str">
        <f>'Ingest Template'!D973</f>
        <v/>
      </c>
      <c r="S973" s="22" t="s">
        <v>101</v>
      </c>
      <c r="T973" s="35" t="str">
        <f>'Ingest Template'!V973</f>
        <v/>
      </c>
      <c r="U973" s="35" t="str">
        <f>'Ingest Template'!W973</f>
        <v/>
      </c>
      <c r="V973" s="35" t="str">
        <f>LOWER(SUBSTITUTE(SUBSTITUTE(SUBSTITUTE(SUBSTITUTE(SUBSTITUTE('Ingest Template'!X973,"https:",""),"www.",""),"/",""),"?hl=en",""),"instagram.com",""))</f>
        <v/>
      </c>
      <c r="W973" s="74" t="str">
        <f t="array" ref="W973">IF(
'Ingest Template'!Y973="",
SUBSTITUTE(
INDEX(DropdownLists!$F$2:$F$277,MATCH('Ingest Template'!D973,DropdownLists!$C$2:$C$277,0)),
CHAR(10),
"|"&amp;'Ingest Template'!C973&amp;CHAR(10)
)&amp;"|"&amp;'Ingest Template'!C973,
SUBSTITUTE(
INDEX(DropdownLists!$F$2:$F$277,MATCH('Ingest Template'!D973,DropdownLists!$C$2:$C$277,0)),
CHAR(10),
"|"&amp;'Ingest Template'!C973&amp;CHAR(10)
)&amp;"|"&amp;'Ingest Template'!C973&amp;CHAR(10)&amp;'Ingest Template'!Y973
)</f>
        <v>#N/A</v>
      </c>
      <c r="X973" s="74" t="str">
        <f>'Ingest Template'!Z973</f>
        <v/>
      </c>
      <c r="Y973" s="35" t="str">
        <f>SUBSTITUTE(SUBSTITUTE(SUBSTITUTE('Ingest Template'!AA973,"http:",""),"https:",""),"/","")</f>
        <v/>
      </c>
      <c r="Z973" s="35" t="str">
        <f t="array" ref="Z973">IF('Ingest Template'!A973="Standard",(IF(ISBLANK('Ingest Template'!AB973),"", 'Ingest Template'!AB973&amp;"|DAR")),(IF(ISBLANK('Ingest Template'!AB973),"", 'Ingest Template'!AB973&amp;"|TV Ops")))</f>
        <v/>
      </c>
      <c r="AA973" s="35"/>
      <c r="AB973" s="35" t="str">
        <f>'Ingest Template'!R973</f>
        <v/>
      </c>
      <c r="AC973" s="35" t="str">
        <f>'Ingest Template'!T973</f>
        <v/>
      </c>
      <c r="AD973" s="35" t="str">
        <f>'Ingest Template'!S973</f>
        <v/>
      </c>
      <c r="AE973" s="35" t="str">
        <f>'Ingest Template'!U973</f>
        <v/>
      </c>
      <c r="AF973" s="22"/>
      <c r="AG973" s="35" t="str">
        <f t="array" ref="AG973">IF('Ingest Template'!A973="Standard",(CONCATENATE(IF(ISBLANK('Ingest Template'!N973),"", 'Ingest Template'!N973&amp;"|DAR"),CHAR(10), IF(ISBLANK('Ingest Template'!O973),"", 'Ingest Template'!O973&amp;"|DAR"),CHAR(10), IF(ISBLANK('Ingest Template'!P973),"", 'Ingest Template'!P973&amp;"|DAR"))),(CONCATENATE(IF(ISBLANK('Ingest Template'!N973),"", 'Ingest Template'!N973&amp;"|TV Ops"),CHAR(10), IF(ISBLANK('Ingest Template'!O973),"", 'Ingest Template'!O973&amp;"|TV Ops"),CHAR(10), IF(ISBLANK('Ingest Template'!P973),"", 'Ingest Template'!P973&amp;"|TV Ops"))))</f>
        <v>
</v>
      </c>
      <c r="AH973" s="35"/>
      <c r="AI973" s="35"/>
      <c r="AJ973" s="117" t="str">
        <f>if('Ingest Template'!A973="Standard",(IF(OR('Ingest Template'!F973 = "Program Type - Special", 'Ingest Template'!F973 = "Program Type - Live Event"),'Ingest Template'!M973&amp; "|DAR|DAR|"&amp;TEXT('Ingest Template'!C973-3, "yyyy-mm-dd")&amp;"|"&amp;TEXT('Ingest Template'!C973+3, "yyyy-mm-dd"),'Ingest Template'!M973&amp; "|DAR|DAR|2021-01-01")),(IF(OR('Ingest Template'!F973 = "Program Type - Special", 'Ingest Template'!F973 = "Program Type - Live Event"),'Ingest Template'!M973&amp; "|Operations - Core Title|Operations - Core Title|"&amp;TEXT('Ingest Template'!C973-3, "yyyy-mm-dd")&amp;"|"&amp;TEXT('Ingest Template'!C973+3, "yyyy-mm-dd"),'Ingest Template'!M973&amp; "|Operations - Core Title|Operations - Core Title")))</f>
        <v>|Operations - Core Title|Operations - Core Title</v>
      </c>
      <c r="AK973" s="35"/>
      <c r="AL973" s="117" t="str">
        <f>if('Ingest Template'!A973="Standard",(IF(OR('Ingest Template'!F973 = "Program Type - Special", 'Ingest Template'!F973 = "Program Type - Live Event"),'Ingest Template'!Q973&amp;"|"&amp;TEXT('Ingest Template'!C973-3, "yyyy-mm-dd")&amp;"|"&amp;TEXT('Ingest Template'!C973+3, "yyyy-mm-dd"),'Ingest Template'!Q973&amp; "|2021-01-01")),(IF(OR('Ingest Template'!F973 = "Program Type - Special", 'Ingest Template'!F973 = "Program Type - Live Event"),'Ingest Template'!Q973&amp; "|"&amp;TEXT('Ingest Template'!C973-3, "yyyy-mm-dd")&amp;"|"&amp;TEXT('Ingest Template'!C973+3, "yyyy-mm-dd"),'Ingest Template'!Q973)))</f>
        <v/>
      </c>
      <c r="AM973" s="35" t="str">
        <f>'Ingest Template'!AC973</f>
        <v/>
      </c>
    </row>
    <row r="974">
      <c r="A974" s="15"/>
      <c r="B974" s="22" t="str">
        <f>'Ingest Template'!C974&amp;IF('Ingest Template'!A974 = "Standard", " - DAR","")</f>
        <v/>
      </c>
      <c r="C974" s="22" t="s">
        <v>83</v>
      </c>
      <c r="D974" s="22" t="str">
        <f t="array" ref="D974">CONCATENATE(INDEX(DropdownLists!$H$2:$H$11,MATCH(1,COUNTIF('Ingest Template'!E974,"*"&amp;DropdownLists!$I$2:$I$11&amp;"*"),0)),CHAR(10),'Ingest Template'!F974,CHAR(10),'Ingest Template'!G974,CHAR(10),VLOOKUP('Ingest Template'!D974,DropdownLists!C:D,2,FALSE))</f>
        <v>#N/A</v>
      </c>
      <c r="E974" s="22" t="str">
        <f>CONCATENATE('Ingest Template'!H974,CHAR(10),'Ingest Template'!I974,CHAR(10),'Ingest Template'!J974,CHAR(10))</f>
        <v>
</v>
      </c>
      <c r="F974" s="35" t="str">
        <f t="array" ref="F974">INDEX(DropdownLists!$O$2:$O$36,MATCH(1,COUNTIF(E974,"*"&amp;DropdownLists!$N$2:$N$36&amp;"*"),0))</f>
        <v/>
      </c>
      <c r="G974" s="35"/>
      <c r="H974" s="22" t="str">
        <f t="array" ref="H974">INDEX(DropdownLists!$E$2:$E$276,MATCH('Ingest Template'!D974,DropdownLists!$C$2:$C$276,0))</f>
        <v>#N/A</v>
      </c>
      <c r="I974" s="22"/>
      <c r="J974" s="22" t="str">
        <f t="array" ref="J974">iF('Ingest Template'!A974="Standard","Pristine Brand",INDEX(DropdownLists!$B$2:$B$246,MATCH('Ingest Template'!D974,DropdownLists!$C$2:$C$246,0)))</f>
        <v>#N/A</v>
      </c>
      <c r="K974" s="22" t="str">
        <f>iF('Ingest Template'!A974="Standard",'Ingest Template'!K974&amp;CHAR(10)&amp;'Ingest Template'!L974,"Competitive View")</f>
        <v>Competitive View</v>
      </c>
      <c r="L974" s="22" t="s">
        <v>95</v>
      </c>
      <c r="M974" s="45" t="str">
        <f>'Ingest Template'!B974</f>
        <v/>
      </c>
      <c r="N974" s="35"/>
      <c r="O974" s="35"/>
      <c r="P974" s="35"/>
      <c r="Q974" s="35"/>
      <c r="R974" s="35" t="str">
        <f>'Ingest Template'!D974</f>
        <v/>
      </c>
      <c r="S974" s="22" t="s">
        <v>101</v>
      </c>
      <c r="T974" s="35" t="str">
        <f>'Ingest Template'!V974</f>
        <v/>
      </c>
      <c r="U974" s="35" t="str">
        <f>'Ingest Template'!W974</f>
        <v/>
      </c>
      <c r="V974" s="35" t="str">
        <f>LOWER(SUBSTITUTE(SUBSTITUTE(SUBSTITUTE(SUBSTITUTE(SUBSTITUTE('Ingest Template'!X974,"https:",""),"www.",""),"/",""),"?hl=en",""),"instagram.com",""))</f>
        <v/>
      </c>
      <c r="W974" s="74" t="str">
        <f t="array" ref="W974">IF(
'Ingest Template'!Y974="",
SUBSTITUTE(
INDEX(DropdownLists!$F$2:$F$277,MATCH('Ingest Template'!D974,DropdownLists!$C$2:$C$277,0)),
CHAR(10),
"|"&amp;'Ingest Template'!C974&amp;CHAR(10)
)&amp;"|"&amp;'Ingest Template'!C974,
SUBSTITUTE(
INDEX(DropdownLists!$F$2:$F$277,MATCH('Ingest Template'!D974,DropdownLists!$C$2:$C$277,0)),
CHAR(10),
"|"&amp;'Ingest Template'!C974&amp;CHAR(10)
)&amp;"|"&amp;'Ingest Template'!C974&amp;CHAR(10)&amp;'Ingest Template'!Y974
)</f>
        <v>#N/A</v>
      </c>
      <c r="X974" s="74" t="str">
        <f>'Ingest Template'!Z974</f>
        <v/>
      </c>
      <c r="Y974" s="35" t="str">
        <f>SUBSTITUTE(SUBSTITUTE(SUBSTITUTE('Ingest Template'!AA974,"http:",""),"https:",""),"/","")</f>
        <v/>
      </c>
      <c r="Z974" s="35" t="str">
        <f t="array" ref="Z974">IF('Ingest Template'!A974="Standard",(IF(ISBLANK('Ingest Template'!AB974),"", 'Ingest Template'!AB974&amp;"|DAR")),(IF(ISBLANK('Ingest Template'!AB974),"", 'Ingest Template'!AB974&amp;"|TV Ops")))</f>
        <v/>
      </c>
      <c r="AA974" s="35"/>
      <c r="AB974" s="35" t="str">
        <f>'Ingest Template'!R974</f>
        <v/>
      </c>
      <c r="AC974" s="35" t="str">
        <f>'Ingest Template'!T974</f>
        <v/>
      </c>
      <c r="AD974" s="35" t="str">
        <f>'Ingest Template'!S974</f>
        <v/>
      </c>
      <c r="AE974" s="35" t="str">
        <f>'Ingest Template'!U974</f>
        <v/>
      </c>
      <c r="AF974" s="22"/>
      <c r="AG974" s="35" t="str">
        <f t="array" ref="AG974">IF('Ingest Template'!A974="Standard",(CONCATENATE(IF(ISBLANK('Ingest Template'!N974),"", 'Ingest Template'!N974&amp;"|DAR"),CHAR(10), IF(ISBLANK('Ingest Template'!O974),"", 'Ingest Template'!O974&amp;"|DAR"),CHAR(10), IF(ISBLANK('Ingest Template'!P974),"", 'Ingest Template'!P974&amp;"|DAR"))),(CONCATENATE(IF(ISBLANK('Ingest Template'!N974),"", 'Ingest Template'!N974&amp;"|TV Ops"),CHAR(10), IF(ISBLANK('Ingest Template'!O974),"", 'Ingest Template'!O974&amp;"|TV Ops"),CHAR(10), IF(ISBLANK('Ingest Template'!P974),"", 'Ingest Template'!P974&amp;"|TV Ops"))))</f>
        <v>
</v>
      </c>
      <c r="AH974" s="35"/>
      <c r="AI974" s="35"/>
      <c r="AJ974" s="117" t="str">
        <f>if('Ingest Template'!A974="Standard",(IF(OR('Ingest Template'!F974 = "Program Type - Special", 'Ingest Template'!F974 = "Program Type - Live Event"),'Ingest Template'!M974&amp; "|DAR|DAR|"&amp;TEXT('Ingest Template'!C974-3, "yyyy-mm-dd")&amp;"|"&amp;TEXT('Ingest Template'!C974+3, "yyyy-mm-dd"),'Ingest Template'!M974&amp; "|DAR|DAR|2021-01-01")),(IF(OR('Ingest Template'!F974 = "Program Type - Special", 'Ingest Template'!F974 = "Program Type - Live Event"),'Ingest Template'!M974&amp; "|Operations - Core Title|Operations - Core Title|"&amp;TEXT('Ingest Template'!C974-3, "yyyy-mm-dd")&amp;"|"&amp;TEXT('Ingest Template'!C974+3, "yyyy-mm-dd"),'Ingest Template'!M974&amp; "|Operations - Core Title|Operations - Core Title")))</f>
        <v>|Operations - Core Title|Operations - Core Title</v>
      </c>
      <c r="AK974" s="35"/>
      <c r="AL974" s="117" t="str">
        <f>if('Ingest Template'!A974="Standard",(IF(OR('Ingest Template'!F974 = "Program Type - Special", 'Ingest Template'!F974 = "Program Type - Live Event"),'Ingest Template'!Q974&amp;"|"&amp;TEXT('Ingest Template'!C974-3, "yyyy-mm-dd")&amp;"|"&amp;TEXT('Ingest Template'!C974+3, "yyyy-mm-dd"),'Ingest Template'!Q974&amp; "|2021-01-01")),(IF(OR('Ingest Template'!F974 = "Program Type - Special", 'Ingest Template'!F974 = "Program Type - Live Event"),'Ingest Template'!Q974&amp; "|"&amp;TEXT('Ingest Template'!C974-3, "yyyy-mm-dd")&amp;"|"&amp;TEXT('Ingest Template'!C974+3, "yyyy-mm-dd"),'Ingest Template'!Q974)))</f>
        <v/>
      </c>
      <c r="AM974" s="35" t="str">
        <f>'Ingest Template'!AC974</f>
        <v/>
      </c>
    </row>
    <row r="975">
      <c r="A975" s="15"/>
      <c r="B975" s="22" t="str">
        <f>'Ingest Template'!C975&amp;IF('Ingest Template'!A975 = "Standard", " - DAR","")</f>
        <v/>
      </c>
      <c r="C975" s="22" t="s">
        <v>83</v>
      </c>
      <c r="D975" s="22" t="str">
        <f t="array" ref="D975">CONCATENATE(INDEX(DropdownLists!$H$2:$H$11,MATCH(1,COUNTIF('Ingest Template'!E975,"*"&amp;DropdownLists!$I$2:$I$11&amp;"*"),0)),CHAR(10),'Ingest Template'!F975,CHAR(10),'Ingest Template'!G975,CHAR(10),VLOOKUP('Ingest Template'!D975,DropdownLists!C:D,2,FALSE))</f>
        <v>#N/A</v>
      </c>
      <c r="E975" s="22" t="str">
        <f>CONCATENATE('Ingest Template'!H975,CHAR(10),'Ingest Template'!I975,CHAR(10),'Ingest Template'!J975,CHAR(10))</f>
        <v>
</v>
      </c>
      <c r="F975" s="35" t="str">
        <f t="array" ref="F975">INDEX(DropdownLists!$O$2:$O$36,MATCH(1,COUNTIF(E975,"*"&amp;DropdownLists!$N$2:$N$36&amp;"*"),0))</f>
        <v/>
      </c>
      <c r="G975" s="35"/>
      <c r="H975" s="22" t="str">
        <f t="array" ref="H975">INDEX(DropdownLists!$E$2:$E$276,MATCH('Ingest Template'!D975,DropdownLists!$C$2:$C$276,0))</f>
        <v>#N/A</v>
      </c>
      <c r="I975" s="22"/>
      <c r="J975" s="22" t="str">
        <f t="array" ref="J975">iF('Ingest Template'!A975="Standard","Pristine Brand",INDEX(DropdownLists!$B$2:$B$246,MATCH('Ingest Template'!D975,DropdownLists!$C$2:$C$246,0)))</f>
        <v>#N/A</v>
      </c>
      <c r="K975" s="22" t="str">
        <f>iF('Ingest Template'!A975="Standard",'Ingest Template'!K975&amp;CHAR(10)&amp;'Ingest Template'!L975,"Competitive View")</f>
        <v>Competitive View</v>
      </c>
      <c r="L975" s="22" t="s">
        <v>95</v>
      </c>
      <c r="M975" s="45" t="str">
        <f>'Ingest Template'!B975</f>
        <v/>
      </c>
      <c r="N975" s="35"/>
      <c r="O975" s="35"/>
      <c r="P975" s="35"/>
      <c r="Q975" s="35"/>
      <c r="R975" s="35" t="str">
        <f>'Ingest Template'!D975</f>
        <v/>
      </c>
      <c r="S975" s="22" t="s">
        <v>101</v>
      </c>
      <c r="T975" s="35" t="str">
        <f>'Ingest Template'!V975</f>
        <v/>
      </c>
      <c r="U975" s="35" t="str">
        <f>'Ingest Template'!W975</f>
        <v/>
      </c>
      <c r="V975" s="35" t="str">
        <f>LOWER(SUBSTITUTE(SUBSTITUTE(SUBSTITUTE(SUBSTITUTE(SUBSTITUTE('Ingest Template'!X975,"https:",""),"www.",""),"/",""),"?hl=en",""),"instagram.com",""))</f>
        <v/>
      </c>
      <c r="W975" s="74" t="str">
        <f t="array" ref="W975">IF(
'Ingest Template'!Y975="",
SUBSTITUTE(
INDEX(DropdownLists!$F$2:$F$277,MATCH('Ingest Template'!D975,DropdownLists!$C$2:$C$277,0)),
CHAR(10),
"|"&amp;'Ingest Template'!C975&amp;CHAR(10)
)&amp;"|"&amp;'Ingest Template'!C975,
SUBSTITUTE(
INDEX(DropdownLists!$F$2:$F$277,MATCH('Ingest Template'!D975,DropdownLists!$C$2:$C$277,0)),
CHAR(10),
"|"&amp;'Ingest Template'!C975&amp;CHAR(10)
)&amp;"|"&amp;'Ingest Template'!C975&amp;CHAR(10)&amp;'Ingest Template'!Y975
)</f>
        <v>#N/A</v>
      </c>
      <c r="X975" s="74" t="str">
        <f>'Ingest Template'!Z975</f>
        <v/>
      </c>
      <c r="Y975" s="35" t="str">
        <f>SUBSTITUTE(SUBSTITUTE(SUBSTITUTE('Ingest Template'!AA975,"http:",""),"https:",""),"/","")</f>
        <v/>
      </c>
      <c r="Z975" s="35" t="str">
        <f t="array" ref="Z975">IF('Ingest Template'!A975="Standard",(IF(ISBLANK('Ingest Template'!AB975),"", 'Ingest Template'!AB975&amp;"|DAR")),(IF(ISBLANK('Ingest Template'!AB975),"", 'Ingest Template'!AB975&amp;"|TV Ops")))</f>
        <v/>
      </c>
      <c r="AA975" s="35"/>
      <c r="AB975" s="35" t="str">
        <f>'Ingest Template'!R975</f>
        <v/>
      </c>
      <c r="AC975" s="35" t="str">
        <f>'Ingest Template'!T975</f>
        <v/>
      </c>
      <c r="AD975" s="35" t="str">
        <f>'Ingest Template'!S975</f>
        <v/>
      </c>
      <c r="AE975" s="35" t="str">
        <f>'Ingest Template'!U975</f>
        <v/>
      </c>
      <c r="AF975" s="22"/>
      <c r="AG975" s="35" t="str">
        <f t="array" ref="AG975">IF('Ingest Template'!A975="Standard",(CONCATENATE(IF(ISBLANK('Ingest Template'!N975),"", 'Ingest Template'!N975&amp;"|DAR"),CHAR(10), IF(ISBLANK('Ingest Template'!O975),"", 'Ingest Template'!O975&amp;"|DAR"),CHAR(10), IF(ISBLANK('Ingest Template'!P975),"", 'Ingest Template'!P975&amp;"|DAR"))),(CONCATENATE(IF(ISBLANK('Ingest Template'!N975),"", 'Ingest Template'!N975&amp;"|TV Ops"),CHAR(10), IF(ISBLANK('Ingest Template'!O975),"", 'Ingest Template'!O975&amp;"|TV Ops"),CHAR(10), IF(ISBLANK('Ingest Template'!P975),"", 'Ingest Template'!P975&amp;"|TV Ops"))))</f>
        <v>
</v>
      </c>
      <c r="AH975" s="35"/>
      <c r="AI975" s="35"/>
      <c r="AJ975" s="117" t="str">
        <f>if('Ingest Template'!A975="Standard",(IF(OR('Ingest Template'!F975 = "Program Type - Special", 'Ingest Template'!F975 = "Program Type - Live Event"),'Ingest Template'!M975&amp; "|DAR|DAR|"&amp;TEXT('Ingest Template'!C975-3, "yyyy-mm-dd")&amp;"|"&amp;TEXT('Ingest Template'!C975+3, "yyyy-mm-dd"),'Ingest Template'!M975&amp; "|DAR|DAR|2021-01-01")),(IF(OR('Ingest Template'!F975 = "Program Type - Special", 'Ingest Template'!F975 = "Program Type - Live Event"),'Ingest Template'!M975&amp; "|Operations - Core Title|Operations - Core Title|"&amp;TEXT('Ingest Template'!C975-3, "yyyy-mm-dd")&amp;"|"&amp;TEXT('Ingest Template'!C975+3, "yyyy-mm-dd"),'Ingest Template'!M975&amp; "|Operations - Core Title|Operations - Core Title")))</f>
        <v>|Operations - Core Title|Operations - Core Title</v>
      </c>
      <c r="AK975" s="35"/>
      <c r="AL975" s="117" t="str">
        <f>if('Ingest Template'!A975="Standard",(IF(OR('Ingest Template'!F975 = "Program Type - Special", 'Ingest Template'!F975 = "Program Type - Live Event"),'Ingest Template'!Q975&amp;"|"&amp;TEXT('Ingest Template'!C975-3, "yyyy-mm-dd")&amp;"|"&amp;TEXT('Ingest Template'!C975+3, "yyyy-mm-dd"),'Ingest Template'!Q975&amp; "|2021-01-01")),(IF(OR('Ingest Template'!F975 = "Program Type - Special", 'Ingest Template'!F975 = "Program Type - Live Event"),'Ingest Template'!Q975&amp; "|"&amp;TEXT('Ingest Template'!C975-3, "yyyy-mm-dd")&amp;"|"&amp;TEXT('Ingest Template'!C975+3, "yyyy-mm-dd"),'Ingest Template'!Q975)))</f>
        <v/>
      </c>
      <c r="AM975" s="35" t="str">
        <f>'Ingest Template'!AC975</f>
        <v/>
      </c>
    </row>
    <row r="976">
      <c r="A976" s="15"/>
      <c r="B976" s="22" t="str">
        <f>'Ingest Template'!C976&amp;IF('Ingest Template'!A976 = "Standard", " - DAR","")</f>
        <v/>
      </c>
      <c r="C976" s="22" t="s">
        <v>83</v>
      </c>
      <c r="D976" s="22" t="str">
        <f t="array" ref="D976">CONCATENATE(INDEX(DropdownLists!$H$2:$H$11,MATCH(1,COUNTIF('Ingest Template'!E976,"*"&amp;DropdownLists!$I$2:$I$11&amp;"*"),0)),CHAR(10),'Ingest Template'!F976,CHAR(10),'Ingest Template'!G976,CHAR(10),VLOOKUP('Ingest Template'!D976,DropdownLists!C:D,2,FALSE))</f>
        <v>#N/A</v>
      </c>
      <c r="E976" s="22" t="str">
        <f>CONCATENATE('Ingest Template'!H976,CHAR(10),'Ingest Template'!I976,CHAR(10),'Ingest Template'!J976,CHAR(10))</f>
        <v>
</v>
      </c>
      <c r="F976" s="35" t="str">
        <f t="array" ref="F976">INDEX(DropdownLists!$O$2:$O$36,MATCH(1,COUNTIF(E976,"*"&amp;DropdownLists!$N$2:$N$36&amp;"*"),0))</f>
        <v/>
      </c>
      <c r="G976" s="35"/>
      <c r="H976" s="22" t="str">
        <f t="array" ref="H976">INDEX(DropdownLists!$E$2:$E$276,MATCH('Ingest Template'!D976,DropdownLists!$C$2:$C$276,0))</f>
        <v>#N/A</v>
      </c>
      <c r="I976" s="22"/>
      <c r="J976" s="22" t="str">
        <f t="array" ref="J976">iF('Ingest Template'!A976="Standard","Pristine Brand",INDEX(DropdownLists!$B$2:$B$246,MATCH('Ingest Template'!D976,DropdownLists!$C$2:$C$246,0)))</f>
        <v>#N/A</v>
      </c>
      <c r="K976" s="22" t="str">
        <f>iF('Ingest Template'!A976="Standard",'Ingest Template'!K976&amp;CHAR(10)&amp;'Ingest Template'!L976,"Competitive View")</f>
        <v>Competitive View</v>
      </c>
      <c r="L976" s="22" t="s">
        <v>95</v>
      </c>
      <c r="M976" s="45" t="str">
        <f>'Ingest Template'!B976</f>
        <v/>
      </c>
      <c r="N976" s="35"/>
      <c r="O976" s="35"/>
      <c r="P976" s="35"/>
      <c r="Q976" s="35"/>
      <c r="R976" s="35" t="str">
        <f>'Ingest Template'!D976</f>
        <v/>
      </c>
      <c r="S976" s="22" t="s">
        <v>101</v>
      </c>
      <c r="T976" s="35" t="str">
        <f>'Ingest Template'!V976</f>
        <v/>
      </c>
      <c r="U976" s="35" t="str">
        <f>'Ingest Template'!W976</f>
        <v/>
      </c>
      <c r="V976" s="35" t="str">
        <f>LOWER(SUBSTITUTE(SUBSTITUTE(SUBSTITUTE(SUBSTITUTE(SUBSTITUTE('Ingest Template'!X976,"https:",""),"www.",""),"/",""),"?hl=en",""),"instagram.com",""))</f>
        <v/>
      </c>
      <c r="W976" s="74" t="str">
        <f t="array" ref="W976">IF(
'Ingest Template'!Y976="",
SUBSTITUTE(
INDEX(DropdownLists!$F$2:$F$277,MATCH('Ingest Template'!D976,DropdownLists!$C$2:$C$277,0)),
CHAR(10),
"|"&amp;'Ingest Template'!C976&amp;CHAR(10)
)&amp;"|"&amp;'Ingest Template'!C976,
SUBSTITUTE(
INDEX(DropdownLists!$F$2:$F$277,MATCH('Ingest Template'!D976,DropdownLists!$C$2:$C$277,0)),
CHAR(10),
"|"&amp;'Ingest Template'!C976&amp;CHAR(10)
)&amp;"|"&amp;'Ingest Template'!C976&amp;CHAR(10)&amp;'Ingest Template'!Y976
)</f>
        <v>#N/A</v>
      </c>
      <c r="X976" s="74" t="str">
        <f>'Ingest Template'!Z976</f>
        <v/>
      </c>
      <c r="Y976" s="35" t="str">
        <f>SUBSTITUTE(SUBSTITUTE(SUBSTITUTE('Ingest Template'!AA976,"http:",""),"https:",""),"/","")</f>
        <v/>
      </c>
      <c r="Z976" s="35" t="str">
        <f t="array" ref="Z976">IF('Ingest Template'!A976="Standard",(IF(ISBLANK('Ingest Template'!AB976),"", 'Ingest Template'!AB976&amp;"|DAR")),(IF(ISBLANK('Ingest Template'!AB976),"", 'Ingest Template'!AB976&amp;"|TV Ops")))</f>
        <v/>
      </c>
      <c r="AA976" s="35"/>
      <c r="AB976" s="35" t="str">
        <f>'Ingest Template'!R976</f>
        <v/>
      </c>
      <c r="AC976" s="35" t="str">
        <f>'Ingest Template'!T976</f>
        <v/>
      </c>
      <c r="AD976" s="35" t="str">
        <f>'Ingest Template'!S976</f>
        <v/>
      </c>
      <c r="AE976" s="35" t="str">
        <f>'Ingest Template'!U976</f>
        <v/>
      </c>
      <c r="AF976" s="22"/>
      <c r="AG976" s="35" t="str">
        <f t="array" ref="AG976">IF('Ingest Template'!A976="Standard",(CONCATENATE(IF(ISBLANK('Ingest Template'!N976),"", 'Ingest Template'!N976&amp;"|DAR"),CHAR(10), IF(ISBLANK('Ingest Template'!O976),"", 'Ingest Template'!O976&amp;"|DAR"),CHAR(10), IF(ISBLANK('Ingest Template'!P976),"", 'Ingest Template'!P976&amp;"|DAR"))),(CONCATENATE(IF(ISBLANK('Ingest Template'!N976),"", 'Ingest Template'!N976&amp;"|TV Ops"),CHAR(10), IF(ISBLANK('Ingest Template'!O976),"", 'Ingest Template'!O976&amp;"|TV Ops"),CHAR(10), IF(ISBLANK('Ingest Template'!P976),"", 'Ingest Template'!P976&amp;"|TV Ops"))))</f>
        <v>
</v>
      </c>
      <c r="AH976" s="35"/>
      <c r="AI976" s="35"/>
      <c r="AJ976" s="117" t="str">
        <f>if('Ingest Template'!A976="Standard",(IF(OR('Ingest Template'!F976 = "Program Type - Special", 'Ingest Template'!F976 = "Program Type - Live Event"),'Ingest Template'!M976&amp; "|DAR|DAR|"&amp;TEXT('Ingest Template'!C976-3, "yyyy-mm-dd")&amp;"|"&amp;TEXT('Ingest Template'!C976+3, "yyyy-mm-dd"),'Ingest Template'!M976&amp; "|DAR|DAR|2021-01-01")),(IF(OR('Ingest Template'!F976 = "Program Type - Special", 'Ingest Template'!F976 = "Program Type - Live Event"),'Ingest Template'!M976&amp; "|Operations - Core Title|Operations - Core Title|"&amp;TEXT('Ingest Template'!C976-3, "yyyy-mm-dd")&amp;"|"&amp;TEXT('Ingest Template'!C976+3, "yyyy-mm-dd"),'Ingest Template'!M976&amp; "|Operations - Core Title|Operations - Core Title")))</f>
        <v>|Operations - Core Title|Operations - Core Title</v>
      </c>
      <c r="AK976" s="35"/>
      <c r="AL976" s="117" t="str">
        <f>if('Ingest Template'!A976="Standard",(IF(OR('Ingest Template'!F976 = "Program Type - Special", 'Ingest Template'!F976 = "Program Type - Live Event"),'Ingest Template'!Q976&amp;"|"&amp;TEXT('Ingest Template'!C976-3, "yyyy-mm-dd")&amp;"|"&amp;TEXT('Ingest Template'!C976+3, "yyyy-mm-dd"),'Ingest Template'!Q976&amp; "|2021-01-01")),(IF(OR('Ingest Template'!F976 = "Program Type - Special", 'Ingest Template'!F976 = "Program Type - Live Event"),'Ingest Template'!Q976&amp; "|"&amp;TEXT('Ingest Template'!C976-3, "yyyy-mm-dd")&amp;"|"&amp;TEXT('Ingest Template'!C976+3, "yyyy-mm-dd"),'Ingest Template'!Q976)))</f>
        <v/>
      </c>
      <c r="AM976" s="35" t="str">
        <f>'Ingest Template'!AC976</f>
        <v/>
      </c>
    </row>
    <row r="977">
      <c r="A977" s="15"/>
      <c r="B977" s="22" t="str">
        <f>'Ingest Template'!C977&amp;IF('Ingest Template'!A977 = "Standard", " - DAR","")</f>
        <v/>
      </c>
      <c r="C977" s="22" t="s">
        <v>83</v>
      </c>
      <c r="D977" s="22" t="str">
        <f t="array" ref="D977">CONCATENATE(INDEX(DropdownLists!$H$2:$H$11,MATCH(1,COUNTIF('Ingest Template'!E977,"*"&amp;DropdownLists!$I$2:$I$11&amp;"*"),0)),CHAR(10),'Ingest Template'!F977,CHAR(10),'Ingest Template'!G977,CHAR(10),VLOOKUP('Ingest Template'!D977,DropdownLists!C:D,2,FALSE))</f>
        <v>#N/A</v>
      </c>
      <c r="E977" s="22" t="str">
        <f>CONCATENATE('Ingest Template'!H977,CHAR(10),'Ingest Template'!I977,CHAR(10),'Ingest Template'!J977,CHAR(10))</f>
        <v>
</v>
      </c>
      <c r="F977" s="35" t="str">
        <f t="array" ref="F977">INDEX(DropdownLists!$O$2:$O$36,MATCH(1,COUNTIF(E977,"*"&amp;DropdownLists!$N$2:$N$36&amp;"*"),0))</f>
        <v/>
      </c>
      <c r="G977" s="35"/>
      <c r="H977" s="22" t="str">
        <f t="array" ref="H977">INDEX(DropdownLists!$E$2:$E$276,MATCH('Ingest Template'!D977,DropdownLists!$C$2:$C$276,0))</f>
        <v>#N/A</v>
      </c>
      <c r="I977" s="22"/>
      <c r="J977" s="22" t="str">
        <f t="array" ref="J977">iF('Ingest Template'!A977="Standard","Pristine Brand",INDEX(DropdownLists!$B$2:$B$246,MATCH('Ingest Template'!D977,DropdownLists!$C$2:$C$246,0)))</f>
        <v>#N/A</v>
      </c>
      <c r="K977" s="22" t="str">
        <f>iF('Ingest Template'!A977="Standard",'Ingest Template'!K977&amp;CHAR(10)&amp;'Ingest Template'!L977,"Competitive View")</f>
        <v>Competitive View</v>
      </c>
      <c r="L977" s="22" t="s">
        <v>95</v>
      </c>
      <c r="M977" s="45" t="str">
        <f>'Ingest Template'!B977</f>
        <v/>
      </c>
      <c r="N977" s="35"/>
      <c r="O977" s="35"/>
      <c r="P977" s="35"/>
      <c r="Q977" s="35"/>
      <c r="R977" s="35" t="str">
        <f>'Ingest Template'!D977</f>
        <v/>
      </c>
      <c r="S977" s="22" t="s">
        <v>101</v>
      </c>
      <c r="T977" s="35" t="str">
        <f>'Ingest Template'!V977</f>
        <v/>
      </c>
      <c r="U977" s="35" t="str">
        <f>'Ingest Template'!W977</f>
        <v/>
      </c>
      <c r="V977" s="35" t="str">
        <f>LOWER(SUBSTITUTE(SUBSTITUTE(SUBSTITUTE(SUBSTITUTE(SUBSTITUTE('Ingest Template'!X977,"https:",""),"www.",""),"/",""),"?hl=en",""),"instagram.com",""))</f>
        <v/>
      </c>
      <c r="W977" s="74" t="str">
        <f t="array" ref="W977">IF(
'Ingest Template'!Y977="",
SUBSTITUTE(
INDEX(DropdownLists!$F$2:$F$277,MATCH('Ingest Template'!D977,DropdownLists!$C$2:$C$277,0)),
CHAR(10),
"|"&amp;'Ingest Template'!C977&amp;CHAR(10)
)&amp;"|"&amp;'Ingest Template'!C977,
SUBSTITUTE(
INDEX(DropdownLists!$F$2:$F$277,MATCH('Ingest Template'!D977,DropdownLists!$C$2:$C$277,0)),
CHAR(10),
"|"&amp;'Ingest Template'!C977&amp;CHAR(10)
)&amp;"|"&amp;'Ingest Template'!C977&amp;CHAR(10)&amp;'Ingest Template'!Y977
)</f>
        <v>#N/A</v>
      </c>
      <c r="X977" s="74" t="str">
        <f>'Ingest Template'!Z977</f>
        <v/>
      </c>
      <c r="Y977" s="35" t="str">
        <f>SUBSTITUTE(SUBSTITUTE(SUBSTITUTE('Ingest Template'!AA977,"http:",""),"https:",""),"/","")</f>
        <v/>
      </c>
      <c r="Z977" s="35" t="str">
        <f t="array" ref="Z977">IF('Ingest Template'!A977="Standard",(IF(ISBLANK('Ingest Template'!AB977),"", 'Ingest Template'!AB977&amp;"|DAR")),(IF(ISBLANK('Ingest Template'!AB977),"", 'Ingest Template'!AB977&amp;"|TV Ops")))</f>
        <v/>
      </c>
      <c r="AA977" s="35"/>
      <c r="AB977" s="35" t="str">
        <f>'Ingest Template'!R977</f>
        <v/>
      </c>
      <c r="AC977" s="35" t="str">
        <f>'Ingest Template'!T977</f>
        <v/>
      </c>
      <c r="AD977" s="35" t="str">
        <f>'Ingest Template'!S977</f>
        <v/>
      </c>
      <c r="AE977" s="35" t="str">
        <f>'Ingest Template'!U977</f>
        <v/>
      </c>
      <c r="AF977" s="22"/>
      <c r="AG977" s="35" t="str">
        <f t="array" ref="AG977">IF('Ingest Template'!A977="Standard",(CONCATENATE(IF(ISBLANK('Ingest Template'!N977),"", 'Ingest Template'!N977&amp;"|DAR"),CHAR(10), IF(ISBLANK('Ingest Template'!O977),"", 'Ingest Template'!O977&amp;"|DAR"),CHAR(10), IF(ISBLANK('Ingest Template'!P977),"", 'Ingest Template'!P977&amp;"|DAR"))),(CONCATENATE(IF(ISBLANK('Ingest Template'!N977),"", 'Ingest Template'!N977&amp;"|TV Ops"),CHAR(10), IF(ISBLANK('Ingest Template'!O977),"", 'Ingest Template'!O977&amp;"|TV Ops"),CHAR(10), IF(ISBLANK('Ingest Template'!P977),"", 'Ingest Template'!P977&amp;"|TV Ops"))))</f>
        <v>
</v>
      </c>
      <c r="AH977" s="35"/>
      <c r="AI977" s="35"/>
      <c r="AJ977" s="117" t="str">
        <f>if('Ingest Template'!A977="Standard",(IF(OR('Ingest Template'!F977 = "Program Type - Special", 'Ingest Template'!F977 = "Program Type - Live Event"),'Ingest Template'!M977&amp; "|DAR|DAR|"&amp;TEXT('Ingest Template'!C977-3, "yyyy-mm-dd")&amp;"|"&amp;TEXT('Ingest Template'!C977+3, "yyyy-mm-dd"),'Ingest Template'!M977&amp; "|DAR|DAR|2021-01-01")),(IF(OR('Ingest Template'!F977 = "Program Type - Special", 'Ingest Template'!F977 = "Program Type - Live Event"),'Ingest Template'!M977&amp; "|Operations - Core Title|Operations - Core Title|"&amp;TEXT('Ingest Template'!C977-3, "yyyy-mm-dd")&amp;"|"&amp;TEXT('Ingest Template'!C977+3, "yyyy-mm-dd"),'Ingest Template'!M977&amp; "|Operations - Core Title|Operations - Core Title")))</f>
        <v>|Operations - Core Title|Operations - Core Title</v>
      </c>
      <c r="AK977" s="35"/>
      <c r="AL977" s="117" t="str">
        <f>if('Ingest Template'!A977="Standard",(IF(OR('Ingest Template'!F977 = "Program Type - Special", 'Ingest Template'!F977 = "Program Type - Live Event"),'Ingest Template'!Q977&amp;"|"&amp;TEXT('Ingest Template'!C977-3, "yyyy-mm-dd")&amp;"|"&amp;TEXT('Ingest Template'!C977+3, "yyyy-mm-dd"),'Ingest Template'!Q977&amp; "|2021-01-01")),(IF(OR('Ingest Template'!F977 = "Program Type - Special", 'Ingest Template'!F977 = "Program Type - Live Event"),'Ingest Template'!Q977&amp; "|"&amp;TEXT('Ingest Template'!C977-3, "yyyy-mm-dd")&amp;"|"&amp;TEXT('Ingest Template'!C977+3, "yyyy-mm-dd"),'Ingest Template'!Q977)))</f>
        <v/>
      </c>
      <c r="AM977" s="35" t="str">
        <f>'Ingest Template'!AC977</f>
        <v/>
      </c>
    </row>
    <row r="978">
      <c r="A978" s="15"/>
      <c r="B978" s="22" t="str">
        <f>'Ingest Template'!C978&amp;IF('Ingest Template'!A978 = "Standard", " - DAR","")</f>
        <v/>
      </c>
      <c r="C978" s="22" t="s">
        <v>83</v>
      </c>
      <c r="D978" s="22" t="str">
        <f t="array" ref="D978">CONCATENATE(INDEX(DropdownLists!$H$2:$H$11,MATCH(1,COUNTIF('Ingest Template'!E978,"*"&amp;DropdownLists!$I$2:$I$11&amp;"*"),0)),CHAR(10),'Ingest Template'!F978,CHAR(10),'Ingest Template'!G978,CHAR(10),VLOOKUP('Ingest Template'!D978,DropdownLists!C:D,2,FALSE))</f>
        <v>#N/A</v>
      </c>
      <c r="E978" s="22" t="str">
        <f>CONCATENATE('Ingest Template'!H978,CHAR(10),'Ingest Template'!I978,CHAR(10),'Ingest Template'!J978,CHAR(10))</f>
        <v>
</v>
      </c>
      <c r="F978" s="35" t="str">
        <f t="array" ref="F978">INDEX(DropdownLists!$O$2:$O$36,MATCH(1,COUNTIF(E978,"*"&amp;DropdownLists!$N$2:$N$36&amp;"*"),0))</f>
        <v/>
      </c>
      <c r="G978" s="35"/>
      <c r="H978" s="22" t="str">
        <f t="array" ref="H978">INDEX(DropdownLists!$E$2:$E$276,MATCH('Ingest Template'!D978,DropdownLists!$C$2:$C$276,0))</f>
        <v>#N/A</v>
      </c>
      <c r="I978" s="22"/>
      <c r="J978" s="22" t="str">
        <f t="array" ref="J978">iF('Ingest Template'!A978="Standard","Pristine Brand",INDEX(DropdownLists!$B$2:$B$246,MATCH('Ingest Template'!D978,DropdownLists!$C$2:$C$246,0)))</f>
        <v>#N/A</v>
      </c>
      <c r="K978" s="22" t="str">
        <f>iF('Ingest Template'!A978="Standard",'Ingest Template'!K978&amp;CHAR(10)&amp;'Ingest Template'!L978,"Competitive View")</f>
        <v>Competitive View</v>
      </c>
      <c r="L978" s="22" t="s">
        <v>95</v>
      </c>
      <c r="M978" s="45" t="str">
        <f>'Ingest Template'!B978</f>
        <v/>
      </c>
      <c r="N978" s="35"/>
      <c r="O978" s="35"/>
      <c r="P978" s="35"/>
      <c r="Q978" s="35"/>
      <c r="R978" s="35" t="str">
        <f>'Ingest Template'!D978</f>
        <v/>
      </c>
      <c r="S978" s="22" t="s">
        <v>101</v>
      </c>
      <c r="T978" s="35" t="str">
        <f>'Ingest Template'!V978</f>
        <v/>
      </c>
      <c r="U978" s="35" t="str">
        <f>'Ingest Template'!W978</f>
        <v/>
      </c>
      <c r="V978" s="35" t="str">
        <f>LOWER(SUBSTITUTE(SUBSTITUTE(SUBSTITUTE(SUBSTITUTE(SUBSTITUTE('Ingest Template'!X978,"https:",""),"www.",""),"/",""),"?hl=en",""),"instagram.com",""))</f>
        <v/>
      </c>
      <c r="W978" s="74" t="str">
        <f t="array" ref="W978">IF(
'Ingest Template'!Y978="",
SUBSTITUTE(
INDEX(DropdownLists!$F$2:$F$277,MATCH('Ingest Template'!D978,DropdownLists!$C$2:$C$277,0)),
CHAR(10),
"|"&amp;'Ingest Template'!C978&amp;CHAR(10)
)&amp;"|"&amp;'Ingest Template'!C978,
SUBSTITUTE(
INDEX(DropdownLists!$F$2:$F$277,MATCH('Ingest Template'!D978,DropdownLists!$C$2:$C$277,0)),
CHAR(10),
"|"&amp;'Ingest Template'!C978&amp;CHAR(10)
)&amp;"|"&amp;'Ingest Template'!C978&amp;CHAR(10)&amp;'Ingest Template'!Y978
)</f>
        <v>#N/A</v>
      </c>
      <c r="X978" s="74" t="str">
        <f>'Ingest Template'!Z978</f>
        <v/>
      </c>
      <c r="Y978" s="35" t="str">
        <f>SUBSTITUTE(SUBSTITUTE(SUBSTITUTE('Ingest Template'!AA978,"http:",""),"https:",""),"/","")</f>
        <v/>
      </c>
      <c r="Z978" s="35" t="str">
        <f t="array" ref="Z978">IF('Ingest Template'!A978="Standard",(IF(ISBLANK('Ingest Template'!AB978),"", 'Ingest Template'!AB978&amp;"|DAR")),(IF(ISBLANK('Ingest Template'!AB978),"", 'Ingest Template'!AB978&amp;"|TV Ops")))</f>
        <v/>
      </c>
      <c r="AA978" s="35"/>
      <c r="AB978" s="35" t="str">
        <f>'Ingest Template'!R978</f>
        <v/>
      </c>
      <c r="AC978" s="35" t="str">
        <f>'Ingest Template'!T978</f>
        <v/>
      </c>
      <c r="AD978" s="35" t="str">
        <f>'Ingest Template'!S978</f>
        <v/>
      </c>
      <c r="AE978" s="35" t="str">
        <f>'Ingest Template'!U978</f>
        <v/>
      </c>
      <c r="AF978" s="22"/>
      <c r="AG978" s="35" t="str">
        <f t="array" ref="AG978">IF('Ingest Template'!A978="Standard",(CONCATENATE(IF(ISBLANK('Ingest Template'!N978),"", 'Ingest Template'!N978&amp;"|DAR"),CHAR(10), IF(ISBLANK('Ingest Template'!O978),"", 'Ingest Template'!O978&amp;"|DAR"),CHAR(10), IF(ISBLANK('Ingest Template'!P978),"", 'Ingest Template'!P978&amp;"|DAR"))),(CONCATENATE(IF(ISBLANK('Ingest Template'!N978),"", 'Ingest Template'!N978&amp;"|TV Ops"),CHAR(10), IF(ISBLANK('Ingest Template'!O978),"", 'Ingest Template'!O978&amp;"|TV Ops"),CHAR(10), IF(ISBLANK('Ingest Template'!P978),"", 'Ingest Template'!P978&amp;"|TV Ops"))))</f>
        <v>
</v>
      </c>
      <c r="AH978" s="35"/>
      <c r="AI978" s="35"/>
      <c r="AJ978" s="117" t="str">
        <f>if('Ingest Template'!A978="Standard",(IF(OR('Ingest Template'!F978 = "Program Type - Special", 'Ingest Template'!F978 = "Program Type - Live Event"),'Ingest Template'!M978&amp; "|DAR|DAR|"&amp;TEXT('Ingest Template'!C978-3, "yyyy-mm-dd")&amp;"|"&amp;TEXT('Ingest Template'!C978+3, "yyyy-mm-dd"),'Ingest Template'!M978&amp; "|DAR|DAR|2021-01-01")),(IF(OR('Ingest Template'!F978 = "Program Type - Special", 'Ingest Template'!F978 = "Program Type - Live Event"),'Ingest Template'!M978&amp; "|Operations - Core Title|Operations - Core Title|"&amp;TEXT('Ingest Template'!C978-3, "yyyy-mm-dd")&amp;"|"&amp;TEXT('Ingest Template'!C978+3, "yyyy-mm-dd"),'Ingest Template'!M978&amp; "|Operations - Core Title|Operations - Core Title")))</f>
        <v>|Operations - Core Title|Operations - Core Title</v>
      </c>
      <c r="AK978" s="35"/>
      <c r="AL978" s="117" t="str">
        <f>if('Ingest Template'!A978="Standard",(IF(OR('Ingest Template'!F978 = "Program Type - Special", 'Ingest Template'!F978 = "Program Type - Live Event"),'Ingest Template'!Q978&amp;"|"&amp;TEXT('Ingest Template'!C978-3, "yyyy-mm-dd")&amp;"|"&amp;TEXT('Ingest Template'!C978+3, "yyyy-mm-dd"),'Ingest Template'!Q978&amp; "|2021-01-01")),(IF(OR('Ingest Template'!F978 = "Program Type - Special", 'Ingest Template'!F978 = "Program Type - Live Event"),'Ingest Template'!Q978&amp; "|"&amp;TEXT('Ingest Template'!C978-3, "yyyy-mm-dd")&amp;"|"&amp;TEXT('Ingest Template'!C978+3, "yyyy-mm-dd"),'Ingest Template'!Q978)))</f>
        <v/>
      </c>
      <c r="AM978" s="35" t="str">
        <f>'Ingest Template'!AC978</f>
        <v/>
      </c>
    </row>
    <row r="979">
      <c r="A979" s="15"/>
      <c r="B979" s="22" t="str">
        <f>'Ingest Template'!C979&amp;IF('Ingest Template'!A979 = "Standard", " - DAR","")</f>
        <v/>
      </c>
      <c r="C979" s="22" t="s">
        <v>83</v>
      </c>
      <c r="D979" s="22" t="str">
        <f t="array" ref="D979">CONCATENATE(INDEX(DropdownLists!$H$2:$H$11,MATCH(1,COUNTIF('Ingest Template'!E979,"*"&amp;DropdownLists!$I$2:$I$11&amp;"*"),0)),CHAR(10),'Ingest Template'!F979,CHAR(10),'Ingest Template'!G979,CHAR(10),VLOOKUP('Ingest Template'!D979,DropdownLists!C:D,2,FALSE))</f>
        <v>#N/A</v>
      </c>
      <c r="E979" s="22" t="str">
        <f>CONCATENATE('Ingest Template'!H979,CHAR(10),'Ingest Template'!I979,CHAR(10),'Ingest Template'!J979,CHAR(10))</f>
        <v>
</v>
      </c>
      <c r="F979" s="35" t="str">
        <f t="array" ref="F979">INDEX(DropdownLists!$O$2:$O$36,MATCH(1,COUNTIF(E979,"*"&amp;DropdownLists!$N$2:$N$36&amp;"*"),0))</f>
        <v/>
      </c>
      <c r="G979" s="35"/>
      <c r="H979" s="22" t="str">
        <f t="array" ref="H979">INDEX(DropdownLists!$E$2:$E$276,MATCH('Ingest Template'!D979,DropdownLists!$C$2:$C$276,0))</f>
        <v>#N/A</v>
      </c>
      <c r="I979" s="22"/>
      <c r="J979" s="22" t="str">
        <f t="array" ref="J979">iF('Ingest Template'!A979="Standard","Pristine Brand",INDEX(DropdownLists!$B$2:$B$246,MATCH('Ingest Template'!D979,DropdownLists!$C$2:$C$246,0)))</f>
        <v>#N/A</v>
      </c>
      <c r="K979" s="22" t="str">
        <f>iF('Ingest Template'!A979="Standard",'Ingest Template'!K979&amp;CHAR(10)&amp;'Ingest Template'!L979,"Competitive View")</f>
        <v>Competitive View</v>
      </c>
      <c r="L979" s="22" t="s">
        <v>95</v>
      </c>
      <c r="M979" s="45" t="str">
        <f>'Ingest Template'!B979</f>
        <v/>
      </c>
      <c r="N979" s="35"/>
      <c r="O979" s="35"/>
      <c r="P979" s="35"/>
      <c r="Q979" s="35"/>
      <c r="R979" s="35" t="str">
        <f>'Ingest Template'!D979</f>
        <v/>
      </c>
      <c r="S979" s="22" t="s">
        <v>101</v>
      </c>
      <c r="T979" s="35" t="str">
        <f>'Ingest Template'!V979</f>
        <v/>
      </c>
      <c r="U979" s="35" t="str">
        <f>'Ingest Template'!W979</f>
        <v/>
      </c>
      <c r="V979" s="35" t="str">
        <f>LOWER(SUBSTITUTE(SUBSTITUTE(SUBSTITUTE(SUBSTITUTE(SUBSTITUTE('Ingest Template'!X979,"https:",""),"www.",""),"/",""),"?hl=en",""),"instagram.com",""))</f>
        <v/>
      </c>
      <c r="W979" s="74" t="str">
        <f t="array" ref="W979">IF(
'Ingest Template'!Y979="",
SUBSTITUTE(
INDEX(DropdownLists!$F$2:$F$277,MATCH('Ingest Template'!D979,DropdownLists!$C$2:$C$277,0)),
CHAR(10),
"|"&amp;'Ingest Template'!C979&amp;CHAR(10)
)&amp;"|"&amp;'Ingest Template'!C979,
SUBSTITUTE(
INDEX(DropdownLists!$F$2:$F$277,MATCH('Ingest Template'!D979,DropdownLists!$C$2:$C$277,0)),
CHAR(10),
"|"&amp;'Ingest Template'!C979&amp;CHAR(10)
)&amp;"|"&amp;'Ingest Template'!C979&amp;CHAR(10)&amp;'Ingest Template'!Y979
)</f>
        <v>#N/A</v>
      </c>
      <c r="X979" s="74" t="str">
        <f>'Ingest Template'!Z979</f>
        <v/>
      </c>
      <c r="Y979" s="35" t="str">
        <f>SUBSTITUTE(SUBSTITUTE(SUBSTITUTE('Ingest Template'!AA979,"http:",""),"https:",""),"/","")</f>
        <v/>
      </c>
      <c r="Z979" s="35" t="str">
        <f t="array" ref="Z979">IF('Ingest Template'!A979="Standard",(IF(ISBLANK('Ingest Template'!AB979),"", 'Ingest Template'!AB979&amp;"|DAR")),(IF(ISBLANK('Ingest Template'!AB979),"", 'Ingest Template'!AB979&amp;"|TV Ops")))</f>
        <v/>
      </c>
      <c r="AA979" s="35"/>
      <c r="AB979" s="35" t="str">
        <f>'Ingest Template'!R979</f>
        <v/>
      </c>
      <c r="AC979" s="35" t="str">
        <f>'Ingest Template'!T979</f>
        <v/>
      </c>
      <c r="AD979" s="35" t="str">
        <f>'Ingest Template'!S979</f>
        <v/>
      </c>
      <c r="AE979" s="35" t="str">
        <f>'Ingest Template'!U979</f>
        <v/>
      </c>
      <c r="AF979" s="22"/>
      <c r="AG979" s="35" t="str">
        <f t="array" ref="AG979">IF('Ingest Template'!A979="Standard",(CONCATENATE(IF(ISBLANK('Ingest Template'!N979),"", 'Ingest Template'!N979&amp;"|DAR"),CHAR(10), IF(ISBLANK('Ingest Template'!O979),"", 'Ingest Template'!O979&amp;"|DAR"),CHAR(10), IF(ISBLANK('Ingest Template'!P979),"", 'Ingest Template'!P979&amp;"|DAR"))),(CONCATENATE(IF(ISBLANK('Ingest Template'!N979),"", 'Ingest Template'!N979&amp;"|TV Ops"),CHAR(10), IF(ISBLANK('Ingest Template'!O979),"", 'Ingest Template'!O979&amp;"|TV Ops"),CHAR(10), IF(ISBLANK('Ingest Template'!P979),"", 'Ingest Template'!P979&amp;"|TV Ops"))))</f>
        <v>
</v>
      </c>
      <c r="AH979" s="35"/>
      <c r="AI979" s="35"/>
      <c r="AJ979" s="117" t="str">
        <f>if('Ingest Template'!A979="Standard",(IF(OR('Ingest Template'!F979 = "Program Type - Special", 'Ingest Template'!F979 = "Program Type - Live Event"),'Ingest Template'!M979&amp; "|DAR|DAR|"&amp;TEXT('Ingest Template'!C979-3, "yyyy-mm-dd")&amp;"|"&amp;TEXT('Ingest Template'!C979+3, "yyyy-mm-dd"),'Ingest Template'!M979&amp; "|DAR|DAR|2021-01-01")),(IF(OR('Ingest Template'!F979 = "Program Type - Special", 'Ingest Template'!F979 = "Program Type - Live Event"),'Ingest Template'!M979&amp; "|Operations - Core Title|Operations - Core Title|"&amp;TEXT('Ingest Template'!C979-3, "yyyy-mm-dd")&amp;"|"&amp;TEXT('Ingest Template'!C979+3, "yyyy-mm-dd"),'Ingest Template'!M979&amp; "|Operations - Core Title|Operations - Core Title")))</f>
        <v>|Operations - Core Title|Operations - Core Title</v>
      </c>
      <c r="AK979" s="35"/>
      <c r="AL979" s="117" t="str">
        <f>if('Ingest Template'!A979="Standard",(IF(OR('Ingest Template'!F979 = "Program Type - Special", 'Ingest Template'!F979 = "Program Type - Live Event"),'Ingest Template'!Q979&amp;"|"&amp;TEXT('Ingest Template'!C979-3, "yyyy-mm-dd")&amp;"|"&amp;TEXT('Ingest Template'!C979+3, "yyyy-mm-dd"),'Ingest Template'!Q979&amp; "|2021-01-01")),(IF(OR('Ingest Template'!F979 = "Program Type - Special", 'Ingest Template'!F979 = "Program Type - Live Event"),'Ingest Template'!Q979&amp; "|"&amp;TEXT('Ingest Template'!C979-3, "yyyy-mm-dd")&amp;"|"&amp;TEXT('Ingest Template'!C979+3, "yyyy-mm-dd"),'Ingest Template'!Q979)))</f>
        <v/>
      </c>
      <c r="AM979" s="35" t="str">
        <f>'Ingest Template'!AC979</f>
        <v/>
      </c>
    </row>
    <row r="980">
      <c r="A980" s="15"/>
      <c r="B980" s="22" t="str">
        <f>'Ingest Template'!C980&amp;IF('Ingest Template'!A980 = "Standard", " - DAR","")</f>
        <v/>
      </c>
      <c r="C980" s="22" t="s">
        <v>83</v>
      </c>
      <c r="D980" s="22" t="str">
        <f t="array" ref="D980">CONCATENATE(INDEX(DropdownLists!$H$2:$H$11,MATCH(1,COUNTIF('Ingest Template'!E980,"*"&amp;DropdownLists!$I$2:$I$11&amp;"*"),0)),CHAR(10),'Ingest Template'!F980,CHAR(10),'Ingest Template'!G980,CHAR(10),VLOOKUP('Ingest Template'!D980,DropdownLists!C:D,2,FALSE))</f>
        <v>#N/A</v>
      </c>
      <c r="E980" s="22" t="str">
        <f>CONCATENATE('Ingest Template'!H980,CHAR(10),'Ingest Template'!I980,CHAR(10),'Ingest Template'!J980,CHAR(10))</f>
        <v>
</v>
      </c>
      <c r="F980" s="35" t="str">
        <f t="array" ref="F980">INDEX(DropdownLists!$O$2:$O$36,MATCH(1,COUNTIF(E980,"*"&amp;DropdownLists!$N$2:$N$36&amp;"*"),0))</f>
        <v/>
      </c>
      <c r="G980" s="35"/>
      <c r="H980" s="22" t="str">
        <f t="array" ref="H980">INDEX(DropdownLists!$E$2:$E$276,MATCH('Ingest Template'!D980,DropdownLists!$C$2:$C$276,0))</f>
        <v>#N/A</v>
      </c>
      <c r="I980" s="22"/>
      <c r="J980" s="22" t="str">
        <f t="array" ref="J980">iF('Ingest Template'!A980="Standard","Pristine Brand",INDEX(DropdownLists!$B$2:$B$246,MATCH('Ingest Template'!D980,DropdownLists!$C$2:$C$246,0)))</f>
        <v>#N/A</v>
      </c>
      <c r="K980" s="22" t="str">
        <f>iF('Ingest Template'!A980="Standard",'Ingest Template'!K980&amp;CHAR(10)&amp;'Ingest Template'!L980,"Competitive View")</f>
        <v>Competitive View</v>
      </c>
      <c r="L980" s="22" t="s">
        <v>95</v>
      </c>
      <c r="M980" s="45" t="str">
        <f>'Ingest Template'!B980</f>
        <v/>
      </c>
      <c r="N980" s="35"/>
      <c r="O980" s="35"/>
      <c r="P980" s="35"/>
      <c r="Q980" s="35"/>
      <c r="R980" s="35" t="str">
        <f>'Ingest Template'!D980</f>
        <v/>
      </c>
      <c r="S980" s="22" t="s">
        <v>101</v>
      </c>
      <c r="T980" s="35" t="str">
        <f>'Ingest Template'!V980</f>
        <v/>
      </c>
      <c r="U980" s="35" t="str">
        <f>'Ingest Template'!W980</f>
        <v/>
      </c>
      <c r="V980" s="35" t="str">
        <f>LOWER(SUBSTITUTE(SUBSTITUTE(SUBSTITUTE(SUBSTITUTE(SUBSTITUTE('Ingest Template'!X980,"https:",""),"www.",""),"/",""),"?hl=en",""),"instagram.com",""))</f>
        <v/>
      </c>
      <c r="W980" s="74" t="str">
        <f t="array" ref="W980">IF(
'Ingest Template'!Y980="",
SUBSTITUTE(
INDEX(DropdownLists!$F$2:$F$277,MATCH('Ingest Template'!D980,DropdownLists!$C$2:$C$277,0)),
CHAR(10),
"|"&amp;'Ingest Template'!C980&amp;CHAR(10)
)&amp;"|"&amp;'Ingest Template'!C980,
SUBSTITUTE(
INDEX(DropdownLists!$F$2:$F$277,MATCH('Ingest Template'!D980,DropdownLists!$C$2:$C$277,0)),
CHAR(10),
"|"&amp;'Ingest Template'!C980&amp;CHAR(10)
)&amp;"|"&amp;'Ingest Template'!C980&amp;CHAR(10)&amp;'Ingest Template'!Y980
)</f>
        <v>#N/A</v>
      </c>
      <c r="X980" s="74" t="str">
        <f>'Ingest Template'!Z980</f>
        <v/>
      </c>
      <c r="Y980" s="35" t="str">
        <f>SUBSTITUTE(SUBSTITUTE(SUBSTITUTE('Ingest Template'!AA980,"http:",""),"https:",""),"/","")</f>
        <v/>
      </c>
      <c r="Z980" s="35" t="str">
        <f t="array" ref="Z980">IF('Ingest Template'!A980="Standard",(IF(ISBLANK('Ingest Template'!AB980),"", 'Ingest Template'!AB980&amp;"|DAR")),(IF(ISBLANK('Ingest Template'!AB980),"", 'Ingest Template'!AB980&amp;"|TV Ops")))</f>
        <v/>
      </c>
      <c r="AA980" s="35"/>
      <c r="AB980" s="35" t="str">
        <f>'Ingest Template'!R980</f>
        <v/>
      </c>
      <c r="AC980" s="35" t="str">
        <f>'Ingest Template'!T980</f>
        <v/>
      </c>
      <c r="AD980" s="35" t="str">
        <f>'Ingest Template'!S980</f>
        <v/>
      </c>
      <c r="AE980" s="35" t="str">
        <f>'Ingest Template'!U980</f>
        <v/>
      </c>
      <c r="AF980" s="22"/>
      <c r="AG980" s="35" t="str">
        <f t="array" ref="AG980">IF('Ingest Template'!A980="Standard",(CONCATENATE(IF(ISBLANK('Ingest Template'!N980),"", 'Ingest Template'!N980&amp;"|DAR"),CHAR(10), IF(ISBLANK('Ingest Template'!O980),"", 'Ingest Template'!O980&amp;"|DAR"),CHAR(10), IF(ISBLANK('Ingest Template'!P980),"", 'Ingest Template'!P980&amp;"|DAR"))),(CONCATENATE(IF(ISBLANK('Ingest Template'!N980),"", 'Ingest Template'!N980&amp;"|TV Ops"),CHAR(10), IF(ISBLANK('Ingest Template'!O980),"", 'Ingest Template'!O980&amp;"|TV Ops"),CHAR(10), IF(ISBLANK('Ingest Template'!P980),"", 'Ingest Template'!P980&amp;"|TV Ops"))))</f>
        <v>
</v>
      </c>
      <c r="AH980" s="35"/>
      <c r="AI980" s="35"/>
      <c r="AJ980" s="117" t="str">
        <f>if('Ingest Template'!A980="Standard",(IF(OR('Ingest Template'!F980 = "Program Type - Special", 'Ingest Template'!F980 = "Program Type - Live Event"),'Ingest Template'!M980&amp; "|DAR|DAR|"&amp;TEXT('Ingest Template'!C980-3, "yyyy-mm-dd")&amp;"|"&amp;TEXT('Ingest Template'!C980+3, "yyyy-mm-dd"),'Ingest Template'!M980&amp; "|DAR|DAR|2021-01-01")),(IF(OR('Ingest Template'!F980 = "Program Type - Special", 'Ingest Template'!F980 = "Program Type - Live Event"),'Ingest Template'!M980&amp; "|Operations - Core Title|Operations - Core Title|"&amp;TEXT('Ingest Template'!C980-3, "yyyy-mm-dd")&amp;"|"&amp;TEXT('Ingest Template'!C980+3, "yyyy-mm-dd"),'Ingest Template'!M980&amp; "|Operations - Core Title|Operations - Core Title")))</f>
        <v>|Operations - Core Title|Operations - Core Title</v>
      </c>
      <c r="AK980" s="35"/>
      <c r="AL980" s="117" t="str">
        <f>if('Ingest Template'!A980="Standard",(IF(OR('Ingest Template'!F980 = "Program Type - Special", 'Ingest Template'!F980 = "Program Type - Live Event"),'Ingest Template'!Q980&amp;"|"&amp;TEXT('Ingest Template'!C980-3, "yyyy-mm-dd")&amp;"|"&amp;TEXT('Ingest Template'!C980+3, "yyyy-mm-dd"),'Ingest Template'!Q980&amp; "|2021-01-01")),(IF(OR('Ingest Template'!F980 = "Program Type - Special", 'Ingest Template'!F980 = "Program Type - Live Event"),'Ingest Template'!Q980&amp; "|"&amp;TEXT('Ingest Template'!C980-3, "yyyy-mm-dd")&amp;"|"&amp;TEXT('Ingest Template'!C980+3, "yyyy-mm-dd"),'Ingest Template'!Q980)))</f>
        <v/>
      </c>
      <c r="AM980" s="35" t="str">
        <f>'Ingest Template'!AC980</f>
        <v/>
      </c>
    </row>
    <row r="981">
      <c r="A981" s="15"/>
      <c r="B981" s="22" t="str">
        <f>'Ingest Template'!C981&amp;IF('Ingest Template'!A981 = "Standard", " - DAR","")</f>
        <v/>
      </c>
      <c r="C981" s="22" t="s">
        <v>83</v>
      </c>
      <c r="D981" s="22" t="str">
        <f t="array" ref="D981">CONCATENATE(INDEX(DropdownLists!$H$2:$H$11,MATCH(1,COUNTIF('Ingest Template'!E981,"*"&amp;DropdownLists!$I$2:$I$11&amp;"*"),0)),CHAR(10),'Ingest Template'!F981,CHAR(10),'Ingest Template'!G981,CHAR(10),VLOOKUP('Ingest Template'!D981,DropdownLists!C:D,2,FALSE))</f>
        <v>#N/A</v>
      </c>
      <c r="E981" s="22" t="str">
        <f>CONCATENATE('Ingest Template'!H981,CHAR(10),'Ingest Template'!I981,CHAR(10),'Ingest Template'!J981,CHAR(10))</f>
        <v>
</v>
      </c>
      <c r="F981" s="35" t="str">
        <f t="array" ref="F981">INDEX(DropdownLists!$O$2:$O$36,MATCH(1,COUNTIF(E981,"*"&amp;DropdownLists!$N$2:$N$36&amp;"*"),0))</f>
        <v/>
      </c>
      <c r="G981" s="35"/>
      <c r="H981" s="22" t="str">
        <f t="array" ref="H981">INDEX(DropdownLists!$E$2:$E$276,MATCH('Ingest Template'!D981,DropdownLists!$C$2:$C$276,0))</f>
        <v>#N/A</v>
      </c>
      <c r="I981" s="22"/>
      <c r="J981" s="22" t="str">
        <f t="array" ref="J981">iF('Ingest Template'!A981="Standard","Pristine Brand",INDEX(DropdownLists!$B$2:$B$246,MATCH('Ingest Template'!D981,DropdownLists!$C$2:$C$246,0)))</f>
        <v>#N/A</v>
      </c>
      <c r="K981" s="22" t="str">
        <f>iF('Ingest Template'!A981="Standard",'Ingest Template'!K981&amp;CHAR(10)&amp;'Ingest Template'!L981,"Competitive View")</f>
        <v>Competitive View</v>
      </c>
      <c r="L981" s="22" t="s">
        <v>95</v>
      </c>
      <c r="M981" s="45" t="str">
        <f>'Ingest Template'!B981</f>
        <v/>
      </c>
      <c r="N981" s="35"/>
      <c r="O981" s="35"/>
      <c r="P981" s="35"/>
      <c r="Q981" s="35"/>
      <c r="R981" s="35" t="str">
        <f>'Ingest Template'!D981</f>
        <v/>
      </c>
      <c r="S981" s="22" t="s">
        <v>101</v>
      </c>
      <c r="T981" s="35" t="str">
        <f>'Ingest Template'!V981</f>
        <v/>
      </c>
      <c r="U981" s="35" t="str">
        <f>'Ingest Template'!W981</f>
        <v/>
      </c>
      <c r="V981" s="35" t="str">
        <f>LOWER(SUBSTITUTE(SUBSTITUTE(SUBSTITUTE(SUBSTITUTE(SUBSTITUTE('Ingest Template'!X981,"https:",""),"www.",""),"/",""),"?hl=en",""),"instagram.com",""))</f>
        <v/>
      </c>
      <c r="W981" s="74" t="str">
        <f t="array" ref="W981">IF(
'Ingest Template'!Y981="",
SUBSTITUTE(
INDEX(DropdownLists!$F$2:$F$277,MATCH('Ingest Template'!D981,DropdownLists!$C$2:$C$277,0)),
CHAR(10),
"|"&amp;'Ingest Template'!C981&amp;CHAR(10)
)&amp;"|"&amp;'Ingest Template'!C981,
SUBSTITUTE(
INDEX(DropdownLists!$F$2:$F$277,MATCH('Ingest Template'!D981,DropdownLists!$C$2:$C$277,0)),
CHAR(10),
"|"&amp;'Ingest Template'!C981&amp;CHAR(10)
)&amp;"|"&amp;'Ingest Template'!C981&amp;CHAR(10)&amp;'Ingest Template'!Y981
)</f>
        <v>#N/A</v>
      </c>
      <c r="X981" s="74" t="str">
        <f>'Ingest Template'!Z981</f>
        <v/>
      </c>
      <c r="Y981" s="35" t="str">
        <f>SUBSTITUTE(SUBSTITUTE(SUBSTITUTE('Ingest Template'!AA981,"http:",""),"https:",""),"/","")</f>
        <v/>
      </c>
      <c r="Z981" s="35" t="str">
        <f t="array" ref="Z981">IF('Ingest Template'!A981="Standard",(IF(ISBLANK('Ingest Template'!AB981),"", 'Ingest Template'!AB981&amp;"|DAR")),(IF(ISBLANK('Ingest Template'!AB981),"", 'Ingest Template'!AB981&amp;"|TV Ops")))</f>
        <v/>
      </c>
      <c r="AA981" s="35"/>
      <c r="AB981" s="35" t="str">
        <f>'Ingest Template'!R981</f>
        <v/>
      </c>
      <c r="AC981" s="35" t="str">
        <f>'Ingest Template'!T981</f>
        <v/>
      </c>
      <c r="AD981" s="35" t="str">
        <f>'Ingest Template'!S981</f>
        <v/>
      </c>
      <c r="AE981" s="35" t="str">
        <f>'Ingest Template'!U981</f>
        <v/>
      </c>
      <c r="AF981" s="22"/>
      <c r="AG981" s="35" t="str">
        <f t="array" ref="AG981">IF('Ingest Template'!A981="Standard",(CONCATENATE(IF(ISBLANK('Ingest Template'!N981),"", 'Ingest Template'!N981&amp;"|DAR"),CHAR(10), IF(ISBLANK('Ingest Template'!O981),"", 'Ingest Template'!O981&amp;"|DAR"),CHAR(10), IF(ISBLANK('Ingest Template'!P981),"", 'Ingest Template'!P981&amp;"|DAR"))),(CONCATENATE(IF(ISBLANK('Ingest Template'!N981),"", 'Ingest Template'!N981&amp;"|TV Ops"),CHAR(10), IF(ISBLANK('Ingest Template'!O981),"", 'Ingest Template'!O981&amp;"|TV Ops"),CHAR(10), IF(ISBLANK('Ingest Template'!P981),"", 'Ingest Template'!P981&amp;"|TV Ops"))))</f>
        <v>
</v>
      </c>
      <c r="AH981" s="35"/>
      <c r="AI981" s="35"/>
      <c r="AJ981" s="117" t="str">
        <f>if('Ingest Template'!A981="Standard",(IF(OR('Ingest Template'!F981 = "Program Type - Special", 'Ingest Template'!F981 = "Program Type - Live Event"),'Ingest Template'!M981&amp; "|DAR|DAR|"&amp;TEXT('Ingest Template'!C981-3, "yyyy-mm-dd")&amp;"|"&amp;TEXT('Ingest Template'!C981+3, "yyyy-mm-dd"),'Ingest Template'!M981&amp; "|DAR|DAR|2021-01-01")),(IF(OR('Ingest Template'!F981 = "Program Type - Special", 'Ingest Template'!F981 = "Program Type - Live Event"),'Ingest Template'!M981&amp; "|Operations - Core Title|Operations - Core Title|"&amp;TEXT('Ingest Template'!C981-3, "yyyy-mm-dd")&amp;"|"&amp;TEXT('Ingest Template'!C981+3, "yyyy-mm-dd"),'Ingest Template'!M981&amp; "|Operations - Core Title|Operations - Core Title")))</f>
        <v>|Operations - Core Title|Operations - Core Title</v>
      </c>
      <c r="AK981" s="35"/>
      <c r="AL981" s="117" t="str">
        <f>if('Ingest Template'!A981="Standard",(IF(OR('Ingest Template'!F981 = "Program Type - Special", 'Ingest Template'!F981 = "Program Type - Live Event"),'Ingest Template'!Q981&amp;"|"&amp;TEXT('Ingest Template'!C981-3, "yyyy-mm-dd")&amp;"|"&amp;TEXT('Ingest Template'!C981+3, "yyyy-mm-dd"),'Ingest Template'!Q981&amp; "|2021-01-01")),(IF(OR('Ingest Template'!F981 = "Program Type - Special", 'Ingest Template'!F981 = "Program Type - Live Event"),'Ingest Template'!Q981&amp; "|"&amp;TEXT('Ingest Template'!C981-3, "yyyy-mm-dd")&amp;"|"&amp;TEXT('Ingest Template'!C981+3, "yyyy-mm-dd"),'Ingest Template'!Q981)))</f>
        <v/>
      </c>
      <c r="AM981" s="35" t="str">
        <f>'Ingest Template'!AC981</f>
        <v/>
      </c>
    </row>
    <row r="982">
      <c r="A982" s="15"/>
      <c r="B982" s="22" t="str">
        <f>'Ingest Template'!C982&amp;IF('Ingest Template'!A982 = "Standard", " - DAR","")</f>
        <v/>
      </c>
      <c r="C982" s="22" t="s">
        <v>83</v>
      </c>
      <c r="D982" s="22" t="str">
        <f t="array" ref="D982">CONCATENATE(INDEX(DropdownLists!$H$2:$H$11,MATCH(1,COUNTIF('Ingest Template'!E982,"*"&amp;DropdownLists!$I$2:$I$11&amp;"*"),0)),CHAR(10),'Ingest Template'!F982,CHAR(10),'Ingest Template'!G982,CHAR(10),VLOOKUP('Ingest Template'!D982,DropdownLists!C:D,2,FALSE))</f>
        <v>#N/A</v>
      </c>
      <c r="E982" s="22" t="str">
        <f>CONCATENATE('Ingest Template'!H982,CHAR(10),'Ingest Template'!I982,CHAR(10),'Ingest Template'!J982,CHAR(10))</f>
        <v>
</v>
      </c>
      <c r="F982" s="35" t="str">
        <f t="array" ref="F982">INDEX(DropdownLists!$O$2:$O$36,MATCH(1,COUNTIF(E982,"*"&amp;DropdownLists!$N$2:$N$36&amp;"*"),0))</f>
        <v/>
      </c>
      <c r="G982" s="35"/>
      <c r="H982" s="22" t="str">
        <f t="array" ref="H982">INDEX(DropdownLists!$E$2:$E$276,MATCH('Ingest Template'!D982,DropdownLists!$C$2:$C$276,0))</f>
        <v>#N/A</v>
      </c>
      <c r="I982" s="22"/>
      <c r="J982" s="22" t="str">
        <f t="array" ref="J982">iF('Ingest Template'!A982="Standard","Pristine Brand",INDEX(DropdownLists!$B$2:$B$246,MATCH('Ingest Template'!D982,DropdownLists!$C$2:$C$246,0)))</f>
        <v>#N/A</v>
      </c>
      <c r="K982" s="22" t="str">
        <f>iF('Ingest Template'!A982="Standard",'Ingest Template'!K982&amp;CHAR(10)&amp;'Ingest Template'!L982,"Competitive View")</f>
        <v>Competitive View</v>
      </c>
      <c r="L982" s="22" t="s">
        <v>95</v>
      </c>
      <c r="M982" s="45" t="str">
        <f>'Ingest Template'!B982</f>
        <v/>
      </c>
      <c r="N982" s="35"/>
      <c r="O982" s="35"/>
      <c r="P982" s="35"/>
      <c r="Q982" s="35"/>
      <c r="R982" s="35" t="str">
        <f>'Ingest Template'!D982</f>
        <v/>
      </c>
      <c r="S982" s="22" t="s">
        <v>101</v>
      </c>
      <c r="T982" s="35" t="str">
        <f>'Ingest Template'!V982</f>
        <v/>
      </c>
      <c r="U982" s="35" t="str">
        <f>'Ingest Template'!W982</f>
        <v/>
      </c>
      <c r="V982" s="35" t="str">
        <f>LOWER(SUBSTITUTE(SUBSTITUTE(SUBSTITUTE(SUBSTITUTE(SUBSTITUTE('Ingest Template'!X982,"https:",""),"www.",""),"/",""),"?hl=en",""),"instagram.com",""))</f>
        <v/>
      </c>
      <c r="W982" s="74" t="str">
        <f t="array" ref="W982">IF(
'Ingest Template'!Y982="",
SUBSTITUTE(
INDEX(DropdownLists!$F$2:$F$277,MATCH('Ingest Template'!D982,DropdownLists!$C$2:$C$277,0)),
CHAR(10),
"|"&amp;'Ingest Template'!C982&amp;CHAR(10)
)&amp;"|"&amp;'Ingest Template'!C982,
SUBSTITUTE(
INDEX(DropdownLists!$F$2:$F$277,MATCH('Ingest Template'!D982,DropdownLists!$C$2:$C$277,0)),
CHAR(10),
"|"&amp;'Ingest Template'!C982&amp;CHAR(10)
)&amp;"|"&amp;'Ingest Template'!C982&amp;CHAR(10)&amp;'Ingest Template'!Y982
)</f>
        <v>#N/A</v>
      </c>
      <c r="X982" s="74" t="str">
        <f>'Ingest Template'!Z982</f>
        <v/>
      </c>
      <c r="Y982" s="35" t="str">
        <f>SUBSTITUTE(SUBSTITUTE(SUBSTITUTE('Ingest Template'!AA982,"http:",""),"https:",""),"/","")</f>
        <v/>
      </c>
      <c r="Z982" s="35" t="str">
        <f t="array" ref="Z982">IF('Ingest Template'!A982="Standard",(IF(ISBLANK('Ingest Template'!AB982),"", 'Ingest Template'!AB982&amp;"|DAR")),(IF(ISBLANK('Ingest Template'!AB982),"", 'Ingest Template'!AB982&amp;"|TV Ops")))</f>
        <v/>
      </c>
      <c r="AA982" s="35"/>
      <c r="AB982" s="35" t="str">
        <f>'Ingest Template'!R982</f>
        <v/>
      </c>
      <c r="AC982" s="35" t="str">
        <f>'Ingest Template'!T982</f>
        <v/>
      </c>
      <c r="AD982" s="35" t="str">
        <f>'Ingest Template'!S982</f>
        <v/>
      </c>
      <c r="AE982" s="35" t="str">
        <f>'Ingest Template'!U982</f>
        <v/>
      </c>
      <c r="AF982" s="22"/>
      <c r="AG982" s="35" t="str">
        <f t="array" ref="AG982">IF('Ingest Template'!A982="Standard",(CONCATENATE(IF(ISBLANK('Ingest Template'!N982),"", 'Ingest Template'!N982&amp;"|DAR"),CHAR(10), IF(ISBLANK('Ingest Template'!O982),"", 'Ingest Template'!O982&amp;"|DAR"),CHAR(10), IF(ISBLANK('Ingest Template'!P982),"", 'Ingest Template'!P982&amp;"|DAR"))),(CONCATENATE(IF(ISBLANK('Ingest Template'!N982),"", 'Ingest Template'!N982&amp;"|TV Ops"),CHAR(10), IF(ISBLANK('Ingest Template'!O982),"", 'Ingest Template'!O982&amp;"|TV Ops"),CHAR(10), IF(ISBLANK('Ingest Template'!P982),"", 'Ingest Template'!P982&amp;"|TV Ops"))))</f>
        <v>
</v>
      </c>
      <c r="AH982" s="35"/>
      <c r="AI982" s="35"/>
      <c r="AJ982" s="117" t="str">
        <f>if('Ingest Template'!A982="Standard",(IF(OR('Ingest Template'!F982 = "Program Type - Special", 'Ingest Template'!F982 = "Program Type - Live Event"),'Ingest Template'!M982&amp; "|DAR|DAR|"&amp;TEXT('Ingest Template'!C982-3, "yyyy-mm-dd")&amp;"|"&amp;TEXT('Ingest Template'!C982+3, "yyyy-mm-dd"),'Ingest Template'!M982&amp; "|DAR|DAR|2021-01-01")),(IF(OR('Ingest Template'!F982 = "Program Type - Special", 'Ingest Template'!F982 = "Program Type - Live Event"),'Ingest Template'!M982&amp; "|Operations - Core Title|Operations - Core Title|"&amp;TEXT('Ingest Template'!C982-3, "yyyy-mm-dd")&amp;"|"&amp;TEXT('Ingest Template'!C982+3, "yyyy-mm-dd"),'Ingest Template'!M982&amp; "|Operations - Core Title|Operations - Core Title")))</f>
        <v>|Operations - Core Title|Operations - Core Title</v>
      </c>
      <c r="AK982" s="35"/>
      <c r="AL982" s="117" t="str">
        <f>if('Ingest Template'!A982="Standard",(IF(OR('Ingest Template'!F982 = "Program Type - Special", 'Ingest Template'!F982 = "Program Type - Live Event"),'Ingest Template'!Q982&amp;"|"&amp;TEXT('Ingest Template'!C982-3, "yyyy-mm-dd")&amp;"|"&amp;TEXT('Ingest Template'!C982+3, "yyyy-mm-dd"),'Ingest Template'!Q982&amp; "|2021-01-01")),(IF(OR('Ingest Template'!F982 = "Program Type - Special", 'Ingest Template'!F982 = "Program Type - Live Event"),'Ingest Template'!Q982&amp; "|"&amp;TEXT('Ingest Template'!C982-3, "yyyy-mm-dd")&amp;"|"&amp;TEXT('Ingest Template'!C982+3, "yyyy-mm-dd"),'Ingest Template'!Q982)))</f>
        <v/>
      </c>
      <c r="AM982" s="35" t="str">
        <f>'Ingest Template'!AC982</f>
        <v/>
      </c>
    </row>
    <row r="983">
      <c r="A983" s="15"/>
      <c r="B983" s="22" t="str">
        <f>'Ingest Template'!C983&amp;IF('Ingest Template'!A983 = "Standard", " - DAR","")</f>
        <v/>
      </c>
      <c r="C983" s="22" t="s">
        <v>83</v>
      </c>
      <c r="D983" s="22" t="str">
        <f t="array" ref="D983">CONCATENATE(INDEX(DropdownLists!$H$2:$H$11,MATCH(1,COUNTIF('Ingest Template'!E983,"*"&amp;DropdownLists!$I$2:$I$11&amp;"*"),0)),CHAR(10),'Ingest Template'!F983,CHAR(10),'Ingest Template'!G983,CHAR(10),VLOOKUP('Ingest Template'!D983,DropdownLists!C:D,2,FALSE))</f>
        <v>#N/A</v>
      </c>
      <c r="E983" s="22" t="str">
        <f>CONCATENATE('Ingest Template'!H983,CHAR(10),'Ingest Template'!I983,CHAR(10),'Ingest Template'!J983,CHAR(10))</f>
        <v>
</v>
      </c>
      <c r="F983" s="35" t="str">
        <f t="array" ref="F983">INDEX(DropdownLists!$O$2:$O$36,MATCH(1,COUNTIF(E983,"*"&amp;DropdownLists!$N$2:$N$36&amp;"*"),0))</f>
        <v/>
      </c>
      <c r="G983" s="35"/>
      <c r="H983" s="22" t="str">
        <f t="array" ref="H983">INDEX(DropdownLists!$E$2:$E$276,MATCH('Ingest Template'!D983,DropdownLists!$C$2:$C$276,0))</f>
        <v>#N/A</v>
      </c>
      <c r="I983" s="22"/>
      <c r="J983" s="22" t="str">
        <f t="array" ref="J983">iF('Ingest Template'!A983="Standard","Pristine Brand",INDEX(DropdownLists!$B$2:$B$246,MATCH('Ingest Template'!D983,DropdownLists!$C$2:$C$246,0)))</f>
        <v>#N/A</v>
      </c>
      <c r="K983" s="22" t="str">
        <f>iF('Ingest Template'!A983="Standard",'Ingest Template'!K983&amp;CHAR(10)&amp;'Ingest Template'!L983,"Competitive View")</f>
        <v>Competitive View</v>
      </c>
      <c r="L983" s="22" t="s">
        <v>95</v>
      </c>
      <c r="M983" s="45" t="str">
        <f>'Ingest Template'!B983</f>
        <v/>
      </c>
      <c r="N983" s="35"/>
      <c r="O983" s="35"/>
      <c r="P983" s="35"/>
      <c r="Q983" s="35"/>
      <c r="R983" s="35" t="str">
        <f>'Ingest Template'!D983</f>
        <v/>
      </c>
      <c r="S983" s="22" t="s">
        <v>101</v>
      </c>
      <c r="T983" s="35" t="str">
        <f>'Ingest Template'!V983</f>
        <v/>
      </c>
      <c r="U983" s="35" t="str">
        <f>'Ingest Template'!W983</f>
        <v/>
      </c>
      <c r="V983" s="35" t="str">
        <f>LOWER(SUBSTITUTE(SUBSTITUTE(SUBSTITUTE(SUBSTITUTE(SUBSTITUTE('Ingest Template'!X983,"https:",""),"www.",""),"/",""),"?hl=en",""),"instagram.com",""))</f>
        <v/>
      </c>
      <c r="W983" s="74" t="str">
        <f t="array" ref="W983">IF(
'Ingest Template'!Y983="",
SUBSTITUTE(
INDEX(DropdownLists!$F$2:$F$277,MATCH('Ingest Template'!D983,DropdownLists!$C$2:$C$277,0)),
CHAR(10),
"|"&amp;'Ingest Template'!C983&amp;CHAR(10)
)&amp;"|"&amp;'Ingest Template'!C983,
SUBSTITUTE(
INDEX(DropdownLists!$F$2:$F$277,MATCH('Ingest Template'!D983,DropdownLists!$C$2:$C$277,0)),
CHAR(10),
"|"&amp;'Ingest Template'!C983&amp;CHAR(10)
)&amp;"|"&amp;'Ingest Template'!C983&amp;CHAR(10)&amp;'Ingest Template'!Y983
)</f>
        <v>#N/A</v>
      </c>
      <c r="X983" s="74" t="str">
        <f>'Ingest Template'!Z983</f>
        <v/>
      </c>
      <c r="Y983" s="35" t="str">
        <f>SUBSTITUTE(SUBSTITUTE(SUBSTITUTE('Ingest Template'!AA983,"http:",""),"https:",""),"/","")</f>
        <v/>
      </c>
      <c r="Z983" s="35" t="str">
        <f t="array" ref="Z983">IF('Ingest Template'!A983="Standard",(IF(ISBLANK('Ingest Template'!AB983),"", 'Ingest Template'!AB983&amp;"|DAR")),(IF(ISBLANK('Ingest Template'!AB983),"", 'Ingest Template'!AB983&amp;"|TV Ops")))</f>
        <v/>
      </c>
      <c r="AA983" s="35"/>
      <c r="AB983" s="35" t="str">
        <f>'Ingest Template'!R983</f>
        <v/>
      </c>
      <c r="AC983" s="35" t="str">
        <f>'Ingest Template'!T983</f>
        <v/>
      </c>
      <c r="AD983" s="35" t="str">
        <f>'Ingest Template'!S983</f>
        <v/>
      </c>
      <c r="AE983" s="35" t="str">
        <f>'Ingest Template'!U983</f>
        <v/>
      </c>
      <c r="AF983" s="22"/>
      <c r="AG983" s="35" t="str">
        <f t="array" ref="AG983">IF('Ingest Template'!A983="Standard",(CONCATENATE(IF(ISBLANK('Ingest Template'!N983),"", 'Ingest Template'!N983&amp;"|DAR"),CHAR(10), IF(ISBLANK('Ingest Template'!O983),"", 'Ingest Template'!O983&amp;"|DAR"),CHAR(10), IF(ISBLANK('Ingest Template'!P983),"", 'Ingest Template'!P983&amp;"|DAR"))),(CONCATENATE(IF(ISBLANK('Ingest Template'!N983),"", 'Ingest Template'!N983&amp;"|TV Ops"),CHAR(10), IF(ISBLANK('Ingest Template'!O983),"", 'Ingest Template'!O983&amp;"|TV Ops"),CHAR(10), IF(ISBLANK('Ingest Template'!P983),"", 'Ingest Template'!P983&amp;"|TV Ops"))))</f>
        <v>
</v>
      </c>
      <c r="AH983" s="35"/>
      <c r="AI983" s="35"/>
      <c r="AJ983" s="117" t="str">
        <f>if('Ingest Template'!A983="Standard",(IF(OR('Ingest Template'!F983 = "Program Type - Special", 'Ingest Template'!F983 = "Program Type - Live Event"),'Ingest Template'!M983&amp; "|DAR|DAR|"&amp;TEXT('Ingest Template'!C983-3, "yyyy-mm-dd")&amp;"|"&amp;TEXT('Ingest Template'!C983+3, "yyyy-mm-dd"),'Ingest Template'!M983&amp; "|DAR|DAR|2021-01-01")),(IF(OR('Ingest Template'!F983 = "Program Type - Special", 'Ingest Template'!F983 = "Program Type - Live Event"),'Ingest Template'!M983&amp; "|Operations - Core Title|Operations - Core Title|"&amp;TEXT('Ingest Template'!C983-3, "yyyy-mm-dd")&amp;"|"&amp;TEXT('Ingest Template'!C983+3, "yyyy-mm-dd"),'Ingest Template'!M983&amp; "|Operations - Core Title|Operations - Core Title")))</f>
        <v>|Operations - Core Title|Operations - Core Title</v>
      </c>
      <c r="AK983" s="35"/>
      <c r="AL983" s="117" t="str">
        <f>if('Ingest Template'!A983="Standard",(IF(OR('Ingest Template'!F983 = "Program Type - Special", 'Ingest Template'!F983 = "Program Type - Live Event"),'Ingest Template'!Q983&amp;"|"&amp;TEXT('Ingest Template'!C983-3, "yyyy-mm-dd")&amp;"|"&amp;TEXT('Ingest Template'!C983+3, "yyyy-mm-dd"),'Ingest Template'!Q983&amp; "|2021-01-01")),(IF(OR('Ingest Template'!F983 = "Program Type - Special", 'Ingest Template'!F983 = "Program Type - Live Event"),'Ingest Template'!Q983&amp; "|"&amp;TEXT('Ingest Template'!C983-3, "yyyy-mm-dd")&amp;"|"&amp;TEXT('Ingest Template'!C983+3, "yyyy-mm-dd"),'Ingest Template'!Q983)))</f>
        <v/>
      </c>
      <c r="AM983" s="35" t="str">
        <f>'Ingest Template'!AC983</f>
        <v/>
      </c>
    </row>
    <row r="984">
      <c r="A984" s="15"/>
      <c r="B984" s="22" t="str">
        <f>'Ingest Template'!C984&amp;IF('Ingest Template'!A984 = "Standard", " - DAR","")</f>
        <v/>
      </c>
      <c r="C984" s="22" t="s">
        <v>83</v>
      </c>
      <c r="D984" s="22" t="str">
        <f t="array" ref="D984">CONCATENATE(INDEX(DropdownLists!$H$2:$H$11,MATCH(1,COUNTIF('Ingest Template'!E984,"*"&amp;DropdownLists!$I$2:$I$11&amp;"*"),0)),CHAR(10),'Ingest Template'!F984,CHAR(10),'Ingest Template'!G984,CHAR(10),VLOOKUP('Ingest Template'!D984,DropdownLists!C:D,2,FALSE))</f>
        <v>#N/A</v>
      </c>
      <c r="E984" s="22" t="str">
        <f>CONCATENATE('Ingest Template'!H984,CHAR(10),'Ingest Template'!I984,CHAR(10),'Ingest Template'!J984,CHAR(10))</f>
        <v>
</v>
      </c>
      <c r="F984" s="35" t="str">
        <f t="array" ref="F984">INDEX(DropdownLists!$O$2:$O$36,MATCH(1,COUNTIF(E984,"*"&amp;DropdownLists!$N$2:$N$36&amp;"*"),0))</f>
        <v/>
      </c>
      <c r="G984" s="35"/>
      <c r="H984" s="22" t="str">
        <f t="array" ref="H984">INDEX(DropdownLists!$E$2:$E$276,MATCH('Ingest Template'!D984,DropdownLists!$C$2:$C$276,0))</f>
        <v>#N/A</v>
      </c>
      <c r="I984" s="22"/>
      <c r="J984" s="22" t="str">
        <f t="array" ref="J984">iF('Ingest Template'!A984="Standard","Pristine Brand",INDEX(DropdownLists!$B$2:$B$246,MATCH('Ingest Template'!D984,DropdownLists!$C$2:$C$246,0)))</f>
        <v>#N/A</v>
      </c>
      <c r="K984" s="22" t="str">
        <f>iF('Ingest Template'!A984="Standard",'Ingest Template'!K984&amp;CHAR(10)&amp;'Ingest Template'!L984,"Competitive View")</f>
        <v>Competitive View</v>
      </c>
      <c r="L984" s="22" t="s">
        <v>95</v>
      </c>
      <c r="M984" s="45" t="str">
        <f>'Ingest Template'!B984</f>
        <v/>
      </c>
      <c r="N984" s="35"/>
      <c r="O984" s="35"/>
      <c r="P984" s="35"/>
      <c r="Q984" s="35"/>
      <c r="R984" s="35" t="str">
        <f>'Ingest Template'!D984</f>
        <v/>
      </c>
      <c r="S984" s="22" t="s">
        <v>101</v>
      </c>
      <c r="T984" s="35" t="str">
        <f>'Ingest Template'!V984</f>
        <v/>
      </c>
      <c r="U984" s="35" t="str">
        <f>'Ingest Template'!W984</f>
        <v/>
      </c>
      <c r="V984" s="35" t="str">
        <f>LOWER(SUBSTITUTE(SUBSTITUTE(SUBSTITUTE(SUBSTITUTE(SUBSTITUTE('Ingest Template'!X984,"https:",""),"www.",""),"/",""),"?hl=en",""),"instagram.com",""))</f>
        <v/>
      </c>
      <c r="W984" s="74" t="str">
        <f t="array" ref="W984">IF(
'Ingest Template'!Y984="",
SUBSTITUTE(
INDEX(DropdownLists!$F$2:$F$277,MATCH('Ingest Template'!D984,DropdownLists!$C$2:$C$277,0)),
CHAR(10),
"|"&amp;'Ingest Template'!C984&amp;CHAR(10)
)&amp;"|"&amp;'Ingest Template'!C984,
SUBSTITUTE(
INDEX(DropdownLists!$F$2:$F$277,MATCH('Ingest Template'!D984,DropdownLists!$C$2:$C$277,0)),
CHAR(10),
"|"&amp;'Ingest Template'!C984&amp;CHAR(10)
)&amp;"|"&amp;'Ingest Template'!C984&amp;CHAR(10)&amp;'Ingest Template'!Y984
)</f>
        <v>#N/A</v>
      </c>
      <c r="X984" s="74" t="str">
        <f>'Ingest Template'!Z984</f>
        <v/>
      </c>
      <c r="Y984" s="35" t="str">
        <f>SUBSTITUTE(SUBSTITUTE(SUBSTITUTE('Ingest Template'!AA984,"http:",""),"https:",""),"/","")</f>
        <v/>
      </c>
      <c r="Z984" s="35" t="str">
        <f t="array" ref="Z984">IF('Ingest Template'!A984="Standard",(IF(ISBLANK('Ingest Template'!AB984),"", 'Ingest Template'!AB984&amp;"|DAR")),(IF(ISBLANK('Ingest Template'!AB984),"", 'Ingest Template'!AB984&amp;"|TV Ops")))</f>
        <v/>
      </c>
      <c r="AA984" s="35"/>
      <c r="AB984" s="35" t="str">
        <f>'Ingest Template'!R984</f>
        <v/>
      </c>
      <c r="AC984" s="35" t="str">
        <f>'Ingest Template'!T984</f>
        <v/>
      </c>
      <c r="AD984" s="35" t="str">
        <f>'Ingest Template'!S984</f>
        <v/>
      </c>
      <c r="AE984" s="35" t="str">
        <f>'Ingest Template'!U984</f>
        <v/>
      </c>
      <c r="AF984" s="22"/>
      <c r="AG984" s="35" t="str">
        <f t="array" ref="AG984">IF('Ingest Template'!A984="Standard",(CONCATENATE(IF(ISBLANK('Ingest Template'!N984),"", 'Ingest Template'!N984&amp;"|DAR"),CHAR(10), IF(ISBLANK('Ingest Template'!O984),"", 'Ingest Template'!O984&amp;"|DAR"),CHAR(10), IF(ISBLANK('Ingest Template'!P984),"", 'Ingest Template'!P984&amp;"|DAR"))),(CONCATENATE(IF(ISBLANK('Ingest Template'!N984),"", 'Ingest Template'!N984&amp;"|TV Ops"),CHAR(10), IF(ISBLANK('Ingest Template'!O984),"", 'Ingest Template'!O984&amp;"|TV Ops"),CHAR(10), IF(ISBLANK('Ingest Template'!P984),"", 'Ingest Template'!P984&amp;"|TV Ops"))))</f>
        <v>
</v>
      </c>
      <c r="AH984" s="35"/>
      <c r="AI984" s="35"/>
      <c r="AJ984" s="117" t="str">
        <f>if('Ingest Template'!A984="Standard",(IF(OR('Ingest Template'!F984 = "Program Type - Special", 'Ingest Template'!F984 = "Program Type - Live Event"),'Ingest Template'!M984&amp; "|DAR|DAR|"&amp;TEXT('Ingest Template'!C984-3, "yyyy-mm-dd")&amp;"|"&amp;TEXT('Ingest Template'!C984+3, "yyyy-mm-dd"),'Ingest Template'!M984&amp; "|DAR|DAR|2021-01-01")),(IF(OR('Ingest Template'!F984 = "Program Type - Special", 'Ingest Template'!F984 = "Program Type - Live Event"),'Ingest Template'!M984&amp; "|Operations - Core Title|Operations - Core Title|"&amp;TEXT('Ingest Template'!C984-3, "yyyy-mm-dd")&amp;"|"&amp;TEXT('Ingest Template'!C984+3, "yyyy-mm-dd"),'Ingest Template'!M984&amp; "|Operations - Core Title|Operations - Core Title")))</f>
        <v>|Operations - Core Title|Operations - Core Title</v>
      </c>
      <c r="AK984" s="35"/>
      <c r="AL984" s="117" t="str">
        <f>if('Ingest Template'!A984="Standard",(IF(OR('Ingest Template'!F984 = "Program Type - Special", 'Ingest Template'!F984 = "Program Type - Live Event"),'Ingest Template'!Q984&amp;"|"&amp;TEXT('Ingest Template'!C984-3, "yyyy-mm-dd")&amp;"|"&amp;TEXT('Ingest Template'!C984+3, "yyyy-mm-dd"),'Ingest Template'!Q984&amp; "|2021-01-01")),(IF(OR('Ingest Template'!F984 = "Program Type - Special", 'Ingest Template'!F984 = "Program Type - Live Event"),'Ingest Template'!Q984&amp; "|"&amp;TEXT('Ingest Template'!C984-3, "yyyy-mm-dd")&amp;"|"&amp;TEXT('Ingest Template'!C984+3, "yyyy-mm-dd"),'Ingest Template'!Q984)))</f>
        <v/>
      </c>
      <c r="AM984" s="35" t="str">
        <f>'Ingest Template'!AC984</f>
        <v/>
      </c>
    </row>
    <row r="985">
      <c r="A985" s="15"/>
      <c r="B985" s="22" t="str">
        <f>'Ingest Template'!C985&amp;IF('Ingest Template'!A985 = "Standard", " - DAR","")</f>
        <v/>
      </c>
      <c r="C985" s="22" t="s">
        <v>83</v>
      </c>
      <c r="D985" s="22" t="str">
        <f t="array" ref="D985">CONCATENATE(INDEX(DropdownLists!$H$2:$H$11,MATCH(1,COUNTIF('Ingest Template'!E985,"*"&amp;DropdownLists!$I$2:$I$11&amp;"*"),0)),CHAR(10),'Ingest Template'!F985,CHAR(10),'Ingest Template'!G985,CHAR(10),VLOOKUP('Ingest Template'!D985,DropdownLists!C:D,2,FALSE))</f>
        <v>#N/A</v>
      </c>
      <c r="E985" s="22" t="str">
        <f>CONCATENATE('Ingest Template'!H985,CHAR(10),'Ingest Template'!I985,CHAR(10),'Ingest Template'!J985,CHAR(10))</f>
        <v>
</v>
      </c>
      <c r="F985" s="35" t="str">
        <f t="array" ref="F985">INDEX(DropdownLists!$O$2:$O$36,MATCH(1,COUNTIF(E985,"*"&amp;DropdownLists!$N$2:$N$36&amp;"*"),0))</f>
        <v/>
      </c>
      <c r="G985" s="35"/>
      <c r="H985" s="22" t="str">
        <f t="array" ref="H985">INDEX(DropdownLists!$E$2:$E$276,MATCH('Ingest Template'!D985,DropdownLists!$C$2:$C$276,0))</f>
        <v>#N/A</v>
      </c>
      <c r="I985" s="22"/>
      <c r="J985" s="22" t="str">
        <f t="array" ref="J985">iF('Ingest Template'!A985="Standard","Pristine Brand",INDEX(DropdownLists!$B$2:$B$246,MATCH('Ingest Template'!D985,DropdownLists!$C$2:$C$246,0)))</f>
        <v>#N/A</v>
      </c>
      <c r="K985" s="22" t="str">
        <f>iF('Ingest Template'!A985="Standard",'Ingest Template'!K985&amp;CHAR(10)&amp;'Ingest Template'!L985,"Competitive View")</f>
        <v>Competitive View</v>
      </c>
      <c r="L985" s="22" t="s">
        <v>95</v>
      </c>
      <c r="M985" s="45" t="str">
        <f>'Ingest Template'!B985</f>
        <v/>
      </c>
      <c r="N985" s="35"/>
      <c r="O985" s="35"/>
      <c r="P985" s="35"/>
      <c r="Q985" s="35"/>
      <c r="R985" s="35" t="str">
        <f>'Ingest Template'!D985</f>
        <v/>
      </c>
      <c r="S985" s="22" t="s">
        <v>101</v>
      </c>
      <c r="T985" s="35" t="str">
        <f>'Ingest Template'!V985</f>
        <v/>
      </c>
      <c r="U985" s="35" t="str">
        <f>'Ingest Template'!W985</f>
        <v/>
      </c>
      <c r="V985" s="35" t="str">
        <f>LOWER(SUBSTITUTE(SUBSTITUTE(SUBSTITUTE(SUBSTITUTE(SUBSTITUTE('Ingest Template'!X985,"https:",""),"www.",""),"/",""),"?hl=en",""),"instagram.com",""))</f>
        <v/>
      </c>
      <c r="W985" s="74" t="str">
        <f t="array" ref="W985">IF(
'Ingest Template'!Y985="",
SUBSTITUTE(
INDEX(DropdownLists!$F$2:$F$277,MATCH('Ingest Template'!D985,DropdownLists!$C$2:$C$277,0)),
CHAR(10),
"|"&amp;'Ingest Template'!C985&amp;CHAR(10)
)&amp;"|"&amp;'Ingest Template'!C985,
SUBSTITUTE(
INDEX(DropdownLists!$F$2:$F$277,MATCH('Ingest Template'!D985,DropdownLists!$C$2:$C$277,0)),
CHAR(10),
"|"&amp;'Ingest Template'!C985&amp;CHAR(10)
)&amp;"|"&amp;'Ingest Template'!C985&amp;CHAR(10)&amp;'Ingest Template'!Y985
)</f>
        <v>#N/A</v>
      </c>
      <c r="X985" s="74" t="str">
        <f>'Ingest Template'!Z985</f>
        <v/>
      </c>
      <c r="Y985" s="35" t="str">
        <f>SUBSTITUTE(SUBSTITUTE(SUBSTITUTE('Ingest Template'!AA985,"http:",""),"https:",""),"/","")</f>
        <v/>
      </c>
      <c r="Z985" s="35" t="str">
        <f t="array" ref="Z985">IF('Ingest Template'!A985="Standard",(IF(ISBLANK('Ingest Template'!AB985),"", 'Ingest Template'!AB985&amp;"|DAR")),(IF(ISBLANK('Ingest Template'!AB985),"", 'Ingest Template'!AB985&amp;"|TV Ops")))</f>
        <v/>
      </c>
      <c r="AA985" s="35"/>
      <c r="AB985" s="35" t="str">
        <f>'Ingest Template'!R985</f>
        <v/>
      </c>
      <c r="AC985" s="35" t="str">
        <f>'Ingest Template'!T985</f>
        <v/>
      </c>
      <c r="AD985" s="35" t="str">
        <f>'Ingest Template'!S985</f>
        <v/>
      </c>
      <c r="AE985" s="35" t="str">
        <f>'Ingest Template'!U985</f>
        <v/>
      </c>
      <c r="AF985" s="22"/>
      <c r="AG985" s="35" t="str">
        <f t="array" ref="AG985">IF('Ingest Template'!A985="Standard",(CONCATENATE(IF(ISBLANK('Ingest Template'!N985),"", 'Ingest Template'!N985&amp;"|DAR"),CHAR(10), IF(ISBLANK('Ingest Template'!O985),"", 'Ingest Template'!O985&amp;"|DAR"),CHAR(10), IF(ISBLANK('Ingest Template'!P985),"", 'Ingest Template'!P985&amp;"|DAR"))),(CONCATENATE(IF(ISBLANK('Ingest Template'!N985),"", 'Ingest Template'!N985&amp;"|TV Ops"),CHAR(10), IF(ISBLANK('Ingest Template'!O985),"", 'Ingest Template'!O985&amp;"|TV Ops"),CHAR(10), IF(ISBLANK('Ingest Template'!P985),"", 'Ingest Template'!P985&amp;"|TV Ops"))))</f>
        <v>
</v>
      </c>
      <c r="AH985" s="35"/>
      <c r="AI985" s="35"/>
      <c r="AJ985" s="117" t="str">
        <f>if('Ingest Template'!A985="Standard",(IF(OR('Ingest Template'!F985 = "Program Type - Special", 'Ingest Template'!F985 = "Program Type - Live Event"),'Ingest Template'!M985&amp; "|DAR|DAR|"&amp;TEXT('Ingest Template'!C985-3, "yyyy-mm-dd")&amp;"|"&amp;TEXT('Ingest Template'!C985+3, "yyyy-mm-dd"),'Ingest Template'!M985&amp; "|DAR|DAR|2021-01-01")),(IF(OR('Ingest Template'!F985 = "Program Type - Special", 'Ingest Template'!F985 = "Program Type - Live Event"),'Ingest Template'!M985&amp; "|Operations - Core Title|Operations - Core Title|"&amp;TEXT('Ingest Template'!C985-3, "yyyy-mm-dd")&amp;"|"&amp;TEXT('Ingest Template'!C985+3, "yyyy-mm-dd"),'Ingest Template'!M985&amp; "|Operations - Core Title|Operations - Core Title")))</f>
        <v>|Operations - Core Title|Operations - Core Title</v>
      </c>
      <c r="AK985" s="35"/>
      <c r="AL985" s="117" t="str">
        <f>if('Ingest Template'!A985="Standard",(IF(OR('Ingest Template'!F985 = "Program Type - Special", 'Ingest Template'!F985 = "Program Type - Live Event"),'Ingest Template'!Q985&amp;"|"&amp;TEXT('Ingest Template'!C985-3, "yyyy-mm-dd")&amp;"|"&amp;TEXT('Ingest Template'!C985+3, "yyyy-mm-dd"),'Ingest Template'!Q985&amp; "|2021-01-01")),(IF(OR('Ingest Template'!F985 = "Program Type - Special", 'Ingest Template'!F985 = "Program Type - Live Event"),'Ingest Template'!Q985&amp; "|"&amp;TEXT('Ingest Template'!C985-3, "yyyy-mm-dd")&amp;"|"&amp;TEXT('Ingest Template'!C985+3, "yyyy-mm-dd"),'Ingest Template'!Q985)))</f>
        <v/>
      </c>
      <c r="AM985" s="35" t="str">
        <f>'Ingest Template'!AC985</f>
        <v/>
      </c>
    </row>
    <row r="986">
      <c r="A986" s="15"/>
      <c r="B986" s="22" t="str">
        <f>'Ingest Template'!C986&amp;IF('Ingest Template'!A986 = "Standard", " - DAR","")</f>
        <v/>
      </c>
      <c r="C986" s="22" t="s">
        <v>83</v>
      </c>
      <c r="D986" s="22" t="str">
        <f t="array" ref="D986">CONCATENATE(INDEX(DropdownLists!$H$2:$H$11,MATCH(1,COUNTIF('Ingest Template'!E986,"*"&amp;DropdownLists!$I$2:$I$11&amp;"*"),0)),CHAR(10),'Ingest Template'!F986,CHAR(10),'Ingest Template'!G986,CHAR(10),VLOOKUP('Ingest Template'!D986,DropdownLists!C:D,2,FALSE))</f>
        <v>#N/A</v>
      </c>
      <c r="E986" s="22" t="str">
        <f>CONCATENATE('Ingest Template'!H986,CHAR(10),'Ingest Template'!I986,CHAR(10),'Ingest Template'!J986,CHAR(10))</f>
        <v>
</v>
      </c>
      <c r="F986" s="35" t="str">
        <f t="array" ref="F986">INDEX(DropdownLists!$O$2:$O$36,MATCH(1,COUNTIF(E986,"*"&amp;DropdownLists!$N$2:$N$36&amp;"*"),0))</f>
        <v/>
      </c>
      <c r="G986" s="35"/>
      <c r="H986" s="22" t="str">
        <f t="array" ref="H986">INDEX(DropdownLists!$E$2:$E$276,MATCH('Ingest Template'!D986,DropdownLists!$C$2:$C$276,0))</f>
        <v>#N/A</v>
      </c>
      <c r="I986" s="22"/>
      <c r="J986" s="22" t="str">
        <f t="array" ref="J986">iF('Ingest Template'!A986="Standard","Pristine Brand",INDEX(DropdownLists!$B$2:$B$246,MATCH('Ingest Template'!D986,DropdownLists!$C$2:$C$246,0)))</f>
        <v>#N/A</v>
      </c>
      <c r="K986" s="22" t="str">
        <f>iF('Ingest Template'!A986="Standard",'Ingest Template'!K986&amp;CHAR(10)&amp;'Ingest Template'!L986,"Competitive View")</f>
        <v>Competitive View</v>
      </c>
      <c r="L986" s="22" t="s">
        <v>95</v>
      </c>
      <c r="M986" s="45" t="str">
        <f>'Ingest Template'!B986</f>
        <v/>
      </c>
      <c r="N986" s="35"/>
      <c r="O986" s="35"/>
      <c r="P986" s="35"/>
      <c r="Q986" s="35"/>
      <c r="R986" s="35" t="str">
        <f>'Ingest Template'!D986</f>
        <v/>
      </c>
      <c r="S986" s="22" t="s">
        <v>101</v>
      </c>
      <c r="T986" s="35" t="str">
        <f>'Ingest Template'!V986</f>
        <v/>
      </c>
      <c r="U986" s="35" t="str">
        <f>'Ingest Template'!W986</f>
        <v/>
      </c>
      <c r="V986" s="35" t="str">
        <f>LOWER(SUBSTITUTE(SUBSTITUTE(SUBSTITUTE(SUBSTITUTE(SUBSTITUTE('Ingest Template'!X986,"https:",""),"www.",""),"/",""),"?hl=en",""),"instagram.com",""))</f>
        <v/>
      </c>
      <c r="W986" s="74" t="str">
        <f t="array" ref="W986">IF(
'Ingest Template'!Y986="",
SUBSTITUTE(
INDEX(DropdownLists!$F$2:$F$277,MATCH('Ingest Template'!D986,DropdownLists!$C$2:$C$277,0)),
CHAR(10),
"|"&amp;'Ingest Template'!C986&amp;CHAR(10)
)&amp;"|"&amp;'Ingest Template'!C986,
SUBSTITUTE(
INDEX(DropdownLists!$F$2:$F$277,MATCH('Ingest Template'!D986,DropdownLists!$C$2:$C$277,0)),
CHAR(10),
"|"&amp;'Ingest Template'!C986&amp;CHAR(10)
)&amp;"|"&amp;'Ingest Template'!C986&amp;CHAR(10)&amp;'Ingest Template'!Y986
)</f>
        <v>#N/A</v>
      </c>
      <c r="X986" s="74" t="str">
        <f>'Ingest Template'!Z986</f>
        <v/>
      </c>
      <c r="Y986" s="35" t="str">
        <f>SUBSTITUTE(SUBSTITUTE(SUBSTITUTE('Ingest Template'!AA986,"http:",""),"https:",""),"/","")</f>
        <v/>
      </c>
      <c r="Z986" s="35" t="str">
        <f t="array" ref="Z986">IF('Ingest Template'!A986="Standard",(IF(ISBLANK('Ingest Template'!AB986),"", 'Ingest Template'!AB986&amp;"|DAR")),(IF(ISBLANK('Ingest Template'!AB986),"", 'Ingest Template'!AB986&amp;"|TV Ops")))</f>
        <v/>
      </c>
      <c r="AA986" s="35"/>
      <c r="AB986" s="35" t="str">
        <f>'Ingest Template'!R986</f>
        <v/>
      </c>
      <c r="AC986" s="35" t="str">
        <f>'Ingest Template'!T986</f>
        <v/>
      </c>
      <c r="AD986" s="35" t="str">
        <f>'Ingest Template'!S986</f>
        <v/>
      </c>
      <c r="AE986" s="35" t="str">
        <f>'Ingest Template'!U986</f>
        <v/>
      </c>
      <c r="AF986" s="22"/>
      <c r="AG986" s="35" t="str">
        <f t="array" ref="AG986">IF('Ingest Template'!A986="Standard",(CONCATENATE(IF(ISBLANK('Ingest Template'!N986),"", 'Ingest Template'!N986&amp;"|DAR"),CHAR(10), IF(ISBLANK('Ingest Template'!O986),"", 'Ingest Template'!O986&amp;"|DAR"),CHAR(10), IF(ISBLANK('Ingest Template'!P986),"", 'Ingest Template'!P986&amp;"|DAR"))),(CONCATENATE(IF(ISBLANK('Ingest Template'!N986),"", 'Ingest Template'!N986&amp;"|TV Ops"),CHAR(10), IF(ISBLANK('Ingest Template'!O986),"", 'Ingest Template'!O986&amp;"|TV Ops"),CHAR(10), IF(ISBLANK('Ingest Template'!P986),"", 'Ingest Template'!P986&amp;"|TV Ops"))))</f>
        <v>
</v>
      </c>
      <c r="AH986" s="35"/>
      <c r="AI986" s="35"/>
      <c r="AJ986" s="117" t="str">
        <f>if('Ingest Template'!A986="Standard",(IF(OR('Ingest Template'!F986 = "Program Type - Special", 'Ingest Template'!F986 = "Program Type - Live Event"),'Ingest Template'!M986&amp; "|DAR|DAR|"&amp;TEXT('Ingest Template'!C986-3, "yyyy-mm-dd")&amp;"|"&amp;TEXT('Ingest Template'!C986+3, "yyyy-mm-dd"),'Ingest Template'!M986&amp; "|DAR|DAR|2021-01-01")),(IF(OR('Ingest Template'!F986 = "Program Type - Special", 'Ingest Template'!F986 = "Program Type - Live Event"),'Ingest Template'!M986&amp; "|Operations - Core Title|Operations - Core Title|"&amp;TEXT('Ingest Template'!C986-3, "yyyy-mm-dd")&amp;"|"&amp;TEXT('Ingest Template'!C986+3, "yyyy-mm-dd"),'Ingest Template'!M986&amp; "|Operations - Core Title|Operations - Core Title")))</f>
        <v>|Operations - Core Title|Operations - Core Title</v>
      </c>
      <c r="AK986" s="35"/>
      <c r="AL986" s="117" t="str">
        <f>if('Ingest Template'!A986="Standard",(IF(OR('Ingest Template'!F986 = "Program Type - Special", 'Ingest Template'!F986 = "Program Type - Live Event"),'Ingest Template'!Q986&amp;"|"&amp;TEXT('Ingest Template'!C986-3, "yyyy-mm-dd")&amp;"|"&amp;TEXT('Ingest Template'!C986+3, "yyyy-mm-dd"),'Ingest Template'!Q986&amp; "|2021-01-01")),(IF(OR('Ingest Template'!F986 = "Program Type - Special", 'Ingest Template'!F986 = "Program Type - Live Event"),'Ingest Template'!Q986&amp; "|"&amp;TEXT('Ingest Template'!C986-3, "yyyy-mm-dd")&amp;"|"&amp;TEXT('Ingest Template'!C986+3, "yyyy-mm-dd"),'Ingest Template'!Q986)))</f>
        <v/>
      </c>
      <c r="AM986" s="35" t="str">
        <f>'Ingest Template'!AC986</f>
        <v/>
      </c>
    </row>
    <row r="987">
      <c r="A987" s="15"/>
      <c r="B987" s="22" t="str">
        <f>'Ingest Template'!C987&amp;IF('Ingest Template'!A987 = "Standard", " - DAR","")</f>
        <v/>
      </c>
      <c r="C987" s="22" t="s">
        <v>83</v>
      </c>
      <c r="D987" s="22" t="str">
        <f t="array" ref="D987">CONCATENATE(INDEX(DropdownLists!$H$2:$H$11,MATCH(1,COUNTIF('Ingest Template'!E987,"*"&amp;DropdownLists!$I$2:$I$11&amp;"*"),0)),CHAR(10),'Ingest Template'!F987,CHAR(10),'Ingest Template'!G987,CHAR(10),VLOOKUP('Ingest Template'!D987,DropdownLists!C:D,2,FALSE))</f>
        <v>#N/A</v>
      </c>
      <c r="E987" s="22" t="str">
        <f>CONCATENATE('Ingest Template'!H987,CHAR(10),'Ingest Template'!I987,CHAR(10),'Ingest Template'!J987,CHAR(10))</f>
        <v>
</v>
      </c>
      <c r="F987" s="35" t="str">
        <f t="array" ref="F987">INDEX(DropdownLists!$O$2:$O$36,MATCH(1,COUNTIF(E987,"*"&amp;DropdownLists!$N$2:$N$36&amp;"*"),0))</f>
        <v/>
      </c>
      <c r="G987" s="35"/>
      <c r="H987" s="22" t="str">
        <f t="array" ref="H987">INDEX(DropdownLists!$E$2:$E$276,MATCH('Ingest Template'!D987,DropdownLists!$C$2:$C$276,0))</f>
        <v>#N/A</v>
      </c>
      <c r="I987" s="22"/>
      <c r="J987" s="22" t="str">
        <f t="array" ref="J987">iF('Ingest Template'!A987="Standard","Pristine Brand",INDEX(DropdownLists!$B$2:$B$246,MATCH('Ingest Template'!D987,DropdownLists!$C$2:$C$246,0)))</f>
        <v>#N/A</v>
      </c>
      <c r="K987" s="22" t="str">
        <f>iF('Ingest Template'!A987="Standard",'Ingest Template'!K987&amp;CHAR(10)&amp;'Ingest Template'!L987,"Competitive View")</f>
        <v>Competitive View</v>
      </c>
      <c r="L987" s="22" t="s">
        <v>95</v>
      </c>
      <c r="M987" s="45" t="str">
        <f>'Ingest Template'!B987</f>
        <v/>
      </c>
      <c r="N987" s="35"/>
      <c r="O987" s="35"/>
      <c r="P987" s="35"/>
      <c r="Q987" s="35"/>
      <c r="R987" s="35" t="str">
        <f>'Ingest Template'!D987</f>
        <v/>
      </c>
      <c r="S987" s="22" t="s">
        <v>101</v>
      </c>
      <c r="T987" s="35" t="str">
        <f>'Ingest Template'!V987</f>
        <v/>
      </c>
      <c r="U987" s="35" t="str">
        <f>'Ingest Template'!W987</f>
        <v/>
      </c>
      <c r="V987" s="35" t="str">
        <f>LOWER(SUBSTITUTE(SUBSTITUTE(SUBSTITUTE(SUBSTITUTE(SUBSTITUTE('Ingest Template'!X987,"https:",""),"www.",""),"/",""),"?hl=en",""),"instagram.com",""))</f>
        <v/>
      </c>
      <c r="W987" s="74" t="str">
        <f t="array" ref="W987">IF(
'Ingest Template'!Y987="",
SUBSTITUTE(
INDEX(DropdownLists!$F$2:$F$277,MATCH('Ingest Template'!D987,DropdownLists!$C$2:$C$277,0)),
CHAR(10),
"|"&amp;'Ingest Template'!C987&amp;CHAR(10)
)&amp;"|"&amp;'Ingest Template'!C987,
SUBSTITUTE(
INDEX(DropdownLists!$F$2:$F$277,MATCH('Ingest Template'!D987,DropdownLists!$C$2:$C$277,0)),
CHAR(10),
"|"&amp;'Ingest Template'!C987&amp;CHAR(10)
)&amp;"|"&amp;'Ingest Template'!C987&amp;CHAR(10)&amp;'Ingest Template'!Y987
)</f>
        <v>#N/A</v>
      </c>
      <c r="X987" s="74" t="str">
        <f>'Ingest Template'!Z987</f>
        <v/>
      </c>
      <c r="Y987" s="35" t="str">
        <f>SUBSTITUTE(SUBSTITUTE(SUBSTITUTE('Ingest Template'!AA987,"http:",""),"https:",""),"/","")</f>
        <v/>
      </c>
      <c r="Z987" s="35" t="str">
        <f t="array" ref="Z987">IF('Ingest Template'!A987="Standard",(IF(ISBLANK('Ingest Template'!AB987),"", 'Ingest Template'!AB987&amp;"|DAR")),(IF(ISBLANK('Ingest Template'!AB987),"", 'Ingest Template'!AB987&amp;"|TV Ops")))</f>
        <v/>
      </c>
      <c r="AA987" s="35"/>
      <c r="AB987" s="35" t="str">
        <f>'Ingest Template'!R987</f>
        <v/>
      </c>
      <c r="AC987" s="35" t="str">
        <f>'Ingest Template'!T987</f>
        <v/>
      </c>
      <c r="AD987" s="35" t="str">
        <f>'Ingest Template'!S987</f>
        <v/>
      </c>
      <c r="AE987" s="35" t="str">
        <f>'Ingest Template'!U987</f>
        <v/>
      </c>
      <c r="AF987" s="22"/>
      <c r="AG987" s="35" t="str">
        <f t="array" ref="AG987">IF('Ingest Template'!A987="Standard",(CONCATENATE(IF(ISBLANK('Ingest Template'!N987),"", 'Ingest Template'!N987&amp;"|DAR"),CHAR(10), IF(ISBLANK('Ingest Template'!O987),"", 'Ingest Template'!O987&amp;"|DAR"),CHAR(10), IF(ISBLANK('Ingest Template'!P987),"", 'Ingest Template'!P987&amp;"|DAR"))),(CONCATENATE(IF(ISBLANK('Ingest Template'!N987),"", 'Ingest Template'!N987&amp;"|TV Ops"),CHAR(10), IF(ISBLANK('Ingest Template'!O987),"", 'Ingest Template'!O987&amp;"|TV Ops"),CHAR(10), IF(ISBLANK('Ingest Template'!P987),"", 'Ingest Template'!P987&amp;"|TV Ops"))))</f>
        <v>
</v>
      </c>
      <c r="AH987" s="35"/>
      <c r="AI987" s="35"/>
      <c r="AJ987" s="117" t="str">
        <f>if('Ingest Template'!A987="Standard",(IF(OR('Ingest Template'!F987 = "Program Type - Special", 'Ingest Template'!F987 = "Program Type - Live Event"),'Ingest Template'!M987&amp; "|DAR|DAR|"&amp;TEXT('Ingest Template'!C987-3, "yyyy-mm-dd")&amp;"|"&amp;TEXT('Ingest Template'!C987+3, "yyyy-mm-dd"),'Ingest Template'!M987&amp; "|DAR|DAR|2021-01-01")),(IF(OR('Ingest Template'!F987 = "Program Type - Special", 'Ingest Template'!F987 = "Program Type - Live Event"),'Ingest Template'!M987&amp; "|Operations - Core Title|Operations - Core Title|"&amp;TEXT('Ingest Template'!C987-3, "yyyy-mm-dd")&amp;"|"&amp;TEXT('Ingest Template'!C987+3, "yyyy-mm-dd"),'Ingest Template'!M987&amp; "|Operations - Core Title|Operations - Core Title")))</f>
        <v>|Operations - Core Title|Operations - Core Title</v>
      </c>
      <c r="AK987" s="35"/>
      <c r="AL987" s="117" t="str">
        <f>if('Ingest Template'!A987="Standard",(IF(OR('Ingest Template'!F987 = "Program Type - Special", 'Ingest Template'!F987 = "Program Type - Live Event"),'Ingest Template'!Q987&amp;"|"&amp;TEXT('Ingest Template'!C987-3, "yyyy-mm-dd")&amp;"|"&amp;TEXT('Ingest Template'!C987+3, "yyyy-mm-dd"),'Ingest Template'!Q987&amp; "|2021-01-01")),(IF(OR('Ingest Template'!F987 = "Program Type - Special", 'Ingest Template'!F987 = "Program Type - Live Event"),'Ingest Template'!Q987&amp; "|"&amp;TEXT('Ingest Template'!C987-3, "yyyy-mm-dd")&amp;"|"&amp;TEXT('Ingest Template'!C987+3, "yyyy-mm-dd"),'Ingest Template'!Q987)))</f>
        <v/>
      </c>
      <c r="AM987" s="35" t="str">
        <f>'Ingest Template'!AC987</f>
        <v/>
      </c>
    </row>
    <row r="988">
      <c r="A988" s="15"/>
      <c r="B988" s="22" t="str">
        <f>'Ingest Template'!C988&amp;IF('Ingest Template'!A988 = "Standard", " - DAR","")</f>
        <v/>
      </c>
      <c r="C988" s="22" t="s">
        <v>83</v>
      </c>
      <c r="D988" s="22" t="str">
        <f t="array" ref="D988">CONCATENATE(INDEX(DropdownLists!$H$2:$H$11,MATCH(1,COUNTIF('Ingest Template'!E988,"*"&amp;DropdownLists!$I$2:$I$11&amp;"*"),0)),CHAR(10),'Ingest Template'!F988,CHAR(10),'Ingest Template'!G988,CHAR(10),VLOOKUP('Ingest Template'!D988,DropdownLists!C:D,2,FALSE))</f>
        <v>#N/A</v>
      </c>
      <c r="E988" s="22" t="str">
        <f>CONCATENATE('Ingest Template'!H988,CHAR(10),'Ingest Template'!I988,CHAR(10),'Ingest Template'!J988,CHAR(10))</f>
        <v>
</v>
      </c>
      <c r="F988" s="35" t="str">
        <f t="array" ref="F988">INDEX(DropdownLists!$O$2:$O$36,MATCH(1,COUNTIF(E988,"*"&amp;DropdownLists!$N$2:$N$36&amp;"*"),0))</f>
        <v/>
      </c>
      <c r="G988" s="35"/>
      <c r="H988" s="22" t="str">
        <f t="array" ref="H988">INDEX(DropdownLists!$E$2:$E$276,MATCH('Ingest Template'!D988,DropdownLists!$C$2:$C$276,0))</f>
        <v>#N/A</v>
      </c>
      <c r="I988" s="22"/>
      <c r="J988" s="22" t="str">
        <f t="array" ref="J988">iF('Ingest Template'!A988="Standard","Pristine Brand",INDEX(DropdownLists!$B$2:$B$246,MATCH('Ingest Template'!D988,DropdownLists!$C$2:$C$246,0)))</f>
        <v>#N/A</v>
      </c>
      <c r="K988" s="22" t="str">
        <f>iF('Ingest Template'!A988="Standard",'Ingest Template'!K988&amp;CHAR(10)&amp;'Ingest Template'!L988,"Competitive View")</f>
        <v>Competitive View</v>
      </c>
      <c r="L988" s="22" t="s">
        <v>95</v>
      </c>
      <c r="M988" s="45" t="str">
        <f>'Ingest Template'!B988</f>
        <v/>
      </c>
      <c r="N988" s="35"/>
      <c r="O988" s="35"/>
      <c r="P988" s="35"/>
      <c r="Q988" s="35"/>
      <c r="R988" s="35" t="str">
        <f>'Ingest Template'!D988</f>
        <v/>
      </c>
      <c r="S988" s="22" t="s">
        <v>101</v>
      </c>
      <c r="T988" s="35" t="str">
        <f>'Ingest Template'!V988</f>
        <v/>
      </c>
      <c r="U988" s="35" t="str">
        <f>'Ingest Template'!W988</f>
        <v/>
      </c>
      <c r="V988" s="35" t="str">
        <f>LOWER(SUBSTITUTE(SUBSTITUTE(SUBSTITUTE(SUBSTITUTE(SUBSTITUTE('Ingest Template'!X988,"https:",""),"www.",""),"/",""),"?hl=en",""),"instagram.com",""))</f>
        <v/>
      </c>
      <c r="W988" s="74" t="str">
        <f t="array" ref="W988">IF(
'Ingest Template'!Y988="",
SUBSTITUTE(
INDEX(DropdownLists!$F$2:$F$277,MATCH('Ingest Template'!D988,DropdownLists!$C$2:$C$277,0)),
CHAR(10),
"|"&amp;'Ingest Template'!C988&amp;CHAR(10)
)&amp;"|"&amp;'Ingest Template'!C988,
SUBSTITUTE(
INDEX(DropdownLists!$F$2:$F$277,MATCH('Ingest Template'!D988,DropdownLists!$C$2:$C$277,0)),
CHAR(10),
"|"&amp;'Ingest Template'!C988&amp;CHAR(10)
)&amp;"|"&amp;'Ingest Template'!C988&amp;CHAR(10)&amp;'Ingest Template'!Y988
)</f>
        <v>#N/A</v>
      </c>
      <c r="X988" s="74" t="str">
        <f>'Ingest Template'!Z988</f>
        <v/>
      </c>
      <c r="Y988" s="35" t="str">
        <f>SUBSTITUTE(SUBSTITUTE(SUBSTITUTE('Ingest Template'!AA988,"http:",""),"https:",""),"/","")</f>
        <v/>
      </c>
      <c r="Z988" s="35" t="str">
        <f t="array" ref="Z988">IF('Ingest Template'!A988="Standard",(IF(ISBLANK('Ingest Template'!AB988),"", 'Ingest Template'!AB988&amp;"|DAR")),(IF(ISBLANK('Ingest Template'!AB988),"", 'Ingest Template'!AB988&amp;"|TV Ops")))</f>
        <v/>
      </c>
      <c r="AA988" s="35"/>
      <c r="AB988" s="35" t="str">
        <f>'Ingest Template'!R988</f>
        <v/>
      </c>
      <c r="AC988" s="35" t="str">
        <f>'Ingest Template'!T988</f>
        <v/>
      </c>
      <c r="AD988" s="35" t="str">
        <f>'Ingest Template'!S988</f>
        <v/>
      </c>
      <c r="AE988" s="35" t="str">
        <f>'Ingest Template'!U988</f>
        <v/>
      </c>
      <c r="AF988" s="22"/>
      <c r="AG988" s="35" t="str">
        <f t="array" ref="AG988">IF('Ingest Template'!A988="Standard",(CONCATENATE(IF(ISBLANK('Ingest Template'!N988),"", 'Ingest Template'!N988&amp;"|DAR"),CHAR(10), IF(ISBLANK('Ingest Template'!O988),"", 'Ingest Template'!O988&amp;"|DAR"),CHAR(10), IF(ISBLANK('Ingest Template'!P988),"", 'Ingest Template'!P988&amp;"|DAR"))),(CONCATENATE(IF(ISBLANK('Ingest Template'!N988),"", 'Ingest Template'!N988&amp;"|TV Ops"),CHAR(10), IF(ISBLANK('Ingest Template'!O988),"", 'Ingest Template'!O988&amp;"|TV Ops"),CHAR(10), IF(ISBLANK('Ingest Template'!P988),"", 'Ingest Template'!P988&amp;"|TV Ops"))))</f>
        <v>
</v>
      </c>
      <c r="AH988" s="35"/>
      <c r="AI988" s="35"/>
      <c r="AJ988" s="117" t="str">
        <f>if('Ingest Template'!A988="Standard",(IF(OR('Ingest Template'!F988 = "Program Type - Special", 'Ingest Template'!F988 = "Program Type - Live Event"),'Ingest Template'!M988&amp; "|DAR|DAR|"&amp;TEXT('Ingest Template'!C988-3, "yyyy-mm-dd")&amp;"|"&amp;TEXT('Ingest Template'!C988+3, "yyyy-mm-dd"),'Ingest Template'!M988&amp; "|DAR|DAR|2021-01-01")),(IF(OR('Ingest Template'!F988 = "Program Type - Special", 'Ingest Template'!F988 = "Program Type - Live Event"),'Ingest Template'!M988&amp; "|Operations - Core Title|Operations - Core Title|"&amp;TEXT('Ingest Template'!C988-3, "yyyy-mm-dd")&amp;"|"&amp;TEXT('Ingest Template'!C988+3, "yyyy-mm-dd"),'Ingest Template'!M988&amp; "|Operations - Core Title|Operations - Core Title")))</f>
        <v>|Operations - Core Title|Operations - Core Title</v>
      </c>
      <c r="AK988" s="35"/>
      <c r="AL988" s="117" t="str">
        <f>if('Ingest Template'!A988="Standard",(IF(OR('Ingest Template'!F988 = "Program Type - Special", 'Ingest Template'!F988 = "Program Type - Live Event"),'Ingest Template'!Q988&amp;"|"&amp;TEXT('Ingest Template'!C988-3, "yyyy-mm-dd")&amp;"|"&amp;TEXT('Ingest Template'!C988+3, "yyyy-mm-dd"),'Ingest Template'!Q988&amp; "|2021-01-01")),(IF(OR('Ingest Template'!F988 = "Program Type - Special", 'Ingest Template'!F988 = "Program Type - Live Event"),'Ingest Template'!Q988&amp; "|"&amp;TEXT('Ingest Template'!C988-3, "yyyy-mm-dd")&amp;"|"&amp;TEXT('Ingest Template'!C988+3, "yyyy-mm-dd"),'Ingest Template'!Q988)))</f>
        <v/>
      </c>
      <c r="AM988" s="35" t="str">
        <f>'Ingest Template'!AC988</f>
        <v/>
      </c>
    </row>
    <row r="989">
      <c r="A989" s="15"/>
      <c r="B989" s="22" t="str">
        <f>'Ingest Template'!C989&amp;IF('Ingest Template'!A989 = "Standard", " - DAR","")</f>
        <v/>
      </c>
      <c r="C989" s="22" t="s">
        <v>83</v>
      </c>
      <c r="D989" s="22" t="str">
        <f t="array" ref="D989">CONCATENATE(INDEX(DropdownLists!$H$2:$H$11,MATCH(1,COUNTIF('Ingest Template'!E989,"*"&amp;DropdownLists!$I$2:$I$11&amp;"*"),0)),CHAR(10),'Ingest Template'!F989,CHAR(10),'Ingest Template'!G989,CHAR(10),VLOOKUP('Ingest Template'!D989,DropdownLists!C:D,2,FALSE))</f>
        <v>#N/A</v>
      </c>
      <c r="E989" s="22" t="str">
        <f>CONCATENATE('Ingest Template'!H989,CHAR(10),'Ingest Template'!I989,CHAR(10),'Ingest Template'!J989,CHAR(10))</f>
        <v>
</v>
      </c>
      <c r="F989" s="35" t="str">
        <f t="array" ref="F989">INDEX(DropdownLists!$O$2:$O$36,MATCH(1,COUNTIF(E989,"*"&amp;DropdownLists!$N$2:$N$36&amp;"*"),0))</f>
        <v/>
      </c>
      <c r="G989" s="35"/>
      <c r="H989" s="22" t="str">
        <f t="array" ref="H989">INDEX(DropdownLists!$E$2:$E$276,MATCH('Ingest Template'!D989,DropdownLists!$C$2:$C$276,0))</f>
        <v>#N/A</v>
      </c>
      <c r="I989" s="22"/>
      <c r="J989" s="22" t="str">
        <f t="array" ref="J989">iF('Ingest Template'!A989="Standard","Pristine Brand",INDEX(DropdownLists!$B$2:$B$246,MATCH('Ingest Template'!D989,DropdownLists!$C$2:$C$246,0)))</f>
        <v>#N/A</v>
      </c>
      <c r="K989" s="22" t="str">
        <f>iF('Ingest Template'!A989="Standard",'Ingest Template'!K989&amp;CHAR(10)&amp;'Ingest Template'!L989,"Competitive View")</f>
        <v>Competitive View</v>
      </c>
      <c r="L989" s="22" t="s">
        <v>95</v>
      </c>
      <c r="M989" s="45" t="str">
        <f>'Ingest Template'!B989</f>
        <v/>
      </c>
      <c r="N989" s="35"/>
      <c r="O989" s="35"/>
      <c r="P989" s="35"/>
      <c r="Q989" s="35"/>
      <c r="R989" s="35" t="str">
        <f>'Ingest Template'!D989</f>
        <v/>
      </c>
      <c r="S989" s="22" t="s">
        <v>101</v>
      </c>
      <c r="T989" s="35" t="str">
        <f>'Ingest Template'!V989</f>
        <v/>
      </c>
      <c r="U989" s="35" t="str">
        <f>'Ingest Template'!W989</f>
        <v/>
      </c>
      <c r="V989" s="35" t="str">
        <f>LOWER(SUBSTITUTE(SUBSTITUTE(SUBSTITUTE(SUBSTITUTE(SUBSTITUTE('Ingest Template'!X989,"https:",""),"www.",""),"/",""),"?hl=en",""),"instagram.com",""))</f>
        <v/>
      </c>
      <c r="W989" s="74" t="str">
        <f t="array" ref="W989">IF(
'Ingest Template'!Y989="",
SUBSTITUTE(
INDEX(DropdownLists!$F$2:$F$277,MATCH('Ingest Template'!D989,DropdownLists!$C$2:$C$277,0)),
CHAR(10),
"|"&amp;'Ingest Template'!C989&amp;CHAR(10)
)&amp;"|"&amp;'Ingest Template'!C989,
SUBSTITUTE(
INDEX(DropdownLists!$F$2:$F$277,MATCH('Ingest Template'!D989,DropdownLists!$C$2:$C$277,0)),
CHAR(10),
"|"&amp;'Ingest Template'!C989&amp;CHAR(10)
)&amp;"|"&amp;'Ingest Template'!C989&amp;CHAR(10)&amp;'Ingest Template'!Y989
)</f>
        <v>#N/A</v>
      </c>
      <c r="X989" s="74" t="str">
        <f>'Ingest Template'!Z989</f>
        <v/>
      </c>
      <c r="Y989" s="35" t="str">
        <f>SUBSTITUTE(SUBSTITUTE(SUBSTITUTE('Ingest Template'!AA989,"http:",""),"https:",""),"/","")</f>
        <v/>
      </c>
      <c r="Z989" s="35" t="str">
        <f t="array" ref="Z989">IF('Ingest Template'!A989="Standard",(IF(ISBLANK('Ingest Template'!AB989),"", 'Ingest Template'!AB989&amp;"|DAR")),(IF(ISBLANK('Ingest Template'!AB989),"", 'Ingest Template'!AB989&amp;"|TV Ops")))</f>
        <v/>
      </c>
      <c r="AA989" s="35"/>
      <c r="AB989" s="35" t="str">
        <f>'Ingest Template'!R989</f>
        <v/>
      </c>
      <c r="AC989" s="35" t="str">
        <f>'Ingest Template'!T989</f>
        <v/>
      </c>
      <c r="AD989" s="35" t="str">
        <f>'Ingest Template'!S989</f>
        <v/>
      </c>
      <c r="AE989" s="35" t="str">
        <f>'Ingest Template'!U989</f>
        <v/>
      </c>
      <c r="AF989" s="22"/>
      <c r="AG989" s="35" t="str">
        <f t="array" ref="AG989">IF('Ingest Template'!A989="Standard",(CONCATENATE(IF(ISBLANK('Ingest Template'!N989),"", 'Ingest Template'!N989&amp;"|DAR"),CHAR(10), IF(ISBLANK('Ingest Template'!O989),"", 'Ingest Template'!O989&amp;"|DAR"),CHAR(10), IF(ISBLANK('Ingest Template'!P989),"", 'Ingest Template'!P989&amp;"|DAR"))),(CONCATENATE(IF(ISBLANK('Ingest Template'!N989),"", 'Ingest Template'!N989&amp;"|TV Ops"),CHAR(10), IF(ISBLANK('Ingest Template'!O989),"", 'Ingest Template'!O989&amp;"|TV Ops"),CHAR(10), IF(ISBLANK('Ingest Template'!P989),"", 'Ingest Template'!P989&amp;"|TV Ops"))))</f>
        <v>
</v>
      </c>
      <c r="AH989" s="35"/>
      <c r="AI989" s="35"/>
      <c r="AJ989" s="117" t="str">
        <f>if('Ingest Template'!A989="Standard",(IF(OR('Ingest Template'!F989 = "Program Type - Special", 'Ingest Template'!F989 = "Program Type - Live Event"),'Ingest Template'!M989&amp; "|DAR|DAR|"&amp;TEXT('Ingest Template'!C989-3, "yyyy-mm-dd")&amp;"|"&amp;TEXT('Ingest Template'!C989+3, "yyyy-mm-dd"),'Ingest Template'!M989&amp; "|DAR|DAR|2021-01-01")),(IF(OR('Ingest Template'!F989 = "Program Type - Special", 'Ingest Template'!F989 = "Program Type - Live Event"),'Ingest Template'!M989&amp; "|Operations - Core Title|Operations - Core Title|"&amp;TEXT('Ingest Template'!C989-3, "yyyy-mm-dd")&amp;"|"&amp;TEXT('Ingest Template'!C989+3, "yyyy-mm-dd"),'Ingest Template'!M989&amp; "|Operations - Core Title|Operations - Core Title")))</f>
        <v>|Operations - Core Title|Operations - Core Title</v>
      </c>
      <c r="AK989" s="35"/>
      <c r="AL989" s="117" t="str">
        <f>if('Ingest Template'!A989="Standard",(IF(OR('Ingest Template'!F989 = "Program Type - Special", 'Ingest Template'!F989 = "Program Type - Live Event"),'Ingest Template'!Q989&amp;"|"&amp;TEXT('Ingest Template'!C989-3, "yyyy-mm-dd")&amp;"|"&amp;TEXT('Ingest Template'!C989+3, "yyyy-mm-dd"),'Ingest Template'!Q989&amp; "|2021-01-01")),(IF(OR('Ingest Template'!F989 = "Program Type - Special", 'Ingest Template'!F989 = "Program Type - Live Event"),'Ingest Template'!Q989&amp; "|"&amp;TEXT('Ingest Template'!C989-3, "yyyy-mm-dd")&amp;"|"&amp;TEXT('Ingest Template'!C989+3, "yyyy-mm-dd"),'Ingest Template'!Q989)))</f>
        <v/>
      </c>
      <c r="AM989" s="35" t="str">
        <f>'Ingest Template'!AC989</f>
        <v/>
      </c>
    </row>
    <row r="990">
      <c r="A990" s="15"/>
      <c r="B990" s="22" t="str">
        <f>'Ingest Template'!C990&amp;IF('Ingest Template'!A990 = "Standard", " - DAR","")</f>
        <v/>
      </c>
      <c r="C990" s="22" t="s">
        <v>83</v>
      </c>
      <c r="D990" s="22" t="str">
        <f t="array" ref="D990">CONCATENATE(INDEX(DropdownLists!$H$2:$H$11,MATCH(1,COUNTIF('Ingest Template'!E990,"*"&amp;DropdownLists!$I$2:$I$11&amp;"*"),0)),CHAR(10),'Ingest Template'!F990,CHAR(10),'Ingest Template'!G990,CHAR(10),VLOOKUP('Ingest Template'!D990,DropdownLists!C:D,2,FALSE))</f>
        <v>#N/A</v>
      </c>
      <c r="E990" s="22" t="str">
        <f>CONCATENATE('Ingest Template'!H990,CHAR(10),'Ingest Template'!I990,CHAR(10),'Ingest Template'!J990,CHAR(10))</f>
        <v>
</v>
      </c>
      <c r="F990" s="35" t="str">
        <f t="array" ref="F990">INDEX(DropdownLists!$O$2:$O$36,MATCH(1,COUNTIF(E990,"*"&amp;DropdownLists!$N$2:$N$36&amp;"*"),0))</f>
        <v/>
      </c>
      <c r="G990" s="35"/>
      <c r="H990" s="22" t="str">
        <f t="array" ref="H990">INDEX(DropdownLists!$E$2:$E$276,MATCH('Ingest Template'!D990,DropdownLists!$C$2:$C$276,0))</f>
        <v>#N/A</v>
      </c>
      <c r="I990" s="22"/>
      <c r="J990" s="22" t="str">
        <f t="array" ref="J990">iF('Ingest Template'!A990="Standard","Pristine Brand",INDEX(DropdownLists!$B$2:$B$246,MATCH('Ingest Template'!D990,DropdownLists!$C$2:$C$246,0)))</f>
        <v>#N/A</v>
      </c>
      <c r="K990" s="22" t="str">
        <f>iF('Ingest Template'!A990="Standard",'Ingest Template'!K990&amp;CHAR(10)&amp;'Ingest Template'!L990,"Competitive View")</f>
        <v>Competitive View</v>
      </c>
      <c r="L990" s="22" t="s">
        <v>95</v>
      </c>
      <c r="M990" s="45" t="str">
        <f>'Ingest Template'!B990</f>
        <v/>
      </c>
      <c r="N990" s="35"/>
      <c r="O990" s="35"/>
      <c r="P990" s="35"/>
      <c r="Q990" s="35"/>
      <c r="R990" s="35" t="str">
        <f>'Ingest Template'!D990</f>
        <v/>
      </c>
      <c r="S990" s="22" t="s">
        <v>101</v>
      </c>
      <c r="T990" s="35" t="str">
        <f>'Ingest Template'!V990</f>
        <v/>
      </c>
      <c r="U990" s="35" t="str">
        <f>'Ingest Template'!W990</f>
        <v/>
      </c>
      <c r="V990" s="35" t="str">
        <f>LOWER(SUBSTITUTE(SUBSTITUTE(SUBSTITUTE(SUBSTITUTE(SUBSTITUTE('Ingest Template'!X990,"https:",""),"www.",""),"/",""),"?hl=en",""),"instagram.com",""))</f>
        <v/>
      </c>
      <c r="W990" s="74" t="str">
        <f t="array" ref="W990">IF(
'Ingest Template'!Y990="",
SUBSTITUTE(
INDEX(DropdownLists!$F$2:$F$277,MATCH('Ingest Template'!D990,DropdownLists!$C$2:$C$277,0)),
CHAR(10),
"|"&amp;'Ingest Template'!C990&amp;CHAR(10)
)&amp;"|"&amp;'Ingest Template'!C990,
SUBSTITUTE(
INDEX(DropdownLists!$F$2:$F$277,MATCH('Ingest Template'!D990,DropdownLists!$C$2:$C$277,0)),
CHAR(10),
"|"&amp;'Ingest Template'!C990&amp;CHAR(10)
)&amp;"|"&amp;'Ingest Template'!C990&amp;CHAR(10)&amp;'Ingest Template'!Y990
)</f>
        <v>#N/A</v>
      </c>
      <c r="X990" s="74" t="str">
        <f>'Ingest Template'!Z990</f>
        <v/>
      </c>
      <c r="Y990" s="35" t="str">
        <f>SUBSTITUTE(SUBSTITUTE(SUBSTITUTE('Ingest Template'!AA990,"http:",""),"https:",""),"/","")</f>
        <v/>
      </c>
      <c r="Z990" s="35" t="str">
        <f t="array" ref="Z990">IF('Ingest Template'!A990="Standard",(IF(ISBLANK('Ingest Template'!AB990),"", 'Ingest Template'!AB990&amp;"|DAR")),(IF(ISBLANK('Ingest Template'!AB990),"", 'Ingest Template'!AB990&amp;"|TV Ops")))</f>
        <v/>
      </c>
      <c r="AA990" s="35"/>
      <c r="AB990" s="35" t="str">
        <f>'Ingest Template'!R990</f>
        <v/>
      </c>
      <c r="AC990" s="35" t="str">
        <f>'Ingest Template'!T990</f>
        <v/>
      </c>
      <c r="AD990" s="35" t="str">
        <f>'Ingest Template'!S990</f>
        <v/>
      </c>
      <c r="AE990" s="35" t="str">
        <f>'Ingest Template'!U990</f>
        <v/>
      </c>
      <c r="AF990" s="22"/>
      <c r="AG990" s="35" t="str">
        <f t="array" ref="AG990">IF('Ingest Template'!A990="Standard",(CONCATENATE(IF(ISBLANK('Ingest Template'!N990),"", 'Ingest Template'!N990&amp;"|DAR"),CHAR(10), IF(ISBLANK('Ingest Template'!O990),"", 'Ingest Template'!O990&amp;"|DAR"),CHAR(10), IF(ISBLANK('Ingest Template'!P990),"", 'Ingest Template'!P990&amp;"|DAR"))),(CONCATENATE(IF(ISBLANK('Ingest Template'!N990),"", 'Ingest Template'!N990&amp;"|TV Ops"),CHAR(10), IF(ISBLANK('Ingest Template'!O990),"", 'Ingest Template'!O990&amp;"|TV Ops"),CHAR(10), IF(ISBLANK('Ingest Template'!P990),"", 'Ingest Template'!P990&amp;"|TV Ops"))))</f>
        <v>
</v>
      </c>
      <c r="AH990" s="35"/>
      <c r="AI990" s="35"/>
      <c r="AJ990" s="117" t="str">
        <f>if('Ingest Template'!A990="Standard",(IF(OR('Ingest Template'!F990 = "Program Type - Special", 'Ingest Template'!F990 = "Program Type - Live Event"),'Ingest Template'!M990&amp; "|DAR|DAR|"&amp;TEXT('Ingest Template'!C990-3, "yyyy-mm-dd")&amp;"|"&amp;TEXT('Ingest Template'!C990+3, "yyyy-mm-dd"),'Ingest Template'!M990&amp; "|DAR|DAR|2021-01-01")),(IF(OR('Ingest Template'!F990 = "Program Type - Special", 'Ingest Template'!F990 = "Program Type - Live Event"),'Ingest Template'!M990&amp; "|Operations - Core Title|Operations - Core Title|"&amp;TEXT('Ingest Template'!C990-3, "yyyy-mm-dd")&amp;"|"&amp;TEXT('Ingest Template'!C990+3, "yyyy-mm-dd"),'Ingest Template'!M990&amp; "|Operations - Core Title|Operations - Core Title")))</f>
        <v>|Operations - Core Title|Operations - Core Title</v>
      </c>
      <c r="AK990" s="35"/>
      <c r="AL990" s="117" t="str">
        <f>if('Ingest Template'!A990="Standard",(IF(OR('Ingest Template'!F990 = "Program Type - Special", 'Ingest Template'!F990 = "Program Type - Live Event"),'Ingest Template'!Q990&amp;"|"&amp;TEXT('Ingest Template'!C990-3, "yyyy-mm-dd")&amp;"|"&amp;TEXT('Ingest Template'!C990+3, "yyyy-mm-dd"),'Ingest Template'!Q990&amp; "|2021-01-01")),(IF(OR('Ingest Template'!F990 = "Program Type - Special", 'Ingest Template'!F990 = "Program Type - Live Event"),'Ingest Template'!Q990&amp; "|"&amp;TEXT('Ingest Template'!C990-3, "yyyy-mm-dd")&amp;"|"&amp;TEXT('Ingest Template'!C990+3, "yyyy-mm-dd"),'Ingest Template'!Q990)))</f>
        <v/>
      </c>
      <c r="AM990" s="35" t="str">
        <f>'Ingest Template'!AC990</f>
        <v/>
      </c>
    </row>
    <row r="991">
      <c r="A991" s="15"/>
      <c r="B991" s="22" t="str">
        <f>'Ingest Template'!C991&amp;IF('Ingest Template'!A991 = "Standard", " - DAR","")</f>
        <v/>
      </c>
      <c r="C991" s="22" t="s">
        <v>83</v>
      </c>
      <c r="D991" s="22" t="str">
        <f t="array" ref="D991">CONCATENATE(INDEX(DropdownLists!$H$2:$H$11,MATCH(1,COUNTIF('Ingest Template'!E991,"*"&amp;DropdownLists!$I$2:$I$11&amp;"*"),0)),CHAR(10),'Ingest Template'!F991,CHAR(10),'Ingest Template'!G991,CHAR(10),VLOOKUP('Ingest Template'!D991,DropdownLists!C:D,2,FALSE))</f>
        <v>#N/A</v>
      </c>
      <c r="E991" s="22" t="str">
        <f>CONCATENATE('Ingest Template'!H991,CHAR(10),'Ingest Template'!I991,CHAR(10),'Ingest Template'!J991,CHAR(10))</f>
        <v>
</v>
      </c>
      <c r="F991" s="35" t="str">
        <f t="array" ref="F991">INDEX(DropdownLists!$O$2:$O$36,MATCH(1,COUNTIF(E991,"*"&amp;DropdownLists!$N$2:$N$36&amp;"*"),0))</f>
        <v/>
      </c>
      <c r="G991" s="35"/>
      <c r="H991" s="22" t="str">
        <f t="array" ref="H991">INDEX(DropdownLists!$E$2:$E$276,MATCH('Ingest Template'!D991,DropdownLists!$C$2:$C$276,0))</f>
        <v>#N/A</v>
      </c>
      <c r="I991" s="22"/>
      <c r="J991" s="22" t="str">
        <f t="array" ref="J991">iF('Ingest Template'!A991="Standard","Pristine Brand",INDEX(DropdownLists!$B$2:$B$246,MATCH('Ingest Template'!D991,DropdownLists!$C$2:$C$246,0)))</f>
        <v>#N/A</v>
      </c>
      <c r="K991" s="22" t="str">
        <f>iF('Ingest Template'!A991="Standard",'Ingest Template'!K991&amp;CHAR(10)&amp;'Ingest Template'!L991,"Competitive View")</f>
        <v>Competitive View</v>
      </c>
      <c r="L991" s="22" t="s">
        <v>95</v>
      </c>
      <c r="M991" s="45" t="str">
        <f>'Ingest Template'!B991</f>
        <v/>
      </c>
      <c r="N991" s="35"/>
      <c r="O991" s="35"/>
      <c r="P991" s="35"/>
      <c r="Q991" s="35"/>
      <c r="R991" s="35" t="str">
        <f>'Ingest Template'!D991</f>
        <v/>
      </c>
      <c r="S991" s="22" t="s">
        <v>101</v>
      </c>
      <c r="T991" s="35" t="str">
        <f>'Ingest Template'!V991</f>
        <v/>
      </c>
      <c r="U991" s="35" t="str">
        <f>'Ingest Template'!W991</f>
        <v/>
      </c>
      <c r="V991" s="35" t="str">
        <f>LOWER(SUBSTITUTE(SUBSTITUTE(SUBSTITUTE(SUBSTITUTE(SUBSTITUTE('Ingest Template'!X991,"https:",""),"www.",""),"/",""),"?hl=en",""),"instagram.com",""))</f>
        <v/>
      </c>
      <c r="W991" s="74" t="str">
        <f t="array" ref="W991">IF(
'Ingest Template'!Y991="",
SUBSTITUTE(
INDEX(DropdownLists!$F$2:$F$277,MATCH('Ingest Template'!D991,DropdownLists!$C$2:$C$277,0)),
CHAR(10),
"|"&amp;'Ingest Template'!C991&amp;CHAR(10)
)&amp;"|"&amp;'Ingest Template'!C991,
SUBSTITUTE(
INDEX(DropdownLists!$F$2:$F$277,MATCH('Ingest Template'!D991,DropdownLists!$C$2:$C$277,0)),
CHAR(10),
"|"&amp;'Ingest Template'!C991&amp;CHAR(10)
)&amp;"|"&amp;'Ingest Template'!C991&amp;CHAR(10)&amp;'Ingest Template'!Y991
)</f>
        <v>#N/A</v>
      </c>
      <c r="X991" s="74" t="str">
        <f>'Ingest Template'!Z991</f>
        <v/>
      </c>
      <c r="Y991" s="35" t="str">
        <f>SUBSTITUTE(SUBSTITUTE(SUBSTITUTE('Ingest Template'!AA991,"http:",""),"https:",""),"/","")</f>
        <v/>
      </c>
      <c r="Z991" s="35" t="str">
        <f t="array" ref="Z991">IF('Ingest Template'!A991="Standard",(IF(ISBLANK('Ingest Template'!AB991),"", 'Ingest Template'!AB991&amp;"|DAR")),(IF(ISBLANK('Ingest Template'!AB991),"", 'Ingest Template'!AB991&amp;"|TV Ops")))</f>
        <v/>
      </c>
      <c r="AA991" s="35"/>
      <c r="AB991" s="35" t="str">
        <f>'Ingest Template'!R991</f>
        <v/>
      </c>
      <c r="AC991" s="35" t="str">
        <f>'Ingest Template'!T991</f>
        <v/>
      </c>
      <c r="AD991" s="35" t="str">
        <f>'Ingest Template'!S991</f>
        <v/>
      </c>
      <c r="AE991" s="35" t="str">
        <f>'Ingest Template'!U991</f>
        <v/>
      </c>
      <c r="AF991" s="22"/>
      <c r="AG991" s="35" t="str">
        <f t="array" ref="AG991">IF('Ingest Template'!A991="Standard",(CONCATENATE(IF(ISBLANK('Ingest Template'!N991),"", 'Ingest Template'!N991&amp;"|DAR"),CHAR(10), IF(ISBLANK('Ingest Template'!O991),"", 'Ingest Template'!O991&amp;"|DAR"),CHAR(10), IF(ISBLANK('Ingest Template'!P991),"", 'Ingest Template'!P991&amp;"|DAR"))),(CONCATENATE(IF(ISBLANK('Ingest Template'!N991),"", 'Ingest Template'!N991&amp;"|TV Ops"),CHAR(10), IF(ISBLANK('Ingest Template'!O991),"", 'Ingest Template'!O991&amp;"|TV Ops"),CHAR(10), IF(ISBLANK('Ingest Template'!P991),"", 'Ingest Template'!P991&amp;"|TV Ops"))))</f>
        <v>
</v>
      </c>
      <c r="AH991" s="35"/>
      <c r="AI991" s="35"/>
      <c r="AJ991" s="117" t="str">
        <f>if('Ingest Template'!A991="Standard",(IF(OR('Ingest Template'!F991 = "Program Type - Special", 'Ingest Template'!F991 = "Program Type - Live Event"),'Ingest Template'!M991&amp; "|DAR|DAR|"&amp;TEXT('Ingest Template'!C991-3, "yyyy-mm-dd")&amp;"|"&amp;TEXT('Ingest Template'!C991+3, "yyyy-mm-dd"),'Ingest Template'!M991&amp; "|DAR|DAR|2021-01-01")),(IF(OR('Ingest Template'!F991 = "Program Type - Special", 'Ingest Template'!F991 = "Program Type - Live Event"),'Ingest Template'!M991&amp; "|Operations - Core Title|Operations - Core Title|"&amp;TEXT('Ingest Template'!C991-3, "yyyy-mm-dd")&amp;"|"&amp;TEXT('Ingest Template'!C991+3, "yyyy-mm-dd"),'Ingest Template'!M991&amp; "|Operations - Core Title|Operations - Core Title")))</f>
        <v>|Operations - Core Title|Operations - Core Title</v>
      </c>
      <c r="AK991" s="35"/>
      <c r="AL991" s="117" t="str">
        <f>if('Ingest Template'!A991="Standard",(IF(OR('Ingest Template'!F991 = "Program Type - Special", 'Ingest Template'!F991 = "Program Type - Live Event"),'Ingest Template'!Q991&amp;"|"&amp;TEXT('Ingest Template'!C991-3, "yyyy-mm-dd")&amp;"|"&amp;TEXT('Ingest Template'!C991+3, "yyyy-mm-dd"),'Ingest Template'!Q991&amp; "|2021-01-01")),(IF(OR('Ingest Template'!F991 = "Program Type - Special", 'Ingest Template'!F991 = "Program Type - Live Event"),'Ingest Template'!Q991&amp; "|"&amp;TEXT('Ingest Template'!C991-3, "yyyy-mm-dd")&amp;"|"&amp;TEXT('Ingest Template'!C991+3, "yyyy-mm-dd"),'Ingest Template'!Q991)))</f>
        <v/>
      </c>
      <c r="AM991" s="35" t="str">
        <f>'Ingest Template'!AC991</f>
        <v/>
      </c>
    </row>
    <row r="992">
      <c r="A992" s="15"/>
      <c r="B992" s="22" t="str">
        <f>'Ingest Template'!C992&amp;IF('Ingest Template'!A992 = "Standard", " - DAR","")</f>
        <v/>
      </c>
      <c r="C992" s="22" t="s">
        <v>83</v>
      </c>
      <c r="D992" s="22" t="str">
        <f t="array" ref="D992">CONCATENATE(INDEX(DropdownLists!$H$2:$H$11,MATCH(1,COUNTIF('Ingest Template'!E992,"*"&amp;DropdownLists!$I$2:$I$11&amp;"*"),0)),CHAR(10),'Ingest Template'!F992,CHAR(10),'Ingest Template'!G992,CHAR(10),VLOOKUP('Ingest Template'!D992,DropdownLists!C:D,2,FALSE))</f>
        <v>#N/A</v>
      </c>
      <c r="E992" s="22" t="str">
        <f>CONCATENATE('Ingest Template'!H992,CHAR(10),'Ingest Template'!I992,CHAR(10),'Ingest Template'!J992,CHAR(10))</f>
        <v>
</v>
      </c>
      <c r="F992" s="35" t="str">
        <f t="array" ref="F992">INDEX(DropdownLists!$O$2:$O$36,MATCH(1,COUNTIF(E992,"*"&amp;DropdownLists!$N$2:$N$36&amp;"*"),0))</f>
        <v/>
      </c>
      <c r="G992" s="35"/>
      <c r="H992" s="22" t="str">
        <f t="array" ref="H992">INDEX(DropdownLists!$E$2:$E$276,MATCH('Ingest Template'!D992,DropdownLists!$C$2:$C$276,0))</f>
        <v>#N/A</v>
      </c>
      <c r="I992" s="22"/>
      <c r="J992" s="22" t="str">
        <f t="array" ref="J992">iF('Ingest Template'!A992="Standard","Pristine Brand",INDEX(DropdownLists!$B$2:$B$246,MATCH('Ingest Template'!D992,DropdownLists!$C$2:$C$246,0)))</f>
        <v>#N/A</v>
      </c>
      <c r="K992" s="22" t="str">
        <f>iF('Ingest Template'!A992="Standard",'Ingest Template'!K992&amp;CHAR(10)&amp;'Ingest Template'!L992,"Competitive View")</f>
        <v>Competitive View</v>
      </c>
      <c r="L992" s="22" t="s">
        <v>95</v>
      </c>
      <c r="M992" s="45" t="str">
        <f>'Ingest Template'!B992</f>
        <v/>
      </c>
      <c r="N992" s="35"/>
      <c r="O992" s="35"/>
      <c r="P992" s="35"/>
      <c r="Q992" s="35"/>
      <c r="R992" s="35" t="str">
        <f>'Ingest Template'!D992</f>
        <v/>
      </c>
      <c r="S992" s="22" t="s">
        <v>101</v>
      </c>
      <c r="T992" s="35" t="str">
        <f>'Ingest Template'!V992</f>
        <v/>
      </c>
      <c r="U992" s="35" t="str">
        <f>'Ingest Template'!W992</f>
        <v/>
      </c>
      <c r="V992" s="35" t="str">
        <f>LOWER(SUBSTITUTE(SUBSTITUTE(SUBSTITUTE(SUBSTITUTE(SUBSTITUTE('Ingest Template'!X992,"https:",""),"www.",""),"/",""),"?hl=en",""),"instagram.com",""))</f>
        <v/>
      </c>
      <c r="W992" s="74" t="str">
        <f t="array" ref="W992">IF(
'Ingest Template'!Y992="",
SUBSTITUTE(
INDEX(DropdownLists!$F$2:$F$277,MATCH('Ingest Template'!D992,DropdownLists!$C$2:$C$277,0)),
CHAR(10),
"|"&amp;'Ingest Template'!C992&amp;CHAR(10)
)&amp;"|"&amp;'Ingest Template'!C992,
SUBSTITUTE(
INDEX(DropdownLists!$F$2:$F$277,MATCH('Ingest Template'!D992,DropdownLists!$C$2:$C$277,0)),
CHAR(10),
"|"&amp;'Ingest Template'!C992&amp;CHAR(10)
)&amp;"|"&amp;'Ingest Template'!C992&amp;CHAR(10)&amp;'Ingest Template'!Y992
)</f>
        <v>#N/A</v>
      </c>
      <c r="X992" s="74" t="str">
        <f>'Ingest Template'!Z992</f>
        <v/>
      </c>
      <c r="Y992" s="35" t="str">
        <f>SUBSTITUTE(SUBSTITUTE(SUBSTITUTE('Ingest Template'!AA992,"http:",""),"https:",""),"/","")</f>
        <v/>
      </c>
      <c r="Z992" s="35" t="str">
        <f t="array" ref="Z992">IF('Ingest Template'!A992="Standard",(IF(ISBLANK('Ingest Template'!AB992),"", 'Ingest Template'!AB992&amp;"|DAR")),(IF(ISBLANK('Ingest Template'!AB992),"", 'Ingest Template'!AB992&amp;"|TV Ops")))</f>
        <v/>
      </c>
      <c r="AA992" s="35"/>
      <c r="AB992" s="35" t="str">
        <f>'Ingest Template'!R992</f>
        <v/>
      </c>
      <c r="AC992" s="35" t="str">
        <f>'Ingest Template'!T992</f>
        <v/>
      </c>
      <c r="AD992" s="35" t="str">
        <f>'Ingest Template'!S992</f>
        <v/>
      </c>
      <c r="AE992" s="35" t="str">
        <f>'Ingest Template'!U992</f>
        <v/>
      </c>
      <c r="AF992" s="22"/>
      <c r="AG992" s="35" t="str">
        <f t="array" ref="AG992">IF('Ingest Template'!A992="Standard",(CONCATENATE(IF(ISBLANK('Ingest Template'!N992),"", 'Ingest Template'!N992&amp;"|DAR"),CHAR(10), IF(ISBLANK('Ingest Template'!O992),"", 'Ingest Template'!O992&amp;"|DAR"),CHAR(10), IF(ISBLANK('Ingest Template'!P992),"", 'Ingest Template'!P992&amp;"|DAR"))),(CONCATENATE(IF(ISBLANK('Ingest Template'!N992),"", 'Ingest Template'!N992&amp;"|TV Ops"),CHAR(10), IF(ISBLANK('Ingest Template'!O992),"", 'Ingest Template'!O992&amp;"|TV Ops"),CHAR(10), IF(ISBLANK('Ingest Template'!P992),"", 'Ingest Template'!P992&amp;"|TV Ops"))))</f>
        <v>
</v>
      </c>
      <c r="AH992" s="35"/>
      <c r="AI992" s="35"/>
      <c r="AJ992" s="117" t="str">
        <f>if('Ingest Template'!A992="Standard",(IF(OR('Ingest Template'!F992 = "Program Type - Special", 'Ingest Template'!F992 = "Program Type - Live Event"),'Ingest Template'!M992&amp; "|DAR|DAR|"&amp;TEXT('Ingest Template'!C992-3, "yyyy-mm-dd")&amp;"|"&amp;TEXT('Ingest Template'!C992+3, "yyyy-mm-dd"),'Ingest Template'!M992&amp; "|DAR|DAR|2021-01-01")),(IF(OR('Ingest Template'!F992 = "Program Type - Special", 'Ingest Template'!F992 = "Program Type - Live Event"),'Ingest Template'!M992&amp; "|Operations - Core Title|Operations - Core Title|"&amp;TEXT('Ingest Template'!C992-3, "yyyy-mm-dd")&amp;"|"&amp;TEXT('Ingest Template'!C992+3, "yyyy-mm-dd"),'Ingest Template'!M992&amp; "|Operations - Core Title|Operations - Core Title")))</f>
        <v>|Operations - Core Title|Operations - Core Title</v>
      </c>
      <c r="AK992" s="35"/>
      <c r="AL992" s="117" t="str">
        <f>if('Ingest Template'!A992="Standard",(IF(OR('Ingest Template'!F992 = "Program Type - Special", 'Ingest Template'!F992 = "Program Type - Live Event"),'Ingest Template'!Q992&amp;"|"&amp;TEXT('Ingest Template'!C992-3, "yyyy-mm-dd")&amp;"|"&amp;TEXT('Ingest Template'!C992+3, "yyyy-mm-dd"),'Ingest Template'!Q992&amp; "|2021-01-01")),(IF(OR('Ingest Template'!F992 = "Program Type - Special", 'Ingest Template'!F992 = "Program Type - Live Event"),'Ingest Template'!Q992&amp; "|"&amp;TEXT('Ingest Template'!C992-3, "yyyy-mm-dd")&amp;"|"&amp;TEXT('Ingest Template'!C992+3, "yyyy-mm-dd"),'Ingest Template'!Q992)))</f>
        <v/>
      </c>
      <c r="AM992" s="35" t="str">
        <f>'Ingest Template'!AC992</f>
        <v/>
      </c>
    </row>
    <row r="993">
      <c r="A993" s="15"/>
      <c r="B993" s="22" t="str">
        <f>'Ingest Template'!C993&amp;IF('Ingest Template'!A993 = "Standard", " - DAR","")</f>
        <v/>
      </c>
      <c r="C993" s="22" t="s">
        <v>83</v>
      </c>
      <c r="D993" s="22" t="str">
        <f t="array" ref="D993">CONCATENATE(INDEX(DropdownLists!$H$2:$H$11,MATCH(1,COUNTIF('Ingest Template'!E993,"*"&amp;DropdownLists!$I$2:$I$11&amp;"*"),0)),CHAR(10),'Ingest Template'!F993,CHAR(10),'Ingest Template'!G993,CHAR(10),VLOOKUP('Ingest Template'!D993,DropdownLists!C:D,2,FALSE))</f>
        <v>#N/A</v>
      </c>
      <c r="E993" s="22" t="str">
        <f>CONCATENATE('Ingest Template'!H993,CHAR(10),'Ingest Template'!I993,CHAR(10),'Ingest Template'!J993,CHAR(10))</f>
        <v>
</v>
      </c>
      <c r="F993" s="35" t="str">
        <f t="array" ref="F993">INDEX(DropdownLists!$O$2:$O$36,MATCH(1,COUNTIF(E993,"*"&amp;DropdownLists!$N$2:$N$36&amp;"*"),0))</f>
        <v/>
      </c>
      <c r="G993" s="35"/>
      <c r="H993" s="22" t="str">
        <f t="array" ref="H993">INDEX(DropdownLists!$E$2:$E$276,MATCH('Ingest Template'!D993,DropdownLists!$C$2:$C$276,0))</f>
        <v>#N/A</v>
      </c>
      <c r="I993" s="22"/>
      <c r="J993" s="22" t="str">
        <f t="array" ref="J993">iF('Ingest Template'!A993="Standard","Pristine Brand",INDEX(DropdownLists!$B$2:$B$246,MATCH('Ingest Template'!D993,DropdownLists!$C$2:$C$246,0)))</f>
        <v>#N/A</v>
      </c>
      <c r="K993" s="22" t="str">
        <f>iF('Ingest Template'!A993="Standard",'Ingest Template'!K993&amp;CHAR(10)&amp;'Ingest Template'!L993,"Competitive View")</f>
        <v>Competitive View</v>
      </c>
      <c r="L993" s="22" t="s">
        <v>95</v>
      </c>
      <c r="M993" s="45" t="str">
        <f>'Ingest Template'!B993</f>
        <v/>
      </c>
      <c r="N993" s="35"/>
      <c r="O993" s="35"/>
      <c r="P993" s="35"/>
      <c r="Q993" s="35"/>
      <c r="R993" s="35" t="str">
        <f>'Ingest Template'!D993</f>
        <v/>
      </c>
      <c r="S993" s="22" t="s">
        <v>101</v>
      </c>
      <c r="T993" s="35" t="str">
        <f>'Ingest Template'!V993</f>
        <v/>
      </c>
      <c r="U993" s="35" t="str">
        <f>'Ingest Template'!W993</f>
        <v/>
      </c>
      <c r="V993" s="35" t="str">
        <f>LOWER(SUBSTITUTE(SUBSTITUTE(SUBSTITUTE(SUBSTITUTE(SUBSTITUTE('Ingest Template'!X993,"https:",""),"www.",""),"/",""),"?hl=en",""),"instagram.com",""))</f>
        <v/>
      </c>
      <c r="W993" s="74" t="str">
        <f t="array" ref="W993">IF(
'Ingest Template'!Y993="",
SUBSTITUTE(
INDEX(DropdownLists!$F$2:$F$277,MATCH('Ingest Template'!D993,DropdownLists!$C$2:$C$277,0)),
CHAR(10),
"|"&amp;'Ingest Template'!C993&amp;CHAR(10)
)&amp;"|"&amp;'Ingest Template'!C993,
SUBSTITUTE(
INDEX(DropdownLists!$F$2:$F$277,MATCH('Ingest Template'!D993,DropdownLists!$C$2:$C$277,0)),
CHAR(10),
"|"&amp;'Ingest Template'!C993&amp;CHAR(10)
)&amp;"|"&amp;'Ingest Template'!C993&amp;CHAR(10)&amp;'Ingest Template'!Y993
)</f>
        <v>#N/A</v>
      </c>
      <c r="X993" s="74" t="str">
        <f>'Ingest Template'!Z993</f>
        <v/>
      </c>
      <c r="Y993" s="35" t="str">
        <f>SUBSTITUTE(SUBSTITUTE(SUBSTITUTE('Ingest Template'!AA993,"http:",""),"https:",""),"/","")</f>
        <v/>
      </c>
      <c r="Z993" s="35" t="str">
        <f t="array" ref="Z993">IF('Ingest Template'!A993="Standard",(IF(ISBLANK('Ingest Template'!AB993),"", 'Ingest Template'!AB993&amp;"|DAR")),(IF(ISBLANK('Ingest Template'!AB993),"", 'Ingest Template'!AB993&amp;"|TV Ops")))</f>
        <v/>
      </c>
      <c r="AA993" s="35"/>
      <c r="AB993" s="35" t="str">
        <f>'Ingest Template'!R993</f>
        <v/>
      </c>
      <c r="AC993" s="35" t="str">
        <f>'Ingest Template'!T993</f>
        <v/>
      </c>
      <c r="AD993" s="35" t="str">
        <f>'Ingest Template'!S993</f>
        <v/>
      </c>
      <c r="AE993" s="35" t="str">
        <f>'Ingest Template'!U993</f>
        <v/>
      </c>
      <c r="AF993" s="22"/>
      <c r="AG993" s="35" t="str">
        <f t="array" ref="AG993">IF('Ingest Template'!A993="Standard",(CONCATENATE(IF(ISBLANK('Ingest Template'!N993),"", 'Ingest Template'!N993&amp;"|DAR"),CHAR(10), IF(ISBLANK('Ingest Template'!O993),"", 'Ingest Template'!O993&amp;"|DAR"),CHAR(10), IF(ISBLANK('Ingest Template'!P993),"", 'Ingest Template'!P993&amp;"|DAR"))),(CONCATENATE(IF(ISBLANK('Ingest Template'!N993),"", 'Ingest Template'!N993&amp;"|TV Ops"),CHAR(10), IF(ISBLANK('Ingest Template'!O993),"", 'Ingest Template'!O993&amp;"|TV Ops"),CHAR(10), IF(ISBLANK('Ingest Template'!P993),"", 'Ingest Template'!P993&amp;"|TV Ops"))))</f>
        <v>
</v>
      </c>
      <c r="AH993" s="35"/>
      <c r="AI993" s="35"/>
      <c r="AJ993" s="117" t="str">
        <f>if('Ingest Template'!A993="Standard",(IF(OR('Ingest Template'!F993 = "Program Type - Special", 'Ingest Template'!F993 = "Program Type - Live Event"),'Ingest Template'!M993&amp; "|DAR|DAR|"&amp;TEXT('Ingest Template'!C993-3, "yyyy-mm-dd")&amp;"|"&amp;TEXT('Ingest Template'!C993+3, "yyyy-mm-dd"),'Ingest Template'!M993&amp; "|DAR|DAR|2021-01-01")),(IF(OR('Ingest Template'!F993 = "Program Type - Special", 'Ingest Template'!F993 = "Program Type - Live Event"),'Ingest Template'!M993&amp; "|Operations - Core Title|Operations - Core Title|"&amp;TEXT('Ingest Template'!C993-3, "yyyy-mm-dd")&amp;"|"&amp;TEXT('Ingest Template'!C993+3, "yyyy-mm-dd"),'Ingest Template'!M993&amp; "|Operations - Core Title|Operations - Core Title")))</f>
        <v>|Operations - Core Title|Operations - Core Title</v>
      </c>
      <c r="AK993" s="35"/>
      <c r="AL993" s="117" t="str">
        <f>if('Ingest Template'!A993="Standard",(IF(OR('Ingest Template'!F993 = "Program Type - Special", 'Ingest Template'!F993 = "Program Type - Live Event"),'Ingest Template'!Q993&amp;"|"&amp;TEXT('Ingest Template'!C993-3, "yyyy-mm-dd")&amp;"|"&amp;TEXT('Ingest Template'!C993+3, "yyyy-mm-dd"),'Ingest Template'!Q993&amp; "|2021-01-01")),(IF(OR('Ingest Template'!F993 = "Program Type - Special", 'Ingest Template'!F993 = "Program Type - Live Event"),'Ingest Template'!Q993&amp; "|"&amp;TEXT('Ingest Template'!C993-3, "yyyy-mm-dd")&amp;"|"&amp;TEXT('Ingest Template'!C993+3, "yyyy-mm-dd"),'Ingest Template'!Q993)))</f>
        <v/>
      </c>
      <c r="AM993" s="35" t="str">
        <f>'Ingest Template'!AC993</f>
        <v/>
      </c>
    </row>
    <row r="994">
      <c r="A994" s="15"/>
      <c r="B994" s="22" t="str">
        <f>'Ingest Template'!C994&amp;IF('Ingest Template'!A994 = "Standard", " - DAR","")</f>
        <v/>
      </c>
      <c r="C994" s="22" t="s">
        <v>83</v>
      </c>
      <c r="D994" s="22" t="str">
        <f t="array" ref="D994">CONCATENATE(INDEX(DropdownLists!$H$2:$H$11,MATCH(1,COUNTIF('Ingest Template'!E994,"*"&amp;DropdownLists!$I$2:$I$11&amp;"*"),0)),CHAR(10),'Ingest Template'!F994,CHAR(10),'Ingest Template'!G994,CHAR(10),VLOOKUP('Ingest Template'!D994,DropdownLists!C:D,2,FALSE))</f>
        <v>#N/A</v>
      </c>
      <c r="E994" s="22" t="str">
        <f>CONCATENATE('Ingest Template'!H994,CHAR(10),'Ingest Template'!I994,CHAR(10),'Ingest Template'!J994,CHAR(10))</f>
        <v>
</v>
      </c>
      <c r="F994" s="35" t="str">
        <f t="array" ref="F994">INDEX(DropdownLists!$O$2:$O$36,MATCH(1,COUNTIF(E994,"*"&amp;DropdownLists!$N$2:$N$36&amp;"*"),0))</f>
        <v/>
      </c>
      <c r="G994" s="35"/>
      <c r="H994" s="22" t="str">
        <f t="array" ref="H994">INDEX(DropdownLists!$E$2:$E$276,MATCH('Ingest Template'!D994,DropdownLists!$C$2:$C$276,0))</f>
        <v>#N/A</v>
      </c>
      <c r="I994" s="22"/>
      <c r="J994" s="22" t="str">
        <f t="array" ref="J994">iF('Ingest Template'!A994="Standard","Pristine Brand",INDEX(DropdownLists!$B$2:$B$246,MATCH('Ingest Template'!D994,DropdownLists!$C$2:$C$246,0)))</f>
        <v>#N/A</v>
      </c>
      <c r="K994" s="22" t="str">
        <f>iF('Ingest Template'!A994="Standard",'Ingest Template'!K994&amp;CHAR(10)&amp;'Ingest Template'!L994,"Competitive View")</f>
        <v>Competitive View</v>
      </c>
      <c r="L994" s="22" t="s">
        <v>95</v>
      </c>
      <c r="M994" s="45" t="str">
        <f>'Ingest Template'!B994</f>
        <v/>
      </c>
      <c r="N994" s="35"/>
      <c r="O994" s="35"/>
      <c r="P994" s="35"/>
      <c r="Q994" s="35"/>
      <c r="R994" s="35" t="str">
        <f>'Ingest Template'!D994</f>
        <v/>
      </c>
      <c r="S994" s="22" t="s">
        <v>101</v>
      </c>
      <c r="T994" s="35" t="str">
        <f>'Ingest Template'!V994</f>
        <v/>
      </c>
      <c r="U994" s="35" t="str">
        <f>'Ingest Template'!W994</f>
        <v/>
      </c>
      <c r="V994" s="35" t="str">
        <f>LOWER(SUBSTITUTE(SUBSTITUTE(SUBSTITUTE(SUBSTITUTE(SUBSTITUTE('Ingest Template'!X994,"https:",""),"www.",""),"/",""),"?hl=en",""),"instagram.com",""))</f>
        <v/>
      </c>
      <c r="W994" s="74" t="str">
        <f t="array" ref="W994">IF(
'Ingest Template'!Y994="",
SUBSTITUTE(
INDEX(DropdownLists!$F$2:$F$277,MATCH('Ingest Template'!D994,DropdownLists!$C$2:$C$277,0)),
CHAR(10),
"|"&amp;'Ingest Template'!C994&amp;CHAR(10)
)&amp;"|"&amp;'Ingest Template'!C994,
SUBSTITUTE(
INDEX(DropdownLists!$F$2:$F$277,MATCH('Ingest Template'!D994,DropdownLists!$C$2:$C$277,0)),
CHAR(10),
"|"&amp;'Ingest Template'!C994&amp;CHAR(10)
)&amp;"|"&amp;'Ingest Template'!C994&amp;CHAR(10)&amp;'Ingest Template'!Y994
)</f>
        <v>#N/A</v>
      </c>
      <c r="X994" s="74" t="str">
        <f>'Ingest Template'!Z994</f>
        <v/>
      </c>
      <c r="Y994" s="35" t="str">
        <f>SUBSTITUTE(SUBSTITUTE(SUBSTITUTE('Ingest Template'!AA994,"http:",""),"https:",""),"/","")</f>
        <v/>
      </c>
      <c r="Z994" s="35" t="str">
        <f t="array" ref="Z994">IF('Ingest Template'!A994="Standard",(IF(ISBLANK('Ingest Template'!AB994),"", 'Ingest Template'!AB994&amp;"|DAR")),(IF(ISBLANK('Ingest Template'!AB994),"", 'Ingest Template'!AB994&amp;"|TV Ops")))</f>
        <v/>
      </c>
      <c r="AA994" s="35"/>
      <c r="AB994" s="35" t="str">
        <f>'Ingest Template'!R994</f>
        <v/>
      </c>
      <c r="AC994" s="35" t="str">
        <f>'Ingest Template'!T994</f>
        <v/>
      </c>
      <c r="AD994" s="35" t="str">
        <f>'Ingest Template'!S994</f>
        <v/>
      </c>
      <c r="AE994" s="35" t="str">
        <f>'Ingest Template'!U994</f>
        <v/>
      </c>
      <c r="AF994" s="22"/>
      <c r="AG994" s="35" t="str">
        <f t="array" ref="AG994">IF('Ingest Template'!A994="Standard",(CONCATENATE(IF(ISBLANK('Ingest Template'!N994),"", 'Ingest Template'!N994&amp;"|DAR"),CHAR(10), IF(ISBLANK('Ingest Template'!O994),"", 'Ingest Template'!O994&amp;"|DAR"),CHAR(10), IF(ISBLANK('Ingest Template'!P994),"", 'Ingest Template'!P994&amp;"|DAR"))),(CONCATENATE(IF(ISBLANK('Ingest Template'!N994),"", 'Ingest Template'!N994&amp;"|TV Ops"),CHAR(10), IF(ISBLANK('Ingest Template'!O994),"", 'Ingest Template'!O994&amp;"|TV Ops"),CHAR(10), IF(ISBLANK('Ingest Template'!P994),"", 'Ingest Template'!P994&amp;"|TV Ops"))))</f>
        <v>
</v>
      </c>
      <c r="AH994" s="35"/>
      <c r="AI994" s="35"/>
      <c r="AJ994" s="117" t="str">
        <f>if('Ingest Template'!A994="Standard",(IF(OR('Ingest Template'!F994 = "Program Type - Special", 'Ingest Template'!F994 = "Program Type - Live Event"),'Ingest Template'!M994&amp; "|DAR|DAR|"&amp;TEXT('Ingest Template'!C994-3, "yyyy-mm-dd")&amp;"|"&amp;TEXT('Ingest Template'!C994+3, "yyyy-mm-dd"),'Ingest Template'!M994&amp; "|DAR|DAR|2021-01-01")),(IF(OR('Ingest Template'!F994 = "Program Type - Special", 'Ingest Template'!F994 = "Program Type - Live Event"),'Ingest Template'!M994&amp; "|Operations - Core Title|Operations - Core Title|"&amp;TEXT('Ingest Template'!C994-3, "yyyy-mm-dd")&amp;"|"&amp;TEXT('Ingest Template'!C994+3, "yyyy-mm-dd"),'Ingest Template'!M994&amp; "|Operations - Core Title|Operations - Core Title")))</f>
        <v>|Operations - Core Title|Operations - Core Title</v>
      </c>
      <c r="AK994" s="35"/>
      <c r="AL994" s="117" t="str">
        <f>if('Ingest Template'!A994="Standard",(IF(OR('Ingest Template'!F994 = "Program Type - Special", 'Ingest Template'!F994 = "Program Type - Live Event"),'Ingest Template'!Q994&amp;"|"&amp;TEXT('Ingest Template'!C994-3, "yyyy-mm-dd")&amp;"|"&amp;TEXT('Ingest Template'!C994+3, "yyyy-mm-dd"),'Ingest Template'!Q994&amp; "|2021-01-01")),(IF(OR('Ingest Template'!F994 = "Program Type - Special", 'Ingest Template'!F994 = "Program Type - Live Event"),'Ingest Template'!Q994&amp; "|"&amp;TEXT('Ingest Template'!C994-3, "yyyy-mm-dd")&amp;"|"&amp;TEXT('Ingest Template'!C994+3, "yyyy-mm-dd"),'Ingest Template'!Q994)))</f>
        <v/>
      </c>
      <c r="AM994" s="35" t="str">
        <f>'Ingest Template'!AC994</f>
        <v/>
      </c>
    </row>
    <row r="995">
      <c r="A995" s="15"/>
      <c r="B995" s="22" t="str">
        <f>'Ingest Template'!C995&amp;IF('Ingest Template'!A995 = "Standard", " - DAR","")</f>
        <v/>
      </c>
      <c r="C995" s="22" t="s">
        <v>83</v>
      </c>
      <c r="D995" s="22" t="str">
        <f t="array" ref="D995">CONCATENATE(INDEX(DropdownLists!$H$2:$H$11,MATCH(1,COUNTIF('Ingest Template'!E995,"*"&amp;DropdownLists!$I$2:$I$11&amp;"*"),0)),CHAR(10),'Ingest Template'!F995,CHAR(10),'Ingest Template'!G995,CHAR(10),VLOOKUP('Ingest Template'!D995,DropdownLists!C:D,2,FALSE))</f>
        <v>#N/A</v>
      </c>
      <c r="E995" s="22" t="str">
        <f>CONCATENATE('Ingest Template'!H995,CHAR(10),'Ingest Template'!I995,CHAR(10),'Ingest Template'!J995,CHAR(10))</f>
        <v>
</v>
      </c>
      <c r="F995" s="35" t="str">
        <f t="array" ref="F995">INDEX(DropdownLists!$O$2:$O$36,MATCH(1,COUNTIF(E995,"*"&amp;DropdownLists!$N$2:$N$36&amp;"*"),0))</f>
        <v/>
      </c>
      <c r="G995" s="35"/>
      <c r="H995" s="22" t="str">
        <f t="array" ref="H995">INDEX(DropdownLists!$E$2:$E$276,MATCH('Ingest Template'!D995,DropdownLists!$C$2:$C$276,0))</f>
        <v>#N/A</v>
      </c>
      <c r="I995" s="22"/>
      <c r="J995" s="22" t="str">
        <f t="array" ref="J995">iF('Ingest Template'!A995="Standard","Pristine Brand",INDEX(DropdownLists!$B$2:$B$246,MATCH('Ingest Template'!D995,DropdownLists!$C$2:$C$246,0)))</f>
        <v>#N/A</v>
      </c>
      <c r="K995" s="22" t="str">
        <f>iF('Ingest Template'!A995="Standard",'Ingest Template'!K995&amp;CHAR(10)&amp;'Ingest Template'!L995,"Competitive View")</f>
        <v>Competitive View</v>
      </c>
      <c r="L995" s="22" t="s">
        <v>95</v>
      </c>
      <c r="M995" s="45" t="str">
        <f>'Ingest Template'!B995</f>
        <v/>
      </c>
      <c r="N995" s="35"/>
      <c r="O995" s="35"/>
      <c r="P995" s="35"/>
      <c r="Q995" s="35"/>
      <c r="R995" s="35" t="str">
        <f>'Ingest Template'!D995</f>
        <v/>
      </c>
      <c r="S995" s="22" t="s">
        <v>101</v>
      </c>
      <c r="T995" s="35" t="str">
        <f>'Ingest Template'!V995</f>
        <v/>
      </c>
      <c r="U995" s="35" t="str">
        <f>'Ingest Template'!W995</f>
        <v/>
      </c>
      <c r="V995" s="35" t="str">
        <f>LOWER(SUBSTITUTE(SUBSTITUTE(SUBSTITUTE(SUBSTITUTE(SUBSTITUTE('Ingest Template'!X995,"https:",""),"www.",""),"/",""),"?hl=en",""),"instagram.com",""))</f>
        <v/>
      </c>
      <c r="W995" s="74" t="str">
        <f t="array" ref="W995">IF(
'Ingest Template'!Y995="",
SUBSTITUTE(
INDEX(DropdownLists!$F$2:$F$277,MATCH('Ingest Template'!D995,DropdownLists!$C$2:$C$277,0)),
CHAR(10),
"|"&amp;'Ingest Template'!C995&amp;CHAR(10)
)&amp;"|"&amp;'Ingest Template'!C995,
SUBSTITUTE(
INDEX(DropdownLists!$F$2:$F$277,MATCH('Ingest Template'!D995,DropdownLists!$C$2:$C$277,0)),
CHAR(10),
"|"&amp;'Ingest Template'!C995&amp;CHAR(10)
)&amp;"|"&amp;'Ingest Template'!C995&amp;CHAR(10)&amp;'Ingest Template'!Y995
)</f>
        <v>#N/A</v>
      </c>
      <c r="X995" s="74" t="str">
        <f>'Ingest Template'!Z995</f>
        <v/>
      </c>
      <c r="Y995" s="35" t="str">
        <f>SUBSTITUTE(SUBSTITUTE(SUBSTITUTE('Ingest Template'!AA995,"http:",""),"https:",""),"/","")</f>
        <v/>
      </c>
      <c r="Z995" s="35" t="str">
        <f t="array" ref="Z995">IF('Ingest Template'!A995="Standard",(IF(ISBLANK('Ingest Template'!AB995),"", 'Ingest Template'!AB995&amp;"|DAR")),(IF(ISBLANK('Ingest Template'!AB995),"", 'Ingest Template'!AB995&amp;"|TV Ops")))</f>
        <v/>
      </c>
      <c r="AA995" s="35"/>
      <c r="AB995" s="35" t="str">
        <f>'Ingest Template'!R995</f>
        <v/>
      </c>
      <c r="AC995" s="35" t="str">
        <f>'Ingest Template'!T995</f>
        <v/>
      </c>
      <c r="AD995" s="35" t="str">
        <f>'Ingest Template'!S995</f>
        <v/>
      </c>
      <c r="AE995" s="35" t="str">
        <f>'Ingest Template'!U995</f>
        <v/>
      </c>
      <c r="AF995" s="22"/>
      <c r="AG995" s="35" t="str">
        <f t="array" ref="AG995">IF('Ingest Template'!A995="Standard",(CONCATENATE(IF(ISBLANK('Ingest Template'!N995),"", 'Ingest Template'!N995&amp;"|DAR"),CHAR(10), IF(ISBLANK('Ingest Template'!O995),"", 'Ingest Template'!O995&amp;"|DAR"),CHAR(10), IF(ISBLANK('Ingest Template'!P995),"", 'Ingest Template'!P995&amp;"|DAR"))),(CONCATENATE(IF(ISBLANK('Ingest Template'!N995),"", 'Ingest Template'!N995&amp;"|TV Ops"),CHAR(10), IF(ISBLANK('Ingest Template'!O995),"", 'Ingest Template'!O995&amp;"|TV Ops"),CHAR(10), IF(ISBLANK('Ingest Template'!P995),"", 'Ingest Template'!P995&amp;"|TV Ops"))))</f>
        <v>
</v>
      </c>
      <c r="AH995" s="35"/>
      <c r="AI995" s="35"/>
      <c r="AJ995" s="117" t="str">
        <f>if('Ingest Template'!A995="Standard",(IF(OR('Ingest Template'!F995 = "Program Type - Special", 'Ingest Template'!F995 = "Program Type - Live Event"),'Ingest Template'!M995&amp; "|DAR|DAR|"&amp;TEXT('Ingest Template'!C995-3, "yyyy-mm-dd")&amp;"|"&amp;TEXT('Ingest Template'!C995+3, "yyyy-mm-dd"),'Ingest Template'!M995&amp; "|DAR|DAR|2021-01-01")),(IF(OR('Ingest Template'!F995 = "Program Type - Special", 'Ingest Template'!F995 = "Program Type - Live Event"),'Ingest Template'!M995&amp; "|Operations - Core Title|Operations - Core Title|"&amp;TEXT('Ingest Template'!C995-3, "yyyy-mm-dd")&amp;"|"&amp;TEXT('Ingest Template'!C995+3, "yyyy-mm-dd"),'Ingest Template'!M995&amp; "|Operations - Core Title|Operations - Core Title")))</f>
        <v>|Operations - Core Title|Operations - Core Title</v>
      </c>
      <c r="AK995" s="35"/>
      <c r="AL995" s="117" t="str">
        <f>if('Ingest Template'!A995="Standard",(IF(OR('Ingest Template'!F995 = "Program Type - Special", 'Ingest Template'!F995 = "Program Type - Live Event"),'Ingest Template'!Q995&amp;"|"&amp;TEXT('Ingest Template'!C995-3, "yyyy-mm-dd")&amp;"|"&amp;TEXT('Ingest Template'!C995+3, "yyyy-mm-dd"),'Ingest Template'!Q995&amp; "|2021-01-01")),(IF(OR('Ingest Template'!F995 = "Program Type - Special", 'Ingest Template'!F995 = "Program Type - Live Event"),'Ingest Template'!Q995&amp; "|"&amp;TEXT('Ingest Template'!C995-3, "yyyy-mm-dd")&amp;"|"&amp;TEXT('Ingest Template'!C995+3, "yyyy-mm-dd"),'Ingest Template'!Q995)))</f>
        <v/>
      </c>
      <c r="AM995" s="35" t="str">
        <f>'Ingest Template'!AC995</f>
        <v/>
      </c>
    </row>
    <row r="996">
      <c r="A996" s="15"/>
      <c r="B996" s="22" t="str">
        <f>'Ingest Template'!C996&amp;IF('Ingest Template'!A996 = "Standard", " - DAR","")</f>
        <v/>
      </c>
      <c r="C996" s="22" t="s">
        <v>83</v>
      </c>
      <c r="D996" s="22" t="str">
        <f t="array" ref="D996">CONCATENATE(INDEX(DropdownLists!$H$2:$H$11,MATCH(1,COUNTIF('Ingest Template'!E996,"*"&amp;DropdownLists!$I$2:$I$11&amp;"*"),0)),CHAR(10),'Ingest Template'!F996,CHAR(10),'Ingest Template'!G996,CHAR(10),VLOOKUP('Ingest Template'!D996,DropdownLists!C:D,2,FALSE))</f>
        <v>#N/A</v>
      </c>
      <c r="E996" s="22" t="str">
        <f>CONCATENATE('Ingest Template'!H996,CHAR(10),'Ingest Template'!I996,CHAR(10),'Ingest Template'!J996,CHAR(10))</f>
        <v>
</v>
      </c>
      <c r="F996" s="35" t="str">
        <f t="array" ref="F996">INDEX(DropdownLists!$O$2:$O$36,MATCH(1,COUNTIF(E996,"*"&amp;DropdownLists!$N$2:$N$36&amp;"*"),0))</f>
        <v/>
      </c>
      <c r="G996" s="35"/>
      <c r="H996" s="22" t="str">
        <f t="array" ref="H996">INDEX(DropdownLists!$E$2:$E$276,MATCH('Ingest Template'!D996,DropdownLists!$C$2:$C$276,0))</f>
        <v>#N/A</v>
      </c>
      <c r="I996" s="22"/>
      <c r="J996" s="22" t="str">
        <f t="array" ref="J996">iF('Ingest Template'!A996="Standard","Pristine Brand",INDEX(DropdownLists!$B$2:$B$246,MATCH('Ingest Template'!D996,DropdownLists!$C$2:$C$246,0)))</f>
        <v>#N/A</v>
      </c>
      <c r="K996" s="22" t="str">
        <f>iF('Ingest Template'!A996="Standard",'Ingest Template'!K996&amp;CHAR(10)&amp;'Ingest Template'!L996,"Competitive View")</f>
        <v>Competitive View</v>
      </c>
      <c r="L996" s="22" t="s">
        <v>95</v>
      </c>
      <c r="M996" s="45" t="str">
        <f>'Ingest Template'!B996</f>
        <v/>
      </c>
      <c r="N996" s="35"/>
      <c r="O996" s="35"/>
      <c r="P996" s="35"/>
      <c r="Q996" s="35"/>
      <c r="R996" s="35" t="str">
        <f>'Ingest Template'!D996</f>
        <v/>
      </c>
      <c r="S996" s="22" t="s">
        <v>101</v>
      </c>
      <c r="T996" s="35" t="str">
        <f>'Ingest Template'!V996</f>
        <v/>
      </c>
      <c r="U996" s="35" t="str">
        <f>'Ingest Template'!W996</f>
        <v/>
      </c>
      <c r="V996" s="35" t="str">
        <f>LOWER(SUBSTITUTE(SUBSTITUTE(SUBSTITUTE(SUBSTITUTE(SUBSTITUTE('Ingest Template'!X996,"https:",""),"www.",""),"/",""),"?hl=en",""),"instagram.com",""))</f>
        <v/>
      </c>
      <c r="W996" s="74" t="str">
        <f t="array" ref="W996">IF(
'Ingest Template'!Y996="",
SUBSTITUTE(
INDEX(DropdownLists!$F$2:$F$277,MATCH('Ingest Template'!D996,DropdownLists!$C$2:$C$277,0)),
CHAR(10),
"|"&amp;'Ingest Template'!C996&amp;CHAR(10)
)&amp;"|"&amp;'Ingest Template'!C996,
SUBSTITUTE(
INDEX(DropdownLists!$F$2:$F$277,MATCH('Ingest Template'!D996,DropdownLists!$C$2:$C$277,0)),
CHAR(10),
"|"&amp;'Ingest Template'!C996&amp;CHAR(10)
)&amp;"|"&amp;'Ingest Template'!C996&amp;CHAR(10)&amp;'Ingest Template'!Y996
)</f>
        <v>#N/A</v>
      </c>
      <c r="X996" s="74" t="str">
        <f>'Ingest Template'!Z996</f>
        <v/>
      </c>
      <c r="Y996" s="35" t="str">
        <f>SUBSTITUTE(SUBSTITUTE(SUBSTITUTE('Ingest Template'!AA996,"http:",""),"https:",""),"/","")</f>
        <v/>
      </c>
      <c r="Z996" s="35" t="str">
        <f t="array" ref="Z996">IF('Ingest Template'!A996="Standard",(IF(ISBLANK('Ingest Template'!AB996),"", 'Ingest Template'!AB996&amp;"|DAR")),(IF(ISBLANK('Ingest Template'!AB996),"", 'Ingest Template'!AB996&amp;"|TV Ops")))</f>
        <v/>
      </c>
      <c r="AA996" s="35"/>
      <c r="AB996" s="35" t="str">
        <f>'Ingest Template'!R996</f>
        <v/>
      </c>
      <c r="AC996" s="35" t="str">
        <f>'Ingest Template'!T996</f>
        <v/>
      </c>
      <c r="AD996" s="35" t="str">
        <f>'Ingest Template'!S996</f>
        <v/>
      </c>
      <c r="AE996" s="35" t="str">
        <f>'Ingest Template'!U996</f>
        <v/>
      </c>
      <c r="AF996" s="22"/>
      <c r="AG996" s="35" t="str">
        <f t="array" ref="AG996">IF('Ingest Template'!A996="Standard",(CONCATENATE(IF(ISBLANK('Ingest Template'!N996),"", 'Ingest Template'!N996&amp;"|DAR"),CHAR(10), IF(ISBLANK('Ingest Template'!O996),"", 'Ingest Template'!O996&amp;"|DAR"),CHAR(10), IF(ISBLANK('Ingest Template'!P996),"", 'Ingest Template'!P996&amp;"|DAR"))),(CONCATENATE(IF(ISBLANK('Ingest Template'!N996),"", 'Ingest Template'!N996&amp;"|TV Ops"),CHAR(10), IF(ISBLANK('Ingest Template'!O996),"", 'Ingest Template'!O996&amp;"|TV Ops"),CHAR(10), IF(ISBLANK('Ingest Template'!P996),"", 'Ingest Template'!P996&amp;"|TV Ops"))))</f>
        <v>
</v>
      </c>
      <c r="AH996" s="35"/>
      <c r="AI996" s="35"/>
      <c r="AJ996" s="117" t="str">
        <f>if('Ingest Template'!A996="Standard",(IF(OR('Ingest Template'!F996 = "Program Type - Special", 'Ingest Template'!F996 = "Program Type - Live Event"),'Ingest Template'!M996&amp; "|DAR|DAR|"&amp;TEXT('Ingest Template'!C996-3, "yyyy-mm-dd")&amp;"|"&amp;TEXT('Ingest Template'!C996+3, "yyyy-mm-dd"),'Ingest Template'!M996&amp; "|DAR|DAR|2021-01-01")),(IF(OR('Ingest Template'!F996 = "Program Type - Special", 'Ingest Template'!F996 = "Program Type - Live Event"),'Ingest Template'!M996&amp; "|Operations - Core Title|Operations - Core Title|"&amp;TEXT('Ingest Template'!C996-3, "yyyy-mm-dd")&amp;"|"&amp;TEXT('Ingest Template'!C996+3, "yyyy-mm-dd"),'Ingest Template'!M996&amp; "|Operations - Core Title|Operations - Core Title")))</f>
        <v>|Operations - Core Title|Operations - Core Title</v>
      </c>
      <c r="AK996" s="35"/>
      <c r="AL996" s="117" t="str">
        <f>if('Ingest Template'!A996="Standard",(IF(OR('Ingest Template'!F996 = "Program Type - Special", 'Ingest Template'!F996 = "Program Type - Live Event"),'Ingest Template'!Q996&amp;"|"&amp;TEXT('Ingest Template'!C996-3, "yyyy-mm-dd")&amp;"|"&amp;TEXT('Ingest Template'!C996+3, "yyyy-mm-dd"),'Ingest Template'!Q996&amp; "|2021-01-01")),(IF(OR('Ingest Template'!F996 = "Program Type - Special", 'Ingest Template'!F996 = "Program Type - Live Event"),'Ingest Template'!Q996&amp; "|"&amp;TEXT('Ingest Template'!C996-3, "yyyy-mm-dd")&amp;"|"&amp;TEXT('Ingest Template'!C996+3, "yyyy-mm-dd"),'Ingest Template'!Q996)))</f>
        <v/>
      </c>
      <c r="AM996" s="35" t="str">
        <f>'Ingest Template'!AC996</f>
        <v/>
      </c>
    </row>
    <row r="997">
      <c r="A997" s="15"/>
      <c r="B997" s="22" t="str">
        <f>'Ingest Template'!C997&amp;IF('Ingest Template'!A997 = "Standard", " - DAR","")</f>
        <v/>
      </c>
      <c r="C997" s="22" t="s">
        <v>83</v>
      </c>
      <c r="D997" s="22" t="str">
        <f t="array" ref="D997">CONCATENATE(INDEX(DropdownLists!$H$2:$H$11,MATCH(1,COUNTIF('Ingest Template'!E997,"*"&amp;DropdownLists!$I$2:$I$11&amp;"*"),0)),CHAR(10),'Ingest Template'!F997,CHAR(10),'Ingest Template'!G997,CHAR(10),VLOOKUP('Ingest Template'!D997,DropdownLists!C:D,2,FALSE))</f>
        <v>#N/A</v>
      </c>
      <c r="E997" s="22" t="str">
        <f>CONCATENATE('Ingest Template'!H997,CHAR(10),'Ingest Template'!I997,CHAR(10),'Ingest Template'!J997,CHAR(10))</f>
        <v>
</v>
      </c>
      <c r="F997" s="35" t="str">
        <f t="array" ref="F997">INDEX(DropdownLists!$O$2:$O$36,MATCH(1,COUNTIF(E997,"*"&amp;DropdownLists!$N$2:$N$36&amp;"*"),0))</f>
        <v/>
      </c>
      <c r="G997" s="35"/>
      <c r="H997" s="22" t="str">
        <f t="array" ref="H997">INDEX(DropdownLists!$E$2:$E$276,MATCH('Ingest Template'!D997,DropdownLists!$C$2:$C$276,0))</f>
        <v>#N/A</v>
      </c>
      <c r="I997" s="22"/>
      <c r="J997" s="22" t="str">
        <f t="array" ref="J997">iF('Ingest Template'!A997="Standard","Pristine Brand",INDEX(DropdownLists!$B$2:$B$246,MATCH('Ingest Template'!D997,DropdownLists!$C$2:$C$246,0)))</f>
        <v>#N/A</v>
      </c>
      <c r="K997" s="22" t="str">
        <f>iF('Ingest Template'!A997="Standard",'Ingest Template'!K997&amp;CHAR(10)&amp;'Ingest Template'!L997,"Competitive View")</f>
        <v>Competitive View</v>
      </c>
      <c r="L997" s="22" t="s">
        <v>95</v>
      </c>
      <c r="M997" s="45" t="str">
        <f>'Ingest Template'!B997</f>
        <v/>
      </c>
      <c r="N997" s="35"/>
      <c r="O997" s="35"/>
      <c r="P997" s="35"/>
      <c r="Q997" s="35"/>
      <c r="R997" s="35" t="str">
        <f>'Ingest Template'!D997</f>
        <v/>
      </c>
      <c r="S997" s="22" t="s">
        <v>101</v>
      </c>
      <c r="T997" s="35" t="str">
        <f>'Ingest Template'!V997</f>
        <v/>
      </c>
      <c r="U997" s="35" t="str">
        <f>'Ingest Template'!W997</f>
        <v/>
      </c>
      <c r="V997" s="35" t="str">
        <f>LOWER(SUBSTITUTE(SUBSTITUTE(SUBSTITUTE(SUBSTITUTE(SUBSTITUTE('Ingest Template'!X997,"https:",""),"www.",""),"/",""),"?hl=en",""),"instagram.com",""))</f>
        <v/>
      </c>
      <c r="W997" s="74" t="str">
        <f t="array" ref="W997">IF(
'Ingest Template'!Y997="",
SUBSTITUTE(
INDEX(DropdownLists!$F$2:$F$277,MATCH('Ingest Template'!D997,DropdownLists!$C$2:$C$277,0)),
CHAR(10),
"|"&amp;'Ingest Template'!C997&amp;CHAR(10)
)&amp;"|"&amp;'Ingest Template'!C997,
SUBSTITUTE(
INDEX(DropdownLists!$F$2:$F$277,MATCH('Ingest Template'!D997,DropdownLists!$C$2:$C$277,0)),
CHAR(10),
"|"&amp;'Ingest Template'!C997&amp;CHAR(10)
)&amp;"|"&amp;'Ingest Template'!C997&amp;CHAR(10)&amp;'Ingest Template'!Y997
)</f>
        <v>#N/A</v>
      </c>
      <c r="X997" s="74" t="str">
        <f>'Ingest Template'!Z997</f>
        <v/>
      </c>
      <c r="Y997" s="35" t="str">
        <f>SUBSTITUTE(SUBSTITUTE(SUBSTITUTE('Ingest Template'!AA997,"http:",""),"https:",""),"/","")</f>
        <v/>
      </c>
      <c r="Z997" s="35" t="str">
        <f t="array" ref="Z997">IF('Ingest Template'!A997="Standard",(IF(ISBLANK('Ingest Template'!AB997),"", 'Ingest Template'!AB997&amp;"|DAR")),(IF(ISBLANK('Ingest Template'!AB997),"", 'Ingest Template'!AB997&amp;"|TV Ops")))</f>
        <v/>
      </c>
      <c r="AA997" s="35"/>
      <c r="AB997" s="35" t="str">
        <f>'Ingest Template'!R997</f>
        <v/>
      </c>
      <c r="AC997" s="35" t="str">
        <f>'Ingest Template'!T997</f>
        <v/>
      </c>
      <c r="AD997" s="35" t="str">
        <f>'Ingest Template'!S997</f>
        <v/>
      </c>
      <c r="AE997" s="35" t="str">
        <f>'Ingest Template'!U997</f>
        <v/>
      </c>
      <c r="AF997" s="22"/>
      <c r="AG997" s="35" t="str">
        <f t="array" ref="AG997">IF('Ingest Template'!A997="Standard",(CONCATENATE(IF(ISBLANK('Ingest Template'!N997),"", 'Ingest Template'!N997&amp;"|DAR"),CHAR(10), IF(ISBLANK('Ingest Template'!O997),"", 'Ingest Template'!O997&amp;"|DAR"),CHAR(10), IF(ISBLANK('Ingest Template'!P997),"", 'Ingest Template'!P997&amp;"|DAR"))),(CONCATENATE(IF(ISBLANK('Ingest Template'!N997),"", 'Ingest Template'!N997&amp;"|TV Ops"),CHAR(10), IF(ISBLANK('Ingest Template'!O997),"", 'Ingest Template'!O997&amp;"|TV Ops"),CHAR(10), IF(ISBLANK('Ingest Template'!P997),"", 'Ingest Template'!P997&amp;"|TV Ops"))))</f>
        <v>
</v>
      </c>
      <c r="AH997" s="35"/>
      <c r="AI997" s="35"/>
      <c r="AJ997" s="117" t="str">
        <f>if('Ingest Template'!A997="Standard",(IF(OR('Ingest Template'!F997 = "Program Type - Special", 'Ingest Template'!F997 = "Program Type - Live Event"),'Ingest Template'!M997&amp; "|DAR|DAR|"&amp;TEXT('Ingest Template'!C997-3, "yyyy-mm-dd")&amp;"|"&amp;TEXT('Ingest Template'!C997+3, "yyyy-mm-dd"),'Ingest Template'!M997&amp; "|DAR|DAR|2021-01-01")),(IF(OR('Ingest Template'!F997 = "Program Type - Special", 'Ingest Template'!F997 = "Program Type - Live Event"),'Ingest Template'!M997&amp; "|Operations - Core Title|Operations - Core Title|"&amp;TEXT('Ingest Template'!C997-3, "yyyy-mm-dd")&amp;"|"&amp;TEXT('Ingest Template'!C997+3, "yyyy-mm-dd"),'Ingest Template'!M997&amp; "|Operations - Core Title|Operations - Core Title")))</f>
        <v>|Operations - Core Title|Operations - Core Title</v>
      </c>
      <c r="AK997" s="35"/>
      <c r="AL997" s="117" t="str">
        <f>if('Ingest Template'!A997="Standard",(IF(OR('Ingest Template'!F997 = "Program Type - Special", 'Ingest Template'!F997 = "Program Type - Live Event"),'Ingest Template'!Q997&amp;"|"&amp;TEXT('Ingest Template'!C997-3, "yyyy-mm-dd")&amp;"|"&amp;TEXT('Ingest Template'!C997+3, "yyyy-mm-dd"),'Ingest Template'!Q997&amp; "|2021-01-01")),(IF(OR('Ingest Template'!F997 = "Program Type - Special", 'Ingest Template'!F997 = "Program Type - Live Event"),'Ingest Template'!Q997&amp; "|"&amp;TEXT('Ingest Template'!C997-3, "yyyy-mm-dd")&amp;"|"&amp;TEXT('Ingest Template'!C997+3, "yyyy-mm-dd"),'Ingest Template'!Q997)))</f>
        <v/>
      </c>
      <c r="AM997" s="35" t="str">
        <f>'Ingest Template'!AC997</f>
        <v/>
      </c>
    </row>
    <row r="998">
      <c r="A998" s="15"/>
      <c r="B998" s="22" t="str">
        <f>'Ingest Template'!C998&amp;IF('Ingest Template'!A998 = "Standard", " - DAR","")</f>
        <v/>
      </c>
      <c r="C998" s="22" t="s">
        <v>83</v>
      </c>
      <c r="D998" s="22" t="str">
        <f t="array" ref="D998">CONCATENATE(INDEX(DropdownLists!$H$2:$H$11,MATCH(1,COUNTIF('Ingest Template'!E998,"*"&amp;DropdownLists!$I$2:$I$11&amp;"*"),0)),CHAR(10),'Ingest Template'!F998,CHAR(10),'Ingest Template'!G998,CHAR(10),VLOOKUP('Ingest Template'!D998,DropdownLists!C:D,2,FALSE))</f>
        <v>#N/A</v>
      </c>
      <c r="E998" s="22" t="str">
        <f>CONCATENATE('Ingest Template'!H998,CHAR(10),'Ingest Template'!I998,CHAR(10),'Ingest Template'!J998,CHAR(10))</f>
        <v>
</v>
      </c>
      <c r="F998" s="35" t="str">
        <f t="array" ref="F998">INDEX(DropdownLists!$O$2:$O$36,MATCH(1,COUNTIF(E998,"*"&amp;DropdownLists!$N$2:$N$36&amp;"*"),0))</f>
        <v/>
      </c>
      <c r="G998" s="35"/>
      <c r="H998" s="22" t="str">
        <f t="array" ref="H998">INDEX(DropdownLists!$E$2:$E$276,MATCH('Ingest Template'!D998,DropdownLists!$C$2:$C$276,0))</f>
        <v>#N/A</v>
      </c>
      <c r="I998" s="22"/>
      <c r="J998" s="22" t="str">
        <f t="array" ref="J998">iF('Ingest Template'!A998="Standard","Pristine Brand",INDEX(DropdownLists!$B$2:$B$246,MATCH('Ingest Template'!D998,DropdownLists!$C$2:$C$246,0)))</f>
        <v>#N/A</v>
      </c>
      <c r="K998" s="22" t="str">
        <f>iF('Ingest Template'!A998="Standard",'Ingest Template'!K998&amp;CHAR(10)&amp;'Ingest Template'!L998,"Competitive View")</f>
        <v>Competitive View</v>
      </c>
      <c r="L998" s="22" t="s">
        <v>95</v>
      </c>
      <c r="M998" s="45" t="str">
        <f>'Ingest Template'!B998</f>
        <v/>
      </c>
      <c r="N998" s="35"/>
      <c r="O998" s="35"/>
      <c r="P998" s="35"/>
      <c r="Q998" s="35"/>
      <c r="R998" s="35" t="str">
        <f>'Ingest Template'!D998</f>
        <v/>
      </c>
      <c r="S998" s="22" t="s">
        <v>101</v>
      </c>
      <c r="T998" s="35" t="str">
        <f>'Ingest Template'!V998</f>
        <v/>
      </c>
      <c r="U998" s="35" t="str">
        <f>'Ingest Template'!W998</f>
        <v/>
      </c>
      <c r="V998" s="35" t="str">
        <f>LOWER(SUBSTITUTE(SUBSTITUTE(SUBSTITUTE(SUBSTITUTE(SUBSTITUTE('Ingest Template'!X998,"https:",""),"www.",""),"/",""),"?hl=en",""),"instagram.com",""))</f>
        <v/>
      </c>
      <c r="W998" s="74" t="str">
        <f t="array" ref="W998">IF(
'Ingest Template'!Y998="",
SUBSTITUTE(
INDEX(DropdownLists!$F$2:$F$277,MATCH('Ingest Template'!D998,DropdownLists!$C$2:$C$277,0)),
CHAR(10),
"|"&amp;'Ingest Template'!C998&amp;CHAR(10)
)&amp;"|"&amp;'Ingest Template'!C998,
SUBSTITUTE(
INDEX(DropdownLists!$F$2:$F$277,MATCH('Ingest Template'!D998,DropdownLists!$C$2:$C$277,0)),
CHAR(10),
"|"&amp;'Ingest Template'!C998&amp;CHAR(10)
)&amp;"|"&amp;'Ingest Template'!C998&amp;CHAR(10)&amp;'Ingest Template'!Y998
)</f>
        <v>#N/A</v>
      </c>
      <c r="X998" s="74" t="str">
        <f>'Ingest Template'!Z998</f>
        <v/>
      </c>
      <c r="Y998" s="35" t="str">
        <f>SUBSTITUTE(SUBSTITUTE(SUBSTITUTE('Ingest Template'!AA998,"http:",""),"https:",""),"/","")</f>
        <v/>
      </c>
      <c r="Z998" s="35" t="str">
        <f t="array" ref="Z998">IF('Ingest Template'!A998="Standard",(IF(ISBLANK('Ingest Template'!AB998),"", 'Ingest Template'!AB998&amp;"|DAR")),(IF(ISBLANK('Ingest Template'!AB998),"", 'Ingest Template'!AB998&amp;"|TV Ops")))</f>
        <v/>
      </c>
      <c r="AA998" s="35"/>
      <c r="AB998" s="35" t="str">
        <f>'Ingest Template'!R998</f>
        <v/>
      </c>
      <c r="AC998" s="35" t="str">
        <f>'Ingest Template'!T998</f>
        <v/>
      </c>
      <c r="AD998" s="35" t="str">
        <f>'Ingest Template'!S998</f>
        <v/>
      </c>
      <c r="AE998" s="35" t="str">
        <f>'Ingest Template'!U998</f>
        <v/>
      </c>
      <c r="AF998" s="22"/>
      <c r="AG998" s="35" t="str">
        <f t="array" ref="AG998">IF('Ingest Template'!A998="Standard",(CONCATENATE(IF(ISBLANK('Ingest Template'!N998),"", 'Ingest Template'!N998&amp;"|DAR"),CHAR(10), IF(ISBLANK('Ingest Template'!O998),"", 'Ingest Template'!O998&amp;"|DAR"),CHAR(10), IF(ISBLANK('Ingest Template'!P998),"", 'Ingest Template'!P998&amp;"|DAR"))),(CONCATENATE(IF(ISBLANK('Ingest Template'!N998),"", 'Ingest Template'!N998&amp;"|TV Ops"),CHAR(10), IF(ISBLANK('Ingest Template'!O998),"", 'Ingest Template'!O998&amp;"|TV Ops"),CHAR(10), IF(ISBLANK('Ingest Template'!P998),"", 'Ingest Template'!P998&amp;"|TV Ops"))))</f>
        <v>
</v>
      </c>
      <c r="AH998" s="35"/>
      <c r="AI998" s="35"/>
      <c r="AJ998" s="117" t="str">
        <f>if('Ingest Template'!A998="Standard",(IF(OR('Ingest Template'!F998 = "Program Type - Special", 'Ingest Template'!F998 = "Program Type - Live Event"),'Ingest Template'!M998&amp; "|DAR|DAR|"&amp;TEXT('Ingest Template'!C998-3, "yyyy-mm-dd")&amp;"|"&amp;TEXT('Ingest Template'!C998+3, "yyyy-mm-dd"),'Ingest Template'!M998&amp; "|DAR|DAR|2021-01-01")),(IF(OR('Ingest Template'!F998 = "Program Type - Special", 'Ingest Template'!F998 = "Program Type - Live Event"),'Ingest Template'!M998&amp; "|Operations - Core Title|Operations - Core Title|"&amp;TEXT('Ingest Template'!C998-3, "yyyy-mm-dd")&amp;"|"&amp;TEXT('Ingest Template'!C998+3, "yyyy-mm-dd"),'Ingest Template'!M998&amp; "|Operations - Core Title|Operations - Core Title")))</f>
        <v>|Operations - Core Title|Operations - Core Title</v>
      </c>
      <c r="AK998" s="35"/>
      <c r="AL998" s="117" t="str">
        <f>if('Ingest Template'!A998="Standard",(IF(OR('Ingest Template'!F998 = "Program Type - Special", 'Ingest Template'!F998 = "Program Type - Live Event"),'Ingest Template'!Q998&amp;"|"&amp;TEXT('Ingest Template'!C998-3, "yyyy-mm-dd")&amp;"|"&amp;TEXT('Ingest Template'!C998+3, "yyyy-mm-dd"),'Ingest Template'!Q998&amp; "|2021-01-01")),(IF(OR('Ingest Template'!F998 = "Program Type - Special", 'Ingest Template'!F998 = "Program Type - Live Event"),'Ingest Template'!Q998&amp; "|"&amp;TEXT('Ingest Template'!C998-3, "yyyy-mm-dd")&amp;"|"&amp;TEXT('Ingest Template'!C998+3, "yyyy-mm-dd"),'Ingest Template'!Q998)))</f>
        <v/>
      </c>
      <c r="AM998" s="35" t="str">
        <f>'Ingest Template'!AC998</f>
        <v/>
      </c>
    </row>
    <row r="999">
      <c r="A999" s="15"/>
      <c r="B999" s="22" t="str">
        <f>'Ingest Template'!C999&amp;IF('Ingest Template'!A999 = "Standard", " - DAR","")</f>
        <v/>
      </c>
      <c r="C999" s="22" t="s">
        <v>83</v>
      </c>
      <c r="D999" s="22" t="str">
        <f t="array" ref="D999">CONCATENATE(INDEX(DropdownLists!$H$2:$H$11,MATCH(1,COUNTIF('Ingest Template'!E999,"*"&amp;DropdownLists!$I$2:$I$11&amp;"*"),0)),CHAR(10),'Ingest Template'!F999,CHAR(10),'Ingest Template'!G999,CHAR(10),VLOOKUP('Ingest Template'!D999,DropdownLists!C:D,2,FALSE))</f>
        <v>#N/A</v>
      </c>
      <c r="E999" s="22" t="str">
        <f>CONCATENATE('Ingest Template'!H999,CHAR(10),'Ingest Template'!I999,CHAR(10),'Ingest Template'!J999,CHAR(10))</f>
        <v>
</v>
      </c>
      <c r="F999" s="35" t="str">
        <f t="array" ref="F999">INDEX(DropdownLists!$O$2:$O$36,MATCH(1,COUNTIF(E999,"*"&amp;DropdownLists!$N$2:$N$36&amp;"*"),0))</f>
        <v/>
      </c>
      <c r="G999" s="35"/>
      <c r="H999" s="22" t="str">
        <f t="array" ref="H999">INDEX(DropdownLists!$E$2:$E$276,MATCH('Ingest Template'!D999,DropdownLists!$C$2:$C$276,0))</f>
        <v>#N/A</v>
      </c>
      <c r="I999" s="22"/>
      <c r="J999" s="22" t="str">
        <f t="array" ref="J999">iF('Ingest Template'!A999="Standard","Pristine Brand",INDEX(DropdownLists!$B$2:$B$246,MATCH('Ingest Template'!D999,DropdownLists!$C$2:$C$246,0)))</f>
        <v>#N/A</v>
      </c>
      <c r="K999" s="22" t="str">
        <f>iF('Ingest Template'!A999="Standard",'Ingest Template'!K999&amp;CHAR(10)&amp;'Ingest Template'!L999,"Competitive View")</f>
        <v>Competitive View</v>
      </c>
      <c r="L999" s="22" t="s">
        <v>95</v>
      </c>
      <c r="M999" s="45" t="str">
        <f>'Ingest Template'!B999</f>
        <v/>
      </c>
      <c r="N999" s="35"/>
      <c r="O999" s="35"/>
      <c r="P999" s="35"/>
      <c r="Q999" s="35"/>
      <c r="R999" s="35" t="str">
        <f>'Ingest Template'!D999</f>
        <v/>
      </c>
      <c r="S999" s="22" t="s">
        <v>101</v>
      </c>
      <c r="T999" s="35" t="str">
        <f>'Ingest Template'!V999</f>
        <v/>
      </c>
      <c r="U999" s="35" t="str">
        <f>'Ingest Template'!W999</f>
        <v/>
      </c>
      <c r="V999" s="35" t="str">
        <f>LOWER(SUBSTITUTE(SUBSTITUTE(SUBSTITUTE(SUBSTITUTE(SUBSTITUTE('Ingest Template'!X999,"https:",""),"www.",""),"/",""),"?hl=en",""),"instagram.com",""))</f>
        <v/>
      </c>
      <c r="W999" s="74" t="str">
        <f t="array" ref="W999">IF(
'Ingest Template'!Y999="",
SUBSTITUTE(
INDEX(DropdownLists!$F$2:$F$277,MATCH('Ingest Template'!D999,DropdownLists!$C$2:$C$277,0)),
CHAR(10),
"|"&amp;'Ingest Template'!C999&amp;CHAR(10)
)&amp;"|"&amp;'Ingest Template'!C999,
SUBSTITUTE(
INDEX(DropdownLists!$F$2:$F$277,MATCH('Ingest Template'!D999,DropdownLists!$C$2:$C$277,0)),
CHAR(10),
"|"&amp;'Ingest Template'!C999&amp;CHAR(10)
)&amp;"|"&amp;'Ingest Template'!C999&amp;CHAR(10)&amp;'Ingest Template'!Y999
)</f>
        <v>#N/A</v>
      </c>
      <c r="X999" s="74" t="str">
        <f>'Ingest Template'!Z999</f>
        <v/>
      </c>
      <c r="Y999" s="35" t="str">
        <f>SUBSTITUTE(SUBSTITUTE(SUBSTITUTE('Ingest Template'!AA999,"http:",""),"https:",""),"/","")</f>
        <v/>
      </c>
      <c r="Z999" s="35" t="str">
        <f t="array" ref="Z999">IF('Ingest Template'!A999="Standard",(IF(ISBLANK('Ingest Template'!AB999),"", 'Ingest Template'!AB999&amp;"|DAR")),(IF(ISBLANK('Ingest Template'!AB999),"", 'Ingest Template'!AB999&amp;"|TV Ops")))</f>
        <v/>
      </c>
      <c r="AA999" s="35"/>
      <c r="AB999" s="35" t="str">
        <f>'Ingest Template'!R999</f>
        <v/>
      </c>
      <c r="AC999" s="35" t="str">
        <f>'Ingest Template'!T999</f>
        <v/>
      </c>
      <c r="AD999" s="35" t="str">
        <f>'Ingest Template'!S999</f>
        <v/>
      </c>
      <c r="AE999" s="35" t="str">
        <f>'Ingest Template'!U999</f>
        <v/>
      </c>
      <c r="AF999" s="22"/>
      <c r="AG999" s="35" t="str">
        <f t="array" ref="AG999">IF('Ingest Template'!A999="Standard",(CONCATENATE(IF(ISBLANK('Ingest Template'!N999),"", 'Ingest Template'!N999&amp;"|DAR"),CHAR(10), IF(ISBLANK('Ingest Template'!O999),"", 'Ingest Template'!O999&amp;"|DAR"),CHAR(10), IF(ISBLANK('Ingest Template'!P999),"", 'Ingest Template'!P999&amp;"|DAR"))),(CONCATENATE(IF(ISBLANK('Ingest Template'!N999),"", 'Ingest Template'!N999&amp;"|TV Ops"),CHAR(10), IF(ISBLANK('Ingest Template'!O999),"", 'Ingest Template'!O999&amp;"|TV Ops"),CHAR(10), IF(ISBLANK('Ingest Template'!P999),"", 'Ingest Template'!P999&amp;"|TV Ops"))))</f>
        <v>
</v>
      </c>
      <c r="AH999" s="35"/>
      <c r="AI999" s="35"/>
      <c r="AJ999" s="117" t="str">
        <f>if('Ingest Template'!A999="Standard",(IF(OR('Ingest Template'!F999 = "Program Type - Special", 'Ingest Template'!F999 = "Program Type - Live Event"),'Ingest Template'!M999&amp; "|DAR|DAR|"&amp;TEXT('Ingest Template'!C999-3, "yyyy-mm-dd")&amp;"|"&amp;TEXT('Ingest Template'!C999+3, "yyyy-mm-dd"),'Ingest Template'!M999&amp; "|DAR|DAR|2021-01-01")),(IF(OR('Ingest Template'!F999 = "Program Type - Special", 'Ingest Template'!F999 = "Program Type - Live Event"),'Ingest Template'!M999&amp; "|Operations - Core Title|Operations - Core Title|"&amp;TEXT('Ingest Template'!C999-3, "yyyy-mm-dd")&amp;"|"&amp;TEXT('Ingest Template'!C999+3, "yyyy-mm-dd"),'Ingest Template'!M999&amp; "|Operations - Core Title|Operations - Core Title")))</f>
        <v>|Operations - Core Title|Operations - Core Title</v>
      </c>
      <c r="AK999" s="35"/>
      <c r="AL999" s="117" t="str">
        <f>if('Ingest Template'!A999="Standard",(IF(OR('Ingest Template'!F999 = "Program Type - Special", 'Ingest Template'!F999 = "Program Type - Live Event"),'Ingest Template'!Q999&amp;"|"&amp;TEXT('Ingest Template'!C999-3, "yyyy-mm-dd")&amp;"|"&amp;TEXT('Ingest Template'!C999+3, "yyyy-mm-dd"),'Ingest Template'!Q999&amp; "|2021-01-01")),(IF(OR('Ingest Template'!F999 = "Program Type - Special", 'Ingest Template'!F999 = "Program Type - Live Event"),'Ingest Template'!Q999&amp; "|"&amp;TEXT('Ingest Template'!C999-3, "yyyy-mm-dd")&amp;"|"&amp;TEXT('Ingest Template'!C999+3, "yyyy-mm-dd"),'Ingest Template'!Q999)))</f>
        <v/>
      </c>
      <c r="AM999" s="35" t="str">
        <f>'Ingest Template'!AC999</f>
        <v/>
      </c>
    </row>
    <row r="1000">
      <c r="A1000" s="15"/>
      <c r="B1000" s="22" t="str">
        <f>'Ingest Template'!C1000&amp;IF('Ingest Template'!A1000 = "Standard", " - DAR","")</f>
        <v/>
      </c>
      <c r="C1000" s="22" t="s">
        <v>83</v>
      </c>
      <c r="D1000" s="22" t="str">
        <f t="array" ref="D1000">CONCATENATE(INDEX(DropdownLists!$H$2:$H$11,MATCH(1,COUNTIF('Ingest Template'!E1000,"*"&amp;DropdownLists!$I$2:$I$11&amp;"*"),0)),CHAR(10),'Ingest Template'!F1000,CHAR(10),'Ingest Template'!G1000,CHAR(10),VLOOKUP('Ingest Template'!D1000,DropdownLists!C:D,2,FALSE))</f>
        <v>#N/A</v>
      </c>
      <c r="E1000" s="22" t="str">
        <f>CONCATENATE('Ingest Template'!H1000,CHAR(10),'Ingest Template'!I1000,CHAR(10),'Ingest Template'!J1000,CHAR(10))</f>
        <v>
</v>
      </c>
      <c r="F1000" s="35" t="str">
        <f t="array" ref="F1000">INDEX(DropdownLists!$O$2:$O$36,MATCH(1,COUNTIF(E1000,"*"&amp;DropdownLists!$N$2:$N$36&amp;"*"),0))</f>
        <v/>
      </c>
      <c r="G1000" s="35"/>
      <c r="H1000" s="22" t="str">
        <f t="array" ref="H1000">INDEX(DropdownLists!$E$2:$E$276,MATCH('Ingest Template'!D1000,DropdownLists!$C$2:$C$276,0))</f>
        <v>#N/A</v>
      </c>
      <c r="I1000" s="22"/>
      <c r="J1000" s="22" t="str">
        <f t="array" ref="J1000">iF('Ingest Template'!A1000="Standard","Pristine Brand",INDEX(DropdownLists!$B$2:$B$246,MATCH('Ingest Template'!D1000,DropdownLists!$C$2:$C$246,0)))</f>
        <v>#N/A</v>
      </c>
      <c r="K1000" s="22" t="str">
        <f>iF('Ingest Template'!A1000="Standard",'Ingest Template'!K1000&amp;CHAR(10)&amp;'Ingest Template'!L1000,"Competitive View")</f>
        <v>Competitive View</v>
      </c>
      <c r="L1000" s="22" t="s">
        <v>95</v>
      </c>
      <c r="M1000" s="45" t="str">
        <f>'Ingest Template'!B1000</f>
        <v/>
      </c>
      <c r="N1000" s="35"/>
      <c r="O1000" s="35"/>
      <c r="P1000" s="35"/>
      <c r="Q1000" s="35"/>
      <c r="R1000" s="35" t="str">
        <f>'Ingest Template'!D1000</f>
        <v/>
      </c>
      <c r="S1000" s="22" t="s">
        <v>101</v>
      </c>
      <c r="T1000" s="35" t="str">
        <f>'Ingest Template'!V1000</f>
        <v/>
      </c>
      <c r="U1000" s="35" t="str">
        <f>'Ingest Template'!W1000</f>
        <v/>
      </c>
      <c r="V1000" s="35" t="str">
        <f>LOWER(SUBSTITUTE(SUBSTITUTE(SUBSTITUTE(SUBSTITUTE(SUBSTITUTE('Ingest Template'!X1000,"https:",""),"www.",""),"/",""),"?hl=en",""),"instagram.com",""))</f>
        <v/>
      </c>
      <c r="W1000" s="74" t="str">
        <f t="array" ref="W1000">IF(
'Ingest Template'!Y1000="",
SUBSTITUTE(
INDEX(DropdownLists!$F$2:$F$277,MATCH('Ingest Template'!D1000,DropdownLists!$C$2:$C$277,0)),
CHAR(10),
"|"&amp;'Ingest Template'!C1000&amp;CHAR(10)
)&amp;"|"&amp;'Ingest Template'!C1000,
SUBSTITUTE(
INDEX(DropdownLists!$F$2:$F$277,MATCH('Ingest Template'!D1000,DropdownLists!$C$2:$C$277,0)),
CHAR(10),
"|"&amp;'Ingest Template'!C1000&amp;CHAR(10)
)&amp;"|"&amp;'Ingest Template'!C1000&amp;CHAR(10)&amp;'Ingest Template'!Y1000
)</f>
        <v>#N/A</v>
      </c>
      <c r="X1000" s="74" t="str">
        <f>'Ingest Template'!Z1000</f>
        <v/>
      </c>
      <c r="Y1000" s="35" t="str">
        <f>SUBSTITUTE(SUBSTITUTE(SUBSTITUTE('Ingest Template'!AA1000,"http:",""),"https:",""),"/","")</f>
        <v/>
      </c>
      <c r="Z1000" s="35" t="str">
        <f t="array" ref="Z1000">IF('Ingest Template'!A1000="Standard",(IF(ISBLANK('Ingest Template'!AB1000),"", 'Ingest Template'!AB1000&amp;"|DAR")),(IF(ISBLANK('Ingest Template'!AB1000),"", 'Ingest Template'!AB1000&amp;"|TV Ops")))</f>
        <v/>
      </c>
      <c r="AA1000" s="35"/>
      <c r="AB1000" s="35" t="str">
        <f>'Ingest Template'!R1000</f>
        <v/>
      </c>
      <c r="AC1000" s="35" t="str">
        <f>'Ingest Template'!T1000</f>
        <v/>
      </c>
      <c r="AD1000" s="35" t="str">
        <f>'Ingest Template'!S1000</f>
        <v/>
      </c>
      <c r="AE1000" s="35" t="str">
        <f>'Ingest Template'!U1000</f>
        <v/>
      </c>
      <c r="AF1000" s="22"/>
      <c r="AG1000" s="35" t="str">
        <f t="array" ref="AG1000">IF('Ingest Template'!A1000="Standard",(CONCATENATE(IF(ISBLANK('Ingest Template'!N1000),"", 'Ingest Template'!N1000&amp;"|DAR"),CHAR(10), IF(ISBLANK('Ingest Template'!O1000),"", 'Ingest Template'!O1000&amp;"|DAR"),CHAR(10), IF(ISBLANK('Ingest Template'!P1000),"", 'Ingest Template'!P1000&amp;"|DAR"))),(CONCATENATE(IF(ISBLANK('Ingest Template'!N1000),"", 'Ingest Template'!N1000&amp;"|TV Ops"),CHAR(10), IF(ISBLANK('Ingest Template'!O1000),"", 'Ingest Template'!O1000&amp;"|TV Ops"),CHAR(10), IF(ISBLANK('Ingest Template'!P1000),"", 'Ingest Template'!P1000&amp;"|TV Ops"))))</f>
        <v>
</v>
      </c>
      <c r="AH1000" s="35"/>
      <c r="AI1000" s="35"/>
      <c r="AJ1000" s="117" t="str">
        <f>if('Ingest Template'!A1000="Standard",(IF(OR('Ingest Template'!F1000 = "Program Type - Special", 'Ingest Template'!F1000 = "Program Type - Live Event"),'Ingest Template'!M1000&amp; "|DAR|DAR|"&amp;TEXT('Ingest Template'!C1000-3, "yyyy-mm-dd")&amp;"|"&amp;TEXT('Ingest Template'!C1000+3, "yyyy-mm-dd"),'Ingest Template'!M1000&amp; "|DAR|DAR|2021-01-01")),(IF(OR('Ingest Template'!F1000 = "Program Type - Special", 'Ingest Template'!F1000 = "Program Type - Live Event"),'Ingest Template'!M1000&amp; "|Operations - Core Title|Operations - Core Title|"&amp;TEXT('Ingest Template'!C1000-3, "yyyy-mm-dd")&amp;"|"&amp;TEXT('Ingest Template'!C1000+3, "yyyy-mm-dd"),'Ingest Template'!M1000&amp; "|Operations - Core Title|Operations - Core Title")))</f>
        <v>|Operations - Core Title|Operations - Core Title</v>
      </c>
      <c r="AK1000" s="35"/>
      <c r="AL1000" s="117" t="str">
        <f>if('Ingest Template'!A1000="Standard",(IF(OR('Ingest Template'!F1000 = "Program Type - Special", 'Ingest Template'!F1000 = "Program Type - Live Event"),'Ingest Template'!Q1000&amp;"|"&amp;TEXT('Ingest Template'!C1000-3, "yyyy-mm-dd")&amp;"|"&amp;TEXT('Ingest Template'!C1000+3, "yyyy-mm-dd"),'Ingest Template'!Q1000&amp; "|2021-01-01")),(IF(OR('Ingest Template'!F1000 = "Program Type - Special", 'Ingest Template'!F1000 = "Program Type - Live Event"),'Ingest Template'!Q1000&amp; "|"&amp;TEXT('Ingest Template'!C1000-3, "yyyy-mm-dd")&amp;"|"&amp;TEXT('Ingest Template'!C1000+3, "yyyy-mm-dd"),'Ingest Template'!Q1000)))</f>
        <v/>
      </c>
      <c r="AM1000" s="35" t="str">
        <f>'Ingest Template'!AC1000</f>
        <v/>
      </c>
    </row>
    <row r="1001">
      <c r="A1001" s="15"/>
      <c r="B1001" s="22" t="str">
        <f>'Ingest Template'!C1001&amp;IF('Ingest Template'!A1001 = "Standard", " - DAR","")</f>
        <v/>
      </c>
      <c r="C1001" s="22" t="s">
        <v>83</v>
      </c>
      <c r="D1001" s="22" t="str">
        <f t="array" ref="D1001">CONCATENATE(INDEX(DropdownLists!$H$2:$H$11,MATCH(1,COUNTIF('Ingest Template'!E1001,"*"&amp;DropdownLists!$I$2:$I$11&amp;"*"),0)),CHAR(10),'Ingest Template'!F1001,CHAR(10),'Ingest Template'!G1001,CHAR(10),VLOOKUP('Ingest Template'!D1001,DropdownLists!C:D,2,FALSE))</f>
        <v>#N/A</v>
      </c>
      <c r="E1001" s="22" t="str">
        <f>CONCATENATE('Ingest Template'!H1001,CHAR(10),'Ingest Template'!I1001,CHAR(10),'Ingest Template'!J1001,CHAR(10))</f>
        <v>
</v>
      </c>
      <c r="F1001" s="35" t="str">
        <f t="array" ref="F1001">INDEX(DropdownLists!$O$2:$O$36,MATCH(1,COUNTIF(E1001,"*"&amp;DropdownLists!$N$2:$N$36&amp;"*"),0))</f>
        <v/>
      </c>
      <c r="G1001" s="35"/>
      <c r="H1001" s="22" t="str">
        <f t="array" ref="H1001">INDEX(DropdownLists!$E$2:$E$276,MATCH('Ingest Template'!D1001,DropdownLists!$C$2:$C$276,0))</f>
        <v>#N/A</v>
      </c>
      <c r="I1001" s="22"/>
      <c r="J1001" s="22" t="str">
        <f t="array" ref="J1001">iF('Ingest Template'!A1001="Standard","Pristine Brand",INDEX(DropdownLists!$B$2:$B$246,MATCH('Ingest Template'!D1001,DropdownLists!$C$2:$C$246,0)))</f>
        <v>#N/A</v>
      </c>
      <c r="K1001" s="22" t="str">
        <f>iF('Ingest Template'!A1001="Standard",'Ingest Template'!K1001&amp;CHAR(10)&amp;'Ingest Template'!L1001,"Competitive View")</f>
        <v>Competitive View</v>
      </c>
      <c r="L1001" s="22" t="s">
        <v>95</v>
      </c>
      <c r="M1001" s="45" t="str">
        <f>'Ingest Template'!B1001</f>
        <v/>
      </c>
      <c r="N1001" s="35"/>
      <c r="O1001" s="35"/>
      <c r="P1001" s="35"/>
      <c r="Q1001" s="35"/>
      <c r="R1001" s="35" t="str">
        <f>'Ingest Template'!D1001</f>
        <v/>
      </c>
      <c r="S1001" s="22" t="s">
        <v>101</v>
      </c>
      <c r="T1001" s="35" t="str">
        <f>'Ingest Template'!V1001</f>
        <v/>
      </c>
      <c r="U1001" s="35" t="str">
        <f>'Ingest Template'!W1001</f>
        <v/>
      </c>
      <c r="V1001" s="35" t="str">
        <f>LOWER(SUBSTITUTE(SUBSTITUTE(SUBSTITUTE(SUBSTITUTE(SUBSTITUTE('Ingest Template'!X1001,"https:",""),"www.",""),"/",""),"?hl=en",""),"instagram.com",""))</f>
        <v/>
      </c>
      <c r="W1001" s="74" t="str">
        <f t="array" ref="W1001">IF(
'Ingest Template'!Y1001="",
SUBSTITUTE(
INDEX(DropdownLists!$F$2:$F$277,MATCH('Ingest Template'!D1001,DropdownLists!$C$2:$C$277,0)),
CHAR(10),
"|"&amp;'Ingest Template'!C1001&amp;CHAR(10)
)&amp;"|"&amp;'Ingest Template'!C1001,
SUBSTITUTE(
INDEX(DropdownLists!$F$2:$F$277,MATCH('Ingest Template'!D1001,DropdownLists!$C$2:$C$277,0)),
CHAR(10),
"|"&amp;'Ingest Template'!C1001&amp;CHAR(10)
)&amp;"|"&amp;'Ingest Template'!C1001&amp;CHAR(10)&amp;'Ingest Template'!Y1001
)</f>
        <v>#N/A</v>
      </c>
      <c r="X1001" s="74" t="str">
        <f>'Ingest Template'!Z1001</f>
        <v/>
      </c>
      <c r="Y1001" s="35" t="str">
        <f>SUBSTITUTE(SUBSTITUTE(SUBSTITUTE('Ingest Template'!AA1001,"http:",""),"https:",""),"/","")</f>
        <v/>
      </c>
      <c r="Z1001" s="35" t="str">
        <f t="array" ref="Z1001">IF('Ingest Template'!A1001="Standard",(IF(ISBLANK('Ingest Template'!AB1001),"", 'Ingest Template'!AB1001&amp;"|DAR")),(IF(ISBLANK('Ingest Template'!AB1001),"", 'Ingest Template'!AB1001&amp;"|TV Ops")))</f>
        <v/>
      </c>
      <c r="AA1001" s="35"/>
      <c r="AB1001" s="35" t="str">
        <f>'Ingest Template'!R1001</f>
        <v/>
      </c>
      <c r="AC1001" s="35" t="str">
        <f>'Ingest Template'!T1001</f>
        <v/>
      </c>
      <c r="AD1001" s="35" t="str">
        <f>'Ingest Template'!S1001</f>
        <v/>
      </c>
      <c r="AE1001" s="35" t="str">
        <f>'Ingest Template'!U1001</f>
        <v/>
      </c>
      <c r="AF1001" s="22"/>
      <c r="AG1001" s="35" t="str">
        <f t="array" ref="AG1001">IF('Ingest Template'!A1001="Standard",(CONCATENATE(IF(ISBLANK('Ingest Template'!N1001),"", 'Ingest Template'!N1001&amp;"|DAR"),CHAR(10), IF(ISBLANK('Ingest Template'!O1001),"", 'Ingest Template'!O1001&amp;"|DAR"),CHAR(10), IF(ISBLANK('Ingest Template'!P1001),"", 'Ingest Template'!P1001&amp;"|DAR"))),(CONCATENATE(IF(ISBLANK('Ingest Template'!N1001),"", 'Ingest Template'!N1001&amp;"|TV Ops"),CHAR(10), IF(ISBLANK('Ingest Template'!O1001),"", 'Ingest Template'!O1001&amp;"|TV Ops"),CHAR(10), IF(ISBLANK('Ingest Template'!P1001),"", 'Ingest Template'!P1001&amp;"|TV Ops"))))</f>
        <v>
</v>
      </c>
      <c r="AH1001" s="35"/>
      <c r="AI1001" s="35"/>
      <c r="AJ1001" s="117" t="str">
        <f>if('Ingest Template'!A1001="Standard",(IF(OR('Ingest Template'!F1001 = "Program Type - Special", 'Ingest Template'!F1001 = "Program Type - Live Event"),'Ingest Template'!M1001&amp; "|DAR|DAR|"&amp;TEXT('Ingest Template'!C1001-3, "yyyy-mm-dd")&amp;"|"&amp;TEXT('Ingest Template'!C1001+3, "yyyy-mm-dd"),'Ingest Template'!M1001&amp; "|DAR|DAR|2021-01-01")),(IF(OR('Ingest Template'!F1001 = "Program Type - Special", 'Ingest Template'!F1001 = "Program Type - Live Event"),'Ingest Template'!M1001&amp; "|Operations - Core Title|Operations - Core Title|"&amp;TEXT('Ingest Template'!C1001-3, "yyyy-mm-dd")&amp;"|"&amp;TEXT('Ingest Template'!C1001+3, "yyyy-mm-dd"),'Ingest Template'!M1001&amp; "|Operations - Core Title|Operations - Core Title")))</f>
        <v>|Operations - Core Title|Operations - Core Title</v>
      </c>
      <c r="AK1001" s="35"/>
      <c r="AL1001" s="117" t="str">
        <f>if('Ingest Template'!A1001="Standard",(IF(OR('Ingest Template'!F1001 = "Program Type - Special", 'Ingest Template'!F1001 = "Program Type - Live Event"),'Ingest Template'!Q1001&amp;"|"&amp;TEXT('Ingest Template'!C1001-3, "yyyy-mm-dd")&amp;"|"&amp;TEXT('Ingest Template'!C1001+3, "yyyy-mm-dd"),'Ingest Template'!Q1001&amp; "|2021-01-01")),(IF(OR('Ingest Template'!F1001 = "Program Type - Special", 'Ingest Template'!F1001 = "Program Type - Live Event"),'Ingest Template'!Q1001&amp; "|"&amp;TEXT('Ingest Template'!C1001-3, "yyyy-mm-dd")&amp;"|"&amp;TEXT('Ingest Template'!C1001+3, "yyyy-mm-dd"),'Ingest Template'!Q1001)))</f>
        <v/>
      </c>
      <c r="AM1001" s="35" t="str">
        <f>'Ingest Template'!AC1001</f>
        <v/>
      </c>
    </row>
    <row r="1002">
      <c r="A1002" s="15"/>
      <c r="B1002" s="22" t="str">
        <f>'Ingest Template'!C1002&amp;IF('Ingest Template'!A1002 = "Standard", " - DAR","")</f>
        <v/>
      </c>
      <c r="C1002" s="22" t="s">
        <v>83</v>
      </c>
      <c r="D1002" s="22" t="str">
        <f t="array" ref="D1002">CONCATENATE(INDEX(DropdownLists!$H$2:$H$11,MATCH(1,COUNTIF('Ingest Template'!E1002,"*"&amp;DropdownLists!$I$2:$I$11&amp;"*"),0)),CHAR(10),'Ingest Template'!F1002,CHAR(10),'Ingest Template'!G1002,CHAR(10),VLOOKUP('Ingest Template'!D1002,DropdownLists!C:D,2,FALSE))</f>
        <v>#N/A</v>
      </c>
      <c r="E1002" s="22" t="str">
        <f>CONCATENATE('Ingest Template'!H1002,CHAR(10),'Ingest Template'!I1002,CHAR(10),'Ingest Template'!J1002,CHAR(10))</f>
        <v>
</v>
      </c>
      <c r="F1002" s="35" t="str">
        <f t="array" ref="F1002">INDEX(DropdownLists!$O$2:$O$36,MATCH(1,COUNTIF(E1002,"*"&amp;DropdownLists!$N$2:$N$36&amp;"*"),0))</f>
        <v/>
      </c>
      <c r="G1002" s="35"/>
      <c r="H1002" s="22" t="str">
        <f t="array" ref="H1002">INDEX(DropdownLists!$E$2:$E$276,MATCH('Ingest Template'!D1002,DropdownLists!$C$2:$C$276,0))</f>
        <v>#N/A</v>
      </c>
      <c r="I1002" s="22"/>
      <c r="J1002" s="22" t="str">
        <f t="array" ref="J1002">iF('Ingest Template'!A1002="Standard","Pristine Brand",INDEX(DropdownLists!$B$2:$B$246,MATCH('Ingest Template'!D1002,DropdownLists!$C$2:$C$246,0)))</f>
        <v>#N/A</v>
      </c>
      <c r="K1002" s="22" t="str">
        <f>iF('Ingest Template'!A1002="Standard",'Ingest Template'!K1002&amp;CHAR(10)&amp;'Ingest Template'!L1002,"Competitive View")</f>
        <v>Competitive View</v>
      </c>
      <c r="L1002" s="22" t="s">
        <v>95</v>
      </c>
      <c r="M1002" s="45" t="str">
        <f>'Ingest Template'!B1002</f>
        <v/>
      </c>
      <c r="N1002" s="35"/>
      <c r="O1002" s="35"/>
      <c r="P1002" s="35"/>
      <c r="Q1002" s="35"/>
      <c r="R1002" s="35" t="str">
        <f>'Ingest Template'!D1002</f>
        <v/>
      </c>
      <c r="S1002" s="22" t="s">
        <v>101</v>
      </c>
      <c r="T1002" s="35" t="str">
        <f>'Ingest Template'!V1002</f>
        <v/>
      </c>
      <c r="U1002" s="35" t="str">
        <f>'Ingest Template'!W1002</f>
        <v/>
      </c>
      <c r="V1002" s="35" t="str">
        <f>LOWER(SUBSTITUTE(SUBSTITUTE(SUBSTITUTE(SUBSTITUTE(SUBSTITUTE('Ingest Template'!X1002,"https:",""),"www.",""),"/",""),"?hl=en",""),"instagram.com",""))</f>
        <v/>
      </c>
      <c r="W1002" s="74" t="str">
        <f t="array" ref="W1002">IF(
'Ingest Template'!Y1002="",
SUBSTITUTE(
INDEX(DropdownLists!$F$2:$F$277,MATCH('Ingest Template'!D1002,DropdownLists!$C$2:$C$277,0)),
CHAR(10),
"|"&amp;'Ingest Template'!C1002&amp;CHAR(10)
)&amp;"|"&amp;'Ingest Template'!C1002,
SUBSTITUTE(
INDEX(DropdownLists!$F$2:$F$277,MATCH('Ingest Template'!D1002,DropdownLists!$C$2:$C$277,0)),
CHAR(10),
"|"&amp;'Ingest Template'!C1002&amp;CHAR(10)
)&amp;"|"&amp;'Ingest Template'!C1002&amp;CHAR(10)&amp;'Ingest Template'!Y1002
)</f>
        <v>#N/A</v>
      </c>
      <c r="X1002" s="74" t="str">
        <f>'Ingest Template'!Z1002</f>
        <v/>
      </c>
      <c r="Y1002" s="35" t="str">
        <f>SUBSTITUTE(SUBSTITUTE(SUBSTITUTE('Ingest Template'!AA1002,"http:",""),"https:",""),"/","")</f>
        <v/>
      </c>
      <c r="Z1002" s="35" t="str">
        <f t="array" ref="Z1002">IF('Ingest Template'!A1002="Standard",(IF(ISBLANK('Ingest Template'!AB1002),"", 'Ingest Template'!AB1002&amp;"|DAR")),(IF(ISBLANK('Ingest Template'!AB1002),"", 'Ingest Template'!AB1002&amp;"|TV Ops")))</f>
        <v/>
      </c>
      <c r="AA1002" s="35"/>
      <c r="AB1002" s="35" t="str">
        <f>'Ingest Template'!R1002</f>
        <v/>
      </c>
      <c r="AC1002" s="35" t="str">
        <f>'Ingest Template'!T1002</f>
        <v/>
      </c>
      <c r="AD1002" s="35" t="str">
        <f>'Ingest Template'!S1002</f>
        <v/>
      </c>
      <c r="AE1002" s="35" t="str">
        <f>'Ingest Template'!U1002</f>
        <v/>
      </c>
      <c r="AF1002" s="22"/>
      <c r="AG1002" s="35" t="str">
        <f t="array" ref="AG1002">IF('Ingest Template'!A1002="Standard",(CONCATENATE(IF(ISBLANK('Ingest Template'!N1002),"", 'Ingest Template'!N1002&amp;"|DAR"),CHAR(10), IF(ISBLANK('Ingest Template'!O1002),"", 'Ingest Template'!O1002&amp;"|DAR"),CHAR(10), IF(ISBLANK('Ingest Template'!P1002),"", 'Ingest Template'!P1002&amp;"|DAR"))),(CONCATENATE(IF(ISBLANK('Ingest Template'!N1002),"", 'Ingest Template'!N1002&amp;"|TV Ops"),CHAR(10), IF(ISBLANK('Ingest Template'!O1002),"", 'Ingest Template'!O1002&amp;"|TV Ops"),CHAR(10), IF(ISBLANK('Ingest Template'!P1002),"", 'Ingest Template'!P1002&amp;"|TV Ops"))))</f>
        <v>
</v>
      </c>
      <c r="AH1002" s="35"/>
      <c r="AI1002" s="35"/>
      <c r="AJ1002" s="117" t="str">
        <f>if('Ingest Template'!A1002="Standard",(IF(OR('Ingest Template'!F1002 = "Program Type - Special", 'Ingest Template'!F1002 = "Program Type - Live Event"),'Ingest Template'!M1002&amp; "|DAR|DAR|"&amp;TEXT('Ingest Template'!C1002-3, "yyyy-mm-dd")&amp;"|"&amp;TEXT('Ingest Template'!C1002+3, "yyyy-mm-dd"),'Ingest Template'!M1002&amp; "|DAR|DAR|2021-01-01")),(IF(OR('Ingest Template'!F1002 = "Program Type - Special", 'Ingest Template'!F1002 = "Program Type - Live Event"),'Ingest Template'!M1002&amp; "|Operations - Core Title|Operations - Core Title|"&amp;TEXT('Ingest Template'!C1002-3, "yyyy-mm-dd")&amp;"|"&amp;TEXT('Ingest Template'!C1002+3, "yyyy-mm-dd"),'Ingest Template'!M1002&amp; "|Operations - Core Title|Operations - Core Title")))</f>
        <v>|Operations - Core Title|Operations - Core Title</v>
      </c>
      <c r="AK1002" s="35"/>
      <c r="AL1002" s="117" t="str">
        <f>if('Ingest Template'!A1002="Standard",(IF(OR('Ingest Template'!F1002 = "Program Type - Special", 'Ingest Template'!F1002 = "Program Type - Live Event"),'Ingest Template'!Q1002&amp;"|"&amp;TEXT('Ingest Template'!C1002-3, "yyyy-mm-dd")&amp;"|"&amp;TEXT('Ingest Template'!C1002+3, "yyyy-mm-dd"),'Ingest Template'!Q1002&amp; "|2021-01-01")),(IF(OR('Ingest Template'!F1002 = "Program Type - Special", 'Ingest Template'!F1002 = "Program Type - Live Event"),'Ingest Template'!Q1002&amp; "|"&amp;TEXT('Ingest Template'!C1002-3, "yyyy-mm-dd")&amp;"|"&amp;TEXT('Ingest Template'!C1002+3, "yyyy-mm-dd"),'Ingest Template'!Q1002)))</f>
        <v/>
      </c>
      <c r="AM1002" s="35" t="str">
        <f>'Ingest Template'!AC1002</f>
        <v/>
      </c>
    </row>
    <row r="1003">
      <c r="A1003" s="15"/>
      <c r="B1003" s="22" t="str">
        <f>'Ingest Template'!C1003&amp;IF('Ingest Template'!A1003 = "Standard", " - DAR","")</f>
        <v/>
      </c>
      <c r="C1003" s="22" t="s">
        <v>83</v>
      </c>
      <c r="D1003" s="22" t="str">
        <f t="array" ref="D1003">CONCATENATE(INDEX(DropdownLists!$H$2:$H$11,MATCH(1,COUNTIF('Ingest Template'!E1003,"*"&amp;DropdownLists!$I$2:$I$11&amp;"*"),0)),CHAR(10),'Ingest Template'!F1003,CHAR(10),'Ingest Template'!G1003,CHAR(10),VLOOKUP('Ingest Template'!D1003,DropdownLists!C:D,2,FALSE))</f>
        <v>#N/A</v>
      </c>
      <c r="E1003" s="22" t="str">
        <f>CONCATENATE('Ingest Template'!H1003,CHAR(10),'Ingest Template'!I1003,CHAR(10),'Ingest Template'!J1003,CHAR(10))</f>
        <v>
</v>
      </c>
      <c r="F1003" s="35" t="str">
        <f t="array" ref="F1003">INDEX(DropdownLists!$O$2:$O$36,MATCH(1,COUNTIF(E1003,"*"&amp;DropdownLists!$N$2:$N$36&amp;"*"),0))</f>
        <v/>
      </c>
      <c r="G1003" s="35"/>
      <c r="H1003" s="22" t="str">
        <f t="array" ref="H1003">INDEX(DropdownLists!$E$2:$E$276,MATCH('Ingest Template'!D1003,DropdownLists!$C$2:$C$276,0))</f>
        <v>#N/A</v>
      </c>
      <c r="I1003" s="22"/>
      <c r="J1003" s="22" t="str">
        <f t="array" ref="J1003">iF('Ingest Template'!A1003="Standard","Pristine Brand",INDEX(DropdownLists!$B$2:$B$246,MATCH('Ingest Template'!D1003,DropdownLists!$C$2:$C$246,0)))</f>
        <v>#N/A</v>
      </c>
      <c r="K1003" s="22" t="str">
        <f>iF('Ingest Template'!A1003="Standard",'Ingest Template'!K1003&amp;CHAR(10)&amp;'Ingest Template'!L1003,"Competitive View")</f>
        <v>Competitive View</v>
      </c>
      <c r="L1003" s="22" t="s">
        <v>95</v>
      </c>
      <c r="M1003" s="45" t="str">
        <f>'Ingest Template'!B1003</f>
        <v/>
      </c>
      <c r="N1003" s="35"/>
      <c r="O1003" s="35"/>
      <c r="P1003" s="35"/>
      <c r="Q1003" s="35"/>
      <c r="R1003" s="35" t="str">
        <f>'Ingest Template'!D1003</f>
        <v/>
      </c>
      <c r="S1003" s="22" t="s">
        <v>101</v>
      </c>
      <c r="T1003" s="35" t="str">
        <f>'Ingest Template'!V1003</f>
        <v/>
      </c>
      <c r="U1003" s="35" t="str">
        <f>'Ingest Template'!W1003</f>
        <v/>
      </c>
      <c r="V1003" s="35" t="str">
        <f>LOWER(SUBSTITUTE(SUBSTITUTE(SUBSTITUTE(SUBSTITUTE(SUBSTITUTE('Ingest Template'!X1003,"https:",""),"www.",""),"/",""),"?hl=en",""),"instagram.com",""))</f>
        <v/>
      </c>
      <c r="W1003" s="74" t="str">
        <f t="array" ref="W1003">IF(
'Ingest Template'!Y1003="",
SUBSTITUTE(
INDEX(DropdownLists!$F$2:$F$277,MATCH('Ingest Template'!D1003,DropdownLists!$C$2:$C$277,0)),
CHAR(10),
"|"&amp;'Ingest Template'!C1003&amp;CHAR(10)
)&amp;"|"&amp;'Ingest Template'!C1003,
SUBSTITUTE(
INDEX(DropdownLists!$F$2:$F$277,MATCH('Ingest Template'!D1003,DropdownLists!$C$2:$C$277,0)),
CHAR(10),
"|"&amp;'Ingest Template'!C1003&amp;CHAR(10)
)&amp;"|"&amp;'Ingest Template'!C1003&amp;CHAR(10)&amp;'Ingest Template'!Y1003
)</f>
        <v>#N/A</v>
      </c>
      <c r="X1003" s="74" t="str">
        <f>'Ingest Template'!Z1003</f>
        <v/>
      </c>
      <c r="Y1003" s="35" t="str">
        <f>SUBSTITUTE(SUBSTITUTE(SUBSTITUTE('Ingest Template'!AA1003,"http:",""),"https:",""),"/","")</f>
        <v/>
      </c>
      <c r="Z1003" s="35" t="str">
        <f t="array" ref="Z1003">IF('Ingest Template'!A1003="Standard",(IF(ISBLANK('Ingest Template'!AB1003),"", 'Ingest Template'!AB1003&amp;"|DAR")),(IF(ISBLANK('Ingest Template'!AB1003),"", 'Ingest Template'!AB1003&amp;"|TV Ops")))</f>
        <v/>
      </c>
      <c r="AA1003" s="35"/>
      <c r="AB1003" s="35" t="str">
        <f>'Ingest Template'!R1003</f>
        <v/>
      </c>
      <c r="AC1003" s="35" t="str">
        <f>'Ingest Template'!T1003</f>
        <v/>
      </c>
      <c r="AD1003" s="35" t="str">
        <f>'Ingest Template'!S1003</f>
        <v/>
      </c>
      <c r="AE1003" s="35" t="str">
        <f>'Ingest Template'!U1003</f>
        <v/>
      </c>
      <c r="AF1003" s="22"/>
      <c r="AG1003" s="35" t="str">
        <f t="array" ref="AG1003">IF('Ingest Template'!A1003="Standard",(CONCATENATE(IF(ISBLANK('Ingest Template'!N1003),"", 'Ingest Template'!N1003&amp;"|DAR"),CHAR(10), IF(ISBLANK('Ingest Template'!O1003),"", 'Ingest Template'!O1003&amp;"|DAR"),CHAR(10), IF(ISBLANK('Ingest Template'!P1003),"", 'Ingest Template'!P1003&amp;"|DAR"))),(CONCATENATE(IF(ISBLANK('Ingest Template'!N1003),"", 'Ingest Template'!N1003&amp;"|TV Ops"),CHAR(10), IF(ISBLANK('Ingest Template'!O1003),"", 'Ingest Template'!O1003&amp;"|TV Ops"),CHAR(10), IF(ISBLANK('Ingest Template'!P1003),"", 'Ingest Template'!P1003&amp;"|TV Ops"))))</f>
        <v>
</v>
      </c>
      <c r="AH1003" s="35"/>
      <c r="AI1003" s="35"/>
      <c r="AJ1003" s="117" t="str">
        <f>if('Ingest Template'!A1003="Standard",(IF(OR('Ingest Template'!F1003 = "Program Type - Special", 'Ingest Template'!F1003 = "Program Type - Live Event"),'Ingest Template'!M1003&amp; "|DAR|DAR|"&amp;TEXT('Ingest Template'!C1003-3, "yyyy-mm-dd")&amp;"|"&amp;TEXT('Ingest Template'!C1003+3, "yyyy-mm-dd"),'Ingest Template'!M1003&amp; "|DAR|DAR|2021-01-01")),(IF(OR('Ingest Template'!F1003 = "Program Type - Special", 'Ingest Template'!F1003 = "Program Type - Live Event"),'Ingest Template'!M1003&amp; "|Operations - Core Title|Operations - Core Title|"&amp;TEXT('Ingest Template'!C1003-3, "yyyy-mm-dd")&amp;"|"&amp;TEXT('Ingest Template'!C1003+3, "yyyy-mm-dd"),'Ingest Template'!M1003&amp; "|Operations - Core Title|Operations - Core Title")))</f>
        <v>|Operations - Core Title|Operations - Core Title</v>
      </c>
      <c r="AK1003" s="35"/>
      <c r="AL1003" s="117" t="str">
        <f>if('Ingest Template'!A1003="Standard",(IF(OR('Ingest Template'!F1003 = "Program Type - Special", 'Ingest Template'!F1003 = "Program Type - Live Event"),'Ingest Template'!Q1003&amp;"|"&amp;TEXT('Ingest Template'!C1003-3, "yyyy-mm-dd")&amp;"|"&amp;TEXT('Ingest Template'!C1003+3, "yyyy-mm-dd"),'Ingest Template'!Q1003&amp; "|2021-01-01")),(IF(OR('Ingest Template'!F1003 = "Program Type - Special", 'Ingest Template'!F1003 = "Program Type - Live Event"),'Ingest Template'!Q1003&amp; "|"&amp;TEXT('Ingest Template'!C1003-3, "yyyy-mm-dd")&amp;"|"&amp;TEXT('Ingest Template'!C1003+3, "yyyy-mm-dd"),'Ingest Template'!Q1003)))</f>
        <v/>
      </c>
      <c r="AM1003" s="35" t="str">
        <f>'Ingest Template'!AC1003</f>
        <v/>
      </c>
    </row>
    <row r="1004">
      <c r="A1004" s="15"/>
      <c r="B1004" s="22" t="str">
        <f>'Ingest Template'!C1004&amp;IF('Ingest Template'!A1004 = "Standard", " - DAR","")</f>
        <v/>
      </c>
      <c r="C1004" s="22" t="s">
        <v>83</v>
      </c>
      <c r="D1004" s="22" t="str">
        <f t="array" ref="D1004">CONCATENATE(INDEX(DropdownLists!$H$2:$H$11,MATCH(1,COUNTIF('Ingest Template'!E1004,"*"&amp;DropdownLists!$I$2:$I$11&amp;"*"),0)),CHAR(10),'Ingest Template'!F1004,CHAR(10),'Ingest Template'!G1004,CHAR(10),VLOOKUP('Ingest Template'!D1004,DropdownLists!C:D,2,FALSE))</f>
        <v>#N/A</v>
      </c>
      <c r="E1004" s="22" t="str">
        <f>CONCATENATE('Ingest Template'!H1004,CHAR(10),'Ingest Template'!I1004,CHAR(10),'Ingest Template'!J1004,CHAR(10))</f>
        <v>
</v>
      </c>
      <c r="F1004" s="35" t="str">
        <f t="array" ref="F1004">INDEX(DropdownLists!$O$2:$O$36,MATCH(1,COUNTIF(E1004,"*"&amp;DropdownLists!$N$2:$N$36&amp;"*"),0))</f>
        <v/>
      </c>
      <c r="G1004" s="35"/>
      <c r="H1004" s="22" t="str">
        <f t="array" ref="H1004">INDEX(DropdownLists!$E$2:$E$276,MATCH('Ingest Template'!D1004,DropdownLists!$C$2:$C$276,0))</f>
        <v>#N/A</v>
      </c>
      <c r="I1004" s="22"/>
      <c r="J1004" s="22" t="str">
        <f t="array" ref="J1004">iF('Ingest Template'!A1004="Standard","Pristine Brand",INDEX(DropdownLists!$B$2:$B$246,MATCH('Ingest Template'!D1004,DropdownLists!$C$2:$C$246,0)))</f>
        <v>#N/A</v>
      </c>
      <c r="K1004" s="22" t="str">
        <f>iF('Ingest Template'!A1004="Standard",'Ingest Template'!K1004&amp;CHAR(10)&amp;'Ingest Template'!L1004,"Competitive View")</f>
        <v>Competitive View</v>
      </c>
      <c r="L1004" s="22" t="s">
        <v>95</v>
      </c>
      <c r="M1004" s="45" t="str">
        <f>'Ingest Template'!B1004</f>
        <v/>
      </c>
      <c r="N1004" s="35"/>
      <c r="O1004" s="35"/>
      <c r="P1004" s="35"/>
      <c r="Q1004" s="35"/>
      <c r="R1004" s="35" t="str">
        <f>'Ingest Template'!D1004</f>
        <v/>
      </c>
      <c r="S1004" s="22" t="s">
        <v>101</v>
      </c>
      <c r="T1004" s="35" t="str">
        <f>'Ingest Template'!V1004</f>
        <v/>
      </c>
      <c r="U1004" s="35" t="str">
        <f>'Ingest Template'!W1004</f>
        <v/>
      </c>
      <c r="V1004" s="35" t="str">
        <f>LOWER(SUBSTITUTE(SUBSTITUTE(SUBSTITUTE(SUBSTITUTE(SUBSTITUTE('Ingest Template'!X1004,"https:",""),"www.",""),"/",""),"?hl=en",""),"instagram.com",""))</f>
        <v/>
      </c>
      <c r="W1004" s="74" t="str">
        <f t="array" ref="W1004">IF(
'Ingest Template'!Y1004="",
SUBSTITUTE(
INDEX(DropdownLists!$F$2:$F$277,MATCH('Ingest Template'!D1004,DropdownLists!$C$2:$C$277,0)),
CHAR(10),
"|"&amp;'Ingest Template'!C1004&amp;CHAR(10)
)&amp;"|"&amp;'Ingest Template'!C1004,
SUBSTITUTE(
INDEX(DropdownLists!$F$2:$F$277,MATCH('Ingest Template'!D1004,DropdownLists!$C$2:$C$277,0)),
CHAR(10),
"|"&amp;'Ingest Template'!C1004&amp;CHAR(10)
)&amp;"|"&amp;'Ingest Template'!C1004&amp;CHAR(10)&amp;'Ingest Template'!Y1004
)</f>
        <v>#N/A</v>
      </c>
      <c r="X1004" s="74" t="str">
        <f>'Ingest Template'!Z1004</f>
        <v/>
      </c>
      <c r="Y1004" s="35" t="str">
        <f>SUBSTITUTE(SUBSTITUTE(SUBSTITUTE('Ingest Template'!AA1004,"http:",""),"https:",""),"/","")</f>
        <v/>
      </c>
      <c r="Z1004" s="35" t="str">
        <f t="array" ref="Z1004">IF('Ingest Template'!A1004="Standard",(IF(ISBLANK('Ingest Template'!AB1004),"", 'Ingest Template'!AB1004&amp;"|DAR")),(IF(ISBLANK('Ingest Template'!AB1004),"", 'Ingest Template'!AB1004&amp;"|TV Ops")))</f>
        <v/>
      </c>
      <c r="AA1004" s="35"/>
      <c r="AB1004" s="35" t="str">
        <f>'Ingest Template'!R1004</f>
        <v/>
      </c>
      <c r="AC1004" s="35" t="str">
        <f>'Ingest Template'!T1004</f>
        <v/>
      </c>
      <c r="AD1004" s="35" t="str">
        <f>'Ingest Template'!S1004</f>
        <v/>
      </c>
      <c r="AE1004" s="35" t="str">
        <f>'Ingest Template'!U1004</f>
        <v/>
      </c>
      <c r="AF1004" s="22"/>
      <c r="AG1004" s="35" t="str">
        <f t="array" ref="AG1004">IF('Ingest Template'!A1004="Standard",(CONCATENATE(IF(ISBLANK('Ingest Template'!N1004),"", 'Ingest Template'!N1004&amp;"|DAR"),CHAR(10), IF(ISBLANK('Ingest Template'!O1004),"", 'Ingest Template'!O1004&amp;"|DAR"),CHAR(10), IF(ISBLANK('Ingest Template'!P1004),"", 'Ingest Template'!P1004&amp;"|DAR"))),(CONCATENATE(IF(ISBLANK('Ingest Template'!N1004),"", 'Ingest Template'!N1004&amp;"|TV Ops"),CHAR(10), IF(ISBLANK('Ingest Template'!O1004),"", 'Ingest Template'!O1004&amp;"|TV Ops"),CHAR(10), IF(ISBLANK('Ingest Template'!P1004),"", 'Ingest Template'!P1004&amp;"|TV Ops"))))</f>
        <v>
</v>
      </c>
      <c r="AH1004" s="35"/>
      <c r="AI1004" s="35"/>
      <c r="AJ1004" s="117" t="str">
        <f>if('Ingest Template'!A1004="Standard",(IF(OR('Ingest Template'!F1004 = "Program Type - Special", 'Ingest Template'!F1004 = "Program Type - Live Event"),'Ingest Template'!M1004&amp; "|DAR|DAR|"&amp;TEXT('Ingest Template'!C1004-3, "yyyy-mm-dd")&amp;"|"&amp;TEXT('Ingest Template'!C1004+3, "yyyy-mm-dd"),'Ingest Template'!M1004&amp; "|DAR|DAR|2021-01-01")),(IF(OR('Ingest Template'!F1004 = "Program Type - Special", 'Ingest Template'!F1004 = "Program Type - Live Event"),'Ingest Template'!M1004&amp; "|Operations - Core Title|Operations - Core Title|"&amp;TEXT('Ingest Template'!C1004-3, "yyyy-mm-dd")&amp;"|"&amp;TEXT('Ingest Template'!C1004+3, "yyyy-mm-dd"),'Ingest Template'!M1004&amp; "|Operations - Core Title|Operations - Core Title")))</f>
        <v>|Operations - Core Title|Operations - Core Title</v>
      </c>
      <c r="AK1004" s="35"/>
      <c r="AL1004" s="117" t="str">
        <f>if('Ingest Template'!A1004="Standard",(IF(OR('Ingest Template'!F1004 = "Program Type - Special", 'Ingest Template'!F1004 = "Program Type - Live Event"),'Ingest Template'!Q1004&amp;"|"&amp;TEXT('Ingest Template'!C1004-3, "yyyy-mm-dd")&amp;"|"&amp;TEXT('Ingest Template'!C1004+3, "yyyy-mm-dd"),'Ingest Template'!Q1004&amp; "|2021-01-01")),(IF(OR('Ingest Template'!F1004 = "Program Type - Special", 'Ingest Template'!F1004 = "Program Type - Live Event"),'Ingest Template'!Q1004&amp; "|"&amp;TEXT('Ingest Template'!C1004-3, "yyyy-mm-dd")&amp;"|"&amp;TEXT('Ingest Template'!C1004+3, "yyyy-mm-dd"),'Ingest Template'!Q1004)))</f>
        <v/>
      </c>
      <c r="AM1004" s="35" t="str">
        <f>'Ingest Template'!AC1004</f>
        <v/>
      </c>
    </row>
    <row r="1005">
      <c r="A1005" s="15"/>
      <c r="B1005" s="22" t="str">
        <f>'Ingest Template'!C1005&amp;IF('Ingest Template'!A1005 = "Standard", " - DAR","")</f>
        <v/>
      </c>
      <c r="C1005" s="22" t="s">
        <v>83</v>
      </c>
      <c r="D1005" s="22" t="str">
        <f t="array" ref="D1005">CONCATENATE(INDEX(DropdownLists!$H$2:$H$11,MATCH(1,COUNTIF('Ingest Template'!E1005,"*"&amp;DropdownLists!$I$2:$I$11&amp;"*"),0)),CHAR(10),'Ingest Template'!F1005,CHAR(10),'Ingest Template'!G1005,CHAR(10),VLOOKUP('Ingest Template'!D1005,DropdownLists!C:D,2,FALSE))</f>
        <v>#N/A</v>
      </c>
      <c r="E1005" s="22" t="str">
        <f>CONCATENATE('Ingest Template'!H1005,CHAR(10),'Ingest Template'!I1005,CHAR(10),'Ingest Template'!J1005,CHAR(10))</f>
        <v>
</v>
      </c>
      <c r="F1005" s="35" t="str">
        <f t="array" ref="F1005">INDEX(DropdownLists!$O$2:$O$36,MATCH(1,COUNTIF(E1005,"*"&amp;DropdownLists!$N$2:$N$36&amp;"*"),0))</f>
        <v/>
      </c>
      <c r="G1005" s="35"/>
      <c r="H1005" s="22" t="str">
        <f t="array" ref="H1005">INDEX(DropdownLists!$E$2:$E$276,MATCH('Ingest Template'!D1005,DropdownLists!$C$2:$C$276,0))</f>
        <v>#N/A</v>
      </c>
      <c r="I1005" s="22"/>
      <c r="J1005" s="22" t="str">
        <f t="array" ref="J1005">iF('Ingest Template'!A1005="Standard","Pristine Brand",INDEX(DropdownLists!$B$2:$B$246,MATCH('Ingest Template'!D1005,DropdownLists!$C$2:$C$246,0)))</f>
        <v>#N/A</v>
      </c>
      <c r="K1005" s="22" t="str">
        <f>iF('Ingest Template'!A1005="Standard",'Ingest Template'!K1005&amp;CHAR(10)&amp;'Ingest Template'!L1005,"Competitive View")</f>
        <v>Competitive View</v>
      </c>
      <c r="L1005" s="22" t="s">
        <v>95</v>
      </c>
      <c r="M1005" s="45" t="str">
        <f>'Ingest Template'!B1005</f>
        <v/>
      </c>
      <c r="N1005" s="35"/>
      <c r="O1005" s="35"/>
      <c r="P1005" s="35"/>
      <c r="Q1005" s="35"/>
      <c r="R1005" s="35" t="str">
        <f>'Ingest Template'!D1005</f>
        <v/>
      </c>
      <c r="S1005" s="22" t="s">
        <v>101</v>
      </c>
      <c r="T1005" s="35" t="str">
        <f>'Ingest Template'!V1005</f>
        <v/>
      </c>
      <c r="U1005" s="35" t="str">
        <f>'Ingest Template'!W1005</f>
        <v/>
      </c>
      <c r="V1005" s="35" t="str">
        <f>LOWER(SUBSTITUTE(SUBSTITUTE(SUBSTITUTE(SUBSTITUTE(SUBSTITUTE('Ingest Template'!X1005,"https:",""),"www.",""),"/",""),"?hl=en",""),"instagram.com",""))</f>
        <v/>
      </c>
      <c r="W1005" s="74" t="str">
        <f t="array" ref="W1005">IF(
'Ingest Template'!Y1005="",
SUBSTITUTE(
INDEX(DropdownLists!$F$2:$F$277,MATCH('Ingest Template'!D1005,DropdownLists!$C$2:$C$277,0)),
CHAR(10),
"|"&amp;'Ingest Template'!C1005&amp;CHAR(10)
)&amp;"|"&amp;'Ingest Template'!C1005,
SUBSTITUTE(
INDEX(DropdownLists!$F$2:$F$277,MATCH('Ingest Template'!D1005,DropdownLists!$C$2:$C$277,0)),
CHAR(10),
"|"&amp;'Ingest Template'!C1005&amp;CHAR(10)
)&amp;"|"&amp;'Ingest Template'!C1005&amp;CHAR(10)&amp;'Ingest Template'!Y1005
)</f>
        <v>#N/A</v>
      </c>
      <c r="X1005" s="74" t="str">
        <f>'Ingest Template'!Z1005</f>
        <v/>
      </c>
      <c r="Y1005" s="35" t="str">
        <f>SUBSTITUTE(SUBSTITUTE(SUBSTITUTE('Ingest Template'!AA1005,"http:",""),"https:",""),"/","")</f>
        <v/>
      </c>
      <c r="Z1005" s="35" t="str">
        <f t="array" ref="Z1005">IF('Ingest Template'!A1005="Standard",(IF(ISBLANK('Ingest Template'!AB1005),"", 'Ingest Template'!AB1005&amp;"|DAR")),(IF(ISBLANK('Ingest Template'!AB1005),"", 'Ingest Template'!AB1005&amp;"|TV Ops")))</f>
        <v/>
      </c>
      <c r="AA1005" s="35"/>
      <c r="AB1005" s="35" t="str">
        <f>'Ingest Template'!R1005</f>
        <v/>
      </c>
      <c r="AC1005" s="35" t="str">
        <f>'Ingest Template'!T1005</f>
        <v/>
      </c>
      <c r="AD1005" s="35" t="str">
        <f>'Ingest Template'!S1005</f>
        <v/>
      </c>
      <c r="AE1005" s="35" t="str">
        <f>'Ingest Template'!U1005</f>
        <v/>
      </c>
      <c r="AF1005" s="22"/>
      <c r="AG1005" s="35" t="str">
        <f t="array" ref="AG1005">IF('Ingest Template'!A1005="Standard",(CONCATENATE(IF(ISBLANK('Ingest Template'!N1005),"", 'Ingest Template'!N1005&amp;"|DAR"),CHAR(10), IF(ISBLANK('Ingest Template'!O1005),"", 'Ingest Template'!O1005&amp;"|DAR"),CHAR(10), IF(ISBLANK('Ingest Template'!P1005),"", 'Ingest Template'!P1005&amp;"|DAR"))),(CONCATENATE(IF(ISBLANK('Ingest Template'!N1005),"", 'Ingest Template'!N1005&amp;"|TV Ops"),CHAR(10), IF(ISBLANK('Ingest Template'!O1005),"", 'Ingest Template'!O1005&amp;"|TV Ops"),CHAR(10), IF(ISBLANK('Ingest Template'!P1005),"", 'Ingest Template'!P1005&amp;"|TV Ops"))))</f>
        <v>
</v>
      </c>
      <c r="AH1005" s="35"/>
      <c r="AI1005" s="35"/>
      <c r="AJ1005" s="117" t="str">
        <f>if('Ingest Template'!A1005="Standard",(IF(OR('Ingest Template'!F1005 = "Program Type - Special", 'Ingest Template'!F1005 = "Program Type - Live Event"),'Ingest Template'!M1005&amp; "|DAR|DAR|"&amp;TEXT('Ingest Template'!C1005-3, "yyyy-mm-dd")&amp;"|"&amp;TEXT('Ingest Template'!C1005+3, "yyyy-mm-dd"),'Ingest Template'!M1005&amp; "|DAR|DAR|2021-01-01")),(IF(OR('Ingest Template'!F1005 = "Program Type - Special", 'Ingest Template'!F1005 = "Program Type - Live Event"),'Ingest Template'!M1005&amp; "|Operations - Core Title|Operations - Core Title|"&amp;TEXT('Ingest Template'!C1005-3, "yyyy-mm-dd")&amp;"|"&amp;TEXT('Ingest Template'!C1005+3, "yyyy-mm-dd"),'Ingest Template'!M1005&amp; "|Operations - Core Title|Operations - Core Title")))</f>
        <v>|Operations - Core Title|Operations - Core Title</v>
      </c>
      <c r="AK1005" s="35"/>
      <c r="AL1005" s="117" t="str">
        <f>if('Ingest Template'!A1005="Standard",(IF(OR('Ingest Template'!F1005 = "Program Type - Special", 'Ingest Template'!F1005 = "Program Type - Live Event"),'Ingest Template'!Q1005&amp;"|"&amp;TEXT('Ingest Template'!C1005-3, "yyyy-mm-dd")&amp;"|"&amp;TEXT('Ingest Template'!C1005+3, "yyyy-mm-dd"),'Ingest Template'!Q1005&amp; "|2021-01-01")),(IF(OR('Ingest Template'!F1005 = "Program Type - Special", 'Ingest Template'!F1005 = "Program Type - Live Event"),'Ingest Template'!Q1005&amp; "|"&amp;TEXT('Ingest Template'!C1005-3, "yyyy-mm-dd")&amp;"|"&amp;TEXT('Ingest Template'!C1005+3, "yyyy-mm-dd"),'Ingest Template'!Q1005)))</f>
        <v/>
      </c>
      <c r="AM1005" s="35" t="str">
        <f>'Ingest Template'!AC1005</f>
        <v/>
      </c>
    </row>
    <row r="1006">
      <c r="A1006" s="15"/>
      <c r="B1006" s="22" t="str">
        <f>'Ingest Template'!C1006&amp;IF('Ingest Template'!A1006 = "Standard", " - DAR","")</f>
        <v/>
      </c>
      <c r="C1006" s="22" t="s">
        <v>83</v>
      </c>
      <c r="D1006" s="22" t="str">
        <f t="array" ref="D1006">CONCATENATE(INDEX(DropdownLists!$H$2:$H$11,MATCH(1,COUNTIF('Ingest Template'!E1006,"*"&amp;DropdownLists!$I$2:$I$11&amp;"*"),0)),CHAR(10),'Ingest Template'!F1006,CHAR(10),'Ingest Template'!G1006,CHAR(10),VLOOKUP('Ingest Template'!D1006,DropdownLists!C:D,2,FALSE))</f>
        <v>#N/A</v>
      </c>
      <c r="E1006" s="22" t="str">
        <f>CONCATENATE('Ingest Template'!H1006,CHAR(10),'Ingest Template'!I1006,CHAR(10),'Ingest Template'!J1006,CHAR(10))</f>
        <v>
</v>
      </c>
      <c r="F1006" s="35" t="str">
        <f t="array" ref="F1006">INDEX(DropdownLists!$O$2:$O$36,MATCH(1,COUNTIF(E1006,"*"&amp;DropdownLists!$N$2:$N$36&amp;"*"),0))</f>
        <v/>
      </c>
      <c r="G1006" s="35"/>
      <c r="H1006" s="22" t="str">
        <f t="array" ref="H1006">INDEX(DropdownLists!$E$2:$E$276,MATCH('Ingest Template'!D1006,DropdownLists!$C$2:$C$276,0))</f>
        <v>#N/A</v>
      </c>
      <c r="I1006" s="22"/>
      <c r="J1006" s="22" t="str">
        <f t="array" ref="J1006">iF('Ingest Template'!A1006="Standard","Pristine Brand",INDEX(DropdownLists!$B$2:$B$246,MATCH('Ingest Template'!D1006,DropdownLists!$C$2:$C$246,0)))</f>
        <v>#N/A</v>
      </c>
      <c r="K1006" s="22" t="str">
        <f>iF('Ingest Template'!A1006="Standard",'Ingest Template'!K1006&amp;CHAR(10)&amp;'Ingest Template'!L1006,"Competitive View")</f>
        <v>Competitive View</v>
      </c>
      <c r="L1006" s="22" t="s">
        <v>95</v>
      </c>
      <c r="M1006" s="45" t="str">
        <f>'Ingest Template'!B1006</f>
        <v/>
      </c>
      <c r="N1006" s="35"/>
      <c r="O1006" s="35"/>
      <c r="P1006" s="35"/>
      <c r="Q1006" s="35"/>
      <c r="R1006" s="35" t="str">
        <f>'Ingest Template'!D1006</f>
        <v/>
      </c>
      <c r="S1006" s="22" t="s">
        <v>101</v>
      </c>
      <c r="T1006" s="35" t="str">
        <f>'Ingest Template'!V1006</f>
        <v/>
      </c>
      <c r="U1006" s="35" t="str">
        <f>'Ingest Template'!W1006</f>
        <v/>
      </c>
      <c r="V1006" s="35" t="str">
        <f>LOWER(SUBSTITUTE(SUBSTITUTE(SUBSTITUTE(SUBSTITUTE(SUBSTITUTE('Ingest Template'!X1006,"https:",""),"www.",""),"/",""),"?hl=en",""),"instagram.com",""))</f>
        <v/>
      </c>
      <c r="W1006" s="74" t="str">
        <f t="array" ref="W1006">IF(
'Ingest Template'!Y1006="",
SUBSTITUTE(
INDEX(DropdownLists!$F$2:$F$277,MATCH('Ingest Template'!D1006,DropdownLists!$C$2:$C$277,0)),
CHAR(10),
"|"&amp;'Ingest Template'!C1006&amp;CHAR(10)
)&amp;"|"&amp;'Ingest Template'!C1006,
SUBSTITUTE(
INDEX(DropdownLists!$F$2:$F$277,MATCH('Ingest Template'!D1006,DropdownLists!$C$2:$C$277,0)),
CHAR(10),
"|"&amp;'Ingest Template'!C1006&amp;CHAR(10)
)&amp;"|"&amp;'Ingest Template'!C1006&amp;CHAR(10)&amp;'Ingest Template'!Y1006
)</f>
        <v>#N/A</v>
      </c>
      <c r="X1006" s="74" t="str">
        <f>'Ingest Template'!Z1006</f>
        <v/>
      </c>
      <c r="Y1006" s="35" t="str">
        <f>SUBSTITUTE(SUBSTITUTE(SUBSTITUTE('Ingest Template'!AA1006,"http:",""),"https:",""),"/","")</f>
        <v/>
      </c>
      <c r="Z1006" s="35" t="str">
        <f t="array" ref="Z1006">IF('Ingest Template'!A1006="Standard",(IF(ISBLANK('Ingest Template'!AB1006),"", 'Ingest Template'!AB1006&amp;"|DAR")),(IF(ISBLANK('Ingest Template'!AB1006),"", 'Ingest Template'!AB1006&amp;"|TV Ops")))</f>
        <v/>
      </c>
      <c r="AA1006" s="35"/>
      <c r="AB1006" s="35" t="str">
        <f>'Ingest Template'!R1006</f>
        <v/>
      </c>
      <c r="AC1006" s="35" t="str">
        <f>'Ingest Template'!T1006</f>
        <v/>
      </c>
      <c r="AD1006" s="35" t="str">
        <f>'Ingest Template'!S1006</f>
        <v/>
      </c>
      <c r="AE1006" s="35" t="str">
        <f>'Ingest Template'!U1006</f>
        <v/>
      </c>
      <c r="AF1006" s="22"/>
      <c r="AG1006" s="35" t="str">
        <f t="array" ref="AG1006">IF('Ingest Template'!A1006="Standard",(CONCATENATE(IF(ISBLANK('Ingest Template'!N1006),"", 'Ingest Template'!N1006&amp;"|DAR"),CHAR(10), IF(ISBLANK('Ingest Template'!O1006),"", 'Ingest Template'!O1006&amp;"|DAR"),CHAR(10), IF(ISBLANK('Ingest Template'!P1006),"", 'Ingest Template'!P1006&amp;"|DAR"))),(CONCATENATE(IF(ISBLANK('Ingest Template'!N1006),"", 'Ingest Template'!N1006&amp;"|TV Ops"),CHAR(10), IF(ISBLANK('Ingest Template'!O1006),"", 'Ingest Template'!O1006&amp;"|TV Ops"),CHAR(10), IF(ISBLANK('Ingest Template'!P1006),"", 'Ingest Template'!P1006&amp;"|TV Ops"))))</f>
        <v>
</v>
      </c>
      <c r="AH1006" s="35"/>
      <c r="AI1006" s="35"/>
      <c r="AJ1006" s="117" t="str">
        <f>if('Ingest Template'!A1006="Standard",(IF(OR('Ingest Template'!F1006 = "Program Type - Special", 'Ingest Template'!F1006 = "Program Type - Live Event"),'Ingest Template'!M1006&amp; "|DAR|DAR|"&amp;TEXT('Ingest Template'!C1006-3, "yyyy-mm-dd")&amp;"|"&amp;TEXT('Ingest Template'!C1006+3, "yyyy-mm-dd"),'Ingest Template'!M1006&amp; "|DAR|DAR|2021-01-01")),(IF(OR('Ingest Template'!F1006 = "Program Type - Special", 'Ingest Template'!F1006 = "Program Type - Live Event"),'Ingest Template'!M1006&amp; "|Operations - Core Title|Operations - Core Title|"&amp;TEXT('Ingest Template'!C1006-3, "yyyy-mm-dd")&amp;"|"&amp;TEXT('Ingest Template'!C1006+3, "yyyy-mm-dd"),'Ingest Template'!M1006&amp; "|Operations - Core Title|Operations - Core Title")))</f>
        <v>|Operations - Core Title|Operations - Core Title</v>
      </c>
      <c r="AK1006" s="35"/>
      <c r="AL1006" s="117" t="str">
        <f>if('Ingest Template'!A1006="Standard",(IF(OR('Ingest Template'!F1006 = "Program Type - Special", 'Ingest Template'!F1006 = "Program Type - Live Event"),'Ingest Template'!Q1006&amp;"|"&amp;TEXT('Ingest Template'!C1006-3, "yyyy-mm-dd")&amp;"|"&amp;TEXT('Ingest Template'!C1006+3, "yyyy-mm-dd"),'Ingest Template'!Q1006&amp; "|2021-01-01")),(IF(OR('Ingest Template'!F1006 = "Program Type - Special", 'Ingest Template'!F1006 = "Program Type - Live Event"),'Ingest Template'!Q1006&amp; "|"&amp;TEXT('Ingest Template'!C1006-3, "yyyy-mm-dd")&amp;"|"&amp;TEXT('Ingest Template'!C1006+3, "yyyy-mm-dd"),'Ingest Template'!Q1006)))</f>
        <v/>
      </c>
      <c r="AM1006" s="35" t="str">
        <f>'Ingest Template'!AC1006</f>
        <v/>
      </c>
    </row>
    <row r="1007">
      <c r="A1007" s="15"/>
      <c r="B1007" s="22" t="str">
        <f>'Ingest Template'!C1007&amp;IF('Ingest Template'!A1007 = "Standard", " - DAR","")</f>
        <v/>
      </c>
      <c r="C1007" s="22" t="s">
        <v>83</v>
      </c>
      <c r="D1007" s="22" t="str">
        <f t="array" ref="D1007">CONCATENATE(INDEX(DropdownLists!$H$2:$H$11,MATCH(1,COUNTIF('Ingest Template'!E1007,"*"&amp;DropdownLists!$I$2:$I$11&amp;"*"),0)),CHAR(10),'Ingest Template'!F1007,CHAR(10),'Ingest Template'!G1007,CHAR(10),VLOOKUP('Ingest Template'!D1007,DropdownLists!C:D,2,FALSE))</f>
        <v>#N/A</v>
      </c>
      <c r="E1007" s="22" t="str">
        <f>CONCATENATE('Ingest Template'!H1007,CHAR(10),'Ingest Template'!I1007,CHAR(10),'Ingest Template'!J1007,CHAR(10))</f>
        <v>
</v>
      </c>
      <c r="F1007" s="35" t="str">
        <f t="array" ref="F1007">INDEX(DropdownLists!$O$2:$O$36,MATCH(1,COUNTIF(E1007,"*"&amp;DropdownLists!$N$2:$N$36&amp;"*"),0))</f>
        <v/>
      </c>
      <c r="G1007" s="35"/>
      <c r="H1007" s="22" t="str">
        <f t="array" ref="H1007">INDEX(DropdownLists!$E$2:$E$276,MATCH('Ingest Template'!D1007,DropdownLists!$C$2:$C$276,0))</f>
        <v>#N/A</v>
      </c>
      <c r="I1007" s="22"/>
      <c r="J1007" s="22" t="str">
        <f t="array" ref="J1007">iF('Ingest Template'!A1007="Standard","Pristine Brand",INDEX(DropdownLists!$B$2:$B$246,MATCH('Ingest Template'!D1007,DropdownLists!$C$2:$C$246,0)))</f>
        <v>#N/A</v>
      </c>
      <c r="K1007" s="22" t="str">
        <f>iF('Ingest Template'!A1007="Standard",'Ingest Template'!K1007&amp;CHAR(10)&amp;'Ingest Template'!L1007,"Competitive View")</f>
        <v>Competitive View</v>
      </c>
      <c r="L1007" s="22" t="s">
        <v>95</v>
      </c>
      <c r="M1007" s="45" t="str">
        <f>'Ingest Template'!B1007</f>
        <v/>
      </c>
      <c r="N1007" s="35"/>
      <c r="O1007" s="35"/>
      <c r="P1007" s="35"/>
      <c r="Q1007" s="35"/>
      <c r="R1007" s="35" t="str">
        <f>'Ingest Template'!D1007</f>
        <v/>
      </c>
      <c r="S1007" s="22" t="s">
        <v>101</v>
      </c>
      <c r="T1007" s="35" t="str">
        <f>'Ingest Template'!V1007</f>
        <v/>
      </c>
      <c r="U1007" s="35" t="str">
        <f>'Ingest Template'!W1007</f>
        <v/>
      </c>
      <c r="V1007" s="35" t="str">
        <f>LOWER(SUBSTITUTE(SUBSTITUTE(SUBSTITUTE(SUBSTITUTE(SUBSTITUTE('Ingest Template'!X1007,"https:",""),"www.",""),"/",""),"?hl=en",""),"instagram.com",""))</f>
        <v/>
      </c>
      <c r="W1007" s="74" t="str">
        <f t="array" ref="W1007">IF(
'Ingest Template'!Y1007="",
SUBSTITUTE(
INDEX(DropdownLists!$F$2:$F$277,MATCH('Ingest Template'!D1007,DropdownLists!$C$2:$C$277,0)),
CHAR(10),
"|"&amp;'Ingest Template'!C1007&amp;CHAR(10)
)&amp;"|"&amp;'Ingest Template'!C1007,
SUBSTITUTE(
INDEX(DropdownLists!$F$2:$F$277,MATCH('Ingest Template'!D1007,DropdownLists!$C$2:$C$277,0)),
CHAR(10),
"|"&amp;'Ingest Template'!C1007&amp;CHAR(10)
)&amp;"|"&amp;'Ingest Template'!C1007&amp;CHAR(10)&amp;'Ingest Template'!Y1007
)</f>
        <v>#N/A</v>
      </c>
      <c r="X1007" s="74" t="str">
        <f>'Ingest Template'!Z1007</f>
        <v/>
      </c>
      <c r="Y1007" s="35" t="str">
        <f>SUBSTITUTE(SUBSTITUTE(SUBSTITUTE('Ingest Template'!AA1007,"http:",""),"https:",""),"/","")</f>
        <v/>
      </c>
      <c r="Z1007" s="35" t="str">
        <f t="array" ref="Z1007">IF('Ingest Template'!A1007="Standard",(IF(ISBLANK('Ingest Template'!AB1007),"", 'Ingest Template'!AB1007&amp;"|DAR")),(IF(ISBLANK('Ingest Template'!AB1007),"", 'Ingest Template'!AB1007&amp;"|TV Ops")))</f>
        <v/>
      </c>
      <c r="AA1007" s="35"/>
      <c r="AB1007" s="35" t="str">
        <f>'Ingest Template'!R1007</f>
        <v/>
      </c>
      <c r="AC1007" s="35" t="str">
        <f>'Ingest Template'!T1007</f>
        <v/>
      </c>
      <c r="AD1007" s="35" t="str">
        <f>'Ingest Template'!S1007</f>
        <v/>
      </c>
      <c r="AE1007" s="35" t="str">
        <f>'Ingest Template'!U1007</f>
        <v/>
      </c>
      <c r="AF1007" s="22"/>
      <c r="AG1007" s="35" t="str">
        <f t="array" ref="AG1007">IF('Ingest Template'!A1007="Standard",(CONCATENATE(IF(ISBLANK('Ingest Template'!N1007),"", 'Ingest Template'!N1007&amp;"|DAR"),CHAR(10), IF(ISBLANK('Ingest Template'!O1007),"", 'Ingest Template'!O1007&amp;"|DAR"),CHAR(10), IF(ISBLANK('Ingest Template'!P1007),"", 'Ingest Template'!P1007&amp;"|DAR"))),(CONCATENATE(IF(ISBLANK('Ingest Template'!N1007),"", 'Ingest Template'!N1007&amp;"|TV Ops"),CHAR(10), IF(ISBLANK('Ingest Template'!O1007),"", 'Ingest Template'!O1007&amp;"|TV Ops"),CHAR(10), IF(ISBLANK('Ingest Template'!P1007),"", 'Ingest Template'!P1007&amp;"|TV Ops"))))</f>
        <v>
</v>
      </c>
      <c r="AH1007" s="35"/>
      <c r="AI1007" s="35"/>
      <c r="AJ1007" s="117" t="str">
        <f>if('Ingest Template'!A1007="Standard",(IF(OR('Ingest Template'!F1007 = "Program Type - Special", 'Ingest Template'!F1007 = "Program Type - Live Event"),'Ingest Template'!M1007&amp; "|DAR|DAR|"&amp;TEXT('Ingest Template'!C1007-3, "yyyy-mm-dd")&amp;"|"&amp;TEXT('Ingest Template'!C1007+3, "yyyy-mm-dd"),'Ingest Template'!M1007&amp; "|DAR|DAR|2021-01-01")),(IF(OR('Ingest Template'!F1007 = "Program Type - Special", 'Ingest Template'!F1007 = "Program Type - Live Event"),'Ingest Template'!M1007&amp; "|Operations - Core Title|Operations - Core Title|"&amp;TEXT('Ingest Template'!C1007-3, "yyyy-mm-dd")&amp;"|"&amp;TEXT('Ingest Template'!C1007+3, "yyyy-mm-dd"),'Ingest Template'!M1007&amp; "|Operations - Core Title|Operations - Core Title")))</f>
        <v>|Operations - Core Title|Operations - Core Title</v>
      </c>
      <c r="AK1007" s="35"/>
      <c r="AL1007" s="117" t="str">
        <f>if('Ingest Template'!A1007="Standard",(IF(OR('Ingest Template'!F1007 = "Program Type - Special", 'Ingest Template'!F1007 = "Program Type - Live Event"),'Ingest Template'!Q1007&amp;"|"&amp;TEXT('Ingest Template'!C1007-3, "yyyy-mm-dd")&amp;"|"&amp;TEXT('Ingest Template'!C1007+3, "yyyy-mm-dd"),'Ingest Template'!Q1007&amp; "|2021-01-01")),(IF(OR('Ingest Template'!F1007 = "Program Type - Special", 'Ingest Template'!F1007 = "Program Type - Live Event"),'Ingest Template'!Q1007&amp; "|"&amp;TEXT('Ingest Template'!C1007-3, "yyyy-mm-dd")&amp;"|"&amp;TEXT('Ingest Template'!C1007+3, "yyyy-mm-dd"),'Ingest Template'!Q1007)))</f>
        <v/>
      </c>
      <c r="AM1007" s="35" t="str">
        <f>'Ingest Template'!AC1007</f>
        <v/>
      </c>
    </row>
    <row r="1008">
      <c r="A1008" s="15"/>
      <c r="B1008" s="22" t="str">
        <f>'Ingest Template'!C1008&amp;IF('Ingest Template'!A1008 = "Standard", " - DAR","")</f>
        <v/>
      </c>
      <c r="C1008" s="22" t="s">
        <v>83</v>
      </c>
      <c r="D1008" s="22" t="str">
        <f t="array" ref="D1008">CONCATENATE(INDEX(DropdownLists!$H$2:$H$11,MATCH(1,COUNTIF('Ingest Template'!E1008,"*"&amp;DropdownLists!$I$2:$I$11&amp;"*"),0)),CHAR(10),'Ingest Template'!F1008,CHAR(10),'Ingest Template'!G1008,CHAR(10),VLOOKUP('Ingest Template'!D1008,DropdownLists!C:D,2,FALSE))</f>
        <v>#N/A</v>
      </c>
      <c r="E1008" s="22" t="str">
        <f>CONCATENATE('Ingest Template'!H1008,CHAR(10),'Ingest Template'!I1008,CHAR(10),'Ingest Template'!J1008,CHAR(10))</f>
        <v>
</v>
      </c>
      <c r="F1008" s="35" t="str">
        <f t="array" ref="F1008">INDEX(DropdownLists!$O$2:$O$36,MATCH(1,COUNTIF(E1008,"*"&amp;DropdownLists!$N$2:$N$36&amp;"*"),0))</f>
        <v/>
      </c>
      <c r="G1008" s="35"/>
      <c r="H1008" s="22" t="str">
        <f t="array" ref="H1008">INDEX(DropdownLists!$E$2:$E$276,MATCH('Ingest Template'!D1008,DropdownLists!$C$2:$C$276,0))</f>
        <v>#N/A</v>
      </c>
      <c r="I1008" s="22"/>
      <c r="J1008" s="22" t="str">
        <f t="array" ref="J1008">iF('Ingest Template'!A1008="Standard","Pristine Brand",INDEX(DropdownLists!$B$2:$B$246,MATCH('Ingest Template'!D1008,DropdownLists!$C$2:$C$246,0)))</f>
        <v>#N/A</v>
      </c>
      <c r="K1008" s="22" t="str">
        <f>iF('Ingest Template'!A1008="Standard",'Ingest Template'!K1008&amp;CHAR(10)&amp;'Ingest Template'!L1008,"Competitive View")</f>
        <v>Competitive View</v>
      </c>
      <c r="L1008" s="22" t="s">
        <v>95</v>
      </c>
      <c r="M1008" s="45" t="str">
        <f>'Ingest Template'!B1008</f>
        <v/>
      </c>
      <c r="N1008" s="35"/>
      <c r="O1008" s="35"/>
      <c r="P1008" s="35"/>
      <c r="Q1008" s="35"/>
      <c r="R1008" s="35" t="str">
        <f>'Ingest Template'!D1008</f>
        <v/>
      </c>
      <c r="S1008" s="22" t="s">
        <v>101</v>
      </c>
      <c r="T1008" s="35" t="str">
        <f>'Ingest Template'!V1008</f>
        <v/>
      </c>
      <c r="U1008" s="35" t="str">
        <f>'Ingest Template'!W1008</f>
        <v/>
      </c>
      <c r="V1008" s="35" t="str">
        <f>LOWER(SUBSTITUTE(SUBSTITUTE(SUBSTITUTE(SUBSTITUTE(SUBSTITUTE('Ingest Template'!X1008,"https:",""),"www.",""),"/",""),"?hl=en",""),"instagram.com",""))</f>
        <v/>
      </c>
      <c r="W1008" s="74" t="str">
        <f t="array" ref="W1008">IF(
'Ingest Template'!Y1008="",
SUBSTITUTE(
INDEX(DropdownLists!$F$2:$F$277,MATCH('Ingest Template'!D1008,DropdownLists!$C$2:$C$277,0)),
CHAR(10),
"|"&amp;'Ingest Template'!C1008&amp;CHAR(10)
)&amp;"|"&amp;'Ingest Template'!C1008,
SUBSTITUTE(
INDEX(DropdownLists!$F$2:$F$277,MATCH('Ingest Template'!D1008,DropdownLists!$C$2:$C$277,0)),
CHAR(10),
"|"&amp;'Ingest Template'!C1008&amp;CHAR(10)
)&amp;"|"&amp;'Ingest Template'!C1008&amp;CHAR(10)&amp;'Ingest Template'!Y1008
)</f>
        <v>#N/A</v>
      </c>
      <c r="X1008" s="74" t="str">
        <f>'Ingest Template'!Z1008</f>
        <v/>
      </c>
      <c r="Y1008" s="35" t="str">
        <f>SUBSTITUTE(SUBSTITUTE(SUBSTITUTE('Ingest Template'!AA1008,"http:",""),"https:",""),"/","")</f>
        <v/>
      </c>
      <c r="Z1008" s="35" t="str">
        <f t="array" ref="Z1008">IF('Ingest Template'!A1008="Standard",(IF(ISBLANK('Ingest Template'!AB1008),"", 'Ingest Template'!AB1008&amp;"|DAR")),(IF(ISBLANK('Ingest Template'!AB1008),"", 'Ingest Template'!AB1008&amp;"|TV Ops")))</f>
        <v/>
      </c>
      <c r="AA1008" s="35"/>
      <c r="AB1008" s="35" t="str">
        <f>'Ingest Template'!R1008</f>
        <v/>
      </c>
      <c r="AC1008" s="35" t="str">
        <f>'Ingest Template'!T1008</f>
        <v/>
      </c>
      <c r="AD1008" s="35" t="str">
        <f>'Ingest Template'!S1008</f>
        <v/>
      </c>
      <c r="AE1008" s="35" t="str">
        <f>'Ingest Template'!U1008</f>
        <v/>
      </c>
      <c r="AF1008" s="22"/>
      <c r="AG1008" s="35" t="str">
        <f t="array" ref="AG1008">IF('Ingest Template'!A1008="Standard",(CONCATENATE(IF(ISBLANK('Ingest Template'!N1008),"", 'Ingest Template'!N1008&amp;"|DAR"),CHAR(10), IF(ISBLANK('Ingest Template'!O1008),"", 'Ingest Template'!O1008&amp;"|DAR"),CHAR(10), IF(ISBLANK('Ingest Template'!P1008),"", 'Ingest Template'!P1008&amp;"|DAR"))),(CONCATENATE(IF(ISBLANK('Ingest Template'!N1008),"", 'Ingest Template'!N1008&amp;"|TV Ops"),CHAR(10), IF(ISBLANK('Ingest Template'!O1008),"", 'Ingest Template'!O1008&amp;"|TV Ops"),CHAR(10), IF(ISBLANK('Ingest Template'!P1008),"", 'Ingest Template'!P1008&amp;"|TV Ops"))))</f>
        <v>
</v>
      </c>
      <c r="AH1008" s="35"/>
      <c r="AI1008" s="35"/>
      <c r="AJ1008" s="117" t="str">
        <f>if('Ingest Template'!A1008="Standard",(IF(OR('Ingest Template'!F1008 = "Program Type - Special", 'Ingest Template'!F1008 = "Program Type - Live Event"),'Ingest Template'!M1008&amp; "|DAR|DAR|"&amp;TEXT('Ingest Template'!C1008-3, "yyyy-mm-dd")&amp;"|"&amp;TEXT('Ingest Template'!C1008+3, "yyyy-mm-dd"),'Ingest Template'!M1008&amp; "|DAR|DAR|2021-01-01")),(IF(OR('Ingest Template'!F1008 = "Program Type - Special", 'Ingest Template'!F1008 = "Program Type - Live Event"),'Ingest Template'!M1008&amp; "|Operations - Core Title|Operations - Core Title|"&amp;TEXT('Ingest Template'!C1008-3, "yyyy-mm-dd")&amp;"|"&amp;TEXT('Ingest Template'!C1008+3, "yyyy-mm-dd"),'Ingest Template'!M1008&amp; "|Operations - Core Title|Operations - Core Title")))</f>
        <v>|Operations - Core Title|Operations - Core Title</v>
      </c>
      <c r="AK1008" s="35"/>
      <c r="AL1008" s="117" t="str">
        <f>if('Ingest Template'!A1008="Standard",(IF(OR('Ingest Template'!F1008 = "Program Type - Special", 'Ingest Template'!F1008 = "Program Type - Live Event"),'Ingest Template'!Q1008&amp;"|"&amp;TEXT('Ingest Template'!C1008-3, "yyyy-mm-dd")&amp;"|"&amp;TEXT('Ingest Template'!C1008+3, "yyyy-mm-dd"),'Ingest Template'!Q1008&amp; "|2021-01-01")),(IF(OR('Ingest Template'!F1008 = "Program Type - Special", 'Ingest Template'!F1008 = "Program Type - Live Event"),'Ingest Template'!Q1008&amp; "|"&amp;TEXT('Ingest Template'!C1008-3, "yyyy-mm-dd")&amp;"|"&amp;TEXT('Ingest Template'!C1008+3, "yyyy-mm-dd"),'Ingest Template'!Q1008)))</f>
        <v/>
      </c>
      <c r="AM1008" s="35" t="str">
        <f>'Ingest Template'!AC1008</f>
        <v/>
      </c>
    </row>
  </sheetData>
  <autoFilter ref="$A$1:$AM$1008"/>
  <customSheetViews>
    <customSheetView guid="{B1A88EF9-4837-43CC-BFC1-5257EDC0A89A}" filter="1" showAutoFilter="1">
      <autoFilter ref="$D$1:$D$1008"/>
    </customSheetView>
  </customSheetViews>
  <conditionalFormatting sqref="D2:D1008">
    <cfRule type="notContainsText" dxfId="0" priority="1" operator="notContains" text="Daypart - ">
      <formula>ISERROR(SEARCH(("Daypart - "),(D2)))</formula>
    </cfRule>
  </conditionalFormatting>
  <conditionalFormatting sqref="D2:D1008">
    <cfRule type="notContainsText" dxfId="0" priority="2" operator="notContains" text="Program Type -">
      <formula>ISERROR(SEARCH(("Program Type -"),(D2)))</formula>
    </cfRule>
  </conditionalFormatting>
  <conditionalFormatting sqref="D2:D1008">
    <cfRule type="notContainsText" dxfId="0" priority="3" operator="notContains" text="Language Type -">
      <formula>ISERROR(SEARCH(("Language Type -"),(D2)))</formula>
    </cfRule>
  </conditionalFormatting>
  <conditionalFormatting sqref="D2:D1008">
    <cfRule type="notContainsText" dxfId="0" priority="4" operator="notContains" text="Network -">
      <formula>ISERROR(SEARCH(("Network -"),(D2)))</formula>
    </cfRule>
  </conditionalFormatting>
  <conditionalFormatting sqref="F2:F1008">
    <cfRule type="containsBlanks" dxfId="0" priority="5">
      <formula>LEN(TRIM(F2))=0</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2" max="2" width="13.88"/>
    <col customWidth="1" min="3" max="3" width="17.25"/>
    <col customWidth="1" min="4" max="4" width="19.13"/>
    <col customWidth="1" min="5" max="5" width="18.25"/>
    <col customWidth="1" min="6" max="6" width="20.13"/>
    <col customWidth="1" min="7" max="7" width="15.63"/>
    <col customWidth="1" min="8" max="10" width="9.75"/>
    <col customWidth="1" min="11" max="11" width="14.88"/>
    <col customWidth="1" min="12" max="12" width="24.0"/>
    <col customWidth="1" min="13" max="13" width="28.75"/>
    <col customWidth="1" min="14" max="14" width="17.25"/>
    <col customWidth="1" min="15" max="16" width="5.88"/>
    <col customWidth="1" min="17" max="17" width="28.63"/>
    <col customWidth="1" min="18" max="18" width="11.25"/>
    <col customWidth="1" min="19" max="19" width="12.75"/>
    <col customWidth="1" min="20" max="20" width="17.0"/>
    <col customWidth="1" min="21" max="21" width="11.25"/>
    <col customWidth="1" min="22" max="22" width="20.75"/>
    <col customWidth="1" min="23" max="23" width="18.25"/>
    <col customWidth="1" min="24" max="24" width="23.63"/>
    <col customWidth="1" min="25" max="25" width="16.75"/>
    <col customWidth="1" min="26" max="26" width="8.75"/>
    <col hidden="1" min="27" max="28" width="12.63"/>
    <col customWidth="1" min="29" max="29" width="14.25"/>
  </cols>
  <sheetData>
    <row r="1">
      <c r="A1" s="11" t="s">
        <v>1</v>
      </c>
      <c r="B1" s="11" t="s">
        <v>40</v>
      </c>
      <c r="C1" s="11" t="s">
        <v>42</v>
      </c>
      <c r="D1" s="11" t="s">
        <v>44</v>
      </c>
      <c r="E1" s="14" t="s">
        <v>46</v>
      </c>
      <c r="F1" s="14" t="s">
        <v>23</v>
      </c>
      <c r="G1" s="14" t="s">
        <v>55</v>
      </c>
      <c r="H1" s="14" t="s">
        <v>56</v>
      </c>
      <c r="I1" s="14" t="s">
        <v>58</v>
      </c>
      <c r="J1" s="14" t="s">
        <v>59</v>
      </c>
      <c r="K1" s="16" t="s">
        <v>60</v>
      </c>
      <c r="L1" s="14" t="s">
        <v>61</v>
      </c>
      <c r="M1" s="18" t="s">
        <v>62</v>
      </c>
      <c r="N1" s="14" t="s">
        <v>63</v>
      </c>
      <c r="O1" s="14" t="s">
        <v>64</v>
      </c>
      <c r="P1" s="14" t="s">
        <v>65</v>
      </c>
      <c r="Q1" s="14" t="s">
        <v>66</v>
      </c>
      <c r="R1" s="14" t="s">
        <v>67</v>
      </c>
      <c r="S1" s="14" t="s">
        <v>68</v>
      </c>
      <c r="T1" s="20" t="s">
        <v>69</v>
      </c>
      <c r="U1" s="20" t="s">
        <v>73</v>
      </c>
      <c r="V1" s="14" t="s">
        <v>74</v>
      </c>
      <c r="W1" s="14" t="s">
        <v>75</v>
      </c>
      <c r="X1" s="14" t="s">
        <v>77</v>
      </c>
      <c r="Y1" s="14" t="s">
        <v>78</v>
      </c>
      <c r="Z1" s="14" t="s">
        <v>79</v>
      </c>
      <c r="AA1" s="14" t="s">
        <v>80</v>
      </c>
      <c r="AB1" s="14" t="s">
        <v>81</v>
      </c>
      <c r="AC1" s="14" t="s">
        <v>82</v>
      </c>
    </row>
    <row r="2">
      <c r="A2" s="23"/>
      <c r="B2" s="24"/>
      <c r="C2" s="26"/>
      <c r="D2" s="29"/>
      <c r="E2" s="29"/>
      <c r="F2" s="29"/>
      <c r="G2" s="29"/>
      <c r="H2" s="12"/>
      <c r="I2" s="12"/>
      <c r="J2" s="12"/>
      <c r="K2" s="39"/>
      <c r="L2" s="12"/>
      <c r="M2" s="40"/>
      <c r="N2" s="29"/>
      <c r="O2" s="12"/>
      <c r="P2" s="39"/>
      <c r="Q2" s="12"/>
      <c r="R2" s="39"/>
      <c r="S2" s="39"/>
      <c r="T2" s="39"/>
      <c r="U2" s="39"/>
      <c r="V2" s="39"/>
      <c r="W2" s="39"/>
      <c r="X2" s="39"/>
      <c r="Y2" s="39"/>
      <c r="Z2" s="39"/>
      <c r="AA2" s="39"/>
      <c r="AB2" s="39"/>
      <c r="AC2" s="39"/>
    </row>
    <row r="3">
      <c r="A3" s="23"/>
      <c r="B3" s="24"/>
      <c r="C3" s="26"/>
      <c r="D3" s="29"/>
      <c r="E3" s="29"/>
      <c r="F3" s="29"/>
      <c r="G3" s="29"/>
      <c r="H3" s="12"/>
      <c r="I3" s="12"/>
      <c r="J3" s="12"/>
      <c r="K3" s="39"/>
      <c r="L3" s="12"/>
      <c r="M3" s="40"/>
      <c r="N3" s="29"/>
      <c r="O3" s="12"/>
      <c r="P3" s="39"/>
      <c r="Q3" s="12"/>
      <c r="R3" s="39"/>
      <c r="S3" s="39"/>
      <c r="T3" s="39"/>
      <c r="U3" s="39"/>
      <c r="V3" s="39"/>
      <c r="W3" s="39"/>
      <c r="X3" s="39"/>
      <c r="Y3" s="39"/>
      <c r="Z3" s="39"/>
      <c r="AA3" s="39"/>
      <c r="AB3" s="39"/>
      <c r="AC3" s="39"/>
    </row>
    <row r="4">
      <c r="A4" s="23"/>
      <c r="B4" s="24"/>
      <c r="C4" s="26"/>
      <c r="D4" s="29"/>
      <c r="E4" s="29"/>
      <c r="F4" s="29"/>
      <c r="G4" s="29"/>
      <c r="H4" s="12"/>
      <c r="I4" s="12"/>
      <c r="J4" s="12"/>
      <c r="K4" s="39"/>
      <c r="L4" s="12"/>
      <c r="M4" s="40"/>
      <c r="N4" s="29"/>
      <c r="O4" s="12"/>
      <c r="P4" s="39"/>
      <c r="Q4" s="12"/>
      <c r="R4" s="39"/>
      <c r="S4" s="39"/>
      <c r="T4" s="39"/>
      <c r="U4" s="39"/>
      <c r="V4" s="39"/>
      <c r="W4" s="39"/>
      <c r="X4" s="39"/>
      <c r="Y4" s="39"/>
      <c r="Z4" s="39"/>
      <c r="AA4" s="39"/>
      <c r="AB4" s="39"/>
      <c r="AC4" s="39"/>
    </row>
    <row r="5">
      <c r="A5" s="23"/>
      <c r="B5" s="24"/>
      <c r="C5" s="26"/>
      <c r="D5" s="29"/>
      <c r="E5" s="29"/>
      <c r="F5" s="29"/>
      <c r="G5" s="29"/>
      <c r="H5" s="12"/>
      <c r="I5" s="12"/>
      <c r="J5" s="12"/>
      <c r="K5" s="39"/>
      <c r="L5" s="12"/>
      <c r="M5" s="40"/>
      <c r="N5" s="29"/>
      <c r="O5" s="12"/>
      <c r="P5" s="39"/>
      <c r="Q5" s="12"/>
      <c r="R5" s="39"/>
      <c r="S5" s="39"/>
      <c r="T5" s="39"/>
      <c r="U5" s="39"/>
      <c r="V5" s="39"/>
      <c r="W5" s="39"/>
      <c r="X5" s="39"/>
      <c r="Y5" s="39"/>
      <c r="Z5" s="39"/>
      <c r="AA5" s="39"/>
      <c r="AB5" s="39"/>
      <c r="AC5" s="39"/>
    </row>
    <row r="6">
      <c r="A6" s="23"/>
      <c r="B6" s="24"/>
      <c r="C6" s="26"/>
      <c r="D6" s="29"/>
      <c r="E6" s="29"/>
      <c r="F6" s="29"/>
      <c r="G6" s="29"/>
      <c r="H6" s="12"/>
      <c r="I6" s="12"/>
      <c r="J6" s="12"/>
      <c r="K6" s="39"/>
      <c r="L6" s="12"/>
      <c r="M6" s="40"/>
      <c r="N6" s="29"/>
      <c r="O6" s="12"/>
      <c r="P6" s="39"/>
      <c r="Q6" s="12"/>
      <c r="R6" s="39"/>
      <c r="S6" s="39"/>
      <c r="T6" s="39"/>
      <c r="U6" s="39"/>
      <c r="V6" s="39"/>
      <c r="W6" s="39"/>
      <c r="X6" s="39"/>
      <c r="Y6" s="39"/>
      <c r="Z6" s="39"/>
      <c r="AA6" s="39"/>
      <c r="AB6" s="39"/>
      <c r="AC6" s="39"/>
    </row>
    <row r="7">
      <c r="A7" s="23"/>
      <c r="B7" s="24"/>
      <c r="C7" s="26"/>
      <c r="D7" s="29"/>
      <c r="E7" s="29"/>
      <c r="F7" s="29"/>
      <c r="G7" s="29"/>
      <c r="H7" s="12"/>
      <c r="I7" s="12"/>
      <c r="J7" s="12"/>
      <c r="K7" s="39"/>
      <c r="L7" s="12"/>
      <c r="M7" s="40"/>
      <c r="N7" s="29"/>
      <c r="O7" s="12"/>
      <c r="P7" s="39"/>
      <c r="Q7" s="12"/>
      <c r="R7" s="39"/>
      <c r="S7" s="39"/>
      <c r="T7" s="39"/>
      <c r="U7" s="39"/>
      <c r="V7" s="39"/>
      <c r="W7" s="39"/>
      <c r="X7" s="39"/>
      <c r="Y7" s="39"/>
      <c r="Z7" s="39"/>
      <c r="AA7" s="39"/>
      <c r="AB7" s="39"/>
      <c r="AC7" s="39"/>
    </row>
    <row r="8">
      <c r="A8" s="23"/>
      <c r="B8" s="24"/>
      <c r="C8" s="26"/>
      <c r="D8" s="29"/>
      <c r="E8" s="29"/>
      <c r="F8" s="29"/>
      <c r="G8" s="29"/>
      <c r="H8" s="12"/>
      <c r="I8" s="12"/>
      <c r="J8" s="12"/>
      <c r="K8" s="39"/>
      <c r="L8" s="12"/>
      <c r="M8" s="40"/>
      <c r="N8" s="29"/>
      <c r="O8" s="12"/>
      <c r="P8" s="39"/>
      <c r="Q8" s="12"/>
      <c r="R8" s="39"/>
      <c r="S8" s="39"/>
      <c r="T8" s="39"/>
      <c r="U8" s="39"/>
      <c r="V8" s="39"/>
      <c r="W8" s="39"/>
      <c r="X8" s="39"/>
      <c r="Y8" s="39"/>
      <c r="Z8" s="39"/>
      <c r="AA8" s="39"/>
      <c r="AB8" s="39"/>
      <c r="AC8" s="39"/>
    </row>
    <row r="9">
      <c r="A9" s="23"/>
      <c r="B9" s="24"/>
      <c r="C9" s="26"/>
      <c r="D9" s="29"/>
      <c r="E9" s="29"/>
      <c r="F9" s="29"/>
      <c r="G9" s="29"/>
      <c r="H9" s="12"/>
      <c r="I9" s="12"/>
      <c r="J9" s="12"/>
      <c r="K9" s="39"/>
      <c r="L9" s="12"/>
      <c r="M9" s="40"/>
      <c r="N9" s="29"/>
      <c r="O9" s="12"/>
      <c r="P9" s="39"/>
      <c r="Q9" s="12"/>
      <c r="R9" s="39"/>
      <c r="S9" s="39"/>
      <c r="T9" s="39"/>
      <c r="U9" s="39"/>
      <c r="V9" s="39"/>
      <c r="W9" s="39"/>
      <c r="X9" s="39"/>
      <c r="Y9" s="39"/>
      <c r="Z9" s="39"/>
      <c r="AA9" s="39"/>
      <c r="AB9" s="39"/>
      <c r="AC9" s="39"/>
    </row>
    <row r="10">
      <c r="A10" s="23"/>
      <c r="B10" s="24"/>
      <c r="C10" s="26"/>
      <c r="D10" s="29"/>
      <c r="E10" s="29"/>
      <c r="F10" s="29"/>
      <c r="G10" s="29"/>
      <c r="H10" s="12"/>
      <c r="I10" s="12"/>
      <c r="J10" s="12"/>
      <c r="K10" s="39"/>
      <c r="L10" s="12"/>
      <c r="M10" s="40"/>
      <c r="N10" s="29"/>
      <c r="O10" s="12"/>
      <c r="P10" s="39"/>
      <c r="Q10" s="12"/>
      <c r="R10" s="39"/>
      <c r="S10" s="39"/>
      <c r="T10" s="39"/>
      <c r="U10" s="39"/>
      <c r="V10" s="39"/>
      <c r="W10" s="39"/>
      <c r="X10" s="39"/>
      <c r="Y10" s="39"/>
      <c r="Z10" s="39"/>
      <c r="AA10" s="39"/>
      <c r="AB10" s="39"/>
      <c r="AC10" s="39"/>
    </row>
    <row r="11">
      <c r="A11" s="23"/>
      <c r="B11" s="24"/>
      <c r="C11" s="26"/>
      <c r="D11" s="29"/>
      <c r="E11" s="29"/>
      <c r="F11" s="29"/>
      <c r="G11" s="29"/>
      <c r="H11" s="12"/>
      <c r="I11" s="12"/>
      <c r="J11" s="12"/>
      <c r="K11" s="39"/>
      <c r="L11" s="12"/>
      <c r="M11" s="40"/>
      <c r="N11" s="29"/>
      <c r="O11" s="12"/>
      <c r="P11" s="39"/>
      <c r="Q11" s="12"/>
      <c r="R11" s="39"/>
      <c r="S11" s="39"/>
      <c r="T11" s="39"/>
      <c r="U11" s="39"/>
      <c r="V11" s="39"/>
      <c r="W11" s="39"/>
      <c r="X11" s="39"/>
      <c r="Y11" s="39"/>
      <c r="Z11" s="39"/>
      <c r="AA11" s="39"/>
      <c r="AB11" s="39"/>
      <c r="AC11" s="39"/>
    </row>
    <row r="12">
      <c r="A12" s="23"/>
      <c r="B12" s="24"/>
      <c r="C12" s="26"/>
      <c r="D12" s="29"/>
      <c r="E12" s="29"/>
      <c r="F12" s="29"/>
      <c r="G12" s="29"/>
      <c r="H12" s="12"/>
      <c r="I12" s="12"/>
      <c r="J12" s="12"/>
      <c r="K12" s="39"/>
      <c r="L12" s="12"/>
      <c r="M12" s="40"/>
      <c r="N12" s="29"/>
      <c r="O12" s="12"/>
      <c r="P12" s="39"/>
      <c r="Q12" s="12"/>
      <c r="R12" s="39"/>
      <c r="S12" s="39"/>
      <c r="T12" s="39"/>
      <c r="U12" s="39"/>
      <c r="V12" s="39"/>
      <c r="W12" s="39"/>
      <c r="X12" s="39"/>
      <c r="Y12" s="39"/>
      <c r="Z12" s="39"/>
      <c r="AA12" s="39"/>
      <c r="AB12" s="39"/>
      <c r="AC12" s="39"/>
    </row>
    <row r="13">
      <c r="A13" s="23"/>
      <c r="B13" s="24"/>
      <c r="C13" s="26"/>
      <c r="D13" s="29"/>
      <c r="E13" s="29"/>
      <c r="F13" s="29"/>
      <c r="G13" s="29"/>
      <c r="H13" s="12"/>
      <c r="I13" s="12"/>
      <c r="J13" s="12"/>
      <c r="K13" s="39"/>
      <c r="L13" s="12"/>
      <c r="M13" s="40"/>
      <c r="N13" s="29"/>
      <c r="O13" s="12"/>
      <c r="P13" s="39"/>
      <c r="Q13" s="12"/>
      <c r="R13" s="39"/>
      <c r="S13" s="39"/>
      <c r="T13" s="39"/>
      <c r="U13" s="39"/>
      <c r="V13" s="39"/>
      <c r="W13" s="39"/>
      <c r="X13" s="39"/>
      <c r="Y13" s="39"/>
      <c r="Z13" s="39"/>
      <c r="AA13" s="39"/>
      <c r="AB13" s="39"/>
      <c r="AC13" s="39"/>
    </row>
    <row r="14">
      <c r="A14" s="23"/>
      <c r="B14" s="24"/>
      <c r="C14" s="26"/>
      <c r="D14" s="29"/>
      <c r="E14" s="29"/>
      <c r="F14" s="29"/>
      <c r="G14" s="29"/>
      <c r="H14" s="12"/>
      <c r="I14" s="12"/>
      <c r="J14" s="12"/>
      <c r="K14" s="39"/>
      <c r="L14" s="12"/>
      <c r="M14" s="40"/>
      <c r="N14" s="29"/>
      <c r="O14" s="12"/>
      <c r="P14" s="39"/>
      <c r="Q14" s="12"/>
      <c r="R14" s="39"/>
      <c r="S14" s="39"/>
      <c r="T14" s="39"/>
      <c r="U14" s="39"/>
      <c r="V14" s="39"/>
      <c r="W14" s="39"/>
      <c r="X14" s="39"/>
      <c r="Y14" s="39"/>
      <c r="Z14" s="39"/>
      <c r="AA14" s="39"/>
      <c r="AB14" s="39"/>
      <c r="AC14" s="39"/>
    </row>
    <row r="15">
      <c r="A15" s="23"/>
      <c r="B15" s="24"/>
      <c r="C15" s="26"/>
      <c r="D15" s="29"/>
      <c r="E15" s="29"/>
      <c r="F15" s="29"/>
      <c r="G15" s="29"/>
      <c r="H15" s="12"/>
      <c r="I15" s="12"/>
      <c r="J15" s="12"/>
      <c r="K15" s="39"/>
      <c r="L15" s="12"/>
      <c r="M15" s="40"/>
      <c r="N15" s="29"/>
      <c r="O15" s="12"/>
      <c r="P15" s="39"/>
      <c r="Q15" s="12"/>
      <c r="R15" s="39"/>
      <c r="S15" s="39"/>
      <c r="T15" s="39"/>
      <c r="U15" s="39"/>
      <c r="V15" s="39"/>
      <c r="W15" s="39"/>
      <c r="X15" s="39"/>
      <c r="Y15" s="39"/>
      <c r="Z15" s="39"/>
      <c r="AA15" s="39"/>
      <c r="AB15" s="39"/>
      <c r="AC15" s="39"/>
    </row>
    <row r="16">
      <c r="A16" s="23"/>
      <c r="B16" s="24"/>
      <c r="C16" s="26"/>
      <c r="D16" s="29"/>
      <c r="E16" s="29"/>
      <c r="F16" s="29"/>
      <c r="G16" s="29"/>
      <c r="H16" s="12"/>
      <c r="I16" s="12"/>
      <c r="J16" s="12"/>
      <c r="K16" s="39"/>
      <c r="L16" s="12"/>
      <c r="M16" s="40"/>
      <c r="N16" s="29"/>
      <c r="O16" s="12"/>
      <c r="P16" s="39"/>
      <c r="Q16" s="12"/>
      <c r="R16" s="39"/>
      <c r="S16" s="39"/>
      <c r="T16" s="39"/>
      <c r="U16" s="39"/>
      <c r="V16" s="39"/>
      <c r="W16" s="39"/>
      <c r="X16" s="39"/>
      <c r="Y16" s="39"/>
      <c r="Z16" s="39"/>
      <c r="AA16" s="39"/>
      <c r="AB16" s="39"/>
      <c r="AC16" s="39"/>
    </row>
    <row r="17">
      <c r="A17" s="23"/>
      <c r="B17" s="24"/>
      <c r="C17" s="29"/>
      <c r="D17" s="29"/>
      <c r="E17" s="29"/>
      <c r="F17" s="29"/>
      <c r="G17" s="29"/>
      <c r="H17" s="12"/>
      <c r="I17" s="12"/>
      <c r="J17" s="12"/>
      <c r="K17" s="39"/>
      <c r="L17" s="12"/>
      <c r="M17" s="40"/>
      <c r="N17" s="29"/>
      <c r="O17" s="12"/>
      <c r="P17" s="39"/>
      <c r="Q17" s="12"/>
      <c r="R17" s="39"/>
      <c r="S17" s="39"/>
      <c r="T17" s="39"/>
      <c r="U17" s="39"/>
      <c r="V17" s="39"/>
      <c r="W17" s="39"/>
      <c r="X17" s="39"/>
      <c r="Y17" s="39"/>
      <c r="Z17" s="39"/>
      <c r="AA17" s="39"/>
      <c r="AB17" s="39"/>
      <c r="AC17" s="39"/>
    </row>
    <row r="18">
      <c r="A18" s="23"/>
      <c r="B18" s="24"/>
      <c r="C18" s="29"/>
      <c r="D18" s="29"/>
      <c r="E18" s="29"/>
      <c r="F18" s="29"/>
      <c r="G18" s="29"/>
      <c r="H18" s="12"/>
      <c r="I18" s="12"/>
      <c r="J18" s="12"/>
      <c r="K18" s="39"/>
      <c r="L18" s="12"/>
      <c r="M18" s="40"/>
      <c r="N18" s="29"/>
      <c r="O18" s="12"/>
      <c r="P18" s="39"/>
      <c r="Q18" s="12"/>
      <c r="R18" s="39"/>
      <c r="S18" s="39"/>
      <c r="T18" s="39"/>
      <c r="U18" s="39"/>
      <c r="V18" s="39"/>
      <c r="W18" s="39"/>
      <c r="X18" s="39"/>
      <c r="Y18" s="39"/>
      <c r="Z18" s="39"/>
      <c r="AA18" s="39"/>
      <c r="AB18" s="39"/>
      <c r="AC18" s="39"/>
    </row>
    <row r="19">
      <c r="A19" s="23"/>
      <c r="B19" s="24"/>
      <c r="C19" s="29"/>
      <c r="D19" s="29"/>
      <c r="E19" s="29"/>
      <c r="F19" s="29"/>
      <c r="G19" s="29"/>
      <c r="H19" s="12"/>
      <c r="I19" s="12"/>
      <c r="J19" s="12"/>
      <c r="K19" s="39"/>
      <c r="L19" s="12"/>
      <c r="M19" s="40"/>
      <c r="N19" s="29"/>
      <c r="O19" s="12"/>
      <c r="P19" s="39"/>
      <c r="Q19" s="12"/>
      <c r="R19" s="39"/>
      <c r="S19" s="39"/>
      <c r="T19" s="39"/>
      <c r="U19" s="39"/>
      <c r="V19" s="39"/>
      <c r="W19" s="39"/>
      <c r="X19" s="39"/>
      <c r="Y19" s="39"/>
      <c r="Z19" s="39"/>
      <c r="AA19" s="39"/>
      <c r="AB19" s="39"/>
      <c r="AC19" s="39"/>
    </row>
    <row r="20">
      <c r="A20" s="23"/>
      <c r="B20" s="24"/>
      <c r="C20" s="29"/>
      <c r="D20" s="29"/>
      <c r="E20" s="29"/>
      <c r="F20" s="29"/>
      <c r="G20" s="29"/>
      <c r="H20" s="12"/>
      <c r="I20" s="12"/>
      <c r="J20" s="12"/>
      <c r="K20" s="39"/>
      <c r="L20" s="12"/>
      <c r="M20" s="40"/>
      <c r="N20" s="29"/>
      <c r="O20" s="12"/>
      <c r="P20" s="39"/>
      <c r="Q20" s="12"/>
      <c r="R20" s="39"/>
      <c r="S20" s="39"/>
      <c r="T20" s="39"/>
      <c r="U20" s="39"/>
      <c r="V20" s="39"/>
      <c r="W20" s="39"/>
      <c r="X20" s="39"/>
      <c r="Y20" s="39"/>
      <c r="Z20" s="39"/>
      <c r="AA20" s="39"/>
      <c r="AB20" s="39"/>
      <c r="AC20" s="39"/>
    </row>
    <row r="21">
      <c r="A21" s="23"/>
      <c r="B21" s="24"/>
      <c r="C21" s="29"/>
      <c r="D21" s="29"/>
      <c r="E21" s="29"/>
      <c r="F21" s="29"/>
      <c r="G21" s="29"/>
      <c r="H21" s="12"/>
      <c r="I21" s="12"/>
      <c r="J21" s="12"/>
      <c r="K21" s="39"/>
      <c r="L21" s="12"/>
      <c r="M21" s="40"/>
      <c r="N21" s="29"/>
      <c r="O21" s="12"/>
      <c r="P21" s="39"/>
      <c r="Q21" s="12"/>
      <c r="R21" s="39"/>
      <c r="S21" s="39"/>
      <c r="T21" s="39"/>
      <c r="U21" s="39"/>
      <c r="V21" s="39"/>
      <c r="W21" s="39"/>
      <c r="X21" s="39"/>
      <c r="Y21" s="39"/>
      <c r="Z21" s="39"/>
      <c r="AA21" s="39"/>
      <c r="AB21" s="39"/>
      <c r="AC21" s="39"/>
    </row>
    <row r="22">
      <c r="A22" s="23"/>
      <c r="B22" s="24"/>
      <c r="C22" s="29"/>
      <c r="D22" s="29"/>
      <c r="E22" s="29"/>
      <c r="F22" s="29"/>
      <c r="G22" s="29"/>
      <c r="H22" s="12"/>
      <c r="I22" s="12"/>
      <c r="J22" s="12"/>
      <c r="K22" s="39"/>
      <c r="L22" s="12"/>
      <c r="M22" s="40"/>
      <c r="N22" s="29"/>
      <c r="O22" s="12"/>
      <c r="P22" s="39"/>
      <c r="Q22" s="12"/>
      <c r="R22" s="39"/>
      <c r="S22" s="39"/>
      <c r="T22" s="39"/>
      <c r="U22" s="39"/>
      <c r="V22" s="39"/>
      <c r="W22" s="39"/>
      <c r="X22" s="39"/>
      <c r="Y22" s="39"/>
      <c r="Z22" s="39"/>
      <c r="AA22" s="39"/>
      <c r="AB22" s="39"/>
      <c r="AC22" s="39"/>
    </row>
    <row r="23">
      <c r="A23" s="23"/>
      <c r="B23" s="24"/>
      <c r="C23" s="29"/>
      <c r="D23" s="29"/>
      <c r="E23" s="29"/>
      <c r="F23" s="29"/>
      <c r="G23" s="29"/>
      <c r="H23" s="12"/>
      <c r="I23" s="12"/>
      <c r="J23" s="12"/>
      <c r="K23" s="39"/>
      <c r="L23" s="12"/>
      <c r="M23" s="40"/>
      <c r="N23" s="29"/>
      <c r="O23" s="12"/>
      <c r="P23" s="39"/>
      <c r="Q23" s="12"/>
      <c r="R23" s="39"/>
      <c r="S23" s="39"/>
      <c r="T23" s="39"/>
      <c r="U23" s="39"/>
      <c r="V23" s="39"/>
      <c r="W23" s="39"/>
      <c r="X23" s="39"/>
      <c r="Y23" s="39"/>
      <c r="Z23" s="39"/>
      <c r="AA23" s="39"/>
      <c r="AB23" s="39"/>
      <c r="AC23" s="39"/>
    </row>
    <row r="24">
      <c r="A24" s="23"/>
      <c r="B24" s="24"/>
      <c r="C24" s="29"/>
      <c r="D24" s="29"/>
      <c r="E24" s="29"/>
      <c r="F24" s="29"/>
      <c r="G24" s="29"/>
      <c r="H24" s="12"/>
      <c r="I24" s="12"/>
      <c r="J24" s="12"/>
      <c r="K24" s="39"/>
      <c r="L24" s="12"/>
      <c r="M24" s="40"/>
      <c r="N24" s="29"/>
      <c r="O24" s="12"/>
      <c r="P24" s="39"/>
      <c r="Q24" s="12"/>
      <c r="R24" s="39"/>
      <c r="S24" s="39"/>
      <c r="T24" s="39"/>
      <c r="U24" s="39"/>
      <c r="V24" s="39"/>
      <c r="W24" s="39"/>
      <c r="X24" s="39"/>
      <c r="Y24" s="39"/>
      <c r="Z24" s="39"/>
      <c r="AA24" s="39"/>
      <c r="AB24" s="39"/>
      <c r="AC24" s="39"/>
    </row>
    <row r="25">
      <c r="A25" s="23"/>
      <c r="B25" s="24"/>
      <c r="C25" s="29"/>
      <c r="D25" s="29"/>
      <c r="E25" s="29"/>
      <c r="F25" s="29"/>
      <c r="G25" s="29"/>
      <c r="H25" s="12"/>
      <c r="I25" s="12"/>
      <c r="J25" s="12"/>
      <c r="K25" s="39"/>
      <c r="L25" s="12"/>
      <c r="M25" s="40"/>
      <c r="N25" s="29"/>
      <c r="O25" s="12"/>
      <c r="P25" s="39"/>
      <c r="Q25" s="12"/>
      <c r="R25" s="39"/>
      <c r="S25" s="39"/>
      <c r="T25" s="39"/>
      <c r="U25" s="39"/>
      <c r="V25" s="39"/>
      <c r="W25" s="39"/>
      <c r="X25" s="39"/>
      <c r="Y25" s="39"/>
      <c r="Z25" s="39"/>
      <c r="AA25" s="39"/>
      <c r="AB25" s="39"/>
      <c r="AC25" s="39"/>
    </row>
    <row r="26">
      <c r="A26" s="23"/>
      <c r="B26" s="24"/>
      <c r="C26" s="29"/>
      <c r="D26" s="29"/>
      <c r="E26" s="29"/>
      <c r="F26" s="29"/>
      <c r="G26" s="29"/>
      <c r="H26" s="12"/>
      <c r="I26" s="12"/>
      <c r="J26" s="12"/>
      <c r="K26" s="39"/>
      <c r="L26" s="12"/>
      <c r="M26" s="40"/>
      <c r="N26" s="29"/>
      <c r="O26" s="12"/>
      <c r="P26" s="39"/>
      <c r="Q26" s="12"/>
      <c r="R26" s="39"/>
      <c r="S26" s="39"/>
      <c r="T26" s="39"/>
      <c r="U26" s="39"/>
      <c r="V26" s="39"/>
      <c r="W26" s="39"/>
      <c r="X26" s="39"/>
      <c r="Y26" s="39"/>
      <c r="Z26" s="39"/>
      <c r="AA26" s="39"/>
      <c r="AB26" s="39"/>
      <c r="AC26" s="39"/>
    </row>
    <row r="27">
      <c r="A27" s="23"/>
      <c r="B27" s="24"/>
      <c r="C27" s="29"/>
      <c r="D27" s="29"/>
      <c r="E27" s="29"/>
      <c r="F27" s="29"/>
      <c r="G27" s="29"/>
      <c r="H27" s="12"/>
      <c r="I27" s="12"/>
      <c r="J27" s="12"/>
      <c r="K27" s="39"/>
      <c r="L27" s="12"/>
      <c r="M27" s="40"/>
      <c r="N27" s="29"/>
      <c r="O27" s="12"/>
      <c r="P27" s="39"/>
      <c r="Q27" s="12"/>
      <c r="R27" s="39"/>
      <c r="S27" s="39"/>
      <c r="T27" s="39"/>
      <c r="U27" s="39"/>
      <c r="V27" s="39"/>
      <c r="W27" s="39"/>
      <c r="X27" s="39"/>
      <c r="Y27" s="39"/>
      <c r="Z27" s="39"/>
      <c r="AA27" s="39"/>
      <c r="AB27" s="39"/>
      <c r="AC27" s="39"/>
    </row>
    <row r="28">
      <c r="A28" s="23"/>
      <c r="B28" s="24"/>
      <c r="C28" s="29"/>
      <c r="D28" s="29"/>
      <c r="E28" s="29"/>
      <c r="F28" s="29"/>
      <c r="G28" s="29"/>
      <c r="H28" s="12"/>
      <c r="I28" s="12"/>
      <c r="J28" s="12"/>
      <c r="K28" s="39"/>
      <c r="L28" s="12"/>
      <c r="M28" s="40"/>
      <c r="N28" s="29"/>
      <c r="O28" s="12"/>
      <c r="P28" s="39"/>
      <c r="Q28" s="12"/>
      <c r="R28" s="39"/>
      <c r="S28" s="39"/>
      <c r="T28" s="39"/>
      <c r="U28" s="39"/>
      <c r="V28" s="39"/>
      <c r="W28" s="39"/>
      <c r="X28" s="39"/>
      <c r="Y28" s="39"/>
      <c r="Z28" s="39"/>
      <c r="AA28" s="39"/>
      <c r="AB28" s="39"/>
      <c r="AC28" s="39"/>
    </row>
    <row r="29">
      <c r="A29" s="23"/>
      <c r="B29" s="24"/>
      <c r="C29" s="29"/>
      <c r="D29" s="29"/>
      <c r="E29" s="29"/>
      <c r="F29" s="29"/>
      <c r="G29" s="29"/>
      <c r="H29" s="12"/>
      <c r="I29" s="12"/>
      <c r="J29" s="12"/>
      <c r="K29" s="39"/>
      <c r="L29" s="12"/>
      <c r="M29" s="40"/>
      <c r="N29" s="29"/>
      <c r="O29" s="12"/>
      <c r="P29" s="39"/>
      <c r="Q29" s="12"/>
      <c r="R29" s="39"/>
      <c r="S29" s="39"/>
      <c r="T29" s="39"/>
      <c r="U29" s="39"/>
      <c r="V29" s="39"/>
      <c r="W29" s="39"/>
      <c r="X29" s="39"/>
      <c r="Y29" s="39"/>
      <c r="Z29" s="39"/>
      <c r="AA29" s="39"/>
      <c r="AB29" s="39"/>
      <c r="AC29" s="39"/>
    </row>
    <row r="30">
      <c r="A30" s="23"/>
      <c r="B30" s="24"/>
      <c r="C30" s="29"/>
      <c r="D30" s="29"/>
      <c r="E30" s="29"/>
      <c r="F30" s="29"/>
      <c r="G30" s="29"/>
      <c r="H30" s="12"/>
      <c r="I30" s="12"/>
      <c r="J30" s="12"/>
      <c r="K30" s="39"/>
      <c r="L30" s="12"/>
      <c r="M30" s="40"/>
      <c r="N30" s="29"/>
      <c r="O30" s="12"/>
      <c r="P30" s="39"/>
      <c r="Q30" s="12"/>
      <c r="R30" s="39"/>
      <c r="S30" s="39"/>
      <c r="T30" s="39"/>
      <c r="U30" s="39"/>
      <c r="V30" s="39"/>
      <c r="W30" s="39"/>
      <c r="X30" s="39"/>
      <c r="Y30" s="39"/>
      <c r="Z30" s="39"/>
      <c r="AA30" s="39"/>
      <c r="AB30" s="39"/>
      <c r="AC30" s="39"/>
    </row>
    <row r="31">
      <c r="A31" s="23"/>
      <c r="B31" s="24"/>
      <c r="C31" s="29"/>
      <c r="D31" s="29"/>
      <c r="E31" s="29"/>
      <c r="F31" s="29"/>
      <c r="G31" s="29"/>
      <c r="H31" s="12"/>
      <c r="I31" s="12"/>
      <c r="J31" s="12"/>
      <c r="K31" s="39"/>
      <c r="L31" s="12"/>
      <c r="M31" s="40"/>
      <c r="N31" s="29"/>
      <c r="O31" s="12"/>
      <c r="P31" s="39"/>
      <c r="Q31" s="12"/>
      <c r="R31" s="39"/>
      <c r="S31" s="39"/>
      <c r="T31" s="39"/>
      <c r="U31" s="39"/>
      <c r="V31" s="39"/>
      <c r="W31" s="39"/>
      <c r="X31" s="39"/>
      <c r="Y31" s="39"/>
      <c r="Z31" s="39"/>
      <c r="AA31" s="39"/>
      <c r="AB31" s="39"/>
      <c r="AC31" s="39"/>
    </row>
    <row r="32">
      <c r="A32" s="23"/>
      <c r="B32" s="24"/>
      <c r="C32" s="29"/>
      <c r="D32" s="29"/>
      <c r="E32" s="29"/>
      <c r="F32" s="29"/>
      <c r="G32" s="29"/>
      <c r="H32" s="12"/>
      <c r="I32" s="12"/>
      <c r="J32" s="12"/>
      <c r="K32" s="39"/>
      <c r="L32" s="12"/>
      <c r="M32" s="40"/>
      <c r="N32" s="29"/>
      <c r="O32" s="12"/>
      <c r="P32" s="39"/>
      <c r="Q32" s="12"/>
      <c r="R32" s="39"/>
      <c r="S32" s="39"/>
      <c r="T32" s="39"/>
      <c r="U32" s="39"/>
      <c r="V32" s="39"/>
      <c r="W32" s="39"/>
      <c r="X32" s="39"/>
      <c r="Y32" s="39"/>
      <c r="Z32" s="39"/>
      <c r="AA32" s="39"/>
      <c r="AB32" s="39"/>
      <c r="AC32" s="39"/>
    </row>
    <row r="33">
      <c r="A33" s="23"/>
      <c r="B33" s="24"/>
      <c r="C33" s="29"/>
      <c r="D33" s="29"/>
      <c r="E33" s="29"/>
      <c r="F33" s="29"/>
      <c r="G33" s="29"/>
      <c r="H33" s="12"/>
      <c r="I33" s="12"/>
      <c r="J33" s="12"/>
      <c r="K33" s="39"/>
      <c r="L33" s="12"/>
      <c r="M33" s="40"/>
      <c r="N33" s="29"/>
      <c r="O33" s="12"/>
      <c r="P33" s="39"/>
      <c r="Q33" s="12"/>
      <c r="R33" s="39"/>
      <c r="S33" s="39"/>
      <c r="T33" s="39"/>
      <c r="U33" s="39"/>
      <c r="V33" s="39"/>
      <c r="W33" s="39"/>
      <c r="X33" s="39"/>
      <c r="Y33" s="39"/>
      <c r="Z33" s="39"/>
      <c r="AA33" s="39"/>
      <c r="AB33" s="39"/>
      <c r="AC33" s="39"/>
    </row>
    <row r="34">
      <c r="A34" s="23"/>
      <c r="B34" s="24"/>
      <c r="C34" s="29"/>
      <c r="D34" s="29"/>
      <c r="E34" s="29"/>
      <c r="F34" s="29"/>
      <c r="G34" s="29"/>
      <c r="H34" s="12"/>
      <c r="I34" s="12"/>
      <c r="J34" s="12"/>
      <c r="K34" s="39"/>
      <c r="L34" s="12"/>
      <c r="M34" s="40"/>
      <c r="N34" s="29"/>
      <c r="O34" s="12"/>
      <c r="P34" s="39"/>
      <c r="Q34" s="12"/>
      <c r="R34" s="39"/>
      <c r="S34" s="39"/>
      <c r="T34" s="39"/>
      <c r="U34" s="39"/>
      <c r="V34" s="39"/>
      <c r="W34" s="39"/>
      <c r="X34" s="39"/>
      <c r="Y34" s="39"/>
      <c r="Z34" s="39"/>
      <c r="AA34" s="39"/>
      <c r="AB34" s="39"/>
      <c r="AC34" s="39"/>
    </row>
    <row r="35">
      <c r="A35" s="23"/>
      <c r="B35" s="24"/>
      <c r="C35" s="29"/>
      <c r="D35" s="29"/>
      <c r="E35" s="29"/>
      <c r="F35" s="29"/>
      <c r="G35" s="29"/>
      <c r="H35" s="12"/>
      <c r="I35" s="12"/>
      <c r="J35" s="12"/>
      <c r="K35" s="39"/>
      <c r="L35" s="12"/>
      <c r="M35" s="40"/>
      <c r="N35" s="29"/>
      <c r="O35" s="12"/>
      <c r="P35" s="39"/>
      <c r="Q35" s="12"/>
      <c r="R35" s="39"/>
      <c r="S35" s="39"/>
      <c r="T35" s="39"/>
      <c r="U35" s="39"/>
      <c r="V35" s="39"/>
      <c r="W35" s="39"/>
      <c r="X35" s="39"/>
      <c r="Y35" s="39"/>
      <c r="Z35" s="39"/>
      <c r="AA35" s="39"/>
      <c r="AB35" s="39"/>
      <c r="AC35" s="39"/>
    </row>
    <row r="36">
      <c r="A36" s="23"/>
      <c r="B36" s="24"/>
      <c r="C36" s="29"/>
      <c r="D36" s="29"/>
      <c r="E36" s="29"/>
      <c r="F36" s="29"/>
      <c r="G36" s="29"/>
      <c r="H36" s="12"/>
      <c r="I36" s="12"/>
      <c r="J36" s="12"/>
      <c r="K36" s="39"/>
      <c r="L36" s="12"/>
      <c r="M36" s="40"/>
      <c r="N36" s="29"/>
      <c r="O36" s="12"/>
      <c r="P36" s="39"/>
      <c r="Q36" s="12"/>
      <c r="R36" s="39"/>
      <c r="S36" s="39"/>
      <c r="T36" s="39"/>
      <c r="U36" s="39"/>
      <c r="V36" s="39"/>
      <c r="W36" s="39"/>
      <c r="X36" s="39"/>
      <c r="Y36" s="39"/>
      <c r="Z36" s="39"/>
      <c r="AA36" s="39"/>
      <c r="AB36" s="39"/>
      <c r="AC36" s="39"/>
    </row>
    <row r="37">
      <c r="A37" s="23"/>
      <c r="B37" s="24"/>
      <c r="C37" s="29"/>
      <c r="D37" s="29"/>
      <c r="E37" s="29"/>
      <c r="F37" s="29"/>
      <c r="G37" s="29"/>
      <c r="H37" s="12"/>
      <c r="I37" s="12"/>
      <c r="J37" s="12"/>
      <c r="K37" s="39"/>
      <c r="L37" s="12"/>
      <c r="M37" s="40"/>
      <c r="N37" s="29"/>
      <c r="O37" s="12"/>
      <c r="P37" s="39"/>
      <c r="Q37" s="12"/>
      <c r="R37" s="39"/>
      <c r="S37" s="39"/>
      <c r="T37" s="39"/>
      <c r="U37" s="39"/>
      <c r="V37" s="39"/>
      <c r="W37" s="39"/>
      <c r="X37" s="39"/>
      <c r="Y37" s="39"/>
      <c r="Z37" s="39"/>
      <c r="AA37" s="39"/>
      <c r="AB37" s="39"/>
      <c r="AC37" s="39"/>
    </row>
    <row r="38">
      <c r="A38" s="23"/>
      <c r="B38" s="24"/>
      <c r="C38" s="29"/>
      <c r="D38" s="29"/>
      <c r="E38" s="29"/>
      <c r="F38" s="29"/>
      <c r="G38" s="29"/>
      <c r="H38" s="12"/>
      <c r="I38" s="12"/>
      <c r="J38" s="12"/>
      <c r="K38" s="39"/>
      <c r="L38" s="12"/>
      <c r="M38" s="40"/>
      <c r="N38" s="29"/>
      <c r="O38" s="12"/>
      <c r="P38" s="39"/>
      <c r="Q38" s="12"/>
      <c r="R38" s="39"/>
      <c r="S38" s="39"/>
      <c r="T38" s="39"/>
      <c r="U38" s="39"/>
      <c r="V38" s="39"/>
      <c r="W38" s="39"/>
      <c r="X38" s="39"/>
      <c r="Y38" s="39"/>
      <c r="Z38" s="39"/>
      <c r="AA38" s="39"/>
      <c r="AB38" s="39"/>
      <c r="AC38" s="39"/>
    </row>
    <row r="39">
      <c r="A39" s="23"/>
      <c r="B39" s="24"/>
      <c r="C39" s="29"/>
      <c r="D39" s="29"/>
      <c r="E39" s="29"/>
      <c r="F39" s="29"/>
      <c r="G39" s="29"/>
      <c r="H39" s="12"/>
      <c r="I39" s="12"/>
      <c r="J39" s="12"/>
      <c r="K39" s="39"/>
      <c r="L39" s="12"/>
      <c r="M39" s="40"/>
      <c r="N39" s="29"/>
      <c r="O39" s="12"/>
      <c r="P39" s="39"/>
      <c r="Q39" s="12"/>
      <c r="R39" s="39"/>
      <c r="S39" s="39"/>
      <c r="T39" s="39"/>
      <c r="U39" s="39"/>
      <c r="V39" s="39"/>
      <c r="W39" s="39"/>
      <c r="X39" s="39"/>
      <c r="Y39" s="39"/>
      <c r="Z39" s="39"/>
      <c r="AA39" s="39"/>
      <c r="AB39" s="39"/>
      <c r="AC39" s="39"/>
    </row>
    <row r="40">
      <c r="A40" s="23"/>
      <c r="B40" s="24"/>
      <c r="C40" s="29"/>
      <c r="D40" s="29"/>
      <c r="E40" s="29"/>
      <c r="F40" s="29"/>
      <c r="G40" s="29"/>
      <c r="H40" s="12"/>
      <c r="I40" s="12"/>
      <c r="J40" s="12"/>
      <c r="K40" s="39"/>
      <c r="L40" s="12"/>
      <c r="M40" s="40"/>
      <c r="N40" s="29"/>
      <c r="O40" s="12"/>
      <c r="P40" s="39"/>
      <c r="Q40" s="12"/>
      <c r="R40" s="39"/>
      <c r="S40" s="39"/>
      <c r="T40" s="39"/>
      <c r="U40" s="39"/>
      <c r="V40" s="39"/>
      <c r="W40" s="39"/>
      <c r="X40" s="39"/>
      <c r="Y40" s="39"/>
      <c r="Z40" s="39"/>
      <c r="AA40" s="39"/>
      <c r="AB40" s="39"/>
      <c r="AC40" s="39"/>
    </row>
    <row r="41">
      <c r="A41" s="23"/>
      <c r="B41" s="24"/>
      <c r="C41" s="29"/>
      <c r="D41" s="29"/>
      <c r="E41" s="29"/>
      <c r="F41" s="29"/>
      <c r="G41" s="29"/>
      <c r="H41" s="12"/>
      <c r="I41" s="12"/>
      <c r="J41" s="12"/>
      <c r="K41" s="39"/>
      <c r="L41" s="12"/>
      <c r="M41" s="40"/>
      <c r="N41" s="29"/>
      <c r="O41" s="12"/>
      <c r="P41" s="39"/>
      <c r="Q41" s="12"/>
      <c r="R41" s="39"/>
      <c r="S41" s="39"/>
      <c r="T41" s="39"/>
      <c r="U41" s="39"/>
      <c r="V41" s="39"/>
      <c r="W41" s="39"/>
      <c r="X41" s="39"/>
      <c r="Y41" s="39"/>
      <c r="Z41" s="39"/>
      <c r="AA41" s="39"/>
      <c r="AB41" s="39"/>
      <c r="AC41" s="39"/>
    </row>
    <row r="42">
      <c r="A42" s="23"/>
      <c r="B42" s="24"/>
      <c r="C42" s="29"/>
      <c r="D42" s="29"/>
      <c r="E42" s="29"/>
      <c r="F42" s="29"/>
      <c r="G42" s="29"/>
      <c r="H42" s="12"/>
      <c r="I42" s="12"/>
      <c r="J42" s="12"/>
      <c r="K42" s="39"/>
      <c r="L42" s="12"/>
      <c r="M42" s="40"/>
      <c r="N42" s="29"/>
      <c r="O42" s="12"/>
      <c r="P42" s="39"/>
      <c r="Q42" s="12"/>
      <c r="R42" s="39"/>
      <c r="S42" s="39"/>
      <c r="T42" s="39"/>
      <c r="U42" s="39"/>
      <c r="V42" s="39"/>
      <c r="W42" s="39"/>
      <c r="X42" s="39"/>
      <c r="Y42" s="39"/>
      <c r="Z42" s="39"/>
      <c r="AA42" s="39"/>
      <c r="AB42" s="39"/>
      <c r="AC42" s="39"/>
    </row>
    <row r="43">
      <c r="A43" s="23"/>
      <c r="B43" s="24"/>
      <c r="C43" s="29"/>
      <c r="D43" s="29"/>
      <c r="E43" s="29"/>
      <c r="F43" s="29"/>
      <c r="G43" s="29"/>
      <c r="H43" s="12"/>
      <c r="I43" s="12"/>
      <c r="J43" s="12"/>
      <c r="K43" s="39"/>
      <c r="L43" s="12"/>
      <c r="M43" s="40"/>
      <c r="N43" s="29"/>
      <c r="O43" s="12"/>
      <c r="P43" s="39"/>
      <c r="Q43" s="12"/>
      <c r="R43" s="39"/>
      <c r="S43" s="39"/>
      <c r="T43" s="39"/>
      <c r="U43" s="39"/>
      <c r="V43" s="39"/>
      <c r="W43" s="39"/>
      <c r="X43" s="39"/>
      <c r="Y43" s="39"/>
      <c r="Z43" s="39"/>
      <c r="AA43" s="39"/>
      <c r="AB43" s="39"/>
      <c r="AC43" s="39"/>
    </row>
    <row r="44">
      <c r="A44" s="23"/>
      <c r="B44" s="24"/>
      <c r="C44" s="29"/>
      <c r="D44" s="29"/>
      <c r="E44" s="29"/>
      <c r="F44" s="29"/>
      <c r="G44" s="29"/>
      <c r="H44" s="12"/>
      <c r="I44" s="12"/>
      <c r="J44" s="12"/>
      <c r="K44" s="39"/>
      <c r="L44" s="12"/>
      <c r="M44" s="40"/>
      <c r="N44" s="29"/>
      <c r="O44" s="12"/>
      <c r="P44" s="39"/>
      <c r="Q44" s="12"/>
      <c r="R44" s="39"/>
      <c r="S44" s="39"/>
      <c r="T44" s="39"/>
      <c r="U44" s="39"/>
      <c r="V44" s="39"/>
      <c r="W44" s="39"/>
      <c r="X44" s="39"/>
      <c r="Y44" s="39"/>
      <c r="Z44" s="39"/>
      <c r="AA44" s="39"/>
      <c r="AB44" s="39"/>
      <c r="AC44" s="39"/>
    </row>
    <row r="45">
      <c r="A45" s="23"/>
      <c r="B45" s="24"/>
      <c r="C45" s="29"/>
      <c r="D45" s="29"/>
      <c r="E45" s="29"/>
      <c r="F45" s="29"/>
      <c r="G45" s="29"/>
      <c r="H45" s="12"/>
      <c r="I45" s="12"/>
      <c r="J45" s="12"/>
      <c r="K45" s="39"/>
      <c r="L45" s="12"/>
      <c r="M45" s="40"/>
      <c r="N45" s="29"/>
      <c r="O45" s="12"/>
      <c r="P45" s="39"/>
      <c r="Q45" s="12"/>
      <c r="R45" s="39"/>
      <c r="S45" s="39"/>
      <c r="T45" s="39"/>
      <c r="U45" s="39"/>
      <c r="V45" s="39"/>
      <c r="W45" s="39"/>
      <c r="X45" s="39"/>
      <c r="Y45" s="39"/>
      <c r="Z45" s="39"/>
      <c r="AA45" s="39"/>
      <c r="AB45" s="39"/>
      <c r="AC45" s="39"/>
    </row>
    <row r="46">
      <c r="A46" s="23"/>
      <c r="B46" s="24"/>
      <c r="C46" s="29"/>
      <c r="D46" s="29"/>
      <c r="E46" s="29"/>
      <c r="F46" s="29"/>
      <c r="G46" s="29"/>
      <c r="H46" s="12"/>
      <c r="I46" s="12"/>
      <c r="J46" s="12"/>
      <c r="K46" s="39"/>
      <c r="L46" s="12"/>
      <c r="M46" s="40"/>
      <c r="N46" s="29"/>
      <c r="O46" s="12"/>
      <c r="P46" s="39"/>
      <c r="Q46" s="12"/>
      <c r="R46" s="39"/>
      <c r="S46" s="39"/>
      <c r="T46" s="39"/>
      <c r="U46" s="39"/>
      <c r="V46" s="39"/>
      <c r="W46" s="39"/>
      <c r="X46" s="39"/>
      <c r="Y46" s="39"/>
      <c r="Z46" s="39"/>
      <c r="AA46" s="39"/>
      <c r="AB46" s="39"/>
      <c r="AC46" s="39"/>
    </row>
    <row r="47">
      <c r="A47" s="23"/>
      <c r="B47" s="24"/>
      <c r="C47" s="29"/>
      <c r="D47" s="29"/>
      <c r="E47" s="29"/>
      <c r="F47" s="29"/>
      <c r="G47" s="29"/>
      <c r="H47" s="12"/>
      <c r="I47" s="12"/>
      <c r="J47" s="12"/>
      <c r="K47" s="39"/>
      <c r="L47" s="12"/>
      <c r="M47" s="40"/>
      <c r="N47" s="29"/>
      <c r="O47" s="12"/>
      <c r="P47" s="39"/>
      <c r="Q47" s="12"/>
      <c r="R47" s="39"/>
      <c r="S47" s="39"/>
      <c r="T47" s="39"/>
      <c r="U47" s="39"/>
      <c r="V47" s="39"/>
      <c r="W47" s="39"/>
      <c r="X47" s="39"/>
      <c r="Y47" s="39"/>
      <c r="Z47" s="39"/>
      <c r="AA47" s="39"/>
      <c r="AB47" s="39"/>
      <c r="AC47" s="39"/>
    </row>
    <row r="48">
      <c r="A48" s="23"/>
      <c r="B48" s="24"/>
      <c r="C48" s="29"/>
      <c r="D48" s="29"/>
      <c r="E48" s="29"/>
      <c r="F48" s="29"/>
      <c r="G48" s="29"/>
      <c r="H48" s="12"/>
      <c r="I48" s="12"/>
      <c r="J48" s="12"/>
      <c r="K48" s="39"/>
      <c r="L48" s="12"/>
      <c r="M48" s="40"/>
      <c r="N48" s="29"/>
      <c r="O48" s="12"/>
      <c r="P48" s="39"/>
      <c r="Q48" s="12"/>
      <c r="R48" s="39"/>
      <c r="S48" s="39"/>
      <c r="T48" s="39"/>
      <c r="U48" s="39"/>
      <c r="V48" s="39"/>
      <c r="W48" s="39"/>
      <c r="X48" s="39"/>
      <c r="Y48" s="39"/>
      <c r="Z48" s="39"/>
      <c r="AA48" s="39"/>
      <c r="AB48" s="39"/>
      <c r="AC48" s="39"/>
    </row>
    <row r="49">
      <c r="A49" s="23"/>
      <c r="B49" s="24"/>
      <c r="C49" s="29"/>
      <c r="D49" s="29"/>
      <c r="E49" s="29"/>
      <c r="F49" s="29"/>
      <c r="G49" s="29"/>
      <c r="H49" s="12"/>
      <c r="I49" s="12"/>
      <c r="J49" s="12"/>
      <c r="K49" s="39"/>
      <c r="L49" s="12"/>
      <c r="M49" s="40"/>
      <c r="N49" s="29"/>
      <c r="O49" s="12"/>
      <c r="P49" s="39"/>
      <c r="Q49" s="12"/>
      <c r="R49" s="39"/>
      <c r="S49" s="39"/>
      <c r="T49" s="39"/>
      <c r="U49" s="39"/>
      <c r="V49" s="39"/>
      <c r="W49" s="39"/>
      <c r="X49" s="39"/>
      <c r="Y49" s="39"/>
      <c r="Z49" s="39"/>
      <c r="AA49" s="39"/>
      <c r="AB49" s="39"/>
      <c r="AC49" s="39"/>
    </row>
    <row r="50">
      <c r="A50" s="23"/>
      <c r="B50" s="24"/>
      <c r="C50" s="29"/>
      <c r="D50" s="29"/>
      <c r="E50" s="29"/>
      <c r="F50" s="29"/>
      <c r="G50" s="29"/>
      <c r="H50" s="12"/>
      <c r="I50" s="12"/>
      <c r="J50" s="12"/>
      <c r="K50" s="39"/>
      <c r="L50" s="12"/>
      <c r="M50" s="40"/>
      <c r="N50" s="29"/>
      <c r="O50" s="12"/>
      <c r="P50" s="39"/>
      <c r="Q50" s="12"/>
      <c r="R50" s="39"/>
      <c r="S50" s="39"/>
      <c r="T50" s="39"/>
      <c r="U50" s="39"/>
      <c r="V50" s="39"/>
      <c r="W50" s="39"/>
      <c r="X50" s="39"/>
      <c r="Y50" s="39"/>
      <c r="Z50" s="39"/>
      <c r="AA50" s="39"/>
      <c r="AB50" s="39"/>
      <c r="AC50" s="39"/>
    </row>
    <row r="51">
      <c r="A51" s="23"/>
      <c r="B51" s="24"/>
      <c r="C51" s="29"/>
      <c r="D51" s="29"/>
      <c r="E51" s="29"/>
      <c r="F51" s="29"/>
      <c r="G51" s="29"/>
      <c r="H51" s="12"/>
      <c r="I51" s="12"/>
      <c r="J51" s="12"/>
      <c r="K51" s="39"/>
      <c r="L51" s="12"/>
      <c r="M51" s="40"/>
      <c r="N51" s="29"/>
      <c r="O51" s="12"/>
      <c r="P51" s="39"/>
      <c r="Q51" s="12"/>
      <c r="R51" s="39"/>
      <c r="S51" s="39"/>
      <c r="T51" s="39"/>
      <c r="U51" s="39"/>
      <c r="V51" s="39"/>
      <c r="W51" s="39"/>
      <c r="X51" s="39"/>
      <c r="Y51" s="39"/>
      <c r="Z51" s="39"/>
      <c r="AA51" s="39"/>
      <c r="AB51" s="39"/>
      <c r="AC51" s="39"/>
    </row>
    <row r="52">
      <c r="A52" s="23"/>
      <c r="B52" s="24"/>
      <c r="C52" s="29"/>
      <c r="D52" s="29"/>
      <c r="E52" s="29"/>
      <c r="F52" s="29"/>
      <c r="G52" s="29"/>
      <c r="H52" s="12"/>
      <c r="I52" s="12"/>
      <c r="J52" s="12"/>
      <c r="K52" s="39"/>
      <c r="L52" s="12"/>
      <c r="M52" s="40"/>
      <c r="N52" s="29"/>
      <c r="O52" s="12"/>
      <c r="P52" s="39"/>
      <c r="Q52" s="12"/>
      <c r="R52" s="39"/>
      <c r="S52" s="39"/>
      <c r="T52" s="39"/>
      <c r="U52" s="39"/>
      <c r="V52" s="39"/>
      <c r="W52" s="39"/>
      <c r="X52" s="39"/>
      <c r="Y52" s="39"/>
      <c r="Z52" s="39"/>
      <c r="AA52" s="39"/>
      <c r="AB52" s="39"/>
      <c r="AC52" s="39"/>
    </row>
    <row r="53">
      <c r="A53" s="23"/>
      <c r="B53" s="24"/>
      <c r="C53" s="29"/>
      <c r="D53" s="29"/>
      <c r="E53" s="29"/>
      <c r="F53" s="29"/>
      <c r="G53" s="29"/>
      <c r="H53" s="12"/>
      <c r="I53" s="12"/>
      <c r="J53" s="12"/>
      <c r="K53" s="39"/>
      <c r="L53" s="12"/>
      <c r="M53" s="40"/>
      <c r="N53" s="29"/>
      <c r="O53" s="12"/>
      <c r="P53" s="39"/>
      <c r="Q53" s="12"/>
      <c r="R53" s="39"/>
      <c r="S53" s="39"/>
      <c r="T53" s="39"/>
      <c r="U53" s="39"/>
      <c r="V53" s="39"/>
      <c r="W53" s="39"/>
      <c r="X53" s="39"/>
      <c r="Y53" s="39"/>
      <c r="Z53" s="39"/>
      <c r="AA53" s="39"/>
      <c r="AB53" s="39"/>
      <c r="AC53" s="39"/>
    </row>
    <row r="54">
      <c r="A54" s="23"/>
      <c r="B54" s="24"/>
      <c r="C54" s="29"/>
      <c r="D54" s="29"/>
      <c r="E54" s="29"/>
      <c r="F54" s="29"/>
      <c r="G54" s="29"/>
      <c r="H54" s="12"/>
      <c r="I54" s="12"/>
      <c r="J54" s="12"/>
      <c r="K54" s="39"/>
      <c r="L54" s="12"/>
      <c r="M54" s="40"/>
      <c r="N54" s="29"/>
      <c r="O54" s="12"/>
      <c r="P54" s="39"/>
      <c r="Q54" s="12"/>
      <c r="R54" s="39"/>
      <c r="S54" s="39"/>
      <c r="T54" s="39"/>
      <c r="U54" s="39"/>
      <c r="V54" s="39"/>
      <c r="W54" s="39"/>
      <c r="X54" s="39"/>
      <c r="Y54" s="39"/>
      <c r="Z54" s="39"/>
      <c r="AA54" s="39"/>
      <c r="AB54" s="39"/>
      <c r="AC54" s="39"/>
    </row>
    <row r="55">
      <c r="A55" s="23"/>
      <c r="B55" s="24"/>
      <c r="C55" s="29"/>
      <c r="D55" s="29"/>
      <c r="E55" s="29"/>
      <c r="F55" s="29"/>
      <c r="G55" s="29"/>
      <c r="H55" s="12"/>
      <c r="I55" s="12"/>
      <c r="J55" s="12"/>
      <c r="K55" s="39"/>
      <c r="L55" s="12"/>
      <c r="M55" s="40"/>
      <c r="N55" s="29"/>
      <c r="O55" s="12"/>
      <c r="P55" s="39"/>
      <c r="Q55" s="12"/>
      <c r="R55" s="39"/>
      <c r="S55" s="39"/>
      <c r="T55" s="39"/>
      <c r="U55" s="39"/>
      <c r="V55" s="39"/>
      <c r="W55" s="39"/>
      <c r="X55" s="39"/>
      <c r="Y55" s="39"/>
      <c r="Z55" s="39"/>
      <c r="AA55" s="39"/>
      <c r="AB55" s="39"/>
      <c r="AC55" s="39"/>
    </row>
    <row r="56">
      <c r="A56" s="23"/>
      <c r="B56" s="24"/>
      <c r="C56" s="29"/>
      <c r="D56" s="29"/>
      <c r="E56" s="29"/>
      <c r="F56" s="29"/>
      <c r="G56" s="29"/>
      <c r="H56" s="12"/>
      <c r="I56" s="12"/>
      <c r="J56" s="12"/>
      <c r="K56" s="39"/>
      <c r="L56" s="12"/>
      <c r="M56" s="40"/>
      <c r="N56" s="29"/>
      <c r="O56" s="12"/>
      <c r="P56" s="39"/>
      <c r="Q56" s="12"/>
      <c r="R56" s="39"/>
      <c r="S56" s="39"/>
      <c r="T56" s="39"/>
      <c r="U56" s="39"/>
      <c r="V56" s="39"/>
      <c r="W56" s="39"/>
      <c r="X56" s="39"/>
      <c r="Y56" s="39"/>
      <c r="Z56" s="39"/>
      <c r="AA56" s="39"/>
      <c r="AB56" s="39"/>
      <c r="AC56" s="39"/>
    </row>
    <row r="57">
      <c r="A57" s="23"/>
      <c r="B57" s="24"/>
      <c r="C57" s="29"/>
      <c r="D57" s="29"/>
      <c r="E57" s="29"/>
      <c r="F57" s="29"/>
      <c r="G57" s="29"/>
      <c r="H57" s="12"/>
      <c r="I57" s="12"/>
      <c r="J57" s="12"/>
      <c r="K57" s="39"/>
      <c r="L57" s="12"/>
      <c r="M57" s="40"/>
      <c r="N57" s="29"/>
      <c r="O57" s="12"/>
      <c r="P57" s="39"/>
      <c r="Q57" s="12"/>
      <c r="R57" s="39"/>
      <c r="S57" s="39"/>
      <c r="T57" s="39"/>
      <c r="U57" s="39"/>
      <c r="V57" s="39"/>
      <c r="W57" s="39"/>
      <c r="X57" s="39"/>
      <c r="Y57" s="39"/>
      <c r="Z57" s="39"/>
      <c r="AA57" s="39"/>
      <c r="AB57" s="39"/>
      <c r="AC57" s="39"/>
    </row>
    <row r="58">
      <c r="A58" s="23"/>
      <c r="B58" s="24"/>
      <c r="C58" s="29"/>
      <c r="D58" s="29"/>
      <c r="E58" s="29"/>
      <c r="F58" s="29"/>
      <c r="G58" s="29"/>
      <c r="H58" s="12"/>
      <c r="I58" s="12"/>
      <c r="J58" s="12"/>
      <c r="K58" s="39"/>
      <c r="L58" s="12"/>
      <c r="M58" s="40"/>
      <c r="N58" s="29"/>
      <c r="O58" s="12"/>
      <c r="P58" s="39"/>
      <c r="Q58" s="12"/>
      <c r="R58" s="39"/>
      <c r="S58" s="39"/>
      <c r="T58" s="39"/>
      <c r="U58" s="39"/>
      <c r="V58" s="39"/>
      <c r="W58" s="39"/>
      <c r="X58" s="39"/>
      <c r="Y58" s="39"/>
      <c r="Z58" s="39"/>
      <c r="AA58" s="39"/>
      <c r="AB58" s="39"/>
      <c r="AC58" s="39"/>
    </row>
    <row r="59">
      <c r="A59" s="23"/>
      <c r="B59" s="24"/>
      <c r="C59" s="29"/>
      <c r="D59" s="29"/>
      <c r="E59" s="29"/>
      <c r="F59" s="29"/>
      <c r="G59" s="29"/>
      <c r="H59" s="12"/>
      <c r="I59" s="12"/>
      <c r="J59" s="12"/>
      <c r="K59" s="39"/>
      <c r="L59" s="12"/>
      <c r="M59" s="40"/>
      <c r="N59" s="29"/>
      <c r="O59" s="12"/>
      <c r="P59" s="39"/>
      <c r="Q59" s="12"/>
      <c r="R59" s="39"/>
      <c r="S59" s="39"/>
      <c r="T59" s="39"/>
      <c r="U59" s="39"/>
      <c r="V59" s="39"/>
      <c r="W59" s="39"/>
      <c r="X59" s="39"/>
      <c r="Y59" s="39"/>
      <c r="Z59" s="39"/>
      <c r="AA59" s="39"/>
      <c r="AB59" s="39"/>
      <c r="AC59" s="39"/>
    </row>
    <row r="60">
      <c r="A60" s="23"/>
      <c r="B60" s="24"/>
      <c r="C60" s="29"/>
      <c r="D60" s="29"/>
      <c r="E60" s="29"/>
      <c r="F60" s="29"/>
      <c r="G60" s="29"/>
      <c r="H60" s="12"/>
      <c r="I60" s="12"/>
      <c r="J60" s="12"/>
      <c r="K60" s="39"/>
      <c r="L60" s="12"/>
      <c r="M60" s="40"/>
      <c r="N60" s="29"/>
      <c r="O60" s="12"/>
      <c r="P60" s="39"/>
      <c r="Q60" s="12"/>
      <c r="R60" s="39"/>
      <c r="S60" s="39"/>
      <c r="T60" s="39"/>
      <c r="U60" s="39"/>
      <c r="V60" s="39"/>
      <c r="W60" s="39"/>
      <c r="X60" s="39"/>
      <c r="Y60" s="39"/>
      <c r="Z60" s="39"/>
      <c r="AA60" s="39"/>
      <c r="AB60" s="39"/>
      <c r="AC60" s="39"/>
    </row>
    <row r="61">
      <c r="A61" s="23"/>
      <c r="B61" s="24"/>
      <c r="C61" s="29"/>
      <c r="D61" s="29"/>
      <c r="E61" s="29"/>
      <c r="F61" s="29"/>
      <c r="G61" s="29"/>
      <c r="H61" s="12"/>
      <c r="I61" s="12"/>
      <c r="J61" s="12"/>
      <c r="K61" s="39"/>
      <c r="L61" s="12"/>
      <c r="M61" s="40"/>
      <c r="N61" s="29"/>
      <c r="O61" s="12"/>
      <c r="P61" s="39"/>
      <c r="Q61" s="12"/>
      <c r="R61" s="39"/>
      <c r="S61" s="39"/>
      <c r="T61" s="39"/>
      <c r="U61" s="39"/>
      <c r="V61" s="39"/>
      <c r="W61" s="39"/>
      <c r="X61" s="39"/>
      <c r="Y61" s="39"/>
      <c r="Z61" s="39"/>
      <c r="AA61" s="39"/>
      <c r="AB61" s="39"/>
      <c r="AC61" s="39"/>
    </row>
    <row r="62">
      <c r="A62" s="23"/>
      <c r="B62" s="24"/>
      <c r="C62" s="29"/>
      <c r="D62" s="29"/>
      <c r="E62" s="29"/>
      <c r="F62" s="29"/>
      <c r="G62" s="29"/>
      <c r="H62" s="12"/>
      <c r="I62" s="12"/>
      <c r="J62" s="12"/>
      <c r="K62" s="39"/>
      <c r="L62" s="12"/>
      <c r="M62" s="40"/>
      <c r="N62" s="29"/>
      <c r="O62" s="12"/>
      <c r="P62" s="39"/>
      <c r="Q62" s="12"/>
      <c r="R62" s="39"/>
      <c r="S62" s="39"/>
      <c r="T62" s="39"/>
      <c r="U62" s="39"/>
      <c r="V62" s="39"/>
      <c r="W62" s="39"/>
      <c r="X62" s="39"/>
      <c r="Y62" s="39"/>
      <c r="Z62" s="39"/>
      <c r="AA62" s="39"/>
      <c r="AB62" s="39"/>
      <c r="AC62" s="39"/>
    </row>
    <row r="63">
      <c r="A63" s="23"/>
      <c r="B63" s="24"/>
      <c r="C63" s="29"/>
      <c r="D63" s="29"/>
      <c r="E63" s="29"/>
      <c r="F63" s="29"/>
      <c r="G63" s="29"/>
      <c r="H63" s="12"/>
      <c r="I63" s="12"/>
      <c r="J63" s="12"/>
      <c r="K63" s="39"/>
      <c r="L63" s="12"/>
      <c r="M63" s="40"/>
      <c r="N63" s="29"/>
      <c r="O63" s="12"/>
      <c r="P63" s="39"/>
      <c r="Q63" s="12"/>
      <c r="R63" s="39"/>
      <c r="S63" s="39"/>
      <c r="T63" s="39"/>
      <c r="U63" s="39"/>
      <c r="V63" s="39"/>
      <c r="W63" s="39"/>
      <c r="X63" s="39"/>
      <c r="Y63" s="39"/>
      <c r="Z63" s="39"/>
      <c r="AA63" s="39"/>
      <c r="AB63" s="39"/>
      <c r="AC63" s="39"/>
    </row>
    <row r="64">
      <c r="A64" s="23"/>
      <c r="B64" s="24"/>
      <c r="C64" s="29"/>
      <c r="D64" s="29"/>
      <c r="E64" s="29"/>
      <c r="F64" s="29"/>
      <c r="G64" s="29"/>
      <c r="H64" s="12"/>
      <c r="I64" s="12"/>
      <c r="J64" s="12"/>
      <c r="K64" s="39"/>
      <c r="L64" s="12"/>
      <c r="M64" s="40"/>
      <c r="N64" s="29"/>
      <c r="O64" s="12"/>
      <c r="P64" s="39"/>
      <c r="Q64" s="12"/>
      <c r="R64" s="39"/>
      <c r="S64" s="39"/>
      <c r="T64" s="39"/>
      <c r="U64" s="39"/>
      <c r="V64" s="39"/>
      <c r="W64" s="39"/>
      <c r="X64" s="39"/>
      <c r="Y64" s="39"/>
      <c r="Z64" s="39"/>
      <c r="AA64" s="39"/>
      <c r="AB64" s="39"/>
      <c r="AC64" s="39"/>
    </row>
    <row r="65">
      <c r="A65" s="23"/>
      <c r="B65" s="24"/>
      <c r="C65" s="29"/>
      <c r="D65" s="29"/>
      <c r="E65" s="29"/>
      <c r="F65" s="29"/>
      <c r="G65" s="29"/>
      <c r="H65" s="12"/>
      <c r="I65" s="12"/>
      <c r="J65" s="12"/>
      <c r="K65" s="39"/>
      <c r="L65" s="12"/>
      <c r="M65" s="40"/>
      <c r="N65" s="29"/>
      <c r="O65" s="12"/>
      <c r="P65" s="39"/>
      <c r="Q65" s="12"/>
      <c r="R65" s="39"/>
      <c r="S65" s="39"/>
      <c r="T65" s="39"/>
      <c r="U65" s="39"/>
      <c r="V65" s="39"/>
      <c r="W65" s="39"/>
      <c r="X65" s="39"/>
      <c r="Y65" s="39"/>
      <c r="Z65" s="39"/>
      <c r="AA65" s="39"/>
      <c r="AB65" s="39"/>
      <c r="AC65" s="39"/>
    </row>
    <row r="66">
      <c r="A66" s="23"/>
      <c r="B66" s="24"/>
      <c r="C66" s="29"/>
      <c r="D66" s="29"/>
      <c r="E66" s="29"/>
      <c r="F66" s="29"/>
      <c r="G66" s="29"/>
      <c r="H66" s="12"/>
      <c r="I66" s="12"/>
      <c r="J66" s="12"/>
      <c r="K66" s="39"/>
      <c r="L66" s="12"/>
      <c r="M66" s="40"/>
      <c r="N66" s="29"/>
      <c r="O66" s="12"/>
      <c r="P66" s="39"/>
      <c r="Q66" s="12"/>
      <c r="R66" s="39"/>
      <c r="S66" s="39"/>
      <c r="T66" s="39"/>
      <c r="U66" s="39"/>
      <c r="V66" s="39"/>
      <c r="W66" s="39"/>
      <c r="X66" s="39"/>
      <c r="Y66" s="39"/>
      <c r="Z66" s="39"/>
      <c r="AA66" s="39"/>
      <c r="AB66" s="39"/>
      <c r="AC66" s="39"/>
    </row>
    <row r="67">
      <c r="A67" s="23"/>
      <c r="B67" s="24"/>
      <c r="C67" s="29"/>
      <c r="D67" s="29"/>
      <c r="E67" s="29"/>
      <c r="F67" s="29"/>
      <c r="G67" s="29"/>
      <c r="H67" s="12"/>
      <c r="I67" s="12"/>
      <c r="J67" s="12"/>
      <c r="K67" s="39"/>
      <c r="L67" s="12"/>
      <c r="M67" s="40"/>
      <c r="N67" s="29"/>
      <c r="O67" s="12"/>
      <c r="P67" s="39"/>
      <c r="Q67" s="12"/>
      <c r="R67" s="39"/>
      <c r="S67" s="39"/>
      <c r="T67" s="39"/>
      <c r="U67" s="39"/>
      <c r="V67" s="39"/>
      <c r="W67" s="39"/>
      <c r="X67" s="39"/>
      <c r="Y67" s="39"/>
      <c r="Z67" s="39"/>
      <c r="AA67" s="39"/>
      <c r="AB67" s="39"/>
      <c r="AC67" s="39"/>
    </row>
    <row r="68">
      <c r="A68" s="23"/>
      <c r="B68" s="24"/>
      <c r="C68" s="29"/>
      <c r="D68" s="29"/>
      <c r="E68" s="29"/>
      <c r="F68" s="29"/>
      <c r="G68" s="29"/>
      <c r="H68" s="12"/>
      <c r="I68" s="12"/>
      <c r="J68" s="12"/>
      <c r="K68" s="39"/>
      <c r="L68" s="12"/>
      <c r="M68" s="40"/>
      <c r="N68" s="29"/>
      <c r="O68" s="12"/>
      <c r="P68" s="39"/>
      <c r="Q68" s="12"/>
      <c r="R68" s="39"/>
      <c r="S68" s="39"/>
      <c r="T68" s="39"/>
      <c r="U68" s="39"/>
      <c r="V68" s="39"/>
      <c r="W68" s="39"/>
      <c r="X68" s="39"/>
      <c r="Y68" s="39"/>
      <c r="Z68" s="39"/>
      <c r="AA68" s="39"/>
      <c r="AB68" s="39"/>
      <c r="AC68" s="39"/>
    </row>
    <row r="69">
      <c r="A69" s="23"/>
      <c r="B69" s="24"/>
      <c r="C69" s="29"/>
      <c r="D69" s="29"/>
      <c r="E69" s="29"/>
      <c r="F69" s="29"/>
      <c r="G69" s="29"/>
      <c r="H69" s="12"/>
      <c r="I69" s="12"/>
      <c r="J69" s="12"/>
      <c r="K69" s="39"/>
      <c r="L69" s="12"/>
      <c r="M69" s="40"/>
      <c r="N69" s="29"/>
      <c r="O69" s="12"/>
      <c r="P69" s="39"/>
      <c r="Q69" s="12"/>
      <c r="R69" s="39"/>
      <c r="S69" s="39"/>
      <c r="T69" s="39"/>
      <c r="U69" s="39"/>
      <c r="V69" s="39"/>
      <c r="W69" s="39"/>
      <c r="X69" s="39"/>
      <c r="Y69" s="39"/>
      <c r="Z69" s="39"/>
      <c r="AA69" s="39"/>
      <c r="AB69" s="39"/>
      <c r="AC69" s="39"/>
    </row>
    <row r="70">
      <c r="A70" s="23"/>
      <c r="B70" s="24"/>
      <c r="C70" s="29"/>
      <c r="D70" s="29"/>
      <c r="E70" s="29"/>
      <c r="F70" s="29"/>
      <c r="G70" s="29"/>
      <c r="H70" s="12"/>
      <c r="I70" s="12"/>
      <c r="J70" s="12"/>
      <c r="K70" s="39"/>
      <c r="L70" s="12"/>
      <c r="M70" s="40"/>
      <c r="N70" s="29"/>
      <c r="O70" s="12"/>
      <c r="P70" s="39"/>
      <c r="Q70" s="12"/>
      <c r="R70" s="39"/>
      <c r="S70" s="39"/>
      <c r="T70" s="39"/>
      <c r="U70" s="39"/>
      <c r="V70" s="39"/>
      <c r="W70" s="39"/>
      <c r="X70" s="39"/>
      <c r="Y70" s="39"/>
      <c r="Z70" s="39"/>
      <c r="AA70" s="39"/>
      <c r="AB70" s="39"/>
      <c r="AC70" s="39"/>
    </row>
    <row r="71">
      <c r="A71" s="23"/>
      <c r="B71" s="24"/>
      <c r="C71" s="29"/>
      <c r="D71" s="29"/>
      <c r="E71" s="29"/>
      <c r="F71" s="29"/>
      <c r="G71" s="29"/>
      <c r="H71" s="12"/>
      <c r="I71" s="12"/>
      <c r="J71" s="12"/>
      <c r="K71" s="39"/>
      <c r="L71" s="12"/>
      <c r="M71" s="40"/>
      <c r="N71" s="29"/>
      <c r="O71" s="12"/>
      <c r="P71" s="39"/>
      <c r="Q71" s="12"/>
      <c r="R71" s="39"/>
      <c r="S71" s="39"/>
      <c r="T71" s="39"/>
      <c r="U71" s="39"/>
      <c r="V71" s="39"/>
      <c r="W71" s="39"/>
      <c r="X71" s="39"/>
      <c r="Y71" s="39"/>
      <c r="Z71" s="39"/>
      <c r="AA71" s="39"/>
      <c r="AB71" s="39"/>
      <c r="AC71" s="39"/>
    </row>
    <row r="72">
      <c r="A72" s="23"/>
      <c r="B72" s="24"/>
      <c r="C72" s="29"/>
      <c r="D72" s="29"/>
      <c r="E72" s="29"/>
      <c r="F72" s="29"/>
      <c r="G72" s="29"/>
      <c r="H72" s="12"/>
      <c r="I72" s="12"/>
      <c r="J72" s="12"/>
      <c r="K72" s="39"/>
      <c r="L72" s="12"/>
      <c r="M72" s="40"/>
      <c r="N72" s="29"/>
      <c r="O72" s="12"/>
      <c r="P72" s="39"/>
      <c r="Q72" s="12"/>
      <c r="R72" s="39"/>
      <c r="S72" s="39"/>
      <c r="T72" s="39"/>
      <c r="U72" s="39"/>
      <c r="V72" s="39"/>
      <c r="W72" s="39"/>
      <c r="X72" s="39"/>
      <c r="Y72" s="39"/>
      <c r="Z72" s="39"/>
      <c r="AA72" s="39"/>
      <c r="AB72" s="39"/>
      <c r="AC72" s="39"/>
    </row>
    <row r="73">
      <c r="A73" s="23"/>
      <c r="B73" s="24"/>
      <c r="C73" s="29"/>
      <c r="D73" s="29"/>
      <c r="E73" s="29"/>
      <c r="F73" s="29"/>
      <c r="G73" s="29"/>
      <c r="H73" s="12"/>
      <c r="I73" s="12"/>
      <c r="J73" s="12"/>
      <c r="K73" s="39"/>
      <c r="L73" s="12"/>
      <c r="M73" s="40"/>
      <c r="N73" s="29"/>
      <c r="O73" s="12"/>
      <c r="P73" s="39"/>
      <c r="Q73" s="12"/>
      <c r="R73" s="39"/>
      <c r="S73" s="39"/>
      <c r="T73" s="39"/>
      <c r="U73" s="39"/>
      <c r="V73" s="39"/>
      <c r="W73" s="39"/>
      <c r="X73" s="39"/>
      <c r="Y73" s="39"/>
      <c r="Z73" s="39"/>
      <c r="AA73" s="39"/>
      <c r="AB73" s="39"/>
      <c r="AC73" s="39"/>
    </row>
    <row r="74">
      <c r="A74" s="23"/>
      <c r="B74" s="24"/>
      <c r="C74" s="29"/>
      <c r="D74" s="29"/>
      <c r="E74" s="29"/>
      <c r="F74" s="29"/>
      <c r="G74" s="29"/>
      <c r="H74" s="12"/>
      <c r="I74" s="12"/>
      <c r="J74" s="12"/>
      <c r="K74" s="39"/>
      <c r="L74" s="12"/>
      <c r="M74" s="40"/>
      <c r="N74" s="29"/>
      <c r="O74" s="12"/>
      <c r="P74" s="39"/>
      <c r="Q74" s="12"/>
      <c r="R74" s="39"/>
      <c r="S74" s="39"/>
      <c r="T74" s="39"/>
      <c r="U74" s="39"/>
      <c r="V74" s="39"/>
      <c r="W74" s="39"/>
      <c r="X74" s="39"/>
      <c r="Y74" s="39"/>
      <c r="Z74" s="39"/>
      <c r="AA74" s="39"/>
      <c r="AB74" s="39"/>
      <c r="AC74" s="39"/>
    </row>
    <row r="75">
      <c r="A75" s="23"/>
      <c r="B75" s="24"/>
      <c r="C75" s="29"/>
      <c r="D75" s="29"/>
      <c r="E75" s="29"/>
      <c r="F75" s="29"/>
      <c r="G75" s="29"/>
      <c r="H75" s="12"/>
      <c r="I75" s="12"/>
      <c r="J75" s="12"/>
      <c r="K75" s="39"/>
      <c r="L75" s="12"/>
      <c r="M75" s="40"/>
      <c r="N75" s="29"/>
      <c r="O75" s="12"/>
      <c r="P75" s="39"/>
      <c r="Q75" s="12"/>
      <c r="R75" s="39"/>
      <c r="S75" s="39"/>
      <c r="T75" s="39"/>
      <c r="U75" s="39"/>
      <c r="V75" s="39"/>
      <c r="W75" s="39"/>
      <c r="X75" s="39"/>
      <c r="Y75" s="39"/>
      <c r="Z75" s="39"/>
      <c r="AA75" s="39"/>
      <c r="AB75" s="39"/>
      <c r="AC75" s="39"/>
    </row>
    <row r="76">
      <c r="A76" s="23"/>
      <c r="B76" s="24"/>
      <c r="C76" s="29"/>
      <c r="D76" s="29"/>
      <c r="E76" s="29"/>
      <c r="F76" s="29"/>
      <c r="G76" s="29"/>
      <c r="H76" s="12"/>
      <c r="I76" s="12"/>
      <c r="J76" s="12"/>
      <c r="K76" s="39"/>
      <c r="L76" s="12"/>
      <c r="M76" s="40"/>
      <c r="N76" s="29"/>
      <c r="O76" s="12"/>
      <c r="P76" s="39"/>
      <c r="Q76" s="12"/>
      <c r="R76" s="39"/>
      <c r="S76" s="39"/>
      <c r="T76" s="39"/>
      <c r="U76" s="39"/>
      <c r="V76" s="39"/>
      <c r="W76" s="39"/>
      <c r="X76" s="39"/>
      <c r="Y76" s="39"/>
      <c r="Z76" s="39"/>
      <c r="AA76" s="39"/>
      <c r="AB76" s="39"/>
      <c r="AC76" s="39"/>
    </row>
    <row r="77">
      <c r="A77" s="23"/>
      <c r="B77" s="24"/>
      <c r="C77" s="29"/>
      <c r="D77" s="29"/>
      <c r="E77" s="29"/>
      <c r="F77" s="29"/>
      <c r="G77" s="29"/>
      <c r="H77" s="12"/>
      <c r="I77" s="12"/>
      <c r="J77" s="12"/>
      <c r="K77" s="39"/>
      <c r="L77" s="12"/>
      <c r="M77" s="40"/>
      <c r="N77" s="29"/>
      <c r="O77" s="12"/>
      <c r="P77" s="39"/>
      <c r="Q77" s="12"/>
      <c r="R77" s="39"/>
      <c r="S77" s="39"/>
      <c r="T77" s="39"/>
      <c r="U77" s="39"/>
      <c r="V77" s="39"/>
      <c r="W77" s="39"/>
      <c r="X77" s="39"/>
      <c r="Y77" s="39"/>
      <c r="Z77" s="39"/>
      <c r="AA77" s="39"/>
      <c r="AB77" s="39"/>
      <c r="AC77" s="39"/>
    </row>
    <row r="78">
      <c r="A78" s="23"/>
      <c r="B78" s="24"/>
      <c r="C78" s="29"/>
      <c r="D78" s="29"/>
      <c r="E78" s="29"/>
      <c r="F78" s="29"/>
      <c r="G78" s="29"/>
      <c r="H78" s="12"/>
      <c r="I78" s="12"/>
      <c r="J78" s="12"/>
      <c r="K78" s="39"/>
      <c r="L78" s="12"/>
      <c r="M78" s="40"/>
      <c r="N78" s="29"/>
      <c r="O78" s="12"/>
      <c r="P78" s="39"/>
      <c r="Q78" s="12"/>
      <c r="R78" s="39"/>
      <c r="S78" s="39"/>
      <c r="T78" s="39"/>
      <c r="U78" s="39"/>
      <c r="V78" s="39"/>
      <c r="W78" s="39"/>
      <c r="X78" s="39"/>
      <c r="Y78" s="39"/>
      <c r="Z78" s="39"/>
      <c r="AA78" s="39"/>
      <c r="AB78" s="39"/>
      <c r="AC78" s="39"/>
    </row>
    <row r="79">
      <c r="A79" s="23"/>
      <c r="B79" s="24"/>
      <c r="C79" s="29"/>
      <c r="D79" s="29"/>
      <c r="E79" s="29"/>
      <c r="F79" s="29"/>
      <c r="G79" s="29"/>
      <c r="H79" s="12"/>
      <c r="I79" s="12"/>
      <c r="J79" s="12"/>
      <c r="K79" s="39"/>
      <c r="L79" s="12"/>
      <c r="M79" s="40"/>
      <c r="N79" s="29"/>
      <c r="O79" s="12"/>
      <c r="P79" s="39"/>
      <c r="Q79" s="12"/>
      <c r="R79" s="39"/>
      <c r="S79" s="39"/>
      <c r="T79" s="39"/>
      <c r="U79" s="39"/>
      <c r="V79" s="39"/>
      <c r="W79" s="39"/>
      <c r="X79" s="39"/>
      <c r="Y79" s="39"/>
      <c r="Z79" s="39"/>
      <c r="AA79" s="39"/>
      <c r="AB79" s="39"/>
      <c r="AC79" s="39"/>
    </row>
    <row r="80">
      <c r="A80" s="23"/>
      <c r="B80" s="24"/>
      <c r="C80" s="29"/>
      <c r="D80" s="29"/>
      <c r="E80" s="29"/>
      <c r="F80" s="29"/>
      <c r="G80" s="29"/>
      <c r="H80" s="12"/>
      <c r="I80" s="12"/>
      <c r="J80" s="12"/>
      <c r="K80" s="39"/>
      <c r="L80" s="12"/>
      <c r="M80" s="40"/>
      <c r="N80" s="29"/>
      <c r="O80" s="12"/>
      <c r="P80" s="39"/>
      <c r="Q80" s="12"/>
      <c r="R80" s="39"/>
      <c r="S80" s="39"/>
      <c r="T80" s="39"/>
      <c r="U80" s="39"/>
      <c r="V80" s="39"/>
      <c r="W80" s="39"/>
      <c r="X80" s="39"/>
      <c r="Y80" s="39"/>
      <c r="Z80" s="39"/>
      <c r="AA80" s="39"/>
      <c r="AB80" s="39"/>
      <c r="AC80" s="39"/>
    </row>
    <row r="81">
      <c r="A81" s="23"/>
      <c r="B81" s="24"/>
      <c r="C81" s="29"/>
      <c r="D81" s="29"/>
      <c r="E81" s="29"/>
      <c r="F81" s="29"/>
      <c r="G81" s="29"/>
      <c r="H81" s="12"/>
      <c r="I81" s="12"/>
      <c r="J81" s="12"/>
      <c r="K81" s="39"/>
      <c r="L81" s="12"/>
      <c r="M81" s="40"/>
      <c r="N81" s="29"/>
      <c r="O81" s="12"/>
      <c r="P81" s="39"/>
      <c r="Q81" s="12"/>
      <c r="R81" s="39"/>
      <c r="S81" s="39"/>
      <c r="T81" s="39"/>
      <c r="U81" s="39"/>
      <c r="V81" s="39"/>
      <c r="W81" s="39"/>
      <c r="X81" s="39"/>
      <c r="Y81" s="39"/>
      <c r="Z81" s="39"/>
      <c r="AA81" s="39"/>
      <c r="AB81" s="39"/>
      <c r="AC81" s="39"/>
    </row>
    <row r="82">
      <c r="A82" s="23"/>
      <c r="B82" s="24"/>
      <c r="C82" s="29"/>
      <c r="D82" s="29"/>
      <c r="E82" s="29"/>
      <c r="F82" s="29"/>
      <c r="G82" s="29"/>
      <c r="H82" s="12"/>
      <c r="I82" s="12"/>
      <c r="J82" s="12"/>
      <c r="K82" s="39"/>
      <c r="L82" s="12"/>
      <c r="M82" s="40"/>
      <c r="N82" s="29"/>
      <c r="O82" s="12"/>
      <c r="P82" s="39"/>
      <c r="Q82" s="12"/>
      <c r="R82" s="39"/>
      <c r="S82" s="39"/>
      <c r="T82" s="39"/>
      <c r="U82" s="39"/>
      <c r="V82" s="39"/>
      <c r="W82" s="39"/>
      <c r="X82" s="39"/>
      <c r="Y82" s="39"/>
      <c r="Z82" s="39"/>
      <c r="AA82" s="39"/>
      <c r="AB82" s="39"/>
      <c r="AC82" s="39"/>
    </row>
    <row r="83">
      <c r="A83" s="23"/>
      <c r="B83" s="24"/>
      <c r="C83" s="29"/>
      <c r="D83" s="29"/>
      <c r="E83" s="29"/>
      <c r="F83" s="29"/>
      <c r="G83" s="29"/>
      <c r="H83" s="12"/>
      <c r="I83" s="12"/>
      <c r="J83" s="12"/>
      <c r="K83" s="39"/>
      <c r="L83" s="12"/>
      <c r="M83" s="40"/>
      <c r="N83" s="29"/>
      <c r="O83" s="12"/>
      <c r="P83" s="39"/>
      <c r="Q83" s="12"/>
      <c r="R83" s="39"/>
      <c r="S83" s="39"/>
      <c r="T83" s="39"/>
      <c r="U83" s="39"/>
      <c r="V83" s="39"/>
      <c r="W83" s="39"/>
      <c r="X83" s="39"/>
      <c r="Y83" s="39"/>
      <c r="Z83" s="39"/>
      <c r="AA83" s="39"/>
      <c r="AB83" s="39"/>
      <c r="AC83" s="39"/>
    </row>
    <row r="84">
      <c r="A84" s="23"/>
      <c r="B84" s="24"/>
      <c r="C84" s="29"/>
      <c r="D84" s="29"/>
      <c r="E84" s="29"/>
      <c r="F84" s="29"/>
      <c r="G84" s="29"/>
      <c r="H84" s="12"/>
      <c r="I84" s="12"/>
      <c r="J84" s="12"/>
      <c r="K84" s="39"/>
      <c r="L84" s="12"/>
      <c r="M84" s="40"/>
      <c r="N84" s="29"/>
      <c r="O84" s="12"/>
      <c r="P84" s="39"/>
      <c r="Q84" s="12"/>
      <c r="R84" s="39"/>
      <c r="S84" s="39"/>
      <c r="T84" s="39"/>
      <c r="U84" s="39"/>
      <c r="V84" s="39"/>
      <c r="W84" s="39"/>
      <c r="X84" s="39"/>
      <c r="Y84" s="39"/>
      <c r="Z84" s="39"/>
      <c r="AA84" s="39"/>
      <c r="AB84" s="39"/>
      <c r="AC84" s="39"/>
    </row>
    <row r="85">
      <c r="A85" s="23"/>
      <c r="B85" s="24"/>
      <c r="C85" s="29"/>
      <c r="D85" s="29"/>
      <c r="E85" s="29"/>
      <c r="F85" s="29"/>
      <c r="G85" s="29"/>
      <c r="H85" s="12"/>
      <c r="I85" s="12"/>
      <c r="J85" s="12"/>
      <c r="K85" s="39"/>
      <c r="L85" s="12"/>
      <c r="M85" s="40"/>
      <c r="N85" s="29"/>
      <c r="O85" s="12"/>
      <c r="P85" s="39"/>
      <c r="Q85" s="12"/>
      <c r="R85" s="39"/>
      <c r="S85" s="39"/>
      <c r="T85" s="39"/>
      <c r="U85" s="39"/>
      <c r="V85" s="39"/>
      <c r="W85" s="39"/>
      <c r="X85" s="39"/>
      <c r="Y85" s="39"/>
      <c r="Z85" s="39"/>
      <c r="AA85" s="39"/>
      <c r="AB85" s="39"/>
      <c r="AC85" s="39"/>
    </row>
    <row r="86">
      <c r="A86" s="23"/>
      <c r="B86" s="24"/>
      <c r="C86" s="29"/>
      <c r="D86" s="29"/>
      <c r="E86" s="29"/>
      <c r="F86" s="29"/>
      <c r="G86" s="29"/>
      <c r="H86" s="12"/>
      <c r="I86" s="12"/>
      <c r="J86" s="12"/>
      <c r="K86" s="39"/>
      <c r="L86" s="12"/>
      <c r="M86" s="40"/>
      <c r="N86" s="29"/>
      <c r="O86" s="12"/>
      <c r="P86" s="39"/>
      <c r="Q86" s="12"/>
      <c r="R86" s="39"/>
      <c r="S86" s="39"/>
      <c r="T86" s="39"/>
      <c r="U86" s="39"/>
      <c r="V86" s="39"/>
      <c r="W86" s="39"/>
      <c r="X86" s="39"/>
      <c r="Y86" s="39"/>
      <c r="Z86" s="39"/>
      <c r="AA86" s="39"/>
      <c r="AB86" s="39"/>
      <c r="AC86" s="39"/>
    </row>
    <row r="87">
      <c r="A87" s="23"/>
      <c r="B87" s="24"/>
      <c r="C87" s="29"/>
      <c r="D87" s="29"/>
      <c r="E87" s="29"/>
      <c r="F87" s="29"/>
      <c r="G87" s="29"/>
      <c r="H87" s="12"/>
      <c r="I87" s="12"/>
      <c r="J87" s="12"/>
      <c r="K87" s="39"/>
      <c r="L87" s="12"/>
      <c r="M87" s="40"/>
      <c r="N87" s="29"/>
      <c r="O87" s="12"/>
      <c r="P87" s="39"/>
      <c r="Q87" s="12"/>
      <c r="R87" s="39"/>
      <c r="S87" s="39"/>
      <c r="T87" s="39"/>
      <c r="U87" s="39"/>
      <c r="V87" s="39"/>
      <c r="W87" s="39"/>
      <c r="X87" s="39"/>
      <c r="Y87" s="39"/>
      <c r="Z87" s="39"/>
      <c r="AA87" s="39"/>
      <c r="AB87" s="39"/>
      <c r="AC87" s="39"/>
    </row>
    <row r="88">
      <c r="A88" s="23"/>
      <c r="B88" s="24"/>
      <c r="C88" s="29"/>
      <c r="D88" s="29"/>
      <c r="E88" s="29"/>
      <c r="F88" s="29"/>
      <c r="G88" s="29"/>
      <c r="H88" s="12"/>
      <c r="I88" s="12"/>
      <c r="J88" s="12"/>
      <c r="K88" s="39"/>
      <c r="L88" s="12"/>
      <c r="M88" s="40"/>
      <c r="N88" s="29"/>
      <c r="O88" s="12"/>
      <c r="P88" s="39"/>
      <c r="Q88" s="12"/>
      <c r="R88" s="39"/>
      <c r="S88" s="39"/>
      <c r="T88" s="39"/>
      <c r="U88" s="39"/>
      <c r="V88" s="39"/>
      <c r="W88" s="39"/>
      <c r="X88" s="39"/>
      <c r="Y88" s="39"/>
      <c r="Z88" s="39"/>
      <c r="AA88" s="39"/>
      <c r="AB88" s="39"/>
      <c r="AC88" s="39"/>
    </row>
    <row r="89">
      <c r="A89" s="23"/>
      <c r="B89" s="24"/>
      <c r="C89" s="29"/>
      <c r="D89" s="29"/>
      <c r="E89" s="29"/>
      <c r="F89" s="29"/>
      <c r="G89" s="29"/>
      <c r="H89" s="12"/>
      <c r="I89" s="12"/>
      <c r="J89" s="12"/>
      <c r="K89" s="39"/>
      <c r="L89" s="12"/>
      <c r="M89" s="40"/>
      <c r="N89" s="29"/>
      <c r="O89" s="12"/>
      <c r="P89" s="39"/>
      <c r="Q89" s="12"/>
      <c r="R89" s="39"/>
      <c r="S89" s="39"/>
      <c r="T89" s="39"/>
      <c r="U89" s="39"/>
      <c r="V89" s="39"/>
      <c r="W89" s="39"/>
      <c r="X89" s="39"/>
      <c r="Y89" s="39"/>
      <c r="Z89" s="39"/>
      <c r="AA89" s="39"/>
      <c r="AB89" s="39"/>
      <c r="AC89" s="39"/>
    </row>
    <row r="90">
      <c r="A90" s="23"/>
      <c r="B90" s="24"/>
      <c r="C90" s="29"/>
      <c r="D90" s="29"/>
      <c r="E90" s="29"/>
      <c r="F90" s="29"/>
      <c r="G90" s="29"/>
      <c r="H90" s="12"/>
      <c r="I90" s="12"/>
      <c r="J90" s="12"/>
      <c r="K90" s="39"/>
      <c r="L90" s="12"/>
      <c r="M90" s="40"/>
      <c r="N90" s="29"/>
      <c r="O90" s="12"/>
      <c r="P90" s="39"/>
      <c r="Q90" s="12"/>
      <c r="R90" s="39"/>
      <c r="S90" s="39"/>
      <c r="T90" s="39"/>
      <c r="U90" s="39"/>
      <c r="V90" s="39"/>
      <c r="W90" s="39"/>
      <c r="X90" s="39"/>
      <c r="Y90" s="39"/>
      <c r="Z90" s="39"/>
      <c r="AA90" s="39"/>
      <c r="AB90" s="39"/>
      <c r="AC90" s="39"/>
    </row>
    <row r="91">
      <c r="A91" s="23"/>
      <c r="B91" s="24"/>
      <c r="C91" s="29"/>
      <c r="D91" s="29"/>
      <c r="E91" s="29"/>
      <c r="F91" s="29"/>
      <c r="G91" s="29"/>
      <c r="H91" s="12"/>
      <c r="I91" s="12"/>
      <c r="J91" s="12"/>
      <c r="K91" s="39"/>
      <c r="L91" s="12"/>
      <c r="M91" s="40"/>
      <c r="N91" s="29"/>
      <c r="O91" s="12"/>
      <c r="P91" s="39"/>
      <c r="Q91" s="12"/>
      <c r="R91" s="39"/>
      <c r="S91" s="39"/>
      <c r="T91" s="39"/>
      <c r="U91" s="39"/>
      <c r="V91" s="39"/>
      <c r="W91" s="39"/>
      <c r="X91" s="39"/>
      <c r="Y91" s="39"/>
      <c r="Z91" s="39"/>
      <c r="AA91" s="39"/>
      <c r="AB91" s="39"/>
      <c r="AC91" s="39"/>
    </row>
    <row r="92">
      <c r="A92" s="23"/>
      <c r="B92" s="24"/>
      <c r="C92" s="29"/>
      <c r="D92" s="29"/>
      <c r="E92" s="29"/>
      <c r="F92" s="29"/>
      <c r="G92" s="29"/>
      <c r="H92" s="12"/>
      <c r="I92" s="12"/>
      <c r="J92" s="12"/>
      <c r="K92" s="39"/>
      <c r="L92" s="12"/>
      <c r="M92" s="40"/>
      <c r="N92" s="29"/>
      <c r="O92" s="12"/>
      <c r="P92" s="39"/>
      <c r="Q92" s="12"/>
      <c r="R92" s="39"/>
      <c r="S92" s="39"/>
      <c r="T92" s="39"/>
      <c r="U92" s="39"/>
      <c r="V92" s="39"/>
      <c r="W92" s="39"/>
      <c r="X92" s="39"/>
      <c r="Y92" s="39"/>
      <c r="Z92" s="39"/>
      <c r="AA92" s="39"/>
      <c r="AB92" s="39"/>
      <c r="AC92" s="39"/>
    </row>
    <row r="93">
      <c r="A93" s="23"/>
      <c r="B93" s="24"/>
      <c r="C93" s="29"/>
      <c r="D93" s="29"/>
      <c r="E93" s="29"/>
      <c r="F93" s="29"/>
      <c r="G93" s="29"/>
      <c r="H93" s="12"/>
      <c r="I93" s="12"/>
      <c r="J93" s="12"/>
      <c r="K93" s="39"/>
      <c r="L93" s="12"/>
      <c r="M93" s="40"/>
      <c r="N93" s="29"/>
      <c r="O93" s="12"/>
      <c r="P93" s="39"/>
      <c r="Q93" s="12"/>
      <c r="R93" s="39"/>
      <c r="S93" s="39"/>
      <c r="T93" s="39"/>
      <c r="U93" s="39"/>
      <c r="V93" s="39"/>
      <c r="W93" s="39"/>
      <c r="X93" s="39"/>
      <c r="Y93" s="39"/>
      <c r="Z93" s="39"/>
      <c r="AA93" s="39"/>
      <c r="AB93" s="39"/>
      <c r="AC93" s="39"/>
    </row>
    <row r="94">
      <c r="A94" s="23"/>
      <c r="B94" s="24"/>
      <c r="C94" s="29"/>
      <c r="D94" s="29"/>
      <c r="E94" s="29"/>
      <c r="F94" s="29"/>
      <c r="G94" s="29"/>
      <c r="H94" s="12"/>
      <c r="I94" s="12"/>
      <c r="J94" s="12"/>
      <c r="K94" s="39"/>
      <c r="L94" s="12"/>
      <c r="M94" s="40"/>
      <c r="N94" s="29"/>
      <c r="O94" s="12"/>
      <c r="P94" s="39"/>
      <c r="Q94" s="12"/>
      <c r="R94" s="39"/>
      <c r="S94" s="39"/>
      <c r="T94" s="39"/>
      <c r="U94" s="39"/>
      <c r="V94" s="39"/>
      <c r="W94" s="39"/>
      <c r="X94" s="39"/>
      <c r="Y94" s="39"/>
      <c r="Z94" s="39"/>
      <c r="AA94" s="39"/>
      <c r="AB94" s="39"/>
      <c r="AC94" s="39"/>
    </row>
    <row r="95">
      <c r="A95" s="23"/>
      <c r="B95" s="24"/>
      <c r="C95" s="29"/>
      <c r="D95" s="29"/>
      <c r="E95" s="29"/>
      <c r="F95" s="29"/>
      <c r="G95" s="29"/>
      <c r="H95" s="12"/>
      <c r="I95" s="12"/>
      <c r="J95" s="12"/>
      <c r="K95" s="39"/>
      <c r="L95" s="12"/>
      <c r="M95" s="40"/>
      <c r="N95" s="29"/>
      <c r="O95" s="12"/>
      <c r="P95" s="39"/>
      <c r="Q95" s="12"/>
      <c r="R95" s="39"/>
      <c r="S95" s="39"/>
      <c r="T95" s="39"/>
      <c r="U95" s="39"/>
      <c r="V95" s="39"/>
      <c r="W95" s="39"/>
      <c r="X95" s="39"/>
      <c r="Y95" s="39"/>
      <c r="Z95" s="39"/>
      <c r="AA95" s="39"/>
      <c r="AB95" s="39"/>
      <c r="AC95" s="39"/>
    </row>
    <row r="96">
      <c r="A96" s="23"/>
      <c r="B96" s="24"/>
      <c r="C96" s="29"/>
      <c r="D96" s="29"/>
      <c r="E96" s="29"/>
      <c r="F96" s="29"/>
      <c r="G96" s="29"/>
      <c r="H96" s="12"/>
      <c r="I96" s="12"/>
      <c r="J96" s="12"/>
      <c r="K96" s="39"/>
      <c r="L96" s="12"/>
      <c r="M96" s="40"/>
      <c r="N96" s="29"/>
      <c r="O96" s="12"/>
      <c r="P96" s="39"/>
      <c r="Q96" s="12"/>
      <c r="R96" s="39"/>
      <c r="S96" s="39"/>
      <c r="T96" s="39"/>
      <c r="U96" s="39"/>
      <c r="V96" s="39"/>
      <c r="W96" s="39"/>
      <c r="X96" s="39"/>
      <c r="Y96" s="39"/>
      <c r="Z96" s="39"/>
      <c r="AA96" s="39"/>
      <c r="AB96" s="39"/>
      <c r="AC96" s="39"/>
    </row>
    <row r="97">
      <c r="A97" s="23"/>
      <c r="B97" s="24"/>
      <c r="C97" s="29"/>
      <c r="D97" s="29"/>
      <c r="E97" s="29"/>
      <c r="F97" s="29"/>
      <c r="G97" s="29"/>
      <c r="H97" s="12"/>
      <c r="I97" s="12"/>
      <c r="J97" s="12"/>
      <c r="K97" s="39"/>
      <c r="L97" s="12"/>
      <c r="M97" s="40"/>
      <c r="N97" s="29"/>
      <c r="O97" s="12"/>
      <c r="P97" s="39"/>
      <c r="Q97" s="12"/>
      <c r="R97" s="39"/>
      <c r="S97" s="39"/>
      <c r="T97" s="39"/>
      <c r="U97" s="39"/>
      <c r="V97" s="39"/>
      <c r="W97" s="39"/>
      <c r="X97" s="39"/>
      <c r="Y97" s="39"/>
      <c r="Z97" s="39"/>
      <c r="AA97" s="39"/>
      <c r="AB97" s="39"/>
      <c r="AC97" s="39"/>
    </row>
    <row r="98">
      <c r="A98" s="23"/>
      <c r="B98" s="24"/>
      <c r="C98" s="29"/>
      <c r="D98" s="29"/>
      <c r="E98" s="29"/>
      <c r="F98" s="29"/>
      <c r="G98" s="29"/>
      <c r="H98" s="12"/>
      <c r="I98" s="12"/>
      <c r="J98" s="12"/>
      <c r="K98" s="39"/>
      <c r="L98" s="12"/>
      <c r="M98" s="40"/>
      <c r="N98" s="29"/>
      <c r="O98" s="12"/>
      <c r="P98" s="39"/>
      <c r="Q98" s="12"/>
      <c r="R98" s="39"/>
      <c r="S98" s="39"/>
      <c r="T98" s="39"/>
      <c r="U98" s="39"/>
      <c r="V98" s="39"/>
      <c r="W98" s="39"/>
      <c r="X98" s="39"/>
      <c r="Y98" s="39"/>
      <c r="Z98" s="39"/>
      <c r="AA98" s="39"/>
      <c r="AB98" s="39"/>
      <c r="AC98" s="39"/>
    </row>
    <row r="99">
      <c r="A99" s="23"/>
      <c r="B99" s="24"/>
      <c r="C99" s="29"/>
      <c r="D99" s="29"/>
      <c r="E99" s="29"/>
      <c r="F99" s="29"/>
      <c r="G99" s="29"/>
      <c r="H99" s="12"/>
      <c r="I99" s="12"/>
      <c r="J99" s="12"/>
      <c r="K99" s="39"/>
      <c r="L99" s="12"/>
      <c r="M99" s="40"/>
      <c r="N99" s="29"/>
      <c r="O99" s="12"/>
      <c r="P99" s="39"/>
      <c r="Q99" s="12"/>
      <c r="R99" s="39"/>
      <c r="S99" s="39"/>
      <c r="T99" s="39"/>
      <c r="U99" s="39"/>
      <c r="V99" s="39"/>
      <c r="W99" s="39"/>
      <c r="X99" s="39"/>
      <c r="Y99" s="39"/>
      <c r="Z99" s="39"/>
      <c r="AA99" s="39"/>
      <c r="AB99" s="39"/>
      <c r="AC99" s="39"/>
    </row>
    <row r="100">
      <c r="A100" s="23"/>
      <c r="B100" s="24"/>
      <c r="C100" s="29"/>
      <c r="D100" s="29"/>
      <c r="E100" s="29"/>
      <c r="F100" s="29"/>
      <c r="G100" s="29"/>
      <c r="H100" s="12"/>
      <c r="I100" s="12"/>
      <c r="J100" s="12"/>
      <c r="K100" s="39"/>
      <c r="L100" s="12"/>
      <c r="M100" s="40"/>
      <c r="N100" s="29"/>
      <c r="O100" s="12"/>
      <c r="P100" s="39"/>
      <c r="Q100" s="12"/>
      <c r="R100" s="39"/>
      <c r="S100" s="39"/>
      <c r="T100" s="39"/>
      <c r="U100" s="39"/>
      <c r="V100" s="39"/>
      <c r="W100" s="39"/>
      <c r="X100" s="39"/>
      <c r="Y100" s="39"/>
      <c r="Z100" s="39"/>
      <c r="AA100" s="39"/>
      <c r="AB100" s="39"/>
      <c r="AC100" s="39"/>
    </row>
    <row r="101">
      <c r="A101" s="23"/>
      <c r="B101" s="24"/>
      <c r="C101" s="29"/>
      <c r="D101" s="29"/>
      <c r="E101" s="29"/>
      <c r="F101" s="29"/>
      <c r="G101" s="29"/>
      <c r="H101" s="12"/>
      <c r="I101" s="12"/>
      <c r="J101" s="12"/>
      <c r="K101" s="39"/>
      <c r="L101" s="12"/>
      <c r="M101" s="40"/>
      <c r="N101" s="29"/>
      <c r="O101" s="12"/>
      <c r="P101" s="39"/>
      <c r="Q101" s="12"/>
      <c r="R101" s="39"/>
      <c r="S101" s="39"/>
      <c r="T101" s="39"/>
      <c r="U101" s="39"/>
      <c r="V101" s="39"/>
      <c r="W101" s="39"/>
      <c r="X101" s="39"/>
      <c r="Y101" s="39"/>
      <c r="Z101" s="39"/>
      <c r="AA101" s="39"/>
      <c r="AB101" s="39"/>
      <c r="AC101" s="39"/>
    </row>
    <row r="102">
      <c r="A102" s="23"/>
      <c r="B102" s="24"/>
      <c r="C102" s="29"/>
      <c r="D102" s="29"/>
      <c r="E102" s="29"/>
      <c r="F102" s="29"/>
      <c r="G102" s="29"/>
      <c r="H102" s="12"/>
      <c r="I102" s="12"/>
      <c r="J102" s="12"/>
      <c r="K102" s="39"/>
      <c r="L102" s="12"/>
      <c r="M102" s="40"/>
      <c r="N102" s="29"/>
      <c r="O102" s="12"/>
      <c r="P102" s="39"/>
      <c r="Q102" s="12"/>
      <c r="R102" s="39"/>
      <c r="S102" s="39"/>
      <c r="T102" s="39"/>
      <c r="U102" s="39"/>
      <c r="V102" s="39"/>
      <c r="W102" s="39"/>
      <c r="X102" s="39"/>
      <c r="Y102" s="39"/>
      <c r="Z102" s="39"/>
      <c r="AA102" s="39"/>
      <c r="AB102" s="39"/>
      <c r="AC102" s="39"/>
    </row>
    <row r="103">
      <c r="A103" s="23"/>
      <c r="B103" s="24"/>
      <c r="C103" s="29"/>
      <c r="D103" s="29"/>
      <c r="E103" s="29"/>
      <c r="F103" s="29"/>
      <c r="G103" s="29"/>
      <c r="H103" s="12"/>
      <c r="I103" s="12"/>
      <c r="J103" s="12"/>
      <c r="K103" s="39"/>
      <c r="L103" s="12"/>
      <c r="M103" s="40"/>
      <c r="N103" s="29"/>
      <c r="O103" s="12"/>
      <c r="P103" s="39"/>
      <c r="Q103" s="12"/>
      <c r="R103" s="39"/>
      <c r="S103" s="39"/>
      <c r="T103" s="39"/>
      <c r="U103" s="39"/>
      <c r="V103" s="39"/>
      <c r="W103" s="39"/>
      <c r="X103" s="39"/>
      <c r="Y103" s="39"/>
      <c r="Z103" s="39"/>
      <c r="AA103" s="39"/>
      <c r="AB103" s="39"/>
      <c r="AC103" s="39"/>
    </row>
    <row r="104">
      <c r="A104" s="23"/>
      <c r="B104" s="24"/>
      <c r="C104" s="29"/>
      <c r="D104" s="29"/>
      <c r="E104" s="29"/>
      <c r="F104" s="29"/>
      <c r="G104" s="29"/>
      <c r="H104" s="12"/>
      <c r="I104" s="12"/>
      <c r="J104" s="12"/>
      <c r="K104" s="39"/>
      <c r="L104" s="12"/>
      <c r="M104" s="40"/>
      <c r="N104" s="29"/>
      <c r="O104" s="12"/>
      <c r="P104" s="39"/>
      <c r="Q104" s="12"/>
      <c r="R104" s="39"/>
      <c r="S104" s="39"/>
      <c r="T104" s="39"/>
      <c r="U104" s="39"/>
      <c r="V104" s="39"/>
      <c r="W104" s="39"/>
      <c r="X104" s="39"/>
      <c r="Y104" s="39"/>
      <c r="Z104" s="39"/>
      <c r="AA104" s="39"/>
      <c r="AB104" s="39"/>
      <c r="AC104" s="39"/>
    </row>
    <row r="105">
      <c r="A105" s="23"/>
      <c r="B105" s="24"/>
      <c r="C105" s="29"/>
      <c r="D105" s="29"/>
      <c r="E105" s="29"/>
      <c r="F105" s="29"/>
      <c r="G105" s="29"/>
      <c r="H105" s="12"/>
      <c r="I105" s="12"/>
      <c r="J105" s="12"/>
      <c r="K105" s="39"/>
      <c r="L105" s="12"/>
      <c r="M105" s="40"/>
      <c r="N105" s="29"/>
      <c r="O105" s="12"/>
      <c r="P105" s="39"/>
      <c r="Q105" s="12"/>
      <c r="R105" s="39"/>
      <c r="S105" s="39"/>
      <c r="T105" s="39"/>
      <c r="U105" s="39"/>
      <c r="V105" s="39"/>
      <c r="W105" s="39"/>
      <c r="X105" s="39"/>
      <c r="Y105" s="39"/>
      <c r="Z105" s="39"/>
      <c r="AA105" s="39"/>
      <c r="AB105" s="39"/>
      <c r="AC105" s="39"/>
    </row>
    <row r="106">
      <c r="A106" s="23"/>
      <c r="B106" s="24"/>
      <c r="C106" s="29"/>
      <c r="D106" s="29"/>
      <c r="E106" s="29"/>
      <c r="F106" s="29"/>
      <c r="G106" s="29"/>
      <c r="H106" s="12"/>
      <c r="I106" s="12"/>
      <c r="J106" s="12"/>
      <c r="K106" s="39"/>
      <c r="L106" s="12"/>
      <c r="M106" s="40"/>
      <c r="N106" s="29"/>
      <c r="O106" s="12"/>
      <c r="P106" s="39"/>
      <c r="Q106" s="12"/>
      <c r="R106" s="39"/>
      <c r="S106" s="39"/>
      <c r="T106" s="39"/>
      <c r="U106" s="39"/>
      <c r="V106" s="39"/>
      <c r="W106" s="39"/>
      <c r="X106" s="39"/>
      <c r="Y106" s="39"/>
      <c r="Z106" s="39"/>
      <c r="AA106" s="39"/>
      <c r="AB106" s="39"/>
      <c r="AC106" s="39"/>
    </row>
    <row r="107">
      <c r="A107" s="23"/>
      <c r="B107" s="24"/>
      <c r="C107" s="29"/>
      <c r="D107" s="29"/>
      <c r="E107" s="29"/>
      <c r="F107" s="29"/>
      <c r="G107" s="29"/>
      <c r="H107" s="12"/>
      <c r="I107" s="12"/>
      <c r="J107" s="12"/>
      <c r="K107" s="39"/>
      <c r="L107" s="12"/>
      <c r="M107" s="40"/>
      <c r="N107" s="29"/>
      <c r="O107" s="12"/>
      <c r="P107" s="39"/>
      <c r="Q107" s="12"/>
      <c r="R107" s="39"/>
      <c r="S107" s="39"/>
      <c r="T107" s="39"/>
      <c r="U107" s="39"/>
      <c r="V107" s="39"/>
      <c r="W107" s="39"/>
      <c r="X107" s="39"/>
      <c r="Y107" s="39"/>
      <c r="Z107" s="39"/>
      <c r="AA107" s="39"/>
      <c r="AB107" s="39"/>
      <c r="AC107" s="39"/>
    </row>
    <row r="108">
      <c r="A108" s="23"/>
      <c r="B108" s="24"/>
      <c r="C108" s="29"/>
      <c r="D108" s="29"/>
      <c r="E108" s="29"/>
      <c r="F108" s="29"/>
      <c r="G108" s="29"/>
      <c r="H108" s="12"/>
      <c r="I108" s="12"/>
      <c r="J108" s="12"/>
      <c r="K108" s="39"/>
      <c r="L108" s="12"/>
      <c r="M108" s="40"/>
      <c r="N108" s="29"/>
      <c r="O108" s="12"/>
      <c r="P108" s="39"/>
      <c r="Q108" s="12"/>
      <c r="R108" s="39"/>
      <c r="S108" s="39"/>
      <c r="T108" s="39"/>
      <c r="U108" s="39"/>
      <c r="V108" s="39"/>
      <c r="W108" s="39"/>
      <c r="X108" s="39"/>
      <c r="Y108" s="39"/>
      <c r="Z108" s="39"/>
      <c r="AA108" s="39"/>
      <c r="AB108" s="39"/>
      <c r="AC108" s="39"/>
    </row>
    <row r="109">
      <c r="A109" s="23"/>
      <c r="B109" s="24"/>
      <c r="C109" s="29"/>
      <c r="D109" s="29"/>
      <c r="E109" s="29"/>
      <c r="F109" s="29"/>
      <c r="G109" s="29"/>
      <c r="H109" s="12"/>
      <c r="I109" s="12"/>
      <c r="J109" s="12"/>
      <c r="K109" s="39"/>
      <c r="L109" s="12"/>
      <c r="M109" s="40"/>
      <c r="N109" s="29"/>
      <c r="O109" s="12"/>
      <c r="P109" s="39"/>
      <c r="Q109" s="12"/>
      <c r="R109" s="39"/>
      <c r="S109" s="39"/>
      <c r="T109" s="39"/>
      <c r="U109" s="39"/>
      <c r="V109" s="39"/>
      <c r="W109" s="39"/>
      <c r="X109" s="39"/>
      <c r="Y109" s="39"/>
      <c r="Z109" s="39"/>
      <c r="AA109" s="39"/>
      <c r="AB109" s="39"/>
      <c r="AC109" s="39"/>
    </row>
    <row r="110">
      <c r="A110" s="23"/>
      <c r="B110" s="24"/>
      <c r="C110" s="29"/>
      <c r="D110" s="29"/>
      <c r="E110" s="29"/>
      <c r="F110" s="29"/>
      <c r="G110" s="29"/>
      <c r="H110" s="12"/>
      <c r="I110" s="12"/>
      <c r="J110" s="12"/>
      <c r="K110" s="39"/>
      <c r="L110" s="12"/>
      <c r="M110" s="40"/>
      <c r="N110" s="29"/>
      <c r="O110" s="12"/>
      <c r="P110" s="39"/>
      <c r="Q110" s="12"/>
      <c r="R110" s="39"/>
      <c r="S110" s="39"/>
      <c r="T110" s="39"/>
      <c r="U110" s="39"/>
      <c r="V110" s="39"/>
      <c r="W110" s="39"/>
      <c r="X110" s="39"/>
      <c r="Y110" s="39"/>
      <c r="Z110" s="39"/>
      <c r="AA110" s="39"/>
      <c r="AB110" s="39"/>
      <c r="AC110" s="39"/>
    </row>
    <row r="111">
      <c r="A111" s="23"/>
      <c r="B111" s="24"/>
      <c r="C111" s="29"/>
      <c r="D111" s="29"/>
      <c r="E111" s="29"/>
      <c r="F111" s="29"/>
      <c r="G111" s="29"/>
      <c r="H111" s="12"/>
      <c r="I111" s="12"/>
      <c r="J111" s="12"/>
      <c r="K111" s="39"/>
      <c r="L111" s="12"/>
      <c r="M111" s="40"/>
      <c r="N111" s="29"/>
      <c r="O111" s="12"/>
      <c r="P111" s="39"/>
      <c r="Q111" s="12"/>
      <c r="R111" s="39"/>
      <c r="S111" s="39"/>
      <c r="T111" s="39"/>
      <c r="U111" s="39"/>
      <c r="V111" s="39"/>
      <c r="W111" s="39"/>
      <c r="X111" s="39"/>
      <c r="Y111" s="39"/>
      <c r="Z111" s="39"/>
      <c r="AA111" s="39"/>
      <c r="AB111" s="39"/>
      <c r="AC111" s="39"/>
    </row>
    <row r="112">
      <c r="A112" s="23"/>
      <c r="B112" s="24"/>
      <c r="C112" s="29"/>
      <c r="D112" s="29"/>
      <c r="E112" s="29"/>
      <c r="F112" s="29"/>
      <c r="G112" s="29"/>
      <c r="H112" s="12"/>
      <c r="I112" s="12"/>
      <c r="J112" s="12"/>
      <c r="K112" s="39"/>
      <c r="L112" s="12"/>
      <c r="M112" s="40"/>
      <c r="N112" s="29"/>
      <c r="O112" s="12"/>
      <c r="P112" s="39"/>
      <c r="Q112" s="12"/>
      <c r="R112" s="39"/>
      <c r="S112" s="39"/>
      <c r="T112" s="39"/>
      <c r="U112" s="39"/>
      <c r="V112" s="39"/>
      <c r="W112" s="39"/>
      <c r="X112" s="39"/>
      <c r="Y112" s="39"/>
      <c r="Z112" s="39"/>
      <c r="AA112" s="39"/>
      <c r="AB112" s="39"/>
      <c r="AC112" s="39"/>
    </row>
    <row r="113">
      <c r="A113" s="23"/>
      <c r="B113" s="24"/>
      <c r="C113" s="29"/>
      <c r="D113" s="29"/>
      <c r="E113" s="29"/>
      <c r="F113" s="29"/>
      <c r="G113" s="29"/>
      <c r="H113" s="12"/>
      <c r="I113" s="12"/>
      <c r="J113" s="12"/>
      <c r="K113" s="39"/>
      <c r="L113" s="12"/>
      <c r="M113" s="40"/>
      <c r="N113" s="29"/>
      <c r="O113" s="12"/>
      <c r="P113" s="39"/>
      <c r="Q113" s="12"/>
      <c r="R113" s="39"/>
      <c r="S113" s="39"/>
      <c r="T113" s="39"/>
      <c r="U113" s="39"/>
      <c r="V113" s="39"/>
      <c r="W113" s="39"/>
      <c r="X113" s="39"/>
      <c r="Y113" s="39"/>
      <c r="Z113" s="39"/>
      <c r="AA113" s="39"/>
      <c r="AB113" s="39"/>
      <c r="AC113" s="39"/>
    </row>
    <row r="114">
      <c r="A114" s="23"/>
      <c r="B114" s="24"/>
      <c r="C114" s="29"/>
      <c r="D114" s="29"/>
      <c r="E114" s="29"/>
      <c r="F114" s="29"/>
      <c r="G114" s="29"/>
      <c r="H114" s="12"/>
      <c r="I114" s="12"/>
      <c r="J114" s="12"/>
      <c r="K114" s="39"/>
      <c r="L114" s="12"/>
      <c r="M114" s="40"/>
      <c r="N114" s="29"/>
      <c r="O114" s="12"/>
      <c r="P114" s="39"/>
      <c r="Q114" s="12"/>
      <c r="R114" s="39"/>
      <c r="S114" s="39"/>
      <c r="T114" s="39"/>
      <c r="U114" s="39"/>
      <c r="V114" s="39"/>
      <c r="W114" s="39"/>
      <c r="X114" s="39"/>
      <c r="Y114" s="39"/>
      <c r="Z114" s="39"/>
      <c r="AA114" s="39"/>
      <c r="AB114" s="39"/>
      <c r="AC114" s="39"/>
    </row>
    <row r="115">
      <c r="A115" s="23"/>
      <c r="B115" s="24"/>
      <c r="C115" s="29"/>
      <c r="D115" s="29"/>
      <c r="E115" s="29"/>
      <c r="F115" s="29"/>
      <c r="G115" s="29"/>
      <c r="H115" s="12"/>
      <c r="I115" s="12"/>
      <c r="J115" s="12"/>
      <c r="K115" s="39"/>
      <c r="L115" s="12"/>
      <c r="M115" s="40"/>
      <c r="N115" s="29"/>
      <c r="O115" s="12"/>
      <c r="P115" s="39"/>
      <c r="Q115" s="12"/>
      <c r="R115" s="39"/>
      <c r="S115" s="39"/>
      <c r="T115" s="39"/>
      <c r="U115" s="39"/>
      <c r="V115" s="39"/>
      <c r="W115" s="39"/>
      <c r="X115" s="39"/>
      <c r="Y115" s="39"/>
      <c r="Z115" s="39"/>
      <c r="AA115" s="39"/>
      <c r="AB115" s="39"/>
      <c r="AC115" s="39"/>
    </row>
    <row r="116">
      <c r="A116" s="23"/>
      <c r="B116" s="24"/>
      <c r="C116" s="29"/>
      <c r="D116" s="29"/>
      <c r="E116" s="29"/>
      <c r="F116" s="29"/>
      <c r="G116" s="29"/>
      <c r="H116" s="12"/>
      <c r="I116" s="12"/>
      <c r="J116" s="12"/>
      <c r="K116" s="39"/>
      <c r="L116" s="12"/>
      <c r="M116" s="40"/>
      <c r="N116" s="29"/>
      <c r="O116" s="12"/>
      <c r="P116" s="39"/>
      <c r="Q116" s="12"/>
      <c r="R116" s="39"/>
      <c r="S116" s="39"/>
      <c r="T116" s="39"/>
      <c r="U116" s="39"/>
      <c r="V116" s="39"/>
      <c r="W116" s="39"/>
      <c r="X116" s="39"/>
      <c r="Y116" s="39"/>
      <c r="Z116" s="39"/>
      <c r="AA116" s="39"/>
      <c r="AB116" s="39"/>
      <c r="AC116" s="39"/>
    </row>
    <row r="117">
      <c r="A117" s="23"/>
      <c r="B117" s="24"/>
      <c r="C117" s="29"/>
      <c r="D117" s="29"/>
      <c r="E117" s="29"/>
      <c r="F117" s="29"/>
      <c r="G117" s="29"/>
      <c r="H117" s="12"/>
      <c r="I117" s="12"/>
      <c r="J117" s="12"/>
      <c r="K117" s="39"/>
      <c r="L117" s="12"/>
      <c r="M117" s="40"/>
      <c r="N117" s="29"/>
      <c r="O117" s="12"/>
      <c r="P117" s="39"/>
      <c r="Q117" s="12"/>
      <c r="R117" s="39"/>
      <c r="S117" s="39"/>
      <c r="T117" s="39"/>
      <c r="U117" s="39"/>
      <c r="V117" s="39"/>
      <c r="W117" s="39"/>
      <c r="X117" s="39"/>
      <c r="Y117" s="39"/>
      <c r="Z117" s="39"/>
      <c r="AA117" s="39"/>
      <c r="AB117" s="39"/>
      <c r="AC117" s="39"/>
    </row>
    <row r="118">
      <c r="A118" s="23"/>
      <c r="B118" s="24"/>
      <c r="C118" s="29"/>
      <c r="D118" s="29"/>
      <c r="E118" s="29"/>
      <c r="F118" s="29"/>
      <c r="G118" s="29"/>
      <c r="H118" s="12"/>
      <c r="I118" s="12"/>
      <c r="J118" s="12"/>
      <c r="K118" s="39"/>
      <c r="L118" s="12"/>
      <c r="M118" s="40"/>
      <c r="N118" s="29"/>
      <c r="O118" s="12"/>
      <c r="P118" s="39"/>
      <c r="Q118" s="12"/>
      <c r="R118" s="39"/>
      <c r="S118" s="39"/>
      <c r="T118" s="39"/>
      <c r="U118" s="39"/>
      <c r="V118" s="39"/>
      <c r="W118" s="39"/>
      <c r="X118" s="39"/>
      <c r="Y118" s="39"/>
      <c r="Z118" s="39"/>
      <c r="AA118" s="39"/>
      <c r="AB118" s="39"/>
      <c r="AC118" s="39"/>
    </row>
    <row r="119">
      <c r="A119" s="23"/>
      <c r="B119" s="24"/>
      <c r="C119" s="29"/>
      <c r="D119" s="29"/>
      <c r="E119" s="29"/>
      <c r="F119" s="29"/>
      <c r="G119" s="29"/>
      <c r="H119" s="12"/>
      <c r="I119" s="12"/>
      <c r="J119" s="12"/>
      <c r="K119" s="39"/>
      <c r="L119" s="12"/>
      <c r="M119" s="40"/>
      <c r="N119" s="29"/>
      <c r="O119" s="12"/>
      <c r="P119" s="39"/>
      <c r="Q119" s="12"/>
      <c r="R119" s="39"/>
      <c r="S119" s="39"/>
      <c r="T119" s="39"/>
      <c r="U119" s="39"/>
      <c r="V119" s="39"/>
      <c r="W119" s="39"/>
      <c r="X119" s="39"/>
      <c r="Y119" s="39"/>
      <c r="Z119" s="39"/>
      <c r="AA119" s="39"/>
      <c r="AB119" s="39"/>
      <c r="AC119" s="39"/>
    </row>
    <row r="120">
      <c r="A120" s="23"/>
      <c r="B120" s="24"/>
      <c r="C120" s="29"/>
      <c r="D120" s="29"/>
      <c r="E120" s="29"/>
      <c r="F120" s="29"/>
      <c r="G120" s="29"/>
      <c r="H120" s="12"/>
      <c r="I120" s="12"/>
      <c r="J120" s="12"/>
      <c r="K120" s="39"/>
      <c r="L120" s="12"/>
      <c r="M120" s="40"/>
      <c r="N120" s="29"/>
      <c r="O120" s="12"/>
      <c r="P120" s="39"/>
      <c r="Q120" s="12"/>
      <c r="R120" s="39"/>
      <c r="S120" s="39"/>
      <c r="T120" s="39"/>
      <c r="U120" s="39"/>
      <c r="V120" s="39"/>
      <c r="W120" s="39"/>
      <c r="X120" s="39"/>
      <c r="Y120" s="39"/>
      <c r="Z120" s="39"/>
      <c r="AA120" s="39"/>
      <c r="AB120" s="39"/>
      <c r="AC120" s="39"/>
    </row>
    <row r="121">
      <c r="A121" s="23"/>
      <c r="B121" s="24"/>
      <c r="C121" s="29"/>
      <c r="D121" s="29"/>
      <c r="E121" s="29"/>
      <c r="F121" s="29"/>
      <c r="G121" s="29"/>
      <c r="H121" s="12"/>
      <c r="I121" s="12"/>
      <c r="J121" s="12"/>
      <c r="K121" s="39"/>
      <c r="L121" s="12"/>
      <c r="M121" s="40"/>
      <c r="N121" s="29"/>
      <c r="O121" s="12"/>
      <c r="P121" s="39"/>
      <c r="Q121" s="12"/>
      <c r="R121" s="39"/>
      <c r="S121" s="39"/>
      <c r="T121" s="39"/>
      <c r="U121" s="39"/>
      <c r="V121" s="39"/>
      <c r="W121" s="39"/>
      <c r="X121" s="39"/>
      <c r="Y121" s="39"/>
      <c r="Z121" s="39"/>
      <c r="AA121" s="39"/>
      <c r="AB121" s="39"/>
      <c r="AC121" s="39"/>
    </row>
    <row r="122">
      <c r="A122" s="23"/>
      <c r="B122" s="24"/>
      <c r="C122" s="29"/>
      <c r="D122" s="29"/>
      <c r="E122" s="29"/>
      <c r="F122" s="29"/>
      <c r="G122" s="29"/>
      <c r="H122" s="12"/>
      <c r="I122" s="12"/>
      <c r="J122" s="12"/>
      <c r="K122" s="39"/>
      <c r="L122" s="12"/>
      <c r="M122" s="40"/>
      <c r="N122" s="29"/>
      <c r="O122" s="12"/>
      <c r="P122" s="39"/>
      <c r="Q122" s="12"/>
      <c r="R122" s="39"/>
      <c r="S122" s="39"/>
      <c r="T122" s="39"/>
      <c r="U122" s="39"/>
      <c r="V122" s="39"/>
      <c r="W122" s="39"/>
      <c r="X122" s="39"/>
      <c r="Y122" s="39"/>
      <c r="Z122" s="39"/>
      <c r="AA122" s="39"/>
      <c r="AB122" s="39"/>
      <c r="AC122" s="39"/>
    </row>
    <row r="123">
      <c r="A123" s="23"/>
      <c r="B123" s="24"/>
      <c r="C123" s="29"/>
      <c r="D123" s="29"/>
      <c r="E123" s="29"/>
      <c r="F123" s="29"/>
      <c r="G123" s="29"/>
      <c r="H123" s="12"/>
      <c r="I123" s="12"/>
      <c r="J123" s="12"/>
      <c r="K123" s="39"/>
      <c r="L123" s="12"/>
      <c r="M123" s="40"/>
      <c r="N123" s="29"/>
      <c r="O123" s="12"/>
      <c r="P123" s="39"/>
      <c r="Q123" s="12"/>
      <c r="R123" s="39"/>
      <c r="S123" s="39"/>
      <c r="T123" s="39"/>
      <c r="U123" s="39"/>
      <c r="V123" s="39"/>
      <c r="W123" s="39"/>
      <c r="X123" s="39"/>
      <c r="Y123" s="39"/>
      <c r="Z123" s="39"/>
      <c r="AA123" s="39"/>
      <c r="AB123" s="39"/>
      <c r="AC123" s="39"/>
    </row>
    <row r="124">
      <c r="A124" s="23"/>
      <c r="B124" s="24"/>
      <c r="C124" s="29"/>
      <c r="D124" s="29"/>
      <c r="E124" s="29"/>
      <c r="F124" s="29"/>
      <c r="G124" s="29"/>
      <c r="H124" s="12"/>
      <c r="I124" s="12"/>
      <c r="J124" s="12"/>
      <c r="K124" s="39"/>
      <c r="L124" s="12"/>
      <c r="M124" s="40"/>
      <c r="N124" s="29"/>
      <c r="O124" s="12"/>
      <c r="P124" s="39"/>
      <c r="Q124" s="12"/>
      <c r="R124" s="39"/>
      <c r="S124" s="39"/>
      <c r="T124" s="39"/>
      <c r="U124" s="39"/>
      <c r="V124" s="39"/>
      <c r="W124" s="39"/>
      <c r="X124" s="39"/>
      <c r="Y124" s="39"/>
      <c r="Z124" s="39"/>
      <c r="AA124" s="39"/>
      <c r="AB124" s="39"/>
      <c r="AC124" s="39"/>
    </row>
    <row r="125">
      <c r="A125" s="23"/>
      <c r="B125" s="24"/>
      <c r="C125" s="29"/>
      <c r="D125" s="29"/>
      <c r="E125" s="29"/>
      <c r="F125" s="29"/>
      <c r="G125" s="29"/>
      <c r="H125" s="12"/>
      <c r="I125" s="12"/>
      <c r="J125" s="12"/>
      <c r="K125" s="39"/>
      <c r="L125" s="12"/>
      <c r="M125" s="40"/>
      <c r="N125" s="29"/>
      <c r="O125" s="12"/>
      <c r="P125" s="39"/>
      <c r="Q125" s="12"/>
      <c r="R125" s="39"/>
      <c r="S125" s="39"/>
      <c r="T125" s="39"/>
      <c r="U125" s="39"/>
      <c r="V125" s="39"/>
      <c r="W125" s="39"/>
      <c r="X125" s="39"/>
      <c r="Y125" s="39"/>
      <c r="Z125" s="39"/>
      <c r="AA125" s="39"/>
      <c r="AB125" s="39"/>
      <c r="AC125" s="39"/>
    </row>
    <row r="126">
      <c r="A126" s="23"/>
      <c r="B126" s="24"/>
      <c r="C126" s="29"/>
      <c r="D126" s="29"/>
      <c r="E126" s="29"/>
      <c r="F126" s="29"/>
      <c r="G126" s="29"/>
      <c r="H126" s="12"/>
      <c r="I126" s="12"/>
      <c r="J126" s="12"/>
      <c r="K126" s="39"/>
      <c r="L126" s="12"/>
      <c r="M126" s="40"/>
      <c r="N126" s="29"/>
      <c r="O126" s="12"/>
      <c r="P126" s="39"/>
      <c r="Q126" s="12"/>
      <c r="R126" s="39"/>
      <c r="S126" s="39"/>
      <c r="T126" s="39"/>
      <c r="U126" s="39"/>
      <c r="V126" s="39"/>
      <c r="W126" s="39"/>
      <c r="X126" s="39"/>
      <c r="Y126" s="39"/>
      <c r="Z126" s="39"/>
      <c r="AA126" s="39"/>
      <c r="AB126" s="39"/>
      <c r="AC126" s="39"/>
    </row>
    <row r="127">
      <c r="A127" s="23"/>
      <c r="B127" s="24"/>
      <c r="C127" s="29"/>
      <c r="D127" s="29"/>
      <c r="E127" s="29"/>
      <c r="F127" s="29"/>
      <c r="G127" s="29"/>
      <c r="H127" s="12"/>
      <c r="I127" s="12"/>
      <c r="J127" s="12"/>
      <c r="K127" s="39"/>
      <c r="L127" s="12"/>
      <c r="M127" s="40"/>
      <c r="N127" s="29"/>
      <c r="O127" s="12"/>
      <c r="P127" s="39"/>
      <c r="Q127" s="12"/>
      <c r="R127" s="39"/>
      <c r="S127" s="39"/>
      <c r="T127" s="39"/>
      <c r="U127" s="39"/>
      <c r="V127" s="39"/>
      <c r="W127" s="39"/>
      <c r="X127" s="39"/>
      <c r="Y127" s="39"/>
      <c r="Z127" s="39"/>
      <c r="AA127" s="39"/>
      <c r="AB127" s="39"/>
      <c r="AC127" s="39"/>
    </row>
    <row r="128">
      <c r="A128" s="23"/>
      <c r="B128" s="24"/>
      <c r="C128" s="29"/>
      <c r="D128" s="29"/>
      <c r="E128" s="29"/>
      <c r="F128" s="29"/>
      <c r="G128" s="29"/>
      <c r="H128" s="12"/>
      <c r="I128" s="12"/>
      <c r="J128" s="12"/>
      <c r="K128" s="39"/>
      <c r="L128" s="12"/>
      <c r="M128" s="40"/>
      <c r="N128" s="29"/>
      <c r="O128" s="12"/>
      <c r="P128" s="39"/>
      <c r="Q128" s="12"/>
      <c r="R128" s="39"/>
      <c r="S128" s="39"/>
      <c r="T128" s="39"/>
      <c r="U128" s="39"/>
      <c r="V128" s="39"/>
      <c r="W128" s="39"/>
      <c r="X128" s="39"/>
      <c r="Y128" s="39"/>
      <c r="Z128" s="39"/>
      <c r="AA128" s="39"/>
      <c r="AB128" s="39"/>
      <c r="AC128" s="39"/>
    </row>
    <row r="129">
      <c r="A129" s="23"/>
      <c r="B129" s="24"/>
      <c r="C129" s="29"/>
      <c r="D129" s="29"/>
      <c r="E129" s="29"/>
      <c r="F129" s="29"/>
      <c r="G129" s="29"/>
      <c r="H129" s="12"/>
      <c r="I129" s="12"/>
      <c r="J129" s="12"/>
      <c r="K129" s="39"/>
      <c r="L129" s="12"/>
      <c r="M129" s="40"/>
      <c r="N129" s="29"/>
      <c r="O129" s="12"/>
      <c r="P129" s="39"/>
      <c r="Q129" s="12"/>
      <c r="R129" s="39"/>
      <c r="S129" s="39"/>
      <c r="T129" s="39"/>
      <c r="U129" s="39"/>
      <c r="V129" s="39"/>
      <c r="W129" s="39"/>
      <c r="X129" s="39"/>
      <c r="Y129" s="39"/>
      <c r="Z129" s="39"/>
      <c r="AA129" s="39"/>
      <c r="AB129" s="39"/>
      <c r="AC129" s="39"/>
    </row>
    <row r="130">
      <c r="A130" s="23"/>
      <c r="B130" s="24"/>
      <c r="C130" s="29"/>
      <c r="D130" s="29"/>
      <c r="E130" s="29"/>
      <c r="F130" s="29"/>
      <c r="G130" s="29"/>
      <c r="H130" s="12"/>
      <c r="I130" s="12"/>
      <c r="J130" s="12"/>
      <c r="K130" s="39"/>
      <c r="L130" s="12"/>
      <c r="M130" s="40"/>
      <c r="N130" s="29"/>
      <c r="O130" s="12"/>
      <c r="P130" s="39"/>
      <c r="Q130" s="12"/>
      <c r="R130" s="39"/>
      <c r="S130" s="39"/>
      <c r="T130" s="39"/>
      <c r="U130" s="39"/>
      <c r="V130" s="39"/>
      <c r="W130" s="39"/>
      <c r="X130" s="39"/>
      <c r="Y130" s="39"/>
      <c r="Z130" s="39"/>
      <c r="AA130" s="39"/>
      <c r="AB130" s="39"/>
      <c r="AC130" s="39"/>
    </row>
    <row r="131">
      <c r="A131" s="23"/>
      <c r="B131" s="24"/>
      <c r="C131" s="29"/>
      <c r="D131" s="29"/>
      <c r="E131" s="29"/>
      <c r="F131" s="29"/>
      <c r="G131" s="29"/>
      <c r="H131" s="12"/>
      <c r="I131" s="12"/>
      <c r="J131" s="12"/>
      <c r="K131" s="39"/>
      <c r="L131" s="12"/>
      <c r="M131" s="40"/>
      <c r="N131" s="29"/>
      <c r="O131" s="12"/>
      <c r="P131" s="39"/>
      <c r="Q131" s="12"/>
      <c r="R131" s="39"/>
      <c r="S131" s="39"/>
      <c r="T131" s="39"/>
      <c r="U131" s="39"/>
      <c r="V131" s="39"/>
      <c r="W131" s="39"/>
      <c r="X131" s="39"/>
      <c r="Y131" s="39"/>
      <c r="Z131" s="39"/>
      <c r="AA131" s="39"/>
      <c r="AB131" s="39"/>
      <c r="AC131" s="39"/>
    </row>
    <row r="132">
      <c r="A132" s="23"/>
      <c r="B132" s="24"/>
      <c r="C132" s="29"/>
      <c r="D132" s="29"/>
      <c r="E132" s="29"/>
      <c r="F132" s="29"/>
      <c r="G132" s="29"/>
      <c r="H132" s="12"/>
      <c r="I132" s="12"/>
      <c r="J132" s="12"/>
      <c r="K132" s="39"/>
      <c r="L132" s="12"/>
      <c r="M132" s="40"/>
      <c r="N132" s="29"/>
      <c r="O132" s="12"/>
      <c r="P132" s="39"/>
      <c r="Q132" s="12"/>
      <c r="R132" s="39"/>
      <c r="S132" s="39"/>
      <c r="T132" s="39"/>
      <c r="U132" s="39"/>
      <c r="V132" s="39"/>
      <c r="W132" s="39"/>
      <c r="X132" s="39"/>
      <c r="Y132" s="39"/>
      <c r="Z132" s="39"/>
      <c r="AA132" s="39"/>
      <c r="AB132" s="39"/>
      <c r="AC132" s="39"/>
    </row>
    <row r="133">
      <c r="A133" s="23"/>
      <c r="B133" s="24"/>
      <c r="C133" s="29"/>
      <c r="D133" s="29"/>
      <c r="E133" s="29"/>
      <c r="F133" s="29"/>
      <c r="G133" s="29"/>
      <c r="H133" s="12"/>
      <c r="I133" s="12"/>
      <c r="J133" s="12"/>
      <c r="K133" s="39"/>
      <c r="L133" s="12"/>
      <c r="M133" s="40"/>
      <c r="N133" s="29"/>
      <c r="O133" s="12"/>
      <c r="P133" s="39"/>
      <c r="Q133" s="12"/>
      <c r="R133" s="39"/>
      <c r="S133" s="39"/>
      <c r="T133" s="39"/>
      <c r="U133" s="39"/>
      <c r="V133" s="39"/>
      <c r="W133" s="39"/>
      <c r="X133" s="39"/>
      <c r="Y133" s="39"/>
      <c r="Z133" s="39"/>
      <c r="AA133" s="39"/>
      <c r="AB133" s="39"/>
      <c r="AC133" s="39"/>
    </row>
    <row r="134">
      <c r="A134" s="23"/>
      <c r="B134" s="24"/>
      <c r="C134" s="29"/>
      <c r="D134" s="29"/>
      <c r="E134" s="29"/>
      <c r="F134" s="29"/>
      <c r="G134" s="29"/>
      <c r="H134" s="12"/>
      <c r="I134" s="12"/>
      <c r="J134" s="12"/>
      <c r="K134" s="39"/>
      <c r="L134" s="12"/>
      <c r="M134" s="40"/>
      <c r="N134" s="29"/>
      <c r="O134" s="12"/>
      <c r="P134" s="39"/>
      <c r="Q134" s="12"/>
      <c r="R134" s="39"/>
      <c r="S134" s="39"/>
      <c r="T134" s="39"/>
      <c r="U134" s="39"/>
      <c r="V134" s="39"/>
      <c r="W134" s="39"/>
      <c r="X134" s="39"/>
      <c r="Y134" s="39"/>
      <c r="Z134" s="39"/>
      <c r="AA134" s="39"/>
      <c r="AB134" s="39"/>
      <c r="AC134" s="39"/>
    </row>
    <row r="135">
      <c r="A135" s="23"/>
      <c r="B135" s="24"/>
      <c r="C135" s="29"/>
      <c r="D135" s="29"/>
      <c r="E135" s="29"/>
      <c r="F135" s="29"/>
      <c r="G135" s="29"/>
      <c r="H135" s="12"/>
      <c r="I135" s="12"/>
      <c r="J135" s="12"/>
      <c r="K135" s="39"/>
      <c r="L135" s="12"/>
      <c r="M135" s="40"/>
      <c r="N135" s="29"/>
      <c r="O135" s="12"/>
      <c r="P135" s="39"/>
      <c r="Q135" s="12"/>
      <c r="R135" s="39"/>
      <c r="S135" s="39"/>
      <c r="T135" s="39"/>
      <c r="U135" s="39"/>
      <c r="V135" s="39"/>
      <c r="W135" s="39"/>
      <c r="X135" s="39"/>
      <c r="Y135" s="39"/>
      <c r="Z135" s="39"/>
      <c r="AA135" s="39"/>
      <c r="AB135" s="39"/>
      <c r="AC135" s="39"/>
    </row>
    <row r="136">
      <c r="A136" s="23"/>
      <c r="B136" s="24"/>
      <c r="C136" s="29"/>
      <c r="D136" s="29"/>
      <c r="E136" s="29"/>
      <c r="F136" s="29"/>
      <c r="G136" s="29"/>
      <c r="H136" s="12"/>
      <c r="I136" s="12"/>
      <c r="J136" s="12"/>
      <c r="K136" s="39"/>
      <c r="L136" s="12"/>
      <c r="M136" s="40"/>
      <c r="N136" s="29"/>
      <c r="O136" s="12"/>
      <c r="P136" s="39"/>
      <c r="Q136" s="12"/>
      <c r="R136" s="39"/>
      <c r="S136" s="39"/>
      <c r="T136" s="39"/>
      <c r="U136" s="39"/>
      <c r="V136" s="39"/>
      <c r="W136" s="39"/>
      <c r="X136" s="39"/>
      <c r="Y136" s="39"/>
      <c r="Z136" s="39"/>
      <c r="AA136" s="39"/>
      <c r="AB136" s="39"/>
      <c r="AC136" s="39"/>
    </row>
    <row r="137">
      <c r="A137" s="23"/>
      <c r="B137" s="24"/>
      <c r="C137" s="29"/>
      <c r="D137" s="29"/>
      <c r="E137" s="29"/>
      <c r="F137" s="29"/>
      <c r="G137" s="29"/>
      <c r="H137" s="12"/>
      <c r="I137" s="12"/>
      <c r="J137" s="12"/>
      <c r="K137" s="39"/>
      <c r="L137" s="12"/>
      <c r="M137" s="40"/>
      <c r="N137" s="29"/>
      <c r="O137" s="12"/>
      <c r="P137" s="39"/>
      <c r="Q137" s="12"/>
      <c r="R137" s="39"/>
      <c r="S137" s="39"/>
      <c r="T137" s="39"/>
      <c r="U137" s="39"/>
      <c r="V137" s="39"/>
      <c r="W137" s="39"/>
      <c r="X137" s="39"/>
      <c r="Y137" s="39"/>
      <c r="Z137" s="39"/>
      <c r="AA137" s="39"/>
      <c r="AB137" s="39"/>
      <c r="AC137" s="39"/>
    </row>
    <row r="138">
      <c r="A138" s="23"/>
      <c r="B138" s="24"/>
      <c r="C138" s="29"/>
      <c r="D138" s="29"/>
      <c r="E138" s="29"/>
      <c r="F138" s="29"/>
      <c r="G138" s="29"/>
      <c r="H138" s="12"/>
      <c r="I138" s="12"/>
      <c r="J138" s="12"/>
      <c r="K138" s="39"/>
      <c r="L138" s="12"/>
      <c r="M138" s="40"/>
      <c r="N138" s="29"/>
      <c r="O138" s="12"/>
      <c r="P138" s="39"/>
      <c r="Q138" s="12"/>
      <c r="R138" s="39"/>
      <c r="S138" s="39"/>
      <c r="T138" s="39"/>
      <c r="U138" s="39"/>
      <c r="V138" s="39"/>
      <c r="W138" s="39"/>
      <c r="X138" s="39"/>
      <c r="Y138" s="39"/>
      <c r="Z138" s="39"/>
      <c r="AA138" s="39"/>
      <c r="AB138" s="39"/>
      <c r="AC138" s="39"/>
    </row>
    <row r="139">
      <c r="A139" s="23"/>
      <c r="B139" s="24"/>
      <c r="C139" s="29"/>
      <c r="D139" s="29"/>
      <c r="E139" s="29"/>
      <c r="F139" s="29"/>
      <c r="G139" s="29"/>
      <c r="H139" s="12"/>
      <c r="I139" s="12"/>
      <c r="J139" s="12"/>
      <c r="K139" s="39"/>
      <c r="L139" s="12"/>
      <c r="M139" s="40"/>
      <c r="N139" s="29"/>
      <c r="O139" s="12"/>
      <c r="P139" s="39"/>
      <c r="Q139" s="12"/>
      <c r="R139" s="39"/>
      <c r="S139" s="39"/>
      <c r="T139" s="39"/>
      <c r="U139" s="39"/>
      <c r="V139" s="39"/>
      <c r="W139" s="39"/>
      <c r="X139" s="39"/>
      <c r="Y139" s="39"/>
      <c r="Z139" s="39"/>
      <c r="AA139" s="39"/>
      <c r="AB139" s="39"/>
      <c r="AC139" s="39"/>
    </row>
    <row r="140">
      <c r="A140" s="23"/>
      <c r="B140" s="24"/>
      <c r="C140" s="29"/>
      <c r="D140" s="29"/>
      <c r="E140" s="29"/>
      <c r="F140" s="29"/>
      <c r="G140" s="29"/>
      <c r="H140" s="12"/>
      <c r="I140" s="12"/>
      <c r="J140" s="12"/>
      <c r="K140" s="39"/>
      <c r="L140" s="12"/>
      <c r="M140" s="40"/>
      <c r="N140" s="29"/>
      <c r="O140" s="12"/>
      <c r="P140" s="39"/>
      <c r="Q140" s="12"/>
      <c r="R140" s="39"/>
      <c r="S140" s="39"/>
      <c r="T140" s="39"/>
      <c r="U140" s="39"/>
      <c r="V140" s="39"/>
      <c r="W140" s="39"/>
      <c r="X140" s="39"/>
      <c r="Y140" s="39"/>
      <c r="Z140" s="39"/>
      <c r="AA140" s="39"/>
      <c r="AB140" s="39"/>
      <c r="AC140" s="39"/>
    </row>
    <row r="141">
      <c r="A141" s="23"/>
      <c r="B141" s="24"/>
      <c r="C141" s="29"/>
      <c r="D141" s="29"/>
      <c r="E141" s="29"/>
      <c r="F141" s="29"/>
      <c r="G141" s="29"/>
      <c r="H141" s="12"/>
      <c r="I141" s="12"/>
      <c r="J141" s="12"/>
      <c r="K141" s="39"/>
      <c r="L141" s="12"/>
      <c r="M141" s="40"/>
      <c r="N141" s="29"/>
      <c r="O141" s="12"/>
      <c r="P141" s="39"/>
      <c r="Q141" s="12"/>
      <c r="R141" s="39"/>
      <c r="S141" s="39"/>
      <c r="T141" s="39"/>
      <c r="U141" s="39"/>
      <c r="V141" s="39"/>
      <c r="W141" s="39"/>
      <c r="X141" s="39"/>
      <c r="Y141" s="39"/>
      <c r="Z141" s="39"/>
      <c r="AA141" s="39"/>
      <c r="AB141" s="39"/>
      <c r="AC141" s="39"/>
    </row>
    <row r="142">
      <c r="A142" s="23"/>
      <c r="B142" s="24"/>
      <c r="C142" s="29"/>
      <c r="D142" s="29"/>
      <c r="E142" s="29"/>
      <c r="F142" s="29"/>
      <c r="G142" s="29"/>
      <c r="H142" s="12"/>
      <c r="I142" s="12"/>
      <c r="J142" s="12"/>
      <c r="K142" s="39"/>
      <c r="L142" s="12"/>
      <c r="M142" s="40"/>
      <c r="N142" s="29"/>
      <c r="O142" s="12"/>
      <c r="P142" s="39"/>
      <c r="Q142" s="12"/>
      <c r="R142" s="39"/>
      <c r="S142" s="39"/>
      <c r="T142" s="39"/>
      <c r="U142" s="39"/>
      <c r="V142" s="39"/>
      <c r="W142" s="39"/>
      <c r="X142" s="39"/>
      <c r="Y142" s="39"/>
      <c r="Z142" s="39"/>
      <c r="AA142" s="39"/>
      <c r="AB142" s="39"/>
      <c r="AC142" s="39"/>
    </row>
    <row r="143">
      <c r="A143" s="23"/>
      <c r="B143" s="24"/>
      <c r="C143" s="29"/>
      <c r="D143" s="29"/>
      <c r="E143" s="29"/>
      <c r="F143" s="29"/>
      <c r="G143" s="29"/>
      <c r="H143" s="12"/>
      <c r="I143" s="12"/>
      <c r="J143" s="12"/>
      <c r="K143" s="39"/>
      <c r="L143" s="12"/>
      <c r="M143" s="40"/>
      <c r="N143" s="29"/>
      <c r="O143" s="12"/>
      <c r="P143" s="39"/>
      <c r="Q143" s="12"/>
      <c r="R143" s="39"/>
      <c r="S143" s="39"/>
      <c r="T143" s="39"/>
      <c r="U143" s="39"/>
      <c r="V143" s="39"/>
      <c r="W143" s="39"/>
      <c r="X143" s="39"/>
      <c r="Y143" s="39"/>
      <c r="Z143" s="39"/>
      <c r="AA143" s="39"/>
      <c r="AB143" s="39"/>
      <c r="AC143" s="39"/>
    </row>
    <row r="144">
      <c r="A144" s="23"/>
      <c r="B144" s="24"/>
      <c r="C144" s="29"/>
      <c r="D144" s="29"/>
      <c r="E144" s="29"/>
      <c r="F144" s="29"/>
      <c r="G144" s="29"/>
      <c r="H144" s="12"/>
      <c r="I144" s="12"/>
      <c r="J144" s="12"/>
      <c r="K144" s="39"/>
      <c r="L144" s="12"/>
      <c r="M144" s="40"/>
      <c r="N144" s="29"/>
      <c r="O144" s="12"/>
      <c r="P144" s="39"/>
      <c r="Q144" s="12"/>
      <c r="R144" s="39"/>
      <c r="S144" s="39"/>
      <c r="T144" s="39"/>
      <c r="U144" s="39"/>
      <c r="V144" s="39"/>
      <c r="W144" s="39"/>
      <c r="X144" s="39"/>
      <c r="Y144" s="39"/>
      <c r="Z144" s="39"/>
      <c r="AA144" s="39"/>
      <c r="AB144" s="39"/>
      <c r="AC144" s="39"/>
    </row>
    <row r="145">
      <c r="A145" s="23"/>
      <c r="B145" s="24"/>
      <c r="C145" s="29"/>
      <c r="D145" s="29"/>
      <c r="E145" s="29"/>
      <c r="F145" s="29"/>
      <c r="G145" s="29"/>
      <c r="H145" s="12"/>
      <c r="I145" s="12"/>
      <c r="J145" s="12"/>
      <c r="K145" s="39"/>
      <c r="L145" s="12"/>
      <c r="M145" s="40"/>
      <c r="N145" s="29"/>
      <c r="O145" s="12"/>
      <c r="P145" s="39"/>
      <c r="Q145" s="12"/>
      <c r="R145" s="39"/>
      <c r="S145" s="39"/>
      <c r="T145" s="39"/>
      <c r="U145" s="39"/>
      <c r="V145" s="39"/>
      <c r="W145" s="39"/>
      <c r="X145" s="39"/>
      <c r="Y145" s="39"/>
      <c r="Z145" s="39"/>
      <c r="AA145" s="39"/>
      <c r="AB145" s="39"/>
      <c r="AC145" s="39"/>
    </row>
    <row r="146">
      <c r="A146" s="23"/>
      <c r="B146" s="24"/>
      <c r="C146" s="29"/>
      <c r="D146" s="29"/>
      <c r="E146" s="29"/>
      <c r="F146" s="29"/>
      <c r="G146" s="29"/>
      <c r="H146" s="12"/>
      <c r="I146" s="12"/>
      <c r="J146" s="12"/>
      <c r="K146" s="39"/>
      <c r="L146" s="12"/>
      <c r="M146" s="40"/>
      <c r="N146" s="29"/>
      <c r="O146" s="12"/>
      <c r="P146" s="39"/>
      <c r="Q146" s="12"/>
      <c r="R146" s="39"/>
      <c r="S146" s="39"/>
      <c r="T146" s="39"/>
      <c r="U146" s="39"/>
      <c r="V146" s="39"/>
      <c r="W146" s="39"/>
      <c r="X146" s="39"/>
      <c r="Y146" s="39"/>
      <c r="Z146" s="39"/>
      <c r="AA146" s="39"/>
      <c r="AB146" s="39"/>
      <c r="AC146" s="39"/>
    </row>
    <row r="147">
      <c r="A147" s="23"/>
      <c r="B147" s="24"/>
      <c r="C147" s="29"/>
      <c r="D147" s="29"/>
      <c r="E147" s="29"/>
      <c r="F147" s="29"/>
      <c r="G147" s="29"/>
      <c r="H147" s="12"/>
      <c r="I147" s="12"/>
      <c r="J147" s="12"/>
      <c r="K147" s="39"/>
      <c r="L147" s="12"/>
      <c r="M147" s="40"/>
      <c r="N147" s="29"/>
      <c r="O147" s="12"/>
      <c r="P147" s="39"/>
      <c r="Q147" s="12"/>
      <c r="R147" s="39"/>
      <c r="S147" s="39"/>
      <c r="T147" s="39"/>
      <c r="U147" s="39"/>
      <c r="V147" s="39"/>
      <c r="W147" s="39"/>
      <c r="X147" s="39"/>
      <c r="Y147" s="39"/>
      <c r="Z147" s="39"/>
      <c r="AA147" s="39"/>
      <c r="AB147" s="39"/>
      <c r="AC147" s="39"/>
    </row>
    <row r="148">
      <c r="A148" s="23"/>
      <c r="B148" s="24"/>
      <c r="C148" s="29"/>
      <c r="D148" s="29"/>
      <c r="E148" s="29"/>
      <c r="F148" s="29"/>
      <c r="G148" s="29"/>
      <c r="H148" s="12"/>
      <c r="I148" s="12"/>
      <c r="J148" s="12"/>
      <c r="K148" s="39"/>
      <c r="L148" s="12"/>
      <c r="M148" s="40"/>
      <c r="N148" s="29"/>
      <c r="O148" s="12"/>
      <c r="P148" s="39"/>
      <c r="Q148" s="12"/>
      <c r="R148" s="39"/>
      <c r="S148" s="39"/>
      <c r="T148" s="39"/>
      <c r="U148" s="39"/>
      <c r="V148" s="39"/>
      <c r="W148" s="39"/>
      <c r="X148" s="39"/>
      <c r="Y148" s="39"/>
      <c r="Z148" s="39"/>
      <c r="AA148" s="39"/>
      <c r="AB148" s="39"/>
      <c r="AC148" s="39"/>
    </row>
    <row r="149">
      <c r="A149" s="23"/>
      <c r="B149" s="24"/>
      <c r="C149" s="29"/>
      <c r="D149" s="29"/>
      <c r="E149" s="29"/>
      <c r="F149" s="29"/>
      <c r="G149" s="29"/>
      <c r="H149" s="12"/>
      <c r="I149" s="12"/>
      <c r="J149" s="12"/>
      <c r="K149" s="39"/>
      <c r="L149" s="12"/>
      <c r="M149" s="40"/>
      <c r="N149" s="29"/>
      <c r="O149" s="12"/>
      <c r="P149" s="39"/>
      <c r="Q149" s="12"/>
      <c r="R149" s="39"/>
      <c r="S149" s="39"/>
      <c r="T149" s="39"/>
      <c r="U149" s="39"/>
      <c r="V149" s="39"/>
      <c r="W149" s="39"/>
      <c r="X149" s="39"/>
      <c r="Y149" s="39"/>
      <c r="Z149" s="39"/>
      <c r="AA149" s="39"/>
      <c r="AB149" s="39"/>
      <c r="AC149" s="39"/>
    </row>
    <row r="150">
      <c r="A150" s="23"/>
      <c r="B150" s="24"/>
      <c r="C150" s="29"/>
      <c r="D150" s="29"/>
      <c r="E150" s="29"/>
      <c r="F150" s="29"/>
      <c r="G150" s="29"/>
      <c r="H150" s="12"/>
      <c r="I150" s="12"/>
      <c r="J150" s="12"/>
      <c r="K150" s="39"/>
      <c r="L150" s="12"/>
      <c r="M150" s="40"/>
      <c r="N150" s="29"/>
      <c r="O150" s="12"/>
      <c r="P150" s="39"/>
      <c r="Q150" s="12"/>
      <c r="R150" s="39"/>
      <c r="S150" s="39"/>
      <c r="T150" s="39"/>
      <c r="U150" s="39"/>
      <c r="V150" s="39"/>
      <c r="W150" s="39"/>
      <c r="X150" s="39"/>
      <c r="Y150" s="39"/>
      <c r="Z150" s="39"/>
      <c r="AA150" s="39"/>
      <c r="AB150" s="39"/>
      <c r="AC150" s="39"/>
    </row>
    <row r="151">
      <c r="A151" s="23"/>
      <c r="B151" s="24"/>
      <c r="C151" s="29"/>
      <c r="D151" s="29"/>
      <c r="E151" s="29"/>
      <c r="F151" s="29"/>
      <c r="G151" s="29"/>
      <c r="H151" s="12"/>
      <c r="I151" s="12"/>
      <c r="J151" s="12"/>
      <c r="K151" s="39"/>
      <c r="L151" s="12"/>
      <c r="M151" s="40"/>
      <c r="N151" s="29"/>
      <c r="O151" s="12"/>
      <c r="P151" s="39"/>
      <c r="Q151" s="12"/>
      <c r="R151" s="39"/>
      <c r="S151" s="39"/>
      <c r="T151" s="39"/>
      <c r="U151" s="39"/>
      <c r="V151" s="39"/>
      <c r="W151" s="39"/>
      <c r="X151" s="39"/>
      <c r="Y151" s="39"/>
      <c r="Z151" s="39"/>
      <c r="AA151" s="39"/>
      <c r="AB151" s="39"/>
      <c r="AC151" s="39"/>
    </row>
    <row r="152">
      <c r="A152" s="23"/>
      <c r="B152" s="24"/>
      <c r="C152" s="29"/>
      <c r="D152" s="29"/>
      <c r="E152" s="29"/>
      <c r="F152" s="29"/>
      <c r="G152" s="29"/>
      <c r="H152" s="12"/>
      <c r="I152" s="12"/>
      <c r="J152" s="12"/>
      <c r="K152" s="39"/>
      <c r="L152" s="12"/>
      <c r="M152" s="40"/>
      <c r="N152" s="29"/>
      <c r="O152" s="12"/>
      <c r="P152" s="39"/>
      <c r="Q152" s="12"/>
      <c r="R152" s="39"/>
      <c r="S152" s="39"/>
      <c r="T152" s="39"/>
      <c r="U152" s="39"/>
      <c r="V152" s="39"/>
      <c r="W152" s="39"/>
      <c r="X152" s="39"/>
      <c r="Y152" s="39"/>
      <c r="Z152" s="39"/>
      <c r="AA152" s="39"/>
      <c r="AB152" s="39"/>
      <c r="AC152" s="39"/>
    </row>
    <row r="153">
      <c r="A153" s="23"/>
      <c r="B153" s="24"/>
      <c r="C153" s="29"/>
      <c r="D153" s="29"/>
      <c r="E153" s="29"/>
      <c r="F153" s="29"/>
      <c r="G153" s="29"/>
      <c r="H153" s="12"/>
      <c r="I153" s="12"/>
      <c r="J153" s="12"/>
      <c r="K153" s="39"/>
      <c r="L153" s="12"/>
      <c r="M153" s="40"/>
      <c r="N153" s="29"/>
      <c r="O153" s="12"/>
      <c r="P153" s="39"/>
      <c r="Q153" s="12"/>
      <c r="R153" s="39"/>
      <c r="S153" s="39"/>
      <c r="T153" s="39"/>
      <c r="U153" s="39"/>
      <c r="V153" s="39"/>
      <c r="W153" s="39"/>
      <c r="X153" s="39"/>
      <c r="Y153" s="39"/>
      <c r="Z153" s="39"/>
      <c r="AA153" s="39"/>
      <c r="AB153" s="39"/>
      <c r="AC153" s="39"/>
    </row>
    <row r="154">
      <c r="A154" s="23"/>
      <c r="B154" s="24"/>
      <c r="C154" s="29"/>
      <c r="D154" s="29"/>
      <c r="E154" s="29"/>
      <c r="F154" s="29"/>
      <c r="G154" s="29"/>
      <c r="H154" s="12"/>
      <c r="I154" s="12"/>
      <c r="J154" s="12"/>
      <c r="K154" s="39"/>
      <c r="L154" s="12"/>
      <c r="M154" s="40"/>
      <c r="N154" s="29"/>
      <c r="O154" s="12"/>
      <c r="P154" s="39"/>
      <c r="Q154" s="12"/>
      <c r="R154" s="39"/>
      <c r="S154" s="39"/>
      <c r="T154" s="39"/>
      <c r="U154" s="39"/>
      <c r="V154" s="39"/>
      <c r="W154" s="39"/>
      <c r="X154" s="39"/>
      <c r="Y154" s="39"/>
      <c r="Z154" s="39"/>
      <c r="AA154" s="39"/>
      <c r="AB154" s="39"/>
      <c r="AC154" s="39"/>
    </row>
    <row r="155">
      <c r="A155" s="23"/>
      <c r="B155" s="24"/>
      <c r="C155" s="29"/>
      <c r="D155" s="29"/>
      <c r="E155" s="29"/>
      <c r="F155" s="29"/>
      <c r="G155" s="29"/>
      <c r="H155" s="12"/>
      <c r="I155" s="12"/>
      <c r="J155" s="12"/>
      <c r="K155" s="39"/>
      <c r="L155" s="12"/>
      <c r="M155" s="40"/>
      <c r="N155" s="29"/>
      <c r="O155" s="12"/>
      <c r="P155" s="39"/>
      <c r="Q155" s="12"/>
      <c r="R155" s="39"/>
      <c r="S155" s="39"/>
      <c r="T155" s="39"/>
      <c r="U155" s="39"/>
      <c r="V155" s="39"/>
      <c r="W155" s="39"/>
      <c r="X155" s="39"/>
      <c r="Y155" s="39"/>
      <c r="Z155" s="39"/>
      <c r="AA155" s="39"/>
      <c r="AB155" s="39"/>
      <c r="AC155" s="39"/>
    </row>
    <row r="156">
      <c r="A156" s="23"/>
      <c r="B156" s="24"/>
      <c r="C156" s="29"/>
      <c r="D156" s="29"/>
      <c r="E156" s="29"/>
      <c r="F156" s="29"/>
      <c r="G156" s="29"/>
      <c r="H156" s="12"/>
      <c r="I156" s="12"/>
      <c r="J156" s="12"/>
      <c r="K156" s="39"/>
      <c r="L156" s="12"/>
      <c r="M156" s="40"/>
      <c r="N156" s="29"/>
      <c r="O156" s="12"/>
      <c r="P156" s="39"/>
      <c r="Q156" s="12"/>
      <c r="R156" s="39"/>
      <c r="S156" s="39"/>
      <c r="T156" s="39"/>
      <c r="U156" s="39"/>
      <c r="V156" s="39"/>
      <c r="W156" s="39"/>
      <c r="X156" s="39"/>
      <c r="Y156" s="39"/>
      <c r="Z156" s="39"/>
      <c r="AA156" s="39"/>
      <c r="AB156" s="39"/>
      <c r="AC156" s="39"/>
    </row>
    <row r="157">
      <c r="A157" s="23"/>
      <c r="B157" s="24"/>
      <c r="C157" s="29"/>
      <c r="D157" s="29"/>
      <c r="E157" s="29"/>
      <c r="F157" s="29"/>
      <c r="G157" s="29"/>
      <c r="H157" s="12"/>
      <c r="I157" s="12"/>
      <c r="J157" s="12"/>
      <c r="K157" s="39"/>
      <c r="L157" s="12"/>
      <c r="M157" s="40"/>
      <c r="N157" s="29"/>
      <c r="O157" s="12"/>
      <c r="P157" s="39"/>
      <c r="Q157" s="12"/>
      <c r="R157" s="39"/>
      <c r="S157" s="39"/>
      <c r="T157" s="39"/>
      <c r="U157" s="39"/>
      <c r="V157" s="39"/>
      <c r="W157" s="39"/>
      <c r="X157" s="39"/>
      <c r="Y157" s="39"/>
      <c r="Z157" s="39"/>
      <c r="AA157" s="39"/>
      <c r="AB157" s="39"/>
      <c r="AC157" s="39"/>
    </row>
    <row r="158">
      <c r="A158" s="23"/>
      <c r="B158" s="24"/>
      <c r="C158" s="29"/>
      <c r="D158" s="29"/>
      <c r="E158" s="29"/>
      <c r="F158" s="29"/>
      <c r="G158" s="29"/>
      <c r="H158" s="12"/>
      <c r="I158" s="12"/>
      <c r="J158" s="12"/>
      <c r="K158" s="39"/>
      <c r="L158" s="12"/>
      <c r="M158" s="40"/>
      <c r="N158" s="29"/>
      <c r="O158" s="12"/>
      <c r="P158" s="39"/>
      <c r="Q158" s="12"/>
      <c r="R158" s="39"/>
      <c r="S158" s="39"/>
      <c r="T158" s="39"/>
      <c r="U158" s="39"/>
      <c r="V158" s="39"/>
      <c r="W158" s="39"/>
      <c r="X158" s="39"/>
      <c r="Y158" s="39"/>
      <c r="Z158" s="39"/>
      <c r="AA158" s="39"/>
      <c r="AB158" s="39"/>
      <c r="AC158" s="39"/>
    </row>
    <row r="159">
      <c r="A159" s="23"/>
      <c r="B159" s="24"/>
      <c r="C159" s="29"/>
      <c r="D159" s="29"/>
      <c r="E159" s="29"/>
      <c r="F159" s="29"/>
      <c r="G159" s="29"/>
      <c r="H159" s="12"/>
      <c r="I159" s="12"/>
      <c r="J159" s="12"/>
      <c r="K159" s="39"/>
      <c r="L159" s="12"/>
      <c r="M159" s="40"/>
      <c r="N159" s="29"/>
      <c r="O159" s="12"/>
      <c r="P159" s="39"/>
      <c r="Q159" s="12"/>
      <c r="R159" s="39"/>
      <c r="S159" s="39"/>
      <c r="T159" s="39"/>
      <c r="U159" s="39"/>
      <c r="V159" s="39"/>
      <c r="W159" s="39"/>
      <c r="X159" s="39"/>
      <c r="Y159" s="39"/>
      <c r="Z159" s="39"/>
      <c r="AA159" s="39"/>
      <c r="AB159" s="39"/>
      <c r="AC159" s="39"/>
    </row>
    <row r="160">
      <c r="A160" s="23"/>
      <c r="B160" s="24"/>
      <c r="C160" s="29"/>
      <c r="D160" s="29"/>
      <c r="E160" s="29"/>
      <c r="F160" s="29"/>
      <c r="G160" s="29"/>
      <c r="H160" s="12"/>
      <c r="I160" s="12"/>
      <c r="J160" s="12"/>
      <c r="K160" s="39"/>
      <c r="L160" s="12"/>
      <c r="M160" s="40"/>
      <c r="N160" s="29"/>
      <c r="O160" s="12"/>
      <c r="P160" s="39"/>
      <c r="Q160" s="12"/>
      <c r="R160" s="39"/>
      <c r="S160" s="39"/>
      <c r="T160" s="39"/>
      <c r="U160" s="39"/>
      <c r="V160" s="39"/>
      <c r="W160" s="39"/>
      <c r="X160" s="39"/>
      <c r="Y160" s="39"/>
      <c r="Z160" s="39"/>
      <c r="AA160" s="39"/>
      <c r="AB160" s="39"/>
      <c r="AC160" s="39"/>
    </row>
    <row r="161">
      <c r="A161" s="23"/>
      <c r="B161" s="24"/>
      <c r="C161" s="29"/>
      <c r="D161" s="29"/>
      <c r="E161" s="29"/>
      <c r="F161" s="29"/>
      <c r="G161" s="29"/>
      <c r="H161" s="12"/>
      <c r="I161" s="12"/>
      <c r="J161" s="12"/>
      <c r="K161" s="39"/>
      <c r="L161" s="12"/>
      <c r="M161" s="40"/>
      <c r="N161" s="29"/>
      <c r="O161" s="12"/>
      <c r="P161" s="39"/>
      <c r="Q161" s="12"/>
      <c r="R161" s="39"/>
      <c r="S161" s="39"/>
      <c r="T161" s="39"/>
      <c r="U161" s="39"/>
      <c r="V161" s="39"/>
      <c r="W161" s="39"/>
      <c r="X161" s="39"/>
      <c r="Y161" s="39"/>
      <c r="Z161" s="39"/>
      <c r="AA161" s="39"/>
      <c r="AB161" s="39"/>
      <c r="AC161" s="39"/>
    </row>
    <row r="162">
      <c r="A162" s="23"/>
      <c r="B162" s="24"/>
      <c r="C162" s="29"/>
      <c r="D162" s="29"/>
      <c r="E162" s="29"/>
      <c r="F162" s="29"/>
      <c r="G162" s="29"/>
      <c r="H162" s="12"/>
      <c r="I162" s="12"/>
      <c r="J162" s="12"/>
      <c r="K162" s="39"/>
      <c r="L162" s="12"/>
      <c r="M162" s="40"/>
      <c r="N162" s="29"/>
      <c r="O162" s="12"/>
      <c r="P162" s="39"/>
      <c r="Q162" s="12"/>
      <c r="R162" s="39"/>
      <c r="S162" s="39"/>
      <c r="T162" s="39"/>
      <c r="U162" s="39"/>
      <c r="V162" s="39"/>
      <c r="W162" s="39"/>
      <c r="X162" s="39"/>
      <c r="Y162" s="39"/>
      <c r="Z162" s="39"/>
      <c r="AA162" s="39"/>
      <c r="AB162" s="39"/>
      <c r="AC162" s="39"/>
    </row>
    <row r="163">
      <c r="A163" s="23"/>
      <c r="B163" s="24"/>
      <c r="C163" s="29"/>
      <c r="D163" s="29"/>
      <c r="E163" s="29"/>
      <c r="F163" s="29"/>
      <c r="G163" s="29"/>
      <c r="H163" s="12"/>
      <c r="I163" s="12"/>
      <c r="J163" s="12"/>
      <c r="K163" s="39"/>
      <c r="L163" s="12"/>
      <c r="M163" s="40"/>
      <c r="N163" s="29"/>
      <c r="O163" s="12"/>
      <c r="P163" s="39"/>
      <c r="Q163" s="12"/>
      <c r="R163" s="39"/>
      <c r="S163" s="39"/>
      <c r="T163" s="39"/>
      <c r="U163" s="39"/>
      <c r="V163" s="39"/>
      <c r="W163" s="39"/>
      <c r="X163" s="39"/>
      <c r="Y163" s="39"/>
      <c r="Z163" s="39"/>
      <c r="AA163" s="39"/>
      <c r="AB163" s="39"/>
      <c r="AC163" s="39"/>
    </row>
    <row r="164">
      <c r="A164" s="23"/>
      <c r="B164" s="24"/>
      <c r="C164" s="29"/>
      <c r="D164" s="29"/>
      <c r="E164" s="29"/>
      <c r="F164" s="29"/>
      <c r="G164" s="29"/>
      <c r="H164" s="12"/>
      <c r="I164" s="12"/>
      <c r="J164" s="12"/>
      <c r="K164" s="39"/>
      <c r="L164" s="12"/>
      <c r="M164" s="40"/>
      <c r="N164" s="29"/>
      <c r="O164" s="12"/>
      <c r="P164" s="39"/>
      <c r="Q164" s="12"/>
      <c r="R164" s="39"/>
      <c r="S164" s="39"/>
      <c r="T164" s="39"/>
      <c r="U164" s="39"/>
      <c r="V164" s="39"/>
      <c r="W164" s="39"/>
      <c r="X164" s="39"/>
      <c r="Y164" s="39"/>
      <c r="Z164" s="39"/>
      <c r="AA164" s="39"/>
      <c r="AB164" s="39"/>
      <c r="AC164" s="39"/>
    </row>
    <row r="165">
      <c r="A165" s="23"/>
      <c r="B165" s="24"/>
      <c r="C165" s="29"/>
      <c r="D165" s="29"/>
      <c r="E165" s="29"/>
      <c r="F165" s="29"/>
      <c r="G165" s="29"/>
      <c r="H165" s="12"/>
      <c r="I165" s="12"/>
      <c r="J165" s="12"/>
      <c r="K165" s="39"/>
      <c r="L165" s="12"/>
      <c r="M165" s="40"/>
      <c r="N165" s="29"/>
      <c r="O165" s="12"/>
      <c r="P165" s="39"/>
      <c r="Q165" s="12"/>
      <c r="R165" s="39"/>
      <c r="S165" s="39"/>
      <c r="T165" s="39"/>
      <c r="U165" s="39"/>
      <c r="V165" s="39"/>
      <c r="W165" s="39"/>
      <c r="X165" s="39"/>
      <c r="Y165" s="39"/>
      <c r="Z165" s="39"/>
      <c r="AA165" s="39"/>
      <c r="AB165" s="39"/>
      <c r="AC165" s="39"/>
    </row>
    <row r="166">
      <c r="A166" s="23"/>
      <c r="B166" s="24"/>
      <c r="C166" s="29"/>
      <c r="D166" s="29"/>
      <c r="E166" s="29"/>
      <c r="F166" s="29"/>
      <c r="G166" s="29"/>
      <c r="H166" s="12"/>
      <c r="I166" s="12"/>
      <c r="J166" s="12"/>
      <c r="K166" s="39"/>
      <c r="L166" s="12"/>
      <c r="M166" s="40"/>
      <c r="N166" s="29"/>
      <c r="O166" s="12"/>
      <c r="P166" s="39"/>
      <c r="Q166" s="12"/>
      <c r="R166" s="39"/>
      <c r="S166" s="39"/>
      <c r="T166" s="39"/>
      <c r="U166" s="39"/>
      <c r="V166" s="39"/>
      <c r="W166" s="39"/>
      <c r="X166" s="39"/>
      <c r="Y166" s="39"/>
      <c r="Z166" s="39"/>
      <c r="AA166" s="39"/>
      <c r="AB166" s="39"/>
      <c r="AC166" s="39"/>
    </row>
    <row r="167">
      <c r="A167" s="23"/>
      <c r="B167" s="24"/>
      <c r="C167" s="29"/>
      <c r="D167" s="29"/>
      <c r="E167" s="29"/>
      <c r="F167" s="29"/>
      <c r="G167" s="29"/>
      <c r="H167" s="12"/>
      <c r="I167" s="12"/>
      <c r="J167" s="12"/>
      <c r="K167" s="39"/>
      <c r="L167" s="12"/>
      <c r="M167" s="40"/>
      <c r="N167" s="29"/>
      <c r="O167" s="12"/>
      <c r="P167" s="39"/>
      <c r="Q167" s="12"/>
      <c r="R167" s="39"/>
      <c r="S167" s="39"/>
      <c r="T167" s="39"/>
      <c r="U167" s="39"/>
      <c r="V167" s="39"/>
      <c r="W167" s="39"/>
      <c r="X167" s="39"/>
      <c r="Y167" s="39"/>
      <c r="Z167" s="39"/>
      <c r="AA167" s="39"/>
      <c r="AB167" s="39"/>
      <c r="AC167" s="39"/>
    </row>
    <row r="168">
      <c r="A168" s="23"/>
      <c r="B168" s="24"/>
      <c r="C168" s="29"/>
      <c r="D168" s="29"/>
      <c r="E168" s="29"/>
      <c r="F168" s="29"/>
      <c r="G168" s="29"/>
      <c r="H168" s="12"/>
      <c r="I168" s="12"/>
      <c r="J168" s="12"/>
      <c r="K168" s="39"/>
      <c r="L168" s="12"/>
      <c r="M168" s="40"/>
      <c r="N168" s="29"/>
      <c r="O168" s="12"/>
      <c r="P168" s="39"/>
      <c r="Q168" s="12"/>
      <c r="R168" s="39"/>
      <c r="S168" s="39"/>
      <c r="T168" s="39"/>
      <c r="U168" s="39"/>
      <c r="V168" s="39"/>
      <c r="W168" s="39"/>
      <c r="X168" s="39"/>
      <c r="Y168" s="39"/>
      <c r="Z168" s="39"/>
      <c r="AA168" s="39"/>
      <c r="AB168" s="39"/>
      <c r="AC168" s="39"/>
    </row>
    <row r="169">
      <c r="A169" s="23"/>
      <c r="B169" s="24"/>
      <c r="C169" s="29"/>
      <c r="D169" s="29"/>
      <c r="E169" s="29"/>
      <c r="F169" s="29"/>
      <c r="G169" s="29"/>
      <c r="H169" s="12"/>
      <c r="I169" s="12"/>
      <c r="J169" s="12"/>
      <c r="K169" s="39"/>
      <c r="L169" s="12"/>
      <c r="M169" s="40"/>
      <c r="N169" s="29"/>
      <c r="O169" s="12"/>
      <c r="P169" s="39"/>
      <c r="Q169" s="12"/>
      <c r="R169" s="39"/>
      <c r="S169" s="39"/>
      <c r="T169" s="39"/>
      <c r="U169" s="39"/>
      <c r="V169" s="39"/>
      <c r="W169" s="39"/>
      <c r="X169" s="39"/>
      <c r="Y169" s="39"/>
      <c r="Z169" s="39"/>
      <c r="AA169" s="39"/>
      <c r="AB169" s="39"/>
      <c r="AC169" s="39"/>
    </row>
    <row r="170">
      <c r="A170" s="23"/>
      <c r="B170" s="24"/>
      <c r="C170" s="29"/>
      <c r="D170" s="29"/>
      <c r="E170" s="29"/>
      <c r="F170" s="29"/>
      <c r="G170" s="29"/>
      <c r="H170" s="12"/>
      <c r="I170" s="12"/>
      <c r="J170" s="12"/>
      <c r="K170" s="39"/>
      <c r="L170" s="12"/>
      <c r="M170" s="40"/>
      <c r="N170" s="29"/>
      <c r="O170" s="12"/>
      <c r="P170" s="39"/>
      <c r="Q170" s="12"/>
      <c r="R170" s="39"/>
      <c r="S170" s="39"/>
      <c r="T170" s="39"/>
      <c r="U170" s="39"/>
      <c r="V170" s="39"/>
      <c r="W170" s="39"/>
      <c r="X170" s="39"/>
      <c r="Y170" s="39"/>
      <c r="Z170" s="39"/>
      <c r="AA170" s="39"/>
      <c r="AB170" s="39"/>
      <c r="AC170" s="39"/>
    </row>
    <row r="171">
      <c r="A171" s="23"/>
      <c r="B171" s="24"/>
      <c r="C171" s="29"/>
      <c r="D171" s="29"/>
      <c r="E171" s="29"/>
      <c r="F171" s="29"/>
      <c r="G171" s="29"/>
      <c r="H171" s="12"/>
      <c r="I171" s="12"/>
      <c r="J171" s="12"/>
      <c r="K171" s="39"/>
      <c r="L171" s="12"/>
      <c r="M171" s="40"/>
      <c r="N171" s="29"/>
      <c r="O171" s="12"/>
      <c r="P171" s="39"/>
      <c r="Q171" s="12"/>
      <c r="R171" s="39"/>
      <c r="S171" s="39"/>
      <c r="T171" s="39"/>
      <c r="U171" s="39"/>
      <c r="V171" s="39"/>
      <c r="W171" s="39"/>
      <c r="X171" s="39"/>
      <c r="Y171" s="39"/>
      <c r="Z171" s="39"/>
      <c r="AA171" s="39"/>
      <c r="AB171" s="39"/>
      <c r="AC171" s="39"/>
    </row>
    <row r="172">
      <c r="A172" s="23"/>
      <c r="B172" s="24"/>
      <c r="C172" s="29"/>
      <c r="D172" s="29"/>
      <c r="E172" s="29"/>
      <c r="F172" s="29"/>
      <c r="G172" s="29"/>
      <c r="H172" s="12"/>
      <c r="I172" s="12"/>
      <c r="J172" s="12"/>
      <c r="K172" s="39"/>
      <c r="L172" s="12"/>
      <c r="M172" s="40"/>
      <c r="N172" s="29"/>
      <c r="O172" s="12"/>
      <c r="P172" s="39"/>
      <c r="Q172" s="12"/>
      <c r="R172" s="39"/>
      <c r="S172" s="39"/>
      <c r="T172" s="39"/>
      <c r="U172" s="39"/>
      <c r="V172" s="39"/>
      <c r="W172" s="39"/>
      <c r="X172" s="39"/>
      <c r="Y172" s="39"/>
      <c r="Z172" s="39"/>
      <c r="AA172" s="39"/>
      <c r="AB172" s="39"/>
      <c r="AC172" s="39"/>
    </row>
    <row r="173">
      <c r="A173" s="23"/>
      <c r="B173" s="24"/>
      <c r="C173" s="29"/>
      <c r="D173" s="29"/>
      <c r="E173" s="29"/>
      <c r="F173" s="29"/>
      <c r="G173" s="29"/>
      <c r="H173" s="12"/>
      <c r="I173" s="12"/>
      <c r="J173" s="12"/>
      <c r="K173" s="39"/>
      <c r="L173" s="12"/>
      <c r="M173" s="40"/>
      <c r="N173" s="29"/>
      <c r="O173" s="12"/>
      <c r="P173" s="39"/>
      <c r="Q173" s="12"/>
      <c r="R173" s="39"/>
      <c r="S173" s="39"/>
      <c r="T173" s="39"/>
      <c r="U173" s="39"/>
      <c r="V173" s="39"/>
      <c r="W173" s="39"/>
      <c r="X173" s="39"/>
      <c r="Y173" s="39"/>
      <c r="Z173" s="39"/>
      <c r="AA173" s="39"/>
      <c r="AB173" s="39"/>
      <c r="AC173" s="39"/>
    </row>
    <row r="174">
      <c r="A174" s="23"/>
      <c r="B174" s="24"/>
      <c r="C174" s="29"/>
      <c r="D174" s="29"/>
      <c r="E174" s="29"/>
      <c r="F174" s="29"/>
      <c r="G174" s="29"/>
      <c r="H174" s="12"/>
      <c r="I174" s="12"/>
      <c r="J174" s="12"/>
      <c r="K174" s="39"/>
      <c r="L174" s="12"/>
      <c r="M174" s="40"/>
      <c r="N174" s="29"/>
      <c r="O174" s="12"/>
      <c r="P174" s="39"/>
      <c r="Q174" s="12"/>
      <c r="R174" s="39"/>
      <c r="S174" s="39"/>
      <c r="T174" s="39"/>
      <c r="U174" s="39"/>
      <c r="V174" s="39"/>
      <c r="W174" s="39"/>
      <c r="X174" s="39"/>
      <c r="Y174" s="39"/>
      <c r="Z174" s="39"/>
      <c r="AA174" s="39"/>
      <c r="AB174" s="39"/>
      <c r="AC174" s="39"/>
    </row>
    <row r="175">
      <c r="A175" s="23"/>
      <c r="B175" s="24"/>
      <c r="C175" s="29"/>
      <c r="D175" s="29"/>
      <c r="E175" s="29"/>
      <c r="F175" s="29"/>
      <c r="G175" s="29"/>
      <c r="H175" s="12"/>
      <c r="I175" s="12"/>
      <c r="J175" s="12"/>
      <c r="K175" s="39"/>
      <c r="L175" s="12"/>
      <c r="M175" s="40"/>
      <c r="N175" s="29"/>
      <c r="O175" s="12"/>
      <c r="P175" s="39"/>
      <c r="Q175" s="12"/>
      <c r="R175" s="39"/>
      <c r="S175" s="39"/>
      <c r="T175" s="39"/>
      <c r="U175" s="39"/>
      <c r="V175" s="39"/>
      <c r="W175" s="39"/>
      <c r="X175" s="39"/>
      <c r="Y175" s="39"/>
      <c r="Z175" s="39"/>
      <c r="AA175" s="39"/>
      <c r="AB175" s="39"/>
      <c r="AC175" s="39"/>
    </row>
    <row r="176">
      <c r="A176" s="23"/>
      <c r="B176" s="24"/>
      <c r="C176" s="29"/>
      <c r="D176" s="29"/>
      <c r="E176" s="29"/>
      <c r="F176" s="29"/>
      <c r="G176" s="29"/>
      <c r="H176" s="12"/>
      <c r="I176" s="12"/>
      <c r="J176" s="12"/>
      <c r="K176" s="39"/>
      <c r="L176" s="12"/>
      <c r="M176" s="40"/>
      <c r="N176" s="29"/>
      <c r="O176" s="12"/>
      <c r="P176" s="39"/>
      <c r="Q176" s="12"/>
      <c r="R176" s="39"/>
      <c r="S176" s="39"/>
      <c r="T176" s="39"/>
      <c r="U176" s="39"/>
      <c r="V176" s="39"/>
      <c r="W176" s="39"/>
      <c r="X176" s="39"/>
      <c r="Y176" s="39"/>
      <c r="Z176" s="39"/>
      <c r="AA176" s="39"/>
      <c r="AB176" s="39"/>
      <c r="AC176" s="39"/>
    </row>
    <row r="177">
      <c r="A177" s="23"/>
      <c r="B177" s="24"/>
      <c r="C177" s="29"/>
      <c r="D177" s="29"/>
      <c r="E177" s="29"/>
      <c r="F177" s="29"/>
      <c r="G177" s="29"/>
      <c r="H177" s="12"/>
      <c r="I177" s="12"/>
      <c r="J177" s="12"/>
      <c r="K177" s="39"/>
      <c r="L177" s="12"/>
      <c r="M177" s="40"/>
      <c r="N177" s="29"/>
      <c r="O177" s="12"/>
      <c r="P177" s="39"/>
      <c r="Q177" s="12"/>
      <c r="R177" s="39"/>
      <c r="S177" s="39"/>
      <c r="T177" s="39"/>
      <c r="U177" s="39"/>
      <c r="V177" s="39"/>
      <c r="W177" s="39"/>
      <c r="X177" s="39"/>
      <c r="Y177" s="39"/>
      <c r="Z177" s="39"/>
      <c r="AA177" s="39"/>
      <c r="AB177" s="39"/>
      <c r="AC177" s="39"/>
    </row>
    <row r="178">
      <c r="A178" s="23"/>
      <c r="B178" s="24"/>
      <c r="C178" s="29"/>
      <c r="D178" s="29"/>
      <c r="E178" s="29"/>
      <c r="F178" s="29"/>
      <c r="G178" s="29"/>
      <c r="H178" s="12"/>
      <c r="I178" s="12"/>
      <c r="J178" s="12"/>
      <c r="K178" s="39"/>
      <c r="L178" s="12"/>
      <c r="M178" s="40"/>
      <c r="N178" s="29"/>
      <c r="O178" s="12"/>
      <c r="P178" s="39"/>
      <c r="Q178" s="12"/>
      <c r="R178" s="39"/>
      <c r="S178" s="39"/>
      <c r="T178" s="39"/>
      <c r="U178" s="39"/>
      <c r="V178" s="39"/>
      <c r="W178" s="39"/>
      <c r="X178" s="39"/>
      <c r="Y178" s="39"/>
      <c r="Z178" s="39"/>
      <c r="AA178" s="39"/>
      <c r="AB178" s="39"/>
      <c r="AC178" s="39"/>
    </row>
    <row r="179">
      <c r="A179" s="23"/>
      <c r="B179" s="24"/>
      <c r="C179" s="29"/>
      <c r="D179" s="29"/>
      <c r="E179" s="29"/>
      <c r="F179" s="29"/>
      <c r="G179" s="29"/>
      <c r="H179" s="12"/>
      <c r="I179" s="12"/>
      <c r="J179" s="12"/>
      <c r="K179" s="39"/>
      <c r="L179" s="12"/>
      <c r="M179" s="40"/>
      <c r="N179" s="29"/>
      <c r="O179" s="12"/>
      <c r="P179" s="39"/>
      <c r="Q179" s="12"/>
      <c r="R179" s="39"/>
      <c r="S179" s="39"/>
      <c r="T179" s="39"/>
      <c r="U179" s="39"/>
      <c r="V179" s="39"/>
      <c r="W179" s="39"/>
      <c r="X179" s="39"/>
      <c r="Y179" s="39"/>
      <c r="Z179" s="39"/>
      <c r="AA179" s="39"/>
      <c r="AB179" s="39"/>
      <c r="AC179" s="39"/>
    </row>
    <row r="180">
      <c r="A180" s="23"/>
      <c r="B180" s="24"/>
      <c r="C180" s="29"/>
      <c r="D180" s="29"/>
      <c r="E180" s="29"/>
      <c r="F180" s="29"/>
      <c r="G180" s="29"/>
      <c r="H180" s="12"/>
      <c r="I180" s="12"/>
      <c r="J180" s="12"/>
      <c r="K180" s="39"/>
      <c r="L180" s="12"/>
      <c r="M180" s="40"/>
      <c r="N180" s="29"/>
      <c r="O180" s="12"/>
      <c r="P180" s="39"/>
      <c r="Q180" s="12"/>
      <c r="R180" s="39"/>
      <c r="S180" s="39"/>
      <c r="T180" s="39"/>
      <c r="U180" s="39"/>
      <c r="V180" s="39"/>
      <c r="W180" s="39"/>
      <c r="X180" s="39"/>
      <c r="Y180" s="39"/>
      <c r="Z180" s="39"/>
      <c r="AA180" s="39"/>
      <c r="AB180" s="39"/>
      <c r="AC180" s="39"/>
    </row>
    <row r="181">
      <c r="A181" s="23"/>
      <c r="B181" s="24"/>
      <c r="C181" s="29"/>
      <c r="D181" s="29"/>
      <c r="E181" s="29"/>
      <c r="F181" s="29"/>
      <c r="G181" s="29"/>
      <c r="H181" s="12"/>
      <c r="I181" s="12"/>
      <c r="J181" s="12"/>
      <c r="K181" s="39"/>
      <c r="L181" s="12"/>
      <c r="M181" s="40"/>
      <c r="N181" s="29"/>
      <c r="O181" s="12"/>
      <c r="P181" s="39"/>
      <c r="Q181" s="12"/>
      <c r="R181" s="39"/>
      <c r="S181" s="39"/>
      <c r="T181" s="39"/>
      <c r="U181" s="39"/>
      <c r="V181" s="39"/>
      <c r="W181" s="39"/>
      <c r="X181" s="39"/>
      <c r="Y181" s="39"/>
      <c r="Z181" s="39"/>
      <c r="AA181" s="39"/>
      <c r="AB181" s="39"/>
      <c r="AC181" s="39"/>
    </row>
    <row r="182">
      <c r="A182" s="23"/>
      <c r="B182" s="24"/>
      <c r="C182" s="29"/>
      <c r="D182" s="29"/>
      <c r="E182" s="29"/>
      <c r="F182" s="29"/>
      <c r="G182" s="29"/>
      <c r="H182" s="12"/>
      <c r="I182" s="12"/>
      <c r="J182" s="12"/>
      <c r="K182" s="39"/>
      <c r="L182" s="12"/>
      <c r="M182" s="40"/>
      <c r="N182" s="29"/>
      <c r="O182" s="12"/>
      <c r="P182" s="39"/>
      <c r="Q182" s="12"/>
      <c r="R182" s="39"/>
      <c r="S182" s="39"/>
      <c r="T182" s="39"/>
      <c r="U182" s="39"/>
      <c r="V182" s="39"/>
      <c r="W182" s="39"/>
      <c r="X182" s="39"/>
      <c r="Y182" s="39"/>
      <c r="Z182" s="39"/>
      <c r="AA182" s="39"/>
      <c r="AB182" s="39"/>
      <c r="AC182" s="39"/>
    </row>
    <row r="183">
      <c r="A183" s="23"/>
      <c r="B183" s="24"/>
      <c r="C183" s="29"/>
      <c r="D183" s="29"/>
      <c r="E183" s="29"/>
      <c r="F183" s="29"/>
      <c r="G183" s="29"/>
      <c r="H183" s="12"/>
      <c r="I183" s="12"/>
      <c r="J183" s="12"/>
      <c r="K183" s="39"/>
      <c r="L183" s="12"/>
      <c r="M183" s="40"/>
      <c r="N183" s="29"/>
      <c r="O183" s="12"/>
      <c r="P183" s="39"/>
      <c r="Q183" s="12"/>
      <c r="R183" s="39"/>
      <c r="S183" s="39"/>
      <c r="T183" s="39"/>
      <c r="U183" s="39"/>
      <c r="V183" s="39"/>
      <c r="W183" s="39"/>
      <c r="X183" s="39"/>
      <c r="Y183" s="39"/>
      <c r="Z183" s="39"/>
      <c r="AA183" s="39"/>
      <c r="AB183" s="39"/>
      <c r="AC183" s="39"/>
    </row>
    <row r="184">
      <c r="A184" s="23"/>
      <c r="B184" s="24"/>
      <c r="C184" s="29"/>
      <c r="D184" s="29"/>
      <c r="E184" s="29"/>
      <c r="F184" s="29"/>
      <c r="G184" s="29"/>
      <c r="H184" s="12"/>
      <c r="I184" s="12"/>
      <c r="J184" s="12"/>
      <c r="K184" s="39"/>
      <c r="L184" s="12"/>
      <c r="M184" s="40"/>
      <c r="N184" s="29"/>
      <c r="O184" s="12"/>
      <c r="P184" s="39"/>
      <c r="Q184" s="12"/>
      <c r="R184" s="39"/>
      <c r="S184" s="39"/>
      <c r="T184" s="39"/>
      <c r="U184" s="39"/>
      <c r="V184" s="39"/>
      <c r="W184" s="39"/>
      <c r="X184" s="39"/>
      <c r="Y184" s="39"/>
      <c r="Z184" s="39"/>
      <c r="AA184" s="39"/>
      <c r="AB184" s="39"/>
      <c r="AC184" s="39"/>
    </row>
    <row r="185">
      <c r="A185" s="23"/>
      <c r="B185" s="24"/>
      <c r="C185" s="29"/>
      <c r="D185" s="29"/>
      <c r="E185" s="29"/>
      <c r="F185" s="29"/>
      <c r="G185" s="29"/>
      <c r="H185" s="12"/>
      <c r="I185" s="12"/>
      <c r="J185" s="12"/>
      <c r="K185" s="39"/>
      <c r="L185" s="12"/>
      <c r="M185" s="40"/>
      <c r="N185" s="29"/>
      <c r="O185" s="12"/>
      <c r="P185" s="39"/>
      <c r="Q185" s="12"/>
      <c r="R185" s="39"/>
      <c r="S185" s="39"/>
      <c r="T185" s="39"/>
      <c r="U185" s="39"/>
      <c r="V185" s="39"/>
      <c r="W185" s="39"/>
      <c r="X185" s="39"/>
      <c r="Y185" s="39"/>
      <c r="Z185" s="39"/>
      <c r="AA185" s="39"/>
      <c r="AB185" s="39"/>
      <c r="AC185" s="39"/>
    </row>
    <row r="186">
      <c r="A186" s="23"/>
      <c r="B186" s="24"/>
      <c r="C186" s="29"/>
      <c r="D186" s="29"/>
      <c r="E186" s="29"/>
      <c r="F186" s="29"/>
      <c r="G186" s="29"/>
      <c r="H186" s="12"/>
      <c r="I186" s="12"/>
      <c r="J186" s="12"/>
      <c r="K186" s="39"/>
      <c r="L186" s="12"/>
      <c r="M186" s="40"/>
      <c r="N186" s="29"/>
      <c r="O186" s="12"/>
      <c r="P186" s="39"/>
      <c r="Q186" s="12"/>
      <c r="R186" s="39"/>
      <c r="S186" s="39"/>
      <c r="T186" s="39"/>
      <c r="U186" s="39"/>
      <c r="V186" s="39"/>
      <c r="W186" s="39"/>
      <c r="X186" s="39"/>
      <c r="Y186" s="39"/>
      <c r="Z186" s="39"/>
      <c r="AA186" s="39"/>
      <c r="AB186" s="39"/>
      <c r="AC186" s="39"/>
    </row>
    <row r="187">
      <c r="A187" s="23"/>
      <c r="B187" s="24"/>
      <c r="C187" s="29"/>
      <c r="D187" s="29"/>
      <c r="E187" s="29"/>
      <c r="F187" s="29"/>
      <c r="G187" s="29"/>
      <c r="H187" s="12"/>
      <c r="I187" s="12"/>
      <c r="J187" s="12"/>
      <c r="K187" s="39"/>
      <c r="L187" s="12"/>
      <c r="M187" s="40"/>
      <c r="N187" s="29"/>
      <c r="O187" s="12"/>
      <c r="P187" s="39"/>
      <c r="Q187" s="12"/>
      <c r="R187" s="39"/>
      <c r="S187" s="39"/>
      <c r="T187" s="39"/>
      <c r="U187" s="39"/>
      <c r="V187" s="39"/>
      <c r="W187" s="39"/>
      <c r="X187" s="39"/>
      <c r="Y187" s="39"/>
      <c r="Z187" s="39"/>
      <c r="AA187" s="39"/>
      <c r="AB187" s="39"/>
      <c r="AC187" s="39"/>
    </row>
    <row r="188">
      <c r="A188" s="23"/>
      <c r="B188" s="24"/>
      <c r="C188" s="29"/>
      <c r="D188" s="29"/>
      <c r="E188" s="29"/>
      <c r="F188" s="29"/>
      <c r="G188" s="29"/>
      <c r="H188" s="12"/>
      <c r="I188" s="12"/>
      <c r="J188" s="12"/>
      <c r="K188" s="39"/>
      <c r="L188" s="12"/>
      <c r="M188" s="40"/>
      <c r="N188" s="29"/>
      <c r="O188" s="12"/>
      <c r="P188" s="39"/>
      <c r="Q188" s="12"/>
      <c r="R188" s="39"/>
      <c r="S188" s="39"/>
      <c r="T188" s="39"/>
      <c r="U188" s="39"/>
      <c r="V188" s="39"/>
      <c r="W188" s="39"/>
      <c r="X188" s="39"/>
      <c r="Y188" s="39"/>
      <c r="Z188" s="39"/>
      <c r="AA188" s="39"/>
      <c r="AB188" s="39"/>
      <c r="AC188" s="39"/>
    </row>
    <row r="189">
      <c r="A189" s="23"/>
      <c r="B189" s="24"/>
      <c r="C189" s="29"/>
      <c r="D189" s="29"/>
      <c r="E189" s="29"/>
      <c r="F189" s="29"/>
      <c r="G189" s="29"/>
      <c r="H189" s="12"/>
      <c r="I189" s="12"/>
      <c r="J189" s="12"/>
      <c r="K189" s="39"/>
      <c r="L189" s="12"/>
      <c r="M189" s="40"/>
      <c r="N189" s="29"/>
      <c r="O189" s="12"/>
      <c r="P189" s="39"/>
      <c r="Q189" s="12"/>
      <c r="R189" s="39"/>
      <c r="S189" s="39"/>
      <c r="T189" s="39"/>
      <c r="U189" s="39"/>
      <c r="V189" s="39"/>
      <c r="W189" s="39"/>
      <c r="X189" s="39"/>
      <c r="Y189" s="39"/>
      <c r="Z189" s="39"/>
      <c r="AA189" s="39"/>
      <c r="AB189" s="39"/>
      <c r="AC189" s="39"/>
    </row>
    <row r="190">
      <c r="A190" s="23"/>
      <c r="B190" s="24"/>
      <c r="C190" s="29"/>
      <c r="D190" s="29"/>
      <c r="E190" s="29"/>
      <c r="F190" s="29"/>
      <c r="G190" s="29"/>
      <c r="H190" s="12"/>
      <c r="I190" s="12"/>
      <c r="J190" s="12"/>
      <c r="K190" s="39"/>
      <c r="L190" s="12"/>
      <c r="M190" s="40"/>
      <c r="N190" s="29"/>
      <c r="O190" s="12"/>
      <c r="P190" s="39"/>
      <c r="Q190" s="12"/>
      <c r="R190" s="39"/>
      <c r="S190" s="39"/>
      <c r="T190" s="39"/>
      <c r="U190" s="39"/>
      <c r="V190" s="39"/>
      <c r="W190" s="39"/>
      <c r="X190" s="39"/>
      <c r="Y190" s="39"/>
      <c r="Z190" s="39"/>
      <c r="AA190" s="39"/>
      <c r="AB190" s="39"/>
      <c r="AC190" s="39"/>
    </row>
    <row r="191">
      <c r="A191" s="23"/>
      <c r="B191" s="24"/>
      <c r="C191" s="29"/>
      <c r="D191" s="29"/>
      <c r="E191" s="29"/>
      <c r="F191" s="29"/>
      <c r="G191" s="29"/>
      <c r="H191" s="12"/>
      <c r="I191" s="12"/>
      <c r="J191" s="12"/>
      <c r="K191" s="39"/>
      <c r="L191" s="12"/>
      <c r="M191" s="40"/>
      <c r="N191" s="29"/>
      <c r="O191" s="12"/>
      <c r="P191" s="39"/>
      <c r="Q191" s="12"/>
      <c r="R191" s="39"/>
      <c r="S191" s="39"/>
      <c r="T191" s="39"/>
      <c r="U191" s="39"/>
      <c r="V191" s="39"/>
      <c r="W191" s="39"/>
      <c r="X191" s="39"/>
      <c r="Y191" s="39"/>
      <c r="Z191" s="39"/>
      <c r="AA191" s="39"/>
      <c r="AB191" s="39"/>
      <c r="AC191" s="39"/>
    </row>
    <row r="192">
      <c r="A192" s="23"/>
      <c r="B192" s="24"/>
      <c r="C192" s="29"/>
      <c r="D192" s="29"/>
      <c r="E192" s="29"/>
      <c r="F192" s="29"/>
      <c r="G192" s="29"/>
      <c r="H192" s="12"/>
      <c r="I192" s="12"/>
      <c r="J192" s="12"/>
      <c r="K192" s="39"/>
      <c r="L192" s="12"/>
      <c r="M192" s="40"/>
      <c r="N192" s="29"/>
      <c r="O192" s="12"/>
      <c r="P192" s="39"/>
      <c r="Q192" s="12"/>
      <c r="R192" s="39"/>
      <c r="S192" s="39"/>
      <c r="T192" s="39"/>
      <c r="U192" s="39"/>
      <c r="V192" s="39"/>
      <c r="W192" s="39"/>
      <c r="X192" s="39"/>
      <c r="Y192" s="39"/>
      <c r="Z192" s="39"/>
      <c r="AA192" s="39"/>
      <c r="AB192" s="39"/>
      <c r="AC192" s="39"/>
    </row>
    <row r="193">
      <c r="A193" s="23"/>
      <c r="B193" s="24"/>
      <c r="C193" s="29"/>
      <c r="D193" s="29"/>
      <c r="E193" s="29"/>
      <c r="F193" s="29"/>
      <c r="G193" s="29"/>
      <c r="H193" s="12"/>
      <c r="I193" s="12"/>
      <c r="J193" s="12"/>
      <c r="K193" s="39"/>
      <c r="L193" s="12"/>
      <c r="M193" s="40"/>
      <c r="N193" s="29"/>
      <c r="O193" s="12"/>
      <c r="P193" s="39"/>
      <c r="Q193" s="12"/>
      <c r="R193" s="39"/>
      <c r="S193" s="39"/>
      <c r="T193" s="39"/>
      <c r="U193" s="39"/>
      <c r="V193" s="39"/>
      <c r="W193" s="39"/>
      <c r="X193" s="39"/>
      <c r="Y193" s="39"/>
      <c r="Z193" s="39"/>
      <c r="AA193" s="39"/>
      <c r="AB193" s="39"/>
      <c r="AC193" s="39"/>
    </row>
    <row r="194">
      <c r="A194" s="23"/>
      <c r="B194" s="24"/>
      <c r="C194" s="29"/>
      <c r="D194" s="29"/>
      <c r="E194" s="29"/>
      <c r="F194" s="29"/>
      <c r="G194" s="29"/>
      <c r="H194" s="12"/>
      <c r="I194" s="12"/>
      <c r="J194" s="12"/>
      <c r="K194" s="39"/>
      <c r="L194" s="12"/>
      <c r="M194" s="40"/>
      <c r="N194" s="29"/>
      <c r="O194" s="12"/>
      <c r="P194" s="39"/>
      <c r="Q194" s="12"/>
      <c r="R194" s="39"/>
      <c r="S194" s="39"/>
      <c r="T194" s="39"/>
      <c r="U194" s="39"/>
      <c r="V194" s="39"/>
      <c r="W194" s="39"/>
      <c r="X194" s="39"/>
      <c r="Y194" s="39"/>
      <c r="Z194" s="39"/>
      <c r="AA194" s="39"/>
      <c r="AB194" s="39"/>
      <c r="AC194" s="39"/>
    </row>
    <row r="195">
      <c r="A195" s="23"/>
      <c r="B195" s="24"/>
      <c r="C195" s="29"/>
      <c r="D195" s="29"/>
      <c r="E195" s="29"/>
      <c r="F195" s="29"/>
      <c r="G195" s="29"/>
      <c r="H195" s="12"/>
      <c r="I195" s="12"/>
      <c r="J195" s="12"/>
      <c r="K195" s="39"/>
      <c r="L195" s="12"/>
      <c r="M195" s="40"/>
      <c r="N195" s="29"/>
      <c r="O195" s="12"/>
      <c r="P195" s="39"/>
      <c r="Q195" s="12"/>
      <c r="R195" s="39"/>
      <c r="S195" s="39"/>
      <c r="T195" s="39"/>
      <c r="U195" s="39"/>
      <c r="V195" s="39"/>
      <c r="W195" s="39"/>
      <c r="X195" s="39"/>
      <c r="Y195" s="39"/>
      <c r="Z195" s="39"/>
      <c r="AA195" s="39"/>
      <c r="AB195" s="39"/>
      <c r="AC195" s="39"/>
    </row>
    <row r="196">
      <c r="A196" s="23"/>
      <c r="B196" s="24"/>
      <c r="C196" s="29"/>
      <c r="D196" s="29"/>
      <c r="E196" s="29"/>
      <c r="F196" s="29"/>
      <c r="G196" s="29"/>
      <c r="H196" s="12"/>
      <c r="I196" s="12"/>
      <c r="J196" s="12"/>
      <c r="K196" s="39"/>
      <c r="L196" s="12"/>
      <c r="M196" s="40"/>
      <c r="N196" s="29"/>
      <c r="O196" s="12"/>
      <c r="P196" s="39"/>
      <c r="Q196" s="12"/>
      <c r="R196" s="39"/>
      <c r="S196" s="39"/>
      <c r="T196" s="39"/>
      <c r="U196" s="39"/>
      <c r="V196" s="39"/>
      <c r="W196" s="39"/>
      <c r="X196" s="39"/>
      <c r="Y196" s="39"/>
      <c r="Z196" s="39"/>
      <c r="AA196" s="39"/>
      <c r="AB196" s="39"/>
      <c r="AC196" s="39"/>
    </row>
    <row r="197">
      <c r="A197" s="23"/>
      <c r="B197" s="24"/>
      <c r="C197" s="29"/>
      <c r="D197" s="29"/>
      <c r="E197" s="29"/>
      <c r="F197" s="29"/>
      <c r="G197" s="29"/>
      <c r="H197" s="12"/>
      <c r="I197" s="12"/>
      <c r="J197" s="12"/>
      <c r="K197" s="39"/>
      <c r="L197" s="12"/>
      <c r="M197" s="40"/>
      <c r="N197" s="29"/>
      <c r="O197" s="12"/>
      <c r="P197" s="39"/>
      <c r="Q197" s="12"/>
      <c r="R197" s="39"/>
      <c r="S197" s="39"/>
      <c r="T197" s="39"/>
      <c r="U197" s="39"/>
      <c r="V197" s="39"/>
      <c r="W197" s="39"/>
      <c r="X197" s="39"/>
      <c r="Y197" s="39"/>
      <c r="Z197" s="39"/>
      <c r="AA197" s="39"/>
      <c r="AB197" s="39"/>
      <c r="AC197" s="39"/>
    </row>
    <row r="198">
      <c r="A198" s="23"/>
      <c r="B198" s="24"/>
      <c r="C198" s="29"/>
      <c r="D198" s="29"/>
      <c r="E198" s="29"/>
      <c r="F198" s="29"/>
      <c r="G198" s="29"/>
      <c r="H198" s="12"/>
      <c r="I198" s="12"/>
      <c r="J198" s="12"/>
      <c r="K198" s="39"/>
      <c r="L198" s="12"/>
      <c r="M198" s="40"/>
      <c r="N198" s="29"/>
      <c r="O198" s="12"/>
      <c r="P198" s="39"/>
      <c r="Q198" s="12"/>
      <c r="R198" s="39"/>
      <c r="S198" s="39"/>
      <c r="T198" s="39"/>
      <c r="U198" s="39"/>
      <c r="V198" s="39"/>
      <c r="W198" s="39"/>
      <c r="X198" s="39"/>
      <c r="Y198" s="39"/>
      <c r="Z198" s="39"/>
      <c r="AA198" s="39"/>
      <c r="AB198" s="39"/>
      <c r="AC198" s="39"/>
    </row>
    <row r="199">
      <c r="A199" s="23"/>
      <c r="B199" s="24"/>
      <c r="C199" s="29"/>
      <c r="D199" s="29"/>
      <c r="E199" s="29"/>
      <c r="F199" s="29"/>
      <c r="G199" s="29"/>
      <c r="H199" s="12"/>
      <c r="I199" s="12"/>
      <c r="J199" s="12"/>
      <c r="K199" s="39"/>
      <c r="L199" s="12"/>
      <c r="M199" s="40"/>
      <c r="N199" s="29"/>
      <c r="O199" s="12"/>
      <c r="P199" s="39"/>
      <c r="Q199" s="12"/>
      <c r="R199" s="39"/>
      <c r="S199" s="39"/>
      <c r="T199" s="39"/>
      <c r="U199" s="39"/>
      <c r="V199" s="39"/>
      <c r="W199" s="39"/>
      <c r="X199" s="39"/>
      <c r="Y199" s="39"/>
      <c r="Z199" s="39"/>
      <c r="AA199" s="39"/>
      <c r="AB199" s="39"/>
      <c r="AC199" s="39"/>
    </row>
    <row r="200">
      <c r="A200" s="23"/>
      <c r="B200" s="24"/>
      <c r="C200" s="29"/>
      <c r="D200" s="29"/>
      <c r="E200" s="29"/>
      <c r="F200" s="29"/>
      <c r="G200" s="29"/>
      <c r="H200" s="12"/>
      <c r="I200" s="12"/>
      <c r="J200" s="12"/>
      <c r="K200" s="39"/>
      <c r="L200" s="12"/>
      <c r="M200" s="40"/>
      <c r="N200" s="29"/>
      <c r="O200" s="12"/>
      <c r="P200" s="39"/>
      <c r="Q200" s="12"/>
      <c r="R200" s="39"/>
      <c r="S200" s="39"/>
      <c r="T200" s="39"/>
      <c r="U200" s="39"/>
      <c r="V200" s="39"/>
      <c r="W200" s="39"/>
      <c r="X200" s="39"/>
      <c r="Y200" s="39"/>
      <c r="Z200" s="39"/>
      <c r="AA200" s="39"/>
      <c r="AB200" s="39"/>
      <c r="AC200" s="39"/>
    </row>
    <row r="201">
      <c r="A201" s="23"/>
      <c r="B201" s="24"/>
      <c r="C201" s="29"/>
      <c r="D201" s="29"/>
      <c r="E201" s="29"/>
      <c r="F201" s="29"/>
      <c r="G201" s="29"/>
      <c r="H201" s="12"/>
      <c r="I201" s="12"/>
      <c r="J201" s="12"/>
      <c r="K201" s="39"/>
      <c r="L201" s="12"/>
      <c r="M201" s="40"/>
      <c r="N201" s="29"/>
      <c r="O201" s="12"/>
      <c r="P201" s="39"/>
      <c r="Q201" s="12"/>
      <c r="R201" s="39"/>
      <c r="S201" s="39"/>
      <c r="T201" s="39"/>
      <c r="U201" s="39"/>
      <c r="V201" s="39"/>
      <c r="W201" s="39"/>
      <c r="X201" s="39"/>
      <c r="Y201" s="39"/>
      <c r="Z201" s="39"/>
      <c r="AA201" s="39"/>
      <c r="AB201" s="39"/>
      <c r="AC201" s="39"/>
    </row>
    <row r="202">
      <c r="A202" s="23"/>
      <c r="B202" s="24"/>
      <c r="C202" s="29"/>
      <c r="D202" s="29"/>
      <c r="E202" s="29"/>
      <c r="F202" s="29"/>
      <c r="G202" s="29"/>
      <c r="H202" s="12"/>
      <c r="I202" s="12"/>
      <c r="J202" s="12"/>
      <c r="K202" s="39"/>
      <c r="L202" s="12"/>
      <c r="M202" s="40"/>
      <c r="N202" s="29"/>
      <c r="O202" s="12"/>
      <c r="P202" s="39"/>
      <c r="Q202" s="12"/>
      <c r="R202" s="39"/>
      <c r="S202" s="39"/>
      <c r="T202" s="39"/>
      <c r="U202" s="39"/>
      <c r="V202" s="39"/>
      <c r="W202" s="39"/>
      <c r="X202" s="39"/>
      <c r="Y202" s="39"/>
      <c r="Z202" s="39"/>
      <c r="AA202" s="39"/>
      <c r="AB202" s="39"/>
      <c r="AC202" s="39"/>
    </row>
    <row r="203">
      <c r="A203" s="23"/>
      <c r="B203" s="24"/>
      <c r="C203" s="29"/>
      <c r="D203" s="29"/>
      <c r="E203" s="29"/>
      <c r="F203" s="29"/>
      <c r="G203" s="29"/>
      <c r="H203" s="12"/>
      <c r="I203" s="12"/>
      <c r="J203" s="12"/>
      <c r="K203" s="39"/>
      <c r="L203" s="12"/>
      <c r="M203" s="40"/>
      <c r="N203" s="29"/>
      <c r="O203" s="12"/>
      <c r="P203" s="39"/>
      <c r="Q203" s="12"/>
      <c r="R203" s="39"/>
      <c r="S203" s="39"/>
      <c r="T203" s="39"/>
      <c r="U203" s="39"/>
      <c r="V203" s="39"/>
      <c r="W203" s="39"/>
      <c r="X203" s="39"/>
      <c r="Y203" s="39"/>
      <c r="Z203" s="39"/>
      <c r="AA203" s="39"/>
      <c r="AB203" s="39"/>
      <c r="AC203" s="39"/>
    </row>
    <row r="204">
      <c r="A204" s="23"/>
      <c r="B204" s="24"/>
      <c r="C204" s="29"/>
      <c r="D204" s="29"/>
      <c r="E204" s="29"/>
      <c r="F204" s="29"/>
      <c r="G204" s="29"/>
      <c r="H204" s="12"/>
      <c r="I204" s="12"/>
      <c r="J204" s="12"/>
      <c r="K204" s="39"/>
      <c r="L204" s="12"/>
      <c r="M204" s="40"/>
      <c r="N204" s="29"/>
      <c r="O204" s="12"/>
      <c r="P204" s="39"/>
      <c r="Q204" s="12"/>
      <c r="R204" s="39"/>
      <c r="S204" s="39"/>
      <c r="T204" s="39"/>
      <c r="U204" s="39"/>
      <c r="V204" s="39"/>
      <c r="W204" s="39"/>
      <c r="X204" s="39"/>
      <c r="Y204" s="39"/>
      <c r="Z204" s="39"/>
      <c r="AA204" s="39"/>
      <c r="AB204" s="39"/>
      <c r="AC204" s="39"/>
    </row>
    <row r="205">
      <c r="A205" s="23"/>
      <c r="B205" s="24"/>
      <c r="C205" s="29"/>
      <c r="D205" s="29"/>
      <c r="E205" s="29"/>
      <c r="F205" s="29"/>
      <c r="G205" s="29"/>
      <c r="H205" s="12"/>
      <c r="I205" s="12"/>
      <c r="J205" s="12"/>
      <c r="K205" s="39"/>
      <c r="L205" s="12"/>
      <c r="M205" s="40"/>
      <c r="N205" s="29"/>
      <c r="O205" s="12"/>
      <c r="P205" s="39"/>
      <c r="Q205" s="12"/>
      <c r="R205" s="39"/>
      <c r="S205" s="39"/>
      <c r="T205" s="39"/>
      <c r="U205" s="39"/>
      <c r="V205" s="39"/>
      <c r="W205" s="39"/>
      <c r="X205" s="39"/>
      <c r="Y205" s="39"/>
      <c r="Z205" s="39"/>
      <c r="AA205" s="39"/>
      <c r="AB205" s="39"/>
      <c r="AC205" s="39"/>
    </row>
    <row r="206">
      <c r="A206" s="23"/>
      <c r="B206" s="24"/>
      <c r="C206" s="29"/>
      <c r="D206" s="29"/>
      <c r="E206" s="29"/>
      <c r="F206" s="29"/>
      <c r="G206" s="29"/>
      <c r="H206" s="12"/>
      <c r="I206" s="12"/>
      <c r="J206" s="12"/>
      <c r="K206" s="39"/>
      <c r="L206" s="12"/>
      <c r="M206" s="40"/>
      <c r="N206" s="29"/>
      <c r="O206" s="12"/>
      <c r="P206" s="39"/>
      <c r="Q206" s="12"/>
      <c r="R206" s="39"/>
      <c r="S206" s="39"/>
      <c r="T206" s="39"/>
      <c r="U206" s="39"/>
      <c r="V206" s="39"/>
      <c r="W206" s="39"/>
      <c r="X206" s="39"/>
      <c r="Y206" s="39"/>
      <c r="Z206" s="39"/>
      <c r="AA206" s="39"/>
      <c r="AB206" s="39"/>
      <c r="AC206" s="39"/>
    </row>
    <row r="207">
      <c r="A207" s="23"/>
      <c r="B207" s="24"/>
      <c r="C207" s="29"/>
      <c r="D207" s="29"/>
      <c r="E207" s="29"/>
      <c r="F207" s="29"/>
      <c r="G207" s="29"/>
      <c r="H207" s="12"/>
      <c r="I207" s="12"/>
      <c r="J207" s="12"/>
      <c r="K207" s="39"/>
      <c r="L207" s="12"/>
      <c r="M207" s="40"/>
      <c r="N207" s="29"/>
      <c r="O207" s="12"/>
      <c r="P207" s="39"/>
      <c r="Q207" s="12"/>
      <c r="R207" s="39"/>
      <c r="S207" s="39"/>
      <c r="T207" s="39"/>
      <c r="U207" s="39"/>
      <c r="V207" s="39"/>
      <c r="W207" s="39"/>
      <c r="X207" s="39"/>
      <c r="Y207" s="39"/>
      <c r="Z207" s="39"/>
      <c r="AA207" s="39"/>
      <c r="AB207" s="39"/>
      <c r="AC207" s="39"/>
    </row>
    <row r="208">
      <c r="A208" s="23"/>
      <c r="B208" s="24"/>
      <c r="C208" s="29"/>
      <c r="D208" s="29"/>
      <c r="E208" s="29"/>
      <c r="F208" s="29"/>
      <c r="G208" s="29"/>
      <c r="H208" s="12"/>
      <c r="I208" s="12"/>
      <c r="J208" s="12"/>
      <c r="K208" s="39"/>
      <c r="L208" s="12"/>
      <c r="M208" s="40"/>
      <c r="N208" s="29"/>
      <c r="O208" s="12"/>
      <c r="P208" s="39"/>
      <c r="Q208" s="12"/>
      <c r="R208" s="39"/>
      <c r="S208" s="39"/>
      <c r="T208" s="39"/>
      <c r="U208" s="39"/>
      <c r="V208" s="39"/>
      <c r="W208" s="39"/>
      <c r="X208" s="39"/>
      <c r="Y208" s="39"/>
      <c r="Z208" s="39"/>
      <c r="AA208" s="39"/>
      <c r="AB208" s="39"/>
      <c r="AC208" s="39"/>
    </row>
    <row r="209">
      <c r="A209" s="23"/>
      <c r="B209" s="24"/>
      <c r="C209" s="29"/>
      <c r="D209" s="29"/>
      <c r="E209" s="29"/>
      <c r="F209" s="29"/>
      <c r="G209" s="29"/>
      <c r="H209" s="12"/>
      <c r="I209" s="12"/>
      <c r="J209" s="12"/>
      <c r="K209" s="39"/>
      <c r="L209" s="12"/>
      <c r="M209" s="40"/>
      <c r="N209" s="29"/>
      <c r="O209" s="12"/>
      <c r="P209" s="39"/>
      <c r="Q209" s="12"/>
      <c r="R209" s="39"/>
      <c r="S209" s="39"/>
      <c r="T209" s="39"/>
      <c r="U209" s="39"/>
      <c r="V209" s="39"/>
      <c r="W209" s="39"/>
      <c r="X209" s="39"/>
      <c r="Y209" s="39"/>
      <c r="Z209" s="39"/>
      <c r="AA209" s="39"/>
      <c r="AB209" s="39"/>
      <c r="AC209" s="39"/>
    </row>
    <row r="210">
      <c r="A210" s="23"/>
      <c r="B210" s="24"/>
      <c r="C210" s="29"/>
      <c r="D210" s="29"/>
      <c r="E210" s="29"/>
      <c r="F210" s="29"/>
      <c r="G210" s="29"/>
      <c r="H210" s="12"/>
      <c r="I210" s="12"/>
      <c r="J210" s="12"/>
      <c r="K210" s="39"/>
      <c r="L210" s="12"/>
      <c r="M210" s="40"/>
      <c r="N210" s="29"/>
      <c r="O210" s="12"/>
      <c r="P210" s="39"/>
      <c r="Q210" s="12"/>
      <c r="R210" s="39"/>
      <c r="S210" s="39"/>
      <c r="T210" s="39"/>
      <c r="U210" s="39"/>
      <c r="V210" s="39"/>
      <c r="W210" s="39"/>
      <c r="X210" s="39"/>
      <c r="Y210" s="39"/>
      <c r="Z210" s="39"/>
      <c r="AA210" s="39"/>
      <c r="AB210" s="39"/>
      <c r="AC210" s="39"/>
    </row>
    <row r="211">
      <c r="A211" s="23"/>
      <c r="B211" s="24"/>
      <c r="C211" s="29"/>
      <c r="D211" s="29"/>
      <c r="E211" s="29"/>
      <c r="F211" s="29"/>
      <c r="G211" s="29"/>
      <c r="H211" s="12"/>
      <c r="I211" s="12"/>
      <c r="J211" s="12"/>
      <c r="K211" s="39"/>
      <c r="L211" s="12"/>
      <c r="M211" s="40"/>
      <c r="N211" s="29"/>
      <c r="O211" s="12"/>
      <c r="P211" s="39"/>
      <c r="Q211" s="12"/>
      <c r="R211" s="39"/>
      <c r="S211" s="39"/>
      <c r="T211" s="39"/>
      <c r="U211" s="39"/>
      <c r="V211" s="39"/>
      <c r="W211" s="39"/>
      <c r="X211" s="39"/>
      <c r="Y211" s="39"/>
      <c r="Z211" s="39"/>
      <c r="AA211" s="39"/>
      <c r="AB211" s="39"/>
      <c r="AC211" s="39"/>
    </row>
    <row r="212">
      <c r="A212" s="23"/>
      <c r="B212" s="24"/>
      <c r="C212" s="29"/>
      <c r="D212" s="29"/>
      <c r="E212" s="29"/>
      <c r="F212" s="29"/>
      <c r="G212" s="29"/>
      <c r="H212" s="12"/>
      <c r="I212" s="12"/>
      <c r="J212" s="12"/>
      <c r="K212" s="39"/>
      <c r="L212" s="12"/>
      <c r="M212" s="40"/>
      <c r="N212" s="29"/>
      <c r="O212" s="12"/>
      <c r="P212" s="39"/>
      <c r="Q212" s="12"/>
      <c r="R212" s="39"/>
      <c r="S212" s="39"/>
      <c r="T212" s="39"/>
      <c r="U212" s="39"/>
      <c r="V212" s="39"/>
      <c r="W212" s="39"/>
      <c r="X212" s="39"/>
      <c r="Y212" s="39"/>
      <c r="Z212" s="39"/>
      <c r="AA212" s="39"/>
      <c r="AB212" s="39"/>
      <c r="AC212" s="39"/>
    </row>
    <row r="213">
      <c r="A213" s="23"/>
      <c r="B213" s="24"/>
      <c r="C213" s="29"/>
      <c r="D213" s="29"/>
      <c r="E213" s="29"/>
      <c r="F213" s="29"/>
      <c r="G213" s="29"/>
      <c r="H213" s="12"/>
      <c r="I213" s="12"/>
      <c r="J213" s="12"/>
      <c r="K213" s="39"/>
      <c r="L213" s="12"/>
      <c r="M213" s="40"/>
      <c r="N213" s="29"/>
      <c r="O213" s="12"/>
      <c r="P213" s="39"/>
      <c r="Q213" s="12"/>
      <c r="R213" s="39"/>
      <c r="S213" s="39"/>
      <c r="T213" s="39"/>
      <c r="U213" s="39"/>
      <c r="V213" s="39"/>
      <c r="W213" s="39"/>
      <c r="X213" s="39"/>
      <c r="Y213" s="39"/>
      <c r="Z213" s="39"/>
      <c r="AA213" s="39"/>
      <c r="AB213" s="39"/>
      <c r="AC213" s="39"/>
    </row>
    <row r="214">
      <c r="A214" s="23"/>
      <c r="B214" s="24"/>
      <c r="C214" s="29"/>
      <c r="D214" s="29"/>
      <c r="E214" s="29"/>
      <c r="F214" s="29"/>
      <c r="G214" s="29"/>
      <c r="H214" s="12"/>
      <c r="I214" s="12"/>
      <c r="J214" s="12"/>
      <c r="K214" s="39"/>
      <c r="L214" s="12"/>
      <c r="M214" s="40"/>
      <c r="N214" s="29"/>
      <c r="O214" s="12"/>
      <c r="P214" s="39"/>
      <c r="Q214" s="12"/>
      <c r="R214" s="39"/>
      <c r="S214" s="39"/>
      <c r="T214" s="39"/>
      <c r="U214" s="39"/>
      <c r="V214" s="39"/>
      <c r="W214" s="39"/>
      <c r="X214" s="39"/>
      <c r="Y214" s="39"/>
      <c r="Z214" s="39"/>
      <c r="AA214" s="39"/>
      <c r="AB214" s="39"/>
      <c r="AC214" s="39"/>
    </row>
    <row r="215">
      <c r="A215" s="23"/>
      <c r="B215" s="24"/>
      <c r="C215" s="29"/>
      <c r="D215" s="29"/>
      <c r="E215" s="29"/>
      <c r="F215" s="29"/>
      <c r="G215" s="29"/>
      <c r="H215" s="12"/>
      <c r="I215" s="12"/>
      <c r="J215" s="12"/>
      <c r="K215" s="39"/>
      <c r="L215" s="12"/>
      <c r="M215" s="40"/>
      <c r="N215" s="29"/>
      <c r="O215" s="12"/>
      <c r="P215" s="39"/>
      <c r="Q215" s="12"/>
      <c r="R215" s="39"/>
      <c r="S215" s="39"/>
      <c r="T215" s="39"/>
      <c r="U215" s="39"/>
      <c r="V215" s="39"/>
      <c r="W215" s="39"/>
      <c r="X215" s="39"/>
      <c r="Y215" s="39"/>
      <c r="Z215" s="39"/>
      <c r="AA215" s="39"/>
      <c r="AB215" s="39"/>
      <c r="AC215" s="39"/>
    </row>
    <row r="216">
      <c r="A216" s="23"/>
      <c r="B216" s="24"/>
      <c r="C216" s="29"/>
      <c r="D216" s="29"/>
      <c r="E216" s="29"/>
      <c r="F216" s="29"/>
      <c r="G216" s="29"/>
      <c r="H216" s="12"/>
      <c r="I216" s="12"/>
      <c r="J216" s="12"/>
      <c r="K216" s="39"/>
      <c r="L216" s="12"/>
      <c r="M216" s="40"/>
      <c r="N216" s="29"/>
      <c r="O216" s="12"/>
      <c r="P216" s="39"/>
      <c r="Q216" s="12"/>
      <c r="R216" s="39"/>
      <c r="S216" s="39"/>
      <c r="T216" s="39"/>
      <c r="U216" s="39"/>
      <c r="V216" s="39"/>
      <c r="W216" s="39"/>
      <c r="X216" s="39"/>
      <c r="Y216" s="39"/>
      <c r="Z216" s="39"/>
      <c r="AA216" s="39"/>
      <c r="AB216" s="39"/>
      <c r="AC216" s="39"/>
    </row>
    <row r="217">
      <c r="A217" s="23"/>
      <c r="B217" s="24"/>
      <c r="C217" s="29"/>
      <c r="D217" s="29"/>
      <c r="E217" s="29"/>
      <c r="F217" s="29"/>
      <c r="G217" s="29"/>
      <c r="H217" s="12"/>
      <c r="I217" s="12"/>
      <c r="J217" s="12"/>
      <c r="K217" s="39"/>
      <c r="L217" s="12"/>
      <c r="M217" s="40"/>
      <c r="N217" s="29"/>
      <c r="O217" s="12"/>
      <c r="P217" s="39"/>
      <c r="Q217" s="12"/>
      <c r="R217" s="39"/>
      <c r="S217" s="39"/>
      <c r="T217" s="39"/>
      <c r="U217" s="39"/>
      <c r="V217" s="39"/>
      <c r="W217" s="39"/>
      <c r="X217" s="39"/>
      <c r="Y217" s="39"/>
      <c r="Z217" s="39"/>
      <c r="AA217" s="39"/>
      <c r="AB217" s="39"/>
      <c r="AC217" s="39"/>
    </row>
    <row r="218">
      <c r="A218" s="23"/>
      <c r="B218" s="24"/>
      <c r="C218" s="29"/>
      <c r="D218" s="29"/>
      <c r="E218" s="29"/>
      <c r="F218" s="29"/>
      <c r="G218" s="29"/>
      <c r="H218" s="12"/>
      <c r="I218" s="12"/>
      <c r="J218" s="12"/>
      <c r="K218" s="39"/>
      <c r="L218" s="12"/>
      <c r="M218" s="40"/>
      <c r="N218" s="29"/>
      <c r="O218" s="12"/>
      <c r="P218" s="39"/>
      <c r="Q218" s="12"/>
      <c r="R218" s="39"/>
      <c r="S218" s="39"/>
      <c r="T218" s="39"/>
      <c r="U218" s="39"/>
      <c r="V218" s="39"/>
      <c r="W218" s="39"/>
      <c r="X218" s="39"/>
      <c r="Y218" s="39"/>
      <c r="Z218" s="39"/>
      <c r="AA218" s="39"/>
      <c r="AB218" s="39"/>
      <c r="AC218" s="39"/>
    </row>
    <row r="219">
      <c r="A219" s="23"/>
      <c r="B219" s="24"/>
      <c r="C219" s="29"/>
      <c r="D219" s="29"/>
      <c r="E219" s="29"/>
      <c r="F219" s="29"/>
      <c r="G219" s="29"/>
      <c r="H219" s="12"/>
      <c r="I219" s="12"/>
      <c r="J219" s="12"/>
      <c r="K219" s="39"/>
      <c r="L219" s="12"/>
      <c r="M219" s="40"/>
      <c r="N219" s="29"/>
      <c r="O219" s="12"/>
      <c r="P219" s="39"/>
      <c r="Q219" s="12"/>
      <c r="R219" s="39"/>
      <c r="S219" s="39"/>
      <c r="T219" s="39"/>
      <c r="U219" s="39"/>
      <c r="V219" s="39"/>
      <c r="W219" s="39"/>
      <c r="X219" s="39"/>
      <c r="Y219" s="39"/>
      <c r="Z219" s="39"/>
      <c r="AA219" s="39"/>
      <c r="AB219" s="39"/>
      <c r="AC219" s="39"/>
    </row>
    <row r="220">
      <c r="A220" s="23"/>
      <c r="B220" s="24"/>
      <c r="C220" s="29"/>
      <c r="D220" s="29"/>
      <c r="E220" s="29"/>
      <c r="F220" s="29"/>
      <c r="G220" s="29"/>
      <c r="H220" s="12"/>
      <c r="I220" s="12"/>
      <c r="J220" s="12"/>
      <c r="K220" s="39"/>
      <c r="L220" s="12"/>
      <c r="M220" s="40"/>
      <c r="N220" s="29"/>
      <c r="O220" s="12"/>
      <c r="P220" s="39"/>
      <c r="Q220" s="12"/>
      <c r="R220" s="39"/>
      <c r="S220" s="39"/>
      <c r="T220" s="39"/>
      <c r="U220" s="39"/>
      <c r="V220" s="39"/>
      <c r="W220" s="39"/>
      <c r="X220" s="39"/>
      <c r="Y220" s="39"/>
      <c r="Z220" s="39"/>
      <c r="AA220" s="39"/>
      <c r="AB220" s="39"/>
      <c r="AC220" s="39"/>
    </row>
    <row r="221">
      <c r="A221" s="23"/>
      <c r="B221" s="24"/>
      <c r="C221" s="29"/>
      <c r="D221" s="29"/>
      <c r="E221" s="29"/>
      <c r="F221" s="29"/>
      <c r="G221" s="29"/>
      <c r="H221" s="12"/>
      <c r="I221" s="12"/>
      <c r="J221" s="12"/>
      <c r="K221" s="39"/>
      <c r="L221" s="12"/>
      <c r="M221" s="40"/>
      <c r="N221" s="29"/>
      <c r="O221" s="12"/>
      <c r="P221" s="39"/>
      <c r="Q221" s="12"/>
      <c r="R221" s="39"/>
      <c r="S221" s="39"/>
      <c r="T221" s="39"/>
      <c r="U221" s="39"/>
      <c r="V221" s="39"/>
      <c r="W221" s="39"/>
      <c r="X221" s="39"/>
      <c r="Y221" s="39"/>
      <c r="Z221" s="39"/>
      <c r="AA221" s="39"/>
      <c r="AB221" s="39"/>
      <c r="AC221" s="39"/>
    </row>
    <row r="222">
      <c r="A222" s="23"/>
      <c r="B222" s="24"/>
      <c r="C222" s="29"/>
      <c r="D222" s="29"/>
      <c r="E222" s="29"/>
      <c r="F222" s="29"/>
      <c r="G222" s="29"/>
      <c r="H222" s="12"/>
      <c r="I222" s="12"/>
      <c r="J222" s="12"/>
      <c r="K222" s="39"/>
      <c r="L222" s="12"/>
      <c r="M222" s="40"/>
      <c r="N222" s="29"/>
      <c r="O222" s="12"/>
      <c r="P222" s="39"/>
      <c r="Q222" s="12"/>
      <c r="R222" s="39"/>
      <c r="S222" s="39"/>
      <c r="T222" s="39"/>
      <c r="U222" s="39"/>
      <c r="V222" s="39"/>
      <c r="W222" s="39"/>
      <c r="X222" s="39"/>
      <c r="Y222" s="39"/>
      <c r="Z222" s="39"/>
      <c r="AA222" s="39"/>
      <c r="AB222" s="39"/>
      <c r="AC222" s="39"/>
    </row>
    <row r="223">
      <c r="A223" s="23"/>
      <c r="B223" s="24"/>
      <c r="C223" s="29"/>
      <c r="D223" s="29"/>
      <c r="E223" s="29"/>
      <c r="F223" s="29"/>
      <c r="G223" s="29"/>
      <c r="H223" s="12"/>
      <c r="I223" s="12"/>
      <c r="J223" s="12"/>
      <c r="K223" s="39"/>
      <c r="L223" s="12"/>
      <c r="M223" s="40"/>
      <c r="N223" s="29"/>
      <c r="O223" s="12"/>
      <c r="P223" s="39"/>
      <c r="Q223" s="12"/>
      <c r="R223" s="39"/>
      <c r="S223" s="39"/>
      <c r="T223" s="39"/>
      <c r="U223" s="39"/>
      <c r="V223" s="39"/>
      <c r="W223" s="39"/>
      <c r="X223" s="39"/>
      <c r="Y223" s="39"/>
      <c r="Z223" s="39"/>
      <c r="AA223" s="39"/>
      <c r="AB223" s="39"/>
      <c r="AC223" s="39"/>
    </row>
    <row r="224">
      <c r="A224" s="23"/>
      <c r="B224" s="24"/>
      <c r="C224" s="29"/>
      <c r="D224" s="29"/>
      <c r="E224" s="29"/>
      <c r="F224" s="29"/>
      <c r="G224" s="29"/>
      <c r="H224" s="12"/>
      <c r="I224" s="12"/>
      <c r="J224" s="12"/>
      <c r="K224" s="39"/>
      <c r="L224" s="12"/>
      <c r="M224" s="40"/>
      <c r="N224" s="29"/>
      <c r="O224" s="12"/>
      <c r="P224" s="39"/>
      <c r="Q224" s="12"/>
      <c r="R224" s="39"/>
      <c r="S224" s="39"/>
      <c r="T224" s="39"/>
      <c r="U224" s="39"/>
      <c r="V224" s="39"/>
      <c r="W224" s="39"/>
      <c r="X224" s="39"/>
      <c r="Y224" s="39"/>
      <c r="Z224" s="39"/>
      <c r="AA224" s="39"/>
      <c r="AB224" s="39"/>
      <c r="AC224" s="39"/>
    </row>
    <row r="225">
      <c r="A225" s="23"/>
      <c r="B225" s="24"/>
      <c r="C225" s="29"/>
      <c r="D225" s="29"/>
      <c r="E225" s="29"/>
      <c r="F225" s="29"/>
      <c r="G225" s="29"/>
      <c r="H225" s="12"/>
      <c r="I225" s="12"/>
      <c r="J225" s="12"/>
      <c r="K225" s="39"/>
      <c r="L225" s="12"/>
      <c r="M225" s="40"/>
      <c r="N225" s="29"/>
      <c r="O225" s="12"/>
      <c r="P225" s="39"/>
      <c r="Q225" s="12"/>
      <c r="R225" s="39"/>
      <c r="S225" s="39"/>
      <c r="T225" s="39"/>
      <c r="U225" s="39"/>
      <c r="V225" s="39"/>
      <c r="W225" s="39"/>
      <c r="X225" s="39"/>
      <c r="Y225" s="39"/>
      <c r="Z225" s="39"/>
      <c r="AA225" s="39"/>
      <c r="AB225" s="39"/>
      <c r="AC225" s="39"/>
    </row>
    <row r="226">
      <c r="A226" s="23"/>
      <c r="B226" s="24"/>
      <c r="C226" s="29"/>
      <c r="D226" s="29"/>
      <c r="E226" s="29"/>
      <c r="F226" s="29"/>
      <c r="G226" s="29"/>
      <c r="H226" s="12"/>
      <c r="I226" s="12"/>
      <c r="J226" s="12"/>
      <c r="K226" s="39"/>
      <c r="L226" s="12"/>
      <c r="M226" s="40"/>
      <c r="N226" s="29"/>
      <c r="O226" s="12"/>
      <c r="P226" s="39"/>
      <c r="Q226" s="12"/>
      <c r="R226" s="39"/>
      <c r="S226" s="39"/>
      <c r="T226" s="39"/>
      <c r="U226" s="39"/>
      <c r="V226" s="39"/>
      <c r="W226" s="39"/>
      <c r="X226" s="39"/>
      <c r="Y226" s="39"/>
      <c r="Z226" s="39"/>
      <c r="AA226" s="39"/>
      <c r="AB226" s="39"/>
      <c r="AC226" s="39"/>
    </row>
    <row r="227">
      <c r="A227" s="23"/>
      <c r="B227" s="24"/>
      <c r="C227" s="29"/>
      <c r="D227" s="29"/>
      <c r="E227" s="29"/>
      <c r="F227" s="29"/>
      <c r="G227" s="29"/>
      <c r="H227" s="12"/>
      <c r="I227" s="12"/>
      <c r="J227" s="12"/>
      <c r="K227" s="39"/>
      <c r="L227" s="12"/>
      <c r="M227" s="40"/>
      <c r="N227" s="29"/>
      <c r="O227" s="12"/>
      <c r="P227" s="39"/>
      <c r="Q227" s="12"/>
      <c r="R227" s="39"/>
      <c r="S227" s="39"/>
      <c r="T227" s="39"/>
      <c r="U227" s="39"/>
      <c r="V227" s="39"/>
      <c r="W227" s="39"/>
      <c r="X227" s="39"/>
      <c r="Y227" s="39"/>
      <c r="Z227" s="39"/>
      <c r="AA227" s="39"/>
      <c r="AB227" s="39"/>
      <c r="AC227" s="39"/>
    </row>
    <row r="228">
      <c r="A228" s="23"/>
      <c r="B228" s="24"/>
      <c r="C228" s="29"/>
      <c r="D228" s="29"/>
      <c r="E228" s="29"/>
      <c r="F228" s="29"/>
      <c r="G228" s="29"/>
      <c r="H228" s="12"/>
      <c r="I228" s="12"/>
      <c r="J228" s="12"/>
      <c r="K228" s="39"/>
      <c r="L228" s="12"/>
      <c r="M228" s="40"/>
      <c r="N228" s="29"/>
      <c r="O228" s="12"/>
      <c r="P228" s="39"/>
      <c r="Q228" s="12"/>
      <c r="R228" s="39"/>
      <c r="S228" s="39"/>
      <c r="T228" s="39"/>
      <c r="U228" s="39"/>
      <c r="V228" s="39"/>
      <c r="W228" s="39"/>
      <c r="X228" s="39"/>
      <c r="Y228" s="39"/>
      <c r="Z228" s="39"/>
      <c r="AA228" s="39"/>
      <c r="AB228" s="39"/>
      <c r="AC228" s="39"/>
    </row>
    <row r="229">
      <c r="A229" s="23"/>
      <c r="B229" s="24"/>
      <c r="C229" s="29"/>
      <c r="D229" s="29"/>
      <c r="E229" s="29"/>
      <c r="F229" s="29"/>
      <c r="G229" s="29"/>
      <c r="H229" s="12"/>
      <c r="I229" s="12"/>
      <c r="J229" s="12"/>
      <c r="K229" s="39"/>
      <c r="L229" s="12"/>
      <c r="M229" s="40"/>
      <c r="N229" s="29"/>
      <c r="O229" s="12"/>
      <c r="P229" s="39"/>
      <c r="Q229" s="12"/>
      <c r="R229" s="39"/>
      <c r="S229" s="39"/>
      <c r="T229" s="39"/>
      <c r="U229" s="39"/>
      <c r="V229" s="39"/>
      <c r="W229" s="39"/>
      <c r="X229" s="39"/>
      <c r="Y229" s="39"/>
      <c r="Z229" s="39"/>
      <c r="AA229" s="39"/>
      <c r="AB229" s="39"/>
      <c r="AC229" s="39"/>
    </row>
    <row r="230">
      <c r="A230" s="23"/>
      <c r="B230" s="24"/>
      <c r="C230" s="29"/>
      <c r="D230" s="29"/>
      <c r="E230" s="29"/>
      <c r="F230" s="29"/>
      <c r="G230" s="29"/>
      <c r="H230" s="12"/>
      <c r="I230" s="12"/>
      <c r="J230" s="12"/>
      <c r="K230" s="39"/>
      <c r="L230" s="12"/>
      <c r="M230" s="40"/>
      <c r="N230" s="29"/>
      <c r="O230" s="12"/>
      <c r="P230" s="39"/>
      <c r="Q230" s="12"/>
      <c r="R230" s="39"/>
      <c r="S230" s="39"/>
      <c r="T230" s="39"/>
      <c r="U230" s="39"/>
      <c r="V230" s="39"/>
      <c r="W230" s="39"/>
      <c r="X230" s="39"/>
      <c r="Y230" s="39"/>
      <c r="Z230" s="39"/>
      <c r="AA230" s="39"/>
      <c r="AB230" s="39"/>
      <c r="AC230" s="39"/>
    </row>
    <row r="231">
      <c r="A231" s="23"/>
      <c r="B231" s="24"/>
      <c r="C231" s="29"/>
      <c r="D231" s="29"/>
      <c r="E231" s="29"/>
      <c r="F231" s="29"/>
      <c r="G231" s="29"/>
      <c r="H231" s="12"/>
      <c r="I231" s="12"/>
      <c r="J231" s="12"/>
      <c r="K231" s="39"/>
      <c r="L231" s="12"/>
      <c r="M231" s="40"/>
      <c r="N231" s="29"/>
      <c r="O231" s="12"/>
      <c r="P231" s="39"/>
      <c r="Q231" s="12"/>
      <c r="R231" s="39"/>
      <c r="S231" s="39"/>
      <c r="T231" s="39"/>
      <c r="U231" s="39"/>
      <c r="V231" s="39"/>
      <c r="W231" s="39"/>
      <c r="X231" s="39"/>
      <c r="Y231" s="39"/>
      <c r="Z231" s="39"/>
      <c r="AA231" s="39"/>
      <c r="AB231" s="39"/>
      <c r="AC231" s="39"/>
    </row>
    <row r="232">
      <c r="A232" s="23"/>
      <c r="B232" s="24"/>
      <c r="C232" s="29"/>
      <c r="D232" s="29"/>
      <c r="E232" s="29"/>
      <c r="F232" s="29"/>
      <c r="G232" s="29"/>
      <c r="H232" s="12"/>
      <c r="I232" s="12"/>
      <c r="J232" s="12"/>
      <c r="K232" s="39"/>
      <c r="L232" s="12"/>
      <c r="M232" s="40"/>
      <c r="N232" s="29"/>
      <c r="O232" s="12"/>
      <c r="P232" s="39"/>
      <c r="Q232" s="12"/>
      <c r="R232" s="39"/>
      <c r="S232" s="39"/>
      <c r="T232" s="39"/>
      <c r="U232" s="39"/>
      <c r="V232" s="39"/>
      <c r="W232" s="39"/>
      <c r="X232" s="39"/>
      <c r="Y232" s="39"/>
      <c r="Z232" s="39"/>
      <c r="AA232" s="39"/>
      <c r="AB232" s="39"/>
      <c r="AC232" s="39"/>
    </row>
    <row r="233">
      <c r="A233" s="23"/>
      <c r="B233" s="24"/>
      <c r="C233" s="29"/>
      <c r="D233" s="29"/>
      <c r="E233" s="29"/>
      <c r="F233" s="29"/>
      <c r="G233" s="29"/>
      <c r="H233" s="12"/>
      <c r="I233" s="12"/>
      <c r="J233" s="12"/>
      <c r="K233" s="39"/>
      <c r="L233" s="12"/>
      <c r="M233" s="40"/>
      <c r="N233" s="29"/>
      <c r="O233" s="12"/>
      <c r="P233" s="39"/>
      <c r="Q233" s="12"/>
      <c r="R233" s="39"/>
      <c r="S233" s="39"/>
      <c r="T233" s="39"/>
      <c r="U233" s="39"/>
      <c r="V233" s="39"/>
      <c r="W233" s="39"/>
      <c r="X233" s="39"/>
      <c r="Y233" s="39"/>
      <c r="Z233" s="39"/>
      <c r="AA233" s="39"/>
      <c r="AB233" s="39"/>
      <c r="AC233" s="39"/>
    </row>
    <row r="234">
      <c r="A234" s="23"/>
      <c r="B234" s="24"/>
      <c r="C234" s="29"/>
      <c r="D234" s="29"/>
      <c r="E234" s="29"/>
      <c r="F234" s="29"/>
      <c r="G234" s="29"/>
      <c r="H234" s="12"/>
      <c r="I234" s="12"/>
      <c r="J234" s="12"/>
      <c r="K234" s="39"/>
      <c r="L234" s="12"/>
      <c r="M234" s="40"/>
      <c r="N234" s="29"/>
      <c r="O234" s="12"/>
      <c r="P234" s="39"/>
      <c r="Q234" s="12"/>
      <c r="R234" s="39"/>
      <c r="S234" s="39"/>
      <c r="T234" s="39"/>
      <c r="U234" s="39"/>
      <c r="V234" s="39"/>
      <c r="W234" s="39"/>
      <c r="X234" s="39"/>
      <c r="Y234" s="39"/>
      <c r="Z234" s="39"/>
      <c r="AA234" s="39"/>
      <c r="AB234" s="39"/>
      <c r="AC234" s="39"/>
    </row>
    <row r="235">
      <c r="A235" s="23"/>
      <c r="B235" s="24"/>
      <c r="C235" s="29"/>
      <c r="D235" s="29"/>
      <c r="E235" s="29"/>
      <c r="F235" s="29"/>
      <c r="G235" s="29"/>
      <c r="H235" s="12"/>
      <c r="I235" s="12"/>
      <c r="J235" s="12"/>
      <c r="K235" s="39"/>
      <c r="L235" s="12"/>
      <c r="M235" s="40"/>
      <c r="N235" s="29"/>
      <c r="O235" s="12"/>
      <c r="P235" s="39"/>
      <c r="Q235" s="12"/>
      <c r="R235" s="39"/>
      <c r="S235" s="39"/>
      <c r="T235" s="39"/>
      <c r="U235" s="39"/>
      <c r="V235" s="39"/>
      <c r="W235" s="39"/>
      <c r="X235" s="39"/>
      <c r="Y235" s="39"/>
      <c r="Z235" s="39"/>
      <c r="AA235" s="39"/>
      <c r="AB235" s="39"/>
      <c r="AC235" s="39"/>
    </row>
    <row r="236">
      <c r="A236" s="23"/>
      <c r="B236" s="24"/>
      <c r="C236" s="29"/>
      <c r="D236" s="29"/>
      <c r="E236" s="29"/>
      <c r="F236" s="29"/>
      <c r="G236" s="29"/>
      <c r="H236" s="12"/>
      <c r="I236" s="12"/>
      <c r="J236" s="12"/>
      <c r="K236" s="39"/>
      <c r="L236" s="12"/>
      <c r="M236" s="40"/>
      <c r="N236" s="29"/>
      <c r="O236" s="12"/>
      <c r="P236" s="39"/>
      <c r="Q236" s="12"/>
      <c r="R236" s="39"/>
      <c r="S236" s="39"/>
      <c r="T236" s="39"/>
      <c r="U236" s="39"/>
      <c r="V236" s="39"/>
      <c r="W236" s="39"/>
      <c r="X236" s="39"/>
      <c r="Y236" s="39"/>
      <c r="Z236" s="39"/>
      <c r="AA236" s="39"/>
      <c r="AB236" s="39"/>
      <c r="AC236" s="39"/>
    </row>
    <row r="237">
      <c r="A237" s="23"/>
      <c r="B237" s="24"/>
      <c r="C237" s="29"/>
      <c r="D237" s="29"/>
      <c r="E237" s="29"/>
      <c r="F237" s="29"/>
      <c r="G237" s="29"/>
      <c r="H237" s="12"/>
      <c r="I237" s="12"/>
      <c r="J237" s="12"/>
      <c r="K237" s="39"/>
      <c r="L237" s="12"/>
      <c r="M237" s="40"/>
      <c r="N237" s="29"/>
      <c r="O237" s="12"/>
      <c r="P237" s="39"/>
      <c r="Q237" s="12"/>
      <c r="R237" s="39"/>
      <c r="S237" s="39"/>
      <c r="T237" s="39"/>
      <c r="U237" s="39"/>
      <c r="V237" s="39"/>
      <c r="W237" s="39"/>
      <c r="X237" s="39"/>
      <c r="Y237" s="39"/>
      <c r="Z237" s="39"/>
      <c r="AA237" s="39"/>
      <c r="AB237" s="39"/>
      <c r="AC237" s="39"/>
    </row>
    <row r="238">
      <c r="A238" s="23"/>
      <c r="B238" s="24"/>
      <c r="C238" s="29"/>
      <c r="D238" s="29"/>
      <c r="E238" s="29"/>
      <c r="F238" s="29"/>
      <c r="G238" s="29"/>
      <c r="H238" s="12"/>
      <c r="I238" s="12"/>
      <c r="J238" s="12"/>
      <c r="K238" s="39"/>
      <c r="L238" s="12"/>
      <c r="M238" s="40"/>
      <c r="N238" s="29"/>
      <c r="O238" s="12"/>
      <c r="P238" s="39"/>
      <c r="Q238" s="12"/>
      <c r="R238" s="39"/>
      <c r="S238" s="39"/>
      <c r="T238" s="39"/>
      <c r="U238" s="39"/>
      <c r="V238" s="39"/>
      <c r="W238" s="39"/>
      <c r="X238" s="39"/>
      <c r="Y238" s="39"/>
      <c r="Z238" s="39"/>
      <c r="AA238" s="39"/>
      <c r="AB238" s="39"/>
      <c r="AC238" s="39"/>
    </row>
    <row r="239">
      <c r="A239" s="23"/>
      <c r="B239" s="24"/>
      <c r="C239" s="29"/>
      <c r="D239" s="29"/>
      <c r="E239" s="29"/>
      <c r="F239" s="29"/>
      <c r="G239" s="29"/>
      <c r="H239" s="12"/>
      <c r="I239" s="12"/>
      <c r="J239" s="12"/>
      <c r="K239" s="39"/>
      <c r="L239" s="12"/>
      <c r="M239" s="40"/>
      <c r="N239" s="29"/>
      <c r="O239" s="12"/>
      <c r="P239" s="39"/>
      <c r="Q239" s="12"/>
      <c r="R239" s="39"/>
      <c r="S239" s="39"/>
      <c r="T239" s="39"/>
      <c r="U239" s="39"/>
      <c r="V239" s="39"/>
      <c r="W239" s="39"/>
      <c r="X239" s="39"/>
      <c r="Y239" s="39"/>
      <c r="Z239" s="39"/>
      <c r="AA239" s="39"/>
      <c r="AB239" s="39"/>
      <c r="AC239" s="39"/>
    </row>
    <row r="240">
      <c r="A240" s="23"/>
      <c r="B240" s="24"/>
      <c r="C240" s="29"/>
      <c r="D240" s="29"/>
      <c r="E240" s="29"/>
      <c r="F240" s="29"/>
      <c r="G240" s="29"/>
      <c r="H240" s="12"/>
      <c r="I240" s="12"/>
      <c r="J240" s="12"/>
      <c r="K240" s="39"/>
      <c r="L240" s="12"/>
      <c r="M240" s="40"/>
      <c r="N240" s="29"/>
      <c r="O240" s="12"/>
      <c r="P240" s="39"/>
      <c r="Q240" s="12"/>
      <c r="R240" s="39"/>
      <c r="S240" s="39"/>
      <c r="T240" s="39"/>
      <c r="U240" s="39"/>
      <c r="V240" s="39"/>
      <c r="W240" s="39"/>
      <c r="X240" s="39"/>
      <c r="Y240" s="39"/>
      <c r="Z240" s="39"/>
      <c r="AA240" s="39"/>
      <c r="AB240" s="39"/>
      <c r="AC240" s="39"/>
    </row>
    <row r="241">
      <c r="A241" s="23"/>
      <c r="B241" s="24"/>
      <c r="C241" s="29"/>
      <c r="D241" s="29"/>
      <c r="E241" s="29"/>
      <c r="F241" s="29"/>
      <c r="G241" s="29"/>
      <c r="H241" s="12"/>
      <c r="I241" s="12"/>
      <c r="J241" s="12"/>
      <c r="K241" s="39"/>
      <c r="L241" s="12"/>
      <c r="M241" s="40"/>
      <c r="N241" s="29"/>
      <c r="O241" s="12"/>
      <c r="P241" s="39"/>
      <c r="Q241" s="12"/>
      <c r="R241" s="39"/>
      <c r="S241" s="39"/>
      <c r="T241" s="39"/>
      <c r="U241" s="39"/>
      <c r="V241" s="39"/>
      <c r="W241" s="39"/>
      <c r="X241" s="39"/>
      <c r="Y241" s="39"/>
      <c r="Z241" s="39"/>
      <c r="AA241" s="39"/>
      <c r="AB241" s="39"/>
      <c r="AC241" s="39"/>
    </row>
    <row r="242">
      <c r="A242" s="23"/>
      <c r="B242" s="24"/>
      <c r="C242" s="29"/>
      <c r="D242" s="29"/>
      <c r="E242" s="29"/>
      <c r="F242" s="29"/>
      <c r="G242" s="29"/>
      <c r="H242" s="12"/>
      <c r="I242" s="12"/>
      <c r="J242" s="12"/>
      <c r="K242" s="39"/>
      <c r="L242" s="12"/>
      <c r="M242" s="40"/>
      <c r="N242" s="29"/>
      <c r="O242" s="12"/>
      <c r="P242" s="39"/>
      <c r="Q242" s="12"/>
      <c r="R242" s="39"/>
      <c r="S242" s="39"/>
      <c r="T242" s="39"/>
      <c r="U242" s="39"/>
      <c r="V242" s="39"/>
      <c r="W242" s="39"/>
      <c r="X242" s="39"/>
      <c r="Y242" s="39"/>
      <c r="Z242" s="39"/>
      <c r="AA242" s="39"/>
      <c r="AB242" s="39"/>
      <c r="AC242" s="39"/>
    </row>
    <row r="243">
      <c r="A243" s="23"/>
      <c r="B243" s="24"/>
      <c r="C243" s="29"/>
      <c r="D243" s="29"/>
      <c r="E243" s="29"/>
      <c r="F243" s="29"/>
      <c r="G243" s="29"/>
      <c r="H243" s="12"/>
      <c r="I243" s="12"/>
      <c r="J243" s="12"/>
      <c r="K243" s="39"/>
      <c r="L243" s="12"/>
      <c r="M243" s="40"/>
      <c r="N243" s="29"/>
      <c r="O243" s="12"/>
      <c r="P243" s="39"/>
      <c r="Q243" s="12"/>
      <c r="R243" s="39"/>
      <c r="S243" s="39"/>
      <c r="T243" s="39"/>
      <c r="U243" s="39"/>
      <c r="V243" s="39"/>
      <c r="W243" s="39"/>
      <c r="X243" s="39"/>
      <c r="Y243" s="39"/>
      <c r="Z243" s="39"/>
      <c r="AA243" s="39"/>
      <c r="AB243" s="39"/>
      <c r="AC243" s="39"/>
    </row>
    <row r="244">
      <c r="A244" s="23"/>
      <c r="B244" s="24"/>
      <c r="C244" s="29"/>
      <c r="D244" s="29"/>
      <c r="E244" s="29"/>
      <c r="F244" s="29"/>
      <c r="G244" s="29"/>
      <c r="H244" s="12"/>
      <c r="I244" s="12"/>
      <c r="J244" s="12"/>
      <c r="K244" s="39"/>
      <c r="L244" s="12"/>
      <c r="M244" s="40"/>
      <c r="N244" s="29"/>
      <c r="O244" s="12"/>
      <c r="P244" s="39"/>
      <c r="Q244" s="12"/>
      <c r="R244" s="39"/>
      <c r="S244" s="39"/>
      <c r="T244" s="39"/>
      <c r="U244" s="39"/>
      <c r="V244" s="39"/>
      <c r="W244" s="39"/>
      <c r="X244" s="39"/>
      <c r="Y244" s="39"/>
      <c r="Z244" s="39"/>
      <c r="AA244" s="39"/>
      <c r="AB244" s="39"/>
      <c r="AC244" s="39"/>
    </row>
    <row r="245">
      <c r="A245" s="23"/>
      <c r="B245" s="24"/>
      <c r="C245" s="29"/>
      <c r="D245" s="29"/>
      <c r="E245" s="29"/>
      <c r="F245" s="29"/>
      <c r="G245" s="29"/>
      <c r="H245" s="12"/>
      <c r="I245" s="12"/>
      <c r="J245" s="12"/>
      <c r="K245" s="39"/>
      <c r="L245" s="12"/>
      <c r="M245" s="40"/>
      <c r="N245" s="29"/>
      <c r="O245" s="12"/>
      <c r="P245" s="39"/>
      <c r="Q245" s="12"/>
      <c r="R245" s="39"/>
      <c r="S245" s="39"/>
      <c r="T245" s="39"/>
      <c r="U245" s="39"/>
      <c r="V245" s="39"/>
      <c r="W245" s="39"/>
      <c r="X245" s="39"/>
      <c r="Y245" s="39"/>
      <c r="Z245" s="39"/>
      <c r="AA245" s="39"/>
      <c r="AB245" s="39"/>
      <c r="AC245" s="39"/>
    </row>
    <row r="246">
      <c r="A246" s="23"/>
      <c r="B246" s="24"/>
      <c r="C246" s="29"/>
      <c r="D246" s="29"/>
      <c r="E246" s="29"/>
      <c r="F246" s="29"/>
      <c r="G246" s="29"/>
      <c r="H246" s="12"/>
      <c r="I246" s="12"/>
      <c r="J246" s="12"/>
      <c r="K246" s="39"/>
      <c r="L246" s="12"/>
      <c r="M246" s="40"/>
      <c r="N246" s="29"/>
      <c r="O246" s="12"/>
      <c r="P246" s="39"/>
      <c r="Q246" s="12"/>
      <c r="R246" s="39"/>
      <c r="S246" s="39"/>
      <c r="T246" s="39"/>
      <c r="U246" s="39"/>
      <c r="V246" s="39"/>
      <c r="W246" s="39"/>
      <c r="X246" s="39"/>
      <c r="Y246" s="39"/>
      <c r="Z246" s="39"/>
      <c r="AA246" s="39"/>
      <c r="AB246" s="39"/>
      <c r="AC246" s="39"/>
    </row>
    <row r="247">
      <c r="A247" s="23"/>
      <c r="B247" s="24"/>
      <c r="C247" s="29"/>
      <c r="D247" s="29"/>
      <c r="E247" s="29"/>
      <c r="F247" s="29"/>
      <c r="G247" s="29"/>
      <c r="H247" s="12"/>
      <c r="I247" s="12"/>
      <c r="J247" s="12"/>
      <c r="K247" s="39"/>
      <c r="L247" s="12"/>
      <c r="M247" s="40"/>
      <c r="N247" s="29"/>
      <c r="O247" s="12"/>
      <c r="P247" s="39"/>
      <c r="Q247" s="12"/>
      <c r="R247" s="39"/>
      <c r="S247" s="39"/>
      <c r="T247" s="39"/>
      <c r="U247" s="39"/>
      <c r="V247" s="39"/>
      <c r="W247" s="39"/>
      <c r="X247" s="39"/>
      <c r="Y247" s="39"/>
      <c r="Z247" s="39"/>
      <c r="AA247" s="39"/>
      <c r="AB247" s="39"/>
      <c r="AC247" s="39"/>
    </row>
    <row r="248">
      <c r="A248" s="23"/>
      <c r="B248" s="24"/>
      <c r="C248" s="29"/>
      <c r="D248" s="29"/>
      <c r="E248" s="29"/>
      <c r="F248" s="29"/>
      <c r="G248" s="29"/>
      <c r="H248" s="12"/>
      <c r="I248" s="12"/>
      <c r="J248" s="12"/>
      <c r="K248" s="39"/>
      <c r="L248" s="12"/>
      <c r="M248" s="40"/>
      <c r="N248" s="29"/>
      <c r="O248" s="12"/>
      <c r="P248" s="39"/>
      <c r="Q248" s="12"/>
      <c r="R248" s="39"/>
      <c r="S248" s="39"/>
      <c r="T248" s="39"/>
      <c r="U248" s="39"/>
      <c r="V248" s="39"/>
      <c r="W248" s="39"/>
      <c r="X248" s="39"/>
      <c r="Y248" s="39"/>
      <c r="Z248" s="39"/>
      <c r="AA248" s="39"/>
      <c r="AB248" s="39"/>
      <c r="AC248" s="39"/>
    </row>
    <row r="249">
      <c r="A249" s="23"/>
      <c r="B249" s="24"/>
      <c r="C249" s="29"/>
      <c r="D249" s="29"/>
      <c r="E249" s="29"/>
      <c r="F249" s="29"/>
      <c r="G249" s="29"/>
      <c r="H249" s="12"/>
      <c r="I249" s="12"/>
      <c r="J249" s="12"/>
      <c r="K249" s="39"/>
      <c r="L249" s="12"/>
      <c r="M249" s="40"/>
      <c r="N249" s="29"/>
      <c r="O249" s="12"/>
      <c r="P249" s="39"/>
      <c r="Q249" s="12"/>
      <c r="R249" s="39"/>
      <c r="S249" s="39"/>
      <c r="T249" s="39"/>
      <c r="U249" s="39"/>
      <c r="V249" s="39"/>
      <c r="W249" s="39"/>
      <c r="X249" s="39"/>
      <c r="Y249" s="39"/>
      <c r="Z249" s="39"/>
      <c r="AA249" s="39"/>
      <c r="AB249" s="39"/>
      <c r="AC249" s="39"/>
    </row>
    <row r="250">
      <c r="A250" s="23"/>
      <c r="B250" s="24"/>
      <c r="C250" s="29"/>
      <c r="D250" s="29"/>
      <c r="E250" s="29"/>
      <c r="F250" s="29"/>
      <c r="G250" s="29"/>
      <c r="H250" s="12"/>
      <c r="I250" s="12"/>
      <c r="J250" s="12"/>
      <c r="K250" s="39"/>
      <c r="L250" s="12"/>
      <c r="M250" s="40"/>
      <c r="N250" s="29"/>
      <c r="O250" s="12"/>
      <c r="P250" s="39"/>
      <c r="Q250" s="12"/>
      <c r="R250" s="39"/>
      <c r="S250" s="39"/>
      <c r="T250" s="39"/>
      <c r="U250" s="39"/>
      <c r="V250" s="39"/>
      <c r="W250" s="39"/>
      <c r="X250" s="39"/>
      <c r="Y250" s="39"/>
      <c r="Z250" s="39"/>
      <c r="AA250" s="39"/>
      <c r="AB250" s="39"/>
      <c r="AC250" s="39"/>
    </row>
    <row r="251">
      <c r="A251" s="23"/>
      <c r="B251" s="24"/>
      <c r="C251" s="29"/>
      <c r="D251" s="29"/>
      <c r="E251" s="29"/>
      <c r="F251" s="29"/>
      <c r="G251" s="29"/>
      <c r="H251" s="12"/>
      <c r="I251" s="12"/>
      <c r="J251" s="12"/>
      <c r="K251" s="39"/>
      <c r="L251" s="12"/>
      <c r="M251" s="40"/>
      <c r="N251" s="29"/>
      <c r="O251" s="12"/>
      <c r="P251" s="39"/>
      <c r="Q251" s="12"/>
      <c r="R251" s="39"/>
      <c r="S251" s="39"/>
      <c r="T251" s="39"/>
      <c r="U251" s="39"/>
      <c r="V251" s="39"/>
      <c r="W251" s="39"/>
      <c r="X251" s="39"/>
      <c r="Y251" s="39"/>
      <c r="Z251" s="39"/>
      <c r="AA251" s="39"/>
      <c r="AB251" s="39"/>
      <c r="AC251" s="39"/>
    </row>
    <row r="252">
      <c r="A252" s="23"/>
      <c r="B252" s="24"/>
      <c r="C252" s="29"/>
      <c r="D252" s="29"/>
      <c r="E252" s="29"/>
      <c r="F252" s="29"/>
      <c r="G252" s="29"/>
      <c r="H252" s="12"/>
      <c r="I252" s="12"/>
      <c r="J252" s="12"/>
      <c r="K252" s="39"/>
      <c r="L252" s="12"/>
      <c r="M252" s="40"/>
      <c r="N252" s="29"/>
      <c r="O252" s="12"/>
      <c r="P252" s="39"/>
      <c r="Q252" s="12"/>
      <c r="R252" s="39"/>
      <c r="S252" s="39"/>
      <c r="T252" s="39"/>
      <c r="U252" s="39"/>
      <c r="V252" s="39"/>
      <c r="W252" s="39"/>
      <c r="X252" s="39"/>
      <c r="Y252" s="39"/>
      <c r="Z252" s="39"/>
      <c r="AA252" s="39"/>
      <c r="AB252" s="39"/>
      <c r="AC252" s="39"/>
    </row>
    <row r="253">
      <c r="A253" s="23"/>
      <c r="B253" s="24"/>
      <c r="C253" s="29"/>
      <c r="D253" s="29"/>
      <c r="E253" s="29"/>
      <c r="F253" s="29"/>
      <c r="G253" s="29"/>
      <c r="H253" s="12"/>
      <c r="I253" s="12"/>
      <c r="J253" s="12"/>
      <c r="K253" s="39"/>
      <c r="L253" s="12"/>
      <c r="M253" s="40"/>
      <c r="N253" s="29"/>
      <c r="O253" s="12"/>
      <c r="P253" s="39"/>
      <c r="Q253" s="12"/>
      <c r="R253" s="39"/>
      <c r="S253" s="39"/>
      <c r="T253" s="39"/>
      <c r="U253" s="39"/>
      <c r="V253" s="39"/>
      <c r="W253" s="39"/>
      <c r="X253" s="39"/>
      <c r="Y253" s="39"/>
      <c r="Z253" s="39"/>
      <c r="AA253" s="39"/>
      <c r="AB253" s="39"/>
      <c r="AC253" s="39"/>
    </row>
    <row r="254">
      <c r="A254" s="23"/>
      <c r="B254" s="24"/>
      <c r="C254" s="29"/>
      <c r="D254" s="29"/>
      <c r="E254" s="29"/>
      <c r="F254" s="29"/>
      <c r="G254" s="29"/>
      <c r="H254" s="12"/>
      <c r="I254" s="12"/>
      <c r="J254" s="12"/>
      <c r="K254" s="39"/>
      <c r="L254" s="12"/>
      <c r="M254" s="40"/>
      <c r="N254" s="29"/>
      <c r="O254" s="12"/>
      <c r="P254" s="39"/>
      <c r="Q254" s="12"/>
      <c r="R254" s="39"/>
      <c r="S254" s="39"/>
      <c r="T254" s="39"/>
      <c r="U254" s="39"/>
      <c r="V254" s="39"/>
      <c r="W254" s="39"/>
      <c r="X254" s="39"/>
      <c r="Y254" s="39"/>
      <c r="Z254" s="39"/>
      <c r="AA254" s="39"/>
      <c r="AB254" s="39"/>
      <c r="AC254" s="39"/>
    </row>
    <row r="255">
      <c r="A255" s="23"/>
      <c r="B255" s="24"/>
      <c r="C255" s="29"/>
      <c r="D255" s="29"/>
      <c r="E255" s="29"/>
      <c r="F255" s="29"/>
      <c r="G255" s="29"/>
      <c r="H255" s="12"/>
      <c r="I255" s="12"/>
      <c r="J255" s="12"/>
      <c r="K255" s="39"/>
      <c r="L255" s="12"/>
      <c r="M255" s="40"/>
      <c r="N255" s="29"/>
      <c r="O255" s="12"/>
      <c r="P255" s="39"/>
      <c r="Q255" s="12"/>
      <c r="R255" s="39"/>
      <c r="S255" s="39"/>
      <c r="T255" s="39"/>
      <c r="U255" s="39"/>
      <c r="V255" s="39"/>
      <c r="W255" s="39"/>
      <c r="X255" s="39"/>
      <c r="Y255" s="39"/>
      <c r="Z255" s="39"/>
      <c r="AA255" s="39"/>
      <c r="AB255" s="39"/>
      <c r="AC255" s="39"/>
    </row>
    <row r="256">
      <c r="A256" s="23"/>
      <c r="B256" s="24"/>
      <c r="C256" s="29"/>
      <c r="D256" s="29"/>
      <c r="E256" s="29"/>
      <c r="F256" s="29"/>
      <c r="G256" s="29"/>
      <c r="H256" s="12"/>
      <c r="I256" s="12"/>
      <c r="J256" s="12"/>
      <c r="K256" s="39"/>
      <c r="L256" s="12"/>
      <c r="M256" s="40"/>
      <c r="N256" s="29"/>
      <c r="O256" s="12"/>
      <c r="P256" s="39"/>
      <c r="Q256" s="12"/>
      <c r="R256" s="39"/>
      <c r="S256" s="39"/>
      <c r="T256" s="39"/>
      <c r="U256" s="39"/>
      <c r="V256" s="39"/>
      <c r="W256" s="39"/>
      <c r="X256" s="39"/>
      <c r="Y256" s="39"/>
      <c r="Z256" s="39"/>
      <c r="AA256" s="39"/>
      <c r="AB256" s="39"/>
      <c r="AC256" s="39"/>
    </row>
    <row r="257">
      <c r="A257" s="23"/>
      <c r="B257" s="24"/>
      <c r="C257" s="29"/>
      <c r="D257" s="29"/>
      <c r="E257" s="29"/>
      <c r="F257" s="29"/>
      <c r="G257" s="29"/>
      <c r="H257" s="12"/>
      <c r="I257" s="12"/>
      <c r="J257" s="12"/>
      <c r="K257" s="39"/>
      <c r="L257" s="12"/>
      <c r="M257" s="40"/>
      <c r="N257" s="29"/>
      <c r="O257" s="12"/>
      <c r="P257" s="39"/>
      <c r="Q257" s="12"/>
      <c r="R257" s="39"/>
      <c r="S257" s="39"/>
      <c r="T257" s="39"/>
      <c r="U257" s="39"/>
      <c r="V257" s="39"/>
      <c r="W257" s="39"/>
      <c r="X257" s="39"/>
      <c r="Y257" s="39"/>
      <c r="Z257" s="39"/>
      <c r="AA257" s="39"/>
      <c r="AB257" s="39"/>
      <c r="AC257" s="39"/>
    </row>
    <row r="258">
      <c r="A258" s="23"/>
      <c r="B258" s="24"/>
      <c r="C258" s="29"/>
      <c r="D258" s="29"/>
      <c r="E258" s="29"/>
      <c r="F258" s="29"/>
      <c r="G258" s="29"/>
      <c r="H258" s="12"/>
      <c r="I258" s="12"/>
      <c r="J258" s="12"/>
      <c r="K258" s="39"/>
      <c r="L258" s="12"/>
      <c r="M258" s="40"/>
      <c r="N258" s="29"/>
      <c r="O258" s="12"/>
      <c r="P258" s="39"/>
      <c r="Q258" s="12"/>
      <c r="R258" s="39"/>
      <c r="S258" s="39"/>
      <c r="T258" s="39"/>
      <c r="U258" s="39"/>
      <c r="V258" s="39"/>
      <c r="W258" s="39"/>
      <c r="X258" s="39"/>
      <c r="Y258" s="39"/>
      <c r="Z258" s="39"/>
      <c r="AA258" s="39"/>
      <c r="AB258" s="39"/>
      <c r="AC258" s="39"/>
    </row>
    <row r="259">
      <c r="A259" s="23"/>
      <c r="B259" s="24"/>
      <c r="C259" s="29"/>
      <c r="D259" s="29"/>
      <c r="E259" s="29"/>
      <c r="F259" s="29"/>
      <c r="G259" s="29"/>
      <c r="H259" s="12"/>
      <c r="I259" s="12"/>
      <c r="J259" s="12"/>
      <c r="K259" s="39"/>
      <c r="L259" s="12"/>
      <c r="M259" s="40"/>
      <c r="N259" s="29"/>
      <c r="O259" s="12"/>
      <c r="P259" s="39"/>
      <c r="Q259" s="12"/>
      <c r="R259" s="39"/>
      <c r="S259" s="39"/>
      <c r="T259" s="39"/>
      <c r="U259" s="39"/>
      <c r="V259" s="39"/>
      <c r="W259" s="39"/>
      <c r="X259" s="39"/>
      <c r="Y259" s="39"/>
      <c r="Z259" s="39"/>
      <c r="AA259" s="39"/>
      <c r="AB259" s="39"/>
      <c r="AC259" s="39"/>
    </row>
    <row r="260">
      <c r="A260" s="23"/>
      <c r="B260" s="24"/>
      <c r="C260" s="29"/>
      <c r="D260" s="29"/>
      <c r="E260" s="29"/>
      <c r="F260" s="29"/>
      <c r="G260" s="29"/>
      <c r="H260" s="12"/>
      <c r="I260" s="12"/>
      <c r="J260" s="12"/>
      <c r="K260" s="39"/>
      <c r="L260" s="12"/>
      <c r="M260" s="40"/>
      <c r="N260" s="29"/>
      <c r="O260" s="12"/>
      <c r="P260" s="39"/>
      <c r="Q260" s="12"/>
      <c r="R260" s="39"/>
      <c r="S260" s="39"/>
      <c r="T260" s="39"/>
      <c r="U260" s="39"/>
      <c r="V260" s="39"/>
      <c r="W260" s="39"/>
      <c r="X260" s="39"/>
      <c r="Y260" s="39"/>
      <c r="Z260" s="39"/>
      <c r="AA260" s="39"/>
      <c r="AB260" s="39"/>
      <c r="AC260" s="39"/>
    </row>
    <row r="261">
      <c r="A261" s="23"/>
      <c r="B261" s="24"/>
      <c r="C261" s="29"/>
      <c r="D261" s="29"/>
      <c r="E261" s="29"/>
      <c r="F261" s="29"/>
      <c r="G261" s="29"/>
      <c r="H261" s="12"/>
      <c r="I261" s="12"/>
      <c r="J261" s="12"/>
      <c r="K261" s="39"/>
      <c r="L261" s="12"/>
      <c r="M261" s="40"/>
      <c r="N261" s="29"/>
      <c r="O261" s="12"/>
      <c r="P261" s="39"/>
      <c r="Q261" s="12"/>
      <c r="R261" s="39"/>
      <c r="S261" s="39"/>
      <c r="T261" s="39"/>
      <c r="U261" s="39"/>
      <c r="V261" s="39"/>
      <c r="W261" s="39"/>
      <c r="X261" s="39"/>
      <c r="Y261" s="39"/>
      <c r="Z261" s="39"/>
      <c r="AA261" s="39"/>
      <c r="AB261" s="39"/>
      <c r="AC261" s="39"/>
    </row>
    <row r="262">
      <c r="A262" s="23"/>
      <c r="B262" s="24"/>
      <c r="C262" s="29"/>
      <c r="D262" s="29"/>
      <c r="E262" s="29"/>
      <c r="F262" s="29"/>
      <c r="G262" s="29"/>
      <c r="H262" s="12"/>
      <c r="I262" s="12"/>
      <c r="J262" s="12"/>
      <c r="K262" s="39"/>
      <c r="L262" s="12"/>
      <c r="M262" s="40"/>
      <c r="N262" s="29"/>
      <c r="O262" s="12"/>
      <c r="P262" s="39"/>
      <c r="Q262" s="12"/>
      <c r="R262" s="39"/>
      <c r="S262" s="39"/>
      <c r="T262" s="39"/>
      <c r="U262" s="39"/>
      <c r="V262" s="39"/>
      <c r="W262" s="39"/>
      <c r="X262" s="39"/>
      <c r="Y262" s="39"/>
      <c r="Z262" s="39"/>
      <c r="AA262" s="39"/>
      <c r="AB262" s="39"/>
      <c r="AC262" s="39"/>
    </row>
    <row r="263">
      <c r="A263" s="23"/>
      <c r="B263" s="24"/>
      <c r="C263" s="29"/>
      <c r="D263" s="29"/>
      <c r="E263" s="29"/>
      <c r="F263" s="29"/>
      <c r="G263" s="29"/>
      <c r="H263" s="12"/>
      <c r="I263" s="12"/>
      <c r="J263" s="12"/>
      <c r="K263" s="39"/>
      <c r="L263" s="12"/>
      <c r="M263" s="40"/>
      <c r="N263" s="29"/>
      <c r="O263" s="12"/>
      <c r="P263" s="39"/>
      <c r="Q263" s="12"/>
      <c r="R263" s="39"/>
      <c r="S263" s="39"/>
      <c r="T263" s="39"/>
      <c r="U263" s="39"/>
      <c r="V263" s="39"/>
      <c r="W263" s="39"/>
      <c r="X263" s="39"/>
      <c r="Y263" s="39"/>
      <c r="Z263" s="39"/>
      <c r="AA263" s="39"/>
      <c r="AB263" s="39"/>
      <c r="AC263" s="39"/>
    </row>
    <row r="264">
      <c r="A264" s="23"/>
      <c r="B264" s="24"/>
      <c r="C264" s="29"/>
      <c r="D264" s="29"/>
      <c r="E264" s="29"/>
      <c r="F264" s="29"/>
      <c r="G264" s="29"/>
      <c r="H264" s="12"/>
      <c r="I264" s="12"/>
      <c r="J264" s="12"/>
      <c r="K264" s="39"/>
      <c r="L264" s="12"/>
      <c r="M264" s="40"/>
      <c r="N264" s="29"/>
      <c r="O264" s="12"/>
      <c r="P264" s="39"/>
      <c r="Q264" s="12"/>
      <c r="R264" s="39"/>
      <c r="S264" s="39"/>
      <c r="T264" s="39"/>
      <c r="U264" s="39"/>
      <c r="V264" s="39"/>
      <c r="W264" s="39"/>
      <c r="X264" s="39"/>
      <c r="Y264" s="39"/>
      <c r="Z264" s="39"/>
      <c r="AA264" s="39"/>
      <c r="AB264" s="39"/>
      <c r="AC264" s="39"/>
    </row>
    <row r="265">
      <c r="A265" s="23"/>
      <c r="B265" s="24"/>
      <c r="C265" s="29"/>
      <c r="D265" s="29"/>
      <c r="E265" s="29"/>
      <c r="F265" s="29"/>
      <c r="G265" s="29"/>
      <c r="H265" s="12"/>
      <c r="I265" s="12"/>
      <c r="J265" s="12"/>
      <c r="K265" s="39"/>
      <c r="L265" s="12"/>
      <c r="M265" s="40"/>
      <c r="N265" s="29"/>
      <c r="O265" s="12"/>
      <c r="P265" s="39"/>
      <c r="Q265" s="12"/>
      <c r="R265" s="39"/>
      <c r="S265" s="39"/>
      <c r="T265" s="39"/>
      <c r="U265" s="39"/>
      <c r="V265" s="39"/>
      <c r="W265" s="39"/>
      <c r="X265" s="39"/>
      <c r="Y265" s="39"/>
      <c r="Z265" s="39"/>
      <c r="AA265" s="39"/>
      <c r="AB265" s="39"/>
      <c r="AC265" s="39"/>
    </row>
    <row r="266">
      <c r="A266" s="23"/>
      <c r="B266" s="24"/>
      <c r="C266" s="29"/>
      <c r="D266" s="29"/>
      <c r="E266" s="29"/>
      <c r="F266" s="29"/>
      <c r="G266" s="29"/>
      <c r="H266" s="12"/>
      <c r="I266" s="12"/>
      <c r="J266" s="12"/>
      <c r="K266" s="39"/>
      <c r="L266" s="12"/>
      <c r="M266" s="40"/>
      <c r="N266" s="29"/>
      <c r="O266" s="12"/>
      <c r="P266" s="39"/>
      <c r="Q266" s="12"/>
      <c r="R266" s="39"/>
      <c r="S266" s="39"/>
      <c r="T266" s="39"/>
      <c r="U266" s="39"/>
      <c r="V266" s="39"/>
      <c r="W266" s="39"/>
      <c r="X266" s="39"/>
      <c r="Y266" s="39"/>
      <c r="Z266" s="39"/>
      <c r="AA266" s="39"/>
      <c r="AB266" s="39"/>
      <c r="AC266" s="39"/>
    </row>
    <row r="267">
      <c r="A267" s="23"/>
      <c r="B267" s="24"/>
      <c r="C267" s="29"/>
      <c r="D267" s="29"/>
      <c r="E267" s="29"/>
      <c r="F267" s="29"/>
      <c r="G267" s="29"/>
      <c r="H267" s="12"/>
      <c r="I267" s="12"/>
      <c r="J267" s="12"/>
      <c r="K267" s="39"/>
      <c r="L267" s="12"/>
      <c r="M267" s="40"/>
      <c r="N267" s="29"/>
      <c r="O267" s="12"/>
      <c r="P267" s="39"/>
      <c r="Q267" s="12"/>
      <c r="R267" s="39"/>
      <c r="S267" s="39"/>
      <c r="T267" s="39"/>
      <c r="U267" s="39"/>
      <c r="V267" s="39"/>
      <c r="W267" s="39"/>
      <c r="X267" s="39"/>
      <c r="Y267" s="39"/>
      <c r="Z267" s="39"/>
      <c r="AA267" s="39"/>
      <c r="AB267" s="39"/>
      <c r="AC267" s="39"/>
    </row>
    <row r="268">
      <c r="A268" s="23"/>
      <c r="B268" s="24"/>
      <c r="C268" s="29"/>
      <c r="D268" s="29"/>
      <c r="E268" s="29"/>
      <c r="F268" s="29"/>
      <c r="G268" s="29"/>
      <c r="H268" s="12"/>
      <c r="I268" s="12"/>
      <c r="J268" s="12"/>
      <c r="K268" s="39"/>
      <c r="L268" s="12"/>
      <c r="M268" s="40"/>
      <c r="N268" s="29"/>
      <c r="O268" s="12"/>
      <c r="P268" s="39"/>
      <c r="Q268" s="12"/>
      <c r="R268" s="39"/>
      <c r="S268" s="39"/>
      <c r="T268" s="39"/>
      <c r="U268" s="39"/>
      <c r="V268" s="39"/>
      <c r="W268" s="39"/>
      <c r="X268" s="39"/>
      <c r="Y268" s="39"/>
      <c r="Z268" s="39"/>
      <c r="AA268" s="39"/>
      <c r="AB268" s="39"/>
      <c r="AC268" s="39"/>
    </row>
    <row r="269">
      <c r="A269" s="23"/>
      <c r="B269" s="24"/>
      <c r="C269" s="29"/>
      <c r="D269" s="29"/>
      <c r="E269" s="29"/>
      <c r="F269" s="29"/>
      <c r="G269" s="29"/>
      <c r="H269" s="12"/>
      <c r="I269" s="12"/>
      <c r="J269" s="12"/>
      <c r="K269" s="39"/>
      <c r="L269" s="12"/>
      <c r="M269" s="40"/>
      <c r="N269" s="29"/>
      <c r="O269" s="12"/>
      <c r="P269" s="39"/>
      <c r="Q269" s="12"/>
      <c r="R269" s="39"/>
      <c r="S269" s="39"/>
      <c r="T269" s="39"/>
      <c r="U269" s="39"/>
      <c r="V269" s="39"/>
      <c r="W269" s="39"/>
      <c r="X269" s="39"/>
      <c r="Y269" s="39"/>
      <c r="Z269" s="39"/>
      <c r="AA269" s="39"/>
      <c r="AB269" s="39"/>
      <c r="AC269" s="39"/>
    </row>
    <row r="270">
      <c r="A270" s="23"/>
      <c r="B270" s="24"/>
      <c r="C270" s="29"/>
      <c r="D270" s="29"/>
      <c r="E270" s="29"/>
      <c r="F270" s="29"/>
      <c r="G270" s="29"/>
      <c r="H270" s="12"/>
      <c r="I270" s="12"/>
      <c r="J270" s="12"/>
      <c r="K270" s="39"/>
      <c r="L270" s="12"/>
      <c r="M270" s="40"/>
      <c r="N270" s="29"/>
      <c r="O270" s="12"/>
      <c r="P270" s="39"/>
      <c r="Q270" s="12"/>
      <c r="R270" s="39"/>
      <c r="S270" s="39"/>
      <c r="T270" s="39"/>
      <c r="U270" s="39"/>
      <c r="V270" s="39"/>
      <c r="W270" s="39"/>
      <c r="X270" s="39"/>
      <c r="Y270" s="39"/>
      <c r="Z270" s="39"/>
      <c r="AA270" s="39"/>
      <c r="AB270" s="39"/>
      <c r="AC270" s="39"/>
    </row>
    <row r="271">
      <c r="A271" s="23"/>
      <c r="B271" s="24"/>
      <c r="C271" s="29"/>
      <c r="D271" s="29"/>
      <c r="E271" s="29"/>
      <c r="F271" s="29"/>
      <c r="G271" s="29"/>
      <c r="H271" s="12"/>
      <c r="I271" s="12"/>
      <c r="J271" s="12"/>
      <c r="K271" s="39"/>
      <c r="L271" s="12"/>
      <c r="M271" s="40"/>
      <c r="N271" s="29"/>
      <c r="O271" s="12"/>
      <c r="P271" s="39"/>
      <c r="Q271" s="12"/>
      <c r="R271" s="39"/>
      <c r="S271" s="39"/>
      <c r="T271" s="39"/>
      <c r="U271" s="39"/>
      <c r="V271" s="39"/>
      <c r="W271" s="39"/>
      <c r="X271" s="39"/>
      <c r="Y271" s="39"/>
      <c r="Z271" s="39"/>
      <c r="AA271" s="39"/>
      <c r="AB271" s="39"/>
      <c r="AC271" s="39"/>
    </row>
    <row r="272">
      <c r="A272" s="23"/>
      <c r="B272" s="24"/>
      <c r="C272" s="29"/>
      <c r="D272" s="29"/>
      <c r="E272" s="29"/>
      <c r="F272" s="29"/>
      <c r="G272" s="29"/>
      <c r="H272" s="12"/>
      <c r="I272" s="12"/>
      <c r="J272" s="12"/>
      <c r="K272" s="39"/>
      <c r="L272" s="12"/>
      <c r="M272" s="40"/>
      <c r="N272" s="29"/>
      <c r="O272" s="12"/>
      <c r="P272" s="39"/>
      <c r="Q272" s="12"/>
      <c r="R272" s="39"/>
      <c r="S272" s="39"/>
      <c r="T272" s="39"/>
      <c r="U272" s="39"/>
      <c r="V272" s="39"/>
      <c r="W272" s="39"/>
      <c r="X272" s="39"/>
      <c r="Y272" s="39"/>
      <c r="Z272" s="39"/>
      <c r="AA272" s="39"/>
      <c r="AB272" s="39"/>
      <c r="AC272" s="39"/>
    </row>
    <row r="273">
      <c r="A273" s="23"/>
      <c r="B273" s="24"/>
      <c r="C273" s="29"/>
      <c r="D273" s="29"/>
      <c r="E273" s="29"/>
      <c r="F273" s="29"/>
      <c r="G273" s="29"/>
      <c r="H273" s="12"/>
      <c r="I273" s="12"/>
      <c r="J273" s="12"/>
      <c r="K273" s="39"/>
      <c r="L273" s="12"/>
      <c r="M273" s="40"/>
      <c r="N273" s="29"/>
      <c r="O273" s="12"/>
      <c r="P273" s="39"/>
      <c r="Q273" s="12"/>
      <c r="R273" s="39"/>
      <c r="S273" s="39"/>
      <c r="T273" s="39"/>
      <c r="U273" s="39"/>
      <c r="V273" s="39"/>
      <c r="W273" s="39"/>
      <c r="X273" s="39"/>
      <c r="Y273" s="39"/>
      <c r="Z273" s="39"/>
      <c r="AA273" s="39"/>
      <c r="AB273" s="39"/>
      <c r="AC273" s="39"/>
    </row>
    <row r="274">
      <c r="A274" s="23"/>
      <c r="B274" s="24"/>
      <c r="C274" s="29"/>
      <c r="D274" s="29"/>
      <c r="E274" s="29"/>
      <c r="F274" s="29"/>
      <c r="G274" s="29"/>
      <c r="H274" s="12"/>
      <c r="I274" s="12"/>
      <c r="J274" s="12"/>
      <c r="K274" s="39"/>
      <c r="L274" s="12"/>
      <c r="M274" s="40"/>
      <c r="N274" s="29"/>
      <c r="O274" s="12"/>
      <c r="P274" s="39"/>
      <c r="Q274" s="12"/>
      <c r="R274" s="39"/>
      <c r="S274" s="39"/>
      <c r="T274" s="39"/>
      <c r="U274" s="39"/>
      <c r="V274" s="39"/>
      <c r="W274" s="39"/>
      <c r="X274" s="39"/>
      <c r="Y274" s="39"/>
      <c r="Z274" s="39"/>
      <c r="AA274" s="39"/>
      <c r="AB274" s="39"/>
      <c r="AC274" s="39"/>
    </row>
    <row r="275">
      <c r="A275" s="23"/>
      <c r="B275" s="24"/>
      <c r="C275" s="29"/>
      <c r="D275" s="29"/>
      <c r="E275" s="29"/>
      <c r="F275" s="29"/>
      <c r="G275" s="29"/>
      <c r="H275" s="12"/>
      <c r="I275" s="12"/>
      <c r="J275" s="12"/>
      <c r="K275" s="39"/>
      <c r="L275" s="12"/>
      <c r="M275" s="40"/>
      <c r="N275" s="29"/>
      <c r="O275" s="12"/>
      <c r="P275" s="39"/>
      <c r="Q275" s="12"/>
      <c r="R275" s="39"/>
      <c r="S275" s="39"/>
      <c r="T275" s="39"/>
      <c r="U275" s="39"/>
      <c r="V275" s="39"/>
      <c r="W275" s="39"/>
      <c r="X275" s="39"/>
      <c r="Y275" s="39"/>
      <c r="Z275" s="39"/>
      <c r="AA275" s="39"/>
      <c r="AB275" s="39"/>
      <c r="AC275" s="39"/>
    </row>
    <row r="276">
      <c r="A276" s="23"/>
      <c r="B276" s="24"/>
      <c r="C276" s="29"/>
      <c r="D276" s="29"/>
      <c r="E276" s="29"/>
      <c r="F276" s="29"/>
      <c r="G276" s="29"/>
      <c r="H276" s="12"/>
      <c r="I276" s="12"/>
      <c r="J276" s="12"/>
      <c r="K276" s="39"/>
      <c r="L276" s="12"/>
      <c r="M276" s="40"/>
      <c r="N276" s="29"/>
      <c r="O276" s="12"/>
      <c r="P276" s="39"/>
      <c r="Q276" s="12"/>
      <c r="R276" s="39"/>
      <c r="S276" s="39"/>
      <c r="T276" s="39"/>
      <c r="U276" s="39"/>
      <c r="V276" s="39"/>
      <c r="W276" s="39"/>
      <c r="X276" s="39"/>
      <c r="Y276" s="39"/>
      <c r="Z276" s="39"/>
      <c r="AA276" s="39"/>
      <c r="AB276" s="39"/>
      <c r="AC276" s="39"/>
    </row>
    <row r="277">
      <c r="A277" s="23"/>
      <c r="B277" s="24"/>
      <c r="C277" s="29"/>
      <c r="D277" s="29"/>
      <c r="E277" s="29"/>
      <c r="F277" s="29"/>
      <c r="G277" s="29"/>
      <c r="H277" s="12"/>
      <c r="I277" s="12"/>
      <c r="J277" s="12"/>
      <c r="K277" s="39"/>
      <c r="L277" s="12"/>
      <c r="M277" s="40"/>
      <c r="N277" s="29"/>
      <c r="O277" s="12"/>
      <c r="P277" s="39"/>
      <c r="Q277" s="12"/>
      <c r="R277" s="39"/>
      <c r="S277" s="39"/>
      <c r="T277" s="39"/>
      <c r="U277" s="39"/>
      <c r="V277" s="39"/>
      <c r="W277" s="39"/>
      <c r="X277" s="39"/>
      <c r="Y277" s="39"/>
      <c r="Z277" s="39"/>
      <c r="AA277" s="39"/>
      <c r="AB277" s="39"/>
      <c r="AC277" s="39"/>
    </row>
    <row r="278">
      <c r="A278" s="23"/>
      <c r="B278" s="24"/>
      <c r="C278" s="29"/>
      <c r="D278" s="29"/>
      <c r="E278" s="29"/>
      <c r="F278" s="29"/>
      <c r="G278" s="29"/>
      <c r="H278" s="12"/>
      <c r="I278" s="12"/>
      <c r="J278" s="12"/>
      <c r="K278" s="39"/>
      <c r="L278" s="12"/>
      <c r="M278" s="40"/>
      <c r="N278" s="29"/>
      <c r="O278" s="12"/>
      <c r="P278" s="39"/>
      <c r="Q278" s="12"/>
      <c r="R278" s="39"/>
      <c r="S278" s="39"/>
      <c r="T278" s="39"/>
      <c r="U278" s="39"/>
      <c r="V278" s="39"/>
      <c r="W278" s="39"/>
      <c r="X278" s="39"/>
      <c r="Y278" s="39"/>
      <c r="Z278" s="39"/>
      <c r="AA278" s="39"/>
      <c r="AB278" s="39"/>
      <c r="AC278" s="39"/>
    </row>
    <row r="279">
      <c r="A279" s="23"/>
      <c r="B279" s="24"/>
      <c r="C279" s="29"/>
      <c r="D279" s="29"/>
      <c r="E279" s="29"/>
      <c r="F279" s="29"/>
      <c r="G279" s="29"/>
      <c r="H279" s="12"/>
      <c r="I279" s="12"/>
      <c r="J279" s="12"/>
      <c r="K279" s="39"/>
      <c r="L279" s="12"/>
      <c r="M279" s="40"/>
      <c r="N279" s="29"/>
      <c r="O279" s="12"/>
      <c r="P279" s="39"/>
      <c r="Q279" s="12"/>
      <c r="R279" s="39"/>
      <c r="S279" s="39"/>
      <c r="T279" s="39"/>
      <c r="U279" s="39"/>
      <c r="V279" s="39"/>
      <c r="W279" s="39"/>
      <c r="X279" s="39"/>
      <c r="Y279" s="39"/>
      <c r="Z279" s="39"/>
      <c r="AA279" s="39"/>
      <c r="AB279" s="39"/>
      <c r="AC279" s="39"/>
    </row>
    <row r="280">
      <c r="A280" s="23"/>
      <c r="B280" s="24"/>
      <c r="C280" s="29"/>
      <c r="D280" s="29"/>
      <c r="E280" s="29"/>
      <c r="F280" s="29"/>
      <c r="G280" s="29"/>
      <c r="H280" s="12"/>
      <c r="I280" s="12"/>
      <c r="J280" s="12"/>
      <c r="K280" s="39"/>
      <c r="L280" s="12"/>
      <c r="M280" s="40"/>
      <c r="N280" s="29"/>
      <c r="O280" s="12"/>
      <c r="P280" s="39"/>
      <c r="Q280" s="12"/>
      <c r="R280" s="39"/>
      <c r="S280" s="39"/>
      <c r="T280" s="39"/>
      <c r="U280" s="39"/>
      <c r="V280" s="39"/>
      <c r="W280" s="39"/>
      <c r="X280" s="39"/>
      <c r="Y280" s="39"/>
      <c r="Z280" s="39"/>
      <c r="AA280" s="39"/>
      <c r="AB280" s="39"/>
      <c r="AC280" s="39"/>
    </row>
    <row r="281">
      <c r="A281" s="23"/>
      <c r="B281" s="24"/>
      <c r="C281" s="29"/>
      <c r="D281" s="29"/>
      <c r="E281" s="29"/>
      <c r="F281" s="29"/>
      <c r="G281" s="29"/>
      <c r="H281" s="12"/>
      <c r="I281" s="12"/>
      <c r="J281" s="12"/>
      <c r="K281" s="39"/>
      <c r="L281" s="12"/>
      <c r="M281" s="40"/>
      <c r="N281" s="29"/>
      <c r="O281" s="12"/>
      <c r="P281" s="39"/>
      <c r="Q281" s="12"/>
      <c r="R281" s="39"/>
      <c r="S281" s="39"/>
      <c r="T281" s="39"/>
      <c r="U281" s="39"/>
      <c r="V281" s="39"/>
      <c r="W281" s="39"/>
      <c r="X281" s="39"/>
      <c r="Y281" s="39"/>
      <c r="Z281" s="39"/>
      <c r="AA281" s="39"/>
      <c r="AB281" s="39"/>
      <c r="AC281" s="39"/>
    </row>
    <row r="282">
      <c r="A282" s="23"/>
      <c r="B282" s="24"/>
      <c r="C282" s="29"/>
      <c r="D282" s="29"/>
      <c r="E282" s="29"/>
      <c r="F282" s="29"/>
      <c r="G282" s="29"/>
      <c r="H282" s="12"/>
      <c r="I282" s="12"/>
      <c r="J282" s="12"/>
      <c r="K282" s="39"/>
      <c r="L282" s="12"/>
      <c r="M282" s="40"/>
      <c r="N282" s="29"/>
      <c r="O282" s="12"/>
      <c r="P282" s="39"/>
      <c r="Q282" s="12"/>
      <c r="R282" s="39"/>
      <c r="S282" s="39"/>
      <c r="T282" s="39"/>
      <c r="U282" s="39"/>
      <c r="V282" s="39"/>
      <c r="W282" s="39"/>
      <c r="X282" s="39"/>
      <c r="Y282" s="39"/>
      <c r="Z282" s="39"/>
      <c r="AA282" s="39"/>
      <c r="AB282" s="39"/>
      <c r="AC282" s="39"/>
    </row>
    <row r="283">
      <c r="A283" s="23"/>
      <c r="B283" s="24"/>
      <c r="C283" s="29"/>
      <c r="D283" s="29"/>
      <c r="E283" s="29"/>
      <c r="F283" s="29"/>
      <c r="G283" s="29"/>
      <c r="H283" s="12"/>
      <c r="I283" s="12"/>
      <c r="J283" s="12"/>
      <c r="K283" s="39"/>
      <c r="L283" s="12"/>
      <c r="M283" s="40"/>
      <c r="N283" s="29"/>
      <c r="O283" s="12"/>
      <c r="P283" s="39"/>
      <c r="Q283" s="12"/>
      <c r="R283" s="39"/>
      <c r="S283" s="39"/>
      <c r="T283" s="39"/>
      <c r="U283" s="39"/>
      <c r="V283" s="39"/>
      <c r="W283" s="39"/>
      <c r="X283" s="39"/>
      <c r="Y283" s="39"/>
      <c r="Z283" s="39"/>
      <c r="AA283" s="39"/>
      <c r="AB283" s="39"/>
      <c r="AC283" s="39"/>
    </row>
    <row r="284">
      <c r="A284" s="23"/>
      <c r="B284" s="24"/>
      <c r="C284" s="29"/>
      <c r="D284" s="29"/>
      <c r="E284" s="29"/>
      <c r="F284" s="29"/>
      <c r="G284" s="29"/>
      <c r="H284" s="12"/>
      <c r="I284" s="12"/>
      <c r="J284" s="12"/>
      <c r="K284" s="39"/>
      <c r="L284" s="12"/>
      <c r="M284" s="40"/>
      <c r="N284" s="29"/>
      <c r="O284" s="12"/>
      <c r="P284" s="39"/>
      <c r="Q284" s="12"/>
      <c r="R284" s="39"/>
      <c r="S284" s="39"/>
      <c r="T284" s="39"/>
      <c r="U284" s="39"/>
      <c r="V284" s="39"/>
      <c r="W284" s="39"/>
      <c r="X284" s="39"/>
      <c r="Y284" s="39"/>
      <c r="Z284" s="39"/>
      <c r="AA284" s="39"/>
      <c r="AB284" s="39"/>
      <c r="AC284" s="39"/>
    </row>
    <row r="285">
      <c r="A285" s="23"/>
      <c r="B285" s="24"/>
      <c r="C285" s="29"/>
      <c r="D285" s="29"/>
      <c r="E285" s="29"/>
      <c r="F285" s="29"/>
      <c r="G285" s="29"/>
      <c r="H285" s="12"/>
      <c r="I285" s="12"/>
      <c r="J285" s="12"/>
      <c r="K285" s="39"/>
      <c r="L285" s="12"/>
      <c r="M285" s="40"/>
      <c r="N285" s="29"/>
      <c r="O285" s="12"/>
      <c r="P285" s="39"/>
      <c r="Q285" s="12"/>
      <c r="R285" s="39"/>
      <c r="S285" s="39"/>
      <c r="T285" s="39"/>
      <c r="U285" s="39"/>
      <c r="V285" s="39"/>
      <c r="W285" s="39"/>
      <c r="X285" s="39"/>
      <c r="Y285" s="39"/>
      <c r="Z285" s="39"/>
      <c r="AA285" s="39"/>
      <c r="AB285" s="39"/>
      <c r="AC285" s="39"/>
    </row>
    <row r="286">
      <c r="A286" s="23"/>
      <c r="B286" s="24"/>
      <c r="C286" s="29"/>
      <c r="D286" s="29"/>
      <c r="E286" s="29"/>
      <c r="F286" s="29"/>
      <c r="G286" s="29"/>
      <c r="H286" s="12"/>
      <c r="I286" s="12"/>
      <c r="J286" s="12"/>
      <c r="K286" s="39"/>
      <c r="L286" s="12"/>
      <c r="M286" s="40"/>
      <c r="N286" s="29"/>
      <c r="O286" s="12"/>
      <c r="P286" s="39"/>
      <c r="Q286" s="12"/>
      <c r="R286" s="39"/>
      <c r="S286" s="39"/>
      <c r="T286" s="39"/>
      <c r="U286" s="39"/>
      <c r="V286" s="39"/>
      <c r="W286" s="39"/>
      <c r="X286" s="39"/>
      <c r="Y286" s="39"/>
      <c r="Z286" s="39"/>
      <c r="AA286" s="39"/>
      <c r="AB286" s="39"/>
      <c r="AC286" s="39"/>
    </row>
    <row r="287">
      <c r="A287" s="23"/>
      <c r="B287" s="24"/>
      <c r="C287" s="29"/>
      <c r="D287" s="29"/>
      <c r="E287" s="29"/>
      <c r="F287" s="29"/>
      <c r="G287" s="29"/>
      <c r="H287" s="12"/>
      <c r="I287" s="12"/>
      <c r="J287" s="12"/>
      <c r="K287" s="39"/>
      <c r="L287" s="12"/>
      <c r="M287" s="40"/>
      <c r="N287" s="29"/>
      <c r="O287" s="12"/>
      <c r="P287" s="39"/>
      <c r="Q287" s="12"/>
      <c r="R287" s="39"/>
      <c r="S287" s="39"/>
      <c r="T287" s="39"/>
      <c r="U287" s="39"/>
      <c r="V287" s="39"/>
      <c r="W287" s="39"/>
      <c r="X287" s="39"/>
      <c r="Y287" s="39"/>
      <c r="Z287" s="39"/>
      <c r="AA287" s="39"/>
      <c r="AB287" s="39"/>
      <c r="AC287" s="39"/>
    </row>
    <row r="288">
      <c r="A288" s="23"/>
      <c r="B288" s="24"/>
      <c r="C288" s="29"/>
      <c r="D288" s="29"/>
      <c r="E288" s="29"/>
      <c r="F288" s="29"/>
      <c r="G288" s="29"/>
      <c r="H288" s="12"/>
      <c r="I288" s="12"/>
      <c r="J288" s="12"/>
      <c r="K288" s="39"/>
      <c r="L288" s="12"/>
      <c r="M288" s="40"/>
      <c r="N288" s="29"/>
      <c r="O288" s="12"/>
      <c r="P288" s="39"/>
      <c r="Q288" s="12"/>
      <c r="R288" s="39"/>
      <c r="S288" s="39"/>
      <c r="T288" s="39"/>
      <c r="U288" s="39"/>
      <c r="V288" s="39"/>
      <c r="W288" s="39"/>
      <c r="X288" s="39"/>
      <c r="Y288" s="39"/>
      <c r="Z288" s="39"/>
      <c r="AA288" s="39"/>
      <c r="AB288" s="39"/>
      <c r="AC288" s="39"/>
    </row>
    <row r="289">
      <c r="A289" s="23"/>
      <c r="B289" s="24"/>
      <c r="C289" s="29"/>
      <c r="D289" s="29"/>
      <c r="E289" s="29"/>
      <c r="F289" s="29"/>
      <c r="G289" s="29"/>
      <c r="H289" s="12"/>
      <c r="I289" s="12"/>
      <c r="J289" s="12"/>
      <c r="K289" s="39"/>
      <c r="L289" s="12"/>
      <c r="M289" s="40"/>
      <c r="N289" s="29"/>
      <c r="O289" s="12"/>
      <c r="P289" s="39"/>
      <c r="Q289" s="12"/>
      <c r="R289" s="39"/>
      <c r="S289" s="39"/>
      <c r="T289" s="39"/>
      <c r="U289" s="39"/>
      <c r="V289" s="39"/>
      <c r="W289" s="39"/>
      <c r="X289" s="39"/>
      <c r="Y289" s="39"/>
      <c r="Z289" s="39"/>
      <c r="AA289" s="39"/>
      <c r="AB289" s="39"/>
      <c r="AC289" s="39"/>
    </row>
    <row r="290">
      <c r="A290" s="23"/>
      <c r="B290" s="24"/>
      <c r="C290" s="29"/>
      <c r="D290" s="29"/>
      <c r="E290" s="29"/>
      <c r="F290" s="29"/>
      <c r="G290" s="29"/>
      <c r="H290" s="12"/>
      <c r="I290" s="12"/>
      <c r="J290" s="12"/>
      <c r="K290" s="39"/>
      <c r="L290" s="12"/>
      <c r="M290" s="40"/>
      <c r="N290" s="29"/>
      <c r="O290" s="12"/>
      <c r="P290" s="39"/>
      <c r="Q290" s="12"/>
      <c r="R290" s="39"/>
      <c r="S290" s="39"/>
      <c r="T290" s="39"/>
      <c r="U290" s="39"/>
      <c r="V290" s="39"/>
      <c r="W290" s="39"/>
      <c r="X290" s="39"/>
      <c r="Y290" s="39"/>
      <c r="Z290" s="39"/>
      <c r="AA290" s="39"/>
      <c r="AB290" s="39"/>
      <c r="AC290" s="39"/>
    </row>
    <row r="291">
      <c r="A291" s="23"/>
      <c r="B291" s="24"/>
      <c r="C291" s="29"/>
      <c r="D291" s="29"/>
      <c r="E291" s="29"/>
      <c r="F291" s="29"/>
      <c r="G291" s="29"/>
      <c r="H291" s="12"/>
      <c r="I291" s="12"/>
      <c r="J291" s="12"/>
      <c r="K291" s="39"/>
      <c r="L291" s="12"/>
      <c r="M291" s="40"/>
      <c r="N291" s="29"/>
      <c r="O291" s="12"/>
      <c r="P291" s="39"/>
      <c r="Q291" s="12"/>
      <c r="R291" s="39"/>
      <c r="S291" s="39"/>
      <c r="T291" s="39"/>
      <c r="U291" s="39"/>
      <c r="V291" s="39"/>
      <c r="W291" s="39"/>
      <c r="X291" s="39"/>
      <c r="Y291" s="39"/>
      <c r="Z291" s="39"/>
      <c r="AA291" s="39"/>
      <c r="AB291" s="39"/>
      <c r="AC291" s="39"/>
    </row>
    <row r="292">
      <c r="A292" s="23"/>
      <c r="B292" s="24"/>
      <c r="C292" s="29"/>
      <c r="D292" s="29"/>
      <c r="E292" s="29"/>
      <c r="F292" s="29"/>
      <c r="G292" s="29"/>
      <c r="H292" s="12"/>
      <c r="I292" s="12"/>
      <c r="J292" s="12"/>
      <c r="K292" s="39"/>
      <c r="L292" s="12"/>
      <c r="M292" s="40"/>
      <c r="N292" s="29"/>
      <c r="O292" s="12"/>
      <c r="P292" s="39"/>
      <c r="Q292" s="12"/>
      <c r="R292" s="39"/>
      <c r="S292" s="39"/>
      <c r="T292" s="39"/>
      <c r="U292" s="39"/>
      <c r="V292" s="39"/>
      <c r="W292" s="39"/>
      <c r="X292" s="39"/>
      <c r="Y292" s="39"/>
      <c r="Z292" s="39"/>
      <c r="AA292" s="39"/>
      <c r="AB292" s="39"/>
      <c r="AC292" s="39"/>
    </row>
    <row r="293">
      <c r="A293" s="23"/>
      <c r="B293" s="24"/>
      <c r="C293" s="29"/>
      <c r="D293" s="29"/>
      <c r="E293" s="29"/>
      <c r="F293" s="29"/>
      <c r="G293" s="29"/>
      <c r="H293" s="12"/>
      <c r="I293" s="12"/>
      <c r="J293" s="12"/>
      <c r="K293" s="39"/>
      <c r="L293" s="12"/>
      <c r="M293" s="40"/>
      <c r="N293" s="29"/>
      <c r="O293" s="12"/>
      <c r="P293" s="39"/>
      <c r="Q293" s="12"/>
      <c r="R293" s="39"/>
      <c r="S293" s="39"/>
      <c r="T293" s="39"/>
      <c r="U293" s="39"/>
      <c r="V293" s="39"/>
      <c r="W293" s="39"/>
      <c r="X293" s="39"/>
      <c r="Y293" s="39"/>
      <c r="Z293" s="39"/>
      <c r="AA293" s="39"/>
      <c r="AB293" s="39"/>
      <c r="AC293" s="39"/>
    </row>
    <row r="294">
      <c r="A294" s="23"/>
      <c r="B294" s="24"/>
      <c r="C294" s="29"/>
      <c r="D294" s="29"/>
      <c r="E294" s="29"/>
      <c r="F294" s="29"/>
      <c r="G294" s="29"/>
      <c r="H294" s="12"/>
      <c r="I294" s="12"/>
      <c r="J294" s="12"/>
      <c r="K294" s="39"/>
      <c r="L294" s="12"/>
      <c r="M294" s="40"/>
      <c r="N294" s="29"/>
      <c r="O294" s="12"/>
      <c r="P294" s="39"/>
      <c r="Q294" s="12"/>
      <c r="R294" s="39"/>
      <c r="S294" s="39"/>
      <c r="T294" s="39"/>
      <c r="U294" s="39"/>
      <c r="V294" s="39"/>
      <c r="W294" s="39"/>
      <c r="X294" s="39"/>
      <c r="Y294" s="39"/>
      <c r="Z294" s="39"/>
      <c r="AA294" s="39"/>
      <c r="AB294" s="39"/>
      <c r="AC294" s="39"/>
    </row>
    <row r="295">
      <c r="A295" s="23"/>
      <c r="B295" s="24"/>
      <c r="C295" s="29"/>
      <c r="D295" s="29"/>
      <c r="E295" s="29"/>
      <c r="F295" s="29"/>
      <c r="G295" s="29"/>
      <c r="H295" s="12"/>
      <c r="I295" s="12"/>
      <c r="J295" s="12"/>
      <c r="K295" s="39"/>
      <c r="L295" s="12"/>
      <c r="M295" s="40"/>
      <c r="N295" s="29"/>
      <c r="O295" s="12"/>
      <c r="P295" s="39"/>
      <c r="Q295" s="12"/>
      <c r="R295" s="39"/>
      <c r="S295" s="39"/>
      <c r="T295" s="39"/>
      <c r="U295" s="39"/>
      <c r="V295" s="39"/>
      <c r="W295" s="39"/>
      <c r="X295" s="39"/>
      <c r="Y295" s="39"/>
      <c r="Z295" s="39"/>
      <c r="AA295" s="39"/>
      <c r="AB295" s="39"/>
      <c r="AC295" s="39"/>
    </row>
    <row r="296">
      <c r="A296" s="23"/>
      <c r="B296" s="24"/>
      <c r="C296" s="29"/>
      <c r="D296" s="29"/>
      <c r="E296" s="29"/>
      <c r="F296" s="29"/>
      <c r="G296" s="29"/>
      <c r="H296" s="12"/>
      <c r="I296" s="12"/>
      <c r="J296" s="12"/>
      <c r="K296" s="39"/>
      <c r="L296" s="12"/>
      <c r="M296" s="40"/>
      <c r="N296" s="29"/>
      <c r="O296" s="12"/>
      <c r="P296" s="39"/>
      <c r="Q296" s="12"/>
      <c r="R296" s="39"/>
      <c r="S296" s="39"/>
      <c r="T296" s="39"/>
      <c r="U296" s="39"/>
      <c r="V296" s="39"/>
      <c r="W296" s="39"/>
      <c r="X296" s="39"/>
      <c r="Y296" s="39"/>
      <c r="Z296" s="39"/>
      <c r="AA296" s="39"/>
      <c r="AB296" s="39"/>
      <c r="AC296" s="39"/>
    </row>
    <row r="297">
      <c r="A297" s="23"/>
      <c r="B297" s="24"/>
      <c r="C297" s="29"/>
      <c r="D297" s="29"/>
      <c r="E297" s="29"/>
      <c r="F297" s="29"/>
      <c r="G297" s="29"/>
      <c r="H297" s="12"/>
      <c r="I297" s="12"/>
      <c r="J297" s="12"/>
      <c r="K297" s="39"/>
      <c r="L297" s="12"/>
      <c r="M297" s="40"/>
      <c r="N297" s="29"/>
      <c r="O297" s="12"/>
      <c r="P297" s="39"/>
      <c r="Q297" s="12"/>
      <c r="R297" s="39"/>
      <c r="S297" s="39"/>
      <c r="T297" s="39"/>
      <c r="U297" s="39"/>
      <c r="V297" s="39"/>
      <c r="W297" s="39"/>
      <c r="X297" s="39"/>
      <c r="Y297" s="39"/>
      <c r="Z297" s="39"/>
      <c r="AA297" s="39"/>
      <c r="AB297" s="39"/>
      <c r="AC297" s="39"/>
    </row>
    <row r="298">
      <c r="A298" s="23"/>
      <c r="B298" s="24"/>
      <c r="C298" s="29"/>
      <c r="D298" s="29"/>
      <c r="E298" s="29"/>
      <c r="F298" s="29"/>
      <c r="G298" s="29"/>
      <c r="H298" s="12"/>
      <c r="I298" s="12"/>
      <c r="J298" s="12"/>
      <c r="K298" s="39"/>
      <c r="L298" s="12"/>
      <c r="M298" s="40"/>
      <c r="N298" s="29"/>
      <c r="O298" s="12"/>
      <c r="P298" s="39"/>
      <c r="Q298" s="12"/>
      <c r="R298" s="39"/>
      <c r="S298" s="39"/>
      <c r="T298" s="39"/>
      <c r="U298" s="39"/>
      <c r="V298" s="39"/>
      <c r="W298" s="39"/>
      <c r="X298" s="39"/>
      <c r="Y298" s="39"/>
      <c r="Z298" s="39"/>
      <c r="AA298" s="39"/>
      <c r="AB298" s="39"/>
      <c r="AC298" s="39"/>
    </row>
    <row r="299">
      <c r="A299" s="23"/>
      <c r="B299" s="24"/>
      <c r="C299" s="29"/>
      <c r="D299" s="29"/>
      <c r="E299" s="29"/>
      <c r="F299" s="29"/>
      <c r="G299" s="29"/>
      <c r="H299" s="12"/>
      <c r="I299" s="12"/>
      <c r="J299" s="12"/>
      <c r="K299" s="39"/>
      <c r="L299" s="12"/>
      <c r="M299" s="40"/>
      <c r="N299" s="29"/>
      <c r="O299" s="12"/>
      <c r="P299" s="39"/>
      <c r="Q299" s="12"/>
      <c r="R299" s="39"/>
      <c r="S299" s="39"/>
      <c r="T299" s="39"/>
      <c r="U299" s="39"/>
      <c r="V299" s="39"/>
      <c r="W299" s="39"/>
      <c r="X299" s="39"/>
      <c r="Y299" s="39"/>
      <c r="Z299" s="39"/>
      <c r="AA299" s="39"/>
      <c r="AB299" s="39"/>
      <c r="AC299" s="39"/>
    </row>
    <row r="300">
      <c r="A300" s="23"/>
      <c r="B300" s="24"/>
      <c r="C300" s="29"/>
      <c r="D300" s="29"/>
      <c r="E300" s="29"/>
      <c r="F300" s="29"/>
      <c r="G300" s="29"/>
      <c r="H300" s="12"/>
      <c r="I300" s="12"/>
      <c r="J300" s="12"/>
      <c r="K300" s="39"/>
      <c r="L300" s="12"/>
      <c r="M300" s="40"/>
      <c r="N300" s="29"/>
      <c r="O300" s="12"/>
      <c r="P300" s="39"/>
      <c r="Q300" s="12"/>
      <c r="R300" s="39"/>
      <c r="S300" s="39"/>
      <c r="T300" s="39"/>
      <c r="U300" s="39"/>
      <c r="V300" s="39"/>
      <c r="W300" s="39"/>
      <c r="X300" s="39"/>
      <c r="Y300" s="39"/>
      <c r="Z300" s="39"/>
      <c r="AA300" s="39"/>
      <c r="AB300" s="39"/>
      <c r="AC300" s="39"/>
    </row>
    <row r="301">
      <c r="A301" s="23"/>
      <c r="B301" s="24"/>
      <c r="C301" s="29"/>
      <c r="D301" s="29"/>
      <c r="E301" s="29"/>
      <c r="F301" s="29"/>
      <c r="G301" s="29"/>
      <c r="H301" s="12"/>
      <c r="I301" s="12"/>
      <c r="J301" s="12"/>
      <c r="K301" s="39"/>
      <c r="L301" s="12"/>
      <c r="M301" s="40"/>
      <c r="N301" s="29"/>
      <c r="O301" s="12"/>
      <c r="P301" s="39"/>
      <c r="Q301" s="12"/>
      <c r="R301" s="39"/>
      <c r="S301" s="39"/>
      <c r="T301" s="39"/>
      <c r="U301" s="39"/>
      <c r="V301" s="39"/>
      <c r="W301" s="39"/>
      <c r="X301" s="39"/>
      <c r="Y301" s="39"/>
      <c r="Z301" s="39"/>
      <c r="AA301" s="39"/>
      <c r="AB301" s="39"/>
      <c r="AC301" s="39"/>
    </row>
    <row r="302">
      <c r="A302" s="23"/>
      <c r="B302" s="24"/>
      <c r="C302" s="29"/>
      <c r="D302" s="29"/>
      <c r="E302" s="29"/>
      <c r="F302" s="29"/>
      <c r="G302" s="29"/>
      <c r="H302" s="12"/>
      <c r="I302" s="12"/>
      <c r="J302" s="12"/>
      <c r="K302" s="39"/>
      <c r="L302" s="12"/>
      <c r="M302" s="40"/>
      <c r="N302" s="29"/>
      <c r="O302" s="12"/>
      <c r="P302" s="39"/>
      <c r="Q302" s="12"/>
      <c r="R302" s="39"/>
      <c r="S302" s="39"/>
      <c r="T302" s="39"/>
      <c r="U302" s="39"/>
      <c r="V302" s="39"/>
      <c r="W302" s="39"/>
      <c r="X302" s="39"/>
      <c r="Y302" s="39"/>
      <c r="Z302" s="39"/>
      <c r="AA302" s="39"/>
      <c r="AB302" s="39"/>
      <c r="AC302" s="39"/>
    </row>
    <row r="303">
      <c r="A303" s="23"/>
      <c r="B303" s="24"/>
      <c r="C303" s="29"/>
      <c r="D303" s="29"/>
      <c r="E303" s="29"/>
      <c r="F303" s="29"/>
      <c r="G303" s="29"/>
      <c r="H303" s="12"/>
      <c r="I303" s="12"/>
      <c r="J303" s="12"/>
      <c r="K303" s="39"/>
      <c r="L303" s="12"/>
      <c r="M303" s="40"/>
      <c r="N303" s="29"/>
      <c r="O303" s="12"/>
      <c r="P303" s="39"/>
      <c r="Q303" s="12"/>
      <c r="R303" s="39"/>
      <c r="S303" s="39"/>
      <c r="T303" s="39"/>
      <c r="U303" s="39"/>
      <c r="V303" s="39"/>
      <c r="W303" s="39"/>
      <c r="X303" s="39"/>
      <c r="Y303" s="39"/>
      <c r="Z303" s="39"/>
      <c r="AA303" s="39"/>
      <c r="AB303" s="39"/>
      <c r="AC303" s="39"/>
    </row>
    <row r="304">
      <c r="A304" s="23"/>
      <c r="B304" s="24"/>
      <c r="C304" s="29"/>
      <c r="D304" s="29"/>
      <c r="E304" s="29"/>
      <c r="F304" s="29"/>
      <c r="G304" s="29"/>
      <c r="H304" s="12"/>
      <c r="I304" s="12"/>
      <c r="J304" s="12"/>
      <c r="K304" s="39"/>
      <c r="L304" s="12"/>
      <c r="M304" s="40"/>
      <c r="N304" s="29"/>
      <c r="O304" s="12"/>
      <c r="P304" s="39"/>
      <c r="Q304" s="12"/>
      <c r="R304" s="39"/>
      <c r="S304" s="39"/>
      <c r="T304" s="39"/>
      <c r="U304" s="39"/>
      <c r="V304" s="39"/>
      <c r="W304" s="39"/>
      <c r="X304" s="39"/>
      <c r="Y304" s="39"/>
      <c r="Z304" s="39"/>
      <c r="AA304" s="39"/>
      <c r="AB304" s="39"/>
      <c r="AC304" s="39"/>
    </row>
    <row r="305">
      <c r="A305" s="23"/>
      <c r="B305" s="24"/>
      <c r="C305" s="29"/>
      <c r="D305" s="29"/>
      <c r="E305" s="29"/>
      <c r="F305" s="29"/>
      <c r="G305" s="29"/>
      <c r="H305" s="12"/>
      <c r="I305" s="12"/>
      <c r="J305" s="12"/>
      <c r="K305" s="39"/>
      <c r="L305" s="12"/>
      <c r="M305" s="40"/>
      <c r="N305" s="29"/>
      <c r="O305" s="12"/>
      <c r="P305" s="39"/>
      <c r="Q305" s="12"/>
      <c r="R305" s="39"/>
      <c r="S305" s="39"/>
      <c r="T305" s="39"/>
      <c r="U305" s="39"/>
      <c r="V305" s="39"/>
      <c r="W305" s="39"/>
      <c r="X305" s="39"/>
      <c r="Y305" s="39"/>
      <c r="Z305" s="39"/>
      <c r="AA305" s="39"/>
      <c r="AB305" s="39"/>
      <c r="AC305" s="39"/>
    </row>
    <row r="306">
      <c r="A306" s="23"/>
      <c r="B306" s="24"/>
      <c r="C306" s="29"/>
      <c r="D306" s="29"/>
      <c r="E306" s="29"/>
      <c r="F306" s="29"/>
      <c r="G306" s="29"/>
      <c r="H306" s="12"/>
      <c r="I306" s="12"/>
      <c r="J306" s="12"/>
      <c r="K306" s="39"/>
      <c r="L306" s="12"/>
      <c r="M306" s="40"/>
      <c r="N306" s="29"/>
      <c r="O306" s="12"/>
      <c r="P306" s="39"/>
      <c r="Q306" s="12"/>
      <c r="R306" s="39"/>
      <c r="S306" s="39"/>
      <c r="T306" s="39"/>
      <c r="U306" s="39"/>
      <c r="V306" s="39"/>
      <c r="W306" s="39"/>
      <c r="X306" s="39"/>
      <c r="Y306" s="39"/>
      <c r="Z306" s="39"/>
      <c r="AA306" s="39"/>
      <c r="AB306" s="39"/>
      <c r="AC306" s="39"/>
    </row>
    <row r="307">
      <c r="A307" s="23"/>
      <c r="B307" s="24"/>
      <c r="C307" s="29"/>
      <c r="D307" s="29"/>
      <c r="E307" s="29"/>
      <c r="F307" s="29"/>
      <c r="G307" s="29"/>
      <c r="H307" s="12"/>
      <c r="I307" s="12"/>
      <c r="J307" s="12"/>
      <c r="K307" s="39"/>
      <c r="L307" s="12"/>
      <c r="M307" s="40"/>
      <c r="N307" s="29"/>
      <c r="O307" s="12"/>
      <c r="P307" s="39"/>
      <c r="Q307" s="12"/>
      <c r="R307" s="39"/>
      <c r="S307" s="39"/>
      <c r="T307" s="39"/>
      <c r="U307" s="39"/>
      <c r="V307" s="39"/>
      <c r="W307" s="39"/>
      <c r="X307" s="39"/>
      <c r="Y307" s="39"/>
      <c r="Z307" s="39"/>
      <c r="AA307" s="39"/>
      <c r="AB307" s="39"/>
      <c r="AC307" s="39"/>
    </row>
    <row r="308">
      <c r="A308" s="23"/>
      <c r="B308" s="24"/>
      <c r="C308" s="29"/>
      <c r="D308" s="29"/>
      <c r="E308" s="29"/>
      <c r="F308" s="29"/>
      <c r="G308" s="29"/>
      <c r="H308" s="12"/>
      <c r="I308" s="12"/>
      <c r="J308" s="12"/>
      <c r="K308" s="39"/>
      <c r="L308" s="12"/>
      <c r="M308" s="40"/>
      <c r="N308" s="29"/>
      <c r="O308" s="12"/>
      <c r="P308" s="39"/>
      <c r="Q308" s="12"/>
      <c r="R308" s="39"/>
      <c r="S308" s="39"/>
      <c r="T308" s="39"/>
      <c r="U308" s="39"/>
      <c r="V308" s="39"/>
      <c r="W308" s="39"/>
      <c r="X308" s="39"/>
      <c r="Y308" s="39"/>
      <c r="Z308" s="39"/>
      <c r="AA308" s="39"/>
      <c r="AB308" s="39"/>
      <c r="AC308" s="39"/>
    </row>
    <row r="309">
      <c r="A309" s="23"/>
      <c r="B309" s="24"/>
      <c r="C309" s="29"/>
      <c r="D309" s="29"/>
      <c r="E309" s="29"/>
      <c r="F309" s="29"/>
      <c r="G309" s="29"/>
      <c r="H309" s="12"/>
      <c r="I309" s="12"/>
      <c r="J309" s="12"/>
      <c r="K309" s="39"/>
      <c r="L309" s="12"/>
      <c r="M309" s="40"/>
      <c r="N309" s="29"/>
      <c r="O309" s="12"/>
      <c r="P309" s="39"/>
      <c r="Q309" s="12"/>
      <c r="R309" s="39"/>
      <c r="S309" s="39"/>
      <c r="T309" s="39"/>
      <c r="U309" s="39"/>
      <c r="V309" s="39"/>
      <c r="W309" s="39"/>
      <c r="X309" s="39"/>
      <c r="Y309" s="39"/>
      <c r="Z309" s="39"/>
      <c r="AA309" s="39"/>
      <c r="AB309" s="39"/>
      <c r="AC309" s="39"/>
    </row>
    <row r="310">
      <c r="A310" s="23"/>
      <c r="B310" s="24"/>
      <c r="C310" s="29"/>
      <c r="D310" s="29"/>
      <c r="E310" s="29"/>
      <c r="F310" s="29"/>
      <c r="G310" s="29"/>
      <c r="H310" s="12"/>
      <c r="I310" s="12"/>
      <c r="J310" s="12"/>
      <c r="K310" s="39"/>
      <c r="L310" s="12"/>
      <c r="M310" s="40"/>
      <c r="N310" s="29"/>
      <c r="O310" s="12"/>
      <c r="P310" s="39"/>
      <c r="Q310" s="12"/>
      <c r="R310" s="39"/>
      <c r="S310" s="39"/>
      <c r="T310" s="39"/>
      <c r="U310" s="39"/>
      <c r="V310" s="39"/>
      <c r="W310" s="39"/>
      <c r="X310" s="39"/>
      <c r="Y310" s="39"/>
      <c r="Z310" s="39"/>
      <c r="AA310" s="39"/>
      <c r="AB310" s="39"/>
      <c r="AC310" s="39"/>
    </row>
    <row r="311">
      <c r="A311" s="23"/>
      <c r="B311" s="24"/>
      <c r="C311" s="29"/>
      <c r="D311" s="29"/>
      <c r="E311" s="29"/>
      <c r="F311" s="29"/>
      <c r="G311" s="29"/>
      <c r="H311" s="12"/>
      <c r="I311" s="12"/>
      <c r="J311" s="12"/>
      <c r="K311" s="39"/>
      <c r="L311" s="12"/>
      <c r="M311" s="40"/>
      <c r="N311" s="29"/>
      <c r="O311" s="12"/>
      <c r="P311" s="39"/>
      <c r="Q311" s="12"/>
      <c r="R311" s="39"/>
      <c r="S311" s="39"/>
      <c r="T311" s="39"/>
      <c r="U311" s="39"/>
      <c r="V311" s="39"/>
      <c r="W311" s="39"/>
      <c r="X311" s="39"/>
      <c r="Y311" s="39"/>
      <c r="Z311" s="39"/>
      <c r="AA311" s="39"/>
      <c r="AB311" s="39"/>
      <c r="AC311" s="39"/>
    </row>
    <row r="312">
      <c r="A312" s="23"/>
      <c r="B312" s="24"/>
      <c r="C312" s="29"/>
      <c r="D312" s="29"/>
      <c r="E312" s="29"/>
      <c r="F312" s="29"/>
      <c r="G312" s="29"/>
      <c r="H312" s="12"/>
      <c r="I312" s="12"/>
      <c r="J312" s="12"/>
      <c r="K312" s="39"/>
      <c r="L312" s="12"/>
      <c r="M312" s="40"/>
      <c r="N312" s="29"/>
      <c r="O312" s="12"/>
      <c r="P312" s="39"/>
      <c r="Q312" s="12"/>
      <c r="R312" s="39"/>
      <c r="S312" s="39"/>
      <c r="T312" s="39"/>
      <c r="U312" s="39"/>
      <c r="V312" s="39"/>
      <c r="W312" s="39"/>
      <c r="X312" s="39"/>
      <c r="Y312" s="39"/>
      <c r="Z312" s="39"/>
      <c r="AA312" s="39"/>
      <c r="AB312" s="39"/>
      <c r="AC312" s="39"/>
    </row>
    <row r="313">
      <c r="A313" s="23"/>
      <c r="B313" s="24"/>
      <c r="C313" s="29"/>
      <c r="D313" s="29"/>
      <c r="E313" s="29"/>
      <c r="F313" s="29"/>
      <c r="G313" s="29"/>
      <c r="H313" s="12"/>
      <c r="I313" s="12"/>
      <c r="J313" s="12"/>
      <c r="K313" s="39"/>
      <c r="L313" s="12"/>
      <c r="M313" s="40"/>
      <c r="N313" s="29"/>
      <c r="O313" s="12"/>
      <c r="P313" s="39"/>
      <c r="Q313" s="12"/>
      <c r="R313" s="39"/>
      <c r="S313" s="39"/>
      <c r="T313" s="39"/>
      <c r="U313" s="39"/>
      <c r="V313" s="39"/>
      <c r="W313" s="39"/>
      <c r="X313" s="39"/>
      <c r="Y313" s="39"/>
      <c r="Z313" s="39"/>
      <c r="AA313" s="39"/>
      <c r="AB313" s="39"/>
      <c r="AC313" s="39"/>
    </row>
    <row r="314">
      <c r="A314" s="23"/>
      <c r="B314" s="24"/>
      <c r="C314" s="29"/>
      <c r="D314" s="29"/>
      <c r="E314" s="29"/>
      <c r="F314" s="29"/>
      <c r="G314" s="29"/>
      <c r="H314" s="12"/>
      <c r="I314" s="12"/>
      <c r="J314" s="12"/>
      <c r="K314" s="39"/>
      <c r="L314" s="12"/>
      <c r="M314" s="40"/>
      <c r="N314" s="29"/>
      <c r="O314" s="12"/>
      <c r="P314" s="39"/>
      <c r="Q314" s="12"/>
      <c r="R314" s="39"/>
      <c r="S314" s="39"/>
      <c r="T314" s="39"/>
      <c r="U314" s="39"/>
      <c r="V314" s="39"/>
      <c r="W314" s="39"/>
      <c r="X314" s="39"/>
      <c r="Y314" s="39"/>
      <c r="Z314" s="39"/>
      <c r="AA314" s="39"/>
      <c r="AB314" s="39"/>
      <c r="AC314" s="39"/>
    </row>
    <row r="315">
      <c r="A315" s="23"/>
      <c r="B315" s="24"/>
      <c r="C315" s="29"/>
      <c r="D315" s="29"/>
      <c r="E315" s="29"/>
      <c r="F315" s="29"/>
      <c r="G315" s="29"/>
      <c r="H315" s="12"/>
      <c r="I315" s="12"/>
      <c r="J315" s="12"/>
      <c r="K315" s="39"/>
      <c r="L315" s="12"/>
      <c r="M315" s="40"/>
      <c r="N315" s="29"/>
      <c r="O315" s="12"/>
      <c r="P315" s="39"/>
      <c r="Q315" s="12"/>
      <c r="R315" s="39"/>
      <c r="S315" s="39"/>
      <c r="T315" s="39"/>
      <c r="U315" s="39"/>
      <c r="V315" s="39"/>
      <c r="W315" s="39"/>
      <c r="X315" s="39"/>
      <c r="Y315" s="39"/>
      <c r="Z315" s="39"/>
      <c r="AA315" s="39"/>
      <c r="AB315" s="39"/>
      <c r="AC315" s="39"/>
    </row>
    <row r="316">
      <c r="A316" s="23"/>
      <c r="B316" s="24"/>
      <c r="C316" s="29"/>
      <c r="D316" s="29"/>
      <c r="E316" s="29"/>
      <c r="F316" s="29"/>
      <c r="G316" s="29"/>
      <c r="H316" s="12"/>
      <c r="I316" s="12"/>
      <c r="J316" s="12"/>
      <c r="K316" s="39"/>
      <c r="L316" s="12"/>
      <c r="M316" s="40"/>
      <c r="N316" s="29"/>
      <c r="O316" s="12"/>
      <c r="P316" s="39"/>
      <c r="Q316" s="12"/>
      <c r="R316" s="39"/>
      <c r="S316" s="39"/>
      <c r="T316" s="39"/>
      <c r="U316" s="39"/>
      <c r="V316" s="39"/>
      <c r="W316" s="39"/>
      <c r="X316" s="39"/>
      <c r="Y316" s="39"/>
      <c r="Z316" s="39"/>
      <c r="AA316" s="39"/>
      <c r="AB316" s="39"/>
      <c r="AC316" s="39"/>
    </row>
    <row r="317">
      <c r="A317" s="23"/>
      <c r="B317" s="24"/>
      <c r="C317" s="29"/>
      <c r="D317" s="29"/>
      <c r="E317" s="29"/>
      <c r="F317" s="29"/>
      <c r="G317" s="29"/>
      <c r="H317" s="12"/>
      <c r="I317" s="12"/>
      <c r="J317" s="12"/>
      <c r="K317" s="39"/>
      <c r="L317" s="12"/>
      <c r="M317" s="40"/>
      <c r="N317" s="29"/>
      <c r="O317" s="12"/>
      <c r="P317" s="39"/>
      <c r="Q317" s="12"/>
      <c r="R317" s="39"/>
      <c r="S317" s="39"/>
      <c r="T317" s="39"/>
      <c r="U317" s="39"/>
      <c r="V317" s="39"/>
      <c r="W317" s="39"/>
      <c r="X317" s="39"/>
      <c r="Y317" s="39"/>
      <c r="Z317" s="39"/>
      <c r="AA317" s="39"/>
      <c r="AB317" s="39"/>
      <c r="AC317" s="39"/>
    </row>
    <row r="318">
      <c r="A318" s="23"/>
      <c r="B318" s="24"/>
      <c r="C318" s="29"/>
      <c r="D318" s="29"/>
      <c r="E318" s="29"/>
      <c r="F318" s="29"/>
      <c r="G318" s="29"/>
      <c r="H318" s="12"/>
      <c r="I318" s="12"/>
      <c r="J318" s="12"/>
      <c r="K318" s="39"/>
      <c r="L318" s="12"/>
      <c r="M318" s="40"/>
      <c r="N318" s="29"/>
      <c r="O318" s="12"/>
      <c r="P318" s="39"/>
      <c r="Q318" s="12"/>
      <c r="R318" s="39"/>
      <c r="S318" s="39"/>
      <c r="T318" s="39"/>
      <c r="U318" s="39"/>
      <c r="V318" s="39"/>
      <c r="W318" s="39"/>
      <c r="X318" s="39"/>
      <c r="Y318" s="39"/>
      <c r="Z318" s="39"/>
      <c r="AA318" s="39"/>
      <c r="AB318" s="39"/>
      <c r="AC318" s="39"/>
    </row>
    <row r="319">
      <c r="A319" s="23"/>
      <c r="B319" s="24"/>
      <c r="C319" s="29"/>
      <c r="D319" s="29"/>
      <c r="E319" s="29"/>
      <c r="F319" s="29"/>
      <c r="G319" s="29"/>
      <c r="H319" s="12"/>
      <c r="I319" s="12"/>
      <c r="J319" s="12"/>
      <c r="K319" s="39"/>
      <c r="L319" s="12"/>
      <c r="M319" s="40"/>
      <c r="N319" s="29"/>
      <c r="O319" s="12"/>
      <c r="P319" s="39"/>
      <c r="Q319" s="12"/>
      <c r="R319" s="39"/>
      <c r="S319" s="39"/>
      <c r="T319" s="39"/>
      <c r="U319" s="39"/>
      <c r="V319" s="39"/>
      <c r="W319" s="39"/>
      <c r="X319" s="39"/>
      <c r="Y319" s="39"/>
      <c r="Z319" s="39"/>
      <c r="AA319" s="39"/>
      <c r="AB319" s="39"/>
      <c r="AC319" s="39"/>
    </row>
    <row r="320">
      <c r="A320" s="23"/>
      <c r="B320" s="24"/>
      <c r="C320" s="29"/>
      <c r="D320" s="29"/>
      <c r="E320" s="29"/>
      <c r="F320" s="29"/>
      <c r="G320" s="29"/>
      <c r="H320" s="12"/>
      <c r="I320" s="12"/>
      <c r="J320" s="12"/>
      <c r="K320" s="39"/>
      <c r="L320" s="12"/>
      <c r="M320" s="40"/>
      <c r="N320" s="29"/>
      <c r="O320" s="12"/>
      <c r="P320" s="39"/>
      <c r="Q320" s="12"/>
      <c r="R320" s="39"/>
      <c r="S320" s="39"/>
      <c r="T320" s="39"/>
      <c r="U320" s="39"/>
      <c r="V320" s="39"/>
      <c r="W320" s="39"/>
      <c r="X320" s="39"/>
      <c r="Y320" s="39"/>
      <c r="Z320" s="39"/>
      <c r="AA320" s="39"/>
      <c r="AB320" s="39"/>
      <c r="AC320" s="39"/>
    </row>
    <row r="321">
      <c r="A321" s="23"/>
      <c r="B321" s="24"/>
      <c r="C321" s="29"/>
      <c r="D321" s="29"/>
      <c r="E321" s="29"/>
      <c r="F321" s="29"/>
      <c r="G321" s="29"/>
      <c r="H321" s="12"/>
      <c r="I321" s="12"/>
      <c r="J321" s="12"/>
      <c r="K321" s="39"/>
      <c r="L321" s="12"/>
      <c r="M321" s="40"/>
      <c r="N321" s="29"/>
      <c r="O321" s="12"/>
      <c r="P321" s="39"/>
      <c r="Q321" s="12"/>
      <c r="R321" s="39"/>
      <c r="S321" s="39"/>
      <c r="T321" s="39"/>
      <c r="U321" s="39"/>
      <c r="V321" s="39"/>
      <c r="W321" s="39"/>
      <c r="X321" s="39"/>
      <c r="Y321" s="39"/>
      <c r="Z321" s="39"/>
      <c r="AA321" s="39"/>
      <c r="AB321" s="39"/>
      <c r="AC321" s="39"/>
    </row>
    <row r="322">
      <c r="A322" s="23"/>
      <c r="B322" s="24"/>
      <c r="C322" s="29"/>
      <c r="D322" s="29"/>
      <c r="E322" s="29"/>
      <c r="F322" s="29"/>
      <c r="G322" s="29"/>
      <c r="H322" s="12"/>
      <c r="I322" s="12"/>
      <c r="J322" s="12"/>
      <c r="K322" s="39"/>
      <c r="L322" s="12"/>
      <c r="M322" s="40"/>
      <c r="N322" s="29"/>
      <c r="O322" s="12"/>
      <c r="P322" s="39"/>
      <c r="Q322" s="12"/>
      <c r="R322" s="39"/>
      <c r="S322" s="39"/>
      <c r="T322" s="39"/>
      <c r="U322" s="39"/>
      <c r="V322" s="39"/>
      <c r="W322" s="39"/>
      <c r="X322" s="39"/>
      <c r="Y322" s="39"/>
      <c r="Z322" s="39"/>
      <c r="AA322" s="39"/>
      <c r="AB322" s="39"/>
      <c r="AC322" s="39"/>
    </row>
    <row r="323">
      <c r="A323" s="23"/>
      <c r="B323" s="24"/>
      <c r="C323" s="29"/>
      <c r="D323" s="29"/>
      <c r="E323" s="29"/>
      <c r="F323" s="29"/>
      <c r="G323" s="29"/>
      <c r="H323" s="12"/>
      <c r="I323" s="12"/>
      <c r="J323" s="12"/>
      <c r="K323" s="39"/>
      <c r="L323" s="12"/>
      <c r="M323" s="40"/>
      <c r="N323" s="29"/>
      <c r="O323" s="12"/>
      <c r="P323" s="39"/>
      <c r="Q323" s="12"/>
      <c r="R323" s="39"/>
      <c r="S323" s="39"/>
      <c r="T323" s="39"/>
      <c r="U323" s="39"/>
      <c r="V323" s="39"/>
      <c r="W323" s="39"/>
      <c r="X323" s="39"/>
      <c r="Y323" s="39"/>
      <c r="Z323" s="39"/>
      <c r="AA323" s="39"/>
      <c r="AB323" s="39"/>
      <c r="AC323" s="39"/>
    </row>
    <row r="324">
      <c r="A324" s="23"/>
      <c r="B324" s="24"/>
      <c r="C324" s="29"/>
      <c r="D324" s="29"/>
      <c r="E324" s="29"/>
      <c r="F324" s="29"/>
      <c r="G324" s="29"/>
      <c r="H324" s="12"/>
      <c r="I324" s="12"/>
      <c r="J324" s="12"/>
      <c r="K324" s="39"/>
      <c r="L324" s="12"/>
      <c r="M324" s="40"/>
      <c r="N324" s="29"/>
      <c r="O324" s="12"/>
      <c r="P324" s="39"/>
      <c r="Q324" s="12"/>
      <c r="R324" s="39"/>
      <c r="S324" s="39"/>
      <c r="T324" s="39"/>
      <c r="U324" s="39"/>
      <c r="V324" s="39"/>
      <c r="W324" s="39"/>
      <c r="X324" s="39"/>
      <c r="Y324" s="39"/>
      <c r="Z324" s="39"/>
      <c r="AA324" s="39"/>
      <c r="AB324" s="39"/>
      <c r="AC324" s="39"/>
    </row>
    <row r="325">
      <c r="A325" s="23"/>
      <c r="B325" s="24"/>
      <c r="C325" s="29"/>
      <c r="D325" s="29"/>
      <c r="E325" s="29"/>
      <c r="F325" s="29"/>
      <c r="G325" s="29"/>
      <c r="H325" s="12"/>
      <c r="I325" s="12"/>
      <c r="J325" s="12"/>
      <c r="K325" s="39"/>
      <c r="L325" s="12"/>
      <c r="M325" s="40"/>
      <c r="N325" s="29"/>
      <c r="O325" s="12"/>
      <c r="P325" s="39"/>
      <c r="Q325" s="12"/>
      <c r="R325" s="39"/>
      <c r="S325" s="39"/>
      <c r="T325" s="39"/>
      <c r="U325" s="39"/>
      <c r="V325" s="39"/>
      <c r="W325" s="39"/>
      <c r="X325" s="39"/>
      <c r="Y325" s="39"/>
      <c r="Z325" s="39"/>
      <c r="AA325" s="39"/>
      <c r="AB325" s="39"/>
      <c r="AC325" s="39"/>
    </row>
    <row r="326">
      <c r="A326" s="23"/>
      <c r="B326" s="24"/>
      <c r="C326" s="29"/>
      <c r="D326" s="29"/>
      <c r="E326" s="29"/>
      <c r="F326" s="29"/>
      <c r="G326" s="29"/>
      <c r="H326" s="12"/>
      <c r="I326" s="12"/>
      <c r="J326" s="12"/>
      <c r="K326" s="39"/>
      <c r="L326" s="12"/>
      <c r="M326" s="40"/>
      <c r="N326" s="29"/>
      <c r="O326" s="12"/>
      <c r="P326" s="39"/>
      <c r="Q326" s="12"/>
      <c r="R326" s="39"/>
      <c r="S326" s="39"/>
      <c r="T326" s="39"/>
      <c r="U326" s="39"/>
      <c r="V326" s="39"/>
      <c r="W326" s="39"/>
      <c r="X326" s="39"/>
      <c r="Y326" s="39"/>
      <c r="Z326" s="39"/>
      <c r="AA326" s="39"/>
      <c r="AB326" s="39"/>
      <c r="AC326" s="39"/>
    </row>
    <row r="327">
      <c r="A327" s="23"/>
      <c r="B327" s="24"/>
      <c r="C327" s="29"/>
      <c r="D327" s="29"/>
      <c r="E327" s="29"/>
      <c r="F327" s="29"/>
      <c r="G327" s="29"/>
      <c r="H327" s="12"/>
      <c r="I327" s="12"/>
      <c r="J327" s="12"/>
      <c r="K327" s="39"/>
      <c r="L327" s="12"/>
      <c r="M327" s="40"/>
      <c r="N327" s="29"/>
      <c r="O327" s="12"/>
      <c r="P327" s="39"/>
      <c r="Q327" s="12"/>
      <c r="R327" s="39"/>
      <c r="S327" s="39"/>
      <c r="T327" s="39"/>
      <c r="U327" s="39"/>
      <c r="V327" s="39"/>
      <c r="W327" s="39"/>
      <c r="X327" s="39"/>
      <c r="Y327" s="39"/>
      <c r="Z327" s="39"/>
      <c r="AA327" s="39"/>
      <c r="AB327" s="39"/>
      <c r="AC327" s="39"/>
    </row>
    <row r="328">
      <c r="A328" s="23"/>
      <c r="B328" s="24"/>
      <c r="C328" s="29"/>
      <c r="D328" s="29"/>
      <c r="E328" s="29"/>
      <c r="F328" s="29"/>
      <c r="G328" s="29"/>
      <c r="H328" s="12"/>
      <c r="I328" s="12"/>
      <c r="J328" s="12"/>
      <c r="K328" s="39"/>
      <c r="L328" s="12"/>
      <c r="M328" s="40"/>
      <c r="N328" s="29"/>
      <c r="O328" s="12"/>
      <c r="P328" s="39"/>
      <c r="Q328" s="12"/>
      <c r="R328" s="39"/>
      <c r="S328" s="39"/>
      <c r="T328" s="39"/>
      <c r="U328" s="39"/>
      <c r="V328" s="39"/>
      <c r="W328" s="39"/>
      <c r="X328" s="39"/>
      <c r="Y328" s="39"/>
      <c r="Z328" s="39"/>
      <c r="AA328" s="39"/>
      <c r="AB328" s="39"/>
      <c r="AC328" s="39"/>
    </row>
    <row r="329">
      <c r="A329" s="23"/>
      <c r="B329" s="24"/>
      <c r="C329" s="29"/>
      <c r="D329" s="29"/>
      <c r="E329" s="29"/>
      <c r="F329" s="29"/>
      <c r="G329" s="29"/>
      <c r="H329" s="12"/>
      <c r="I329" s="12"/>
      <c r="J329" s="12"/>
      <c r="K329" s="39"/>
      <c r="L329" s="12"/>
      <c r="M329" s="40"/>
      <c r="N329" s="29"/>
      <c r="O329" s="12"/>
      <c r="P329" s="39"/>
      <c r="Q329" s="12"/>
      <c r="R329" s="39"/>
      <c r="S329" s="39"/>
      <c r="T329" s="39"/>
      <c r="U329" s="39"/>
      <c r="V329" s="39"/>
      <c r="W329" s="39"/>
      <c r="X329" s="39"/>
      <c r="Y329" s="39"/>
      <c r="Z329" s="39"/>
      <c r="AA329" s="39"/>
      <c r="AB329" s="39"/>
      <c r="AC329" s="39"/>
    </row>
    <row r="330">
      <c r="A330" s="23"/>
      <c r="B330" s="24"/>
      <c r="C330" s="29"/>
      <c r="D330" s="29"/>
      <c r="E330" s="29"/>
      <c r="F330" s="29"/>
      <c r="G330" s="29"/>
      <c r="H330" s="12"/>
      <c r="I330" s="12"/>
      <c r="J330" s="12"/>
      <c r="K330" s="39"/>
      <c r="L330" s="12"/>
      <c r="M330" s="40"/>
      <c r="N330" s="29"/>
      <c r="O330" s="12"/>
      <c r="P330" s="39"/>
      <c r="Q330" s="12"/>
      <c r="R330" s="39"/>
      <c r="S330" s="39"/>
      <c r="T330" s="39"/>
      <c r="U330" s="39"/>
      <c r="V330" s="39"/>
      <c r="W330" s="39"/>
      <c r="X330" s="39"/>
      <c r="Y330" s="39"/>
      <c r="Z330" s="39"/>
      <c r="AA330" s="39"/>
      <c r="AB330" s="39"/>
      <c r="AC330" s="39"/>
    </row>
    <row r="331">
      <c r="A331" s="23"/>
      <c r="B331" s="24"/>
      <c r="C331" s="29"/>
      <c r="D331" s="29"/>
      <c r="E331" s="29"/>
      <c r="F331" s="29"/>
      <c r="G331" s="29"/>
      <c r="H331" s="12"/>
      <c r="I331" s="12"/>
      <c r="J331" s="12"/>
      <c r="K331" s="39"/>
      <c r="L331" s="12"/>
      <c r="M331" s="40"/>
      <c r="N331" s="29"/>
      <c r="O331" s="12"/>
      <c r="P331" s="39"/>
      <c r="Q331" s="12"/>
      <c r="R331" s="39"/>
      <c r="S331" s="39"/>
      <c r="T331" s="39"/>
      <c r="U331" s="39"/>
      <c r="V331" s="39"/>
      <c r="W331" s="39"/>
      <c r="X331" s="39"/>
      <c r="Y331" s="39"/>
      <c r="Z331" s="39"/>
      <c r="AA331" s="39"/>
      <c r="AB331" s="39"/>
      <c r="AC331" s="39"/>
    </row>
    <row r="332">
      <c r="A332" s="23"/>
      <c r="B332" s="24"/>
      <c r="C332" s="29"/>
      <c r="D332" s="29"/>
      <c r="E332" s="29"/>
      <c r="F332" s="29"/>
      <c r="G332" s="29"/>
      <c r="H332" s="12"/>
      <c r="I332" s="12"/>
      <c r="J332" s="12"/>
      <c r="K332" s="39"/>
      <c r="L332" s="12"/>
      <c r="M332" s="40"/>
      <c r="N332" s="29"/>
      <c r="O332" s="12"/>
      <c r="P332" s="39"/>
      <c r="Q332" s="12"/>
      <c r="R332" s="39"/>
      <c r="S332" s="39"/>
      <c r="T332" s="39"/>
      <c r="U332" s="39"/>
      <c r="V332" s="39"/>
      <c r="W332" s="39"/>
      <c r="X332" s="39"/>
      <c r="Y332" s="39"/>
      <c r="Z332" s="39"/>
      <c r="AA332" s="39"/>
      <c r="AB332" s="39"/>
      <c r="AC332" s="39"/>
    </row>
    <row r="333">
      <c r="A333" s="23"/>
      <c r="B333" s="24"/>
      <c r="C333" s="29"/>
      <c r="D333" s="29"/>
      <c r="E333" s="29"/>
      <c r="F333" s="29"/>
      <c r="G333" s="29"/>
      <c r="H333" s="12"/>
      <c r="I333" s="12"/>
      <c r="J333" s="12"/>
      <c r="K333" s="39"/>
      <c r="L333" s="12"/>
      <c r="M333" s="40"/>
      <c r="N333" s="29"/>
      <c r="O333" s="12"/>
      <c r="P333" s="39"/>
      <c r="Q333" s="12"/>
      <c r="R333" s="39"/>
      <c r="S333" s="39"/>
      <c r="T333" s="39"/>
      <c r="U333" s="39"/>
      <c r="V333" s="39"/>
      <c r="W333" s="39"/>
      <c r="X333" s="39"/>
      <c r="Y333" s="39"/>
      <c r="Z333" s="39"/>
      <c r="AA333" s="39"/>
      <c r="AB333" s="39"/>
      <c r="AC333" s="39"/>
    </row>
    <row r="334">
      <c r="A334" s="23"/>
      <c r="B334" s="24"/>
      <c r="C334" s="29"/>
      <c r="D334" s="29"/>
      <c r="E334" s="29"/>
      <c r="F334" s="29"/>
      <c r="G334" s="29"/>
      <c r="H334" s="12"/>
      <c r="I334" s="12"/>
      <c r="J334" s="12"/>
      <c r="K334" s="39"/>
      <c r="L334" s="12"/>
      <c r="M334" s="40"/>
      <c r="N334" s="29"/>
      <c r="O334" s="12"/>
      <c r="P334" s="39"/>
      <c r="Q334" s="12"/>
      <c r="R334" s="39"/>
      <c r="S334" s="39"/>
      <c r="T334" s="39"/>
      <c r="U334" s="39"/>
      <c r="V334" s="39"/>
      <c r="W334" s="39"/>
      <c r="X334" s="39"/>
      <c r="Y334" s="39"/>
      <c r="Z334" s="39"/>
      <c r="AA334" s="39"/>
      <c r="AB334" s="39"/>
      <c r="AC334" s="39"/>
    </row>
    <row r="335">
      <c r="A335" s="23"/>
      <c r="B335" s="24"/>
      <c r="C335" s="29"/>
      <c r="D335" s="29"/>
      <c r="E335" s="29"/>
      <c r="F335" s="29"/>
      <c r="G335" s="29"/>
      <c r="H335" s="12"/>
      <c r="I335" s="12"/>
      <c r="J335" s="12"/>
      <c r="K335" s="39"/>
      <c r="L335" s="12"/>
      <c r="M335" s="40"/>
      <c r="N335" s="29"/>
      <c r="O335" s="12"/>
      <c r="P335" s="39"/>
      <c r="Q335" s="12"/>
      <c r="R335" s="39"/>
      <c r="S335" s="39"/>
      <c r="T335" s="39"/>
      <c r="U335" s="39"/>
      <c r="V335" s="39"/>
      <c r="W335" s="39"/>
      <c r="X335" s="39"/>
      <c r="Y335" s="39"/>
      <c r="Z335" s="39"/>
      <c r="AA335" s="39"/>
      <c r="AB335" s="39"/>
      <c r="AC335" s="39"/>
    </row>
    <row r="336">
      <c r="A336" s="23"/>
      <c r="B336" s="24"/>
      <c r="C336" s="29"/>
      <c r="D336" s="29"/>
      <c r="E336" s="29"/>
      <c r="F336" s="29"/>
      <c r="G336" s="29"/>
      <c r="H336" s="12"/>
      <c r="I336" s="12"/>
      <c r="J336" s="12"/>
      <c r="K336" s="39"/>
      <c r="L336" s="12"/>
      <c r="M336" s="40"/>
      <c r="N336" s="29"/>
      <c r="O336" s="12"/>
      <c r="P336" s="39"/>
      <c r="Q336" s="12"/>
      <c r="R336" s="39"/>
      <c r="S336" s="39"/>
      <c r="T336" s="39"/>
      <c r="U336" s="39"/>
      <c r="V336" s="39"/>
      <c r="W336" s="39"/>
      <c r="X336" s="39"/>
      <c r="Y336" s="39"/>
      <c r="Z336" s="39"/>
      <c r="AA336" s="39"/>
      <c r="AB336" s="39"/>
      <c r="AC336" s="39"/>
    </row>
    <row r="337">
      <c r="A337" s="23"/>
      <c r="B337" s="24"/>
      <c r="C337" s="29"/>
      <c r="D337" s="29"/>
      <c r="E337" s="29"/>
      <c r="F337" s="29"/>
      <c r="G337" s="29"/>
      <c r="H337" s="12"/>
      <c r="I337" s="12"/>
      <c r="J337" s="12"/>
      <c r="K337" s="39"/>
      <c r="L337" s="12"/>
      <c r="M337" s="40"/>
      <c r="N337" s="29"/>
      <c r="O337" s="12"/>
      <c r="P337" s="39"/>
      <c r="Q337" s="12"/>
      <c r="R337" s="39"/>
      <c r="S337" s="39"/>
      <c r="T337" s="39"/>
      <c r="U337" s="39"/>
      <c r="V337" s="39"/>
      <c r="W337" s="39"/>
      <c r="X337" s="39"/>
      <c r="Y337" s="39"/>
      <c r="Z337" s="39"/>
      <c r="AA337" s="39"/>
      <c r="AB337" s="39"/>
      <c r="AC337" s="39"/>
    </row>
    <row r="338">
      <c r="A338" s="23"/>
      <c r="B338" s="24"/>
      <c r="C338" s="29"/>
      <c r="D338" s="29"/>
      <c r="E338" s="29"/>
      <c r="F338" s="29"/>
      <c r="G338" s="29"/>
      <c r="H338" s="12"/>
      <c r="I338" s="12"/>
      <c r="J338" s="12"/>
      <c r="K338" s="39"/>
      <c r="L338" s="12"/>
      <c r="M338" s="40"/>
      <c r="N338" s="29"/>
      <c r="O338" s="12"/>
      <c r="P338" s="39"/>
      <c r="Q338" s="12"/>
      <c r="R338" s="39"/>
      <c r="S338" s="39"/>
      <c r="T338" s="39"/>
      <c r="U338" s="39"/>
      <c r="V338" s="39"/>
      <c r="W338" s="39"/>
      <c r="X338" s="39"/>
      <c r="Y338" s="39"/>
      <c r="Z338" s="39"/>
      <c r="AA338" s="39"/>
      <c r="AB338" s="39"/>
      <c r="AC338" s="39"/>
    </row>
    <row r="339">
      <c r="A339" s="23"/>
      <c r="B339" s="24"/>
      <c r="C339" s="29"/>
      <c r="D339" s="29"/>
      <c r="E339" s="29"/>
      <c r="F339" s="29"/>
      <c r="G339" s="29"/>
      <c r="H339" s="12"/>
      <c r="I339" s="12"/>
      <c r="J339" s="12"/>
      <c r="K339" s="39"/>
      <c r="L339" s="12"/>
      <c r="M339" s="40"/>
      <c r="N339" s="29"/>
      <c r="O339" s="12"/>
      <c r="P339" s="39"/>
      <c r="Q339" s="12"/>
      <c r="R339" s="39"/>
      <c r="S339" s="39"/>
      <c r="T339" s="39"/>
      <c r="U339" s="39"/>
      <c r="V339" s="39"/>
      <c r="W339" s="39"/>
      <c r="X339" s="39"/>
      <c r="Y339" s="39"/>
      <c r="Z339" s="39"/>
      <c r="AA339" s="39"/>
      <c r="AB339" s="39"/>
      <c r="AC339" s="39"/>
    </row>
    <row r="340">
      <c r="A340" s="23"/>
      <c r="B340" s="24"/>
      <c r="C340" s="29"/>
      <c r="D340" s="29"/>
      <c r="E340" s="29"/>
      <c r="F340" s="29"/>
      <c r="G340" s="29"/>
      <c r="H340" s="12"/>
      <c r="I340" s="12"/>
      <c r="J340" s="12"/>
      <c r="K340" s="39"/>
      <c r="L340" s="12"/>
      <c r="M340" s="40"/>
      <c r="N340" s="29"/>
      <c r="O340" s="12"/>
      <c r="P340" s="39"/>
      <c r="Q340" s="12"/>
      <c r="R340" s="39"/>
      <c r="S340" s="39"/>
      <c r="T340" s="39"/>
      <c r="U340" s="39"/>
      <c r="V340" s="39"/>
      <c r="W340" s="39"/>
      <c r="X340" s="39"/>
      <c r="Y340" s="39"/>
      <c r="Z340" s="39"/>
      <c r="AA340" s="39"/>
      <c r="AB340" s="39"/>
      <c r="AC340" s="39"/>
    </row>
    <row r="341">
      <c r="A341" s="23"/>
      <c r="B341" s="24"/>
      <c r="C341" s="29"/>
      <c r="D341" s="29"/>
      <c r="E341" s="29"/>
      <c r="F341" s="29"/>
      <c r="G341" s="29"/>
      <c r="H341" s="12"/>
      <c r="I341" s="12"/>
      <c r="J341" s="12"/>
      <c r="K341" s="39"/>
      <c r="L341" s="12"/>
      <c r="M341" s="40"/>
      <c r="N341" s="29"/>
      <c r="O341" s="12"/>
      <c r="P341" s="39"/>
      <c r="Q341" s="12"/>
      <c r="R341" s="39"/>
      <c r="S341" s="39"/>
      <c r="T341" s="39"/>
      <c r="U341" s="39"/>
      <c r="V341" s="39"/>
      <c r="W341" s="39"/>
      <c r="X341" s="39"/>
      <c r="Y341" s="39"/>
      <c r="Z341" s="39"/>
      <c r="AA341" s="39"/>
      <c r="AB341" s="39"/>
      <c r="AC341" s="39"/>
    </row>
    <row r="342">
      <c r="A342" s="23"/>
      <c r="B342" s="24"/>
      <c r="C342" s="29"/>
      <c r="D342" s="29"/>
      <c r="E342" s="29"/>
      <c r="F342" s="29"/>
      <c r="G342" s="29"/>
      <c r="H342" s="12"/>
      <c r="I342" s="12"/>
      <c r="J342" s="12"/>
      <c r="K342" s="39"/>
      <c r="L342" s="12"/>
      <c r="M342" s="40"/>
      <c r="N342" s="29"/>
      <c r="O342" s="12"/>
      <c r="P342" s="39"/>
      <c r="Q342" s="12"/>
      <c r="R342" s="39"/>
      <c r="S342" s="39"/>
      <c r="T342" s="39"/>
      <c r="U342" s="39"/>
      <c r="V342" s="39"/>
      <c r="W342" s="39"/>
      <c r="X342" s="39"/>
      <c r="Y342" s="39"/>
      <c r="Z342" s="39"/>
      <c r="AA342" s="39"/>
      <c r="AB342" s="39"/>
      <c r="AC342" s="39"/>
    </row>
    <row r="343">
      <c r="A343" s="23"/>
      <c r="B343" s="24"/>
      <c r="C343" s="29"/>
      <c r="D343" s="29"/>
      <c r="E343" s="29"/>
      <c r="F343" s="29"/>
      <c r="G343" s="29"/>
      <c r="H343" s="12"/>
      <c r="I343" s="12"/>
      <c r="J343" s="12"/>
      <c r="K343" s="39"/>
      <c r="L343" s="12"/>
      <c r="M343" s="40"/>
      <c r="N343" s="29"/>
      <c r="O343" s="12"/>
      <c r="P343" s="39"/>
      <c r="Q343" s="12"/>
      <c r="R343" s="39"/>
      <c r="S343" s="39"/>
      <c r="T343" s="39"/>
      <c r="U343" s="39"/>
      <c r="V343" s="39"/>
      <c r="W343" s="39"/>
      <c r="X343" s="39"/>
      <c r="Y343" s="39"/>
      <c r="Z343" s="39"/>
      <c r="AA343" s="39"/>
      <c r="AB343" s="39"/>
      <c r="AC343" s="39"/>
    </row>
    <row r="344">
      <c r="A344" s="23"/>
      <c r="B344" s="24"/>
      <c r="C344" s="29"/>
      <c r="D344" s="29"/>
      <c r="E344" s="29"/>
      <c r="F344" s="29"/>
      <c r="G344" s="29"/>
      <c r="H344" s="12"/>
      <c r="I344" s="12"/>
      <c r="J344" s="12"/>
      <c r="K344" s="39"/>
      <c r="L344" s="12"/>
      <c r="M344" s="40"/>
      <c r="N344" s="29"/>
      <c r="O344" s="12"/>
      <c r="P344" s="39"/>
      <c r="Q344" s="12"/>
      <c r="R344" s="39"/>
      <c r="S344" s="39"/>
      <c r="T344" s="39"/>
      <c r="U344" s="39"/>
      <c r="V344" s="39"/>
      <c r="W344" s="39"/>
      <c r="X344" s="39"/>
      <c r="Y344" s="39"/>
      <c r="Z344" s="39"/>
      <c r="AA344" s="39"/>
      <c r="AB344" s="39"/>
      <c r="AC344" s="39"/>
    </row>
    <row r="345">
      <c r="A345" s="23"/>
      <c r="B345" s="24"/>
      <c r="C345" s="29"/>
      <c r="D345" s="29"/>
      <c r="E345" s="29"/>
      <c r="F345" s="29"/>
      <c r="G345" s="29"/>
      <c r="H345" s="12"/>
      <c r="I345" s="12"/>
      <c r="J345" s="12"/>
      <c r="K345" s="39"/>
      <c r="L345" s="12"/>
      <c r="M345" s="40"/>
      <c r="N345" s="29"/>
      <c r="O345" s="12"/>
      <c r="P345" s="39"/>
      <c r="Q345" s="12"/>
      <c r="R345" s="39"/>
      <c r="S345" s="39"/>
      <c r="T345" s="39"/>
      <c r="U345" s="39"/>
      <c r="V345" s="39"/>
      <c r="W345" s="39"/>
      <c r="X345" s="39"/>
      <c r="Y345" s="39"/>
      <c r="Z345" s="39"/>
      <c r="AA345" s="39"/>
      <c r="AB345" s="39"/>
      <c r="AC345" s="39"/>
    </row>
    <row r="346">
      <c r="A346" s="23"/>
      <c r="B346" s="24"/>
      <c r="C346" s="29"/>
      <c r="D346" s="29"/>
      <c r="E346" s="29"/>
      <c r="F346" s="29"/>
      <c r="G346" s="29"/>
      <c r="H346" s="12"/>
      <c r="I346" s="12"/>
      <c r="J346" s="12"/>
      <c r="K346" s="39"/>
      <c r="L346" s="12"/>
      <c r="M346" s="40"/>
      <c r="N346" s="29"/>
      <c r="O346" s="12"/>
      <c r="P346" s="39"/>
      <c r="Q346" s="12"/>
      <c r="R346" s="39"/>
      <c r="S346" s="39"/>
      <c r="T346" s="39"/>
      <c r="U346" s="39"/>
      <c r="V346" s="39"/>
      <c r="W346" s="39"/>
      <c r="X346" s="39"/>
      <c r="Y346" s="39"/>
      <c r="Z346" s="39"/>
      <c r="AA346" s="39"/>
      <c r="AB346" s="39"/>
      <c r="AC346" s="39"/>
    </row>
    <row r="347">
      <c r="A347" s="23"/>
      <c r="B347" s="24"/>
      <c r="C347" s="29"/>
      <c r="D347" s="29"/>
      <c r="E347" s="29"/>
      <c r="F347" s="29"/>
      <c r="G347" s="29"/>
      <c r="H347" s="12"/>
      <c r="I347" s="12"/>
      <c r="J347" s="12"/>
      <c r="K347" s="39"/>
      <c r="L347" s="12"/>
      <c r="M347" s="40"/>
      <c r="N347" s="29"/>
      <c r="O347" s="12"/>
      <c r="P347" s="39"/>
      <c r="Q347" s="12"/>
      <c r="R347" s="39"/>
      <c r="S347" s="39"/>
      <c r="T347" s="39"/>
      <c r="U347" s="39"/>
      <c r="V347" s="39"/>
      <c r="W347" s="39"/>
      <c r="X347" s="39"/>
      <c r="Y347" s="39"/>
      <c r="Z347" s="39"/>
      <c r="AA347" s="39"/>
      <c r="AB347" s="39"/>
      <c r="AC347" s="39"/>
    </row>
    <row r="348">
      <c r="A348" s="23"/>
      <c r="B348" s="24"/>
      <c r="C348" s="29"/>
      <c r="D348" s="29"/>
      <c r="E348" s="29"/>
      <c r="F348" s="29"/>
      <c r="G348" s="29"/>
      <c r="H348" s="12"/>
      <c r="I348" s="12"/>
      <c r="J348" s="12"/>
      <c r="K348" s="39"/>
      <c r="L348" s="12"/>
      <c r="M348" s="40"/>
      <c r="N348" s="29"/>
      <c r="O348" s="12"/>
      <c r="P348" s="39"/>
      <c r="Q348" s="12"/>
      <c r="R348" s="39"/>
      <c r="S348" s="39"/>
      <c r="T348" s="39"/>
      <c r="U348" s="39"/>
      <c r="V348" s="39"/>
      <c r="W348" s="39"/>
      <c r="X348" s="39"/>
      <c r="Y348" s="39"/>
      <c r="Z348" s="39"/>
      <c r="AA348" s="39"/>
      <c r="AB348" s="39"/>
      <c r="AC348" s="39"/>
    </row>
    <row r="349">
      <c r="A349" s="23"/>
      <c r="B349" s="24"/>
      <c r="C349" s="29"/>
      <c r="D349" s="29"/>
      <c r="E349" s="29"/>
      <c r="F349" s="29"/>
      <c r="G349" s="29"/>
      <c r="H349" s="12"/>
      <c r="I349" s="12"/>
      <c r="J349" s="12"/>
      <c r="K349" s="39"/>
      <c r="L349" s="12"/>
      <c r="M349" s="40"/>
      <c r="N349" s="29"/>
      <c r="O349" s="12"/>
      <c r="P349" s="39"/>
      <c r="Q349" s="12"/>
      <c r="R349" s="39"/>
      <c r="S349" s="39"/>
      <c r="T349" s="39"/>
      <c r="U349" s="39"/>
      <c r="V349" s="39"/>
      <c r="W349" s="39"/>
      <c r="X349" s="39"/>
      <c r="Y349" s="39"/>
      <c r="Z349" s="39"/>
      <c r="AA349" s="39"/>
      <c r="AB349" s="39"/>
      <c r="AC349" s="39"/>
    </row>
    <row r="350">
      <c r="A350" s="23"/>
      <c r="B350" s="24"/>
      <c r="C350" s="29"/>
      <c r="D350" s="29"/>
      <c r="E350" s="29"/>
      <c r="F350" s="29"/>
      <c r="G350" s="29"/>
      <c r="H350" s="12"/>
      <c r="I350" s="12"/>
      <c r="J350" s="12"/>
      <c r="K350" s="39"/>
      <c r="L350" s="12"/>
      <c r="M350" s="40"/>
      <c r="N350" s="29"/>
      <c r="O350" s="12"/>
      <c r="P350" s="39"/>
      <c r="Q350" s="12"/>
      <c r="R350" s="39"/>
      <c r="S350" s="39"/>
      <c r="T350" s="39"/>
      <c r="U350" s="39"/>
      <c r="V350" s="39"/>
      <c r="W350" s="39"/>
      <c r="X350" s="39"/>
      <c r="Y350" s="39"/>
      <c r="Z350" s="39"/>
      <c r="AA350" s="39"/>
      <c r="AB350" s="39"/>
      <c r="AC350" s="39"/>
    </row>
    <row r="351">
      <c r="A351" s="23"/>
      <c r="B351" s="24"/>
      <c r="C351" s="29"/>
      <c r="D351" s="29"/>
      <c r="E351" s="29"/>
      <c r="F351" s="29"/>
      <c r="G351" s="29"/>
      <c r="H351" s="12"/>
      <c r="I351" s="12"/>
      <c r="J351" s="12"/>
      <c r="K351" s="39"/>
      <c r="L351" s="12"/>
      <c r="M351" s="40"/>
      <c r="N351" s="29"/>
      <c r="O351" s="12"/>
      <c r="P351" s="39"/>
      <c r="Q351" s="12"/>
      <c r="R351" s="39"/>
      <c r="S351" s="39"/>
      <c r="T351" s="39"/>
      <c r="U351" s="39"/>
      <c r="V351" s="39"/>
      <c r="W351" s="39"/>
      <c r="X351" s="39"/>
      <c r="Y351" s="39"/>
      <c r="Z351" s="39"/>
      <c r="AA351" s="39"/>
      <c r="AB351" s="39"/>
      <c r="AC351" s="39"/>
    </row>
    <row r="352">
      <c r="A352" s="23"/>
      <c r="B352" s="24"/>
      <c r="C352" s="29"/>
      <c r="D352" s="29"/>
      <c r="E352" s="29"/>
      <c r="F352" s="29"/>
      <c r="G352" s="29"/>
      <c r="H352" s="12"/>
      <c r="I352" s="12"/>
      <c r="J352" s="12"/>
      <c r="K352" s="39"/>
      <c r="L352" s="12"/>
      <c r="M352" s="40"/>
      <c r="N352" s="29"/>
      <c r="O352" s="12"/>
      <c r="P352" s="39"/>
      <c r="Q352" s="12"/>
      <c r="R352" s="39"/>
      <c r="S352" s="39"/>
      <c r="T352" s="39"/>
      <c r="U352" s="39"/>
      <c r="V352" s="39"/>
      <c r="W352" s="39"/>
      <c r="X352" s="39"/>
      <c r="Y352" s="39"/>
      <c r="Z352" s="39"/>
      <c r="AA352" s="39"/>
      <c r="AB352" s="39"/>
      <c r="AC352" s="39"/>
    </row>
    <row r="353">
      <c r="A353" s="23"/>
      <c r="B353" s="24"/>
      <c r="C353" s="29"/>
      <c r="D353" s="29"/>
      <c r="E353" s="29"/>
      <c r="F353" s="29"/>
      <c r="G353" s="29"/>
      <c r="H353" s="12"/>
      <c r="I353" s="12"/>
      <c r="J353" s="12"/>
      <c r="K353" s="39"/>
      <c r="L353" s="12"/>
      <c r="M353" s="40"/>
      <c r="N353" s="29"/>
      <c r="O353" s="12"/>
      <c r="P353" s="39"/>
      <c r="Q353" s="12"/>
      <c r="R353" s="39"/>
      <c r="S353" s="39"/>
      <c r="T353" s="39"/>
      <c r="U353" s="39"/>
      <c r="V353" s="39"/>
      <c r="W353" s="39"/>
      <c r="X353" s="39"/>
      <c r="Y353" s="39"/>
      <c r="Z353" s="39"/>
      <c r="AA353" s="39"/>
      <c r="AB353" s="39"/>
      <c r="AC353" s="39"/>
    </row>
    <row r="354">
      <c r="A354" s="23"/>
      <c r="B354" s="24"/>
      <c r="C354" s="29"/>
      <c r="D354" s="29"/>
      <c r="E354" s="29"/>
      <c r="F354" s="29"/>
      <c r="G354" s="29"/>
      <c r="H354" s="12"/>
      <c r="I354" s="12"/>
      <c r="J354" s="12"/>
      <c r="K354" s="39"/>
      <c r="L354" s="12"/>
      <c r="M354" s="40"/>
      <c r="N354" s="29"/>
      <c r="O354" s="12"/>
      <c r="P354" s="39"/>
      <c r="Q354" s="12"/>
      <c r="R354" s="39"/>
      <c r="S354" s="39"/>
      <c r="T354" s="39"/>
      <c r="U354" s="39"/>
      <c r="V354" s="39"/>
      <c r="W354" s="39"/>
      <c r="X354" s="39"/>
      <c r="Y354" s="39"/>
      <c r="Z354" s="39"/>
      <c r="AA354" s="39"/>
      <c r="AB354" s="39"/>
      <c r="AC354" s="39"/>
    </row>
    <row r="355">
      <c r="A355" s="23"/>
      <c r="B355" s="24"/>
      <c r="C355" s="29"/>
      <c r="D355" s="29"/>
      <c r="E355" s="29"/>
      <c r="F355" s="29"/>
      <c r="G355" s="29"/>
      <c r="H355" s="12"/>
      <c r="I355" s="12"/>
      <c r="J355" s="12"/>
      <c r="K355" s="39"/>
      <c r="L355" s="12"/>
      <c r="M355" s="40"/>
      <c r="N355" s="29"/>
      <c r="O355" s="12"/>
      <c r="P355" s="39"/>
      <c r="Q355" s="12"/>
      <c r="R355" s="39"/>
      <c r="S355" s="39"/>
      <c r="T355" s="39"/>
      <c r="U355" s="39"/>
      <c r="V355" s="39"/>
      <c r="W355" s="39"/>
      <c r="X355" s="39"/>
      <c r="Y355" s="39"/>
      <c r="Z355" s="39"/>
      <c r="AA355" s="39"/>
      <c r="AB355" s="39"/>
      <c r="AC355" s="39"/>
    </row>
    <row r="356">
      <c r="A356" s="23"/>
      <c r="B356" s="24"/>
      <c r="C356" s="29"/>
      <c r="D356" s="29"/>
      <c r="E356" s="29"/>
      <c r="F356" s="29"/>
      <c r="G356" s="29"/>
      <c r="H356" s="12"/>
      <c r="I356" s="12"/>
      <c r="J356" s="12"/>
      <c r="K356" s="39"/>
      <c r="L356" s="12"/>
      <c r="M356" s="40"/>
      <c r="N356" s="29"/>
      <c r="O356" s="12"/>
      <c r="P356" s="39"/>
      <c r="Q356" s="12"/>
      <c r="R356" s="39"/>
      <c r="S356" s="39"/>
      <c r="T356" s="39"/>
      <c r="U356" s="39"/>
      <c r="V356" s="39"/>
      <c r="W356" s="39"/>
      <c r="X356" s="39"/>
      <c r="Y356" s="39"/>
      <c r="Z356" s="39"/>
      <c r="AA356" s="39"/>
      <c r="AB356" s="39"/>
      <c r="AC356" s="39"/>
    </row>
    <row r="357">
      <c r="A357" s="23"/>
      <c r="B357" s="24"/>
      <c r="C357" s="29"/>
      <c r="D357" s="29"/>
      <c r="E357" s="29"/>
      <c r="F357" s="29"/>
      <c r="G357" s="29"/>
      <c r="H357" s="12"/>
      <c r="I357" s="12"/>
      <c r="J357" s="12"/>
      <c r="K357" s="39"/>
      <c r="L357" s="12"/>
      <c r="M357" s="40"/>
      <c r="N357" s="29"/>
      <c r="O357" s="12"/>
      <c r="P357" s="39"/>
      <c r="Q357" s="12"/>
      <c r="R357" s="39"/>
      <c r="S357" s="39"/>
      <c r="T357" s="39"/>
      <c r="U357" s="39"/>
      <c r="V357" s="39"/>
      <c r="W357" s="39"/>
      <c r="X357" s="39"/>
      <c r="Y357" s="39"/>
      <c r="Z357" s="39"/>
      <c r="AA357" s="39"/>
      <c r="AB357" s="39"/>
      <c r="AC357" s="39"/>
    </row>
    <row r="358">
      <c r="A358" s="23"/>
      <c r="B358" s="24"/>
      <c r="C358" s="29"/>
      <c r="D358" s="29"/>
      <c r="E358" s="29"/>
      <c r="F358" s="29"/>
      <c r="G358" s="29"/>
      <c r="H358" s="12"/>
      <c r="I358" s="12"/>
      <c r="J358" s="12"/>
      <c r="K358" s="39"/>
      <c r="L358" s="12"/>
      <c r="M358" s="40"/>
      <c r="N358" s="29"/>
      <c r="O358" s="12"/>
      <c r="P358" s="39"/>
      <c r="Q358" s="12"/>
      <c r="R358" s="39"/>
      <c r="S358" s="39"/>
      <c r="T358" s="39"/>
      <c r="U358" s="39"/>
      <c r="V358" s="39"/>
      <c r="W358" s="39"/>
      <c r="X358" s="39"/>
      <c r="Y358" s="39"/>
      <c r="Z358" s="39"/>
      <c r="AA358" s="39"/>
      <c r="AB358" s="39"/>
      <c r="AC358" s="39"/>
    </row>
    <row r="359">
      <c r="A359" s="23"/>
      <c r="B359" s="24"/>
      <c r="C359" s="29"/>
      <c r="D359" s="29"/>
      <c r="E359" s="29"/>
      <c r="F359" s="29"/>
      <c r="G359" s="29"/>
      <c r="H359" s="12"/>
      <c r="I359" s="12"/>
      <c r="J359" s="12"/>
      <c r="K359" s="39"/>
      <c r="L359" s="12"/>
      <c r="M359" s="40"/>
      <c r="N359" s="29"/>
      <c r="O359" s="12"/>
      <c r="P359" s="39"/>
      <c r="Q359" s="12"/>
      <c r="R359" s="39"/>
      <c r="S359" s="39"/>
      <c r="T359" s="39"/>
      <c r="U359" s="39"/>
      <c r="V359" s="39"/>
      <c r="W359" s="39"/>
      <c r="X359" s="39"/>
      <c r="Y359" s="39"/>
      <c r="Z359" s="39"/>
      <c r="AA359" s="39"/>
      <c r="AB359" s="39"/>
      <c r="AC359" s="39"/>
    </row>
    <row r="360">
      <c r="A360" s="23"/>
      <c r="B360" s="24"/>
      <c r="C360" s="29"/>
      <c r="D360" s="29"/>
      <c r="E360" s="29"/>
      <c r="F360" s="29"/>
      <c r="G360" s="29"/>
      <c r="H360" s="12"/>
      <c r="I360" s="12"/>
      <c r="J360" s="12"/>
      <c r="K360" s="39"/>
      <c r="L360" s="12"/>
      <c r="M360" s="40"/>
      <c r="N360" s="29"/>
      <c r="O360" s="12"/>
      <c r="P360" s="39"/>
      <c r="Q360" s="12"/>
      <c r="R360" s="39"/>
      <c r="S360" s="39"/>
      <c r="T360" s="39"/>
      <c r="U360" s="39"/>
      <c r="V360" s="39"/>
      <c r="W360" s="39"/>
      <c r="X360" s="39"/>
      <c r="Y360" s="39"/>
      <c r="Z360" s="39"/>
      <c r="AA360" s="39"/>
      <c r="AB360" s="39"/>
      <c r="AC360" s="39"/>
    </row>
    <row r="361">
      <c r="A361" s="23"/>
      <c r="B361" s="24"/>
      <c r="C361" s="29"/>
      <c r="D361" s="29"/>
      <c r="E361" s="29"/>
      <c r="F361" s="29"/>
      <c r="G361" s="29"/>
      <c r="H361" s="12"/>
      <c r="I361" s="12"/>
      <c r="J361" s="12"/>
      <c r="K361" s="39"/>
      <c r="L361" s="12"/>
      <c r="M361" s="40"/>
      <c r="N361" s="29"/>
      <c r="O361" s="12"/>
      <c r="P361" s="39"/>
      <c r="Q361" s="12"/>
      <c r="R361" s="39"/>
      <c r="S361" s="39"/>
      <c r="T361" s="39"/>
      <c r="U361" s="39"/>
      <c r="V361" s="39"/>
      <c r="W361" s="39"/>
      <c r="X361" s="39"/>
      <c r="Y361" s="39"/>
      <c r="Z361" s="39"/>
      <c r="AA361" s="39"/>
      <c r="AB361" s="39"/>
      <c r="AC361" s="39"/>
    </row>
    <row r="362">
      <c r="A362" s="23"/>
      <c r="B362" s="24"/>
      <c r="C362" s="29"/>
      <c r="D362" s="29"/>
      <c r="E362" s="29"/>
      <c r="F362" s="29"/>
      <c r="G362" s="29"/>
      <c r="H362" s="12"/>
      <c r="I362" s="12"/>
      <c r="J362" s="12"/>
      <c r="K362" s="39"/>
      <c r="L362" s="12"/>
      <c r="M362" s="40"/>
      <c r="N362" s="29"/>
      <c r="O362" s="12"/>
      <c r="P362" s="39"/>
      <c r="Q362" s="12"/>
      <c r="R362" s="39"/>
      <c r="S362" s="39"/>
      <c r="T362" s="39"/>
      <c r="U362" s="39"/>
      <c r="V362" s="39"/>
      <c r="W362" s="39"/>
      <c r="X362" s="39"/>
      <c r="Y362" s="39"/>
      <c r="Z362" s="39"/>
      <c r="AA362" s="39"/>
      <c r="AB362" s="39"/>
      <c r="AC362" s="39"/>
    </row>
    <row r="363">
      <c r="A363" s="23"/>
      <c r="B363" s="24"/>
      <c r="C363" s="29"/>
      <c r="D363" s="29"/>
      <c r="E363" s="29"/>
      <c r="F363" s="29"/>
      <c r="G363" s="29"/>
      <c r="H363" s="12"/>
      <c r="I363" s="12"/>
      <c r="J363" s="12"/>
      <c r="K363" s="39"/>
      <c r="L363" s="12"/>
      <c r="M363" s="40"/>
      <c r="N363" s="29"/>
      <c r="O363" s="12"/>
      <c r="P363" s="39"/>
      <c r="Q363" s="12"/>
      <c r="R363" s="39"/>
      <c r="S363" s="39"/>
      <c r="T363" s="39"/>
      <c r="U363" s="39"/>
      <c r="V363" s="39"/>
      <c r="W363" s="39"/>
      <c r="X363" s="39"/>
      <c r="Y363" s="39"/>
      <c r="Z363" s="39"/>
      <c r="AA363" s="39"/>
      <c r="AB363" s="39"/>
      <c r="AC363" s="39"/>
    </row>
    <row r="364">
      <c r="A364" s="23"/>
      <c r="B364" s="24"/>
      <c r="C364" s="29"/>
      <c r="D364" s="29"/>
      <c r="E364" s="29"/>
      <c r="F364" s="29"/>
      <c r="G364" s="29"/>
      <c r="H364" s="12"/>
      <c r="I364" s="12"/>
      <c r="J364" s="12"/>
      <c r="K364" s="39"/>
      <c r="L364" s="12"/>
      <c r="M364" s="40"/>
      <c r="N364" s="29"/>
      <c r="O364" s="12"/>
      <c r="P364" s="39"/>
      <c r="Q364" s="12"/>
      <c r="R364" s="39"/>
      <c r="S364" s="39"/>
      <c r="T364" s="39"/>
      <c r="U364" s="39"/>
      <c r="V364" s="39"/>
      <c r="W364" s="39"/>
      <c r="X364" s="39"/>
      <c r="Y364" s="39"/>
      <c r="Z364" s="39"/>
      <c r="AA364" s="39"/>
      <c r="AB364" s="39"/>
      <c r="AC364" s="39"/>
    </row>
    <row r="365">
      <c r="A365" s="23"/>
      <c r="B365" s="24"/>
      <c r="C365" s="29"/>
      <c r="D365" s="29"/>
      <c r="E365" s="29"/>
      <c r="F365" s="29"/>
      <c r="G365" s="29"/>
      <c r="H365" s="12"/>
      <c r="I365" s="12"/>
      <c r="J365" s="12"/>
      <c r="K365" s="39"/>
      <c r="L365" s="12"/>
      <c r="M365" s="40"/>
      <c r="N365" s="29"/>
      <c r="O365" s="12"/>
      <c r="P365" s="39"/>
      <c r="Q365" s="12"/>
      <c r="R365" s="39"/>
      <c r="S365" s="39"/>
      <c r="T365" s="39"/>
      <c r="U365" s="39"/>
      <c r="V365" s="39"/>
      <c r="W365" s="39"/>
      <c r="X365" s="39"/>
      <c r="Y365" s="39"/>
      <c r="Z365" s="39"/>
      <c r="AA365" s="39"/>
      <c r="AB365" s="39"/>
      <c r="AC365" s="39"/>
    </row>
    <row r="366">
      <c r="A366" s="23"/>
      <c r="B366" s="24"/>
      <c r="C366" s="29"/>
      <c r="D366" s="29"/>
      <c r="E366" s="29"/>
      <c r="F366" s="29"/>
      <c r="G366" s="29"/>
      <c r="H366" s="12"/>
      <c r="I366" s="12"/>
      <c r="J366" s="12"/>
      <c r="K366" s="39"/>
      <c r="L366" s="12"/>
      <c r="M366" s="40"/>
      <c r="N366" s="29"/>
      <c r="O366" s="12"/>
      <c r="P366" s="39"/>
      <c r="Q366" s="12"/>
      <c r="R366" s="39"/>
      <c r="S366" s="39"/>
      <c r="T366" s="39"/>
      <c r="U366" s="39"/>
      <c r="V366" s="39"/>
      <c r="W366" s="39"/>
      <c r="X366" s="39"/>
      <c r="Y366" s="39"/>
      <c r="Z366" s="39"/>
      <c r="AA366" s="39"/>
      <c r="AB366" s="39"/>
      <c r="AC366" s="39"/>
    </row>
    <row r="367">
      <c r="A367" s="23"/>
      <c r="B367" s="24"/>
      <c r="C367" s="29"/>
      <c r="D367" s="29"/>
      <c r="E367" s="29"/>
      <c r="F367" s="29"/>
      <c r="G367" s="29"/>
      <c r="H367" s="12"/>
      <c r="I367" s="12"/>
      <c r="J367" s="12"/>
      <c r="K367" s="39"/>
      <c r="L367" s="12"/>
      <c r="M367" s="40"/>
      <c r="N367" s="29"/>
      <c r="O367" s="12"/>
      <c r="P367" s="39"/>
      <c r="Q367" s="12"/>
      <c r="R367" s="39"/>
      <c r="S367" s="39"/>
      <c r="T367" s="39"/>
      <c r="U367" s="39"/>
      <c r="V367" s="39"/>
      <c r="W367" s="39"/>
      <c r="X367" s="39"/>
      <c r="Y367" s="39"/>
      <c r="Z367" s="39"/>
      <c r="AA367" s="39"/>
      <c r="AB367" s="39"/>
      <c r="AC367" s="39"/>
    </row>
    <row r="368">
      <c r="A368" s="23"/>
      <c r="B368" s="24"/>
      <c r="C368" s="29"/>
      <c r="D368" s="29"/>
      <c r="E368" s="29"/>
      <c r="F368" s="29"/>
      <c r="G368" s="29"/>
      <c r="H368" s="12"/>
      <c r="I368" s="12"/>
      <c r="J368" s="12"/>
      <c r="K368" s="39"/>
      <c r="L368" s="12"/>
      <c r="M368" s="40"/>
      <c r="N368" s="29"/>
      <c r="O368" s="12"/>
      <c r="P368" s="39"/>
      <c r="Q368" s="12"/>
      <c r="R368" s="39"/>
      <c r="S368" s="39"/>
      <c r="T368" s="39"/>
      <c r="U368" s="39"/>
      <c r="V368" s="39"/>
      <c r="W368" s="39"/>
      <c r="X368" s="39"/>
      <c r="Y368" s="39"/>
      <c r="Z368" s="39"/>
      <c r="AA368" s="39"/>
      <c r="AB368" s="39"/>
      <c r="AC368" s="39"/>
    </row>
    <row r="369">
      <c r="A369" s="23"/>
      <c r="B369" s="24"/>
      <c r="C369" s="29"/>
      <c r="D369" s="29"/>
      <c r="E369" s="29"/>
      <c r="F369" s="29"/>
      <c r="G369" s="29"/>
      <c r="H369" s="12"/>
      <c r="I369" s="12"/>
      <c r="J369" s="12"/>
      <c r="K369" s="39"/>
      <c r="L369" s="12"/>
      <c r="M369" s="40"/>
      <c r="N369" s="29"/>
      <c r="O369" s="12"/>
      <c r="P369" s="39"/>
      <c r="Q369" s="12"/>
      <c r="R369" s="39"/>
      <c r="S369" s="39"/>
      <c r="T369" s="39"/>
      <c r="U369" s="39"/>
      <c r="V369" s="39"/>
      <c r="W369" s="39"/>
      <c r="X369" s="39"/>
      <c r="Y369" s="39"/>
      <c r="Z369" s="39"/>
      <c r="AA369" s="39"/>
      <c r="AB369" s="39"/>
      <c r="AC369" s="39"/>
    </row>
    <row r="370">
      <c r="A370" s="23"/>
      <c r="B370" s="24"/>
      <c r="C370" s="29"/>
      <c r="D370" s="29"/>
      <c r="E370" s="29"/>
      <c r="F370" s="29"/>
      <c r="G370" s="29"/>
      <c r="H370" s="12"/>
      <c r="I370" s="12"/>
      <c r="J370" s="12"/>
      <c r="K370" s="39"/>
      <c r="L370" s="12"/>
      <c r="M370" s="40"/>
      <c r="N370" s="29"/>
      <c r="O370" s="12"/>
      <c r="P370" s="39"/>
      <c r="Q370" s="12"/>
      <c r="R370" s="39"/>
      <c r="S370" s="39"/>
      <c r="T370" s="39"/>
      <c r="U370" s="39"/>
      <c r="V370" s="39"/>
      <c r="W370" s="39"/>
      <c r="X370" s="39"/>
      <c r="Y370" s="39"/>
      <c r="Z370" s="39"/>
      <c r="AA370" s="39"/>
      <c r="AB370" s="39"/>
      <c r="AC370" s="39"/>
    </row>
    <row r="371">
      <c r="A371" s="23"/>
      <c r="B371" s="24"/>
      <c r="C371" s="29"/>
      <c r="D371" s="29"/>
      <c r="E371" s="29"/>
      <c r="F371" s="29"/>
      <c r="G371" s="29"/>
      <c r="H371" s="12"/>
      <c r="I371" s="12"/>
      <c r="J371" s="12"/>
      <c r="K371" s="39"/>
      <c r="L371" s="12"/>
      <c r="M371" s="40"/>
      <c r="N371" s="29"/>
      <c r="O371" s="12"/>
      <c r="P371" s="39"/>
      <c r="Q371" s="12"/>
      <c r="R371" s="39"/>
      <c r="S371" s="39"/>
      <c r="T371" s="39"/>
      <c r="U371" s="39"/>
      <c r="V371" s="39"/>
      <c r="W371" s="39"/>
      <c r="X371" s="39"/>
      <c r="Y371" s="39"/>
      <c r="Z371" s="39"/>
      <c r="AA371" s="39"/>
      <c r="AB371" s="39"/>
      <c r="AC371" s="39"/>
    </row>
    <row r="372">
      <c r="A372" s="23"/>
      <c r="B372" s="24"/>
      <c r="C372" s="29"/>
      <c r="D372" s="29"/>
      <c r="E372" s="29"/>
      <c r="F372" s="29"/>
      <c r="G372" s="29"/>
      <c r="H372" s="12"/>
      <c r="I372" s="12"/>
      <c r="J372" s="12"/>
      <c r="K372" s="39"/>
      <c r="L372" s="12"/>
      <c r="M372" s="40"/>
      <c r="N372" s="29"/>
      <c r="O372" s="12"/>
      <c r="P372" s="39"/>
      <c r="Q372" s="12"/>
      <c r="R372" s="39"/>
      <c r="S372" s="39"/>
      <c r="T372" s="39"/>
      <c r="U372" s="39"/>
      <c r="V372" s="39"/>
      <c r="W372" s="39"/>
      <c r="X372" s="39"/>
      <c r="Y372" s="39"/>
      <c r="Z372" s="39"/>
      <c r="AA372" s="39"/>
      <c r="AB372" s="39"/>
      <c r="AC372" s="39"/>
    </row>
    <row r="373">
      <c r="A373" s="23"/>
      <c r="B373" s="24"/>
      <c r="C373" s="29"/>
      <c r="D373" s="29"/>
      <c r="E373" s="29"/>
      <c r="F373" s="29"/>
      <c r="G373" s="29"/>
      <c r="H373" s="12"/>
      <c r="I373" s="12"/>
      <c r="J373" s="12"/>
      <c r="K373" s="39"/>
      <c r="L373" s="12"/>
      <c r="M373" s="40"/>
      <c r="N373" s="29"/>
      <c r="O373" s="12"/>
      <c r="P373" s="39"/>
      <c r="Q373" s="12"/>
      <c r="R373" s="39"/>
      <c r="S373" s="39"/>
      <c r="T373" s="39"/>
      <c r="U373" s="39"/>
      <c r="V373" s="39"/>
      <c r="W373" s="39"/>
      <c r="X373" s="39"/>
      <c r="Y373" s="39"/>
      <c r="Z373" s="39"/>
      <c r="AA373" s="39"/>
      <c r="AB373" s="39"/>
      <c r="AC373" s="39"/>
    </row>
    <row r="374">
      <c r="A374" s="23"/>
      <c r="B374" s="24"/>
      <c r="C374" s="29"/>
      <c r="D374" s="29"/>
      <c r="E374" s="29"/>
      <c r="F374" s="29"/>
      <c r="G374" s="29"/>
      <c r="H374" s="12"/>
      <c r="I374" s="12"/>
      <c r="J374" s="12"/>
      <c r="K374" s="39"/>
      <c r="L374" s="12"/>
      <c r="M374" s="40"/>
      <c r="N374" s="29"/>
      <c r="O374" s="12"/>
      <c r="P374" s="39"/>
      <c r="Q374" s="12"/>
      <c r="R374" s="39"/>
      <c r="S374" s="39"/>
      <c r="T374" s="39"/>
      <c r="U374" s="39"/>
      <c r="V374" s="39"/>
      <c r="W374" s="39"/>
      <c r="X374" s="39"/>
      <c r="Y374" s="39"/>
      <c r="Z374" s="39"/>
      <c r="AA374" s="39"/>
      <c r="AB374" s="39"/>
      <c r="AC374" s="39"/>
    </row>
    <row r="375">
      <c r="A375" s="23"/>
      <c r="B375" s="24"/>
      <c r="C375" s="29"/>
      <c r="D375" s="29"/>
      <c r="E375" s="29"/>
      <c r="F375" s="29"/>
      <c r="G375" s="29"/>
      <c r="H375" s="12"/>
      <c r="I375" s="12"/>
      <c r="J375" s="12"/>
      <c r="K375" s="39"/>
      <c r="L375" s="12"/>
      <c r="M375" s="40"/>
      <c r="N375" s="29"/>
      <c r="O375" s="12"/>
      <c r="P375" s="39"/>
      <c r="Q375" s="12"/>
      <c r="R375" s="39"/>
      <c r="S375" s="39"/>
      <c r="T375" s="39"/>
      <c r="U375" s="39"/>
      <c r="V375" s="39"/>
      <c r="W375" s="39"/>
      <c r="X375" s="39"/>
      <c r="Y375" s="39"/>
      <c r="Z375" s="39"/>
      <c r="AA375" s="39"/>
      <c r="AB375" s="39"/>
      <c r="AC375" s="39"/>
    </row>
    <row r="376">
      <c r="A376" s="23"/>
      <c r="B376" s="24"/>
      <c r="C376" s="29"/>
      <c r="D376" s="29"/>
      <c r="E376" s="29"/>
      <c r="F376" s="29"/>
      <c r="G376" s="29"/>
      <c r="H376" s="12"/>
      <c r="I376" s="12"/>
      <c r="J376" s="12"/>
      <c r="K376" s="39"/>
      <c r="L376" s="12"/>
      <c r="M376" s="40"/>
      <c r="N376" s="29"/>
      <c r="O376" s="12"/>
      <c r="P376" s="39"/>
      <c r="Q376" s="12"/>
      <c r="R376" s="39"/>
      <c r="S376" s="39"/>
      <c r="T376" s="39"/>
      <c r="U376" s="39"/>
      <c r="V376" s="39"/>
      <c r="W376" s="39"/>
      <c r="X376" s="39"/>
      <c r="Y376" s="39"/>
      <c r="Z376" s="39"/>
      <c r="AA376" s="39"/>
      <c r="AB376" s="39"/>
      <c r="AC376" s="39"/>
    </row>
    <row r="377">
      <c r="A377" s="23"/>
      <c r="B377" s="24"/>
      <c r="C377" s="29"/>
      <c r="D377" s="29"/>
      <c r="E377" s="29"/>
      <c r="F377" s="29"/>
      <c r="G377" s="29"/>
      <c r="H377" s="12"/>
      <c r="I377" s="12"/>
      <c r="J377" s="12"/>
      <c r="K377" s="39"/>
      <c r="L377" s="12"/>
      <c r="M377" s="40"/>
      <c r="N377" s="29"/>
      <c r="O377" s="12"/>
      <c r="P377" s="39"/>
      <c r="Q377" s="12"/>
      <c r="R377" s="39"/>
      <c r="S377" s="39"/>
      <c r="T377" s="39"/>
      <c r="U377" s="39"/>
      <c r="V377" s="39"/>
      <c r="W377" s="39"/>
      <c r="X377" s="39"/>
      <c r="Y377" s="39"/>
      <c r="Z377" s="39"/>
      <c r="AA377" s="39"/>
      <c r="AB377" s="39"/>
      <c r="AC377" s="39"/>
    </row>
    <row r="378">
      <c r="A378" s="23"/>
      <c r="B378" s="24"/>
      <c r="C378" s="29"/>
      <c r="D378" s="29"/>
      <c r="E378" s="29"/>
      <c r="F378" s="29"/>
      <c r="G378" s="29"/>
      <c r="H378" s="12"/>
      <c r="I378" s="12"/>
      <c r="J378" s="12"/>
      <c r="K378" s="39"/>
      <c r="L378" s="12"/>
      <c r="M378" s="40"/>
      <c r="N378" s="29"/>
      <c r="O378" s="12"/>
      <c r="P378" s="39"/>
      <c r="Q378" s="12"/>
      <c r="R378" s="39"/>
      <c r="S378" s="39"/>
      <c r="T378" s="39"/>
      <c r="U378" s="39"/>
      <c r="V378" s="39"/>
      <c r="W378" s="39"/>
      <c r="X378" s="39"/>
      <c r="Y378" s="39"/>
      <c r="Z378" s="39"/>
      <c r="AA378" s="39"/>
      <c r="AB378" s="39"/>
      <c r="AC378" s="39"/>
    </row>
    <row r="379">
      <c r="A379" s="23"/>
      <c r="B379" s="24"/>
      <c r="C379" s="29"/>
      <c r="D379" s="29"/>
      <c r="E379" s="29"/>
      <c r="F379" s="29"/>
      <c r="G379" s="29"/>
      <c r="H379" s="12"/>
      <c r="I379" s="12"/>
      <c r="J379" s="12"/>
      <c r="K379" s="39"/>
      <c r="L379" s="12"/>
      <c r="M379" s="40"/>
      <c r="N379" s="29"/>
      <c r="O379" s="12"/>
      <c r="P379" s="39"/>
      <c r="Q379" s="12"/>
      <c r="R379" s="39"/>
      <c r="S379" s="39"/>
      <c r="T379" s="39"/>
      <c r="U379" s="39"/>
      <c r="V379" s="39"/>
      <c r="W379" s="39"/>
      <c r="X379" s="39"/>
      <c r="Y379" s="39"/>
      <c r="Z379" s="39"/>
      <c r="AA379" s="39"/>
      <c r="AB379" s="39"/>
      <c r="AC379" s="39"/>
    </row>
    <row r="380">
      <c r="A380" s="23"/>
      <c r="B380" s="24"/>
      <c r="C380" s="29"/>
      <c r="D380" s="29"/>
      <c r="E380" s="29"/>
      <c r="F380" s="29"/>
      <c r="G380" s="29"/>
      <c r="H380" s="12"/>
      <c r="I380" s="12"/>
      <c r="J380" s="12"/>
      <c r="K380" s="39"/>
      <c r="L380" s="12"/>
      <c r="M380" s="40"/>
      <c r="N380" s="29"/>
      <c r="O380" s="12"/>
      <c r="P380" s="39"/>
      <c r="Q380" s="12"/>
      <c r="R380" s="39"/>
      <c r="S380" s="39"/>
      <c r="T380" s="39"/>
      <c r="U380" s="39"/>
      <c r="V380" s="39"/>
      <c r="W380" s="39"/>
      <c r="X380" s="39"/>
      <c r="Y380" s="39"/>
      <c r="Z380" s="39"/>
      <c r="AA380" s="39"/>
      <c r="AB380" s="39"/>
      <c r="AC380" s="39"/>
    </row>
    <row r="381">
      <c r="A381" s="23"/>
      <c r="B381" s="24"/>
      <c r="C381" s="29"/>
      <c r="D381" s="29"/>
      <c r="E381" s="29"/>
      <c r="F381" s="29"/>
      <c r="G381" s="29"/>
      <c r="H381" s="12"/>
      <c r="I381" s="12"/>
      <c r="J381" s="12"/>
      <c r="K381" s="39"/>
      <c r="L381" s="12"/>
      <c r="M381" s="40"/>
      <c r="N381" s="29"/>
      <c r="O381" s="12"/>
      <c r="P381" s="39"/>
      <c r="Q381" s="12"/>
      <c r="R381" s="39"/>
      <c r="S381" s="39"/>
      <c r="T381" s="39"/>
      <c r="U381" s="39"/>
      <c r="V381" s="39"/>
      <c r="W381" s="39"/>
      <c r="X381" s="39"/>
      <c r="Y381" s="39"/>
      <c r="Z381" s="39"/>
      <c r="AA381" s="39"/>
      <c r="AB381" s="39"/>
      <c r="AC381" s="39"/>
    </row>
    <row r="382">
      <c r="A382" s="23"/>
      <c r="B382" s="24"/>
      <c r="C382" s="29"/>
      <c r="D382" s="29"/>
      <c r="E382" s="29"/>
      <c r="F382" s="29"/>
      <c r="G382" s="29"/>
      <c r="H382" s="12"/>
      <c r="I382" s="12"/>
      <c r="J382" s="12"/>
      <c r="K382" s="39"/>
      <c r="L382" s="12"/>
      <c r="M382" s="40"/>
      <c r="N382" s="29"/>
      <c r="O382" s="12"/>
      <c r="P382" s="39"/>
      <c r="Q382" s="12"/>
      <c r="R382" s="39"/>
      <c r="S382" s="39"/>
      <c r="T382" s="39"/>
      <c r="U382" s="39"/>
      <c r="V382" s="39"/>
      <c r="W382" s="39"/>
      <c r="X382" s="39"/>
      <c r="Y382" s="39"/>
      <c r="Z382" s="39"/>
      <c r="AA382" s="39"/>
      <c r="AB382" s="39"/>
      <c r="AC382" s="39"/>
    </row>
    <row r="383">
      <c r="A383" s="23"/>
      <c r="B383" s="24"/>
      <c r="C383" s="29"/>
      <c r="D383" s="29"/>
      <c r="E383" s="29"/>
      <c r="F383" s="29"/>
      <c r="G383" s="29"/>
      <c r="H383" s="12"/>
      <c r="I383" s="12"/>
      <c r="J383" s="12"/>
      <c r="K383" s="39"/>
      <c r="L383" s="12"/>
      <c r="M383" s="40"/>
      <c r="N383" s="29"/>
      <c r="O383" s="12"/>
      <c r="P383" s="39"/>
      <c r="Q383" s="12"/>
      <c r="R383" s="39"/>
      <c r="S383" s="39"/>
      <c r="T383" s="39"/>
      <c r="U383" s="39"/>
      <c r="V383" s="39"/>
      <c r="W383" s="39"/>
      <c r="X383" s="39"/>
      <c r="Y383" s="39"/>
      <c r="Z383" s="39"/>
      <c r="AA383" s="39"/>
      <c r="AB383" s="39"/>
      <c r="AC383" s="39"/>
    </row>
    <row r="384">
      <c r="A384" s="23"/>
      <c r="B384" s="24"/>
      <c r="C384" s="29"/>
      <c r="D384" s="29"/>
      <c r="E384" s="29"/>
      <c r="F384" s="29"/>
      <c r="G384" s="29"/>
      <c r="H384" s="12"/>
      <c r="I384" s="12"/>
      <c r="J384" s="12"/>
      <c r="K384" s="39"/>
      <c r="L384" s="12"/>
      <c r="M384" s="40"/>
      <c r="N384" s="29"/>
      <c r="O384" s="12"/>
      <c r="P384" s="39"/>
      <c r="Q384" s="12"/>
      <c r="R384" s="39"/>
      <c r="S384" s="39"/>
      <c r="T384" s="39"/>
      <c r="U384" s="39"/>
      <c r="V384" s="39"/>
      <c r="W384" s="39"/>
      <c r="X384" s="39"/>
      <c r="Y384" s="39"/>
      <c r="Z384" s="39"/>
      <c r="AA384" s="39"/>
      <c r="AB384" s="39"/>
      <c r="AC384" s="39"/>
    </row>
    <row r="385">
      <c r="A385" s="23"/>
      <c r="B385" s="24"/>
      <c r="C385" s="29"/>
      <c r="D385" s="29"/>
      <c r="E385" s="29"/>
      <c r="F385" s="29"/>
      <c r="G385" s="29"/>
      <c r="H385" s="12"/>
      <c r="I385" s="12"/>
      <c r="J385" s="12"/>
      <c r="K385" s="39"/>
      <c r="L385" s="12"/>
      <c r="M385" s="40"/>
      <c r="N385" s="29"/>
      <c r="O385" s="12"/>
      <c r="P385" s="39"/>
      <c r="Q385" s="12"/>
      <c r="R385" s="39"/>
      <c r="S385" s="39"/>
      <c r="T385" s="39"/>
      <c r="U385" s="39"/>
      <c r="V385" s="39"/>
      <c r="W385" s="39"/>
      <c r="X385" s="39"/>
      <c r="Y385" s="39"/>
      <c r="Z385" s="39"/>
      <c r="AA385" s="39"/>
      <c r="AB385" s="39"/>
      <c r="AC385" s="39"/>
    </row>
    <row r="386">
      <c r="A386" s="23"/>
      <c r="B386" s="24"/>
      <c r="C386" s="29"/>
      <c r="D386" s="29"/>
      <c r="E386" s="29"/>
      <c r="F386" s="29"/>
      <c r="G386" s="29"/>
      <c r="H386" s="12"/>
      <c r="I386" s="12"/>
      <c r="J386" s="12"/>
      <c r="K386" s="39"/>
      <c r="L386" s="12"/>
      <c r="M386" s="40"/>
      <c r="N386" s="29"/>
      <c r="O386" s="12"/>
      <c r="P386" s="39"/>
      <c r="Q386" s="12"/>
      <c r="R386" s="39"/>
      <c r="S386" s="39"/>
      <c r="T386" s="39"/>
      <c r="U386" s="39"/>
      <c r="V386" s="39"/>
      <c r="W386" s="39"/>
      <c r="X386" s="39"/>
      <c r="Y386" s="39"/>
      <c r="Z386" s="39"/>
      <c r="AA386" s="39"/>
      <c r="AB386" s="39"/>
      <c r="AC386" s="39"/>
    </row>
    <row r="387">
      <c r="A387" s="23"/>
      <c r="B387" s="24"/>
      <c r="C387" s="29"/>
      <c r="D387" s="29"/>
      <c r="E387" s="29"/>
      <c r="F387" s="29"/>
      <c r="G387" s="29"/>
      <c r="H387" s="12"/>
      <c r="I387" s="12"/>
      <c r="J387" s="12"/>
      <c r="K387" s="39"/>
      <c r="L387" s="12"/>
      <c r="M387" s="40"/>
      <c r="N387" s="29"/>
      <c r="O387" s="12"/>
      <c r="P387" s="39"/>
      <c r="Q387" s="12"/>
      <c r="R387" s="39"/>
      <c r="S387" s="39"/>
      <c r="T387" s="39"/>
      <c r="U387" s="39"/>
      <c r="V387" s="39"/>
      <c r="W387" s="39"/>
      <c r="X387" s="39"/>
      <c r="Y387" s="39"/>
      <c r="Z387" s="39"/>
      <c r="AA387" s="39"/>
      <c r="AB387" s="39"/>
      <c r="AC387" s="39"/>
    </row>
    <row r="388">
      <c r="A388" s="23"/>
      <c r="B388" s="24"/>
      <c r="C388" s="29"/>
      <c r="D388" s="29"/>
      <c r="E388" s="29"/>
      <c r="F388" s="29"/>
      <c r="G388" s="29"/>
      <c r="H388" s="12"/>
      <c r="I388" s="12"/>
      <c r="J388" s="12"/>
      <c r="K388" s="39"/>
      <c r="L388" s="12"/>
      <c r="M388" s="40"/>
      <c r="N388" s="29"/>
      <c r="O388" s="12"/>
      <c r="P388" s="39"/>
      <c r="Q388" s="12"/>
      <c r="R388" s="39"/>
      <c r="S388" s="39"/>
      <c r="T388" s="39"/>
      <c r="U388" s="39"/>
      <c r="V388" s="39"/>
      <c r="W388" s="39"/>
      <c r="X388" s="39"/>
      <c r="Y388" s="39"/>
      <c r="Z388" s="39"/>
      <c r="AA388" s="39"/>
      <c r="AB388" s="39"/>
      <c r="AC388" s="39"/>
    </row>
    <row r="389">
      <c r="A389" s="23"/>
      <c r="B389" s="24"/>
      <c r="C389" s="29"/>
      <c r="D389" s="29"/>
      <c r="E389" s="29"/>
      <c r="F389" s="29"/>
      <c r="G389" s="29"/>
      <c r="H389" s="12"/>
      <c r="I389" s="12"/>
      <c r="J389" s="12"/>
      <c r="K389" s="39"/>
      <c r="L389" s="12"/>
      <c r="M389" s="40"/>
      <c r="N389" s="29"/>
      <c r="O389" s="12"/>
      <c r="P389" s="39"/>
      <c r="Q389" s="12"/>
      <c r="R389" s="39"/>
      <c r="S389" s="39"/>
      <c r="T389" s="39"/>
      <c r="U389" s="39"/>
      <c r="V389" s="39"/>
      <c r="W389" s="39"/>
      <c r="X389" s="39"/>
      <c r="Y389" s="39"/>
      <c r="Z389" s="39"/>
      <c r="AA389" s="39"/>
      <c r="AB389" s="39"/>
      <c r="AC389" s="39"/>
    </row>
    <row r="390">
      <c r="A390" s="23"/>
      <c r="B390" s="24"/>
      <c r="C390" s="29"/>
      <c r="D390" s="29"/>
      <c r="E390" s="29"/>
      <c r="F390" s="29"/>
      <c r="G390" s="29"/>
      <c r="H390" s="12"/>
      <c r="I390" s="12"/>
      <c r="J390" s="12"/>
      <c r="K390" s="39"/>
      <c r="L390" s="12"/>
      <c r="M390" s="40"/>
      <c r="N390" s="29"/>
      <c r="O390" s="12"/>
      <c r="P390" s="39"/>
      <c r="Q390" s="12"/>
      <c r="R390" s="39"/>
      <c r="S390" s="39"/>
      <c r="T390" s="39"/>
      <c r="U390" s="39"/>
      <c r="V390" s="39"/>
      <c r="W390" s="39"/>
      <c r="X390" s="39"/>
      <c r="Y390" s="39"/>
      <c r="Z390" s="39"/>
      <c r="AA390" s="39"/>
      <c r="AB390" s="39"/>
      <c r="AC390" s="39"/>
    </row>
    <row r="391">
      <c r="A391" s="23"/>
      <c r="B391" s="24"/>
      <c r="C391" s="29"/>
      <c r="D391" s="29"/>
      <c r="E391" s="29"/>
      <c r="F391" s="29"/>
      <c r="G391" s="29"/>
      <c r="H391" s="12"/>
      <c r="I391" s="12"/>
      <c r="J391" s="12"/>
      <c r="K391" s="39"/>
      <c r="L391" s="12"/>
      <c r="M391" s="40"/>
      <c r="N391" s="29"/>
      <c r="O391" s="12"/>
      <c r="P391" s="39"/>
      <c r="Q391" s="12"/>
      <c r="R391" s="39"/>
      <c r="S391" s="39"/>
      <c r="T391" s="39"/>
      <c r="U391" s="39"/>
      <c r="V391" s="39"/>
      <c r="W391" s="39"/>
      <c r="X391" s="39"/>
      <c r="Y391" s="39"/>
      <c r="Z391" s="39"/>
      <c r="AA391" s="39"/>
      <c r="AB391" s="39"/>
      <c r="AC391" s="39"/>
    </row>
    <row r="392">
      <c r="A392" s="23"/>
      <c r="B392" s="24"/>
      <c r="C392" s="29"/>
      <c r="D392" s="29"/>
      <c r="E392" s="29"/>
      <c r="F392" s="29"/>
      <c r="G392" s="29"/>
      <c r="H392" s="12"/>
      <c r="I392" s="12"/>
      <c r="J392" s="12"/>
      <c r="K392" s="39"/>
      <c r="L392" s="12"/>
      <c r="M392" s="40"/>
      <c r="N392" s="29"/>
      <c r="O392" s="12"/>
      <c r="P392" s="39"/>
      <c r="Q392" s="12"/>
      <c r="R392" s="39"/>
      <c r="S392" s="39"/>
      <c r="T392" s="39"/>
      <c r="U392" s="39"/>
      <c r="V392" s="39"/>
      <c r="W392" s="39"/>
      <c r="X392" s="39"/>
      <c r="Y392" s="39"/>
      <c r="Z392" s="39"/>
      <c r="AA392" s="39"/>
      <c r="AB392" s="39"/>
      <c r="AC392" s="39"/>
    </row>
    <row r="393">
      <c r="A393" s="23"/>
      <c r="B393" s="24"/>
      <c r="C393" s="29"/>
      <c r="D393" s="29"/>
      <c r="E393" s="29"/>
      <c r="F393" s="29"/>
      <c r="G393" s="29"/>
      <c r="H393" s="12"/>
      <c r="I393" s="12"/>
      <c r="J393" s="12"/>
      <c r="K393" s="39"/>
      <c r="L393" s="12"/>
      <c r="M393" s="40"/>
      <c r="N393" s="29"/>
      <c r="O393" s="12"/>
      <c r="P393" s="39"/>
      <c r="Q393" s="12"/>
      <c r="R393" s="39"/>
      <c r="S393" s="39"/>
      <c r="T393" s="39"/>
      <c r="U393" s="39"/>
      <c r="V393" s="39"/>
      <c r="W393" s="39"/>
      <c r="X393" s="39"/>
      <c r="Y393" s="39"/>
      <c r="Z393" s="39"/>
      <c r="AA393" s="39"/>
      <c r="AB393" s="39"/>
      <c r="AC393" s="39"/>
    </row>
    <row r="394">
      <c r="A394" s="23"/>
      <c r="B394" s="24"/>
      <c r="C394" s="29"/>
      <c r="D394" s="29"/>
      <c r="E394" s="29"/>
      <c r="F394" s="29"/>
      <c r="G394" s="29"/>
      <c r="H394" s="12"/>
      <c r="I394" s="12"/>
      <c r="J394" s="12"/>
      <c r="K394" s="39"/>
      <c r="L394" s="12"/>
      <c r="M394" s="40"/>
      <c r="N394" s="29"/>
      <c r="O394" s="12"/>
      <c r="P394" s="39"/>
      <c r="Q394" s="12"/>
      <c r="R394" s="39"/>
      <c r="S394" s="39"/>
      <c r="T394" s="39"/>
      <c r="U394" s="39"/>
      <c r="V394" s="39"/>
      <c r="W394" s="39"/>
      <c r="X394" s="39"/>
      <c r="Y394" s="39"/>
      <c r="Z394" s="39"/>
      <c r="AA394" s="39"/>
      <c r="AB394" s="39"/>
      <c r="AC394" s="39"/>
    </row>
    <row r="395">
      <c r="A395" s="23"/>
      <c r="B395" s="24"/>
      <c r="C395" s="29"/>
      <c r="D395" s="29"/>
      <c r="E395" s="29"/>
      <c r="F395" s="29"/>
      <c r="G395" s="29"/>
      <c r="H395" s="12"/>
      <c r="I395" s="12"/>
      <c r="J395" s="12"/>
      <c r="K395" s="39"/>
      <c r="L395" s="12"/>
      <c r="M395" s="40"/>
      <c r="N395" s="29"/>
      <c r="O395" s="12"/>
      <c r="P395" s="39"/>
      <c r="Q395" s="12"/>
      <c r="R395" s="39"/>
      <c r="S395" s="39"/>
      <c r="T395" s="39"/>
      <c r="U395" s="39"/>
      <c r="V395" s="39"/>
      <c r="W395" s="39"/>
      <c r="X395" s="39"/>
      <c r="Y395" s="39"/>
      <c r="Z395" s="39"/>
      <c r="AA395" s="39"/>
      <c r="AB395" s="39"/>
      <c r="AC395" s="39"/>
    </row>
    <row r="396">
      <c r="A396" s="23"/>
      <c r="B396" s="24"/>
      <c r="C396" s="29"/>
      <c r="D396" s="29"/>
      <c r="E396" s="29"/>
      <c r="F396" s="29"/>
      <c r="G396" s="29"/>
      <c r="H396" s="12"/>
      <c r="I396" s="12"/>
      <c r="J396" s="12"/>
      <c r="K396" s="39"/>
      <c r="L396" s="12"/>
      <c r="M396" s="40"/>
      <c r="N396" s="29"/>
      <c r="O396" s="12"/>
      <c r="P396" s="39"/>
      <c r="Q396" s="12"/>
      <c r="R396" s="39"/>
      <c r="S396" s="39"/>
      <c r="T396" s="39"/>
      <c r="U396" s="39"/>
      <c r="V396" s="39"/>
      <c r="W396" s="39"/>
      <c r="X396" s="39"/>
      <c r="Y396" s="39"/>
      <c r="Z396" s="39"/>
      <c r="AA396" s="39"/>
      <c r="AB396" s="39"/>
      <c r="AC396" s="39"/>
    </row>
    <row r="397">
      <c r="A397" s="23"/>
      <c r="B397" s="24"/>
      <c r="C397" s="29"/>
      <c r="D397" s="29"/>
      <c r="E397" s="29"/>
      <c r="F397" s="29"/>
      <c r="G397" s="29"/>
      <c r="H397" s="12"/>
      <c r="I397" s="12"/>
      <c r="J397" s="12"/>
      <c r="K397" s="39"/>
      <c r="L397" s="12"/>
      <c r="M397" s="40"/>
      <c r="N397" s="29"/>
      <c r="O397" s="12"/>
      <c r="P397" s="39"/>
      <c r="Q397" s="12"/>
      <c r="R397" s="39"/>
      <c r="S397" s="39"/>
      <c r="T397" s="39"/>
      <c r="U397" s="39"/>
      <c r="V397" s="39"/>
      <c r="W397" s="39"/>
      <c r="X397" s="39"/>
      <c r="Y397" s="39"/>
      <c r="Z397" s="39"/>
      <c r="AA397" s="39"/>
      <c r="AB397" s="39"/>
      <c r="AC397" s="39"/>
    </row>
    <row r="398">
      <c r="A398" s="23"/>
      <c r="B398" s="24"/>
      <c r="C398" s="29"/>
      <c r="D398" s="29"/>
      <c r="E398" s="29"/>
      <c r="F398" s="29"/>
      <c r="G398" s="29"/>
      <c r="H398" s="12"/>
      <c r="I398" s="12"/>
      <c r="J398" s="12"/>
      <c r="K398" s="39"/>
      <c r="L398" s="12"/>
      <c r="M398" s="40"/>
      <c r="N398" s="29"/>
      <c r="O398" s="12"/>
      <c r="P398" s="39"/>
      <c r="Q398" s="12"/>
      <c r="R398" s="39"/>
      <c r="S398" s="39"/>
      <c r="T398" s="39"/>
      <c r="U398" s="39"/>
      <c r="V398" s="39"/>
      <c r="W398" s="39"/>
      <c r="X398" s="39"/>
      <c r="Y398" s="39"/>
      <c r="Z398" s="39"/>
      <c r="AA398" s="39"/>
      <c r="AB398" s="39"/>
      <c r="AC398" s="39"/>
    </row>
    <row r="399">
      <c r="A399" s="23"/>
      <c r="B399" s="24"/>
      <c r="C399" s="29"/>
      <c r="D399" s="29"/>
      <c r="E399" s="29"/>
      <c r="F399" s="29"/>
      <c r="G399" s="29"/>
      <c r="H399" s="12"/>
      <c r="I399" s="12"/>
      <c r="J399" s="12"/>
      <c r="K399" s="39"/>
      <c r="L399" s="12"/>
      <c r="M399" s="40"/>
      <c r="N399" s="29"/>
      <c r="O399" s="12"/>
      <c r="P399" s="39"/>
      <c r="Q399" s="12"/>
      <c r="R399" s="39"/>
      <c r="S399" s="39"/>
      <c r="T399" s="39"/>
      <c r="U399" s="39"/>
      <c r="V399" s="39"/>
      <c r="W399" s="39"/>
      <c r="X399" s="39"/>
      <c r="Y399" s="39"/>
      <c r="Z399" s="39"/>
      <c r="AA399" s="39"/>
      <c r="AB399" s="39"/>
      <c r="AC399" s="39"/>
    </row>
    <row r="400">
      <c r="A400" s="23"/>
      <c r="B400" s="24"/>
      <c r="C400" s="29"/>
      <c r="D400" s="29"/>
      <c r="E400" s="29"/>
      <c r="F400" s="29"/>
      <c r="G400" s="29"/>
      <c r="H400" s="12"/>
      <c r="I400" s="12"/>
      <c r="J400" s="12"/>
      <c r="K400" s="39"/>
      <c r="L400" s="12"/>
      <c r="M400" s="40"/>
      <c r="N400" s="29"/>
      <c r="O400" s="12"/>
      <c r="P400" s="39"/>
      <c r="Q400" s="12"/>
      <c r="R400" s="39"/>
      <c r="S400" s="39"/>
      <c r="T400" s="39"/>
      <c r="U400" s="39"/>
      <c r="V400" s="39"/>
      <c r="W400" s="39"/>
      <c r="X400" s="39"/>
      <c r="Y400" s="39"/>
      <c r="Z400" s="39"/>
      <c r="AA400" s="39"/>
      <c r="AB400" s="39"/>
      <c r="AC400" s="39"/>
    </row>
    <row r="401">
      <c r="A401" s="23"/>
      <c r="B401" s="24"/>
      <c r="C401" s="29"/>
      <c r="D401" s="29"/>
      <c r="E401" s="29"/>
      <c r="F401" s="29"/>
      <c r="G401" s="29"/>
      <c r="H401" s="12"/>
      <c r="I401" s="12"/>
      <c r="J401" s="12"/>
      <c r="K401" s="39"/>
      <c r="L401" s="12"/>
      <c r="M401" s="40"/>
      <c r="N401" s="29"/>
      <c r="O401" s="12"/>
      <c r="P401" s="39"/>
      <c r="Q401" s="12"/>
      <c r="R401" s="39"/>
      <c r="S401" s="39"/>
      <c r="T401" s="39"/>
      <c r="U401" s="39"/>
      <c r="V401" s="39"/>
      <c r="W401" s="39"/>
      <c r="X401" s="39"/>
      <c r="Y401" s="39"/>
      <c r="Z401" s="39"/>
      <c r="AA401" s="39"/>
      <c r="AB401" s="39"/>
      <c r="AC401" s="39"/>
    </row>
    <row r="402">
      <c r="A402" s="23"/>
      <c r="B402" s="24"/>
      <c r="C402" s="29"/>
      <c r="D402" s="29"/>
      <c r="E402" s="29"/>
      <c r="F402" s="29"/>
      <c r="G402" s="29"/>
      <c r="H402" s="12"/>
      <c r="I402" s="12"/>
      <c r="J402" s="12"/>
      <c r="K402" s="39"/>
      <c r="L402" s="12"/>
      <c r="M402" s="40"/>
      <c r="N402" s="29"/>
      <c r="O402" s="12"/>
      <c r="P402" s="39"/>
      <c r="Q402" s="12"/>
      <c r="R402" s="39"/>
      <c r="S402" s="39"/>
      <c r="T402" s="39"/>
      <c r="U402" s="39"/>
      <c r="V402" s="39"/>
      <c r="W402" s="39"/>
      <c r="X402" s="39"/>
      <c r="Y402" s="39"/>
      <c r="Z402" s="39"/>
      <c r="AA402" s="39"/>
      <c r="AB402" s="39"/>
      <c r="AC402" s="39"/>
    </row>
    <row r="403">
      <c r="A403" s="23"/>
      <c r="B403" s="24"/>
      <c r="C403" s="29"/>
      <c r="D403" s="29"/>
      <c r="E403" s="29"/>
      <c r="F403" s="29"/>
      <c r="G403" s="29"/>
      <c r="H403" s="12"/>
      <c r="I403" s="12"/>
      <c r="J403" s="12"/>
      <c r="K403" s="39"/>
      <c r="L403" s="12"/>
      <c r="M403" s="40"/>
      <c r="N403" s="29"/>
      <c r="O403" s="12"/>
      <c r="P403" s="39"/>
      <c r="Q403" s="12"/>
      <c r="R403" s="39"/>
      <c r="S403" s="39"/>
      <c r="T403" s="39"/>
      <c r="U403" s="39"/>
      <c r="V403" s="39"/>
      <c r="W403" s="39"/>
      <c r="X403" s="39"/>
      <c r="Y403" s="39"/>
      <c r="Z403" s="39"/>
      <c r="AA403" s="39"/>
      <c r="AB403" s="39"/>
      <c r="AC403" s="39"/>
    </row>
    <row r="404">
      <c r="A404" s="23"/>
      <c r="B404" s="24"/>
      <c r="C404" s="29"/>
      <c r="D404" s="29"/>
      <c r="E404" s="29"/>
      <c r="F404" s="29"/>
      <c r="G404" s="29"/>
      <c r="H404" s="12"/>
      <c r="I404" s="12"/>
      <c r="J404" s="12"/>
      <c r="K404" s="39"/>
      <c r="L404" s="12"/>
      <c r="M404" s="40"/>
      <c r="N404" s="29"/>
      <c r="O404" s="12"/>
      <c r="P404" s="39"/>
      <c r="Q404" s="12"/>
      <c r="R404" s="39"/>
      <c r="S404" s="39"/>
      <c r="T404" s="39"/>
      <c r="U404" s="39"/>
      <c r="V404" s="39"/>
      <c r="W404" s="39"/>
      <c r="X404" s="39"/>
      <c r="Y404" s="39"/>
      <c r="Z404" s="39"/>
      <c r="AA404" s="39"/>
      <c r="AB404" s="39"/>
      <c r="AC404" s="39"/>
    </row>
    <row r="405">
      <c r="A405" s="23"/>
      <c r="B405" s="24"/>
      <c r="C405" s="29"/>
      <c r="D405" s="29"/>
      <c r="E405" s="29"/>
      <c r="F405" s="29"/>
      <c r="G405" s="29"/>
      <c r="H405" s="12"/>
      <c r="I405" s="12"/>
      <c r="J405" s="12"/>
      <c r="K405" s="39"/>
      <c r="L405" s="12"/>
      <c r="M405" s="40"/>
      <c r="N405" s="29"/>
      <c r="O405" s="12"/>
      <c r="P405" s="39"/>
      <c r="Q405" s="12"/>
      <c r="R405" s="39"/>
      <c r="S405" s="39"/>
      <c r="T405" s="39"/>
      <c r="U405" s="39"/>
      <c r="V405" s="39"/>
      <c r="W405" s="39"/>
      <c r="X405" s="39"/>
      <c r="Y405" s="39"/>
      <c r="Z405" s="39"/>
      <c r="AA405" s="39"/>
      <c r="AB405" s="39"/>
      <c r="AC405" s="39"/>
    </row>
    <row r="406">
      <c r="A406" s="23"/>
      <c r="B406" s="24"/>
      <c r="C406" s="29"/>
      <c r="D406" s="29"/>
      <c r="E406" s="29"/>
      <c r="F406" s="29"/>
      <c r="G406" s="29"/>
      <c r="H406" s="12"/>
      <c r="I406" s="12"/>
      <c r="J406" s="12"/>
      <c r="K406" s="39"/>
      <c r="L406" s="12"/>
      <c r="M406" s="40"/>
      <c r="N406" s="29"/>
      <c r="O406" s="12"/>
      <c r="P406" s="39"/>
      <c r="Q406" s="12"/>
      <c r="R406" s="39"/>
      <c r="S406" s="39"/>
      <c r="T406" s="39"/>
      <c r="U406" s="39"/>
      <c r="V406" s="39"/>
      <c r="W406" s="39"/>
      <c r="X406" s="39"/>
      <c r="Y406" s="39"/>
      <c r="Z406" s="39"/>
      <c r="AA406" s="39"/>
      <c r="AB406" s="39"/>
      <c r="AC406" s="39"/>
    </row>
    <row r="407">
      <c r="A407" s="23"/>
      <c r="B407" s="24"/>
      <c r="C407" s="29"/>
      <c r="D407" s="29"/>
      <c r="E407" s="29"/>
      <c r="F407" s="29"/>
      <c r="G407" s="29"/>
      <c r="H407" s="12"/>
      <c r="I407" s="12"/>
      <c r="J407" s="12"/>
      <c r="K407" s="39"/>
      <c r="L407" s="12"/>
      <c r="M407" s="40"/>
      <c r="N407" s="29"/>
      <c r="O407" s="12"/>
      <c r="P407" s="39"/>
      <c r="Q407" s="12"/>
      <c r="R407" s="39"/>
      <c r="S407" s="39"/>
      <c r="T407" s="39"/>
      <c r="U407" s="39"/>
      <c r="V407" s="39"/>
      <c r="W407" s="39"/>
      <c r="X407" s="39"/>
      <c r="Y407" s="39"/>
      <c r="Z407" s="39"/>
      <c r="AA407" s="39"/>
      <c r="AB407" s="39"/>
      <c r="AC407" s="39"/>
    </row>
    <row r="408">
      <c r="A408" s="23"/>
      <c r="B408" s="24"/>
      <c r="C408" s="29"/>
      <c r="D408" s="29"/>
      <c r="E408" s="29"/>
      <c r="F408" s="29"/>
      <c r="G408" s="29"/>
      <c r="H408" s="12"/>
      <c r="I408" s="12"/>
      <c r="J408" s="12"/>
      <c r="K408" s="39"/>
      <c r="L408" s="12"/>
      <c r="M408" s="40"/>
      <c r="N408" s="29"/>
      <c r="O408" s="12"/>
      <c r="P408" s="39"/>
      <c r="Q408" s="12"/>
      <c r="R408" s="39"/>
      <c r="S408" s="39"/>
      <c r="T408" s="39"/>
      <c r="U408" s="39"/>
      <c r="V408" s="39"/>
      <c r="W408" s="39"/>
      <c r="X408" s="39"/>
      <c r="Y408" s="39"/>
      <c r="Z408" s="39"/>
      <c r="AA408" s="39"/>
      <c r="AB408" s="39"/>
      <c r="AC408" s="39"/>
    </row>
    <row r="409">
      <c r="A409" s="23"/>
      <c r="B409" s="24"/>
      <c r="C409" s="29"/>
      <c r="D409" s="29"/>
      <c r="E409" s="29"/>
      <c r="F409" s="29"/>
      <c r="G409" s="29"/>
      <c r="H409" s="12"/>
      <c r="I409" s="12"/>
      <c r="J409" s="12"/>
      <c r="K409" s="39"/>
      <c r="L409" s="12"/>
      <c r="M409" s="40"/>
      <c r="N409" s="29"/>
      <c r="O409" s="12"/>
      <c r="P409" s="39"/>
      <c r="Q409" s="12"/>
      <c r="R409" s="39"/>
      <c r="S409" s="39"/>
      <c r="T409" s="39"/>
      <c r="U409" s="39"/>
      <c r="V409" s="39"/>
      <c r="W409" s="39"/>
      <c r="X409" s="39"/>
      <c r="Y409" s="39"/>
      <c r="Z409" s="39"/>
      <c r="AA409" s="39"/>
      <c r="AB409" s="39"/>
      <c r="AC409" s="39"/>
    </row>
    <row r="410">
      <c r="A410" s="23"/>
      <c r="B410" s="24"/>
      <c r="C410" s="29"/>
      <c r="D410" s="29"/>
      <c r="E410" s="29"/>
      <c r="F410" s="29"/>
      <c r="G410" s="29"/>
      <c r="H410" s="12"/>
      <c r="I410" s="12"/>
      <c r="J410" s="12"/>
      <c r="K410" s="39"/>
      <c r="L410" s="12"/>
      <c r="M410" s="40"/>
      <c r="N410" s="29"/>
      <c r="O410" s="12"/>
      <c r="P410" s="39"/>
      <c r="Q410" s="12"/>
      <c r="R410" s="39"/>
      <c r="S410" s="39"/>
      <c r="T410" s="39"/>
      <c r="U410" s="39"/>
      <c r="V410" s="39"/>
      <c r="W410" s="39"/>
      <c r="X410" s="39"/>
      <c r="Y410" s="39"/>
      <c r="Z410" s="39"/>
      <c r="AA410" s="39"/>
      <c r="AB410" s="39"/>
      <c r="AC410" s="39"/>
    </row>
    <row r="411">
      <c r="A411" s="23"/>
      <c r="B411" s="24"/>
      <c r="C411" s="29"/>
      <c r="D411" s="29"/>
      <c r="E411" s="29"/>
      <c r="F411" s="29"/>
      <c r="G411" s="29"/>
      <c r="H411" s="12"/>
      <c r="I411" s="12"/>
      <c r="J411" s="12"/>
      <c r="K411" s="39"/>
      <c r="L411" s="12"/>
      <c r="M411" s="40"/>
      <c r="N411" s="29"/>
      <c r="O411" s="12"/>
      <c r="P411" s="39"/>
      <c r="Q411" s="12"/>
      <c r="R411" s="39"/>
      <c r="S411" s="39"/>
      <c r="T411" s="39"/>
      <c r="U411" s="39"/>
      <c r="V411" s="39"/>
      <c r="W411" s="39"/>
      <c r="X411" s="39"/>
      <c r="Y411" s="39"/>
      <c r="Z411" s="39"/>
      <c r="AA411" s="39"/>
      <c r="AB411" s="39"/>
      <c r="AC411" s="39"/>
    </row>
    <row r="412">
      <c r="A412" s="23"/>
      <c r="B412" s="24"/>
      <c r="C412" s="29"/>
      <c r="D412" s="29"/>
      <c r="E412" s="29"/>
      <c r="F412" s="29"/>
      <c r="G412" s="29"/>
      <c r="H412" s="12"/>
      <c r="I412" s="12"/>
      <c r="J412" s="12"/>
      <c r="K412" s="39"/>
      <c r="L412" s="12"/>
      <c r="M412" s="40"/>
      <c r="N412" s="29"/>
      <c r="O412" s="12"/>
      <c r="P412" s="39"/>
      <c r="Q412" s="12"/>
      <c r="R412" s="39"/>
      <c r="S412" s="39"/>
      <c r="T412" s="39"/>
      <c r="U412" s="39"/>
      <c r="V412" s="39"/>
      <c r="W412" s="39"/>
      <c r="X412" s="39"/>
      <c r="Y412" s="39"/>
      <c r="Z412" s="39"/>
      <c r="AA412" s="39"/>
      <c r="AB412" s="39"/>
      <c r="AC412" s="39"/>
    </row>
    <row r="413">
      <c r="A413" s="23"/>
      <c r="B413" s="24"/>
      <c r="C413" s="29"/>
      <c r="D413" s="29"/>
      <c r="E413" s="29"/>
      <c r="F413" s="29"/>
      <c r="G413" s="29"/>
      <c r="H413" s="12"/>
      <c r="I413" s="12"/>
      <c r="J413" s="12"/>
      <c r="K413" s="39"/>
      <c r="L413" s="12"/>
      <c r="M413" s="40"/>
      <c r="N413" s="29"/>
      <c r="O413" s="12"/>
      <c r="P413" s="39"/>
      <c r="Q413" s="12"/>
      <c r="R413" s="39"/>
      <c r="S413" s="39"/>
      <c r="T413" s="39"/>
      <c r="U413" s="39"/>
      <c r="V413" s="39"/>
      <c r="W413" s="39"/>
      <c r="X413" s="39"/>
      <c r="Y413" s="39"/>
      <c r="Z413" s="39"/>
      <c r="AA413" s="39"/>
      <c r="AB413" s="39"/>
      <c r="AC413" s="39"/>
    </row>
    <row r="414">
      <c r="A414" s="23"/>
      <c r="B414" s="24"/>
      <c r="C414" s="29"/>
      <c r="D414" s="29"/>
      <c r="E414" s="29"/>
      <c r="F414" s="29"/>
      <c r="G414" s="29"/>
      <c r="H414" s="12"/>
      <c r="I414" s="12"/>
      <c r="J414" s="12"/>
      <c r="K414" s="39"/>
      <c r="L414" s="12"/>
      <c r="M414" s="40"/>
      <c r="N414" s="29"/>
      <c r="O414" s="12"/>
      <c r="P414" s="39"/>
      <c r="Q414" s="12"/>
      <c r="R414" s="39"/>
      <c r="S414" s="39"/>
      <c r="T414" s="39"/>
      <c r="U414" s="39"/>
      <c r="V414" s="39"/>
      <c r="W414" s="39"/>
      <c r="X414" s="39"/>
      <c r="Y414" s="39"/>
      <c r="Z414" s="39"/>
      <c r="AA414" s="39"/>
      <c r="AB414" s="39"/>
      <c r="AC414" s="39"/>
    </row>
    <row r="415">
      <c r="A415" s="23"/>
      <c r="B415" s="24"/>
      <c r="C415" s="29"/>
      <c r="D415" s="29"/>
      <c r="E415" s="29"/>
      <c r="F415" s="29"/>
      <c r="G415" s="29"/>
      <c r="H415" s="12"/>
      <c r="I415" s="12"/>
      <c r="J415" s="12"/>
      <c r="K415" s="39"/>
      <c r="L415" s="12"/>
      <c r="M415" s="40"/>
      <c r="N415" s="29"/>
      <c r="O415" s="12"/>
      <c r="P415" s="39"/>
      <c r="Q415" s="12"/>
      <c r="R415" s="39"/>
      <c r="S415" s="39"/>
      <c r="T415" s="39"/>
      <c r="U415" s="39"/>
      <c r="V415" s="39"/>
      <c r="W415" s="39"/>
      <c r="X415" s="39"/>
      <c r="Y415" s="39"/>
      <c r="Z415" s="39"/>
      <c r="AA415" s="39"/>
      <c r="AB415" s="39"/>
      <c r="AC415" s="39"/>
    </row>
    <row r="416">
      <c r="A416" s="23"/>
      <c r="B416" s="24"/>
      <c r="C416" s="29"/>
      <c r="D416" s="29"/>
      <c r="E416" s="29"/>
      <c r="F416" s="29"/>
      <c r="G416" s="29"/>
      <c r="H416" s="12"/>
      <c r="I416" s="12"/>
      <c r="J416" s="12"/>
      <c r="K416" s="39"/>
      <c r="L416" s="12"/>
      <c r="M416" s="40"/>
      <c r="N416" s="29"/>
      <c r="O416" s="12"/>
      <c r="P416" s="39"/>
      <c r="Q416" s="12"/>
      <c r="R416" s="39"/>
      <c r="S416" s="39"/>
      <c r="T416" s="39"/>
      <c r="U416" s="39"/>
      <c r="V416" s="39"/>
      <c r="W416" s="39"/>
      <c r="X416" s="39"/>
      <c r="Y416" s="39"/>
      <c r="Z416" s="39"/>
      <c r="AA416" s="39"/>
      <c r="AB416" s="39"/>
      <c r="AC416" s="39"/>
    </row>
    <row r="417">
      <c r="A417" s="23"/>
      <c r="B417" s="24"/>
      <c r="C417" s="29"/>
      <c r="D417" s="29"/>
      <c r="E417" s="29"/>
      <c r="F417" s="29"/>
      <c r="G417" s="29"/>
      <c r="H417" s="12"/>
      <c r="I417" s="12"/>
      <c r="J417" s="12"/>
      <c r="K417" s="39"/>
      <c r="L417" s="12"/>
      <c r="M417" s="40"/>
      <c r="N417" s="29"/>
      <c r="O417" s="12"/>
      <c r="P417" s="39"/>
      <c r="Q417" s="12"/>
      <c r="R417" s="39"/>
      <c r="S417" s="39"/>
      <c r="T417" s="39"/>
      <c r="U417" s="39"/>
      <c r="V417" s="39"/>
      <c r="W417" s="39"/>
      <c r="X417" s="39"/>
      <c r="Y417" s="39"/>
      <c r="Z417" s="39"/>
      <c r="AA417" s="39"/>
      <c r="AB417" s="39"/>
      <c r="AC417" s="39"/>
    </row>
    <row r="418">
      <c r="A418" s="23"/>
      <c r="B418" s="24"/>
      <c r="C418" s="29"/>
      <c r="D418" s="29"/>
      <c r="E418" s="29"/>
      <c r="F418" s="29"/>
      <c r="G418" s="29"/>
      <c r="H418" s="12"/>
      <c r="I418" s="12"/>
      <c r="J418" s="12"/>
      <c r="K418" s="39"/>
      <c r="L418" s="12"/>
      <c r="M418" s="40"/>
      <c r="N418" s="29"/>
      <c r="O418" s="12"/>
      <c r="P418" s="39"/>
      <c r="Q418" s="12"/>
      <c r="R418" s="39"/>
      <c r="S418" s="39"/>
      <c r="T418" s="39"/>
      <c r="U418" s="39"/>
      <c r="V418" s="39"/>
      <c r="W418" s="39"/>
      <c r="X418" s="39"/>
      <c r="Y418" s="39"/>
      <c r="Z418" s="39"/>
      <c r="AA418" s="39"/>
      <c r="AB418" s="39"/>
      <c r="AC418" s="39"/>
    </row>
    <row r="419">
      <c r="A419" s="23"/>
      <c r="B419" s="24"/>
      <c r="C419" s="29"/>
      <c r="D419" s="29"/>
      <c r="E419" s="29"/>
      <c r="F419" s="29"/>
      <c r="G419" s="29"/>
      <c r="H419" s="12"/>
      <c r="I419" s="12"/>
      <c r="J419" s="12"/>
      <c r="K419" s="39"/>
      <c r="L419" s="12"/>
      <c r="M419" s="40"/>
      <c r="N419" s="29"/>
      <c r="O419" s="12"/>
      <c r="P419" s="39"/>
      <c r="Q419" s="12"/>
      <c r="R419" s="39"/>
      <c r="S419" s="39"/>
      <c r="T419" s="39"/>
      <c r="U419" s="39"/>
      <c r="V419" s="39"/>
      <c r="W419" s="39"/>
      <c r="X419" s="39"/>
      <c r="Y419" s="39"/>
      <c r="Z419" s="39"/>
      <c r="AA419" s="39"/>
      <c r="AB419" s="39"/>
      <c r="AC419" s="39"/>
    </row>
    <row r="420">
      <c r="A420" s="23"/>
      <c r="B420" s="24"/>
      <c r="C420" s="29"/>
      <c r="D420" s="29"/>
      <c r="E420" s="29"/>
      <c r="F420" s="29"/>
      <c r="G420" s="29"/>
      <c r="H420" s="12"/>
      <c r="I420" s="12"/>
      <c r="J420" s="12"/>
      <c r="K420" s="39"/>
      <c r="L420" s="12"/>
      <c r="M420" s="40"/>
      <c r="N420" s="29"/>
      <c r="O420" s="12"/>
      <c r="P420" s="39"/>
      <c r="Q420" s="12"/>
      <c r="R420" s="39"/>
      <c r="S420" s="39"/>
      <c r="T420" s="39"/>
      <c r="U420" s="39"/>
      <c r="V420" s="39"/>
      <c r="W420" s="39"/>
      <c r="X420" s="39"/>
      <c r="Y420" s="39"/>
      <c r="Z420" s="39"/>
      <c r="AA420" s="39"/>
      <c r="AB420" s="39"/>
      <c r="AC420" s="39"/>
    </row>
    <row r="421">
      <c r="A421" s="23"/>
      <c r="B421" s="24"/>
      <c r="C421" s="29"/>
      <c r="D421" s="29"/>
      <c r="E421" s="29"/>
      <c r="F421" s="29"/>
      <c r="G421" s="29"/>
      <c r="H421" s="12"/>
      <c r="I421" s="12"/>
      <c r="J421" s="12"/>
      <c r="K421" s="39"/>
      <c r="L421" s="12"/>
      <c r="M421" s="40"/>
      <c r="N421" s="29"/>
      <c r="O421" s="12"/>
      <c r="P421" s="39"/>
      <c r="Q421" s="12"/>
      <c r="R421" s="39"/>
      <c r="S421" s="39"/>
      <c r="T421" s="39"/>
      <c r="U421" s="39"/>
      <c r="V421" s="39"/>
      <c r="W421" s="39"/>
      <c r="X421" s="39"/>
      <c r="Y421" s="39"/>
      <c r="Z421" s="39"/>
      <c r="AA421" s="39"/>
      <c r="AB421" s="39"/>
      <c r="AC421" s="39"/>
    </row>
    <row r="422">
      <c r="A422" s="23"/>
      <c r="B422" s="24"/>
      <c r="C422" s="29"/>
      <c r="D422" s="29"/>
      <c r="E422" s="29"/>
      <c r="F422" s="29"/>
      <c r="G422" s="29"/>
      <c r="H422" s="12"/>
      <c r="I422" s="12"/>
      <c r="J422" s="12"/>
      <c r="K422" s="39"/>
      <c r="L422" s="12"/>
      <c r="M422" s="40"/>
      <c r="N422" s="29"/>
      <c r="O422" s="12"/>
      <c r="P422" s="39"/>
      <c r="Q422" s="12"/>
      <c r="R422" s="39"/>
      <c r="S422" s="39"/>
      <c r="T422" s="39"/>
      <c r="U422" s="39"/>
      <c r="V422" s="39"/>
      <c r="W422" s="39"/>
      <c r="X422" s="39"/>
      <c r="Y422" s="39"/>
      <c r="Z422" s="39"/>
      <c r="AA422" s="39"/>
      <c r="AB422" s="39"/>
      <c r="AC422" s="39"/>
    </row>
    <row r="423">
      <c r="A423" s="23"/>
      <c r="B423" s="24"/>
      <c r="C423" s="29"/>
      <c r="D423" s="29"/>
      <c r="E423" s="29"/>
      <c r="F423" s="29"/>
      <c r="G423" s="29"/>
      <c r="H423" s="12"/>
      <c r="I423" s="12"/>
      <c r="J423" s="12"/>
      <c r="K423" s="39"/>
      <c r="L423" s="12"/>
      <c r="M423" s="40"/>
      <c r="N423" s="29"/>
      <c r="O423" s="12"/>
      <c r="P423" s="39"/>
      <c r="Q423" s="12"/>
      <c r="R423" s="39"/>
      <c r="S423" s="39"/>
      <c r="T423" s="39"/>
      <c r="U423" s="39"/>
      <c r="V423" s="39"/>
      <c r="W423" s="39"/>
      <c r="X423" s="39"/>
      <c r="Y423" s="39"/>
      <c r="Z423" s="39"/>
      <c r="AA423" s="39"/>
      <c r="AB423" s="39"/>
      <c r="AC423" s="39"/>
    </row>
    <row r="424">
      <c r="A424" s="23"/>
      <c r="B424" s="24"/>
      <c r="C424" s="29"/>
      <c r="D424" s="29"/>
      <c r="E424" s="29"/>
      <c r="F424" s="29"/>
      <c r="G424" s="29"/>
      <c r="H424" s="12"/>
      <c r="I424" s="12"/>
      <c r="J424" s="12"/>
      <c r="K424" s="39"/>
      <c r="L424" s="12"/>
      <c r="M424" s="40"/>
      <c r="N424" s="29"/>
      <c r="O424" s="12"/>
      <c r="P424" s="39"/>
      <c r="Q424" s="12"/>
      <c r="R424" s="39"/>
      <c r="S424" s="39"/>
      <c r="T424" s="39"/>
      <c r="U424" s="39"/>
      <c r="V424" s="39"/>
      <c r="W424" s="39"/>
      <c r="X424" s="39"/>
      <c r="Y424" s="39"/>
      <c r="Z424" s="39"/>
      <c r="AA424" s="39"/>
      <c r="AB424" s="39"/>
      <c r="AC424" s="39"/>
    </row>
    <row r="425">
      <c r="A425" s="23"/>
      <c r="B425" s="24"/>
      <c r="C425" s="29"/>
      <c r="D425" s="29"/>
      <c r="E425" s="29"/>
      <c r="F425" s="29"/>
      <c r="G425" s="29"/>
      <c r="H425" s="12"/>
      <c r="I425" s="12"/>
      <c r="J425" s="12"/>
      <c r="K425" s="39"/>
      <c r="L425" s="12"/>
      <c r="M425" s="40"/>
      <c r="N425" s="29"/>
      <c r="O425" s="12"/>
      <c r="P425" s="39"/>
      <c r="Q425" s="12"/>
      <c r="R425" s="39"/>
      <c r="S425" s="39"/>
      <c r="T425" s="39"/>
      <c r="U425" s="39"/>
      <c r="V425" s="39"/>
      <c r="W425" s="39"/>
      <c r="X425" s="39"/>
      <c r="Y425" s="39"/>
      <c r="Z425" s="39"/>
      <c r="AA425" s="39"/>
      <c r="AB425" s="39"/>
      <c r="AC425" s="39"/>
    </row>
    <row r="426">
      <c r="A426" s="23"/>
      <c r="B426" s="24"/>
      <c r="C426" s="29"/>
      <c r="D426" s="29"/>
      <c r="E426" s="29"/>
      <c r="F426" s="29"/>
      <c r="G426" s="29"/>
      <c r="H426" s="12"/>
      <c r="I426" s="12"/>
      <c r="J426" s="12"/>
      <c r="K426" s="39"/>
      <c r="L426" s="12"/>
      <c r="M426" s="40"/>
      <c r="N426" s="29"/>
      <c r="O426" s="12"/>
      <c r="P426" s="39"/>
      <c r="Q426" s="12"/>
      <c r="R426" s="39"/>
      <c r="S426" s="39"/>
      <c r="T426" s="39"/>
      <c r="U426" s="39"/>
      <c r="V426" s="39"/>
      <c r="W426" s="39"/>
      <c r="X426" s="39"/>
      <c r="Y426" s="39"/>
      <c r="Z426" s="39"/>
      <c r="AA426" s="39"/>
      <c r="AB426" s="39"/>
      <c r="AC426" s="39"/>
    </row>
    <row r="427">
      <c r="A427" s="23"/>
      <c r="B427" s="24"/>
      <c r="C427" s="29"/>
      <c r="D427" s="29"/>
      <c r="E427" s="29"/>
      <c r="F427" s="29"/>
      <c r="G427" s="29"/>
      <c r="H427" s="12"/>
      <c r="I427" s="12"/>
      <c r="J427" s="12"/>
      <c r="K427" s="39"/>
      <c r="L427" s="12"/>
      <c r="M427" s="40"/>
      <c r="N427" s="29"/>
      <c r="O427" s="12"/>
      <c r="P427" s="39"/>
      <c r="Q427" s="12"/>
      <c r="R427" s="39"/>
      <c r="S427" s="39"/>
      <c r="T427" s="39"/>
      <c r="U427" s="39"/>
      <c r="V427" s="39"/>
      <c r="W427" s="39"/>
      <c r="X427" s="39"/>
      <c r="Y427" s="39"/>
      <c r="Z427" s="39"/>
      <c r="AA427" s="39"/>
      <c r="AB427" s="39"/>
      <c r="AC427" s="39"/>
    </row>
    <row r="428">
      <c r="A428" s="23"/>
      <c r="B428" s="24"/>
      <c r="C428" s="29"/>
      <c r="D428" s="29"/>
      <c r="E428" s="29"/>
      <c r="F428" s="29"/>
      <c r="G428" s="29"/>
      <c r="H428" s="12"/>
      <c r="I428" s="12"/>
      <c r="J428" s="12"/>
      <c r="K428" s="39"/>
      <c r="L428" s="12"/>
      <c r="M428" s="40"/>
      <c r="N428" s="29"/>
      <c r="O428" s="12"/>
      <c r="P428" s="39"/>
      <c r="Q428" s="12"/>
      <c r="R428" s="39"/>
      <c r="S428" s="39"/>
      <c r="T428" s="39"/>
      <c r="U428" s="39"/>
      <c r="V428" s="39"/>
      <c r="W428" s="39"/>
      <c r="X428" s="39"/>
      <c r="Y428" s="39"/>
      <c r="Z428" s="39"/>
      <c r="AA428" s="39"/>
      <c r="AB428" s="39"/>
      <c r="AC428" s="39"/>
    </row>
    <row r="429">
      <c r="A429" s="23"/>
      <c r="B429" s="24"/>
      <c r="C429" s="29"/>
      <c r="D429" s="29"/>
      <c r="E429" s="29"/>
      <c r="F429" s="29"/>
      <c r="G429" s="29"/>
      <c r="H429" s="12"/>
      <c r="I429" s="12"/>
      <c r="J429" s="12"/>
      <c r="K429" s="39"/>
      <c r="L429" s="12"/>
      <c r="M429" s="40"/>
      <c r="N429" s="29"/>
      <c r="O429" s="12"/>
      <c r="P429" s="39"/>
      <c r="Q429" s="12"/>
      <c r="R429" s="39"/>
      <c r="S429" s="39"/>
      <c r="T429" s="39"/>
      <c r="U429" s="39"/>
      <c r="V429" s="39"/>
      <c r="W429" s="39"/>
      <c r="X429" s="39"/>
      <c r="Y429" s="39"/>
      <c r="Z429" s="39"/>
      <c r="AA429" s="39"/>
      <c r="AB429" s="39"/>
      <c r="AC429" s="39"/>
    </row>
    <row r="430">
      <c r="A430" s="23"/>
      <c r="B430" s="24"/>
      <c r="C430" s="29"/>
      <c r="D430" s="29"/>
      <c r="E430" s="29"/>
      <c r="F430" s="29"/>
      <c r="G430" s="29"/>
      <c r="H430" s="12"/>
      <c r="I430" s="12"/>
      <c r="J430" s="12"/>
      <c r="K430" s="39"/>
      <c r="L430" s="12"/>
      <c r="M430" s="40"/>
      <c r="N430" s="29"/>
      <c r="O430" s="12"/>
      <c r="P430" s="39"/>
      <c r="Q430" s="12"/>
      <c r="R430" s="39"/>
      <c r="S430" s="39"/>
      <c r="T430" s="39"/>
      <c r="U430" s="39"/>
      <c r="V430" s="39"/>
      <c r="W430" s="39"/>
      <c r="X430" s="39"/>
      <c r="Y430" s="39"/>
      <c r="Z430" s="39"/>
      <c r="AA430" s="39"/>
      <c r="AB430" s="39"/>
      <c r="AC430" s="39"/>
    </row>
    <row r="431">
      <c r="A431" s="23"/>
      <c r="B431" s="24"/>
      <c r="C431" s="29"/>
      <c r="D431" s="29"/>
      <c r="E431" s="29"/>
      <c r="F431" s="29"/>
      <c r="G431" s="29"/>
      <c r="H431" s="12"/>
      <c r="I431" s="12"/>
      <c r="J431" s="12"/>
      <c r="K431" s="39"/>
      <c r="L431" s="12"/>
      <c r="M431" s="40"/>
      <c r="N431" s="29"/>
      <c r="O431" s="12"/>
      <c r="P431" s="39"/>
      <c r="Q431" s="12"/>
      <c r="R431" s="39"/>
      <c r="S431" s="39"/>
      <c r="T431" s="39"/>
      <c r="U431" s="39"/>
      <c r="V431" s="39"/>
      <c r="W431" s="39"/>
      <c r="X431" s="39"/>
      <c r="Y431" s="39"/>
      <c r="Z431" s="39"/>
      <c r="AA431" s="39"/>
      <c r="AB431" s="39"/>
      <c r="AC431" s="39"/>
    </row>
    <row r="432">
      <c r="A432" s="23"/>
      <c r="B432" s="24"/>
      <c r="C432" s="29"/>
      <c r="D432" s="29"/>
      <c r="E432" s="29"/>
      <c r="F432" s="29"/>
      <c r="G432" s="29"/>
      <c r="H432" s="12"/>
      <c r="I432" s="12"/>
      <c r="J432" s="12"/>
      <c r="K432" s="39"/>
      <c r="L432" s="12"/>
      <c r="M432" s="40"/>
      <c r="N432" s="29"/>
      <c r="O432" s="12"/>
      <c r="P432" s="39"/>
      <c r="Q432" s="12"/>
      <c r="R432" s="39"/>
      <c r="S432" s="39"/>
      <c r="T432" s="39"/>
      <c r="U432" s="39"/>
      <c r="V432" s="39"/>
      <c r="W432" s="39"/>
      <c r="X432" s="39"/>
      <c r="Y432" s="39"/>
      <c r="Z432" s="39"/>
      <c r="AA432" s="39"/>
      <c r="AB432" s="39"/>
      <c r="AC432" s="39"/>
    </row>
    <row r="433">
      <c r="A433" s="23"/>
      <c r="B433" s="24"/>
      <c r="C433" s="29"/>
      <c r="D433" s="29"/>
      <c r="E433" s="29"/>
      <c r="F433" s="29"/>
      <c r="G433" s="29"/>
      <c r="H433" s="12"/>
      <c r="I433" s="12"/>
      <c r="J433" s="12"/>
      <c r="K433" s="39"/>
      <c r="L433" s="12"/>
      <c r="M433" s="40"/>
      <c r="N433" s="29"/>
      <c r="O433" s="12"/>
      <c r="P433" s="39"/>
      <c r="Q433" s="12"/>
      <c r="R433" s="39"/>
      <c r="S433" s="39"/>
      <c r="T433" s="39"/>
      <c r="U433" s="39"/>
      <c r="V433" s="39"/>
      <c r="W433" s="39"/>
      <c r="X433" s="39"/>
      <c r="Y433" s="39"/>
      <c r="Z433" s="39"/>
      <c r="AA433" s="39"/>
      <c r="AB433" s="39"/>
      <c r="AC433" s="39"/>
    </row>
    <row r="434">
      <c r="A434" s="23"/>
      <c r="B434" s="24"/>
      <c r="C434" s="29"/>
      <c r="D434" s="29"/>
      <c r="E434" s="29"/>
      <c r="F434" s="29"/>
      <c r="G434" s="29"/>
      <c r="H434" s="12"/>
      <c r="I434" s="12"/>
      <c r="J434" s="12"/>
      <c r="K434" s="39"/>
      <c r="L434" s="12"/>
      <c r="M434" s="40"/>
      <c r="N434" s="29"/>
      <c r="O434" s="12"/>
      <c r="P434" s="39"/>
      <c r="Q434" s="12"/>
      <c r="R434" s="39"/>
      <c r="S434" s="39"/>
      <c r="T434" s="39"/>
      <c r="U434" s="39"/>
      <c r="V434" s="39"/>
      <c r="W434" s="39"/>
      <c r="X434" s="39"/>
      <c r="Y434" s="39"/>
      <c r="Z434" s="39"/>
      <c r="AA434" s="39"/>
      <c r="AB434" s="39"/>
      <c r="AC434" s="39"/>
    </row>
    <row r="435">
      <c r="A435" s="23"/>
      <c r="B435" s="24"/>
      <c r="C435" s="29"/>
      <c r="D435" s="29"/>
      <c r="E435" s="29"/>
      <c r="F435" s="29"/>
      <c r="G435" s="29"/>
      <c r="H435" s="12"/>
      <c r="I435" s="12"/>
      <c r="J435" s="12"/>
      <c r="K435" s="39"/>
      <c r="L435" s="12"/>
      <c r="M435" s="40"/>
      <c r="N435" s="29"/>
      <c r="O435" s="12"/>
      <c r="P435" s="39"/>
      <c r="Q435" s="12"/>
      <c r="R435" s="39"/>
      <c r="S435" s="39"/>
      <c r="T435" s="39"/>
      <c r="U435" s="39"/>
      <c r="V435" s="39"/>
      <c r="W435" s="39"/>
      <c r="X435" s="39"/>
      <c r="Y435" s="39"/>
      <c r="Z435" s="39"/>
      <c r="AA435" s="39"/>
      <c r="AB435" s="39"/>
      <c r="AC435" s="39"/>
    </row>
    <row r="436">
      <c r="A436" s="23"/>
      <c r="B436" s="24"/>
      <c r="C436" s="29"/>
      <c r="D436" s="29"/>
      <c r="E436" s="29"/>
      <c r="F436" s="29"/>
      <c r="G436" s="29"/>
      <c r="H436" s="12"/>
      <c r="I436" s="12"/>
      <c r="J436" s="12"/>
      <c r="K436" s="39"/>
      <c r="L436" s="12"/>
      <c r="M436" s="40"/>
      <c r="N436" s="29"/>
      <c r="O436" s="12"/>
      <c r="P436" s="39"/>
      <c r="Q436" s="12"/>
      <c r="R436" s="39"/>
      <c r="S436" s="39"/>
      <c r="T436" s="39"/>
      <c r="U436" s="39"/>
      <c r="V436" s="39"/>
      <c r="W436" s="39"/>
      <c r="X436" s="39"/>
      <c r="Y436" s="39"/>
      <c r="Z436" s="39"/>
      <c r="AA436" s="39"/>
      <c r="AB436" s="39"/>
      <c r="AC436" s="39"/>
    </row>
    <row r="437">
      <c r="A437" s="23"/>
      <c r="B437" s="24"/>
      <c r="C437" s="29"/>
      <c r="D437" s="29"/>
      <c r="E437" s="29"/>
      <c r="F437" s="29"/>
      <c r="G437" s="29"/>
      <c r="H437" s="12"/>
      <c r="I437" s="12"/>
      <c r="J437" s="12"/>
      <c r="K437" s="39"/>
      <c r="L437" s="12"/>
      <c r="M437" s="40"/>
      <c r="N437" s="29"/>
      <c r="O437" s="12"/>
      <c r="P437" s="39"/>
      <c r="Q437" s="12"/>
      <c r="R437" s="39"/>
      <c r="S437" s="39"/>
      <c r="T437" s="39"/>
      <c r="U437" s="39"/>
      <c r="V437" s="39"/>
      <c r="W437" s="39"/>
      <c r="X437" s="39"/>
      <c r="Y437" s="39"/>
      <c r="Z437" s="39"/>
      <c r="AA437" s="39"/>
      <c r="AB437" s="39"/>
      <c r="AC437" s="39"/>
    </row>
    <row r="438">
      <c r="A438" s="23"/>
      <c r="B438" s="24"/>
      <c r="C438" s="29"/>
      <c r="D438" s="29"/>
      <c r="E438" s="29"/>
      <c r="F438" s="29"/>
      <c r="G438" s="29"/>
      <c r="H438" s="12"/>
      <c r="I438" s="12"/>
      <c r="J438" s="12"/>
      <c r="K438" s="39"/>
      <c r="L438" s="12"/>
      <c r="M438" s="40"/>
      <c r="N438" s="29"/>
      <c r="O438" s="12"/>
      <c r="P438" s="39"/>
      <c r="Q438" s="12"/>
      <c r="R438" s="39"/>
      <c r="S438" s="39"/>
      <c r="T438" s="39"/>
      <c r="U438" s="39"/>
      <c r="V438" s="39"/>
      <c r="W438" s="39"/>
      <c r="X438" s="39"/>
      <c r="Y438" s="39"/>
      <c r="Z438" s="39"/>
      <c r="AA438" s="39"/>
      <c r="AB438" s="39"/>
      <c r="AC438" s="39"/>
    </row>
    <row r="439">
      <c r="A439" s="23"/>
      <c r="B439" s="24"/>
      <c r="C439" s="29"/>
      <c r="D439" s="29"/>
      <c r="E439" s="29"/>
      <c r="F439" s="29"/>
      <c r="G439" s="29"/>
      <c r="H439" s="12"/>
      <c r="I439" s="12"/>
      <c r="J439" s="12"/>
      <c r="K439" s="39"/>
      <c r="L439" s="12"/>
      <c r="M439" s="40"/>
      <c r="N439" s="29"/>
      <c r="O439" s="12"/>
      <c r="P439" s="39"/>
      <c r="Q439" s="12"/>
      <c r="R439" s="39"/>
      <c r="S439" s="39"/>
      <c r="T439" s="39"/>
      <c r="U439" s="39"/>
      <c r="V439" s="39"/>
      <c r="W439" s="39"/>
      <c r="X439" s="39"/>
      <c r="Y439" s="39"/>
      <c r="Z439" s="39"/>
      <c r="AA439" s="39"/>
      <c r="AB439" s="39"/>
      <c r="AC439" s="39"/>
    </row>
    <row r="440">
      <c r="A440" s="23"/>
      <c r="B440" s="24"/>
      <c r="C440" s="29"/>
      <c r="D440" s="29"/>
      <c r="E440" s="29"/>
      <c r="F440" s="29"/>
      <c r="G440" s="29"/>
      <c r="H440" s="12"/>
      <c r="I440" s="12"/>
      <c r="J440" s="12"/>
      <c r="K440" s="39"/>
      <c r="L440" s="12"/>
      <c r="M440" s="40"/>
      <c r="N440" s="29"/>
      <c r="O440" s="12"/>
      <c r="P440" s="39"/>
      <c r="Q440" s="12"/>
      <c r="R440" s="39"/>
      <c r="S440" s="39"/>
      <c r="T440" s="39"/>
      <c r="U440" s="39"/>
      <c r="V440" s="39"/>
      <c r="W440" s="39"/>
      <c r="X440" s="39"/>
      <c r="Y440" s="39"/>
      <c r="Z440" s="39"/>
      <c r="AA440" s="39"/>
      <c r="AB440" s="39"/>
      <c r="AC440" s="39"/>
    </row>
    <row r="441">
      <c r="A441" s="23"/>
      <c r="B441" s="24"/>
      <c r="C441" s="29"/>
      <c r="D441" s="29"/>
      <c r="E441" s="29"/>
      <c r="F441" s="29"/>
      <c r="G441" s="29"/>
      <c r="H441" s="12"/>
      <c r="I441" s="12"/>
      <c r="J441" s="12"/>
      <c r="K441" s="39"/>
      <c r="L441" s="12"/>
      <c r="M441" s="40"/>
      <c r="N441" s="29"/>
      <c r="O441" s="12"/>
      <c r="P441" s="39"/>
      <c r="Q441" s="12"/>
      <c r="R441" s="39"/>
      <c r="S441" s="39"/>
      <c r="T441" s="39"/>
      <c r="U441" s="39"/>
      <c r="V441" s="39"/>
      <c r="W441" s="39"/>
      <c r="X441" s="39"/>
      <c r="Y441" s="39"/>
      <c r="Z441" s="39"/>
      <c r="AA441" s="39"/>
      <c r="AB441" s="39"/>
      <c r="AC441" s="39"/>
    </row>
    <row r="442">
      <c r="A442" s="23"/>
      <c r="B442" s="24"/>
      <c r="C442" s="29"/>
      <c r="D442" s="29"/>
      <c r="E442" s="29"/>
      <c r="F442" s="29"/>
      <c r="G442" s="29"/>
      <c r="H442" s="12"/>
      <c r="I442" s="12"/>
      <c r="J442" s="12"/>
      <c r="K442" s="39"/>
      <c r="L442" s="12"/>
      <c r="M442" s="40"/>
      <c r="N442" s="29"/>
      <c r="O442" s="12"/>
      <c r="P442" s="39"/>
      <c r="Q442" s="12"/>
      <c r="R442" s="39"/>
      <c r="S442" s="39"/>
      <c r="T442" s="39"/>
      <c r="U442" s="39"/>
      <c r="V442" s="39"/>
      <c r="W442" s="39"/>
      <c r="X442" s="39"/>
      <c r="Y442" s="39"/>
      <c r="Z442" s="39"/>
      <c r="AA442" s="39"/>
      <c r="AB442" s="39"/>
      <c r="AC442" s="39"/>
    </row>
    <row r="443">
      <c r="A443" s="23"/>
      <c r="B443" s="24"/>
      <c r="C443" s="29"/>
      <c r="D443" s="29"/>
      <c r="E443" s="29"/>
      <c r="F443" s="29"/>
      <c r="G443" s="29"/>
      <c r="H443" s="12"/>
      <c r="I443" s="12"/>
      <c r="J443" s="12"/>
      <c r="K443" s="39"/>
      <c r="L443" s="12"/>
      <c r="M443" s="40"/>
      <c r="N443" s="29"/>
      <c r="O443" s="12"/>
      <c r="P443" s="39"/>
      <c r="Q443" s="12"/>
      <c r="R443" s="39"/>
      <c r="S443" s="39"/>
      <c r="T443" s="39"/>
      <c r="U443" s="39"/>
      <c r="V443" s="39"/>
      <c r="W443" s="39"/>
      <c r="X443" s="39"/>
      <c r="Y443" s="39"/>
      <c r="Z443" s="39"/>
      <c r="AA443" s="39"/>
      <c r="AB443" s="39"/>
      <c r="AC443" s="39"/>
    </row>
    <row r="444">
      <c r="A444" s="23"/>
      <c r="B444" s="24"/>
      <c r="C444" s="29"/>
      <c r="D444" s="29"/>
      <c r="E444" s="29"/>
      <c r="F444" s="29"/>
      <c r="G444" s="29"/>
      <c r="H444" s="12"/>
      <c r="I444" s="12"/>
      <c r="J444" s="12"/>
      <c r="K444" s="39"/>
      <c r="L444" s="12"/>
      <c r="M444" s="40"/>
      <c r="N444" s="29"/>
      <c r="O444" s="12"/>
      <c r="P444" s="39"/>
      <c r="Q444" s="12"/>
      <c r="R444" s="39"/>
      <c r="S444" s="39"/>
      <c r="T444" s="39"/>
      <c r="U444" s="39"/>
      <c r="V444" s="39"/>
      <c r="W444" s="39"/>
      <c r="X444" s="39"/>
      <c r="Y444" s="39"/>
      <c r="Z444" s="39"/>
      <c r="AA444" s="39"/>
      <c r="AB444" s="39"/>
      <c r="AC444" s="39"/>
    </row>
    <row r="445">
      <c r="A445" s="23"/>
      <c r="B445" s="24"/>
      <c r="C445" s="29"/>
      <c r="D445" s="29"/>
      <c r="E445" s="29"/>
      <c r="F445" s="29"/>
      <c r="G445" s="29"/>
      <c r="H445" s="12"/>
      <c r="I445" s="12"/>
      <c r="J445" s="12"/>
      <c r="K445" s="39"/>
      <c r="L445" s="12"/>
      <c r="M445" s="40"/>
      <c r="N445" s="29"/>
      <c r="O445" s="12"/>
      <c r="P445" s="39"/>
      <c r="Q445" s="12"/>
      <c r="R445" s="39"/>
      <c r="S445" s="39"/>
      <c r="T445" s="39"/>
      <c r="U445" s="39"/>
      <c r="V445" s="39"/>
      <c r="W445" s="39"/>
      <c r="X445" s="39"/>
      <c r="Y445" s="39"/>
      <c r="Z445" s="39"/>
      <c r="AA445" s="39"/>
      <c r="AB445" s="39"/>
      <c r="AC445" s="39"/>
    </row>
    <row r="446">
      <c r="A446" s="23"/>
      <c r="B446" s="24"/>
      <c r="C446" s="29"/>
      <c r="D446" s="29"/>
      <c r="E446" s="29"/>
      <c r="F446" s="29"/>
      <c r="G446" s="29"/>
      <c r="H446" s="12"/>
      <c r="I446" s="12"/>
      <c r="J446" s="12"/>
      <c r="K446" s="39"/>
      <c r="L446" s="12"/>
      <c r="M446" s="40"/>
      <c r="N446" s="29"/>
      <c r="O446" s="12"/>
      <c r="P446" s="39"/>
      <c r="Q446" s="12"/>
      <c r="R446" s="39"/>
      <c r="S446" s="39"/>
      <c r="T446" s="39"/>
      <c r="U446" s="39"/>
      <c r="V446" s="39"/>
      <c r="W446" s="39"/>
      <c r="X446" s="39"/>
      <c r="Y446" s="39"/>
      <c r="Z446" s="39"/>
      <c r="AA446" s="39"/>
      <c r="AB446" s="39"/>
      <c r="AC446" s="39"/>
    </row>
    <row r="447">
      <c r="A447" s="23"/>
      <c r="B447" s="24"/>
      <c r="C447" s="29"/>
      <c r="D447" s="29"/>
      <c r="E447" s="29"/>
      <c r="F447" s="29"/>
      <c r="G447" s="29"/>
      <c r="H447" s="12"/>
      <c r="I447" s="12"/>
      <c r="J447" s="12"/>
      <c r="K447" s="39"/>
      <c r="L447" s="12"/>
      <c r="M447" s="40"/>
      <c r="N447" s="29"/>
      <c r="O447" s="12"/>
      <c r="P447" s="39"/>
      <c r="Q447" s="12"/>
      <c r="R447" s="39"/>
      <c r="S447" s="39"/>
      <c r="T447" s="39"/>
      <c r="U447" s="39"/>
      <c r="V447" s="39"/>
      <c r="W447" s="39"/>
      <c r="X447" s="39"/>
      <c r="Y447" s="39"/>
      <c r="Z447" s="39"/>
      <c r="AA447" s="39"/>
      <c r="AB447" s="39"/>
      <c r="AC447" s="39"/>
    </row>
    <row r="448">
      <c r="A448" s="23"/>
      <c r="B448" s="24"/>
      <c r="C448" s="29"/>
      <c r="D448" s="29"/>
      <c r="E448" s="29"/>
      <c r="F448" s="29"/>
      <c r="G448" s="29"/>
      <c r="H448" s="12"/>
      <c r="I448" s="12"/>
      <c r="J448" s="12"/>
      <c r="K448" s="39"/>
      <c r="L448" s="12"/>
      <c r="M448" s="40"/>
      <c r="N448" s="29"/>
      <c r="O448" s="12"/>
      <c r="P448" s="39"/>
      <c r="Q448" s="12"/>
      <c r="R448" s="39"/>
      <c r="S448" s="39"/>
      <c r="T448" s="39"/>
      <c r="U448" s="39"/>
      <c r="V448" s="39"/>
      <c r="W448" s="39"/>
      <c r="X448" s="39"/>
      <c r="Y448" s="39"/>
      <c r="Z448" s="39"/>
      <c r="AA448" s="39"/>
      <c r="AB448" s="39"/>
      <c r="AC448" s="39"/>
    </row>
    <row r="449">
      <c r="A449" s="23"/>
      <c r="B449" s="24"/>
      <c r="C449" s="29"/>
      <c r="D449" s="29"/>
      <c r="E449" s="29"/>
      <c r="F449" s="29"/>
      <c r="G449" s="29"/>
      <c r="H449" s="12"/>
      <c r="I449" s="12"/>
      <c r="J449" s="12"/>
      <c r="K449" s="39"/>
      <c r="L449" s="12"/>
      <c r="M449" s="40"/>
      <c r="N449" s="29"/>
      <c r="O449" s="12"/>
      <c r="P449" s="39"/>
      <c r="Q449" s="12"/>
      <c r="R449" s="39"/>
      <c r="S449" s="39"/>
      <c r="T449" s="39"/>
      <c r="U449" s="39"/>
      <c r="V449" s="39"/>
      <c r="W449" s="39"/>
      <c r="X449" s="39"/>
      <c r="Y449" s="39"/>
      <c r="Z449" s="39"/>
      <c r="AA449" s="39"/>
      <c r="AB449" s="39"/>
      <c r="AC449" s="39"/>
    </row>
    <row r="450">
      <c r="A450" s="23"/>
      <c r="B450" s="24"/>
      <c r="C450" s="29"/>
      <c r="D450" s="29"/>
      <c r="E450" s="29"/>
      <c r="F450" s="29"/>
      <c r="G450" s="29"/>
      <c r="H450" s="12"/>
      <c r="I450" s="12"/>
      <c r="J450" s="12"/>
      <c r="K450" s="39"/>
      <c r="L450" s="12"/>
      <c r="M450" s="40"/>
      <c r="N450" s="29"/>
      <c r="O450" s="12"/>
      <c r="P450" s="39"/>
      <c r="Q450" s="12"/>
      <c r="R450" s="39"/>
      <c r="S450" s="39"/>
      <c r="T450" s="39"/>
      <c r="U450" s="39"/>
      <c r="V450" s="39"/>
      <c r="W450" s="39"/>
      <c r="X450" s="39"/>
      <c r="Y450" s="39"/>
      <c r="Z450" s="39"/>
      <c r="AA450" s="39"/>
      <c r="AB450" s="39"/>
      <c r="AC450" s="39"/>
    </row>
    <row r="451">
      <c r="A451" s="23"/>
      <c r="B451" s="24"/>
      <c r="C451" s="29"/>
      <c r="D451" s="29"/>
      <c r="E451" s="29"/>
      <c r="F451" s="29"/>
      <c r="G451" s="29"/>
      <c r="H451" s="12"/>
      <c r="I451" s="12"/>
      <c r="J451" s="12"/>
      <c r="K451" s="39"/>
      <c r="L451" s="12"/>
      <c r="M451" s="40"/>
      <c r="N451" s="29"/>
      <c r="O451" s="12"/>
      <c r="P451" s="39"/>
      <c r="Q451" s="12"/>
      <c r="R451" s="39"/>
      <c r="S451" s="39"/>
      <c r="T451" s="39"/>
      <c r="U451" s="39"/>
      <c r="V451" s="39"/>
      <c r="W451" s="39"/>
      <c r="X451" s="39"/>
      <c r="Y451" s="39"/>
      <c r="Z451" s="39"/>
      <c r="AA451" s="39"/>
      <c r="AB451" s="39"/>
      <c r="AC451" s="39"/>
    </row>
    <row r="452">
      <c r="A452" s="23"/>
      <c r="B452" s="24"/>
      <c r="C452" s="29"/>
      <c r="D452" s="29"/>
      <c r="E452" s="29"/>
      <c r="F452" s="29"/>
      <c r="G452" s="29"/>
      <c r="H452" s="12"/>
      <c r="I452" s="12"/>
      <c r="J452" s="12"/>
      <c r="K452" s="39"/>
      <c r="L452" s="12"/>
      <c r="M452" s="40"/>
      <c r="N452" s="29"/>
      <c r="O452" s="12"/>
      <c r="P452" s="39"/>
      <c r="Q452" s="12"/>
      <c r="R452" s="39"/>
      <c r="S452" s="39"/>
      <c r="T452" s="39"/>
      <c r="U452" s="39"/>
      <c r="V452" s="39"/>
      <c r="W452" s="39"/>
      <c r="X452" s="39"/>
      <c r="Y452" s="39"/>
      <c r="Z452" s="39"/>
      <c r="AA452" s="39"/>
      <c r="AB452" s="39"/>
      <c r="AC452" s="39"/>
    </row>
    <row r="453">
      <c r="A453" s="23"/>
      <c r="B453" s="24"/>
      <c r="C453" s="29"/>
      <c r="D453" s="29"/>
      <c r="E453" s="29"/>
      <c r="F453" s="29"/>
      <c r="G453" s="29"/>
      <c r="H453" s="12"/>
      <c r="I453" s="12"/>
      <c r="J453" s="12"/>
      <c r="K453" s="39"/>
      <c r="L453" s="12"/>
      <c r="M453" s="40"/>
      <c r="N453" s="29"/>
      <c r="O453" s="12"/>
      <c r="P453" s="39"/>
      <c r="Q453" s="12"/>
      <c r="R453" s="39"/>
      <c r="S453" s="39"/>
      <c r="T453" s="39"/>
      <c r="U453" s="39"/>
      <c r="V453" s="39"/>
      <c r="W453" s="39"/>
      <c r="X453" s="39"/>
      <c r="Y453" s="39"/>
      <c r="Z453" s="39"/>
      <c r="AA453" s="39"/>
      <c r="AB453" s="39"/>
      <c r="AC453" s="39"/>
    </row>
    <row r="454">
      <c r="A454" s="23"/>
      <c r="B454" s="24"/>
      <c r="C454" s="29"/>
      <c r="D454" s="29"/>
      <c r="E454" s="29"/>
      <c r="F454" s="29"/>
      <c r="G454" s="29"/>
      <c r="H454" s="12"/>
      <c r="I454" s="12"/>
      <c r="J454" s="12"/>
      <c r="K454" s="39"/>
      <c r="L454" s="12"/>
      <c r="M454" s="40"/>
      <c r="N454" s="29"/>
      <c r="O454" s="12"/>
      <c r="P454" s="39"/>
      <c r="Q454" s="12"/>
      <c r="R454" s="39"/>
      <c r="S454" s="39"/>
      <c r="T454" s="39"/>
      <c r="U454" s="39"/>
      <c r="V454" s="39"/>
      <c r="W454" s="39"/>
      <c r="X454" s="39"/>
      <c r="Y454" s="39"/>
      <c r="Z454" s="39"/>
      <c r="AA454" s="39"/>
      <c r="AB454" s="39"/>
      <c r="AC454" s="39"/>
    </row>
    <row r="455">
      <c r="A455" s="23"/>
      <c r="B455" s="24"/>
      <c r="C455" s="29"/>
      <c r="D455" s="29"/>
      <c r="E455" s="29"/>
      <c r="F455" s="29"/>
      <c r="G455" s="29"/>
      <c r="H455" s="12"/>
      <c r="I455" s="12"/>
      <c r="J455" s="12"/>
      <c r="K455" s="39"/>
      <c r="L455" s="12"/>
      <c r="M455" s="40"/>
      <c r="N455" s="29"/>
      <c r="O455" s="12"/>
      <c r="P455" s="39"/>
      <c r="Q455" s="12"/>
      <c r="R455" s="39"/>
      <c r="S455" s="39"/>
      <c r="T455" s="39"/>
      <c r="U455" s="39"/>
      <c r="V455" s="39"/>
      <c r="W455" s="39"/>
      <c r="X455" s="39"/>
      <c r="Y455" s="39"/>
      <c r="Z455" s="39"/>
      <c r="AA455" s="39"/>
      <c r="AB455" s="39"/>
      <c r="AC455" s="39"/>
    </row>
    <row r="456">
      <c r="A456" s="23"/>
      <c r="B456" s="24"/>
      <c r="C456" s="29"/>
      <c r="D456" s="29"/>
      <c r="E456" s="29"/>
      <c r="F456" s="29"/>
      <c r="G456" s="29"/>
      <c r="H456" s="12"/>
      <c r="I456" s="12"/>
      <c r="J456" s="12"/>
      <c r="K456" s="39"/>
      <c r="L456" s="12"/>
      <c r="M456" s="40"/>
      <c r="N456" s="29"/>
      <c r="O456" s="12"/>
      <c r="P456" s="39"/>
      <c r="Q456" s="12"/>
      <c r="R456" s="39"/>
      <c r="S456" s="39"/>
      <c r="T456" s="39"/>
      <c r="U456" s="39"/>
      <c r="V456" s="39"/>
      <c r="W456" s="39"/>
      <c r="X456" s="39"/>
      <c r="Y456" s="39"/>
      <c r="Z456" s="39"/>
      <c r="AA456" s="39"/>
      <c r="AB456" s="39"/>
      <c r="AC456" s="39"/>
    </row>
    <row r="457">
      <c r="A457" s="23"/>
      <c r="B457" s="24"/>
      <c r="C457" s="29"/>
      <c r="D457" s="29"/>
      <c r="E457" s="29"/>
      <c r="F457" s="29"/>
      <c r="G457" s="29"/>
      <c r="H457" s="12"/>
      <c r="I457" s="12"/>
      <c r="J457" s="12"/>
      <c r="K457" s="39"/>
      <c r="L457" s="12"/>
      <c r="M457" s="40"/>
      <c r="N457" s="29"/>
      <c r="O457" s="12"/>
      <c r="P457" s="39"/>
      <c r="Q457" s="12"/>
      <c r="R457" s="39"/>
      <c r="S457" s="39"/>
      <c r="T457" s="39"/>
      <c r="U457" s="39"/>
      <c r="V457" s="39"/>
      <c r="W457" s="39"/>
      <c r="X457" s="39"/>
      <c r="Y457" s="39"/>
      <c r="Z457" s="39"/>
      <c r="AA457" s="39"/>
      <c r="AB457" s="39"/>
      <c r="AC457" s="39"/>
    </row>
    <row r="458">
      <c r="A458" s="23"/>
      <c r="B458" s="24"/>
      <c r="C458" s="29"/>
      <c r="D458" s="29"/>
      <c r="E458" s="29"/>
      <c r="F458" s="29"/>
      <c r="G458" s="29"/>
      <c r="H458" s="12"/>
      <c r="I458" s="12"/>
      <c r="J458" s="12"/>
      <c r="K458" s="39"/>
      <c r="L458" s="12"/>
      <c r="M458" s="40"/>
      <c r="N458" s="29"/>
      <c r="O458" s="12"/>
      <c r="P458" s="39"/>
      <c r="Q458" s="12"/>
      <c r="R458" s="39"/>
      <c r="S458" s="39"/>
      <c r="T458" s="39"/>
      <c r="U458" s="39"/>
      <c r="V458" s="39"/>
      <c r="W458" s="39"/>
      <c r="X458" s="39"/>
      <c r="Y458" s="39"/>
      <c r="Z458" s="39"/>
      <c r="AA458" s="39"/>
      <c r="AB458" s="39"/>
      <c r="AC458" s="39"/>
    </row>
    <row r="459">
      <c r="A459" s="23"/>
      <c r="B459" s="24"/>
      <c r="C459" s="29"/>
      <c r="D459" s="29"/>
      <c r="E459" s="29"/>
      <c r="F459" s="29"/>
      <c r="G459" s="29"/>
      <c r="H459" s="12"/>
      <c r="I459" s="12"/>
      <c r="J459" s="12"/>
      <c r="K459" s="39"/>
      <c r="L459" s="12"/>
      <c r="M459" s="40"/>
      <c r="N459" s="29"/>
      <c r="O459" s="12"/>
      <c r="P459" s="39"/>
      <c r="Q459" s="12"/>
      <c r="R459" s="39"/>
      <c r="S459" s="39"/>
      <c r="T459" s="39"/>
      <c r="U459" s="39"/>
      <c r="V459" s="39"/>
      <c r="W459" s="39"/>
      <c r="X459" s="39"/>
      <c r="Y459" s="39"/>
      <c r="Z459" s="39"/>
      <c r="AA459" s="39"/>
      <c r="AB459" s="39"/>
      <c r="AC459" s="39"/>
    </row>
    <row r="460">
      <c r="A460" s="23"/>
      <c r="B460" s="24"/>
      <c r="C460" s="29"/>
      <c r="D460" s="29"/>
      <c r="E460" s="29"/>
      <c r="F460" s="29"/>
      <c r="G460" s="29"/>
      <c r="H460" s="12"/>
      <c r="I460" s="12"/>
      <c r="J460" s="12"/>
      <c r="K460" s="39"/>
      <c r="L460" s="12"/>
      <c r="M460" s="40"/>
      <c r="N460" s="29"/>
      <c r="O460" s="12"/>
      <c r="P460" s="39"/>
      <c r="Q460" s="12"/>
      <c r="R460" s="39"/>
      <c r="S460" s="39"/>
      <c r="T460" s="39"/>
      <c r="U460" s="39"/>
      <c r="V460" s="39"/>
      <c r="W460" s="39"/>
      <c r="X460" s="39"/>
      <c r="Y460" s="39"/>
      <c r="Z460" s="39"/>
      <c r="AA460" s="39"/>
      <c r="AB460" s="39"/>
      <c r="AC460" s="39"/>
    </row>
    <row r="461">
      <c r="A461" s="23"/>
      <c r="B461" s="24"/>
      <c r="C461" s="29"/>
      <c r="D461" s="29"/>
      <c r="E461" s="29"/>
      <c r="F461" s="29"/>
      <c r="G461" s="29"/>
      <c r="H461" s="12"/>
      <c r="I461" s="12"/>
      <c r="J461" s="12"/>
      <c r="K461" s="39"/>
      <c r="L461" s="12"/>
      <c r="M461" s="40"/>
      <c r="N461" s="29"/>
      <c r="O461" s="12"/>
      <c r="P461" s="39"/>
      <c r="Q461" s="12"/>
      <c r="R461" s="39"/>
      <c r="S461" s="39"/>
      <c r="T461" s="39"/>
      <c r="U461" s="39"/>
      <c r="V461" s="39"/>
      <c r="W461" s="39"/>
      <c r="X461" s="39"/>
      <c r="Y461" s="39"/>
      <c r="Z461" s="39"/>
      <c r="AA461" s="39"/>
      <c r="AB461" s="39"/>
      <c r="AC461" s="39"/>
    </row>
    <row r="462">
      <c r="A462" s="23"/>
      <c r="B462" s="24"/>
      <c r="C462" s="29"/>
      <c r="D462" s="29"/>
      <c r="E462" s="29"/>
      <c r="F462" s="29"/>
      <c r="G462" s="29"/>
      <c r="H462" s="12"/>
      <c r="I462" s="12"/>
      <c r="J462" s="12"/>
      <c r="K462" s="39"/>
      <c r="L462" s="12"/>
      <c r="M462" s="40"/>
      <c r="N462" s="29"/>
      <c r="O462" s="12"/>
      <c r="P462" s="39"/>
      <c r="Q462" s="12"/>
      <c r="R462" s="39"/>
      <c r="S462" s="39"/>
      <c r="T462" s="39"/>
      <c r="U462" s="39"/>
      <c r="V462" s="39"/>
      <c r="W462" s="39"/>
      <c r="X462" s="39"/>
      <c r="Y462" s="39"/>
      <c r="Z462" s="39"/>
      <c r="AA462" s="39"/>
      <c r="AB462" s="39"/>
      <c r="AC462" s="39"/>
    </row>
    <row r="463">
      <c r="A463" s="23"/>
      <c r="B463" s="24"/>
      <c r="C463" s="29"/>
      <c r="D463" s="29"/>
      <c r="E463" s="29"/>
      <c r="F463" s="29"/>
      <c r="G463" s="29"/>
      <c r="H463" s="12"/>
      <c r="I463" s="12"/>
      <c r="J463" s="12"/>
      <c r="K463" s="39"/>
      <c r="L463" s="12"/>
      <c r="M463" s="40"/>
      <c r="N463" s="29"/>
      <c r="O463" s="12"/>
      <c r="P463" s="39"/>
      <c r="Q463" s="12"/>
      <c r="R463" s="39"/>
      <c r="S463" s="39"/>
      <c r="T463" s="39"/>
      <c r="U463" s="39"/>
      <c r="V463" s="39"/>
      <c r="W463" s="39"/>
      <c r="X463" s="39"/>
      <c r="Y463" s="39"/>
      <c r="Z463" s="39"/>
      <c r="AA463" s="39"/>
      <c r="AB463" s="39"/>
      <c r="AC463" s="39"/>
    </row>
    <row r="464">
      <c r="A464" s="23"/>
      <c r="B464" s="24"/>
      <c r="C464" s="29"/>
      <c r="D464" s="29"/>
      <c r="E464" s="29"/>
      <c r="F464" s="29"/>
      <c r="G464" s="29"/>
      <c r="H464" s="12"/>
      <c r="I464" s="12"/>
      <c r="J464" s="12"/>
      <c r="K464" s="39"/>
      <c r="L464" s="12"/>
      <c r="M464" s="40"/>
      <c r="N464" s="29"/>
      <c r="O464" s="12"/>
      <c r="P464" s="39"/>
      <c r="Q464" s="12"/>
      <c r="R464" s="39"/>
      <c r="S464" s="39"/>
      <c r="T464" s="39"/>
      <c r="U464" s="39"/>
      <c r="V464" s="39"/>
      <c r="W464" s="39"/>
      <c r="X464" s="39"/>
      <c r="Y464" s="39"/>
      <c r="Z464" s="39"/>
      <c r="AA464" s="39"/>
      <c r="AB464" s="39"/>
      <c r="AC464" s="39"/>
    </row>
    <row r="465">
      <c r="A465" s="23"/>
      <c r="B465" s="24"/>
      <c r="C465" s="29"/>
      <c r="D465" s="29"/>
      <c r="E465" s="29"/>
      <c r="F465" s="29"/>
      <c r="G465" s="29"/>
      <c r="H465" s="12"/>
      <c r="I465" s="12"/>
      <c r="J465" s="12"/>
      <c r="K465" s="39"/>
      <c r="L465" s="12"/>
      <c r="M465" s="40"/>
      <c r="N465" s="29"/>
      <c r="O465" s="12"/>
      <c r="P465" s="39"/>
      <c r="Q465" s="12"/>
      <c r="R465" s="39"/>
      <c r="S465" s="39"/>
      <c r="T465" s="39"/>
      <c r="U465" s="39"/>
      <c r="V465" s="39"/>
      <c r="W465" s="39"/>
      <c r="X465" s="39"/>
      <c r="Y465" s="39"/>
      <c r="Z465" s="39"/>
      <c r="AA465" s="39"/>
      <c r="AB465" s="39"/>
      <c r="AC465" s="39"/>
    </row>
    <row r="466">
      <c r="A466" s="23"/>
      <c r="B466" s="24"/>
      <c r="C466" s="29"/>
      <c r="D466" s="29"/>
      <c r="E466" s="29"/>
      <c r="F466" s="29"/>
      <c r="G466" s="29"/>
      <c r="H466" s="12"/>
      <c r="I466" s="12"/>
      <c r="J466" s="12"/>
      <c r="K466" s="39"/>
      <c r="L466" s="12"/>
      <c r="M466" s="40"/>
      <c r="N466" s="29"/>
      <c r="O466" s="12"/>
      <c r="P466" s="39"/>
      <c r="Q466" s="12"/>
      <c r="R466" s="39"/>
      <c r="S466" s="39"/>
      <c r="T466" s="39"/>
      <c r="U466" s="39"/>
      <c r="V466" s="39"/>
      <c r="W466" s="39"/>
      <c r="X466" s="39"/>
      <c r="Y466" s="39"/>
      <c r="Z466" s="39"/>
      <c r="AA466" s="39"/>
      <c r="AB466" s="39"/>
      <c r="AC466" s="39"/>
    </row>
    <row r="467">
      <c r="A467" s="23"/>
      <c r="B467" s="24"/>
      <c r="C467" s="29"/>
      <c r="D467" s="29"/>
      <c r="E467" s="29"/>
      <c r="F467" s="29"/>
      <c r="G467" s="29"/>
      <c r="H467" s="12"/>
      <c r="I467" s="12"/>
      <c r="J467" s="12"/>
      <c r="K467" s="39"/>
      <c r="L467" s="12"/>
      <c r="M467" s="40"/>
      <c r="N467" s="29"/>
      <c r="O467" s="12"/>
      <c r="P467" s="39"/>
      <c r="Q467" s="12"/>
      <c r="R467" s="39"/>
      <c r="S467" s="39"/>
      <c r="T467" s="39"/>
      <c r="U467" s="39"/>
      <c r="V467" s="39"/>
      <c r="W467" s="39"/>
      <c r="X467" s="39"/>
      <c r="Y467" s="39"/>
      <c r="Z467" s="39"/>
      <c r="AA467" s="39"/>
      <c r="AB467" s="39"/>
      <c r="AC467" s="39"/>
    </row>
    <row r="468">
      <c r="A468" s="23"/>
      <c r="B468" s="24"/>
      <c r="C468" s="29"/>
      <c r="D468" s="29"/>
      <c r="E468" s="29"/>
      <c r="F468" s="29"/>
      <c r="G468" s="29"/>
      <c r="H468" s="12"/>
      <c r="I468" s="12"/>
      <c r="J468" s="12"/>
      <c r="K468" s="39"/>
      <c r="L468" s="12"/>
      <c r="M468" s="40"/>
      <c r="N468" s="29"/>
      <c r="O468" s="12"/>
      <c r="P468" s="39"/>
      <c r="Q468" s="12"/>
      <c r="R468" s="39"/>
      <c r="S468" s="39"/>
      <c r="T468" s="39"/>
      <c r="U468" s="39"/>
      <c r="V468" s="39"/>
      <c r="W468" s="39"/>
      <c r="X468" s="39"/>
      <c r="Y468" s="39"/>
      <c r="Z468" s="39"/>
      <c r="AA468" s="39"/>
      <c r="AB468" s="39"/>
      <c r="AC468" s="39"/>
    </row>
    <row r="469">
      <c r="A469" s="23"/>
      <c r="B469" s="24"/>
      <c r="C469" s="29"/>
      <c r="D469" s="29"/>
      <c r="E469" s="29"/>
      <c r="F469" s="29"/>
      <c r="G469" s="29"/>
      <c r="H469" s="12"/>
      <c r="I469" s="12"/>
      <c r="J469" s="12"/>
      <c r="K469" s="39"/>
      <c r="L469" s="12"/>
      <c r="M469" s="40"/>
      <c r="N469" s="29"/>
      <c r="O469" s="12"/>
      <c r="P469" s="39"/>
      <c r="Q469" s="12"/>
      <c r="R469" s="39"/>
      <c r="S469" s="39"/>
      <c r="T469" s="39"/>
      <c r="U469" s="39"/>
      <c r="V469" s="39"/>
      <c r="W469" s="39"/>
      <c r="X469" s="39"/>
      <c r="Y469" s="39"/>
      <c r="Z469" s="39"/>
      <c r="AA469" s="39"/>
      <c r="AB469" s="39"/>
      <c r="AC469" s="39"/>
    </row>
    <row r="470">
      <c r="A470" s="23"/>
      <c r="B470" s="24"/>
      <c r="C470" s="29"/>
      <c r="D470" s="29"/>
      <c r="E470" s="29"/>
      <c r="F470" s="29"/>
      <c r="G470" s="29"/>
      <c r="H470" s="12"/>
      <c r="I470" s="12"/>
      <c r="J470" s="12"/>
      <c r="K470" s="39"/>
      <c r="L470" s="12"/>
      <c r="M470" s="40"/>
      <c r="N470" s="29"/>
      <c r="O470" s="12"/>
      <c r="P470" s="39"/>
      <c r="Q470" s="12"/>
      <c r="R470" s="39"/>
      <c r="S470" s="39"/>
      <c r="T470" s="39"/>
      <c r="U470" s="39"/>
      <c r="V470" s="39"/>
      <c r="W470" s="39"/>
      <c r="X470" s="39"/>
      <c r="Y470" s="39"/>
      <c r="Z470" s="39"/>
      <c r="AA470" s="39"/>
      <c r="AB470" s="39"/>
      <c r="AC470" s="39"/>
    </row>
    <row r="471">
      <c r="A471" s="23"/>
      <c r="B471" s="24"/>
      <c r="C471" s="29"/>
      <c r="D471" s="29"/>
      <c r="E471" s="29"/>
      <c r="F471" s="29"/>
      <c r="G471" s="29"/>
      <c r="H471" s="12"/>
      <c r="I471" s="12"/>
      <c r="J471" s="12"/>
      <c r="K471" s="39"/>
      <c r="L471" s="12"/>
      <c r="M471" s="40"/>
      <c r="N471" s="29"/>
      <c r="O471" s="12"/>
      <c r="P471" s="39"/>
      <c r="Q471" s="12"/>
      <c r="R471" s="39"/>
      <c r="S471" s="39"/>
      <c r="T471" s="39"/>
      <c r="U471" s="39"/>
      <c r="V471" s="39"/>
      <c r="W471" s="39"/>
      <c r="X471" s="39"/>
      <c r="Y471" s="39"/>
      <c r="Z471" s="39"/>
      <c r="AA471" s="39"/>
      <c r="AB471" s="39"/>
      <c r="AC471" s="39"/>
    </row>
    <row r="472">
      <c r="A472" s="23"/>
      <c r="B472" s="24"/>
      <c r="C472" s="29"/>
      <c r="D472" s="29"/>
      <c r="E472" s="29"/>
      <c r="F472" s="29"/>
      <c r="G472" s="29"/>
      <c r="H472" s="12"/>
      <c r="I472" s="12"/>
      <c r="J472" s="12"/>
      <c r="K472" s="39"/>
      <c r="L472" s="12"/>
      <c r="M472" s="40"/>
      <c r="N472" s="29"/>
      <c r="O472" s="12"/>
      <c r="P472" s="39"/>
      <c r="Q472" s="12"/>
      <c r="R472" s="39"/>
      <c r="S472" s="39"/>
      <c r="T472" s="39"/>
      <c r="U472" s="39"/>
      <c r="V472" s="39"/>
      <c r="W472" s="39"/>
      <c r="X472" s="39"/>
      <c r="Y472" s="39"/>
      <c r="Z472" s="39"/>
      <c r="AA472" s="39"/>
      <c r="AB472" s="39"/>
      <c r="AC472" s="39"/>
    </row>
    <row r="473">
      <c r="A473" s="23"/>
      <c r="B473" s="24"/>
      <c r="C473" s="29"/>
      <c r="D473" s="29"/>
      <c r="E473" s="29"/>
      <c r="F473" s="29"/>
      <c r="G473" s="29"/>
      <c r="H473" s="12"/>
      <c r="I473" s="12"/>
      <c r="J473" s="12"/>
      <c r="K473" s="39"/>
      <c r="L473" s="12"/>
      <c r="M473" s="40"/>
      <c r="N473" s="29"/>
      <c r="O473" s="12"/>
      <c r="P473" s="39"/>
      <c r="Q473" s="12"/>
      <c r="R473" s="39"/>
      <c r="S473" s="39"/>
      <c r="T473" s="39"/>
      <c r="U473" s="39"/>
      <c r="V473" s="39"/>
      <c r="W473" s="39"/>
      <c r="X473" s="39"/>
      <c r="Y473" s="39"/>
      <c r="Z473" s="39"/>
      <c r="AA473" s="39"/>
      <c r="AB473" s="39"/>
      <c r="AC473" s="39"/>
    </row>
    <row r="474">
      <c r="A474" s="23"/>
      <c r="B474" s="24"/>
      <c r="C474" s="29"/>
      <c r="D474" s="29"/>
      <c r="E474" s="29"/>
      <c r="F474" s="29"/>
      <c r="G474" s="29"/>
      <c r="H474" s="12"/>
      <c r="I474" s="12"/>
      <c r="J474" s="12"/>
      <c r="K474" s="39"/>
      <c r="L474" s="12"/>
      <c r="M474" s="40"/>
      <c r="N474" s="29"/>
      <c r="O474" s="12"/>
      <c r="P474" s="39"/>
      <c r="Q474" s="12"/>
      <c r="R474" s="39"/>
      <c r="S474" s="39"/>
      <c r="T474" s="39"/>
      <c r="U474" s="39"/>
      <c r="V474" s="39"/>
      <c r="W474" s="39"/>
      <c r="X474" s="39"/>
      <c r="Y474" s="39"/>
      <c r="Z474" s="39"/>
      <c r="AA474" s="39"/>
      <c r="AB474" s="39"/>
      <c r="AC474" s="39"/>
    </row>
    <row r="475">
      <c r="A475" s="23"/>
      <c r="B475" s="24"/>
      <c r="C475" s="29"/>
      <c r="D475" s="29"/>
      <c r="E475" s="29"/>
      <c r="F475" s="29"/>
      <c r="G475" s="29"/>
      <c r="H475" s="12"/>
      <c r="I475" s="12"/>
      <c r="J475" s="12"/>
      <c r="K475" s="39"/>
      <c r="L475" s="12"/>
      <c r="M475" s="40"/>
      <c r="N475" s="29"/>
      <c r="O475" s="12"/>
      <c r="P475" s="39"/>
      <c r="Q475" s="12"/>
      <c r="R475" s="39"/>
      <c r="S475" s="39"/>
      <c r="T475" s="39"/>
      <c r="U475" s="39"/>
      <c r="V475" s="39"/>
      <c r="W475" s="39"/>
      <c r="X475" s="39"/>
      <c r="Y475" s="39"/>
      <c r="Z475" s="39"/>
      <c r="AA475" s="39"/>
      <c r="AB475" s="39"/>
      <c r="AC475" s="39"/>
    </row>
    <row r="476">
      <c r="A476" s="23"/>
      <c r="B476" s="24"/>
      <c r="C476" s="29"/>
      <c r="D476" s="29"/>
      <c r="E476" s="29"/>
      <c r="F476" s="29"/>
      <c r="G476" s="29"/>
      <c r="H476" s="12"/>
      <c r="I476" s="12"/>
      <c r="J476" s="12"/>
      <c r="K476" s="39"/>
      <c r="L476" s="12"/>
      <c r="M476" s="40"/>
      <c r="N476" s="29"/>
      <c r="O476" s="12"/>
      <c r="P476" s="39"/>
      <c r="Q476" s="12"/>
      <c r="R476" s="39"/>
      <c r="S476" s="39"/>
      <c r="T476" s="39"/>
      <c r="U476" s="39"/>
      <c r="V476" s="39"/>
      <c r="W476" s="39"/>
      <c r="X476" s="39"/>
      <c r="Y476" s="39"/>
      <c r="Z476" s="39"/>
      <c r="AA476" s="39"/>
      <c r="AB476" s="39"/>
      <c r="AC476" s="39"/>
    </row>
    <row r="477">
      <c r="A477" s="23"/>
      <c r="B477" s="24"/>
      <c r="C477" s="29"/>
      <c r="D477" s="29"/>
      <c r="E477" s="29"/>
      <c r="F477" s="29"/>
      <c r="G477" s="29"/>
      <c r="H477" s="12"/>
      <c r="I477" s="12"/>
      <c r="J477" s="12"/>
      <c r="K477" s="39"/>
      <c r="L477" s="12"/>
      <c r="M477" s="40"/>
      <c r="N477" s="29"/>
      <c r="O477" s="12"/>
      <c r="P477" s="39"/>
      <c r="Q477" s="12"/>
      <c r="R477" s="39"/>
      <c r="S477" s="39"/>
      <c r="T477" s="39"/>
      <c r="U477" s="39"/>
      <c r="V477" s="39"/>
      <c r="W477" s="39"/>
      <c r="X477" s="39"/>
      <c r="Y477" s="39"/>
      <c r="Z477" s="39"/>
      <c r="AA477" s="39"/>
      <c r="AB477" s="39"/>
      <c r="AC477" s="39"/>
    </row>
    <row r="478">
      <c r="A478" s="23"/>
      <c r="B478" s="24"/>
      <c r="C478" s="29"/>
      <c r="D478" s="29"/>
      <c r="E478" s="29"/>
      <c r="F478" s="29"/>
      <c r="G478" s="29"/>
      <c r="H478" s="12"/>
      <c r="I478" s="12"/>
      <c r="J478" s="12"/>
      <c r="K478" s="39"/>
      <c r="L478" s="12"/>
      <c r="M478" s="40"/>
      <c r="N478" s="29"/>
      <c r="O478" s="12"/>
      <c r="P478" s="39"/>
      <c r="Q478" s="12"/>
      <c r="R478" s="39"/>
      <c r="S478" s="39"/>
      <c r="T478" s="39"/>
      <c r="U478" s="39"/>
      <c r="V478" s="39"/>
      <c r="W478" s="39"/>
      <c r="X478" s="39"/>
      <c r="Y478" s="39"/>
      <c r="Z478" s="39"/>
      <c r="AA478" s="39"/>
      <c r="AB478" s="39"/>
      <c r="AC478" s="39"/>
    </row>
    <row r="479">
      <c r="A479" s="23"/>
      <c r="B479" s="24"/>
      <c r="C479" s="29"/>
      <c r="D479" s="29"/>
      <c r="E479" s="29"/>
      <c r="F479" s="29"/>
      <c r="G479" s="29"/>
      <c r="H479" s="12"/>
      <c r="I479" s="12"/>
      <c r="J479" s="12"/>
      <c r="K479" s="39"/>
      <c r="L479" s="12"/>
      <c r="M479" s="40"/>
      <c r="N479" s="29"/>
      <c r="O479" s="12"/>
      <c r="P479" s="39"/>
      <c r="Q479" s="12"/>
      <c r="R479" s="39"/>
      <c r="S479" s="39"/>
      <c r="T479" s="39"/>
      <c r="U479" s="39"/>
      <c r="V479" s="39"/>
      <c r="W479" s="39"/>
      <c r="X479" s="39"/>
      <c r="Y479" s="39"/>
      <c r="Z479" s="39"/>
      <c r="AA479" s="39"/>
      <c r="AB479" s="39"/>
      <c r="AC479" s="39"/>
    </row>
    <row r="480">
      <c r="A480" s="23"/>
      <c r="B480" s="24"/>
      <c r="C480" s="29"/>
      <c r="D480" s="29"/>
      <c r="E480" s="29"/>
      <c r="F480" s="29"/>
      <c r="G480" s="29"/>
      <c r="H480" s="12"/>
      <c r="I480" s="12"/>
      <c r="J480" s="12"/>
      <c r="K480" s="39"/>
      <c r="L480" s="12"/>
      <c r="M480" s="40"/>
      <c r="N480" s="29"/>
      <c r="O480" s="12"/>
      <c r="P480" s="39"/>
      <c r="Q480" s="12"/>
      <c r="R480" s="39"/>
      <c r="S480" s="39"/>
      <c r="T480" s="39"/>
      <c r="U480" s="39"/>
      <c r="V480" s="39"/>
      <c r="W480" s="39"/>
      <c r="X480" s="39"/>
      <c r="Y480" s="39"/>
      <c r="Z480" s="39"/>
      <c r="AA480" s="39"/>
      <c r="AB480" s="39"/>
      <c r="AC480" s="39"/>
    </row>
    <row r="481">
      <c r="A481" s="23"/>
      <c r="B481" s="24"/>
      <c r="C481" s="29"/>
      <c r="D481" s="29"/>
      <c r="E481" s="29"/>
      <c r="F481" s="29"/>
      <c r="G481" s="29"/>
      <c r="H481" s="12"/>
      <c r="I481" s="12"/>
      <c r="J481" s="12"/>
      <c r="K481" s="39"/>
      <c r="L481" s="12"/>
      <c r="M481" s="40"/>
      <c r="N481" s="29"/>
      <c r="O481" s="12"/>
      <c r="P481" s="39"/>
      <c r="Q481" s="12"/>
      <c r="R481" s="39"/>
      <c r="S481" s="39"/>
      <c r="T481" s="39"/>
      <c r="U481" s="39"/>
      <c r="V481" s="39"/>
      <c r="W481" s="39"/>
      <c r="X481" s="39"/>
      <c r="Y481" s="39"/>
      <c r="Z481" s="39"/>
      <c r="AA481" s="39"/>
      <c r="AB481" s="39"/>
      <c r="AC481" s="39"/>
    </row>
    <row r="482">
      <c r="A482" s="23"/>
      <c r="B482" s="24"/>
      <c r="C482" s="29"/>
      <c r="D482" s="29"/>
      <c r="E482" s="29"/>
      <c r="F482" s="29"/>
      <c r="G482" s="29"/>
      <c r="H482" s="12"/>
      <c r="I482" s="12"/>
      <c r="J482" s="12"/>
      <c r="K482" s="39"/>
      <c r="L482" s="12"/>
      <c r="M482" s="40"/>
      <c r="N482" s="29"/>
      <c r="O482" s="12"/>
      <c r="P482" s="39"/>
      <c r="Q482" s="12"/>
      <c r="R482" s="39"/>
      <c r="S482" s="39"/>
      <c r="T482" s="39"/>
      <c r="U482" s="39"/>
      <c r="V482" s="39"/>
      <c r="W482" s="39"/>
      <c r="X482" s="39"/>
      <c r="Y482" s="39"/>
      <c r="Z482" s="39"/>
      <c r="AA482" s="39"/>
      <c r="AB482" s="39"/>
      <c r="AC482" s="39"/>
    </row>
    <row r="483">
      <c r="A483" s="23"/>
      <c r="B483" s="24"/>
      <c r="C483" s="29"/>
      <c r="D483" s="29"/>
      <c r="E483" s="29"/>
      <c r="F483" s="29"/>
      <c r="G483" s="29"/>
      <c r="H483" s="12"/>
      <c r="I483" s="12"/>
      <c r="J483" s="12"/>
      <c r="K483" s="39"/>
      <c r="L483" s="12"/>
      <c r="M483" s="40"/>
      <c r="N483" s="29"/>
      <c r="O483" s="12"/>
      <c r="P483" s="39"/>
      <c r="Q483" s="12"/>
      <c r="R483" s="39"/>
      <c r="S483" s="39"/>
      <c r="T483" s="39"/>
      <c r="U483" s="39"/>
      <c r="V483" s="39"/>
      <c r="W483" s="39"/>
      <c r="X483" s="39"/>
      <c r="Y483" s="39"/>
      <c r="Z483" s="39"/>
      <c r="AA483" s="39"/>
      <c r="AB483" s="39"/>
      <c r="AC483" s="39"/>
    </row>
    <row r="484">
      <c r="A484" s="23"/>
      <c r="B484" s="24"/>
      <c r="C484" s="29"/>
      <c r="D484" s="29"/>
      <c r="E484" s="29"/>
      <c r="F484" s="29"/>
      <c r="G484" s="29"/>
      <c r="H484" s="12"/>
      <c r="I484" s="12"/>
      <c r="J484" s="12"/>
      <c r="K484" s="39"/>
      <c r="L484" s="12"/>
      <c r="M484" s="40"/>
      <c r="N484" s="29"/>
      <c r="O484" s="12"/>
      <c r="P484" s="39"/>
      <c r="Q484" s="12"/>
      <c r="R484" s="39"/>
      <c r="S484" s="39"/>
      <c r="T484" s="39"/>
      <c r="U484" s="39"/>
      <c r="V484" s="39"/>
      <c r="W484" s="39"/>
      <c r="X484" s="39"/>
      <c r="Y484" s="39"/>
      <c r="Z484" s="39"/>
      <c r="AA484" s="39"/>
      <c r="AB484" s="39"/>
      <c r="AC484" s="39"/>
    </row>
    <row r="485">
      <c r="A485" s="23"/>
      <c r="B485" s="24"/>
      <c r="C485" s="29"/>
      <c r="D485" s="29"/>
      <c r="E485" s="29"/>
      <c r="F485" s="29"/>
      <c r="G485" s="29"/>
      <c r="H485" s="12"/>
      <c r="I485" s="12"/>
      <c r="J485" s="12"/>
      <c r="K485" s="39"/>
      <c r="L485" s="12"/>
      <c r="M485" s="40"/>
      <c r="N485" s="29"/>
      <c r="O485" s="12"/>
      <c r="P485" s="39"/>
      <c r="Q485" s="12"/>
      <c r="R485" s="39"/>
      <c r="S485" s="39"/>
      <c r="T485" s="39"/>
      <c r="U485" s="39"/>
      <c r="V485" s="39"/>
      <c r="W485" s="39"/>
      <c r="X485" s="39"/>
      <c r="Y485" s="39"/>
      <c r="Z485" s="39"/>
      <c r="AA485" s="39"/>
      <c r="AB485" s="39"/>
      <c r="AC485" s="39"/>
    </row>
    <row r="486">
      <c r="A486" s="23"/>
      <c r="B486" s="24"/>
      <c r="C486" s="29"/>
      <c r="D486" s="29"/>
      <c r="E486" s="29"/>
      <c r="F486" s="29"/>
      <c r="G486" s="29"/>
      <c r="H486" s="12"/>
      <c r="I486" s="12"/>
      <c r="J486" s="12"/>
      <c r="K486" s="39"/>
      <c r="L486" s="12"/>
      <c r="M486" s="40"/>
      <c r="N486" s="29"/>
      <c r="O486" s="12"/>
      <c r="P486" s="39"/>
      <c r="Q486" s="12"/>
      <c r="R486" s="39"/>
      <c r="S486" s="39"/>
      <c r="T486" s="39"/>
      <c r="U486" s="39"/>
      <c r="V486" s="39"/>
      <c r="W486" s="39"/>
      <c r="X486" s="39"/>
      <c r="Y486" s="39"/>
      <c r="Z486" s="39"/>
      <c r="AA486" s="39"/>
      <c r="AB486" s="39"/>
      <c r="AC486" s="39"/>
    </row>
    <row r="487">
      <c r="A487" s="23"/>
      <c r="B487" s="24"/>
      <c r="C487" s="29"/>
      <c r="D487" s="29"/>
      <c r="E487" s="29"/>
      <c r="F487" s="29"/>
      <c r="G487" s="29"/>
      <c r="H487" s="12"/>
      <c r="I487" s="12"/>
      <c r="J487" s="12"/>
      <c r="K487" s="39"/>
      <c r="L487" s="12"/>
      <c r="M487" s="40"/>
      <c r="N487" s="29"/>
      <c r="O487" s="12"/>
      <c r="P487" s="39"/>
      <c r="Q487" s="12"/>
      <c r="R487" s="39"/>
      <c r="S487" s="39"/>
      <c r="T487" s="39"/>
      <c r="U487" s="39"/>
      <c r="V487" s="39"/>
      <c r="W487" s="39"/>
      <c r="X487" s="39"/>
      <c r="Y487" s="39"/>
      <c r="Z487" s="39"/>
      <c r="AA487" s="39"/>
      <c r="AB487" s="39"/>
      <c r="AC487" s="39"/>
    </row>
    <row r="488">
      <c r="A488" s="23"/>
      <c r="B488" s="24"/>
      <c r="C488" s="29"/>
      <c r="D488" s="29"/>
      <c r="E488" s="29"/>
      <c r="F488" s="29"/>
      <c r="G488" s="29"/>
      <c r="H488" s="12"/>
      <c r="I488" s="12"/>
      <c r="J488" s="12"/>
      <c r="K488" s="39"/>
      <c r="L488" s="12"/>
      <c r="M488" s="40"/>
      <c r="N488" s="29"/>
      <c r="O488" s="12"/>
      <c r="P488" s="39"/>
      <c r="Q488" s="12"/>
      <c r="R488" s="39"/>
      <c r="S488" s="39"/>
      <c r="T488" s="39"/>
      <c r="U488" s="39"/>
      <c r="V488" s="39"/>
      <c r="W488" s="39"/>
      <c r="X488" s="39"/>
      <c r="Y488" s="39"/>
      <c r="Z488" s="39"/>
      <c r="AA488" s="39"/>
      <c r="AB488" s="39"/>
      <c r="AC488" s="39"/>
    </row>
    <row r="489">
      <c r="A489" s="23"/>
      <c r="B489" s="24"/>
      <c r="C489" s="29"/>
      <c r="D489" s="29"/>
      <c r="E489" s="29"/>
      <c r="F489" s="29"/>
      <c r="G489" s="29"/>
      <c r="H489" s="12"/>
      <c r="I489" s="12"/>
      <c r="J489" s="12"/>
      <c r="K489" s="39"/>
      <c r="L489" s="12"/>
      <c r="M489" s="40"/>
      <c r="N489" s="29"/>
      <c r="O489" s="12"/>
      <c r="P489" s="39"/>
      <c r="Q489" s="12"/>
      <c r="R489" s="39"/>
      <c r="S489" s="39"/>
      <c r="T489" s="39"/>
      <c r="U489" s="39"/>
      <c r="V489" s="39"/>
      <c r="W489" s="39"/>
      <c r="X489" s="39"/>
      <c r="Y489" s="39"/>
      <c r="Z489" s="39"/>
      <c r="AA489" s="39"/>
      <c r="AB489" s="39"/>
      <c r="AC489" s="39"/>
    </row>
    <row r="490">
      <c r="A490" s="23"/>
      <c r="B490" s="24"/>
      <c r="C490" s="29"/>
      <c r="D490" s="29"/>
      <c r="E490" s="29"/>
      <c r="F490" s="29"/>
      <c r="G490" s="29"/>
      <c r="H490" s="12"/>
      <c r="I490" s="12"/>
      <c r="J490" s="12"/>
      <c r="K490" s="39"/>
      <c r="L490" s="12"/>
      <c r="M490" s="40"/>
      <c r="N490" s="29"/>
      <c r="O490" s="12"/>
      <c r="P490" s="39"/>
      <c r="Q490" s="12"/>
      <c r="R490" s="39"/>
      <c r="S490" s="39"/>
      <c r="T490" s="39"/>
      <c r="U490" s="39"/>
      <c r="V490" s="39"/>
      <c r="W490" s="39"/>
      <c r="X490" s="39"/>
      <c r="Y490" s="39"/>
      <c r="Z490" s="39"/>
      <c r="AA490" s="39"/>
      <c r="AB490" s="39"/>
      <c r="AC490" s="39"/>
    </row>
    <row r="491">
      <c r="A491" s="23"/>
      <c r="B491" s="24"/>
      <c r="C491" s="29"/>
      <c r="D491" s="29"/>
      <c r="E491" s="29"/>
      <c r="F491" s="29"/>
      <c r="G491" s="29"/>
      <c r="H491" s="12"/>
      <c r="I491" s="12"/>
      <c r="J491" s="12"/>
      <c r="K491" s="39"/>
      <c r="L491" s="12"/>
      <c r="M491" s="40"/>
      <c r="N491" s="29"/>
      <c r="O491" s="12"/>
      <c r="P491" s="39"/>
      <c r="Q491" s="12"/>
      <c r="R491" s="39"/>
      <c r="S491" s="39"/>
      <c r="T491" s="39"/>
      <c r="U491" s="39"/>
      <c r="V491" s="39"/>
      <c r="W491" s="39"/>
      <c r="X491" s="39"/>
      <c r="Y491" s="39"/>
      <c r="Z491" s="39"/>
      <c r="AA491" s="39"/>
      <c r="AB491" s="39"/>
      <c r="AC491" s="39"/>
    </row>
    <row r="492">
      <c r="A492" s="23"/>
      <c r="B492" s="24"/>
      <c r="C492" s="29"/>
      <c r="D492" s="29"/>
      <c r="E492" s="29"/>
      <c r="F492" s="29"/>
      <c r="G492" s="29"/>
      <c r="H492" s="12"/>
      <c r="I492" s="12"/>
      <c r="J492" s="12"/>
      <c r="K492" s="39"/>
      <c r="L492" s="12"/>
      <c r="M492" s="40"/>
      <c r="N492" s="29"/>
      <c r="O492" s="12"/>
      <c r="P492" s="39"/>
      <c r="Q492" s="12"/>
      <c r="R492" s="39"/>
      <c r="S492" s="39"/>
      <c r="T492" s="39"/>
      <c r="U492" s="39"/>
      <c r="V492" s="39"/>
      <c r="W492" s="39"/>
      <c r="X492" s="39"/>
      <c r="Y492" s="39"/>
      <c r="Z492" s="39"/>
      <c r="AA492" s="39"/>
      <c r="AB492" s="39"/>
      <c r="AC492" s="39"/>
    </row>
    <row r="493">
      <c r="A493" s="23"/>
      <c r="B493" s="24"/>
      <c r="C493" s="29"/>
      <c r="D493" s="29"/>
      <c r="E493" s="29"/>
      <c r="F493" s="29"/>
      <c r="G493" s="29"/>
      <c r="H493" s="12"/>
      <c r="I493" s="12"/>
      <c r="J493" s="12"/>
      <c r="K493" s="39"/>
      <c r="L493" s="12"/>
      <c r="M493" s="40"/>
      <c r="N493" s="29"/>
      <c r="O493" s="12"/>
      <c r="P493" s="39"/>
      <c r="Q493" s="12"/>
      <c r="R493" s="39"/>
      <c r="S493" s="39"/>
      <c r="T493" s="39"/>
      <c r="U493" s="39"/>
      <c r="V493" s="39"/>
      <c r="W493" s="39"/>
      <c r="X493" s="39"/>
      <c r="Y493" s="39"/>
      <c r="Z493" s="39"/>
      <c r="AA493" s="39"/>
      <c r="AB493" s="39"/>
      <c r="AC493" s="39"/>
    </row>
    <row r="494">
      <c r="A494" s="23"/>
      <c r="B494" s="24"/>
      <c r="C494" s="29"/>
      <c r="D494" s="29"/>
      <c r="E494" s="29"/>
      <c r="F494" s="29"/>
      <c r="G494" s="29"/>
      <c r="H494" s="12"/>
      <c r="I494" s="12"/>
      <c r="J494" s="12"/>
      <c r="K494" s="39"/>
      <c r="L494" s="12"/>
      <c r="M494" s="40"/>
      <c r="N494" s="29"/>
      <c r="O494" s="12"/>
      <c r="P494" s="39"/>
      <c r="Q494" s="12"/>
      <c r="R494" s="39"/>
      <c r="S494" s="39"/>
      <c r="T494" s="39"/>
      <c r="U494" s="39"/>
      <c r="V494" s="39"/>
      <c r="W494" s="39"/>
      <c r="X494" s="39"/>
      <c r="Y494" s="39"/>
      <c r="Z494" s="39"/>
      <c r="AA494" s="39"/>
      <c r="AB494" s="39"/>
      <c r="AC494" s="39"/>
    </row>
    <row r="495">
      <c r="A495" s="23"/>
      <c r="B495" s="24"/>
      <c r="C495" s="29"/>
      <c r="D495" s="29"/>
      <c r="E495" s="29"/>
      <c r="F495" s="29"/>
      <c r="G495" s="29"/>
      <c r="H495" s="12"/>
      <c r="I495" s="12"/>
      <c r="J495" s="12"/>
      <c r="K495" s="39"/>
      <c r="L495" s="12"/>
      <c r="M495" s="40"/>
      <c r="N495" s="29"/>
      <c r="O495" s="12"/>
      <c r="P495" s="39"/>
      <c r="Q495" s="12"/>
      <c r="R495" s="39"/>
      <c r="S495" s="39"/>
      <c r="T495" s="39"/>
      <c r="U495" s="39"/>
      <c r="V495" s="39"/>
      <c r="W495" s="39"/>
      <c r="X495" s="39"/>
      <c r="Y495" s="39"/>
      <c r="Z495" s="39"/>
      <c r="AA495" s="39"/>
      <c r="AB495" s="39"/>
      <c r="AC495" s="39"/>
    </row>
    <row r="496">
      <c r="A496" s="23"/>
      <c r="B496" s="24"/>
      <c r="C496" s="29"/>
      <c r="D496" s="29"/>
      <c r="E496" s="29"/>
      <c r="F496" s="29"/>
      <c r="G496" s="29"/>
      <c r="H496" s="12"/>
      <c r="I496" s="12"/>
      <c r="J496" s="12"/>
      <c r="K496" s="39"/>
      <c r="L496" s="12"/>
      <c r="M496" s="40"/>
      <c r="N496" s="29"/>
      <c r="O496" s="12"/>
      <c r="P496" s="39"/>
      <c r="Q496" s="12"/>
      <c r="R496" s="39"/>
      <c r="S496" s="39"/>
      <c r="T496" s="39"/>
      <c r="U496" s="39"/>
      <c r="V496" s="39"/>
      <c r="W496" s="39"/>
      <c r="X496" s="39"/>
      <c r="Y496" s="39"/>
      <c r="Z496" s="39"/>
      <c r="AA496" s="39"/>
      <c r="AB496" s="39"/>
      <c r="AC496" s="39"/>
    </row>
    <row r="497">
      <c r="A497" s="23"/>
      <c r="B497" s="24"/>
      <c r="C497" s="29"/>
      <c r="D497" s="29"/>
      <c r="E497" s="29"/>
      <c r="F497" s="29"/>
      <c r="G497" s="29"/>
      <c r="H497" s="12"/>
      <c r="I497" s="12"/>
      <c r="J497" s="12"/>
      <c r="K497" s="39"/>
      <c r="L497" s="12"/>
      <c r="M497" s="40"/>
      <c r="N497" s="29"/>
      <c r="O497" s="12"/>
      <c r="P497" s="39"/>
      <c r="Q497" s="12"/>
      <c r="R497" s="39"/>
      <c r="S497" s="39"/>
      <c r="T497" s="39"/>
      <c r="U497" s="39"/>
      <c r="V497" s="39"/>
      <c r="W497" s="39"/>
      <c r="X497" s="39"/>
      <c r="Y497" s="39"/>
      <c r="Z497" s="39"/>
      <c r="AA497" s="39"/>
      <c r="AB497" s="39"/>
      <c r="AC497" s="39"/>
    </row>
    <row r="498">
      <c r="A498" s="23"/>
      <c r="B498" s="24"/>
      <c r="C498" s="29"/>
      <c r="D498" s="29"/>
      <c r="E498" s="29"/>
      <c r="F498" s="29"/>
      <c r="G498" s="29"/>
      <c r="H498" s="12"/>
      <c r="I498" s="12"/>
      <c r="J498" s="12"/>
      <c r="K498" s="39"/>
      <c r="L498" s="12"/>
      <c r="M498" s="40"/>
      <c r="N498" s="29"/>
      <c r="O498" s="12"/>
      <c r="P498" s="39"/>
      <c r="Q498" s="12"/>
      <c r="R498" s="39"/>
      <c r="S498" s="39"/>
      <c r="T498" s="39"/>
      <c r="U498" s="39"/>
      <c r="V498" s="39"/>
      <c r="W498" s="39"/>
      <c r="X498" s="39"/>
      <c r="Y498" s="39"/>
      <c r="Z498" s="39"/>
      <c r="AA498" s="39"/>
      <c r="AB498" s="39"/>
      <c r="AC498" s="39"/>
    </row>
    <row r="499">
      <c r="A499" s="23"/>
      <c r="B499" s="24"/>
      <c r="C499" s="29"/>
      <c r="D499" s="29"/>
      <c r="E499" s="29"/>
      <c r="F499" s="29"/>
      <c r="G499" s="29"/>
      <c r="H499" s="12"/>
      <c r="I499" s="12"/>
      <c r="J499" s="12"/>
      <c r="K499" s="39"/>
      <c r="L499" s="12"/>
      <c r="M499" s="40"/>
      <c r="N499" s="29"/>
      <c r="O499" s="12"/>
      <c r="P499" s="39"/>
      <c r="Q499" s="12"/>
      <c r="R499" s="39"/>
      <c r="S499" s="39"/>
      <c r="T499" s="39"/>
      <c r="U499" s="39"/>
      <c r="V499" s="39"/>
      <c r="W499" s="39"/>
      <c r="X499" s="39"/>
      <c r="Y499" s="39"/>
      <c r="Z499" s="39"/>
      <c r="AA499" s="39"/>
      <c r="AB499" s="39"/>
      <c r="AC499" s="39"/>
    </row>
    <row r="500">
      <c r="A500" s="23"/>
      <c r="B500" s="24"/>
      <c r="C500" s="29"/>
      <c r="D500" s="29"/>
      <c r="E500" s="29"/>
      <c r="F500" s="29"/>
      <c r="G500" s="29"/>
      <c r="H500" s="12"/>
      <c r="I500" s="12"/>
      <c r="J500" s="12"/>
      <c r="K500" s="39"/>
      <c r="L500" s="12"/>
      <c r="M500" s="40"/>
      <c r="N500" s="29"/>
      <c r="O500" s="12"/>
      <c r="P500" s="39"/>
      <c r="Q500" s="12"/>
      <c r="R500" s="39"/>
      <c r="S500" s="39"/>
      <c r="T500" s="39"/>
      <c r="U500" s="39"/>
      <c r="V500" s="39"/>
      <c r="W500" s="39"/>
      <c r="X500" s="39"/>
      <c r="Y500" s="39"/>
      <c r="Z500" s="39"/>
      <c r="AA500" s="39"/>
      <c r="AB500" s="39"/>
      <c r="AC500" s="39"/>
    </row>
    <row r="501">
      <c r="A501" s="23"/>
      <c r="B501" s="24"/>
      <c r="C501" s="29"/>
      <c r="D501" s="29"/>
      <c r="E501" s="29"/>
      <c r="F501" s="29"/>
      <c r="G501" s="29"/>
      <c r="H501" s="12"/>
      <c r="I501" s="12"/>
      <c r="J501" s="12"/>
      <c r="K501" s="39"/>
      <c r="L501" s="12"/>
      <c r="M501" s="40"/>
      <c r="N501" s="29"/>
      <c r="O501" s="12"/>
      <c r="P501" s="39"/>
      <c r="Q501" s="12"/>
      <c r="R501" s="39"/>
      <c r="S501" s="39"/>
      <c r="T501" s="39"/>
      <c r="U501" s="39"/>
      <c r="V501" s="39"/>
      <c r="W501" s="39"/>
      <c r="X501" s="39"/>
      <c r="Y501" s="39"/>
      <c r="Z501" s="39"/>
      <c r="AA501" s="39"/>
      <c r="AB501" s="39"/>
      <c r="AC501" s="39"/>
    </row>
    <row r="502">
      <c r="A502" s="23"/>
      <c r="B502" s="24"/>
      <c r="C502" s="29"/>
      <c r="D502" s="29"/>
      <c r="E502" s="29"/>
      <c r="F502" s="29"/>
      <c r="G502" s="29"/>
      <c r="H502" s="12"/>
      <c r="I502" s="12"/>
      <c r="J502" s="12"/>
      <c r="K502" s="39"/>
      <c r="L502" s="12"/>
      <c r="M502" s="40"/>
      <c r="N502" s="29"/>
      <c r="O502" s="12"/>
      <c r="P502" s="39"/>
      <c r="Q502" s="12"/>
      <c r="R502" s="39"/>
      <c r="S502" s="39"/>
      <c r="T502" s="39"/>
      <c r="U502" s="39"/>
      <c r="V502" s="39"/>
      <c r="W502" s="39"/>
      <c r="X502" s="39"/>
      <c r="Y502" s="39"/>
      <c r="Z502" s="39"/>
      <c r="AA502" s="39"/>
      <c r="AB502" s="39"/>
      <c r="AC502" s="39"/>
    </row>
    <row r="503">
      <c r="A503" s="23"/>
      <c r="B503" s="24"/>
      <c r="C503" s="29"/>
      <c r="D503" s="29"/>
      <c r="E503" s="29"/>
      <c r="F503" s="29"/>
      <c r="G503" s="29"/>
      <c r="H503" s="12"/>
      <c r="I503" s="12"/>
      <c r="J503" s="12"/>
      <c r="K503" s="39"/>
      <c r="L503" s="12"/>
      <c r="M503" s="40"/>
      <c r="N503" s="29"/>
      <c r="O503" s="12"/>
      <c r="P503" s="39"/>
      <c r="Q503" s="12"/>
      <c r="R503" s="39"/>
      <c r="S503" s="39"/>
      <c r="T503" s="39"/>
      <c r="U503" s="39"/>
      <c r="V503" s="39"/>
      <c r="W503" s="39"/>
      <c r="X503" s="39"/>
      <c r="Y503" s="39"/>
      <c r="Z503" s="39"/>
      <c r="AA503" s="39"/>
      <c r="AB503" s="39"/>
      <c r="AC503" s="39"/>
    </row>
    <row r="504">
      <c r="A504" s="23"/>
      <c r="B504" s="24"/>
      <c r="C504" s="29"/>
      <c r="D504" s="29"/>
      <c r="E504" s="29"/>
      <c r="F504" s="29"/>
      <c r="G504" s="29"/>
      <c r="H504" s="12"/>
      <c r="I504" s="12"/>
      <c r="J504" s="12"/>
      <c r="K504" s="39"/>
      <c r="L504" s="12"/>
      <c r="M504" s="40"/>
      <c r="N504" s="29"/>
      <c r="O504" s="12"/>
      <c r="P504" s="39"/>
      <c r="Q504" s="12"/>
      <c r="R504" s="39"/>
      <c r="S504" s="39"/>
      <c r="T504" s="39"/>
      <c r="U504" s="39"/>
      <c r="V504" s="39"/>
      <c r="W504" s="39"/>
      <c r="X504" s="39"/>
      <c r="Y504" s="39"/>
      <c r="Z504" s="39"/>
      <c r="AA504" s="39"/>
      <c r="AB504" s="39"/>
      <c r="AC504" s="39"/>
    </row>
    <row r="505">
      <c r="A505" s="23"/>
      <c r="B505" s="24"/>
      <c r="C505" s="29"/>
      <c r="D505" s="29"/>
      <c r="E505" s="29"/>
      <c r="F505" s="29"/>
      <c r="G505" s="29"/>
      <c r="H505" s="12"/>
      <c r="I505" s="12"/>
      <c r="J505" s="12"/>
      <c r="K505" s="39"/>
      <c r="L505" s="12"/>
      <c r="M505" s="40"/>
      <c r="N505" s="29"/>
      <c r="O505" s="12"/>
      <c r="P505" s="39"/>
      <c r="Q505" s="12"/>
      <c r="R505" s="39"/>
      <c r="S505" s="39"/>
      <c r="T505" s="39"/>
      <c r="U505" s="39"/>
      <c r="V505" s="39"/>
      <c r="W505" s="39"/>
      <c r="X505" s="39"/>
      <c r="Y505" s="39"/>
      <c r="Z505" s="39"/>
      <c r="AA505" s="39"/>
      <c r="AB505" s="39"/>
      <c r="AC505" s="39"/>
    </row>
    <row r="506">
      <c r="A506" s="23"/>
      <c r="B506" s="24"/>
      <c r="C506" s="29"/>
      <c r="D506" s="29"/>
      <c r="E506" s="29"/>
      <c r="F506" s="29"/>
      <c r="G506" s="29"/>
      <c r="H506" s="12"/>
      <c r="I506" s="12"/>
      <c r="J506" s="12"/>
      <c r="K506" s="39"/>
      <c r="L506" s="12"/>
      <c r="M506" s="40"/>
      <c r="N506" s="29"/>
      <c r="O506" s="12"/>
      <c r="P506" s="39"/>
      <c r="Q506" s="12"/>
      <c r="R506" s="39"/>
      <c r="S506" s="39"/>
      <c r="T506" s="39"/>
      <c r="U506" s="39"/>
      <c r="V506" s="39"/>
      <c r="W506" s="39"/>
      <c r="X506" s="39"/>
      <c r="Y506" s="39"/>
      <c r="Z506" s="39"/>
      <c r="AA506" s="39"/>
      <c r="AB506" s="39"/>
      <c r="AC506" s="39"/>
    </row>
    <row r="507">
      <c r="A507" s="23"/>
      <c r="B507" s="24"/>
      <c r="C507" s="29"/>
      <c r="D507" s="29"/>
      <c r="E507" s="29"/>
      <c r="F507" s="29"/>
      <c r="G507" s="29"/>
      <c r="H507" s="12"/>
      <c r="I507" s="12"/>
      <c r="J507" s="12"/>
      <c r="K507" s="39"/>
      <c r="L507" s="12"/>
      <c r="M507" s="40"/>
      <c r="N507" s="29"/>
      <c r="O507" s="12"/>
      <c r="P507" s="39"/>
      <c r="Q507" s="12"/>
      <c r="R507" s="39"/>
      <c r="S507" s="39"/>
      <c r="T507" s="39"/>
      <c r="U507" s="39"/>
      <c r="V507" s="39"/>
      <c r="W507" s="39"/>
      <c r="X507" s="39"/>
      <c r="Y507" s="39"/>
      <c r="Z507" s="39"/>
      <c r="AA507" s="39"/>
      <c r="AB507" s="39"/>
      <c r="AC507" s="39"/>
    </row>
    <row r="508">
      <c r="A508" s="23"/>
      <c r="B508" s="24"/>
      <c r="C508" s="29"/>
      <c r="D508" s="29"/>
      <c r="E508" s="29"/>
      <c r="F508" s="29"/>
      <c r="G508" s="29"/>
      <c r="H508" s="12"/>
      <c r="I508" s="12"/>
      <c r="J508" s="12"/>
      <c r="K508" s="39"/>
      <c r="L508" s="12"/>
      <c r="M508" s="40"/>
      <c r="N508" s="29"/>
      <c r="O508" s="12"/>
      <c r="P508" s="39"/>
      <c r="Q508" s="12"/>
      <c r="R508" s="39"/>
      <c r="S508" s="39"/>
      <c r="T508" s="39"/>
      <c r="U508" s="39"/>
      <c r="V508" s="39"/>
      <c r="W508" s="39"/>
      <c r="X508" s="39"/>
      <c r="Y508" s="39"/>
      <c r="Z508" s="39"/>
      <c r="AA508" s="39"/>
      <c r="AB508" s="39"/>
      <c r="AC508" s="39"/>
    </row>
    <row r="509">
      <c r="A509" s="23"/>
      <c r="B509" s="24"/>
      <c r="C509" s="29"/>
      <c r="D509" s="29"/>
      <c r="E509" s="29"/>
      <c r="F509" s="29"/>
      <c r="G509" s="29"/>
      <c r="H509" s="12"/>
      <c r="I509" s="12"/>
      <c r="J509" s="12"/>
      <c r="K509" s="39"/>
      <c r="L509" s="12"/>
      <c r="M509" s="40"/>
      <c r="N509" s="29"/>
      <c r="O509" s="12"/>
      <c r="P509" s="39"/>
      <c r="Q509" s="12"/>
      <c r="R509" s="39"/>
      <c r="S509" s="39"/>
      <c r="T509" s="39"/>
      <c r="U509" s="39"/>
      <c r="V509" s="39"/>
      <c r="W509" s="39"/>
      <c r="X509" s="39"/>
      <c r="Y509" s="39"/>
      <c r="Z509" s="39"/>
      <c r="AA509" s="39"/>
      <c r="AB509" s="39"/>
      <c r="AC509" s="39"/>
    </row>
    <row r="510">
      <c r="A510" s="23"/>
      <c r="B510" s="24"/>
      <c r="C510" s="29"/>
      <c r="D510" s="29"/>
      <c r="E510" s="29"/>
      <c r="F510" s="29"/>
      <c r="G510" s="29"/>
      <c r="H510" s="12"/>
      <c r="I510" s="12"/>
      <c r="J510" s="12"/>
      <c r="K510" s="39"/>
      <c r="L510" s="12"/>
      <c r="M510" s="40"/>
      <c r="N510" s="29"/>
      <c r="O510" s="12"/>
      <c r="P510" s="39"/>
      <c r="Q510" s="12"/>
      <c r="R510" s="39"/>
      <c r="S510" s="39"/>
      <c r="T510" s="39"/>
      <c r="U510" s="39"/>
      <c r="V510" s="39"/>
      <c r="W510" s="39"/>
      <c r="X510" s="39"/>
      <c r="Y510" s="39"/>
      <c r="Z510" s="39"/>
      <c r="AA510" s="39"/>
      <c r="AB510" s="39"/>
      <c r="AC510" s="39"/>
    </row>
    <row r="511">
      <c r="A511" s="23"/>
      <c r="B511" s="24"/>
      <c r="C511" s="29"/>
      <c r="D511" s="29"/>
      <c r="E511" s="29"/>
      <c r="F511" s="29"/>
      <c r="G511" s="29"/>
      <c r="H511" s="12"/>
      <c r="I511" s="12"/>
      <c r="J511" s="12"/>
      <c r="K511" s="39"/>
      <c r="L511" s="12"/>
      <c r="M511" s="40"/>
      <c r="N511" s="29"/>
      <c r="O511" s="12"/>
      <c r="P511" s="39"/>
      <c r="Q511" s="12"/>
      <c r="R511" s="39"/>
      <c r="S511" s="39"/>
      <c r="T511" s="39"/>
      <c r="U511" s="39"/>
      <c r="V511" s="39"/>
      <c r="W511" s="39"/>
      <c r="X511" s="39"/>
      <c r="Y511" s="39"/>
      <c r="Z511" s="39"/>
      <c r="AA511" s="39"/>
      <c r="AB511" s="39"/>
      <c r="AC511" s="39"/>
    </row>
    <row r="512">
      <c r="A512" s="23"/>
      <c r="B512" s="24"/>
      <c r="C512" s="29"/>
      <c r="D512" s="29"/>
      <c r="E512" s="29"/>
      <c r="F512" s="29"/>
      <c r="G512" s="29"/>
      <c r="H512" s="12"/>
      <c r="I512" s="12"/>
      <c r="J512" s="12"/>
      <c r="K512" s="39"/>
      <c r="L512" s="12"/>
      <c r="M512" s="40"/>
      <c r="N512" s="29"/>
      <c r="O512" s="12"/>
      <c r="P512" s="39"/>
      <c r="Q512" s="12"/>
      <c r="R512" s="39"/>
      <c r="S512" s="39"/>
      <c r="T512" s="39"/>
      <c r="U512" s="39"/>
      <c r="V512" s="39"/>
      <c r="W512" s="39"/>
      <c r="X512" s="39"/>
      <c r="Y512" s="39"/>
      <c r="Z512" s="39"/>
      <c r="AA512" s="39"/>
      <c r="AB512" s="39"/>
      <c r="AC512" s="39"/>
    </row>
    <row r="513">
      <c r="A513" s="23"/>
      <c r="B513" s="24"/>
      <c r="C513" s="29"/>
      <c r="D513" s="29"/>
      <c r="E513" s="29"/>
      <c r="F513" s="29"/>
      <c r="G513" s="29"/>
      <c r="H513" s="12"/>
      <c r="I513" s="12"/>
      <c r="J513" s="12"/>
      <c r="K513" s="39"/>
      <c r="L513" s="12"/>
      <c r="M513" s="40"/>
      <c r="N513" s="29"/>
      <c r="O513" s="12"/>
      <c r="P513" s="39"/>
      <c r="Q513" s="12"/>
      <c r="R513" s="39"/>
      <c r="S513" s="39"/>
      <c r="T513" s="39"/>
      <c r="U513" s="39"/>
      <c r="V513" s="39"/>
      <c r="W513" s="39"/>
      <c r="X513" s="39"/>
      <c r="Y513" s="39"/>
      <c r="Z513" s="39"/>
      <c r="AA513" s="39"/>
      <c r="AB513" s="39"/>
      <c r="AC513" s="39"/>
    </row>
    <row r="514">
      <c r="A514" s="23"/>
      <c r="B514" s="24"/>
      <c r="C514" s="29"/>
      <c r="D514" s="29"/>
      <c r="E514" s="29"/>
      <c r="F514" s="29"/>
      <c r="G514" s="29"/>
      <c r="H514" s="12"/>
      <c r="I514" s="12"/>
      <c r="J514" s="12"/>
      <c r="K514" s="39"/>
      <c r="L514" s="12"/>
      <c r="M514" s="40"/>
      <c r="N514" s="29"/>
      <c r="O514" s="12"/>
      <c r="P514" s="39"/>
      <c r="Q514" s="12"/>
      <c r="R514" s="39"/>
      <c r="S514" s="39"/>
      <c r="T514" s="39"/>
      <c r="U514" s="39"/>
      <c r="V514" s="39"/>
      <c r="W514" s="39"/>
      <c r="X514" s="39"/>
      <c r="Y514" s="39"/>
      <c r="Z514" s="39"/>
      <c r="AA514" s="39"/>
      <c r="AB514" s="39"/>
      <c r="AC514" s="39"/>
    </row>
    <row r="515">
      <c r="A515" s="23"/>
      <c r="B515" s="24"/>
      <c r="C515" s="29"/>
      <c r="D515" s="29"/>
      <c r="E515" s="29"/>
      <c r="F515" s="29"/>
      <c r="G515" s="29"/>
      <c r="H515" s="12"/>
      <c r="I515" s="12"/>
      <c r="J515" s="12"/>
      <c r="K515" s="39"/>
      <c r="L515" s="12"/>
      <c r="M515" s="40"/>
      <c r="N515" s="29"/>
      <c r="O515" s="12"/>
      <c r="P515" s="39"/>
      <c r="Q515" s="12"/>
      <c r="R515" s="39"/>
      <c r="S515" s="39"/>
      <c r="T515" s="39"/>
      <c r="U515" s="39"/>
      <c r="V515" s="39"/>
      <c r="W515" s="39"/>
      <c r="X515" s="39"/>
      <c r="Y515" s="39"/>
      <c r="Z515" s="39"/>
      <c r="AA515" s="39"/>
      <c r="AB515" s="39"/>
      <c r="AC515" s="39"/>
    </row>
    <row r="516">
      <c r="A516" s="23"/>
      <c r="B516" s="24"/>
      <c r="C516" s="29"/>
      <c r="D516" s="29"/>
      <c r="E516" s="29"/>
      <c r="F516" s="29"/>
      <c r="G516" s="29"/>
      <c r="H516" s="12"/>
      <c r="I516" s="12"/>
      <c r="J516" s="12"/>
      <c r="K516" s="39"/>
      <c r="L516" s="12"/>
      <c r="M516" s="40"/>
      <c r="N516" s="29"/>
      <c r="O516" s="12"/>
      <c r="P516" s="39"/>
      <c r="Q516" s="12"/>
      <c r="R516" s="39"/>
      <c r="S516" s="39"/>
      <c r="T516" s="39"/>
      <c r="U516" s="39"/>
      <c r="V516" s="39"/>
      <c r="W516" s="39"/>
      <c r="X516" s="39"/>
      <c r="Y516" s="39"/>
      <c r="Z516" s="39"/>
      <c r="AA516" s="39"/>
      <c r="AB516" s="39"/>
      <c r="AC516" s="39"/>
    </row>
    <row r="517">
      <c r="A517" s="23"/>
      <c r="B517" s="24"/>
      <c r="C517" s="29"/>
      <c r="D517" s="29"/>
      <c r="E517" s="29"/>
      <c r="F517" s="29"/>
      <c r="G517" s="29"/>
      <c r="H517" s="12"/>
      <c r="I517" s="12"/>
      <c r="J517" s="12"/>
      <c r="K517" s="39"/>
      <c r="L517" s="12"/>
      <c r="M517" s="40"/>
      <c r="N517" s="29"/>
      <c r="O517" s="12"/>
      <c r="P517" s="39"/>
      <c r="Q517" s="12"/>
      <c r="R517" s="39"/>
      <c r="S517" s="39"/>
      <c r="T517" s="39"/>
      <c r="U517" s="39"/>
      <c r="V517" s="39"/>
      <c r="W517" s="39"/>
      <c r="X517" s="39"/>
      <c r="Y517" s="39"/>
      <c r="Z517" s="39"/>
      <c r="AA517" s="39"/>
      <c r="AB517" s="39"/>
      <c r="AC517" s="39"/>
    </row>
    <row r="518">
      <c r="A518" s="23"/>
      <c r="B518" s="24"/>
      <c r="C518" s="29"/>
      <c r="D518" s="29"/>
      <c r="E518" s="29"/>
      <c r="F518" s="29"/>
      <c r="G518" s="29"/>
      <c r="H518" s="12"/>
      <c r="I518" s="12"/>
      <c r="J518" s="12"/>
      <c r="K518" s="39"/>
      <c r="L518" s="12"/>
      <c r="M518" s="40"/>
      <c r="N518" s="29"/>
      <c r="O518" s="12"/>
      <c r="P518" s="39"/>
      <c r="Q518" s="12"/>
      <c r="R518" s="39"/>
      <c r="S518" s="39"/>
      <c r="T518" s="39"/>
      <c r="U518" s="39"/>
      <c r="V518" s="39"/>
      <c r="W518" s="39"/>
      <c r="X518" s="39"/>
      <c r="Y518" s="39"/>
      <c r="Z518" s="39"/>
      <c r="AA518" s="39"/>
      <c r="AB518" s="39"/>
      <c r="AC518" s="39"/>
    </row>
    <row r="519">
      <c r="A519" s="23"/>
      <c r="B519" s="24"/>
      <c r="C519" s="29"/>
      <c r="D519" s="29"/>
      <c r="E519" s="29"/>
      <c r="F519" s="29"/>
      <c r="G519" s="29"/>
      <c r="H519" s="12"/>
      <c r="I519" s="12"/>
      <c r="J519" s="12"/>
      <c r="K519" s="39"/>
      <c r="L519" s="12"/>
      <c r="M519" s="40"/>
      <c r="N519" s="29"/>
      <c r="O519" s="12"/>
      <c r="P519" s="39"/>
      <c r="Q519" s="12"/>
      <c r="R519" s="39"/>
      <c r="S519" s="39"/>
      <c r="T519" s="39"/>
      <c r="U519" s="39"/>
      <c r="V519" s="39"/>
      <c r="W519" s="39"/>
      <c r="X519" s="39"/>
      <c r="Y519" s="39"/>
      <c r="Z519" s="39"/>
      <c r="AA519" s="39"/>
      <c r="AB519" s="39"/>
      <c r="AC519" s="39"/>
    </row>
    <row r="520">
      <c r="A520" s="23"/>
      <c r="B520" s="24"/>
      <c r="C520" s="29"/>
      <c r="D520" s="29"/>
      <c r="E520" s="29"/>
      <c r="F520" s="29"/>
      <c r="G520" s="29"/>
      <c r="H520" s="12"/>
      <c r="I520" s="12"/>
      <c r="J520" s="12"/>
      <c r="K520" s="39"/>
      <c r="L520" s="12"/>
      <c r="M520" s="40"/>
      <c r="N520" s="29"/>
      <c r="O520" s="12"/>
      <c r="P520" s="39"/>
      <c r="Q520" s="12"/>
      <c r="R520" s="39"/>
      <c r="S520" s="39"/>
      <c r="T520" s="39"/>
      <c r="U520" s="39"/>
      <c r="V520" s="39"/>
      <c r="W520" s="39"/>
      <c r="X520" s="39"/>
      <c r="Y520" s="39"/>
      <c r="Z520" s="39"/>
      <c r="AA520" s="39"/>
      <c r="AB520" s="39"/>
      <c r="AC520" s="39"/>
    </row>
    <row r="521">
      <c r="A521" s="23"/>
      <c r="B521" s="24"/>
      <c r="C521" s="29"/>
      <c r="D521" s="29"/>
      <c r="E521" s="29"/>
      <c r="F521" s="29"/>
      <c r="G521" s="29"/>
      <c r="H521" s="12"/>
      <c r="I521" s="12"/>
      <c r="J521" s="12"/>
      <c r="K521" s="39"/>
      <c r="L521" s="12"/>
      <c r="M521" s="40"/>
      <c r="N521" s="29"/>
      <c r="O521" s="12"/>
      <c r="P521" s="39"/>
      <c r="Q521" s="12"/>
      <c r="R521" s="39"/>
      <c r="S521" s="39"/>
      <c r="T521" s="39"/>
      <c r="U521" s="39"/>
      <c r="V521" s="39"/>
      <c r="W521" s="39"/>
      <c r="X521" s="39"/>
      <c r="Y521" s="39"/>
      <c r="Z521" s="39"/>
      <c r="AA521" s="39"/>
      <c r="AB521" s="39"/>
      <c r="AC521" s="39"/>
    </row>
    <row r="522">
      <c r="A522" s="23"/>
      <c r="B522" s="24"/>
      <c r="C522" s="29"/>
      <c r="D522" s="29"/>
      <c r="E522" s="29"/>
      <c r="F522" s="29"/>
      <c r="G522" s="29"/>
      <c r="H522" s="12"/>
      <c r="I522" s="12"/>
      <c r="J522" s="12"/>
      <c r="K522" s="39"/>
      <c r="L522" s="12"/>
      <c r="M522" s="40"/>
      <c r="N522" s="29"/>
      <c r="O522" s="12"/>
      <c r="P522" s="39"/>
      <c r="Q522" s="12"/>
      <c r="R522" s="39"/>
      <c r="S522" s="39"/>
      <c r="T522" s="39"/>
      <c r="U522" s="39"/>
      <c r="V522" s="39"/>
      <c r="W522" s="39"/>
      <c r="X522" s="39"/>
      <c r="Y522" s="39"/>
      <c r="Z522" s="39"/>
      <c r="AA522" s="39"/>
      <c r="AB522" s="39"/>
      <c r="AC522" s="39"/>
    </row>
    <row r="523">
      <c r="A523" s="23"/>
      <c r="B523" s="24"/>
      <c r="C523" s="29"/>
      <c r="D523" s="29"/>
      <c r="E523" s="29"/>
      <c r="F523" s="29"/>
      <c r="G523" s="29"/>
      <c r="H523" s="12"/>
      <c r="I523" s="12"/>
      <c r="J523" s="12"/>
      <c r="K523" s="39"/>
      <c r="L523" s="12"/>
      <c r="M523" s="40"/>
      <c r="N523" s="29"/>
      <c r="O523" s="12"/>
      <c r="P523" s="39"/>
      <c r="Q523" s="12"/>
      <c r="R523" s="39"/>
      <c r="S523" s="39"/>
      <c r="T523" s="39"/>
      <c r="U523" s="39"/>
      <c r="V523" s="39"/>
      <c r="W523" s="39"/>
      <c r="X523" s="39"/>
      <c r="Y523" s="39"/>
      <c r="Z523" s="39"/>
      <c r="AA523" s="39"/>
      <c r="AB523" s="39"/>
      <c r="AC523" s="39"/>
    </row>
    <row r="524">
      <c r="A524" s="23"/>
      <c r="B524" s="24"/>
      <c r="C524" s="29"/>
      <c r="D524" s="29"/>
      <c r="E524" s="29"/>
      <c r="F524" s="29"/>
      <c r="G524" s="29"/>
      <c r="H524" s="12"/>
      <c r="I524" s="12"/>
      <c r="J524" s="12"/>
      <c r="K524" s="39"/>
      <c r="L524" s="12"/>
      <c r="M524" s="40"/>
      <c r="N524" s="29"/>
      <c r="O524" s="12"/>
      <c r="P524" s="39"/>
      <c r="Q524" s="12"/>
      <c r="R524" s="39"/>
      <c r="S524" s="39"/>
      <c r="T524" s="39"/>
      <c r="U524" s="39"/>
      <c r="V524" s="39"/>
      <c r="W524" s="39"/>
      <c r="X524" s="39"/>
      <c r="Y524" s="39"/>
      <c r="Z524" s="39"/>
      <c r="AA524" s="39"/>
      <c r="AB524" s="39"/>
      <c r="AC524" s="39"/>
    </row>
    <row r="525">
      <c r="A525" s="23"/>
      <c r="B525" s="24"/>
      <c r="C525" s="29"/>
      <c r="D525" s="29"/>
      <c r="E525" s="29"/>
      <c r="F525" s="29"/>
      <c r="G525" s="29"/>
      <c r="H525" s="12"/>
      <c r="I525" s="12"/>
      <c r="J525" s="12"/>
      <c r="K525" s="39"/>
      <c r="L525" s="12"/>
      <c r="M525" s="40"/>
      <c r="N525" s="29"/>
      <c r="O525" s="12"/>
      <c r="P525" s="39"/>
      <c r="Q525" s="12"/>
      <c r="R525" s="39"/>
      <c r="S525" s="39"/>
      <c r="T525" s="39"/>
      <c r="U525" s="39"/>
      <c r="V525" s="39"/>
      <c r="W525" s="39"/>
      <c r="X525" s="39"/>
      <c r="Y525" s="39"/>
      <c r="Z525" s="39"/>
      <c r="AA525" s="39"/>
      <c r="AB525" s="39"/>
      <c r="AC525" s="39"/>
    </row>
    <row r="526">
      <c r="A526" s="23"/>
      <c r="B526" s="24"/>
      <c r="C526" s="29"/>
      <c r="D526" s="29"/>
      <c r="E526" s="29"/>
      <c r="F526" s="29"/>
      <c r="G526" s="29"/>
      <c r="H526" s="12"/>
      <c r="I526" s="12"/>
      <c r="J526" s="12"/>
      <c r="K526" s="39"/>
      <c r="L526" s="12"/>
      <c r="M526" s="40"/>
      <c r="N526" s="29"/>
      <c r="O526" s="12"/>
      <c r="P526" s="39"/>
      <c r="Q526" s="12"/>
      <c r="R526" s="39"/>
      <c r="S526" s="39"/>
      <c r="T526" s="39"/>
      <c r="U526" s="39"/>
      <c r="V526" s="39"/>
      <c r="W526" s="39"/>
      <c r="X526" s="39"/>
      <c r="Y526" s="39"/>
      <c r="Z526" s="39"/>
      <c r="AA526" s="39"/>
      <c r="AB526" s="39"/>
      <c r="AC526" s="39"/>
    </row>
    <row r="527">
      <c r="A527" s="23"/>
      <c r="B527" s="24"/>
      <c r="C527" s="29"/>
      <c r="D527" s="29"/>
      <c r="E527" s="29"/>
      <c r="F527" s="29"/>
      <c r="G527" s="29"/>
      <c r="H527" s="12"/>
      <c r="I527" s="12"/>
      <c r="J527" s="12"/>
      <c r="K527" s="39"/>
      <c r="L527" s="12"/>
      <c r="M527" s="40"/>
      <c r="N527" s="29"/>
      <c r="O527" s="12"/>
      <c r="P527" s="39"/>
      <c r="Q527" s="12"/>
      <c r="R527" s="39"/>
      <c r="S527" s="39"/>
      <c r="T527" s="39"/>
      <c r="U527" s="39"/>
      <c r="V527" s="39"/>
      <c r="W527" s="39"/>
      <c r="X527" s="39"/>
      <c r="Y527" s="39"/>
      <c r="Z527" s="39"/>
      <c r="AA527" s="39"/>
      <c r="AB527" s="39"/>
      <c r="AC527" s="39"/>
    </row>
    <row r="528">
      <c r="A528" s="23"/>
      <c r="B528" s="24"/>
      <c r="C528" s="29"/>
      <c r="D528" s="29"/>
      <c r="E528" s="29"/>
      <c r="F528" s="29"/>
      <c r="G528" s="29"/>
      <c r="H528" s="12"/>
      <c r="I528" s="12"/>
      <c r="J528" s="12"/>
      <c r="K528" s="39"/>
      <c r="L528" s="12"/>
      <c r="M528" s="40"/>
      <c r="N528" s="29"/>
      <c r="O528" s="12"/>
      <c r="P528" s="39"/>
      <c r="Q528" s="12"/>
      <c r="R528" s="39"/>
      <c r="S528" s="39"/>
      <c r="T528" s="39"/>
      <c r="U528" s="39"/>
      <c r="V528" s="39"/>
      <c r="W528" s="39"/>
      <c r="X528" s="39"/>
      <c r="Y528" s="39"/>
      <c r="Z528" s="39"/>
      <c r="AA528" s="39"/>
      <c r="AB528" s="39"/>
      <c r="AC528" s="39"/>
    </row>
    <row r="529">
      <c r="A529" s="23"/>
      <c r="B529" s="24"/>
      <c r="C529" s="29"/>
      <c r="D529" s="29"/>
      <c r="E529" s="29"/>
      <c r="F529" s="29"/>
      <c r="G529" s="29"/>
      <c r="H529" s="12"/>
      <c r="I529" s="12"/>
      <c r="J529" s="12"/>
      <c r="K529" s="39"/>
      <c r="L529" s="12"/>
      <c r="M529" s="40"/>
      <c r="N529" s="29"/>
      <c r="O529" s="12"/>
      <c r="P529" s="39"/>
      <c r="Q529" s="12"/>
      <c r="R529" s="39"/>
      <c r="S529" s="39"/>
      <c r="T529" s="39"/>
      <c r="U529" s="39"/>
      <c r="V529" s="39"/>
      <c r="W529" s="39"/>
      <c r="X529" s="39"/>
      <c r="Y529" s="39"/>
      <c r="Z529" s="39"/>
      <c r="AA529" s="39"/>
      <c r="AB529" s="39"/>
      <c r="AC529" s="39"/>
    </row>
    <row r="530">
      <c r="A530" s="23"/>
      <c r="B530" s="24"/>
      <c r="C530" s="29"/>
      <c r="D530" s="29"/>
      <c r="E530" s="29"/>
      <c r="F530" s="29"/>
      <c r="G530" s="29"/>
      <c r="H530" s="12"/>
      <c r="I530" s="12"/>
      <c r="J530" s="12"/>
      <c r="K530" s="39"/>
      <c r="L530" s="12"/>
      <c r="M530" s="40"/>
      <c r="N530" s="29"/>
      <c r="O530" s="12"/>
      <c r="P530" s="39"/>
      <c r="Q530" s="12"/>
      <c r="R530" s="39"/>
      <c r="S530" s="39"/>
      <c r="T530" s="39"/>
      <c r="U530" s="39"/>
      <c r="V530" s="39"/>
      <c r="W530" s="39"/>
      <c r="X530" s="39"/>
      <c r="Y530" s="39"/>
      <c r="Z530" s="39"/>
      <c r="AA530" s="39"/>
      <c r="AB530" s="39"/>
      <c r="AC530" s="39"/>
    </row>
    <row r="531">
      <c r="A531" s="23"/>
      <c r="B531" s="24"/>
      <c r="C531" s="29"/>
      <c r="D531" s="29"/>
      <c r="E531" s="29"/>
      <c r="F531" s="29"/>
      <c r="G531" s="29"/>
      <c r="H531" s="12"/>
      <c r="I531" s="12"/>
      <c r="J531" s="12"/>
      <c r="K531" s="39"/>
      <c r="L531" s="12"/>
      <c r="M531" s="40"/>
      <c r="N531" s="29"/>
      <c r="O531" s="12"/>
      <c r="P531" s="39"/>
      <c r="Q531" s="12"/>
      <c r="R531" s="39"/>
      <c r="S531" s="39"/>
      <c r="T531" s="39"/>
      <c r="U531" s="39"/>
      <c r="V531" s="39"/>
      <c r="W531" s="39"/>
      <c r="X531" s="39"/>
      <c r="Y531" s="39"/>
      <c r="Z531" s="39"/>
      <c r="AA531" s="39"/>
      <c r="AB531" s="39"/>
      <c r="AC531" s="39"/>
    </row>
    <row r="532">
      <c r="A532" s="23"/>
      <c r="B532" s="24"/>
      <c r="C532" s="29"/>
      <c r="D532" s="29"/>
      <c r="E532" s="29"/>
      <c r="F532" s="29"/>
      <c r="G532" s="29"/>
      <c r="H532" s="12"/>
      <c r="I532" s="12"/>
      <c r="J532" s="12"/>
      <c r="K532" s="39"/>
      <c r="L532" s="12"/>
      <c r="M532" s="40"/>
      <c r="N532" s="29"/>
      <c r="O532" s="12"/>
      <c r="P532" s="39"/>
      <c r="Q532" s="12"/>
      <c r="R532" s="39"/>
      <c r="S532" s="39"/>
      <c r="T532" s="39"/>
      <c r="U532" s="39"/>
      <c r="V532" s="39"/>
      <c r="W532" s="39"/>
      <c r="X532" s="39"/>
      <c r="Y532" s="39"/>
      <c r="Z532" s="39"/>
      <c r="AA532" s="39"/>
      <c r="AB532" s="39"/>
      <c r="AC532" s="39"/>
    </row>
    <row r="533">
      <c r="A533" s="23"/>
      <c r="B533" s="24"/>
      <c r="C533" s="29"/>
      <c r="D533" s="29"/>
      <c r="E533" s="29"/>
      <c r="F533" s="29"/>
      <c r="G533" s="29"/>
      <c r="H533" s="12"/>
      <c r="I533" s="12"/>
      <c r="J533" s="12"/>
      <c r="K533" s="39"/>
      <c r="L533" s="12"/>
      <c r="M533" s="40"/>
      <c r="N533" s="29"/>
      <c r="O533" s="12"/>
      <c r="P533" s="39"/>
      <c r="Q533" s="12"/>
      <c r="R533" s="39"/>
      <c r="S533" s="39"/>
      <c r="T533" s="39"/>
      <c r="U533" s="39"/>
      <c r="V533" s="39"/>
      <c r="W533" s="39"/>
      <c r="X533" s="39"/>
      <c r="Y533" s="39"/>
      <c r="Z533" s="39"/>
      <c r="AA533" s="39"/>
      <c r="AB533" s="39"/>
      <c r="AC533" s="39"/>
    </row>
    <row r="534">
      <c r="A534" s="23"/>
      <c r="B534" s="24"/>
      <c r="C534" s="29"/>
      <c r="D534" s="29"/>
      <c r="E534" s="29"/>
      <c r="F534" s="29"/>
      <c r="G534" s="29"/>
      <c r="H534" s="12"/>
      <c r="I534" s="12"/>
      <c r="J534" s="12"/>
      <c r="K534" s="39"/>
      <c r="L534" s="12"/>
      <c r="M534" s="40"/>
      <c r="N534" s="29"/>
      <c r="O534" s="12"/>
      <c r="P534" s="39"/>
      <c r="Q534" s="12"/>
      <c r="R534" s="39"/>
      <c r="S534" s="39"/>
      <c r="T534" s="39"/>
      <c r="U534" s="39"/>
      <c r="V534" s="39"/>
      <c r="W534" s="39"/>
      <c r="X534" s="39"/>
      <c r="Y534" s="39"/>
      <c r="Z534" s="39"/>
      <c r="AA534" s="39"/>
      <c r="AB534" s="39"/>
      <c r="AC534" s="39"/>
    </row>
    <row r="535">
      <c r="A535" s="23"/>
      <c r="B535" s="24"/>
      <c r="C535" s="29"/>
      <c r="D535" s="29"/>
      <c r="E535" s="29"/>
      <c r="F535" s="29"/>
      <c r="G535" s="29"/>
      <c r="H535" s="12"/>
      <c r="I535" s="12"/>
      <c r="J535" s="12"/>
      <c r="K535" s="39"/>
      <c r="L535" s="12"/>
      <c r="M535" s="40"/>
      <c r="N535" s="29"/>
      <c r="O535" s="12"/>
      <c r="P535" s="39"/>
      <c r="Q535" s="12"/>
      <c r="R535" s="39"/>
      <c r="S535" s="39"/>
      <c r="T535" s="39"/>
      <c r="U535" s="39"/>
      <c r="V535" s="39"/>
      <c r="W535" s="39"/>
      <c r="X535" s="39"/>
      <c r="Y535" s="39"/>
      <c r="Z535" s="39"/>
      <c r="AA535" s="39"/>
      <c r="AB535" s="39"/>
      <c r="AC535" s="39"/>
    </row>
    <row r="536">
      <c r="A536" s="23"/>
      <c r="B536" s="24"/>
      <c r="C536" s="29"/>
      <c r="D536" s="29"/>
      <c r="E536" s="29"/>
      <c r="F536" s="29"/>
      <c r="G536" s="29"/>
      <c r="H536" s="12"/>
      <c r="I536" s="12"/>
      <c r="J536" s="12"/>
      <c r="K536" s="39"/>
      <c r="L536" s="12"/>
      <c r="M536" s="40"/>
      <c r="N536" s="29"/>
      <c r="O536" s="12"/>
      <c r="P536" s="39"/>
      <c r="Q536" s="12"/>
      <c r="R536" s="39"/>
      <c r="S536" s="39"/>
      <c r="T536" s="39"/>
      <c r="U536" s="39"/>
      <c r="V536" s="39"/>
      <c r="W536" s="39"/>
      <c r="X536" s="39"/>
      <c r="Y536" s="39"/>
      <c r="Z536" s="39"/>
      <c r="AA536" s="39"/>
      <c r="AB536" s="39"/>
      <c r="AC536" s="39"/>
    </row>
    <row r="537">
      <c r="A537" s="23"/>
      <c r="B537" s="24"/>
      <c r="C537" s="29"/>
      <c r="D537" s="29"/>
      <c r="E537" s="29"/>
      <c r="F537" s="29"/>
      <c r="G537" s="29"/>
      <c r="H537" s="12"/>
      <c r="I537" s="12"/>
      <c r="J537" s="12"/>
      <c r="K537" s="39"/>
      <c r="L537" s="12"/>
      <c r="M537" s="40"/>
      <c r="N537" s="29"/>
      <c r="O537" s="12"/>
      <c r="P537" s="39"/>
      <c r="Q537" s="12"/>
      <c r="R537" s="39"/>
      <c r="S537" s="39"/>
      <c r="T537" s="39"/>
      <c r="U537" s="39"/>
      <c r="V537" s="39"/>
      <c r="W537" s="39"/>
      <c r="X537" s="39"/>
      <c r="Y537" s="39"/>
      <c r="Z537" s="39"/>
      <c r="AA537" s="39"/>
      <c r="AB537" s="39"/>
      <c r="AC537" s="39"/>
    </row>
    <row r="538">
      <c r="A538" s="23"/>
      <c r="B538" s="24"/>
      <c r="C538" s="29"/>
      <c r="D538" s="29"/>
      <c r="E538" s="29"/>
      <c r="F538" s="29"/>
      <c r="G538" s="29"/>
      <c r="H538" s="12"/>
      <c r="I538" s="12"/>
      <c r="J538" s="12"/>
      <c r="K538" s="39"/>
      <c r="L538" s="12"/>
      <c r="M538" s="40"/>
      <c r="N538" s="29"/>
      <c r="O538" s="12"/>
      <c r="P538" s="39"/>
      <c r="Q538" s="12"/>
      <c r="R538" s="39"/>
      <c r="S538" s="39"/>
      <c r="T538" s="39"/>
      <c r="U538" s="39"/>
      <c r="V538" s="39"/>
      <c r="W538" s="39"/>
      <c r="X538" s="39"/>
      <c r="Y538" s="39"/>
      <c r="Z538" s="39"/>
      <c r="AA538" s="39"/>
      <c r="AB538" s="39"/>
      <c r="AC538" s="39"/>
    </row>
    <row r="539">
      <c r="A539" s="23"/>
      <c r="B539" s="24"/>
      <c r="C539" s="29"/>
      <c r="D539" s="29"/>
      <c r="E539" s="29"/>
      <c r="F539" s="29"/>
      <c r="G539" s="29"/>
      <c r="H539" s="12"/>
      <c r="I539" s="12"/>
      <c r="J539" s="12"/>
      <c r="K539" s="39"/>
      <c r="L539" s="12"/>
      <c r="M539" s="40"/>
      <c r="N539" s="29"/>
      <c r="O539" s="12"/>
      <c r="P539" s="39"/>
      <c r="Q539" s="12"/>
      <c r="R539" s="39"/>
      <c r="S539" s="39"/>
      <c r="T539" s="39"/>
      <c r="U539" s="39"/>
      <c r="V539" s="39"/>
      <c r="W539" s="39"/>
      <c r="X539" s="39"/>
      <c r="Y539" s="39"/>
      <c r="Z539" s="39"/>
      <c r="AA539" s="39"/>
      <c r="AB539" s="39"/>
      <c r="AC539" s="39"/>
    </row>
    <row r="540">
      <c r="A540" s="23"/>
      <c r="B540" s="24"/>
      <c r="C540" s="29"/>
      <c r="D540" s="29"/>
      <c r="E540" s="29"/>
      <c r="F540" s="29"/>
      <c r="G540" s="29"/>
      <c r="H540" s="12"/>
      <c r="I540" s="12"/>
      <c r="J540" s="12"/>
      <c r="K540" s="39"/>
      <c r="L540" s="12"/>
      <c r="M540" s="40"/>
      <c r="N540" s="29"/>
      <c r="O540" s="12"/>
      <c r="P540" s="39"/>
      <c r="Q540" s="12"/>
      <c r="R540" s="39"/>
      <c r="S540" s="39"/>
      <c r="T540" s="39"/>
      <c r="U540" s="39"/>
      <c r="V540" s="39"/>
      <c r="W540" s="39"/>
      <c r="X540" s="39"/>
      <c r="Y540" s="39"/>
      <c r="Z540" s="39"/>
      <c r="AA540" s="39"/>
      <c r="AB540" s="39"/>
      <c r="AC540" s="39"/>
    </row>
    <row r="541">
      <c r="A541" s="23"/>
      <c r="B541" s="24"/>
      <c r="C541" s="29"/>
      <c r="D541" s="29"/>
      <c r="E541" s="29"/>
      <c r="F541" s="29"/>
      <c r="G541" s="29"/>
      <c r="H541" s="12"/>
      <c r="I541" s="12"/>
      <c r="J541" s="12"/>
      <c r="K541" s="39"/>
      <c r="L541" s="12"/>
      <c r="M541" s="40"/>
      <c r="N541" s="29"/>
      <c r="O541" s="12"/>
      <c r="P541" s="39"/>
      <c r="Q541" s="12"/>
      <c r="R541" s="39"/>
      <c r="S541" s="39"/>
      <c r="T541" s="39"/>
      <c r="U541" s="39"/>
      <c r="V541" s="39"/>
      <c r="W541" s="39"/>
      <c r="X541" s="39"/>
      <c r="Y541" s="39"/>
      <c r="Z541" s="39"/>
      <c r="AA541" s="39"/>
      <c r="AB541" s="39"/>
      <c r="AC541" s="39"/>
    </row>
    <row r="542">
      <c r="A542" s="23"/>
      <c r="B542" s="24"/>
      <c r="C542" s="29"/>
      <c r="D542" s="29"/>
      <c r="E542" s="29"/>
      <c r="F542" s="29"/>
      <c r="G542" s="29"/>
      <c r="H542" s="12"/>
      <c r="I542" s="12"/>
      <c r="J542" s="12"/>
      <c r="K542" s="39"/>
      <c r="L542" s="12"/>
      <c r="M542" s="40"/>
      <c r="N542" s="29"/>
      <c r="O542" s="12"/>
      <c r="P542" s="39"/>
      <c r="Q542" s="12"/>
      <c r="R542" s="39"/>
      <c r="S542" s="39"/>
      <c r="T542" s="39"/>
      <c r="U542" s="39"/>
      <c r="V542" s="39"/>
      <c r="W542" s="39"/>
      <c r="X542" s="39"/>
      <c r="Y542" s="39"/>
      <c r="Z542" s="39"/>
      <c r="AA542" s="39"/>
      <c r="AB542" s="39"/>
      <c r="AC542" s="39"/>
    </row>
    <row r="543">
      <c r="A543" s="23"/>
      <c r="B543" s="24"/>
      <c r="C543" s="29"/>
      <c r="D543" s="29"/>
      <c r="E543" s="29"/>
      <c r="F543" s="29"/>
      <c r="G543" s="29"/>
      <c r="H543" s="12"/>
      <c r="I543" s="12"/>
      <c r="J543" s="12"/>
      <c r="K543" s="39"/>
      <c r="L543" s="12"/>
      <c r="M543" s="40"/>
      <c r="N543" s="29"/>
      <c r="O543" s="12"/>
      <c r="P543" s="39"/>
      <c r="Q543" s="12"/>
      <c r="R543" s="39"/>
      <c r="S543" s="39"/>
      <c r="T543" s="39"/>
      <c r="U543" s="39"/>
      <c r="V543" s="39"/>
      <c r="W543" s="39"/>
      <c r="X543" s="39"/>
      <c r="Y543" s="39"/>
      <c r="Z543" s="39"/>
      <c r="AA543" s="39"/>
      <c r="AB543" s="39"/>
      <c r="AC543" s="39"/>
    </row>
    <row r="544">
      <c r="A544" s="23"/>
      <c r="B544" s="24"/>
      <c r="C544" s="29"/>
      <c r="D544" s="29"/>
      <c r="E544" s="29"/>
      <c r="F544" s="29"/>
      <c r="G544" s="29"/>
      <c r="H544" s="12"/>
      <c r="I544" s="12"/>
      <c r="J544" s="12"/>
      <c r="K544" s="39"/>
      <c r="L544" s="12"/>
      <c r="M544" s="40"/>
      <c r="N544" s="29"/>
      <c r="O544" s="12"/>
      <c r="P544" s="39"/>
      <c r="Q544" s="12"/>
      <c r="R544" s="39"/>
      <c r="S544" s="39"/>
      <c r="T544" s="39"/>
      <c r="U544" s="39"/>
      <c r="V544" s="39"/>
      <c r="W544" s="39"/>
      <c r="X544" s="39"/>
      <c r="Y544" s="39"/>
      <c r="Z544" s="39"/>
      <c r="AA544" s="39"/>
      <c r="AB544" s="39"/>
      <c r="AC544" s="39"/>
    </row>
    <row r="545">
      <c r="A545" s="23"/>
      <c r="B545" s="24"/>
      <c r="C545" s="29"/>
      <c r="D545" s="29"/>
      <c r="E545" s="29"/>
      <c r="F545" s="29"/>
      <c r="G545" s="29"/>
      <c r="H545" s="12"/>
      <c r="I545" s="12"/>
      <c r="J545" s="12"/>
      <c r="K545" s="39"/>
      <c r="L545" s="12"/>
      <c r="M545" s="40"/>
      <c r="N545" s="29"/>
      <c r="O545" s="12"/>
      <c r="P545" s="39"/>
      <c r="Q545" s="12"/>
      <c r="R545" s="39"/>
      <c r="S545" s="39"/>
      <c r="T545" s="39"/>
      <c r="U545" s="39"/>
      <c r="V545" s="39"/>
      <c r="W545" s="39"/>
      <c r="X545" s="39"/>
      <c r="Y545" s="39"/>
      <c r="Z545" s="39"/>
      <c r="AA545" s="39"/>
      <c r="AB545" s="39"/>
      <c r="AC545" s="39"/>
    </row>
    <row r="546">
      <c r="A546" s="23"/>
      <c r="B546" s="24"/>
      <c r="C546" s="29"/>
      <c r="D546" s="29"/>
      <c r="E546" s="29"/>
      <c r="F546" s="29"/>
      <c r="G546" s="29"/>
      <c r="H546" s="12"/>
      <c r="I546" s="12"/>
      <c r="J546" s="12"/>
      <c r="K546" s="39"/>
      <c r="L546" s="12"/>
      <c r="M546" s="40"/>
      <c r="N546" s="29"/>
      <c r="O546" s="12"/>
      <c r="P546" s="39"/>
      <c r="Q546" s="12"/>
      <c r="R546" s="39"/>
      <c r="S546" s="39"/>
      <c r="T546" s="39"/>
      <c r="U546" s="39"/>
      <c r="V546" s="39"/>
      <c r="W546" s="39"/>
      <c r="X546" s="39"/>
      <c r="Y546" s="39"/>
      <c r="Z546" s="39"/>
      <c r="AA546" s="39"/>
      <c r="AB546" s="39"/>
      <c r="AC546" s="39"/>
    </row>
    <row r="547">
      <c r="A547" s="23"/>
      <c r="B547" s="24"/>
      <c r="C547" s="29"/>
      <c r="D547" s="29"/>
      <c r="E547" s="29"/>
      <c r="F547" s="29"/>
      <c r="G547" s="29"/>
      <c r="H547" s="12"/>
      <c r="I547" s="12"/>
      <c r="J547" s="12"/>
      <c r="K547" s="39"/>
      <c r="L547" s="12"/>
      <c r="M547" s="40"/>
      <c r="N547" s="29"/>
      <c r="O547" s="12"/>
      <c r="P547" s="39"/>
      <c r="Q547" s="12"/>
      <c r="R547" s="39"/>
      <c r="S547" s="39"/>
      <c r="T547" s="39"/>
      <c r="U547" s="39"/>
      <c r="V547" s="39"/>
      <c r="W547" s="39"/>
      <c r="X547" s="39"/>
      <c r="Y547" s="39"/>
      <c r="Z547" s="39"/>
      <c r="AA547" s="39"/>
      <c r="AB547" s="39"/>
      <c r="AC547" s="39"/>
    </row>
    <row r="548">
      <c r="A548" s="23"/>
      <c r="B548" s="24"/>
      <c r="C548" s="29"/>
      <c r="D548" s="29"/>
      <c r="E548" s="29"/>
      <c r="F548" s="29"/>
      <c r="G548" s="29"/>
      <c r="H548" s="12"/>
      <c r="I548" s="12"/>
      <c r="J548" s="12"/>
      <c r="K548" s="39"/>
      <c r="L548" s="12"/>
      <c r="M548" s="40"/>
      <c r="N548" s="29"/>
      <c r="O548" s="12"/>
      <c r="P548" s="39"/>
      <c r="Q548" s="12"/>
      <c r="R548" s="39"/>
      <c r="S548" s="39"/>
      <c r="T548" s="39"/>
      <c r="U548" s="39"/>
      <c r="V548" s="39"/>
      <c r="W548" s="39"/>
      <c r="X548" s="39"/>
      <c r="Y548" s="39"/>
      <c r="Z548" s="39"/>
      <c r="AA548" s="39"/>
      <c r="AB548" s="39"/>
      <c r="AC548" s="39"/>
    </row>
    <row r="549">
      <c r="A549" s="23"/>
      <c r="B549" s="24"/>
      <c r="C549" s="29"/>
      <c r="D549" s="29"/>
      <c r="E549" s="29"/>
      <c r="F549" s="29"/>
      <c r="G549" s="29"/>
      <c r="H549" s="12"/>
      <c r="I549" s="12"/>
      <c r="J549" s="12"/>
      <c r="K549" s="39"/>
      <c r="L549" s="12"/>
      <c r="M549" s="40"/>
      <c r="N549" s="29"/>
      <c r="O549" s="12"/>
      <c r="P549" s="39"/>
      <c r="Q549" s="12"/>
      <c r="R549" s="39"/>
      <c r="S549" s="39"/>
      <c r="T549" s="39"/>
      <c r="U549" s="39"/>
      <c r="V549" s="39"/>
      <c r="W549" s="39"/>
      <c r="X549" s="39"/>
      <c r="Y549" s="39"/>
      <c r="Z549" s="39"/>
      <c r="AA549" s="39"/>
      <c r="AB549" s="39"/>
      <c r="AC549" s="39"/>
    </row>
    <row r="550">
      <c r="A550" s="23"/>
      <c r="B550" s="24"/>
      <c r="C550" s="29"/>
      <c r="D550" s="29"/>
      <c r="E550" s="29"/>
      <c r="F550" s="29"/>
      <c r="G550" s="29"/>
      <c r="H550" s="12"/>
      <c r="I550" s="12"/>
      <c r="J550" s="12"/>
      <c r="K550" s="39"/>
      <c r="L550" s="12"/>
      <c r="M550" s="40"/>
      <c r="N550" s="29"/>
      <c r="O550" s="12"/>
      <c r="P550" s="39"/>
      <c r="Q550" s="12"/>
      <c r="R550" s="39"/>
      <c r="S550" s="39"/>
      <c r="T550" s="39"/>
      <c r="U550" s="39"/>
      <c r="V550" s="39"/>
      <c r="W550" s="39"/>
      <c r="X550" s="39"/>
      <c r="Y550" s="39"/>
      <c r="Z550" s="39"/>
      <c r="AA550" s="39"/>
      <c r="AB550" s="39"/>
      <c r="AC550" s="39"/>
    </row>
    <row r="551">
      <c r="A551" s="23"/>
      <c r="B551" s="24"/>
      <c r="C551" s="29"/>
      <c r="D551" s="29"/>
      <c r="E551" s="29"/>
      <c r="F551" s="29"/>
      <c r="G551" s="29"/>
      <c r="H551" s="12"/>
      <c r="I551" s="12"/>
      <c r="J551" s="12"/>
      <c r="K551" s="39"/>
      <c r="L551" s="12"/>
      <c r="M551" s="40"/>
      <c r="N551" s="29"/>
      <c r="O551" s="12"/>
      <c r="P551" s="39"/>
      <c r="Q551" s="12"/>
      <c r="R551" s="39"/>
      <c r="S551" s="39"/>
      <c r="T551" s="39"/>
      <c r="U551" s="39"/>
      <c r="V551" s="39"/>
      <c r="W551" s="39"/>
      <c r="X551" s="39"/>
      <c r="Y551" s="39"/>
      <c r="Z551" s="39"/>
      <c r="AA551" s="39"/>
      <c r="AB551" s="39"/>
      <c r="AC551" s="39"/>
    </row>
    <row r="552">
      <c r="A552" s="23"/>
      <c r="B552" s="24"/>
      <c r="C552" s="29"/>
      <c r="D552" s="29"/>
      <c r="E552" s="29"/>
      <c r="F552" s="29"/>
      <c r="G552" s="29"/>
      <c r="H552" s="12"/>
      <c r="I552" s="12"/>
      <c r="J552" s="12"/>
      <c r="K552" s="39"/>
      <c r="L552" s="12"/>
      <c r="M552" s="40"/>
      <c r="N552" s="29"/>
      <c r="O552" s="12"/>
      <c r="P552" s="39"/>
      <c r="Q552" s="12"/>
      <c r="R552" s="39"/>
      <c r="S552" s="39"/>
      <c r="T552" s="39"/>
      <c r="U552" s="39"/>
      <c r="V552" s="39"/>
      <c r="W552" s="39"/>
      <c r="X552" s="39"/>
      <c r="Y552" s="39"/>
      <c r="Z552" s="39"/>
      <c r="AA552" s="39"/>
      <c r="AB552" s="39"/>
      <c r="AC552" s="39"/>
    </row>
    <row r="553">
      <c r="A553" s="23"/>
      <c r="B553" s="24"/>
      <c r="C553" s="29"/>
      <c r="D553" s="29"/>
      <c r="E553" s="29"/>
      <c r="F553" s="29"/>
      <c r="G553" s="29"/>
      <c r="H553" s="12"/>
      <c r="I553" s="12"/>
      <c r="J553" s="12"/>
      <c r="K553" s="39"/>
      <c r="L553" s="12"/>
      <c r="M553" s="40"/>
      <c r="N553" s="29"/>
      <c r="O553" s="12"/>
      <c r="P553" s="39"/>
      <c r="Q553" s="12"/>
      <c r="R553" s="39"/>
      <c r="S553" s="39"/>
      <c r="T553" s="39"/>
      <c r="U553" s="39"/>
      <c r="V553" s="39"/>
      <c r="W553" s="39"/>
      <c r="X553" s="39"/>
      <c r="Y553" s="39"/>
      <c r="Z553" s="39"/>
      <c r="AA553" s="39"/>
      <c r="AB553" s="39"/>
      <c r="AC553" s="39"/>
    </row>
    <row r="554">
      <c r="A554" s="23"/>
      <c r="B554" s="24"/>
      <c r="C554" s="29"/>
      <c r="D554" s="29"/>
      <c r="E554" s="29"/>
      <c r="F554" s="29"/>
      <c r="G554" s="29"/>
      <c r="H554" s="12"/>
      <c r="I554" s="12"/>
      <c r="J554" s="12"/>
      <c r="K554" s="39"/>
      <c r="L554" s="12"/>
      <c r="M554" s="40"/>
      <c r="N554" s="29"/>
      <c r="O554" s="12"/>
      <c r="P554" s="39"/>
      <c r="Q554" s="12"/>
      <c r="R554" s="39"/>
      <c r="S554" s="39"/>
      <c r="T554" s="39"/>
      <c r="U554" s="39"/>
      <c r="V554" s="39"/>
      <c r="W554" s="39"/>
      <c r="X554" s="39"/>
      <c r="Y554" s="39"/>
      <c r="Z554" s="39"/>
      <c r="AA554" s="39"/>
      <c r="AB554" s="39"/>
      <c r="AC554" s="39"/>
    </row>
    <row r="555">
      <c r="A555" s="23"/>
      <c r="B555" s="24"/>
      <c r="C555" s="29"/>
      <c r="D555" s="29"/>
      <c r="E555" s="29"/>
      <c r="F555" s="29"/>
      <c r="G555" s="29"/>
      <c r="H555" s="12"/>
      <c r="I555" s="12"/>
      <c r="J555" s="12"/>
      <c r="K555" s="39"/>
      <c r="L555" s="12"/>
      <c r="M555" s="40"/>
      <c r="N555" s="29"/>
      <c r="O555" s="12"/>
      <c r="P555" s="39"/>
      <c r="Q555" s="12"/>
      <c r="R555" s="39"/>
      <c r="S555" s="39"/>
      <c r="T555" s="39"/>
      <c r="U555" s="39"/>
      <c r="V555" s="39"/>
      <c r="W555" s="39"/>
      <c r="X555" s="39"/>
      <c r="Y555" s="39"/>
      <c r="Z555" s="39"/>
      <c r="AA555" s="39"/>
      <c r="AB555" s="39"/>
      <c r="AC555" s="39"/>
    </row>
    <row r="556">
      <c r="A556" s="23"/>
      <c r="B556" s="24"/>
      <c r="C556" s="29"/>
      <c r="D556" s="29"/>
      <c r="E556" s="29"/>
      <c r="F556" s="29"/>
      <c r="G556" s="29"/>
      <c r="H556" s="12"/>
      <c r="I556" s="12"/>
      <c r="J556" s="12"/>
      <c r="K556" s="39"/>
      <c r="L556" s="12"/>
      <c r="M556" s="40"/>
      <c r="N556" s="29"/>
      <c r="O556" s="12"/>
      <c r="P556" s="39"/>
      <c r="Q556" s="12"/>
      <c r="R556" s="39"/>
      <c r="S556" s="39"/>
      <c r="T556" s="39"/>
      <c r="U556" s="39"/>
      <c r="V556" s="39"/>
      <c r="W556" s="39"/>
      <c r="X556" s="39"/>
      <c r="Y556" s="39"/>
      <c r="Z556" s="39"/>
      <c r="AA556" s="39"/>
      <c r="AB556" s="39"/>
      <c r="AC556" s="39"/>
    </row>
    <row r="557">
      <c r="A557" s="23"/>
      <c r="B557" s="24"/>
      <c r="C557" s="29"/>
      <c r="D557" s="29"/>
      <c r="E557" s="29"/>
      <c r="F557" s="29"/>
      <c r="G557" s="29"/>
      <c r="H557" s="12"/>
      <c r="I557" s="12"/>
      <c r="J557" s="12"/>
      <c r="K557" s="39"/>
      <c r="L557" s="12"/>
      <c r="M557" s="40"/>
      <c r="N557" s="29"/>
      <c r="O557" s="12"/>
      <c r="P557" s="39"/>
      <c r="Q557" s="12"/>
      <c r="R557" s="39"/>
      <c r="S557" s="39"/>
      <c r="T557" s="39"/>
      <c r="U557" s="39"/>
      <c r="V557" s="39"/>
      <c r="W557" s="39"/>
      <c r="X557" s="39"/>
      <c r="Y557" s="39"/>
      <c r="Z557" s="39"/>
      <c r="AA557" s="39"/>
      <c r="AB557" s="39"/>
      <c r="AC557" s="39"/>
    </row>
    <row r="558">
      <c r="A558" s="23"/>
      <c r="B558" s="24"/>
      <c r="C558" s="29"/>
      <c r="D558" s="29"/>
      <c r="E558" s="29"/>
      <c r="F558" s="29"/>
      <c r="G558" s="29"/>
      <c r="H558" s="12"/>
      <c r="I558" s="12"/>
      <c r="J558" s="12"/>
      <c r="K558" s="39"/>
      <c r="L558" s="12"/>
      <c r="M558" s="40"/>
      <c r="N558" s="29"/>
      <c r="O558" s="12"/>
      <c r="P558" s="39"/>
      <c r="Q558" s="12"/>
      <c r="R558" s="39"/>
      <c r="S558" s="39"/>
      <c r="T558" s="39"/>
      <c r="U558" s="39"/>
      <c r="V558" s="39"/>
      <c r="W558" s="39"/>
      <c r="X558" s="39"/>
      <c r="Y558" s="39"/>
      <c r="Z558" s="39"/>
      <c r="AA558" s="39"/>
      <c r="AB558" s="39"/>
      <c r="AC558" s="39"/>
    </row>
    <row r="559">
      <c r="A559" s="23"/>
      <c r="B559" s="24"/>
      <c r="C559" s="29"/>
      <c r="D559" s="29"/>
      <c r="E559" s="29"/>
      <c r="F559" s="29"/>
      <c r="G559" s="29"/>
      <c r="H559" s="12"/>
      <c r="I559" s="12"/>
      <c r="J559" s="12"/>
      <c r="K559" s="39"/>
      <c r="L559" s="12"/>
      <c r="M559" s="40"/>
      <c r="N559" s="29"/>
      <c r="O559" s="12"/>
      <c r="P559" s="39"/>
      <c r="Q559" s="12"/>
      <c r="R559" s="39"/>
      <c r="S559" s="39"/>
      <c r="T559" s="39"/>
      <c r="U559" s="39"/>
      <c r="V559" s="39"/>
      <c r="W559" s="39"/>
      <c r="X559" s="39"/>
      <c r="Y559" s="39"/>
      <c r="Z559" s="39"/>
      <c r="AA559" s="39"/>
      <c r="AB559" s="39"/>
      <c r="AC559" s="39"/>
    </row>
    <row r="560">
      <c r="A560" s="23"/>
      <c r="B560" s="24"/>
      <c r="C560" s="29"/>
      <c r="D560" s="29"/>
      <c r="E560" s="29"/>
      <c r="F560" s="29"/>
      <c r="G560" s="29"/>
      <c r="H560" s="12"/>
      <c r="I560" s="12"/>
      <c r="J560" s="12"/>
      <c r="K560" s="39"/>
      <c r="L560" s="12"/>
      <c r="M560" s="40"/>
      <c r="N560" s="29"/>
      <c r="O560" s="12"/>
      <c r="P560" s="39"/>
      <c r="Q560" s="12"/>
      <c r="R560" s="39"/>
      <c r="S560" s="39"/>
      <c r="T560" s="39"/>
      <c r="U560" s="39"/>
      <c r="V560" s="39"/>
      <c r="W560" s="39"/>
      <c r="X560" s="39"/>
      <c r="Y560" s="39"/>
      <c r="Z560" s="39"/>
      <c r="AA560" s="39"/>
      <c r="AB560" s="39"/>
      <c r="AC560" s="39"/>
    </row>
    <row r="561">
      <c r="A561" s="23"/>
      <c r="B561" s="24"/>
      <c r="C561" s="29"/>
      <c r="D561" s="29"/>
      <c r="E561" s="29"/>
      <c r="F561" s="29"/>
      <c r="G561" s="29"/>
      <c r="H561" s="12"/>
      <c r="I561" s="12"/>
      <c r="J561" s="12"/>
      <c r="K561" s="39"/>
      <c r="L561" s="12"/>
      <c r="M561" s="40"/>
      <c r="N561" s="29"/>
      <c r="O561" s="12"/>
      <c r="P561" s="39"/>
      <c r="Q561" s="12"/>
      <c r="R561" s="39"/>
      <c r="S561" s="39"/>
      <c r="T561" s="39"/>
      <c r="U561" s="39"/>
      <c r="V561" s="39"/>
      <c r="W561" s="39"/>
      <c r="X561" s="39"/>
      <c r="Y561" s="39"/>
      <c r="Z561" s="39"/>
      <c r="AA561" s="39"/>
      <c r="AB561" s="39"/>
      <c r="AC561" s="39"/>
    </row>
    <row r="562">
      <c r="A562" s="23"/>
      <c r="B562" s="24"/>
      <c r="C562" s="29"/>
      <c r="D562" s="29"/>
      <c r="E562" s="29"/>
      <c r="F562" s="29"/>
      <c r="G562" s="29"/>
      <c r="H562" s="12"/>
      <c r="I562" s="12"/>
      <c r="J562" s="12"/>
      <c r="K562" s="39"/>
      <c r="L562" s="12"/>
      <c r="M562" s="40"/>
      <c r="N562" s="29"/>
      <c r="O562" s="12"/>
      <c r="P562" s="39"/>
      <c r="Q562" s="12"/>
      <c r="R562" s="39"/>
      <c r="S562" s="39"/>
      <c r="T562" s="39"/>
      <c r="U562" s="39"/>
      <c r="V562" s="39"/>
      <c r="W562" s="39"/>
      <c r="X562" s="39"/>
      <c r="Y562" s="39"/>
      <c r="Z562" s="39"/>
      <c r="AA562" s="39"/>
      <c r="AB562" s="39"/>
      <c r="AC562" s="39"/>
    </row>
    <row r="563">
      <c r="A563" s="23"/>
      <c r="B563" s="24"/>
      <c r="C563" s="29"/>
      <c r="D563" s="29"/>
      <c r="E563" s="29"/>
      <c r="F563" s="29"/>
      <c r="G563" s="29"/>
      <c r="H563" s="12"/>
      <c r="I563" s="12"/>
      <c r="J563" s="12"/>
      <c r="K563" s="39"/>
      <c r="L563" s="12"/>
      <c r="M563" s="40"/>
      <c r="N563" s="29"/>
      <c r="O563" s="12"/>
      <c r="P563" s="39"/>
      <c r="Q563" s="12"/>
      <c r="R563" s="39"/>
      <c r="S563" s="39"/>
      <c r="T563" s="39"/>
      <c r="U563" s="39"/>
      <c r="V563" s="39"/>
      <c r="W563" s="39"/>
      <c r="X563" s="39"/>
      <c r="Y563" s="39"/>
      <c r="Z563" s="39"/>
      <c r="AA563" s="39"/>
      <c r="AB563" s="39"/>
      <c r="AC563" s="39"/>
    </row>
    <row r="564">
      <c r="A564" s="23"/>
      <c r="B564" s="24"/>
      <c r="C564" s="29"/>
      <c r="D564" s="29"/>
      <c r="E564" s="29"/>
      <c r="F564" s="29"/>
      <c r="G564" s="29"/>
      <c r="H564" s="12"/>
      <c r="I564" s="12"/>
      <c r="J564" s="12"/>
      <c r="K564" s="39"/>
      <c r="L564" s="12"/>
      <c r="M564" s="40"/>
      <c r="N564" s="29"/>
      <c r="O564" s="12"/>
      <c r="P564" s="39"/>
      <c r="Q564" s="12"/>
      <c r="R564" s="39"/>
      <c r="S564" s="39"/>
      <c r="T564" s="39"/>
      <c r="U564" s="39"/>
      <c r="V564" s="39"/>
      <c r="W564" s="39"/>
      <c r="X564" s="39"/>
      <c r="Y564" s="39"/>
      <c r="Z564" s="39"/>
      <c r="AA564" s="39"/>
      <c r="AB564" s="39"/>
      <c r="AC564" s="39"/>
    </row>
    <row r="565">
      <c r="A565" s="23"/>
      <c r="B565" s="24"/>
      <c r="C565" s="29"/>
      <c r="D565" s="29"/>
      <c r="E565" s="29"/>
      <c r="F565" s="29"/>
      <c r="G565" s="29"/>
      <c r="H565" s="12"/>
      <c r="I565" s="12"/>
      <c r="J565" s="12"/>
      <c r="K565" s="39"/>
      <c r="L565" s="12"/>
      <c r="M565" s="40"/>
      <c r="N565" s="29"/>
      <c r="O565" s="12"/>
      <c r="P565" s="39"/>
      <c r="Q565" s="12"/>
      <c r="R565" s="39"/>
      <c r="S565" s="39"/>
      <c r="T565" s="39"/>
      <c r="U565" s="39"/>
      <c r="V565" s="39"/>
      <c r="W565" s="39"/>
      <c r="X565" s="39"/>
      <c r="Y565" s="39"/>
      <c r="Z565" s="39"/>
      <c r="AA565" s="39"/>
      <c r="AB565" s="39"/>
      <c r="AC565" s="39"/>
    </row>
    <row r="566">
      <c r="A566" s="23"/>
      <c r="B566" s="24"/>
      <c r="C566" s="29"/>
      <c r="D566" s="29"/>
      <c r="E566" s="29"/>
      <c r="F566" s="29"/>
      <c r="G566" s="29"/>
      <c r="H566" s="12"/>
      <c r="I566" s="12"/>
      <c r="J566" s="12"/>
      <c r="K566" s="39"/>
      <c r="L566" s="12"/>
      <c r="M566" s="40"/>
      <c r="N566" s="29"/>
      <c r="O566" s="12"/>
      <c r="P566" s="39"/>
      <c r="Q566" s="12"/>
      <c r="R566" s="39"/>
      <c r="S566" s="39"/>
      <c r="T566" s="39"/>
      <c r="U566" s="39"/>
      <c r="V566" s="39"/>
      <c r="W566" s="39"/>
      <c r="X566" s="39"/>
      <c r="Y566" s="39"/>
      <c r="Z566" s="39"/>
      <c r="AA566" s="39"/>
      <c r="AB566" s="39"/>
      <c r="AC566" s="39"/>
    </row>
    <row r="567">
      <c r="A567" s="23"/>
      <c r="B567" s="24"/>
      <c r="C567" s="29"/>
      <c r="D567" s="29"/>
      <c r="E567" s="29"/>
      <c r="F567" s="29"/>
      <c r="G567" s="29"/>
      <c r="H567" s="12"/>
      <c r="I567" s="12"/>
      <c r="J567" s="12"/>
      <c r="K567" s="39"/>
      <c r="L567" s="12"/>
      <c r="M567" s="40"/>
      <c r="N567" s="29"/>
      <c r="O567" s="12"/>
      <c r="P567" s="39"/>
      <c r="Q567" s="12"/>
      <c r="R567" s="39"/>
      <c r="S567" s="39"/>
      <c r="T567" s="39"/>
      <c r="U567" s="39"/>
      <c r="V567" s="39"/>
      <c r="W567" s="39"/>
      <c r="X567" s="39"/>
      <c r="Y567" s="39"/>
      <c r="Z567" s="39"/>
      <c r="AA567" s="39"/>
      <c r="AB567" s="39"/>
      <c r="AC567" s="39"/>
    </row>
    <row r="568">
      <c r="A568" s="23"/>
      <c r="B568" s="24"/>
      <c r="C568" s="29"/>
      <c r="D568" s="29"/>
      <c r="E568" s="29"/>
      <c r="F568" s="29"/>
      <c r="G568" s="29"/>
      <c r="H568" s="12"/>
      <c r="I568" s="12"/>
      <c r="J568" s="12"/>
      <c r="K568" s="39"/>
      <c r="L568" s="12"/>
      <c r="M568" s="40"/>
      <c r="N568" s="29"/>
      <c r="O568" s="12"/>
      <c r="P568" s="39"/>
      <c r="Q568" s="12"/>
      <c r="R568" s="39"/>
      <c r="S568" s="39"/>
      <c r="T568" s="39"/>
      <c r="U568" s="39"/>
      <c r="V568" s="39"/>
      <c r="W568" s="39"/>
      <c r="X568" s="39"/>
      <c r="Y568" s="39"/>
      <c r="Z568" s="39"/>
      <c r="AA568" s="39"/>
      <c r="AB568" s="39"/>
      <c r="AC568" s="39"/>
    </row>
    <row r="569">
      <c r="A569" s="23"/>
      <c r="B569" s="24"/>
      <c r="C569" s="29"/>
      <c r="D569" s="29"/>
      <c r="E569" s="29"/>
      <c r="F569" s="29"/>
      <c r="G569" s="29"/>
      <c r="H569" s="12"/>
      <c r="I569" s="12"/>
      <c r="J569" s="12"/>
      <c r="K569" s="39"/>
      <c r="L569" s="12"/>
      <c r="M569" s="40"/>
      <c r="N569" s="29"/>
      <c r="O569" s="12"/>
      <c r="P569" s="39"/>
      <c r="Q569" s="12"/>
      <c r="R569" s="39"/>
      <c r="S569" s="39"/>
      <c r="T569" s="39"/>
      <c r="U569" s="39"/>
      <c r="V569" s="39"/>
      <c r="W569" s="39"/>
      <c r="X569" s="39"/>
      <c r="Y569" s="39"/>
      <c r="Z569" s="39"/>
      <c r="AA569" s="39"/>
      <c r="AB569" s="39"/>
      <c r="AC569" s="39"/>
    </row>
    <row r="570">
      <c r="A570" s="23"/>
      <c r="B570" s="24"/>
      <c r="C570" s="29"/>
      <c r="D570" s="29"/>
      <c r="E570" s="29"/>
      <c r="F570" s="29"/>
      <c r="G570" s="29"/>
      <c r="H570" s="12"/>
      <c r="I570" s="12"/>
      <c r="J570" s="12"/>
      <c r="K570" s="39"/>
      <c r="L570" s="12"/>
      <c r="M570" s="40"/>
      <c r="N570" s="29"/>
      <c r="O570" s="12"/>
      <c r="P570" s="39"/>
      <c r="Q570" s="12"/>
      <c r="R570" s="39"/>
      <c r="S570" s="39"/>
      <c r="T570" s="39"/>
      <c r="U570" s="39"/>
      <c r="V570" s="39"/>
      <c r="W570" s="39"/>
      <c r="X570" s="39"/>
      <c r="Y570" s="39"/>
      <c r="Z570" s="39"/>
      <c r="AA570" s="39"/>
      <c r="AB570" s="39"/>
      <c r="AC570" s="39"/>
    </row>
    <row r="571">
      <c r="A571" s="23"/>
      <c r="B571" s="24"/>
      <c r="C571" s="29"/>
      <c r="D571" s="29"/>
      <c r="E571" s="29"/>
      <c r="F571" s="29"/>
      <c r="G571" s="29"/>
      <c r="H571" s="12"/>
      <c r="I571" s="12"/>
      <c r="J571" s="12"/>
      <c r="K571" s="39"/>
      <c r="L571" s="12"/>
      <c r="M571" s="40"/>
      <c r="N571" s="29"/>
      <c r="O571" s="12"/>
      <c r="P571" s="39"/>
      <c r="Q571" s="12"/>
      <c r="R571" s="39"/>
      <c r="S571" s="39"/>
      <c r="T571" s="39"/>
      <c r="U571" s="39"/>
      <c r="V571" s="39"/>
      <c r="W571" s="39"/>
      <c r="X571" s="39"/>
      <c r="Y571" s="39"/>
      <c r="Z571" s="39"/>
      <c r="AA571" s="39"/>
      <c r="AB571" s="39"/>
      <c r="AC571" s="39"/>
    </row>
    <row r="572">
      <c r="A572" s="23"/>
      <c r="B572" s="24"/>
      <c r="C572" s="29"/>
      <c r="D572" s="29"/>
      <c r="E572" s="29"/>
      <c r="F572" s="29"/>
      <c r="G572" s="29"/>
      <c r="H572" s="12"/>
      <c r="I572" s="12"/>
      <c r="J572" s="12"/>
      <c r="K572" s="39"/>
      <c r="L572" s="12"/>
      <c r="M572" s="40"/>
      <c r="N572" s="29"/>
      <c r="O572" s="12"/>
      <c r="P572" s="39"/>
      <c r="Q572" s="12"/>
      <c r="R572" s="39"/>
      <c r="S572" s="39"/>
      <c r="T572" s="39"/>
      <c r="U572" s="39"/>
      <c r="V572" s="39"/>
      <c r="W572" s="39"/>
      <c r="X572" s="39"/>
      <c r="Y572" s="39"/>
      <c r="Z572" s="39"/>
      <c r="AA572" s="39"/>
      <c r="AB572" s="39"/>
      <c r="AC572" s="39"/>
    </row>
    <row r="573">
      <c r="A573" s="23"/>
      <c r="B573" s="24"/>
      <c r="C573" s="29"/>
      <c r="D573" s="29"/>
      <c r="E573" s="29"/>
      <c r="F573" s="29"/>
      <c r="G573" s="29"/>
      <c r="H573" s="12"/>
      <c r="I573" s="12"/>
      <c r="J573" s="12"/>
      <c r="K573" s="39"/>
      <c r="L573" s="12"/>
      <c r="M573" s="40"/>
      <c r="N573" s="29"/>
      <c r="O573" s="12"/>
      <c r="P573" s="39"/>
      <c r="Q573" s="12"/>
      <c r="R573" s="39"/>
      <c r="S573" s="39"/>
      <c r="T573" s="39"/>
      <c r="U573" s="39"/>
      <c r="V573" s="39"/>
      <c r="W573" s="39"/>
      <c r="X573" s="39"/>
      <c r="Y573" s="39"/>
      <c r="Z573" s="39"/>
      <c r="AA573" s="39"/>
      <c r="AB573" s="39"/>
      <c r="AC573" s="39"/>
    </row>
    <row r="574">
      <c r="A574" s="23"/>
      <c r="B574" s="24"/>
      <c r="C574" s="29"/>
      <c r="D574" s="29"/>
      <c r="E574" s="29"/>
      <c r="F574" s="29"/>
      <c r="G574" s="29"/>
      <c r="H574" s="12"/>
      <c r="I574" s="12"/>
      <c r="J574" s="12"/>
      <c r="K574" s="39"/>
      <c r="L574" s="12"/>
      <c r="M574" s="40"/>
      <c r="N574" s="29"/>
      <c r="O574" s="12"/>
      <c r="P574" s="39"/>
      <c r="Q574" s="12"/>
      <c r="R574" s="39"/>
      <c r="S574" s="39"/>
      <c r="T574" s="39"/>
      <c r="U574" s="39"/>
      <c r="V574" s="39"/>
      <c r="W574" s="39"/>
      <c r="X574" s="39"/>
      <c r="Y574" s="39"/>
      <c r="Z574" s="39"/>
      <c r="AA574" s="39"/>
      <c r="AB574" s="39"/>
      <c r="AC574" s="39"/>
    </row>
    <row r="575">
      <c r="A575" s="23"/>
      <c r="B575" s="24"/>
      <c r="C575" s="29"/>
      <c r="D575" s="29"/>
      <c r="E575" s="29"/>
      <c r="F575" s="29"/>
      <c r="G575" s="29"/>
      <c r="H575" s="12"/>
      <c r="I575" s="12"/>
      <c r="J575" s="12"/>
      <c r="K575" s="39"/>
      <c r="L575" s="12"/>
      <c r="M575" s="40"/>
      <c r="N575" s="29"/>
      <c r="O575" s="12"/>
      <c r="P575" s="39"/>
      <c r="Q575" s="12"/>
      <c r="R575" s="39"/>
      <c r="S575" s="39"/>
      <c r="T575" s="39"/>
      <c r="U575" s="39"/>
      <c r="V575" s="39"/>
      <c r="W575" s="39"/>
      <c r="X575" s="39"/>
      <c r="Y575" s="39"/>
      <c r="Z575" s="39"/>
      <c r="AA575" s="39"/>
      <c r="AB575" s="39"/>
      <c r="AC575" s="39"/>
    </row>
    <row r="576">
      <c r="A576" s="23"/>
      <c r="B576" s="24"/>
      <c r="C576" s="29"/>
      <c r="D576" s="29"/>
      <c r="E576" s="29"/>
      <c r="F576" s="29"/>
      <c r="G576" s="29"/>
      <c r="H576" s="12"/>
      <c r="I576" s="12"/>
      <c r="J576" s="12"/>
      <c r="K576" s="39"/>
      <c r="L576" s="12"/>
      <c r="M576" s="40"/>
      <c r="N576" s="29"/>
      <c r="O576" s="12"/>
      <c r="P576" s="39"/>
      <c r="Q576" s="12"/>
      <c r="R576" s="39"/>
      <c r="S576" s="39"/>
      <c r="T576" s="39"/>
      <c r="U576" s="39"/>
      <c r="V576" s="39"/>
      <c r="W576" s="39"/>
      <c r="X576" s="39"/>
      <c r="Y576" s="39"/>
      <c r="Z576" s="39"/>
      <c r="AA576" s="39"/>
      <c r="AB576" s="39"/>
      <c r="AC576" s="39"/>
    </row>
    <row r="577">
      <c r="A577" s="23"/>
      <c r="B577" s="24"/>
      <c r="C577" s="29"/>
      <c r="D577" s="29"/>
      <c r="E577" s="29"/>
      <c r="F577" s="29"/>
      <c r="G577" s="29"/>
      <c r="H577" s="12"/>
      <c r="I577" s="12"/>
      <c r="J577" s="12"/>
      <c r="K577" s="39"/>
      <c r="L577" s="12"/>
      <c r="M577" s="40"/>
      <c r="N577" s="29"/>
      <c r="O577" s="12"/>
      <c r="P577" s="39"/>
      <c r="Q577" s="12"/>
      <c r="R577" s="39"/>
      <c r="S577" s="39"/>
      <c r="T577" s="39"/>
      <c r="U577" s="39"/>
      <c r="V577" s="39"/>
      <c r="W577" s="39"/>
      <c r="X577" s="39"/>
      <c r="Y577" s="39"/>
      <c r="Z577" s="39"/>
      <c r="AA577" s="39"/>
      <c r="AB577" s="39"/>
      <c r="AC577" s="39"/>
    </row>
    <row r="578">
      <c r="A578" s="23"/>
      <c r="B578" s="24"/>
      <c r="C578" s="29"/>
      <c r="D578" s="29"/>
      <c r="E578" s="29"/>
      <c r="F578" s="29"/>
      <c r="G578" s="29"/>
      <c r="H578" s="12"/>
      <c r="I578" s="12"/>
      <c r="J578" s="12"/>
      <c r="K578" s="39"/>
      <c r="L578" s="12"/>
      <c r="M578" s="40"/>
      <c r="N578" s="29"/>
      <c r="O578" s="12"/>
      <c r="P578" s="39"/>
      <c r="Q578" s="12"/>
      <c r="R578" s="39"/>
      <c r="S578" s="39"/>
      <c r="T578" s="39"/>
      <c r="U578" s="39"/>
      <c r="V578" s="39"/>
      <c r="W578" s="39"/>
      <c r="X578" s="39"/>
      <c r="Y578" s="39"/>
      <c r="Z578" s="39"/>
      <c r="AA578" s="39"/>
      <c r="AB578" s="39"/>
      <c r="AC578" s="39"/>
    </row>
    <row r="579">
      <c r="A579" s="23"/>
      <c r="B579" s="24"/>
      <c r="C579" s="29"/>
      <c r="D579" s="29"/>
      <c r="E579" s="29"/>
      <c r="F579" s="29"/>
      <c r="G579" s="29"/>
      <c r="H579" s="12"/>
      <c r="I579" s="12"/>
      <c r="J579" s="12"/>
      <c r="K579" s="39"/>
      <c r="L579" s="12"/>
      <c r="M579" s="40"/>
      <c r="N579" s="29"/>
      <c r="O579" s="12"/>
      <c r="P579" s="39"/>
      <c r="Q579" s="12"/>
      <c r="R579" s="39"/>
      <c r="S579" s="39"/>
      <c r="T579" s="39"/>
      <c r="U579" s="39"/>
      <c r="V579" s="39"/>
      <c r="W579" s="39"/>
      <c r="X579" s="39"/>
      <c r="Y579" s="39"/>
      <c r="Z579" s="39"/>
      <c r="AA579" s="39"/>
      <c r="AB579" s="39"/>
      <c r="AC579" s="39"/>
    </row>
    <row r="580">
      <c r="A580" s="23"/>
      <c r="B580" s="24"/>
      <c r="C580" s="29"/>
      <c r="D580" s="29"/>
      <c r="E580" s="29"/>
      <c r="F580" s="29"/>
      <c r="G580" s="29"/>
      <c r="H580" s="12"/>
      <c r="I580" s="12"/>
      <c r="J580" s="12"/>
      <c r="K580" s="39"/>
      <c r="L580" s="12"/>
      <c r="M580" s="40"/>
      <c r="N580" s="29"/>
      <c r="O580" s="12"/>
      <c r="P580" s="39"/>
      <c r="Q580" s="12"/>
      <c r="R580" s="39"/>
      <c r="S580" s="39"/>
      <c r="T580" s="39"/>
      <c r="U580" s="39"/>
      <c r="V580" s="39"/>
      <c r="W580" s="39"/>
      <c r="X580" s="39"/>
      <c r="Y580" s="39"/>
      <c r="Z580" s="39"/>
      <c r="AA580" s="39"/>
      <c r="AB580" s="39"/>
      <c r="AC580" s="39"/>
    </row>
    <row r="581">
      <c r="A581" s="23"/>
      <c r="B581" s="24"/>
      <c r="C581" s="29"/>
      <c r="D581" s="29"/>
      <c r="E581" s="29"/>
      <c r="F581" s="29"/>
      <c r="G581" s="29"/>
      <c r="H581" s="12"/>
      <c r="I581" s="12"/>
      <c r="J581" s="12"/>
      <c r="K581" s="39"/>
      <c r="L581" s="12"/>
      <c r="M581" s="40"/>
      <c r="N581" s="29"/>
      <c r="O581" s="12"/>
      <c r="P581" s="39"/>
      <c r="Q581" s="12"/>
      <c r="R581" s="39"/>
      <c r="S581" s="39"/>
      <c r="T581" s="39"/>
      <c r="U581" s="39"/>
      <c r="V581" s="39"/>
      <c r="W581" s="39"/>
      <c r="X581" s="39"/>
      <c r="Y581" s="39"/>
      <c r="Z581" s="39"/>
      <c r="AA581" s="39"/>
      <c r="AB581" s="39"/>
      <c r="AC581" s="39"/>
    </row>
    <row r="582">
      <c r="A582" s="23"/>
      <c r="B582" s="24"/>
      <c r="C582" s="29"/>
      <c r="D582" s="29"/>
      <c r="E582" s="29"/>
      <c r="F582" s="29"/>
      <c r="G582" s="29"/>
      <c r="H582" s="12"/>
      <c r="I582" s="12"/>
      <c r="J582" s="12"/>
      <c r="K582" s="39"/>
      <c r="L582" s="12"/>
      <c r="M582" s="40"/>
      <c r="N582" s="29"/>
      <c r="O582" s="12"/>
      <c r="P582" s="39"/>
      <c r="Q582" s="12"/>
      <c r="R582" s="39"/>
      <c r="S582" s="39"/>
      <c r="T582" s="39"/>
      <c r="U582" s="39"/>
      <c r="V582" s="39"/>
      <c r="W582" s="39"/>
      <c r="X582" s="39"/>
      <c r="Y582" s="39"/>
      <c r="Z582" s="39"/>
      <c r="AA582" s="39"/>
      <c r="AB582" s="39"/>
      <c r="AC582" s="39"/>
    </row>
    <row r="583">
      <c r="A583" s="23"/>
      <c r="B583" s="24"/>
      <c r="C583" s="29"/>
      <c r="D583" s="29"/>
      <c r="E583" s="29"/>
      <c r="F583" s="29"/>
      <c r="G583" s="29"/>
      <c r="H583" s="12"/>
      <c r="I583" s="12"/>
      <c r="J583" s="12"/>
      <c r="K583" s="39"/>
      <c r="L583" s="12"/>
      <c r="M583" s="40"/>
      <c r="N583" s="29"/>
      <c r="O583" s="12"/>
      <c r="P583" s="39"/>
      <c r="Q583" s="12"/>
      <c r="R583" s="39"/>
      <c r="S583" s="39"/>
      <c r="T583" s="39"/>
      <c r="U583" s="39"/>
      <c r="V583" s="39"/>
      <c r="W583" s="39"/>
      <c r="X583" s="39"/>
      <c r="Y583" s="39"/>
      <c r="Z583" s="39"/>
      <c r="AA583" s="39"/>
      <c r="AB583" s="39"/>
      <c r="AC583" s="39"/>
    </row>
    <row r="584">
      <c r="A584" s="23"/>
      <c r="B584" s="24"/>
      <c r="C584" s="29"/>
      <c r="D584" s="29"/>
      <c r="E584" s="29"/>
      <c r="F584" s="29"/>
      <c r="G584" s="29"/>
      <c r="H584" s="12"/>
      <c r="I584" s="12"/>
      <c r="J584" s="12"/>
      <c r="K584" s="39"/>
      <c r="L584" s="12"/>
      <c r="M584" s="40"/>
      <c r="N584" s="29"/>
      <c r="O584" s="12"/>
      <c r="P584" s="39"/>
      <c r="Q584" s="12"/>
      <c r="R584" s="39"/>
      <c r="S584" s="39"/>
      <c r="T584" s="39"/>
      <c r="U584" s="39"/>
      <c r="V584" s="39"/>
      <c r="W584" s="39"/>
      <c r="X584" s="39"/>
      <c r="Y584" s="39"/>
      <c r="Z584" s="39"/>
      <c r="AA584" s="39"/>
      <c r="AB584" s="39"/>
      <c r="AC584" s="39"/>
    </row>
    <row r="585">
      <c r="A585" s="23"/>
      <c r="B585" s="24"/>
      <c r="C585" s="29"/>
      <c r="D585" s="29"/>
      <c r="E585" s="29"/>
      <c r="F585" s="29"/>
      <c r="G585" s="29"/>
      <c r="H585" s="12"/>
      <c r="I585" s="12"/>
      <c r="J585" s="12"/>
      <c r="K585" s="39"/>
      <c r="L585" s="12"/>
      <c r="M585" s="40"/>
      <c r="N585" s="29"/>
      <c r="O585" s="12"/>
      <c r="P585" s="39"/>
      <c r="Q585" s="12"/>
      <c r="R585" s="39"/>
      <c r="S585" s="39"/>
      <c r="T585" s="39"/>
      <c r="U585" s="39"/>
      <c r="V585" s="39"/>
      <c r="W585" s="39"/>
      <c r="X585" s="39"/>
      <c r="Y585" s="39"/>
      <c r="Z585" s="39"/>
      <c r="AA585" s="39"/>
      <c r="AB585" s="39"/>
      <c r="AC585" s="39"/>
    </row>
    <row r="586">
      <c r="A586" s="23"/>
      <c r="B586" s="24"/>
      <c r="C586" s="29"/>
      <c r="D586" s="29"/>
      <c r="E586" s="29"/>
      <c r="F586" s="29"/>
      <c r="G586" s="29"/>
      <c r="H586" s="12"/>
      <c r="I586" s="12"/>
      <c r="J586" s="12"/>
      <c r="K586" s="39"/>
      <c r="L586" s="12"/>
      <c r="M586" s="40"/>
      <c r="N586" s="29"/>
      <c r="O586" s="12"/>
      <c r="P586" s="39"/>
      <c r="Q586" s="12"/>
      <c r="R586" s="39"/>
      <c r="S586" s="39"/>
      <c r="T586" s="39"/>
      <c r="U586" s="39"/>
      <c r="V586" s="39"/>
      <c r="W586" s="39"/>
      <c r="X586" s="39"/>
      <c r="Y586" s="39"/>
      <c r="Z586" s="39"/>
      <c r="AA586" s="39"/>
      <c r="AB586" s="39"/>
      <c r="AC586" s="39"/>
    </row>
    <row r="587">
      <c r="A587" s="23"/>
      <c r="B587" s="24"/>
      <c r="C587" s="29"/>
      <c r="D587" s="29"/>
      <c r="E587" s="29"/>
      <c r="F587" s="29"/>
      <c r="G587" s="29"/>
      <c r="H587" s="12"/>
      <c r="I587" s="12"/>
      <c r="J587" s="12"/>
      <c r="K587" s="39"/>
      <c r="L587" s="12"/>
      <c r="M587" s="40"/>
      <c r="N587" s="29"/>
      <c r="O587" s="12"/>
      <c r="P587" s="39"/>
      <c r="Q587" s="12"/>
      <c r="R587" s="39"/>
      <c r="S587" s="39"/>
      <c r="T587" s="39"/>
      <c r="U587" s="39"/>
      <c r="V587" s="39"/>
      <c r="W587" s="39"/>
      <c r="X587" s="39"/>
      <c r="Y587" s="39"/>
      <c r="Z587" s="39"/>
      <c r="AA587" s="39"/>
      <c r="AB587" s="39"/>
      <c r="AC587" s="39"/>
    </row>
    <row r="588">
      <c r="A588" s="23"/>
      <c r="B588" s="24"/>
      <c r="C588" s="29"/>
      <c r="D588" s="29"/>
      <c r="E588" s="29"/>
      <c r="F588" s="29"/>
      <c r="G588" s="29"/>
      <c r="H588" s="12"/>
      <c r="I588" s="12"/>
      <c r="J588" s="12"/>
      <c r="K588" s="39"/>
      <c r="L588" s="12"/>
      <c r="M588" s="40"/>
      <c r="N588" s="29"/>
      <c r="O588" s="12"/>
      <c r="P588" s="39"/>
      <c r="Q588" s="12"/>
      <c r="R588" s="39"/>
      <c r="S588" s="39"/>
      <c r="T588" s="39"/>
      <c r="U588" s="39"/>
      <c r="V588" s="39"/>
      <c r="W588" s="39"/>
      <c r="X588" s="39"/>
      <c r="Y588" s="39"/>
      <c r="Z588" s="39"/>
      <c r="AA588" s="39"/>
      <c r="AB588" s="39"/>
      <c r="AC588" s="39"/>
    </row>
    <row r="589">
      <c r="A589" s="23"/>
      <c r="B589" s="24"/>
      <c r="C589" s="29"/>
      <c r="D589" s="29"/>
      <c r="E589" s="29"/>
      <c r="F589" s="29"/>
      <c r="G589" s="29"/>
      <c r="H589" s="12"/>
      <c r="I589" s="12"/>
      <c r="J589" s="12"/>
      <c r="K589" s="39"/>
      <c r="L589" s="12"/>
      <c r="M589" s="40"/>
      <c r="N589" s="29"/>
      <c r="O589" s="12"/>
      <c r="P589" s="39"/>
      <c r="Q589" s="12"/>
      <c r="R589" s="39"/>
      <c r="S589" s="39"/>
      <c r="T589" s="39"/>
      <c r="U589" s="39"/>
      <c r="V589" s="39"/>
      <c r="W589" s="39"/>
      <c r="X589" s="39"/>
      <c r="Y589" s="39"/>
      <c r="Z589" s="39"/>
      <c r="AA589" s="39"/>
      <c r="AB589" s="39"/>
      <c r="AC589" s="39"/>
    </row>
    <row r="590">
      <c r="A590" s="23"/>
      <c r="B590" s="24"/>
      <c r="C590" s="29"/>
      <c r="D590" s="29"/>
      <c r="E590" s="29"/>
      <c r="F590" s="29"/>
      <c r="G590" s="29"/>
      <c r="H590" s="12"/>
      <c r="I590" s="12"/>
      <c r="J590" s="12"/>
      <c r="K590" s="39"/>
      <c r="L590" s="12"/>
      <c r="M590" s="40"/>
      <c r="N590" s="29"/>
      <c r="O590" s="12"/>
      <c r="P590" s="39"/>
      <c r="Q590" s="12"/>
      <c r="R590" s="39"/>
      <c r="S590" s="39"/>
      <c r="T590" s="39"/>
      <c r="U590" s="39"/>
      <c r="V590" s="39"/>
      <c r="W590" s="39"/>
      <c r="X590" s="39"/>
      <c r="Y590" s="39"/>
      <c r="Z590" s="39"/>
      <c r="AA590" s="39"/>
      <c r="AB590" s="39"/>
      <c r="AC590" s="39"/>
    </row>
    <row r="591">
      <c r="A591" s="23"/>
      <c r="B591" s="24"/>
      <c r="C591" s="29"/>
      <c r="D591" s="29"/>
      <c r="E591" s="29"/>
      <c r="F591" s="29"/>
      <c r="G591" s="29"/>
      <c r="H591" s="12"/>
      <c r="I591" s="12"/>
      <c r="J591" s="12"/>
      <c r="K591" s="39"/>
      <c r="L591" s="12"/>
      <c r="M591" s="40"/>
      <c r="N591" s="29"/>
      <c r="O591" s="12"/>
      <c r="P591" s="39"/>
      <c r="Q591" s="12"/>
      <c r="R591" s="39"/>
      <c r="S591" s="39"/>
      <c r="T591" s="39"/>
      <c r="U591" s="39"/>
      <c r="V591" s="39"/>
      <c r="W591" s="39"/>
      <c r="X591" s="39"/>
      <c r="Y591" s="39"/>
      <c r="Z591" s="39"/>
      <c r="AA591" s="39"/>
      <c r="AB591" s="39"/>
      <c r="AC591" s="39"/>
    </row>
    <row r="592">
      <c r="A592" s="23"/>
      <c r="B592" s="24"/>
      <c r="C592" s="29"/>
      <c r="D592" s="29"/>
      <c r="E592" s="29"/>
      <c r="F592" s="29"/>
      <c r="G592" s="29"/>
      <c r="H592" s="12"/>
      <c r="I592" s="12"/>
      <c r="J592" s="12"/>
      <c r="K592" s="39"/>
      <c r="L592" s="12"/>
      <c r="M592" s="40"/>
      <c r="N592" s="29"/>
      <c r="O592" s="12"/>
      <c r="P592" s="39"/>
      <c r="Q592" s="12"/>
      <c r="R592" s="39"/>
      <c r="S592" s="39"/>
      <c r="T592" s="39"/>
      <c r="U592" s="39"/>
      <c r="V592" s="39"/>
      <c r="W592" s="39"/>
      <c r="X592" s="39"/>
      <c r="Y592" s="39"/>
      <c r="Z592" s="39"/>
      <c r="AA592" s="39"/>
      <c r="AB592" s="39"/>
      <c r="AC592" s="39"/>
    </row>
    <row r="593">
      <c r="A593" s="23"/>
      <c r="B593" s="24"/>
      <c r="C593" s="29"/>
      <c r="D593" s="29"/>
      <c r="E593" s="29"/>
      <c r="F593" s="29"/>
      <c r="G593" s="29"/>
      <c r="H593" s="12"/>
      <c r="I593" s="12"/>
      <c r="J593" s="12"/>
      <c r="K593" s="39"/>
      <c r="L593" s="12"/>
      <c r="M593" s="40"/>
      <c r="N593" s="29"/>
      <c r="O593" s="12"/>
      <c r="P593" s="39"/>
      <c r="Q593" s="12"/>
      <c r="R593" s="39"/>
      <c r="S593" s="39"/>
      <c r="T593" s="39"/>
      <c r="U593" s="39"/>
      <c r="V593" s="39"/>
      <c r="W593" s="39"/>
      <c r="X593" s="39"/>
      <c r="Y593" s="39"/>
      <c r="Z593" s="39"/>
      <c r="AA593" s="39"/>
      <c r="AB593" s="39"/>
      <c r="AC593" s="39"/>
    </row>
    <row r="594">
      <c r="A594" s="23"/>
      <c r="B594" s="24"/>
      <c r="C594" s="29"/>
      <c r="D594" s="29"/>
      <c r="E594" s="29"/>
      <c r="F594" s="29"/>
      <c r="G594" s="29"/>
      <c r="H594" s="12"/>
      <c r="I594" s="12"/>
      <c r="J594" s="12"/>
      <c r="K594" s="39"/>
      <c r="L594" s="12"/>
      <c r="M594" s="40"/>
      <c r="N594" s="29"/>
      <c r="O594" s="12"/>
      <c r="P594" s="39"/>
      <c r="Q594" s="12"/>
      <c r="R594" s="39"/>
      <c r="S594" s="39"/>
      <c r="T594" s="39"/>
      <c r="U594" s="39"/>
      <c r="V594" s="39"/>
      <c r="W594" s="39"/>
      <c r="X594" s="39"/>
      <c r="Y594" s="39"/>
      <c r="Z594" s="39"/>
      <c r="AA594" s="39"/>
      <c r="AB594" s="39"/>
      <c r="AC594" s="39"/>
    </row>
    <row r="595">
      <c r="A595" s="23"/>
      <c r="B595" s="24"/>
      <c r="C595" s="29"/>
      <c r="D595" s="29"/>
      <c r="E595" s="29"/>
      <c r="F595" s="29"/>
      <c r="G595" s="29"/>
      <c r="H595" s="12"/>
      <c r="I595" s="12"/>
      <c r="J595" s="12"/>
      <c r="K595" s="39"/>
      <c r="L595" s="12"/>
      <c r="M595" s="40"/>
      <c r="N595" s="29"/>
      <c r="O595" s="12"/>
      <c r="P595" s="39"/>
      <c r="Q595" s="12"/>
      <c r="R595" s="39"/>
      <c r="S595" s="39"/>
      <c r="T595" s="39"/>
      <c r="U595" s="39"/>
      <c r="V595" s="39"/>
      <c r="W595" s="39"/>
      <c r="X595" s="39"/>
      <c r="Y595" s="39"/>
      <c r="Z595" s="39"/>
      <c r="AA595" s="39"/>
      <c r="AB595" s="39"/>
      <c r="AC595" s="39"/>
    </row>
    <row r="596">
      <c r="A596" s="23"/>
      <c r="B596" s="24"/>
      <c r="C596" s="29"/>
      <c r="D596" s="29"/>
      <c r="E596" s="29"/>
      <c r="F596" s="29"/>
      <c r="G596" s="29"/>
      <c r="H596" s="12"/>
      <c r="I596" s="12"/>
      <c r="J596" s="12"/>
      <c r="K596" s="39"/>
      <c r="L596" s="12"/>
      <c r="M596" s="40"/>
      <c r="N596" s="29"/>
      <c r="O596" s="12"/>
      <c r="P596" s="39"/>
      <c r="Q596" s="12"/>
      <c r="R596" s="39"/>
      <c r="S596" s="39"/>
      <c r="T596" s="39"/>
      <c r="U596" s="39"/>
      <c r="V596" s="39"/>
      <c r="W596" s="39"/>
      <c r="X596" s="39"/>
      <c r="Y596" s="39"/>
      <c r="Z596" s="39"/>
      <c r="AA596" s="39"/>
      <c r="AB596" s="39"/>
      <c r="AC596" s="39"/>
    </row>
    <row r="597">
      <c r="A597" s="23"/>
      <c r="B597" s="24"/>
      <c r="C597" s="29"/>
      <c r="D597" s="29"/>
      <c r="E597" s="29"/>
      <c r="F597" s="29"/>
      <c r="G597" s="29"/>
      <c r="H597" s="12"/>
      <c r="I597" s="12"/>
      <c r="J597" s="12"/>
      <c r="K597" s="39"/>
      <c r="L597" s="12"/>
      <c r="M597" s="40"/>
      <c r="N597" s="29"/>
      <c r="O597" s="12"/>
      <c r="P597" s="39"/>
      <c r="Q597" s="12"/>
      <c r="R597" s="39"/>
      <c r="S597" s="39"/>
      <c r="T597" s="39"/>
      <c r="U597" s="39"/>
      <c r="V597" s="39"/>
      <c r="W597" s="39"/>
      <c r="X597" s="39"/>
      <c r="Y597" s="39"/>
      <c r="Z597" s="39"/>
      <c r="AA597" s="39"/>
      <c r="AB597" s="39"/>
      <c r="AC597" s="39"/>
    </row>
    <row r="598">
      <c r="A598" s="23"/>
      <c r="B598" s="24"/>
      <c r="C598" s="29"/>
      <c r="D598" s="29"/>
      <c r="E598" s="29"/>
      <c r="F598" s="29"/>
      <c r="G598" s="29"/>
      <c r="H598" s="12"/>
      <c r="I598" s="12"/>
      <c r="J598" s="12"/>
      <c r="K598" s="39"/>
      <c r="L598" s="12"/>
      <c r="M598" s="40"/>
      <c r="N598" s="29"/>
      <c r="O598" s="12"/>
      <c r="P598" s="39"/>
      <c r="Q598" s="12"/>
      <c r="R598" s="39"/>
      <c r="S598" s="39"/>
      <c r="T598" s="39"/>
      <c r="U598" s="39"/>
      <c r="V598" s="39"/>
      <c r="W598" s="39"/>
      <c r="X598" s="39"/>
      <c r="Y598" s="39"/>
      <c r="Z598" s="39"/>
      <c r="AA598" s="39"/>
      <c r="AB598" s="39"/>
      <c r="AC598" s="39"/>
    </row>
    <row r="599">
      <c r="A599" s="23"/>
      <c r="B599" s="24"/>
      <c r="C599" s="29"/>
      <c r="D599" s="29"/>
      <c r="E599" s="29"/>
      <c r="F599" s="29"/>
      <c r="G599" s="29"/>
      <c r="H599" s="12"/>
      <c r="I599" s="12"/>
      <c r="J599" s="12"/>
      <c r="K599" s="39"/>
      <c r="L599" s="12"/>
      <c r="M599" s="40"/>
      <c r="N599" s="29"/>
      <c r="O599" s="12"/>
      <c r="P599" s="39"/>
      <c r="Q599" s="12"/>
      <c r="R599" s="39"/>
      <c r="S599" s="39"/>
      <c r="T599" s="39"/>
      <c r="U599" s="39"/>
      <c r="V599" s="39"/>
      <c r="W599" s="39"/>
      <c r="X599" s="39"/>
      <c r="Y599" s="39"/>
      <c r="Z599" s="39"/>
      <c r="AA599" s="39"/>
      <c r="AB599" s="39"/>
      <c r="AC599" s="39"/>
    </row>
    <row r="600">
      <c r="A600" s="23"/>
      <c r="B600" s="24"/>
      <c r="C600" s="29"/>
      <c r="D600" s="29"/>
      <c r="E600" s="29"/>
      <c r="F600" s="29"/>
      <c r="G600" s="29"/>
      <c r="H600" s="12"/>
      <c r="I600" s="12"/>
      <c r="J600" s="12"/>
      <c r="K600" s="39"/>
      <c r="L600" s="12"/>
      <c r="M600" s="40"/>
      <c r="N600" s="29"/>
      <c r="O600" s="12"/>
      <c r="P600" s="39"/>
      <c r="Q600" s="12"/>
      <c r="R600" s="39"/>
      <c r="S600" s="39"/>
      <c r="T600" s="39"/>
      <c r="U600" s="39"/>
      <c r="V600" s="39"/>
      <c r="W600" s="39"/>
      <c r="X600" s="39"/>
      <c r="Y600" s="39"/>
      <c r="Z600" s="39"/>
      <c r="AA600" s="39"/>
      <c r="AB600" s="39"/>
      <c r="AC600" s="39"/>
    </row>
    <row r="601">
      <c r="A601" s="23"/>
      <c r="B601" s="24"/>
      <c r="C601" s="29"/>
      <c r="D601" s="29"/>
      <c r="E601" s="29"/>
      <c r="F601" s="29"/>
      <c r="G601" s="29"/>
      <c r="H601" s="12"/>
      <c r="I601" s="12"/>
      <c r="J601" s="12"/>
      <c r="K601" s="39"/>
      <c r="L601" s="12"/>
      <c r="M601" s="40"/>
      <c r="N601" s="29"/>
      <c r="O601" s="12"/>
      <c r="P601" s="39"/>
      <c r="Q601" s="12"/>
      <c r="R601" s="39"/>
      <c r="S601" s="39"/>
      <c r="T601" s="39"/>
      <c r="U601" s="39"/>
      <c r="V601" s="39"/>
      <c r="W601" s="39"/>
      <c r="X601" s="39"/>
      <c r="Y601" s="39"/>
      <c r="Z601" s="39"/>
      <c r="AA601" s="39"/>
      <c r="AB601" s="39"/>
      <c r="AC601" s="39"/>
    </row>
    <row r="602">
      <c r="A602" s="23"/>
      <c r="B602" s="24"/>
      <c r="C602" s="29"/>
      <c r="D602" s="29"/>
      <c r="E602" s="29"/>
      <c r="F602" s="29"/>
      <c r="G602" s="29"/>
      <c r="H602" s="12"/>
      <c r="I602" s="12"/>
      <c r="J602" s="12"/>
      <c r="K602" s="39"/>
      <c r="L602" s="12"/>
      <c r="M602" s="40"/>
      <c r="N602" s="29"/>
      <c r="O602" s="12"/>
      <c r="P602" s="39"/>
      <c r="Q602" s="12"/>
      <c r="R602" s="39"/>
      <c r="S602" s="39"/>
      <c r="T602" s="39"/>
      <c r="U602" s="39"/>
      <c r="V602" s="39"/>
      <c r="W602" s="39"/>
      <c r="X602" s="39"/>
      <c r="Y602" s="39"/>
      <c r="Z602" s="39"/>
      <c r="AA602" s="39"/>
      <c r="AB602" s="39"/>
      <c r="AC602" s="39"/>
    </row>
    <row r="603">
      <c r="A603" s="23"/>
      <c r="B603" s="24"/>
      <c r="C603" s="29"/>
      <c r="D603" s="29"/>
      <c r="E603" s="29"/>
      <c r="F603" s="29"/>
      <c r="G603" s="29"/>
      <c r="H603" s="12"/>
      <c r="I603" s="12"/>
      <c r="J603" s="12"/>
      <c r="K603" s="39"/>
      <c r="L603" s="12"/>
      <c r="M603" s="40"/>
      <c r="N603" s="29"/>
      <c r="O603" s="12"/>
      <c r="P603" s="39"/>
      <c r="Q603" s="12"/>
      <c r="R603" s="39"/>
      <c r="S603" s="39"/>
      <c r="T603" s="39"/>
      <c r="U603" s="39"/>
      <c r="V603" s="39"/>
      <c r="W603" s="39"/>
      <c r="X603" s="39"/>
      <c r="Y603" s="39"/>
      <c r="Z603" s="39"/>
      <c r="AA603" s="39"/>
      <c r="AB603" s="39"/>
      <c r="AC603" s="39"/>
    </row>
    <row r="604">
      <c r="A604" s="23"/>
      <c r="B604" s="24"/>
      <c r="C604" s="29"/>
      <c r="D604" s="29"/>
      <c r="E604" s="29"/>
      <c r="F604" s="29"/>
      <c r="G604" s="29"/>
      <c r="H604" s="12"/>
      <c r="I604" s="12"/>
      <c r="J604" s="12"/>
      <c r="K604" s="39"/>
      <c r="L604" s="12"/>
      <c r="M604" s="40"/>
      <c r="N604" s="29"/>
      <c r="O604" s="12"/>
      <c r="P604" s="39"/>
      <c r="Q604" s="12"/>
      <c r="R604" s="39"/>
      <c r="S604" s="39"/>
      <c r="T604" s="39"/>
      <c r="U604" s="39"/>
      <c r="V604" s="39"/>
      <c r="W604" s="39"/>
      <c r="X604" s="39"/>
      <c r="Y604" s="39"/>
      <c r="Z604" s="39"/>
      <c r="AA604" s="39"/>
      <c r="AB604" s="39"/>
      <c r="AC604" s="39"/>
    </row>
    <row r="605">
      <c r="A605" s="23"/>
      <c r="B605" s="24"/>
      <c r="C605" s="29"/>
      <c r="D605" s="29"/>
      <c r="E605" s="29"/>
      <c r="F605" s="29"/>
      <c r="G605" s="29"/>
      <c r="H605" s="12"/>
      <c r="I605" s="12"/>
      <c r="J605" s="12"/>
      <c r="K605" s="39"/>
      <c r="L605" s="12"/>
      <c r="M605" s="40"/>
      <c r="N605" s="29"/>
      <c r="O605" s="12"/>
      <c r="P605" s="39"/>
      <c r="Q605" s="12"/>
      <c r="R605" s="39"/>
      <c r="S605" s="39"/>
      <c r="T605" s="39"/>
      <c r="U605" s="39"/>
      <c r="V605" s="39"/>
      <c r="W605" s="39"/>
      <c r="X605" s="39"/>
      <c r="Y605" s="39"/>
      <c r="Z605" s="39"/>
      <c r="AA605" s="39"/>
      <c r="AB605" s="39"/>
      <c r="AC605" s="39"/>
    </row>
    <row r="606">
      <c r="A606" s="23"/>
      <c r="B606" s="24"/>
      <c r="C606" s="29"/>
      <c r="D606" s="29"/>
      <c r="E606" s="29"/>
      <c r="F606" s="29"/>
      <c r="G606" s="29"/>
      <c r="H606" s="12"/>
      <c r="I606" s="12"/>
      <c r="J606" s="12"/>
      <c r="K606" s="39"/>
      <c r="L606" s="12"/>
      <c r="M606" s="40"/>
      <c r="N606" s="29"/>
      <c r="O606" s="12"/>
      <c r="P606" s="39"/>
      <c r="Q606" s="12"/>
      <c r="R606" s="39"/>
      <c r="S606" s="39"/>
      <c r="T606" s="39"/>
      <c r="U606" s="39"/>
      <c r="V606" s="39"/>
      <c r="W606" s="39"/>
      <c r="X606" s="39"/>
      <c r="Y606" s="39"/>
      <c r="Z606" s="39"/>
      <c r="AA606" s="39"/>
      <c r="AB606" s="39"/>
      <c r="AC606" s="39"/>
    </row>
    <row r="607">
      <c r="A607" s="23"/>
      <c r="B607" s="24"/>
      <c r="C607" s="29"/>
      <c r="D607" s="29"/>
      <c r="E607" s="29"/>
      <c r="F607" s="29"/>
      <c r="G607" s="29"/>
      <c r="H607" s="12"/>
      <c r="I607" s="12"/>
      <c r="J607" s="12"/>
      <c r="K607" s="39"/>
      <c r="L607" s="12"/>
      <c r="M607" s="40"/>
      <c r="N607" s="29"/>
      <c r="O607" s="12"/>
      <c r="P607" s="39"/>
      <c r="Q607" s="12"/>
      <c r="R607" s="39"/>
      <c r="S607" s="39"/>
      <c r="T607" s="39"/>
      <c r="U607" s="39"/>
      <c r="V607" s="39"/>
      <c r="W607" s="39"/>
      <c r="X607" s="39"/>
      <c r="Y607" s="39"/>
      <c r="Z607" s="39"/>
      <c r="AA607" s="39"/>
      <c r="AB607" s="39"/>
      <c r="AC607" s="39"/>
    </row>
    <row r="608">
      <c r="A608" s="23"/>
      <c r="B608" s="24"/>
      <c r="C608" s="29"/>
      <c r="D608" s="29"/>
      <c r="E608" s="29"/>
      <c r="F608" s="29"/>
      <c r="G608" s="29"/>
      <c r="H608" s="12"/>
      <c r="I608" s="12"/>
      <c r="J608" s="12"/>
      <c r="K608" s="39"/>
      <c r="L608" s="12"/>
      <c r="M608" s="40"/>
      <c r="N608" s="29"/>
      <c r="O608" s="12"/>
      <c r="P608" s="39"/>
      <c r="Q608" s="12"/>
      <c r="R608" s="39"/>
      <c r="S608" s="39"/>
      <c r="T608" s="39"/>
      <c r="U608" s="39"/>
      <c r="V608" s="39"/>
      <c r="W608" s="39"/>
      <c r="X608" s="39"/>
      <c r="Y608" s="39"/>
      <c r="Z608" s="39"/>
      <c r="AA608" s="39"/>
      <c r="AB608" s="39"/>
      <c r="AC608" s="39"/>
    </row>
    <row r="609">
      <c r="A609" s="23"/>
      <c r="B609" s="24"/>
      <c r="C609" s="29"/>
      <c r="D609" s="29"/>
      <c r="E609" s="29"/>
      <c r="F609" s="29"/>
      <c r="G609" s="29"/>
      <c r="H609" s="12"/>
      <c r="I609" s="12"/>
      <c r="J609" s="12"/>
      <c r="K609" s="39"/>
      <c r="L609" s="12"/>
      <c r="M609" s="40"/>
      <c r="N609" s="29"/>
      <c r="O609" s="12"/>
      <c r="P609" s="39"/>
      <c r="Q609" s="12"/>
      <c r="R609" s="39"/>
      <c r="S609" s="39"/>
      <c r="T609" s="39"/>
      <c r="U609" s="39"/>
      <c r="V609" s="39"/>
      <c r="W609" s="39"/>
      <c r="X609" s="39"/>
      <c r="Y609" s="39"/>
      <c r="Z609" s="39"/>
      <c r="AA609" s="39"/>
      <c r="AB609" s="39"/>
      <c r="AC609" s="39"/>
    </row>
    <row r="610">
      <c r="A610" s="23"/>
      <c r="B610" s="24"/>
      <c r="C610" s="29"/>
      <c r="D610" s="29"/>
      <c r="E610" s="29"/>
      <c r="F610" s="29"/>
      <c r="G610" s="29"/>
      <c r="H610" s="12"/>
      <c r="I610" s="12"/>
      <c r="J610" s="12"/>
      <c r="K610" s="39"/>
      <c r="L610" s="12"/>
      <c r="M610" s="40"/>
      <c r="N610" s="29"/>
      <c r="O610" s="12"/>
      <c r="P610" s="39"/>
      <c r="Q610" s="12"/>
      <c r="R610" s="39"/>
      <c r="S610" s="39"/>
      <c r="T610" s="39"/>
      <c r="U610" s="39"/>
      <c r="V610" s="39"/>
      <c r="W610" s="39"/>
      <c r="X610" s="39"/>
      <c r="Y610" s="39"/>
      <c r="Z610" s="39"/>
      <c r="AA610" s="39"/>
      <c r="AB610" s="39"/>
      <c r="AC610" s="39"/>
    </row>
    <row r="611">
      <c r="A611" s="23"/>
      <c r="B611" s="24"/>
      <c r="C611" s="29"/>
      <c r="D611" s="29"/>
      <c r="E611" s="29"/>
      <c r="F611" s="29"/>
      <c r="G611" s="29"/>
      <c r="H611" s="12"/>
      <c r="I611" s="12"/>
      <c r="J611" s="12"/>
      <c r="K611" s="39"/>
      <c r="L611" s="12"/>
      <c r="M611" s="40"/>
      <c r="N611" s="29"/>
      <c r="O611" s="12"/>
      <c r="P611" s="39"/>
      <c r="Q611" s="12"/>
      <c r="R611" s="39"/>
      <c r="S611" s="39"/>
      <c r="T611" s="39"/>
      <c r="U611" s="39"/>
      <c r="V611" s="39"/>
      <c r="W611" s="39"/>
      <c r="X611" s="39"/>
      <c r="Y611" s="39"/>
      <c r="Z611" s="39"/>
      <c r="AA611" s="39"/>
      <c r="AB611" s="39"/>
      <c r="AC611" s="39"/>
    </row>
    <row r="612">
      <c r="A612" s="23"/>
      <c r="B612" s="24"/>
      <c r="C612" s="29"/>
      <c r="D612" s="29"/>
      <c r="E612" s="29"/>
      <c r="F612" s="29"/>
      <c r="G612" s="29"/>
      <c r="H612" s="12"/>
      <c r="I612" s="12"/>
      <c r="J612" s="12"/>
      <c r="K612" s="39"/>
      <c r="L612" s="12"/>
      <c r="M612" s="40"/>
      <c r="N612" s="29"/>
      <c r="O612" s="12"/>
      <c r="P612" s="39"/>
      <c r="Q612" s="12"/>
      <c r="R612" s="39"/>
      <c r="S612" s="39"/>
      <c r="T612" s="39"/>
      <c r="U612" s="39"/>
      <c r="V612" s="39"/>
      <c r="W612" s="39"/>
      <c r="X612" s="39"/>
      <c r="Y612" s="39"/>
      <c r="Z612" s="39"/>
      <c r="AA612" s="39"/>
      <c r="AB612" s="39"/>
      <c r="AC612" s="39"/>
    </row>
    <row r="613">
      <c r="A613" s="23"/>
      <c r="B613" s="24"/>
      <c r="C613" s="29"/>
      <c r="D613" s="29"/>
      <c r="E613" s="29"/>
      <c r="F613" s="29"/>
      <c r="G613" s="29"/>
      <c r="H613" s="12"/>
      <c r="I613" s="12"/>
      <c r="J613" s="12"/>
      <c r="K613" s="39"/>
      <c r="L613" s="12"/>
      <c r="M613" s="40"/>
      <c r="N613" s="29"/>
      <c r="O613" s="12"/>
      <c r="P613" s="39"/>
      <c r="Q613" s="12"/>
      <c r="R613" s="39"/>
      <c r="S613" s="39"/>
      <c r="T613" s="39"/>
      <c r="U613" s="39"/>
      <c r="V613" s="39"/>
      <c r="W613" s="39"/>
      <c r="X613" s="39"/>
      <c r="Y613" s="39"/>
      <c r="Z613" s="39"/>
      <c r="AA613" s="39"/>
      <c r="AB613" s="39"/>
      <c r="AC613" s="39"/>
    </row>
    <row r="614">
      <c r="A614" s="23"/>
      <c r="B614" s="24"/>
      <c r="C614" s="29"/>
      <c r="D614" s="29"/>
      <c r="E614" s="29"/>
      <c r="F614" s="29"/>
      <c r="G614" s="29"/>
      <c r="H614" s="12"/>
      <c r="I614" s="12"/>
      <c r="J614" s="12"/>
      <c r="K614" s="39"/>
      <c r="L614" s="12"/>
      <c r="M614" s="40"/>
      <c r="N614" s="29"/>
      <c r="O614" s="12"/>
      <c r="P614" s="39"/>
      <c r="Q614" s="12"/>
      <c r="R614" s="39"/>
      <c r="S614" s="39"/>
      <c r="T614" s="39"/>
      <c r="U614" s="39"/>
      <c r="V614" s="39"/>
      <c r="W614" s="39"/>
      <c r="X614" s="39"/>
      <c r="Y614" s="39"/>
      <c r="Z614" s="39"/>
      <c r="AA614" s="39"/>
      <c r="AB614" s="39"/>
      <c r="AC614" s="39"/>
    </row>
    <row r="615">
      <c r="A615" s="23"/>
      <c r="B615" s="24"/>
      <c r="C615" s="29"/>
      <c r="D615" s="29"/>
      <c r="E615" s="29"/>
      <c r="F615" s="29"/>
      <c r="G615" s="29"/>
      <c r="H615" s="12"/>
      <c r="I615" s="12"/>
      <c r="J615" s="12"/>
      <c r="K615" s="39"/>
      <c r="L615" s="12"/>
      <c r="M615" s="40"/>
      <c r="N615" s="29"/>
      <c r="O615" s="12"/>
      <c r="P615" s="39"/>
      <c r="Q615" s="12"/>
      <c r="R615" s="39"/>
      <c r="S615" s="39"/>
      <c r="T615" s="39"/>
      <c r="U615" s="39"/>
      <c r="V615" s="39"/>
      <c r="W615" s="39"/>
      <c r="X615" s="39"/>
      <c r="Y615" s="39"/>
      <c r="Z615" s="39"/>
      <c r="AA615" s="39"/>
      <c r="AB615" s="39"/>
      <c r="AC615" s="39"/>
    </row>
    <row r="616">
      <c r="A616" s="23"/>
      <c r="B616" s="24"/>
      <c r="C616" s="29"/>
      <c r="D616" s="29"/>
      <c r="E616" s="29"/>
      <c r="F616" s="29"/>
      <c r="G616" s="29"/>
      <c r="H616" s="12"/>
      <c r="I616" s="12"/>
      <c r="J616" s="12"/>
      <c r="K616" s="39"/>
      <c r="L616" s="12"/>
      <c r="M616" s="40"/>
      <c r="N616" s="29"/>
      <c r="O616" s="12"/>
      <c r="P616" s="39"/>
      <c r="Q616" s="12"/>
      <c r="R616" s="39"/>
      <c r="S616" s="39"/>
      <c r="T616" s="39"/>
      <c r="U616" s="39"/>
      <c r="V616" s="39"/>
      <c r="W616" s="39"/>
      <c r="X616" s="39"/>
      <c r="Y616" s="39"/>
      <c r="Z616" s="39"/>
      <c r="AA616" s="39"/>
      <c r="AB616" s="39"/>
      <c r="AC616" s="39"/>
    </row>
    <row r="617">
      <c r="A617" s="23"/>
      <c r="B617" s="24"/>
      <c r="C617" s="29"/>
      <c r="D617" s="29"/>
      <c r="E617" s="29"/>
      <c r="F617" s="29"/>
      <c r="G617" s="29"/>
      <c r="H617" s="12"/>
      <c r="I617" s="12"/>
      <c r="J617" s="12"/>
      <c r="K617" s="39"/>
      <c r="L617" s="12"/>
      <c r="M617" s="40"/>
      <c r="N617" s="29"/>
      <c r="O617" s="12"/>
      <c r="P617" s="39"/>
      <c r="Q617" s="12"/>
      <c r="R617" s="39"/>
      <c r="S617" s="39"/>
      <c r="T617" s="39"/>
      <c r="U617" s="39"/>
      <c r="V617" s="39"/>
      <c r="W617" s="39"/>
      <c r="X617" s="39"/>
      <c r="Y617" s="39"/>
      <c r="Z617" s="39"/>
      <c r="AA617" s="39"/>
      <c r="AB617" s="39"/>
      <c r="AC617" s="39"/>
    </row>
    <row r="618">
      <c r="A618" s="23"/>
      <c r="B618" s="24"/>
      <c r="C618" s="29"/>
      <c r="D618" s="29"/>
      <c r="E618" s="29"/>
      <c r="F618" s="29"/>
      <c r="G618" s="29"/>
      <c r="H618" s="12"/>
      <c r="I618" s="12"/>
      <c r="J618" s="12"/>
      <c r="K618" s="39"/>
      <c r="L618" s="12"/>
      <c r="M618" s="40"/>
      <c r="N618" s="29"/>
      <c r="O618" s="12"/>
      <c r="P618" s="39"/>
      <c r="Q618" s="12"/>
      <c r="R618" s="39"/>
      <c r="S618" s="39"/>
      <c r="T618" s="39"/>
      <c r="U618" s="39"/>
      <c r="V618" s="39"/>
      <c r="W618" s="39"/>
      <c r="X618" s="39"/>
      <c r="Y618" s="39"/>
      <c r="Z618" s="39"/>
      <c r="AA618" s="39"/>
      <c r="AB618" s="39"/>
      <c r="AC618" s="39"/>
    </row>
    <row r="619">
      <c r="A619" s="23"/>
      <c r="B619" s="24"/>
      <c r="C619" s="29"/>
      <c r="D619" s="29"/>
      <c r="E619" s="29"/>
      <c r="F619" s="29"/>
      <c r="G619" s="29"/>
      <c r="H619" s="12"/>
      <c r="I619" s="12"/>
      <c r="J619" s="12"/>
      <c r="K619" s="39"/>
      <c r="L619" s="12"/>
      <c r="M619" s="40"/>
      <c r="N619" s="29"/>
      <c r="O619" s="12"/>
      <c r="P619" s="39"/>
      <c r="Q619" s="12"/>
      <c r="R619" s="39"/>
      <c r="S619" s="39"/>
      <c r="T619" s="39"/>
      <c r="U619" s="39"/>
      <c r="V619" s="39"/>
      <c r="W619" s="39"/>
      <c r="X619" s="39"/>
      <c r="Y619" s="39"/>
      <c r="Z619" s="39"/>
      <c r="AA619" s="39"/>
      <c r="AB619" s="39"/>
      <c r="AC619" s="39"/>
    </row>
    <row r="620">
      <c r="A620" s="23"/>
      <c r="B620" s="24"/>
      <c r="C620" s="29"/>
      <c r="D620" s="29"/>
      <c r="E620" s="29"/>
      <c r="F620" s="29"/>
      <c r="G620" s="29"/>
      <c r="H620" s="12"/>
      <c r="I620" s="12"/>
      <c r="J620" s="12"/>
      <c r="K620" s="39"/>
      <c r="L620" s="12"/>
      <c r="M620" s="40"/>
      <c r="N620" s="29"/>
      <c r="O620" s="12"/>
      <c r="P620" s="39"/>
      <c r="Q620" s="12"/>
      <c r="R620" s="39"/>
      <c r="S620" s="39"/>
      <c r="T620" s="39"/>
      <c r="U620" s="39"/>
      <c r="V620" s="39"/>
      <c r="W620" s="39"/>
      <c r="X620" s="39"/>
      <c r="Y620" s="39"/>
      <c r="Z620" s="39"/>
      <c r="AA620" s="39"/>
      <c r="AB620" s="39"/>
      <c r="AC620" s="39"/>
    </row>
    <row r="621">
      <c r="A621" s="23"/>
      <c r="B621" s="24"/>
      <c r="C621" s="29"/>
      <c r="D621" s="29"/>
      <c r="E621" s="29"/>
      <c r="F621" s="29"/>
      <c r="G621" s="29"/>
      <c r="H621" s="12"/>
      <c r="I621" s="12"/>
      <c r="J621" s="12"/>
      <c r="K621" s="39"/>
      <c r="L621" s="12"/>
      <c r="M621" s="40"/>
      <c r="N621" s="29"/>
      <c r="O621" s="12"/>
      <c r="P621" s="39"/>
      <c r="Q621" s="12"/>
      <c r="R621" s="39"/>
      <c r="S621" s="39"/>
      <c r="T621" s="39"/>
      <c r="U621" s="39"/>
      <c r="V621" s="39"/>
      <c r="W621" s="39"/>
      <c r="X621" s="39"/>
      <c r="Y621" s="39"/>
      <c r="Z621" s="39"/>
      <c r="AA621" s="39"/>
      <c r="AB621" s="39"/>
      <c r="AC621" s="39"/>
    </row>
    <row r="622">
      <c r="A622" s="23"/>
      <c r="B622" s="24"/>
      <c r="C622" s="29"/>
      <c r="D622" s="29"/>
      <c r="E622" s="29"/>
      <c r="F622" s="29"/>
      <c r="G622" s="29"/>
      <c r="H622" s="12"/>
      <c r="I622" s="12"/>
      <c r="J622" s="12"/>
      <c r="K622" s="39"/>
      <c r="L622" s="12"/>
      <c r="M622" s="40"/>
      <c r="N622" s="29"/>
      <c r="O622" s="12"/>
      <c r="P622" s="39"/>
      <c r="Q622" s="12"/>
      <c r="R622" s="39"/>
      <c r="S622" s="39"/>
      <c r="T622" s="39"/>
      <c r="U622" s="39"/>
      <c r="V622" s="39"/>
      <c r="W622" s="39"/>
      <c r="X622" s="39"/>
      <c r="Y622" s="39"/>
      <c r="Z622" s="39"/>
      <c r="AA622" s="39"/>
      <c r="AB622" s="39"/>
      <c r="AC622" s="39"/>
    </row>
    <row r="623">
      <c r="A623" s="23"/>
      <c r="B623" s="24"/>
      <c r="C623" s="29"/>
      <c r="D623" s="29"/>
      <c r="E623" s="29"/>
      <c r="F623" s="29"/>
      <c r="G623" s="29"/>
      <c r="H623" s="12"/>
      <c r="I623" s="12"/>
      <c r="J623" s="12"/>
      <c r="K623" s="39"/>
      <c r="L623" s="12"/>
      <c r="M623" s="40"/>
      <c r="N623" s="29"/>
      <c r="O623" s="12"/>
      <c r="P623" s="39"/>
      <c r="Q623" s="12"/>
      <c r="R623" s="39"/>
      <c r="S623" s="39"/>
      <c r="T623" s="39"/>
      <c r="U623" s="39"/>
      <c r="V623" s="39"/>
      <c r="W623" s="39"/>
      <c r="X623" s="39"/>
      <c r="Y623" s="39"/>
      <c r="Z623" s="39"/>
      <c r="AA623" s="39"/>
      <c r="AB623" s="39"/>
      <c r="AC623" s="39"/>
    </row>
    <row r="624">
      <c r="A624" s="23"/>
      <c r="B624" s="24"/>
      <c r="C624" s="29"/>
      <c r="D624" s="29"/>
      <c r="E624" s="29"/>
      <c r="F624" s="29"/>
      <c r="G624" s="29"/>
      <c r="H624" s="12"/>
      <c r="I624" s="12"/>
      <c r="J624" s="12"/>
      <c r="K624" s="39"/>
      <c r="L624" s="12"/>
      <c r="M624" s="40"/>
      <c r="N624" s="29"/>
      <c r="O624" s="12"/>
      <c r="P624" s="39"/>
      <c r="Q624" s="12"/>
      <c r="R624" s="39"/>
      <c r="S624" s="39"/>
      <c r="T624" s="39"/>
      <c r="U624" s="39"/>
      <c r="V624" s="39"/>
      <c r="W624" s="39"/>
      <c r="X624" s="39"/>
      <c r="Y624" s="39"/>
      <c r="Z624" s="39"/>
      <c r="AA624" s="39"/>
      <c r="AB624" s="39"/>
      <c r="AC624" s="39"/>
    </row>
    <row r="625">
      <c r="A625" s="23"/>
      <c r="B625" s="24"/>
      <c r="C625" s="29"/>
      <c r="D625" s="29"/>
      <c r="E625" s="29"/>
      <c r="F625" s="29"/>
      <c r="G625" s="29"/>
      <c r="H625" s="12"/>
      <c r="I625" s="12"/>
      <c r="J625" s="12"/>
      <c r="K625" s="39"/>
      <c r="L625" s="12"/>
      <c r="M625" s="40"/>
      <c r="N625" s="29"/>
      <c r="O625" s="12"/>
      <c r="P625" s="39"/>
      <c r="Q625" s="12"/>
      <c r="R625" s="39"/>
      <c r="S625" s="39"/>
      <c r="T625" s="39"/>
      <c r="U625" s="39"/>
      <c r="V625" s="39"/>
      <c r="W625" s="39"/>
      <c r="X625" s="39"/>
      <c r="Y625" s="39"/>
      <c r="Z625" s="39"/>
      <c r="AA625" s="39"/>
      <c r="AB625" s="39"/>
      <c r="AC625" s="39"/>
    </row>
    <row r="626">
      <c r="A626" s="23"/>
      <c r="B626" s="24"/>
      <c r="C626" s="29"/>
      <c r="D626" s="29"/>
      <c r="E626" s="29"/>
      <c r="F626" s="29"/>
      <c r="G626" s="29"/>
      <c r="H626" s="12"/>
      <c r="I626" s="12"/>
      <c r="J626" s="12"/>
      <c r="K626" s="39"/>
      <c r="L626" s="12"/>
      <c r="M626" s="40"/>
      <c r="N626" s="29"/>
      <c r="O626" s="12"/>
      <c r="P626" s="39"/>
      <c r="Q626" s="12"/>
      <c r="R626" s="39"/>
      <c r="S626" s="39"/>
      <c r="T626" s="39"/>
      <c r="U626" s="39"/>
      <c r="V626" s="39"/>
      <c r="W626" s="39"/>
      <c r="X626" s="39"/>
      <c r="Y626" s="39"/>
      <c r="Z626" s="39"/>
      <c r="AA626" s="39"/>
      <c r="AB626" s="39"/>
      <c r="AC626" s="39"/>
    </row>
    <row r="627">
      <c r="A627" s="23"/>
      <c r="B627" s="24"/>
      <c r="C627" s="29"/>
      <c r="D627" s="29"/>
      <c r="E627" s="29"/>
      <c r="F627" s="29"/>
      <c r="G627" s="29"/>
      <c r="H627" s="12"/>
      <c r="I627" s="12"/>
      <c r="J627" s="12"/>
      <c r="K627" s="39"/>
      <c r="L627" s="12"/>
      <c r="M627" s="40"/>
      <c r="N627" s="29"/>
      <c r="O627" s="12"/>
      <c r="P627" s="39"/>
      <c r="Q627" s="12"/>
      <c r="R627" s="39"/>
      <c r="S627" s="39"/>
      <c r="T627" s="39"/>
      <c r="U627" s="39"/>
      <c r="V627" s="39"/>
      <c r="W627" s="39"/>
      <c r="X627" s="39"/>
      <c r="Y627" s="39"/>
      <c r="Z627" s="39"/>
      <c r="AA627" s="39"/>
      <c r="AB627" s="39"/>
      <c r="AC627" s="39"/>
    </row>
    <row r="628">
      <c r="A628" s="23"/>
      <c r="B628" s="24"/>
      <c r="C628" s="29"/>
      <c r="D628" s="29"/>
      <c r="E628" s="29"/>
      <c r="F628" s="29"/>
      <c r="G628" s="29"/>
      <c r="H628" s="12"/>
      <c r="I628" s="12"/>
      <c r="J628" s="12"/>
      <c r="K628" s="39"/>
      <c r="L628" s="12"/>
      <c r="M628" s="40"/>
      <c r="N628" s="29"/>
      <c r="O628" s="12"/>
      <c r="P628" s="39"/>
      <c r="Q628" s="12"/>
      <c r="R628" s="39"/>
      <c r="S628" s="39"/>
      <c r="T628" s="39"/>
      <c r="U628" s="39"/>
      <c r="V628" s="39"/>
      <c r="W628" s="39"/>
      <c r="X628" s="39"/>
      <c r="Y628" s="39"/>
      <c r="Z628" s="39"/>
      <c r="AA628" s="39"/>
      <c r="AB628" s="39"/>
      <c r="AC628" s="39"/>
    </row>
    <row r="629">
      <c r="A629" s="23"/>
      <c r="B629" s="24"/>
      <c r="C629" s="29"/>
      <c r="D629" s="29"/>
      <c r="E629" s="29"/>
      <c r="F629" s="29"/>
      <c r="G629" s="29"/>
      <c r="H629" s="12"/>
      <c r="I629" s="12"/>
      <c r="J629" s="12"/>
      <c r="K629" s="39"/>
      <c r="L629" s="12"/>
      <c r="M629" s="40"/>
      <c r="N629" s="29"/>
      <c r="O629" s="12"/>
      <c r="P629" s="39"/>
      <c r="Q629" s="12"/>
      <c r="R629" s="39"/>
      <c r="S629" s="39"/>
      <c r="T629" s="39"/>
      <c r="U629" s="39"/>
      <c r="V629" s="39"/>
      <c r="W629" s="39"/>
      <c r="X629" s="39"/>
      <c r="Y629" s="39"/>
      <c r="Z629" s="39"/>
      <c r="AA629" s="39"/>
      <c r="AB629" s="39"/>
      <c r="AC629" s="39"/>
    </row>
    <row r="630">
      <c r="A630" s="23"/>
      <c r="B630" s="24"/>
      <c r="C630" s="29"/>
      <c r="D630" s="29"/>
      <c r="E630" s="29"/>
      <c r="F630" s="29"/>
      <c r="G630" s="29"/>
      <c r="H630" s="12"/>
      <c r="I630" s="12"/>
      <c r="J630" s="12"/>
      <c r="K630" s="39"/>
      <c r="L630" s="12"/>
      <c r="M630" s="40"/>
      <c r="N630" s="29"/>
      <c r="O630" s="12"/>
      <c r="P630" s="39"/>
      <c r="Q630" s="12"/>
      <c r="R630" s="39"/>
      <c r="S630" s="39"/>
      <c r="T630" s="39"/>
      <c r="U630" s="39"/>
      <c r="V630" s="39"/>
      <c r="W630" s="39"/>
      <c r="X630" s="39"/>
      <c r="Y630" s="39"/>
      <c r="Z630" s="39"/>
      <c r="AA630" s="39"/>
      <c r="AB630" s="39"/>
      <c r="AC630" s="39"/>
    </row>
    <row r="631">
      <c r="A631" s="23"/>
      <c r="B631" s="24"/>
      <c r="C631" s="29"/>
      <c r="D631" s="29"/>
      <c r="E631" s="29"/>
      <c r="F631" s="29"/>
      <c r="G631" s="29"/>
      <c r="H631" s="12"/>
      <c r="I631" s="12"/>
      <c r="J631" s="12"/>
      <c r="K631" s="39"/>
      <c r="L631" s="12"/>
      <c r="M631" s="40"/>
      <c r="N631" s="29"/>
      <c r="O631" s="12"/>
      <c r="P631" s="39"/>
      <c r="Q631" s="12"/>
      <c r="R631" s="39"/>
      <c r="S631" s="39"/>
      <c r="T631" s="39"/>
      <c r="U631" s="39"/>
      <c r="V631" s="39"/>
      <c r="W631" s="39"/>
      <c r="X631" s="39"/>
      <c r="Y631" s="39"/>
      <c r="Z631" s="39"/>
      <c r="AA631" s="39"/>
      <c r="AB631" s="39"/>
      <c r="AC631" s="39"/>
    </row>
    <row r="632">
      <c r="A632" s="23"/>
      <c r="B632" s="24"/>
      <c r="C632" s="29"/>
      <c r="D632" s="29"/>
      <c r="E632" s="29"/>
      <c r="F632" s="29"/>
      <c r="G632" s="29"/>
      <c r="H632" s="12"/>
      <c r="I632" s="12"/>
      <c r="J632" s="12"/>
      <c r="K632" s="39"/>
      <c r="L632" s="12"/>
      <c r="M632" s="40"/>
      <c r="N632" s="29"/>
      <c r="O632" s="12"/>
      <c r="P632" s="39"/>
      <c r="Q632" s="12"/>
      <c r="R632" s="39"/>
      <c r="S632" s="39"/>
      <c r="T632" s="39"/>
      <c r="U632" s="39"/>
      <c r="V632" s="39"/>
      <c r="W632" s="39"/>
      <c r="X632" s="39"/>
      <c r="Y632" s="39"/>
      <c r="Z632" s="39"/>
      <c r="AA632" s="39"/>
      <c r="AB632" s="39"/>
      <c r="AC632" s="39"/>
    </row>
    <row r="633">
      <c r="A633" s="23"/>
      <c r="B633" s="24"/>
      <c r="C633" s="29"/>
      <c r="D633" s="29"/>
      <c r="E633" s="29"/>
      <c r="F633" s="29"/>
      <c r="G633" s="29"/>
      <c r="H633" s="12"/>
      <c r="I633" s="12"/>
      <c r="J633" s="12"/>
      <c r="K633" s="39"/>
      <c r="L633" s="12"/>
      <c r="M633" s="40"/>
      <c r="N633" s="29"/>
      <c r="O633" s="12"/>
      <c r="P633" s="39"/>
      <c r="Q633" s="12"/>
      <c r="R633" s="39"/>
      <c r="S633" s="39"/>
      <c r="T633" s="39"/>
      <c r="U633" s="39"/>
      <c r="V633" s="39"/>
      <c r="W633" s="39"/>
      <c r="X633" s="39"/>
      <c r="Y633" s="39"/>
      <c r="Z633" s="39"/>
      <c r="AA633" s="39"/>
      <c r="AB633" s="39"/>
      <c r="AC633" s="39"/>
    </row>
    <row r="634">
      <c r="A634" s="23"/>
      <c r="B634" s="24"/>
      <c r="C634" s="29"/>
      <c r="D634" s="29"/>
      <c r="E634" s="29"/>
      <c r="F634" s="29"/>
      <c r="G634" s="29"/>
      <c r="H634" s="12"/>
      <c r="I634" s="12"/>
      <c r="J634" s="12"/>
      <c r="K634" s="39"/>
      <c r="L634" s="12"/>
      <c r="M634" s="40"/>
      <c r="N634" s="29"/>
      <c r="O634" s="12"/>
      <c r="P634" s="39"/>
      <c r="Q634" s="12"/>
      <c r="R634" s="39"/>
      <c r="S634" s="39"/>
      <c r="T634" s="39"/>
      <c r="U634" s="39"/>
      <c r="V634" s="39"/>
      <c r="W634" s="39"/>
      <c r="X634" s="39"/>
      <c r="Y634" s="39"/>
      <c r="Z634" s="39"/>
      <c r="AA634" s="39"/>
      <c r="AB634" s="39"/>
      <c r="AC634" s="39"/>
    </row>
    <row r="635">
      <c r="A635" s="23"/>
      <c r="B635" s="24"/>
      <c r="C635" s="29"/>
      <c r="D635" s="29"/>
      <c r="E635" s="29"/>
      <c r="F635" s="29"/>
      <c r="G635" s="29"/>
      <c r="H635" s="12"/>
      <c r="I635" s="12"/>
      <c r="J635" s="12"/>
      <c r="K635" s="39"/>
      <c r="L635" s="12"/>
      <c r="M635" s="40"/>
      <c r="N635" s="29"/>
      <c r="O635" s="12"/>
      <c r="P635" s="39"/>
      <c r="Q635" s="12"/>
      <c r="R635" s="39"/>
      <c r="S635" s="39"/>
      <c r="T635" s="39"/>
      <c r="U635" s="39"/>
      <c r="V635" s="39"/>
      <c r="W635" s="39"/>
      <c r="X635" s="39"/>
      <c r="Y635" s="39"/>
      <c r="Z635" s="39"/>
      <c r="AA635" s="39"/>
      <c r="AB635" s="39"/>
      <c r="AC635" s="39"/>
    </row>
    <row r="636">
      <c r="A636" s="23"/>
      <c r="B636" s="24"/>
      <c r="C636" s="29"/>
      <c r="D636" s="29"/>
      <c r="E636" s="29"/>
      <c r="F636" s="29"/>
      <c r="G636" s="29"/>
      <c r="H636" s="12"/>
      <c r="I636" s="12"/>
      <c r="J636" s="12"/>
      <c r="K636" s="39"/>
      <c r="L636" s="12"/>
      <c r="M636" s="40"/>
      <c r="N636" s="29"/>
      <c r="O636" s="12"/>
      <c r="P636" s="39"/>
      <c r="Q636" s="12"/>
      <c r="R636" s="39"/>
      <c r="S636" s="39"/>
      <c r="T636" s="39"/>
      <c r="U636" s="39"/>
      <c r="V636" s="39"/>
      <c r="W636" s="39"/>
      <c r="X636" s="39"/>
      <c r="Y636" s="39"/>
      <c r="Z636" s="39"/>
      <c r="AA636" s="39"/>
      <c r="AB636" s="39"/>
      <c r="AC636" s="39"/>
    </row>
    <row r="637">
      <c r="A637" s="23"/>
      <c r="B637" s="24"/>
      <c r="C637" s="29"/>
      <c r="D637" s="29"/>
      <c r="E637" s="29"/>
      <c r="F637" s="29"/>
      <c r="G637" s="29"/>
      <c r="H637" s="12"/>
      <c r="I637" s="12"/>
      <c r="J637" s="12"/>
      <c r="K637" s="39"/>
      <c r="L637" s="12"/>
      <c r="M637" s="40"/>
      <c r="N637" s="29"/>
      <c r="O637" s="12"/>
      <c r="P637" s="39"/>
      <c r="Q637" s="12"/>
      <c r="R637" s="39"/>
      <c r="S637" s="39"/>
      <c r="T637" s="39"/>
      <c r="U637" s="39"/>
      <c r="V637" s="39"/>
      <c r="W637" s="39"/>
      <c r="X637" s="39"/>
      <c r="Y637" s="39"/>
      <c r="Z637" s="39"/>
      <c r="AA637" s="39"/>
      <c r="AB637" s="39"/>
      <c r="AC637" s="39"/>
    </row>
    <row r="638">
      <c r="A638" s="23"/>
      <c r="B638" s="24"/>
      <c r="C638" s="29"/>
      <c r="D638" s="29"/>
      <c r="E638" s="29"/>
      <c r="F638" s="29"/>
      <c r="G638" s="29"/>
      <c r="H638" s="12"/>
      <c r="I638" s="12"/>
      <c r="J638" s="12"/>
      <c r="K638" s="39"/>
      <c r="L638" s="12"/>
      <c r="M638" s="40"/>
      <c r="N638" s="29"/>
      <c r="O638" s="12"/>
      <c r="P638" s="39"/>
      <c r="Q638" s="12"/>
      <c r="R638" s="39"/>
      <c r="S638" s="39"/>
      <c r="T638" s="39"/>
      <c r="U638" s="39"/>
      <c r="V638" s="39"/>
      <c r="W638" s="39"/>
      <c r="X638" s="39"/>
      <c r="Y638" s="39"/>
      <c r="Z638" s="39"/>
      <c r="AA638" s="39"/>
      <c r="AB638" s="39"/>
      <c r="AC638" s="39"/>
    </row>
    <row r="639">
      <c r="A639" s="23"/>
      <c r="B639" s="24"/>
      <c r="C639" s="29"/>
      <c r="D639" s="29"/>
      <c r="E639" s="29"/>
      <c r="F639" s="29"/>
      <c r="G639" s="29"/>
      <c r="H639" s="12"/>
      <c r="I639" s="12"/>
      <c r="J639" s="12"/>
      <c r="K639" s="39"/>
      <c r="L639" s="12"/>
      <c r="M639" s="40"/>
      <c r="N639" s="29"/>
      <c r="O639" s="12"/>
      <c r="P639" s="39"/>
      <c r="Q639" s="12"/>
      <c r="R639" s="39"/>
      <c r="S639" s="39"/>
      <c r="T639" s="39"/>
      <c r="U639" s="39"/>
      <c r="V639" s="39"/>
      <c r="W639" s="39"/>
      <c r="X639" s="39"/>
      <c r="Y639" s="39"/>
      <c r="Z639" s="39"/>
      <c r="AA639" s="39"/>
      <c r="AB639" s="39"/>
      <c r="AC639" s="39"/>
    </row>
    <row r="640">
      <c r="A640" s="23"/>
      <c r="B640" s="24"/>
      <c r="C640" s="29"/>
      <c r="D640" s="29"/>
      <c r="E640" s="29"/>
      <c r="F640" s="29"/>
      <c r="G640" s="29"/>
      <c r="H640" s="12"/>
      <c r="I640" s="12"/>
      <c r="J640" s="12"/>
      <c r="K640" s="39"/>
      <c r="L640" s="12"/>
      <c r="M640" s="40"/>
      <c r="N640" s="29"/>
      <c r="O640" s="12"/>
      <c r="P640" s="39"/>
      <c r="Q640" s="12"/>
      <c r="R640" s="39"/>
      <c r="S640" s="39"/>
      <c r="T640" s="39"/>
      <c r="U640" s="39"/>
      <c r="V640" s="39"/>
      <c r="W640" s="39"/>
      <c r="X640" s="39"/>
      <c r="Y640" s="39"/>
      <c r="Z640" s="39"/>
      <c r="AA640" s="39"/>
      <c r="AB640" s="39"/>
      <c r="AC640" s="39"/>
    </row>
    <row r="641">
      <c r="A641" s="23"/>
      <c r="B641" s="24"/>
      <c r="C641" s="29"/>
      <c r="D641" s="29"/>
      <c r="E641" s="29"/>
      <c r="F641" s="29"/>
      <c r="G641" s="29"/>
      <c r="H641" s="12"/>
      <c r="I641" s="12"/>
      <c r="J641" s="12"/>
      <c r="K641" s="39"/>
      <c r="L641" s="12"/>
      <c r="M641" s="40"/>
      <c r="N641" s="29"/>
      <c r="O641" s="12"/>
      <c r="P641" s="39"/>
      <c r="Q641" s="12"/>
      <c r="R641" s="39"/>
      <c r="S641" s="39"/>
      <c r="T641" s="39"/>
      <c r="U641" s="39"/>
      <c r="V641" s="39"/>
      <c r="W641" s="39"/>
      <c r="X641" s="39"/>
      <c r="Y641" s="39"/>
      <c r="Z641" s="39"/>
      <c r="AA641" s="39"/>
      <c r="AB641" s="39"/>
      <c r="AC641" s="39"/>
    </row>
    <row r="642">
      <c r="A642" s="23"/>
      <c r="B642" s="24"/>
      <c r="C642" s="29"/>
      <c r="D642" s="29"/>
      <c r="E642" s="29"/>
      <c r="F642" s="29"/>
      <c r="G642" s="29"/>
      <c r="H642" s="12"/>
      <c r="I642" s="12"/>
      <c r="J642" s="12"/>
      <c r="K642" s="39"/>
      <c r="L642" s="12"/>
      <c r="M642" s="40"/>
      <c r="N642" s="29"/>
      <c r="O642" s="12"/>
      <c r="P642" s="39"/>
      <c r="Q642" s="12"/>
      <c r="R642" s="39"/>
      <c r="S642" s="39"/>
      <c r="T642" s="39"/>
      <c r="U642" s="39"/>
      <c r="V642" s="39"/>
      <c r="W642" s="39"/>
      <c r="X642" s="39"/>
      <c r="Y642" s="39"/>
      <c r="Z642" s="39"/>
      <c r="AA642" s="39"/>
      <c r="AB642" s="39"/>
      <c r="AC642" s="39"/>
    </row>
    <row r="643">
      <c r="A643" s="23"/>
      <c r="B643" s="24"/>
      <c r="C643" s="29"/>
      <c r="D643" s="29"/>
      <c r="E643" s="29"/>
      <c r="F643" s="29"/>
      <c r="G643" s="29"/>
      <c r="H643" s="12"/>
      <c r="I643" s="12"/>
      <c r="J643" s="12"/>
      <c r="K643" s="39"/>
      <c r="L643" s="12"/>
      <c r="M643" s="40"/>
      <c r="N643" s="29"/>
      <c r="O643" s="12"/>
      <c r="P643" s="39"/>
      <c r="Q643" s="12"/>
      <c r="R643" s="39"/>
      <c r="S643" s="39"/>
      <c r="T643" s="39"/>
      <c r="U643" s="39"/>
      <c r="V643" s="39"/>
      <c r="W643" s="39"/>
      <c r="X643" s="39"/>
      <c r="Y643" s="39"/>
      <c r="Z643" s="39"/>
      <c r="AA643" s="39"/>
      <c r="AB643" s="39"/>
      <c r="AC643" s="39"/>
    </row>
    <row r="644">
      <c r="A644" s="23"/>
      <c r="B644" s="24"/>
      <c r="C644" s="29"/>
      <c r="D644" s="29"/>
      <c r="E644" s="29"/>
      <c r="F644" s="29"/>
      <c r="G644" s="29"/>
      <c r="H644" s="12"/>
      <c r="I644" s="12"/>
      <c r="J644" s="12"/>
      <c r="K644" s="39"/>
      <c r="L644" s="12"/>
      <c r="M644" s="40"/>
      <c r="N644" s="29"/>
      <c r="O644" s="12"/>
      <c r="P644" s="39"/>
      <c r="Q644" s="12"/>
      <c r="R644" s="39"/>
      <c r="S644" s="39"/>
      <c r="T644" s="39"/>
      <c r="U644" s="39"/>
      <c r="V644" s="39"/>
      <c r="W644" s="39"/>
      <c r="X644" s="39"/>
      <c r="Y644" s="39"/>
      <c r="Z644" s="39"/>
      <c r="AA644" s="39"/>
      <c r="AB644" s="39"/>
      <c r="AC644" s="39"/>
    </row>
    <row r="645">
      <c r="A645" s="23"/>
      <c r="B645" s="24"/>
      <c r="C645" s="29"/>
      <c r="D645" s="29"/>
      <c r="E645" s="29"/>
      <c r="F645" s="29"/>
      <c r="G645" s="29"/>
      <c r="H645" s="12"/>
      <c r="I645" s="12"/>
      <c r="J645" s="12"/>
      <c r="K645" s="39"/>
      <c r="L645" s="12"/>
      <c r="M645" s="40"/>
      <c r="N645" s="29"/>
      <c r="O645" s="12"/>
      <c r="P645" s="39"/>
      <c r="Q645" s="12"/>
      <c r="R645" s="39"/>
      <c r="S645" s="39"/>
      <c r="T645" s="39"/>
      <c r="U645" s="39"/>
      <c r="V645" s="39"/>
      <c r="W645" s="39"/>
      <c r="X645" s="39"/>
      <c r="Y645" s="39"/>
      <c r="Z645" s="39"/>
      <c r="AA645" s="39"/>
      <c r="AB645" s="39"/>
      <c r="AC645" s="39"/>
    </row>
    <row r="646">
      <c r="A646" s="23"/>
      <c r="B646" s="24"/>
      <c r="C646" s="29"/>
      <c r="D646" s="29"/>
      <c r="E646" s="29"/>
      <c r="F646" s="29"/>
      <c r="G646" s="29"/>
      <c r="H646" s="12"/>
      <c r="I646" s="12"/>
      <c r="J646" s="12"/>
      <c r="K646" s="39"/>
      <c r="L646" s="12"/>
      <c r="M646" s="40"/>
      <c r="N646" s="29"/>
      <c r="O646" s="12"/>
      <c r="P646" s="39"/>
      <c r="Q646" s="12"/>
      <c r="R646" s="39"/>
      <c r="S646" s="39"/>
      <c r="T646" s="39"/>
      <c r="U646" s="39"/>
      <c r="V646" s="39"/>
      <c r="W646" s="39"/>
      <c r="X646" s="39"/>
      <c r="Y646" s="39"/>
      <c r="Z646" s="39"/>
      <c r="AA646" s="39"/>
      <c r="AB646" s="39"/>
      <c r="AC646" s="39"/>
    </row>
    <row r="647">
      <c r="A647" s="23"/>
      <c r="B647" s="24"/>
      <c r="C647" s="29"/>
      <c r="D647" s="29"/>
      <c r="E647" s="29"/>
      <c r="F647" s="29"/>
      <c r="G647" s="29"/>
      <c r="H647" s="12"/>
      <c r="I647" s="12"/>
      <c r="J647" s="12"/>
      <c r="K647" s="39"/>
      <c r="L647" s="12"/>
      <c r="M647" s="40"/>
      <c r="N647" s="29"/>
      <c r="O647" s="12"/>
      <c r="P647" s="39"/>
      <c r="Q647" s="12"/>
      <c r="R647" s="39"/>
      <c r="S647" s="39"/>
      <c r="T647" s="39"/>
      <c r="U647" s="39"/>
      <c r="V647" s="39"/>
      <c r="W647" s="39"/>
      <c r="X647" s="39"/>
      <c r="Y647" s="39"/>
      <c r="Z647" s="39"/>
      <c r="AA647" s="39"/>
      <c r="AB647" s="39"/>
      <c r="AC647" s="39"/>
    </row>
    <row r="648">
      <c r="A648" s="23"/>
      <c r="B648" s="24"/>
      <c r="C648" s="29"/>
      <c r="D648" s="29"/>
      <c r="E648" s="29"/>
      <c r="F648" s="29"/>
      <c r="G648" s="29"/>
      <c r="H648" s="12"/>
      <c r="I648" s="12"/>
      <c r="J648" s="12"/>
      <c r="K648" s="39"/>
      <c r="L648" s="12"/>
      <c r="M648" s="40"/>
      <c r="N648" s="29"/>
      <c r="O648" s="12"/>
      <c r="P648" s="39"/>
      <c r="Q648" s="12"/>
      <c r="R648" s="39"/>
      <c r="S648" s="39"/>
      <c r="T648" s="39"/>
      <c r="U648" s="39"/>
      <c r="V648" s="39"/>
      <c r="W648" s="39"/>
      <c r="X648" s="39"/>
      <c r="Y648" s="39"/>
      <c r="Z648" s="39"/>
      <c r="AA648" s="39"/>
      <c r="AB648" s="39"/>
      <c r="AC648" s="39"/>
    </row>
    <row r="649">
      <c r="A649" s="23"/>
      <c r="B649" s="24"/>
      <c r="C649" s="29"/>
      <c r="D649" s="29"/>
      <c r="E649" s="29"/>
      <c r="F649" s="29"/>
      <c r="G649" s="29"/>
      <c r="H649" s="12"/>
      <c r="I649" s="12"/>
      <c r="J649" s="12"/>
      <c r="K649" s="39"/>
      <c r="L649" s="12"/>
      <c r="M649" s="40"/>
      <c r="N649" s="29"/>
      <c r="O649" s="12"/>
      <c r="P649" s="39"/>
      <c r="Q649" s="12"/>
      <c r="R649" s="39"/>
      <c r="S649" s="39"/>
      <c r="T649" s="39"/>
      <c r="U649" s="39"/>
      <c r="V649" s="39"/>
      <c r="W649" s="39"/>
      <c r="X649" s="39"/>
      <c r="Y649" s="39"/>
      <c r="Z649" s="39"/>
      <c r="AA649" s="39"/>
      <c r="AB649" s="39"/>
      <c r="AC649" s="39"/>
    </row>
    <row r="650">
      <c r="A650" s="23"/>
      <c r="B650" s="24"/>
      <c r="C650" s="29"/>
      <c r="D650" s="29"/>
      <c r="E650" s="29"/>
      <c r="F650" s="29"/>
      <c r="G650" s="29"/>
      <c r="H650" s="12"/>
      <c r="I650" s="12"/>
      <c r="J650" s="12"/>
      <c r="K650" s="39"/>
      <c r="L650" s="12"/>
      <c r="M650" s="40"/>
      <c r="N650" s="29"/>
      <c r="O650" s="12"/>
      <c r="P650" s="39"/>
      <c r="Q650" s="12"/>
      <c r="R650" s="39"/>
      <c r="S650" s="39"/>
      <c r="T650" s="39"/>
      <c r="U650" s="39"/>
      <c r="V650" s="39"/>
      <c r="W650" s="39"/>
      <c r="X650" s="39"/>
      <c r="Y650" s="39"/>
      <c r="Z650" s="39"/>
      <c r="AA650" s="39"/>
      <c r="AB650" s="39"/>
      <c r="AC650" s="39"/>
    </row>
    <row r="651">
      <c r="A651" s="23"/>
      <c r="B651" s="24"/>
      <c r="C651" s="29"/>
      <c r="D651" s="29"/>
      <c r="E651" s="29"/>
      <c r="F651" s="29"/>
      <c r="G651" s="29"/>
      <c r="H651" s="12"/>
      <c r="I651" s="12"/>
      <c r="J651" s="12"/>
      <c r="K651" s="39"/>
      <c r="L651" s="12"/>
      <c r="M651" s="40"/>
      <c r="N651" s="29"/>
      <c r="O651" s="12"/>
      <c r="P651" s="39"/>
      <c r="Q651" s="12"/>
      <c r="R651" s="39"/>
      <c r="S651" s="39"/>
      <c r="T651" s="39"/>
      <c r="U651" s="39"/>
      <c r="V651" s="39"/>
      <c r="W651" s="39"/>
      <c r="X651" s="39"/>
      <c r="Y651" s="39"/>
      <c r="Z651" s="39"/>
      <c r="AA651" s="39"/>
      <c r="AB651" s="39"/>
      <c r="AC651" s="39"/>
    </row>
    <row r="652">
      <c r="A652" s="23"/>
      <c r="B652" s="24"/>
      <c r="C652" s="29"/>
      <c r="D652" s="29"/>
      <c r="E652" s="29"/>
      <c r="F652" s="29"/>
      <c r="G652" s="29"/>
      <c r="H652" s="12"/>
      <c r="I652" s="12"/>
      <c r="J652" s="12"/>
      <c r="K652" s="39"/>
      <c r="L652" s="12"/>
      <c r="M652" s="40"/>
      <c r="N652" s="29"/>
      <c r="O652" s="12"/>
      <c r="P652" s="39"/>
      <c r="Q652" s="12"/>
      <c r="R652" s="39"/>
      <c r="S652" s="39"/>
      <c r="T652" s="39"/>
      <c r="U652" s="39"/>
      <c r="V652" s="39"/>
      <c r="W652" s="39"/>
      <c r="X652" s="39"/>
      <c r="Y652" s="39"/>
      <c r="Z652" s="39"/>
      <c r="AA652" s="39"/>
      <c r="AB652" s="39"/>
      <c r="AC652" s="39"/>
    </row>
    <row r="653">
      <c r="A653" s="23"/>
      <c r="B653" s="24"/>
      <c r="C653" s="29"/>
      <c r="D653" s="29"/>
      <c r="E653" s="29"/>
      <c r="F653" s="29"/>
      <c r="G653" s="29"/>
      <c r="H653" s="12"/>
      <c r="I653" s="12"/>
      <c r="J653" s="12"/>
      <c r="K653" s="39"/>
      <c r="L653" s="12"/>
      <c r="M653" s="40"/>
      <c r="N653" s="29"/>
      <c r="O653" s="12"/>
      <c r="P653" s="39"/>
      <c r="Q653" s="12"/>
      <c r="R653" s="39"/>
      <c r="S653" s="39"/>
      <c r="T653" s="39"/>
      <c r="U653" s="39"/>
      <c r="V653" s="39"/>
      <c r="W653" s="39"/>
      <c r="X653" s="39"/>
      <c r="Y653" s="39"/>
      <c r="Z653" s="39"/>
      <c r="AA653" s="39"/>
      <c r="AB653" s="39"/>
      <c r="AC653" s="39"/>
    </row>
    <row r="654">
      <c r="A654" s="23"/>
      <c r="B654" s="24"/>
      <c r="C654" s="29"/>
      <c r="D654" s="29"/>
      <c r="E654" s="29"/>
      <c r="F654" s="29"/>
      <c r="G654" s="29"/>
      <c r="H654" s="12"/>
      <c r="I654" s="12"/>
      <c r="J654" s="12"/>
      <c r="K654" s="39"/>
      <c r="L654" s="12"/>
      <c r="M654" s="40"/>
      <c r="N654" s="29"/>
      <c r="O654" s="12"/>
      <c r="P654" s="39"/>
      <c r="Q654" s="12"/>
      <c r="R654" s="39"/>
      <c r="S654" s="39"/>
      <c r="T654" s="39"/>
      <c r="U654" s="39"/>
      <c r="V654" s="39"/>
      <c r="W654" s="39"/>
      <c r="X654" s="39"/>
      <c r="Y654" s="39"/>
      <c r="Z654" s="39"/>
      <c r="AA654" s="39"/>
      <c r="AB654" s="39"/>
      <c r="AC654" s="39"/>
    </row>
    <row r="655">
      <c r="A655" s="23"/>
      <c r="B655" s="24"/>
      <c r="C655" s="29"/>
      <c r="D655" s="29"/>
      <c r="E655" s="29"/>
      <c r="F655" s="29"/>
      <c r="G655" s="29"/>
      <c r="H655" s="12"/>
      <c r="I655" s="12"/>
      <c r="J655" s="12"/>
      <c r="K655" s="39"/>
      <c r="L655" s="12"/>
      <c r="M655" s="40"/>
      <c r="N655" s="29"/>
      <c r="O655" s="12"/>
      <c r="P655" s="39"/>
      <c r="Q655" s="12"/>
      <c r="R655" s="39"/>
      <c r="S655" s="39"/>
      <c r="T655" s="39"/>
      <c r="U655" s="39"/>
      <c r="V655" s="39"/>
      <c r="W655" s="39"/>
      <c r="X655" s="39"/>
      <c r="Y655" s="39"/>
      <c r="Z655" s="39"/>
      <c r="AA655" s="39"/>
      <c r="AB655" s="39"/>
      <c r="AC655" s="39"/>
    </row>
    <row r="656">
      <c r="A656" s="23"/>
      <c r="B656" s="24"/>
      <c r="C656" s="29"/>
      <c r="D656" s="29"/>
      <c r="E656" s="29"/>
      <c r="F656" s="29"/>
      <c r="G656" s="29"/>
      <c r="H656" s="12"/>
      <c r="I656" s="12"/>
      <c r="J656" s="12"/>
      <c r="K656" s="39"/>
      <c r="L656" s="12"/>
      <c r="M656" s="40"/>
      <c r="N656" s="29"/>
      <c r="O656" s="12"/>
      <c r="P656" s="39"/>
      <c r="Q656" s="12"/>
      <c r="R656" s="39"/>
      <c r="S656" s="39"/>
      <c r="T656" s="39"/>
      <c r="U656" s="39"/>
      <c r="V656" s="39"/>
      <c r="W656" s="39"/>
      <c r="X656" s="39"/>
      <c r="Y656" s="39"/>
      <c r="Z656" s="39"/>
      <c r="AA656" s="39"/>
      <c r="AB656" s="39"/>
      <c r="AC656" s="39"/>
    </row>
    <row r="657">
      <c r="A657" s="23"/>
      <c r="B657" s="24"/>
      <c r="C657" s="29"/>
      <c r="D657" s="29"/>
      <c r="E657" s="29"/>
      <c r="F657" s="29"/>
      <c r="G657" s="29"/>
      <c r="H657" s="12"/>
      <c r="I657" s="12"/>
      <c r="J657" s="12"/>
      <c r="K657" s="39"/>
      <c r="L657" s="12"/>
      <c r="M657" s="40"/>
      <c r="N657" s="29"/>
      <c r="O657" s="12"/>
      <c r="P657" s="39"/>
      <c r="Q657" s="12"/>
      <c r="R657" s="39"/>
      <c r="S657" s="39"/>
      <c r="T657" s="39"/>
      <c r="U657" s="39"/>
      <c r="V657" s="39"/>
      <c r="W657" s="39"/>
      <c r="X657" s="39"/>
      <c r="Y657" s="39"/>
      <c r="Z657" s="39"/>
      <c r="AA657" s="39"/>
      <c r="AB657" s="39"/>
      <c r="AC657" s="39"/>
    </row>
    <row r="658">
      <c r="A658" s="23"/>
      <c r="B658" s="24"/>
      <c r="C658" s="29"/>
      <c r="D658" s="29"/>
      <c r="E658" s="29"/>
      <c r="F658" s="29"/>
      <c r="G658" s="29"/>
      <c r="H658" s="12"/>
      <c r="I658" s="12"/>
      <c r="J658" s="12"/>
      <c r="K658" s="39"/>
      <c r="L658" s="12"/>
      <c r="M658" s="40"/>
      <c r="N658" s="29"/>
      <c r="O658" s="12"/>
      <c r="P658" s="39"/>
      <c r="Q658" s="12"/>
      <c r="R658" s="39"/>
      <c r="S658" s="39"/>
      <c r="T658" s="39"/>
      <c r="U658" s="39"/>
      <c r="V658" s="39"/>
      <c r="W658" s="39"/>
      <c r="X658" s="39"/>
      <c r="Y658" s="39"/>
      <c r="Z658" s="39"/>
      <c r="AA658" s="39"/>
      <c r="AB658" s="39"/>
      <c r="AC658" s="39"/>
    </row>
    <row r="659">
      <c r="A659" s="23"/>
      <c r="B659" s="24"/>
      <c r="C659" s="29"/>
      <c r="D659" s="29"/>
      <c r="E659" s="29"/>
      <c r="F659" s="29"/>
      <c r="G659" s="29"/>
      <c r="H659" s="12"/>
      <c r="I659" s="12"/>
      <c r="J659" s="12"/>
      <c r="K659" s="39"/>
      <c r="L659" s="12"/>
      <c r="M659" s="40"/>
      <c r="N659" s="29"/>
      <c r="O659" s="12"/>
      <c r="P659" s="39"/>
      <c r="Q659" s="12"/>
      <c r="R659" s="39"/>
      <c r="S659" s="39"/>
      <c r="T659" s="39"/>
      <c r="U659" s="39"/>
      <c r="V659" s="39"/>
      <c r="W659" s="39"/>
      <c r="X659" s="39"/>
      <c r="Y659" s="39"/>
      <c r="Z659" s="39"/>
      <c r="AA659" s="39"/>
      <c r="AB659" s="39"/>
      <c r="AC659" s="39"/>
    </row>
    <row r="660">
      <c r="A660" s="23"/>
      <c r="B660" s="24"/>
      <c r="C660" s="29"/>
      <c r="D660" s="29"/>
      <c r="E660" s="29"/>
      <c r="F660" s="29"/>
      <c r="G660" s="29"/>
      <c r="H660" s="12"/>
      <c r="I660" s="12"/>
      <c r="J660" s="12"/>
      <c r="K660" s="39"/>
      <c r="L660" s="12"/>
      <c r="M660" s="40"/>
      <c r="N660" s="29"/>
      <c r="O660" s="12"/>
      <c r="P660" s="39"/>
      <c r="Q660" s="12"/>
      <c r="R660" s="39"/>
      <c r="S660" s="39"/>
      <c r="T660" s="39"/>
      <c r="U660" s="39"/>
      <c r="V660" s="39"/>
      <c r="W660" s="39"/>
      <c r="X660" s="39"/>
      <c r="Y660" s="39"/>
      <c r="Z660" s="39"/>
      <c r="AA660" s="39"/>
      <c r="AB660" s="39"/>
      <c r="AC660" s="39"/>
    </row>
    <row r="661">
      <c r="A661" s="23"/>
      <c r="B661" s="24"/>
      <c r="C661" s="29"/>
      <c r="D661" s="29"/>
      <c r="E661" s="29"/>
      <c r="F661" s="29"/>
      <c r="G661" s="29"/>
      <c r="H661" s="12"/>
      <c r="I661" s="12"/>
      <c r="J661" s="12"/>
      <c r="K661" s="39"/>
      <c r="L661" s="12"/>
      <c r="M661" s="40"/>
      <c r="N661" s="29"/>
      <c r="O661" s="12"/>
      <c r="P661" s="39"/>
      <c r="Q661" s="12"/>
      <c r="R661" s="39"/>
      <c r="S661" s="39"/>
      <c r="T661" s="39"/>
      <c r="U661" s="39"/>
      <c r="V661" s="39"/>
      <c r="W661" s="39"/>
      <c r="X661" s="39"/>
      <c r="Y661" s="39"/>
      <c r="Z661" s="39"/>
      <c r="AA661" s="39"/>
      <c r="AB661" s="39"/>
      <c r="AC661" s="39"/>
    </row>
    <row r="662">
      <c r="A662" s="23"/>
      <c r="B662" s="24"/>
      <c r="C662" s="29"/>
      <c r="D662" s="29"/>
      <c r="E662" s="29"/>
      <c r="F662" s="29"/>
      <c r="G662" s="29"/>
      <c r="H662" s="12"/>
      <c r="I662" s="12"/>
      <c r="J662" s="12"/>
      <c r="K662" s="39"/>
      <c r="L662" s="12"/>
      <c r="M662" s="40"/>
      <c r="N662" s="29"/>
      <c r="O662" s="12"/>
      <c r="P662" s="39"/>
      <c r="Q662" s="12"/>
      <c r="R662" s="39"/>
      <c r="S662" s="39"/>
      <c r="T662" s="39"/>
      <c r="U662" s="39"/>
      <c r="V662" s="39"/>
      <c r="W662" s="39"/>
      <c r="X662" s="39"/>
      <c r="Y662" s="39"/>
      <c r="Z662" s="39"/>
      <c r="AA662" s="39"/>
      <c r="AB662" s="39"/>
      <c r="AC662" s="39"/>
    </row>
    <row r="663">
      <c r="A663" s="23"/>
      <c r="B663" s="24"/>
      <c r="C663" s="29"/>
      <c r="D663" s="29"/>
      <c r="E663" s="29"/>
      <c r="F663" s="29"/>
      <c r="G663" s="29"/>
      <c r="H663" s="12"/>
      <c r="I663" s="12"/>
      <c r="J663" s="12"/>
      <c r="K663" s="39"/>
      <c r="L663" s="12"/>
      <c r="M663" s="40"/>
      <c r="N663" s="29"/>
      <c r="O663" s="12"/>
      <c r="P663" s="39"/>
      <c r="Q663" s="12"/>
      <c r="R663" s="39"/>
      <c r="S663" s="39"/>
      <c r="T663" s="39"/>
      <c r="U663" s="39"/>
      <c r="V663" s="39"/>
      <c r="W663" s="39"/>
      <c r="X663" s="39"/>
      <c r="Y663" s="39"/>
      <c r="Z663" s="39"/>
      <c r="AA663" s="39"/>
      <c r="AB663" s="39"/>
      <c r="AC663" s="39"/>
    </row>
    <row r="664">
      <c r="A664" s="23"/>
      <c r="B664" s="24"/>
      <c r="C664" s="29"/>
      <c r="D664" s="29"/>
      <c r="E664" s="29"/>
      <c r="F664" s="29"/>
      <c r="G664" s="29"/>
      <c r="H664" s="12"/>
      <c r="I664" s="12"/>
      <c r="J664" s="12"/>
      <c r="K664" s="39"/>
      <c r="L664" s="12"/>
      <c r="M664" s="40"/>
      <c r="N664" s="29"/>
      <c r="O664" s="12"/>
      <c r="P664" s="39"/>
      <c r="Q664" s="12"/>
      <c r="R664" s="39"/>
      <c r="S664" s="39"/>
      <c r="T664" s="39"/>
      <c r="U664" s="39"/>
      <c r="V664" s="39"/>
      <c r="W664" s="39"/>
      <c r="X664" s="39"/>
      <c r="Y664" s="39"/>
      <c r="Z664" s="39"/>
      <c r="AA664" s="39"/>
      <c r="AB664" s="39"/>
      <c r="AC664" s="39"/>
    </row>
    <row r="665">
      <c r="A665" s="23"/>
      <c r="B665" s="24"/>
      <c r="C665" s="29"/>
      <c r="D665" s="29"/>
      <c r="E665" s="29"/>
      <c r="F665" s="29"/>
      <c r="G665" s="29"/>
      <c r="H665" s="12"/>
      <c r="I665" s="12"/>
      <c r="J665" s="12"/>
      <c r="K665" s="39"/>
      <c r="L665" s="12"/>
      <c r="M665" s="40"/>
      <c r="N665" s="29"/>
      <c r="O665" s="12"/>
      <c r="P665" s="39"/>
      <c r="Q665" s="12"/>
      <c r="R665" s="39"/>
      <c r="S665" s="39"/>
      <c r="T665" s="39"/>
      <c r="U665" s="39"/>
      <c r="V665" s="39"/>
      <c r="W665" s="39"/>
      <c r="X665" s="39"/>
      <c r="Y665" s="39"/>
      <c r="Z665" s="39"/>
      <c r="AA665" s="39"/>
      <c r="AB665" s="39"/>
      <c r="AC665" s="39"/>
    </row>
    <row r="666">
      <c r="A666" s="23"/>
      <c r="B666" s="24"/>
      <c r="C666" s="29"/>
      <c r="D666" s="29"/>
      <c r="E666" s="29"/>
      <c r="F666" s="29"/>
      <c r="G666" s="29"/>
      <c r="H666" s="12"/>
      <c r="I666" s="12"/>
      <c r="J666" s="12"/>
      <c r="K666" s="39"/>
      <c r="L666" s="12"/>
      <c r="M666" s="40"/>
      <c r="N666" s="29"/>
      <c r="O666" s="12"/>
      <c r="P666" s="39"/>
      <c r="Q666" s="12"/>
      <c r="R666" s="39"/>
      <c r="S666" s="39"/>
      <c r="T666" s="39"/>
      <c r="U666" s="39"/>
      <c r="V666" s="39"/>
      <c r="W666" s="39"/>
      <c r="X666" s="39"/>
      <c r="Y666" s="39"/>
      <c r="Z666" s="39"/>
      <c r="AA666" s="39"/>
      <c r="AB666" s="39"/>
      <c r="AC666" s="39"/>
    </row>
    <row r="667">
      <c r="A667" s="23"/>
      <c r="B667" s="24"/>
      <c r="C667" s="29"/>
      <c r="D667" s="29"/>
      <c r="E667" s="29"/>
      <c r="F667" s="29"/>
      <c r="G667" s="29"/>
      <c r="H667" s="12"/>
      <c r="I667" s="12"/>
      <c r="J667" s="12"/>
      <c r="K667" s="39"/>
      <c r="L667" s="12"/>
      <c r="M667" s="40"/>
      <c r="N667" s="29"/>
      <c r="O667" s="12"/>
      <c r="P667" s="39"/>
      <c r="Q667" s="12"/>
      <c r="R667" s="39"/>
      <c r="S667" s="39"/>
      <c r="T667" s="39"/>
      <c r="U667" s="39"/>
      <c r="V667" s="39"/>
      <c r="W667" s="39"/>
      <c r="X667" s="39"/>
      <c r="Y667" s="39"/>
      <c r="Z667" s="39"/>
      <c r="AA667" s="39"/>
      <c r="AB667" s="39"/>
      <c r="AC667" s="39"/>
    </row>
    <row r="668">
      <c r="A668" s="23"/>
      <c r="B668" s="24"/>
      <c r="C668" s="29"/>
      <c r="D668" s="29"/>
      <c r="E668" s="29"/>
      <c r="F668" s="29"/>
      <c r="G668" s="29"/>
      <c r="H668" s="12"/>
      <c r="I668" s="12"/>
      <c r="J668" s="12"/>
      <c r="K668" s="39"/>
      <c r="L668" s="12"/>
      <c r="M668" s="40"/>
      <c r="N668" s="29"/>
      <c r="O668" s="12"/>
      <c r="P668" s="39"/>
      <c r="Q668" s="12"/>
      <c r="R668" s="39"/>
      <c r="S668" s="39"/>
      <c r="T668" s="39"/>
      <c r="U668" s="39"/>
      <c r="V668" s="39"/>
      <c r="W668" s="39"/>
      <c r="X668" s="39"/>
      <c r="Y668" s="39"/>
      <c r="Z668" s="39"/>
      <c r="AA668" s="39"/>
      <c r="AB668" s="39"/>
      <c r="AC668" s="39"/>
    </row>
    <row r="669">
      <c r="A669" s="23"/>
      <c r="B669" s="24"/>
      <c r="C669" s="29"/>
      <c r="D669" s="29"/>
      <c r="E669" s="29"/>
      <c r="F669" s="29"/>
      <c r="G669" s="29"/>
      <c r="H669" s="12"/>
      <c r="I669" s="12"/>
      <c r="J669" s="12"/>
      <c r="K669" s="39"/>
      <c r="L669" s="12"/>
      <c r="M669" s="40"/>
      <c r="N669" s="29"/>
      <c r="O669" s="12"/>
      <c r="P669" s="39"/>
      <c r="Q669" s="12"/>
      <c r="R669" s="39"/>
      <c r="S669" s="39"/>
      <c r="T669" s="39"/>
      <c r="U669" s="39"/>
      <c r="V669" s="39"/>
      <c r="W669" s="39"/>
      <c r="X669" s="39"/>
      <c r="Y669" s="39"/>
      <c r="Z669" s="39"/>
      <c r="AA669" s="39"/>
      <c r="AB669" s="39"/>
      <c r="AC669" s="39"/>
    </row>
    <row r="670">
      <c r="A670" s="23"/>
      <c r="B670" s="24"/>
      <c r="C670" s="29"/>
      <c r="D670" s="29"/>
      <c r="E670" s="29"/>
      <c r="F670" s="29"/>
      <c r="G670" s="29"/>
      <c r="H670" s="12"/>
      <c r="I670" s="12"/>
      <c r="J670" s="12"/>
      <c r="K670" s="39"/>
      <c r="L670" s="12"/>
      <c r="M670" s="40"/>
      <c r="N670" s="29"/>
      <c r="O670" s="12"/>
      <c r="P670" s="39"/>
      <c r="Q670" s="12"/>
      <c r="R670" s="39"/>
      <c r="S670" s="39"/>
      <c r="T670" s="39"/>
      <c r="U670" s="39"/>
      <c r="V670" s="39"/>
      <c r="W670" s="39"/>
      <c r="X670" s="39"/>
      <c r="Y670" s="39"/>
      <c r="Z670" s="39"/>
      <c r="AA670" s="39"/>
      <c r="AB670" s="39"/>
      <c r="AC670" s="39"/>
    </row>
    <row r="671">
      <c r="A671" s="23"/>
      <c r="B671" s="24"/>
      <c r="C671" s="29"/>
      <c r="D671" s="29"/>
      <c r="E671" s="29"/>
      <c r="F671" s="29"/>
      <c r="G671" s="29"/>
      <c r="H671" s="12"/>
      <c r="I671" s="12"/>
      <c r="J671" s="12"/>
      <c r="K671" s="39"/>
      <c r="L671" s="12"/>
      <c r="M671" s="40"/>
      <c r="N671" s="29"/>
      <c r="O671" s="12"/>
      <c r="P671" s="39"/>
      <c r="Q671" s="12"/>
      <c r="R671" s="39"/>
      <c r="S671" s="39"/>
      <c r="T671" s="39"/>
      <c r="U671" s="39"/>
      <c r="V671" s="39"/>
      <c r="W671" s="39"/>
      <c r="X671" s="39"/>
      <c r="Y671" s="39"/>
      <c r="Z671" s="39"/>
      <c r="AA671" s="39"/>
      <c r="AB671" s="39"/>
      <c r="AC671" s="39"/>
    </row>
    <row r="672">
      <c r="A672" s="23"/>
      <c r="B672" s="24"/>
      <c r="C672" s="29"/>
      <c r="D672" s="29"/>
      <c r="E672" s="29"/>
      <c r="F672" s="29"/>
      <c r="G672" s="29"/>
      <c r="H672" s="12"/>
      <c r="I672" s="12"/>
      <c r="J672" s="12"/>
      <c r="K672" s="39"/>
      <c r="L672" s="12"/>
      <c r="M672" s="40"/>
      <c r="N672" s="29"/>
      <c r="O672" s="12"/>
      <c r="P672" s="39"/>
      <c r="Q672" s="12"/>
      <c r="R672" s="39"/>
      <c r="S672" s="39"/>
      <c r="T672" s="39"/>
      <c r="U672" s="39"/>
      <c r="V672" s="39"/>
      <c r="W672" s="39"/>
      <c r="X672" s="39"/>
      <c r="Y672" s="39"/>
      <c r="Z672" s="39"/>
      <c r="AA672" s="39"/>
      <c r="AB672" s="39"/>
      <c r="AC672" s="39"/>
    </row>
    <row r="673">
      <c r="A673" s="23"/>
      <c r="B673" s="24"/>
      <c r="C673" s="29"/>
      <c r="D673" s="29"/>
      <c r="E673" s="29"/>
      <c r="F673" s="29"/>
      <c r="G673" s="29"/>
      <c r="H673" s="12"/>
      <c r="I673" s="12"/>
      <c r="J673" s="12"/>
      <c r="K673" s="39"/>
      <c r="L673" s="12"/>
      <c r="M673" s="40"/>
      <c r="N673" s="29"/>
      <c r="O673" s="12"/>
      <c r="P673" s="39"/>
      <c r="Q673" s="12"/>
      <c r="R673" s="39"/>
      <c r="S673" s="39"/>
      <c r="T673" s="39"/>
      <c r="U673" s="39"/>
      <c r="V673" s="39"/>
      <c r="W673" s="39"/>
      <c r="X673" s="39"/>
      <c r="Y673" s="39"/>
      <c r="Z673" s="39"/>
      <c r="AA673" s="39"/>
      <c r="AB673" s="39"/>
      <c r="AC673" s="39"/>
    </row>
    <row r="674">
      <c r="A674" s="23"/>
      <c r="B674" s="24"/>
      <c r="C674" s="29"/>
      <c r="D674" s="29"/>
      <c r="E674" s="29"/>
      <c r="F674" s="29"/>
      <c r="G674" s="29"/>
      <c r="H674" s="12"/>
      <c r="I674" s="12"/>
      <c r="J674" s="12"/>
      <c r="K674" s="39"/>
      <c r="L674" s="12"/>
      <c r="M674" s="40"/>
      <c r="N674" s="29"/>
      <c r="O674" s="12"/>
      <c r="P674" s="39"/>
      <c r="Q674" s="12"/>
      <c r="R674" s="39"/>
      <c r="S674" s="39"/>
      <c r="T674" s="39"/>
      <c r="U674" s="39"/>
      <c r="V674" s="39"/>
      <c r="W674" s="39"/>
      <c r="X674" s="39"/>
      <c r="Y674" s="39"/>
      <c r="Z674" s="39"/>
      <c r="AA674" s="39"/>
      <c r="AB674" s="39"/>
      <c r="AC674" s="39"/>
    </row>
    <row r="675">
      <c r="A675" s="23"/>
      <c r="B675" s="24"/>
      <c r="C675" s="29"/>
      <c r="D675" s="29"/>
      <c r="E675" s="29"/>
      <c r="F675" s="29"/>
      <c r="G675" s="29"/>
      <c r="H675" s="12"/>
      <c r="I675" s="12"/>
      <c r="J675" s="12"/>
      <c r="K675" s="39"/>
      <c r="L675" s="12"/>
      <c r="M675" s="40"/>
      <c r="N675" s="29"/>
      <c r="O675" s="12"/>
      <c r="P675" s="39"/>
      <c r="Q675" s="12"/>
      <c r="R675" s="39"/>
      <c r="S675" s="39"/>
      <c r="T675" s="39"/>
      <c r="U675" s="39"/>
      <c r="V675" s="39"/>
      <c r="W675" s="39"/>
      <c r="X675" s="39"/>
      <c r="Y675" s="39"/>
      <c r="Z675" s="39"/>
      <c r="AA675" s="39"/>
      <c r="AB675" s="39"/>
      <c r="AC675" s="39"/>
    </row>
    <row r="676">
      <c r="A676" s="23"/>
      <c r="B676" s="24"/>
      <c r="C676" s="29"/>
      <c r="D676" s="29"/>
      <c r="E676" s="29"/>
      <c r="F676" s="29"/>
      <c r="G676" s="29"/>
      <c r="H676" s="12"/>
      <c r="I676" s="12"/>
      <c r="J676" s="12"/>
      <c r="K676" s="39"/>
      <c r="L676" s="12"/>
      <c r="M676" s="40"/>
      <c r="N676" s="29"/>
      <c r="O676" s="12"/>
      <c r="P676" s="39"/>
      <c r="Q676" s="12"/>
      <c r="R676" s="39"/>
      <c r="S676" s="39"/>
      <c r="T676" s="39"/>
      <c r="U676" s="39"/>
      <c r="V676" s="39"/>
      <c r="W676" s="39"/>
      <c r="X676" s="39"/>
      <c r="Y676" s="39"/>
      <c r="Z676" s="39"/>
      <c r="AA676" s="39"/>
      <c r="AB676" s="39"/>
      <c r="AC676" s="39"/>
    </row>
    <row r="677">
      <c r="A677" s="23"/>
      <c r="B677" s="24"/>
      <c r="C677" s="29"/>
      <c r="D677" s="29"/>
      <c r="E677" s="29"/>
      <c r="F677" s="29"/>
      <c r="G677" s="29"/>
      <c r="H677" s="12"/>
      <c r="I677" s="12"/>
      <c r="J677" s="12"/>
      <c r="K677" s="39"/>
      <c r="L677" s="12"/>
      <c r="M677" s="40"/>
      <c r="N677" s="29"/>
      <c r="O677" s="12"/>
      <c r="P677" s="39"/>
      <c r="Q677" s="12"/>
      <c r="R677" s="39"/>
      <c r="S677" s="39"/>
      <c r="T677" s="39"/>
      <c r="U677" s="39"/>
      <c r="V677" s="39"/>
      <c r="W677" s="39"/>
      <c r="X677" s="39"/>
      <c r="Y677" s="39"/>
      <c r="Z677" s="39"/>
      <c r="AA677" s="39"/>
      <c r="AB677" s="39"/>
      <c r="AC677" s="39"/>
    </row>
    <row r="678">
      <c r="A678" s="23"/>
      <c r="B678" s="24"/>
      <c r="C678" s="29"/>
      <c r="D678" s="29"/>
      <c r="E678" s="29"/>
      <c r="F678" s="29"/>
      <c r="G678" s="29"/>
      <c r="H678" s="12"/>
      <c r="I678" s="12"/>
      <c r="J678" s="12"/>
      <c r="K678" s="39"/>
      <c r="L678" s="12"/>
      <c r="M678" s="40"/>
      <c r="N678" s="29"/>
      <c r="O678" s="12"/>
      <c r="P678" s="39"/>
      <c r="Q678" s="12"/>
      <c r="R678" s="39"/>
      <c r="S678" s="39"/>
      <c r="T678" s="39"/>
      <c r="U678" s="39"/>
      <c r="V678" s="39"/>
      <c r="W678" s="39"/>
      <c r="X678" s="39"/>
      <c r="Y678" s="39"/>
      <c r="Z678" s="39"/>
      <c r="AA678" s="39"/>
      <c r="AB678" s="39"/>
      <c r="AC678" s="39"/>
    </row>
    <row r="679">
      <c r="A679" s="23"/>
      <c r="B679" s="24"/>
      <c r="C679" s="29"/>
      <c r="D679" s="29"/>
      <c r="E679" s="29"/>
      <c r="F679" s="29"/>
      <c r="G679" s="29"/>
      <c r="H679" s="12"/>
      <c r="I679" s="12"/>
      <c r="J679" s="12"/>
      <c r="K679" s="39"/>
      <c r="L679" s="12"/>
      <c r="M679" s="40"/>
      <c r="N679" s="29"/>
      <c r="O679" s="12"/>
      <c r="P679" s="39"/>
      <c r="Q679" s="12"/>
      <c r="R679" s="39"/>
      <c r="S679" s="39"/>
      <c r="T679" s="39"/>
      <c r="U679" s="39"/>
      <c r="V679" s="39"/>
      <c r="W679" s="39"/>
      <c r="X679" s="39"/>
      <c r="Y679" s="39"/>
      <c r="Z679" s="39"/>
      <c r="AA679" s="39"/>
      <c r="AB679" s="39"/>
      <c r="AC679" s="39"/>
    </row>
    <row r="680">
      <c r="A680" s="23"/>
      <c r="B680" s="24"/>
      <c r="C680" s="29"/>
      <c r="D680" s="29"/>
      <c r="E680" s="29"/>
      <c r="F680" s="29"/>
      <c r="G680" s="29"/>
      <c r="H680" s="12"/>
      <c r="I680" s="12"/>
      <c r="J680" s="12"/>
      <c r="K680" s="39"/>
      <c r="L680" s="12"/>
      <c r="M680" s="40"/>
      <c r="N680" s="29"/>
      <c r="O680" s="12"/>
      <c r="P680" s="39"/>
      <c r="Q680" s="12"/>
      <c r="R680" s="39"/>
      <c r="S680" s="39"/>
      <c r="T680" s="39"/>
      <c r="U680" s="39"/>
      <c r="V680" s="39"/>
      <c r="W680" s="39"/>
      <c r="X680" s="39"/>
      <c r="Y680" s="39"/>
      <c r="Z680" s="39"/>
      <c r="AA680" s="39"/>
      <c r="AB680" s="39"/>
      <c r="AC680" s="39"/>
    </row>
    <row r="681">
      <c r="A681" s="23"/>
      <c r="B681" s="24"/>
      <c r="C681" s="29"/>
      <c r="D681" s="29"/>
      <c r="E681" s="29"/>
      <c r="F681" s="29"/>
      <c r="G681" s="29"/>
      <c r="H681" s="12"/>
      <c r="I681" s="12"/>
      <c r="J681" s="12"/>
      <c r="K681" s="39"/>
      <c r="L681" s="12"/>
      <c r="M681" s="40"/>
      <c r="N681" s="29"/>
      <c r="O681" s="12"/>
      <c r="P681" s="39"/>
      <c r="Q681" s="12"/>
      <c r="R681" s="39"/>
      <c r="S681" s="39"/>
      <c r="T681" s="39"/>
      <c r="U681" s="39"/>
      <c r="V681" s="39"/>
      <c r="W681" s="39"/>
      <c r="X681" s="39"/>
      <c r="Y681" s="39"/>
      <c r="Z681" s="39"/>
      <c r="AA681" s="39"/>
      <c r="AB681" s="39"/>
      <c r="AC681" s="39"/>
    </row>
    <row r="682">
      <c r="A682" s="23"/>
      <c r="B682" s="24"/>
      <c r="C682" s="29"/>
      <c r="D682" s="29"/>
      <c r="E682" s="29"/>
      <c r="F682" s="29"/>
      <c r="G682" s="29"/>
      <c r="H682" s="12"/>
      <c r="I682" s="12"/>
      <c r="J682" s="12"/>
      <c r="K682" s="39"/>
      <c r="L682" s="12"/>
      <c r="M682" s="40"/>
      <c r="N682" s="29"/>
      <c r="O682" s="12"/>
      <c r="P682" s="39"/>
      <c r="Q682" s="12"/>
      <c r="R682" s="39"/>
      <c r="S682" s="39"/>
      <c r="T682" s="39"/>
      <c r="U682" s="39"/>
      <c r="V682" s="39"/>
      <c r="W682" s="39"/>
      <c r="X682" s="39"/>
      <c r="Y682" s="39"/>
      <c r="Z682" s="39"/>
      <c r="AA682" s="39"/>
      <c r="AB682" s="39"/>
      <c r="AC682" s="39"/>
    </row>
    <row r="683">
      <c r="A683" s="23"/>
      <c r="B683" s="24"/>
      <c r="C683" s="29"/>
      <c r="D683" s="29"/>
      <c r="E683" s="29"/>
      <c r="F683" s="29"/>
      <c r="G683" s="29"/>
      <c r="H683" s="12"/>
      <c r="I683" s="12"/>
      <c r="J683" s="12"/>
      <c r="K683" s="39"/>
      <c r="L683" s="12"/>
      <c r="M683" s="40"/>
      <c r="N683" s="29"/>
      <c r="O683" s="12"/>
      <c r="P683" s="39"/>
      <c r="Q683" s="12"/>
      <c r="R683" s="39"/>
      <c r="S683" s="39"/>
      <c r="T683" s="39"/>
      <c r="U683" s="39"/>
      <c r="V683" s="39"/>
      <c r="W683" s="39"/>
      <c r="X683" s="39"/>
      <c r="Y683" s="39"/>
      <c r="Z683" s="39"/>
      <c r="AA683" s="39"/>
      <c r="AB683" s="39"/>
      <c r="AC683" s="39"/>
    </row>
    <row r="684">
      <c r="A684" s="23"/>
      <c r="B684" s="24"/>
      <c r="C684" s="29"/>
      <c r="D684" s="29"/>
      <c r="E684" s="29"/>
      <c r="F684" s="29"/>
      <c r="G684" s="29"/>
      <c r="H684" s="12"/>
      <c r="I684" s="12"/>
      <c r="J684" s="12"/>
      <c r="K684" s="39"/>
      <c r="L684" s="12"/>
      <c r="M684" s="40"/>
      <c r="N684" s="29"/>
      <c r="O684" s="12"/>
      <c r="P684" s="39"/>
      <c r="Q684" s="12"/>
      <c r="R684" s="39"/>
      <c r="S684" s="39"/>
      <c r="T684" s="39"/>
      <c r="U684" s="39"/>
      <c r="V684" s="39"/>
      <c r="W684" s="39"/>
      <c r="X684" s="39"/>
      <c r="Y684" s="39"/>
      <c r="Z684" s="39"/>
      <c r="AA684" s="39"/>
      <c r="AB684" s="39"/>
      <c r="AC684" s="39"/>
    </row>
    <row r="685">
      <c r="A685" s="23"/>
      <c r="B685" s="24"/>
      <c r="C685" s="29"/>
      <c r="D685" s="29"/>
      <c r="E685" s="29"/>
      <c r="F685" s="29"/>
      <c r="G685" s="29"/>
      <c r="H685" s="12"/>
      <c r="I685" s="12"/>
      <c r="J685" s="12"/>
      <c r="K685" s="39"/>
      <c r="L685" s="12"/>
      <c r="M685" s="40"/>
      <c r="N685" s="29"/>
      <c r="O685" s="12"/>
      <c r="P685" s="39"/>
      <c r="Q685" s="12"/>
      <c r="R685" s="39"/>
      <c r="S685" s="39"/>
      <c r="T685" s="39"/>
      <c r="U685" s="39"/>
      <c r="V685" s="39"/>
      <c r="W685" s="39"/>
      <c r="X685" s="39"/>
      <c r="Y685" s="39"/>
      <c r="Z685" s="39"/>
      <c r="AA685" s="39"/>
      <c r="AB685" s="39"/>
      <c r="AC685" s="39"/>
    </row>
    <row r="686">
      <c r="A686" s="23"/>
      <c r="B686" s="24"/>
      <c r="C686" s="29"/>
      <c r="D686" s="29"/>
      <c r="E686" s="29"/>
      <c r="F686" s="29"/>
      <c r="G686" s="29"/>
      <c r="H686" s="12"/>
      <c r="I686" s="12"/>
      <c r="J686" s="12"/>
      <c r="K686" s="39"/>
      <c r="L686" s="12"/>
      <c r="M686" s="40"/>
      <c r="N686" s="29"/>
      <c r="O686" s="12"/>
      <c r="P686" s="39"/>
      <c r="Q686" s="12"/>
      <c r="R686" s="39"/>
      <c r="S686" s="39"/>
      <c r="T686" s="39"/>
      <c r="U686" s="39"/>
      <c r="V686" s="39"/>
      <c r="W686" s="39"/>
      <c r="X686" s="39"/>
      <c r="Y686" s="39"/>
      <c r="Z686" s="39"/>
      <c r="AA686" s="39"/>
      <c r="AB686" s="39"/>
      <c r="AC686" s="39"/>
    </row>
    <row r="687">
      <c r="A687" s="23"/>
      <c r="B687" s="24"/>
      <c r="C687" s="29"/>
      <c r="D687" s="29"/>
      <c r="E687" s="29"/>
      <c r="F687" s="29"/>
      <c r="G687" s="29"/>
      <c r="H687" s="12"/>
      <c r="I687" s="12"/>
      <c r="J687" s="12"/>
      <c r="K687" s="39"/>
      <c r="L687" s="12"/>
      <c r="M687" s="40"/>
      <c r="N687" s="29"/>
      <c r="O687" s="12"/>
      <c r="P687" s="39"/>
      <c r="Q687" s="12"/>
      <c r="R687" s="39"/>
      <c r="S687" s="39"/>
      <c r="T687" s="39"/>
      <c r="U687" s="39"/>
      <c r="V687" s="39"/>
      <c r="W687" s="39"/>
      <c r="X687" s="39"/>
      <c r="Y687" s="39"/>
      <c r="Z687" s="39"/>
      <c r="AA687" s="39"/>
      <c r="AB687" s="39"/>
      <c r="AC687" s="39"/>
    </row>
    <row r="688">
      <c r="A688" s="23"/>
      <c r="B688" s="24"/>
      <c r="C688" s="29"/>
      <c r="D688" s="29"/>
      <c r="E688" s="29"/>
      <c r="F688" s="29"/>
      <c r="G688" s="29"/>
      <c r="H688" s="12"/>
      <c r="I688" s="12"/>
      <c r="J688" s="12"/>
      <c r="K688" s="39"/>
      <c r="L688" s="12"/>
      <c r="M688" s="40"/>
      <c r="N688" s="29"/>
      <c r="O688" s="12"/>
      <c r="P688" s="39"/>
      <c r="Q688" s="12"/>
      <c r="R688" s="39"/>
      <c r="S688" s="39"/>
      <c r="T688" s="39"/>
      <c r="U688" s="39"/>
      <c r="V688" s="39"/>
      <c r="W688" s="39"/>
      <c r="X688" s="39"/>
      <c r="Y688" s="39"/>
      <c r="Z688" s="39"/>
      <c r="AA688" s="39"/>
      <c r="AB688" s="39"/>
      <c r="AC688" s="39"/>
    </row>
    <row r="689">
      <c r="A689" s="23"/>
      <c r="B689" s="24"/>
      <c r="C689" s="29"/>
      <c r="D689" s="29"/>
      <c r="E689" s="29"/>
      <c r="F689" s="29"/>
      <c r="G689" s="29"/>
      <c r="H689" s="12"/>
      <c r="I689" s="12"/>
      <c r="J689" s="12"/>
      <c r="K689" s="39"/>
      <c r="L689" s="12"/>
      <c r="M689" s="40"/>
      <c r="N689" s="29"/>
      <c r="O689" s="12"/>
      <c r="P689" s="39"/>
      <c r="Q689" s="12"/>
      <c r="R689" s="39"/>
      <c r="S689" s="39"/>
      <c r="T689" s="39"/>
      <c r="U689" s="39"/>
      <c r="V689" s="39"/>
      <c r="W689" s="39"/>
      <c r="X689" s="39"/>
      <c r="Y689" s="39"/>
      <c r="Z689" s="39"/>
      <c r="AA689" s="39"/>
      <c r="AB689" s="39"/>
      <c r="AC689" s="39"/>
    </row>
    <row r="690">
      <c r="A690" s="23"/>
      <c r="B690" s="24"/>
      <c r="C690" s="29"/>
      <c r="D690" s="29"/>
      <c r="E690" s="29"/>
      <c r="F690" s="29"/>
      <c r="G690" s="29"/>
      <c r="H690" s="12"/>
      <c r="I690" s="12"/>
      <c r="J690" s="12"/>
      <c r="K690" s="39"/>
      <c r="L690" s="12"/>
      <c r="M690" s="40"/>
      <c r="N690" s="29"/>
      <c r="O690" s="12"/>
      <c r="P690" s="39"/>
      <c r="Q690" s="12"/>
      <c r="R690" s="39"/>
      <c r="S690" s="39"/>
      <c r="T690" s="39"/>
      <c r="U690" s="39"/>
      <c r="V690" s="39"/>
      <c r="W690" s="39"/>
      <c r="X690" s="39"/>
      <c r="Y690" s="39"/>
      <c r="Z690" s="39"/>
      <c r="AA690" s="39"/>
      <c r="AB690" s="39"/>
      <c r="AC690" s="39"/>
    </row>
    <row r="691">
      <c r="A691" s="23"/>
      <c r="B691" s="24"/>
      <c r="C691" s="29"/>
      <c r="D691" s="29"/>
      <c r="E691" s="29"/>
      <c r="F691" s="29"/>
      <c r="G691" s="29"/>
      <c r="H691" s="12"/>
      <c r="I691" s="12"/>
      <c r="J691" s="12"/>
      <c r="K691" s="39"/>
      <c r="L691" s="12"/>
      <c r="M691" s="40"/>
      <c r="N691" s="29"/>
      <c r="O691" s="12"/>
      <c r="P691" s="39"/>
      <c r="Q691" s="12"/>
      <c r="R691" s="39"/>
      <c r="S691" s="39"/>
      <c r="T691" s="39"/>
      <c r="U691" s="39"/>
      <c r="V691" s="39"/>
      <c r="W691" s="39"/>
      <c r="X691" s="39"/>
      <c r="Y691" s="39"/>
      <c r="Z691" s="39"/>
      <c r="AA691" s="39"/>
      <c r="AB691" s="39"/>
      <c r="AC691" s="39"/>
    </row>
    <row r="692">
      <c r="A692" s="23"/>
      <c r="B692" s="24"/>
      <c r="C692" s="29"/>
      <c r="D692" s="29"/>
      <c r="E692" s="29"/>
      <c r="F692" s="29"/>
      <c r="G692" s="29"/>
      <c r="H692" s="12"/>
      <c r="I692" s="12"/>
      <c r="J692" s="12"/>
      <c r="K692" s="39"/>
      <c r="L692" s="12"/>
      <c r="M692" s="40"/>
      <c r="N692" s="29"/>
      <c r="O692" s="12"/>
      <c r="P692" s="39"/>
      <c r="Q692" s="12"/>
      <c r="R692" s="39"/>
      <c r="S692" s="39"/>
      <c r="T692" s="39"/>
      <c r="U692" s="39"/>
      <c r="V692" s="39"/>
      <c r="W692" s="39"/>
      <c r="X692" s="39"/>
      <c r="Y692" s="39"/>
      <c r="Z692" s="39"/>
      <c r="AA692" s="39"/>
      <c r="AB692" s="39"/>
      <c r="AC692" s="39"/>
    </row>
    <row r="693">
      <c r="A693" s="23"/>
      <c r="B693" s="24"/>
      <c r="C693" s="29"/>
      <c r="D693" s="29"/>
      <c r="E693" s="29"/>
      <c r="F693" s="29"/>
      <c r="G693" s="29"/>
      <c r="H693" s="12"/>
      <c r="I693" s="12"/>
      <c r="J693" s="12"/>
      <c r="K693" s="39"/>
      <c r="L693" s="12"/>
      <c r="M693" s="40"/>
      <c r="N693" s="29"/>
      <c r="O693" s="12"/>
      <c r="P693" s="39"/>
      <c r="Q693" s="12"/>
      <c r="R693" s="39"/>
      <c r="S693" s="39"/>
      <c r="T693" s="39"/>
      <c r="U693" s="39"/>
      <c r="V693" s="39"/>
      <c r="W693" s="39"/>
      <c r="X693" s="39"/>
      <c r="Y693" s="39"/>
      <c r="Z693" s="39"/>
      <c r="AA693" s="39"/>
      <c r="AB693" s="39"/>
      <c r="AC693" s="39"/>
    </row>
    <row r="694">
      <c r="A694" s="23"/>
      <c r="B694" s="24"/>
      <c r="C694" s="29"/>
      <c r="D694" s="29"/>
      <c r="E694" s="29"/>
      <c r="F694" s="29"/>
      <c r="G694" s="29"/>
      <c r="H694" s="12"/>
      <c r="I694" s="12"/>
      <c r="J694" s="12"/>
      <c r="K694" s="39"/>
      <c r="L694" s="12"/>
      <c r="M694" s="40"/>
      <c r="N694" s="29"/>
      <c r="O694" s="12"/>
      <c r="P694" s="39"/>
      <c r="Q694" s="12"/>
      <c r="R694" s="39"/>
      <c r="S694" s="39"/>
      <c r="T694" s="39"/>
      <c r="U694" s="39"/>
      <c r="V694" s="39"/>
      <c r="W694" s="39"/>
      <c r="X694" s="39"/>
      <c r="Y694" s="39"/>
      <c r="Z694" s="39"/>
      <c r="AA694" s="39"/>
      <c r="AB694" s="39"/>
      <c r="AC694" s="39"/>
    </row>
    <row r="695">
      <c r="A695" s="23"/>
      <c r="B695" s="24"/>
      <c r="C695" s="29"/>
      <c r="D695" s="29"/>
      <c r="E695" s="29"/>
      <c r="F695" s="29"/>
      <c r="G695" s="29"/>
      <c r="H695" s="12"/>
      <c r="I695" s="12"/>
      <c r="J695" s="12"/>
      <c r="K695" s="39"/>
      <c r="L695" s="12"/>
      <c r="M695" s="40"/>
      <c r="N695" s="29"/>
      <c r="O695" s="12"/>
      <c r="P695" s="39"/>
      <c r="Q695" s="12"/>
      <c r="R695" s="39"/>
      <c r="S695" s="39"/>
      <c r="T695" s="39"/>
      <c r="U695" s="39"/>
      <c r="V695" s="39"/>
      <c r="W695" s="39"/>
      <c r="X695" s="39"/>
      <c r="Y695" s="39"/>
      <c r="Z695" s="39"/>
      <c r="AA695" s="39"/>
      <c r="AB695" s="39"/>
      <c r="AC695" s="39"/>
    </row>
    <row r="696">
      <c r="A696" s="23"/>
      <c r="B696" s="24"/>
      <c r="C696" s="29"/>
      <c r="D696" s="29"/>
      <c r="E696" s="29"/>
      <c r="F696" s="29"/>
      <c r="G696" s="29"/>
      <c r="H696" s="12"/>
      <c r="I696" s="12"/>
      <c r="J696" s="12"/>
      <c r="K696" s="39"/>
      <c r="L696" s="12"/>
      <c r="M696" s="40"/>
      <c r="N696" s="29"/>
      <c r="O696" s="12"/>
      <c r="P696" s="39"/>
      <c r="Q696" s="12"/>
      <c r="R696" s="39"/>
      <c r="S696" s="39"/>
      <c r="T696" s="39"/>
      <c r="U696" s="39"/>
      <c r="V696" s="39"/>
      <c r="W696" s="39"/>
      <c r="X696" s="39"/>
      <c r="Y696" s="39"/>
      <c r="Z696" s="39"/>
      <c r="AA696" s="39"/>
      <c r="AB696" s="39"/>
      <c r="AC696" s="39"/>
    </row>
    <row r="697">
      <c r="A697" s="23"/>
      <c r="B697" s="24"/>
      <c r="C697" s="29"/>
      <c r="D697" s="29"/>
      <c r="E697" s="29"/>
      <c r="F697" s="29"/>
      <c r="G697" s="29"/>
      <c r="H697" s="12"/>
      <c r="I697" s="12"/>
      <c r="J697" s="12"/>
      <c r="K697" s="39"/>
      <c r="L697" s="12"/>
      <c r="M697" s="40"/>
      <c r="N697" s="29"/>
      <c r="O697" s="12"/>
      <c r="P697" s="39"/>
      <c r="Q697" s="12"/>
      <c r="R697" s="39"/>
      <c r="S697" s="39"/>
      <c r="T697" s="39"/>
      <c r="U697" s="39"/>
      <c r="V697" s="39"/>
      <c r="W697" s="39"/>
      <c r="X697" s="39"/>
      <c r="Y697" s="39"/>
      <c r="Z697" s="39"/>
      <c r="AA697" s="39"/>
      <c r="AB697" s="39"/>
      <c r="AC697" s="39"/>
    </row>
    <row r="698">
      <c r="A698" s="23"/>
      <c r="B698" s="24"/>
      <c r="C698" s="29"/>
      <c r="D698" s="29"/>
      <c r="E698" s="29"/>
      <c r="F698" s="29"/>
      <c r="G698" s="29"/>
      <c r="H698" s="12"/>
      <c r="I698" s="12"/>
      <c r="J698" s="12"/>
      <c r="K698" s="39"/>
      <c r="L698" s="12"/>
      <c r="M698" s="40"/>
      <c r="N698" s="29"/>
      <c r="O698" s="12"/>
      <c r="P698" s="39"/>
      <c r="Q698" s="12"/>
      <c r="R698" s="39"/>
      <c r="S698" s="39"/>
      <c r="T698" s="39"/>
      <c r="U698" s="39"/>
      <c r="V698" s="39"/>
      <c r="W698" s="39"/>
      <c r="X698" s="39"/>
      <c r="Y698" s="39"/>
      <c r="Z698" s="39"/>
      <c r="AA698" s="39"/>
      <c r="AB698" s="39"/>
      <c r="AC698" s="39"/>
    </row>
    <row r="699">
      <c r="A699" s="23"/>
      <c r="B699" s="24"/>
      <c r="C699" s="29"/>
      <c r="D699" s="29"/>
      <c r="E699" s="29"/>
      <c r="F699" s="29"/>
      <c r="G699" s="29"/>
      <c r="H699" s="12"/>
      <c r="I699" s="12"/>
      <c r="J699" s="12"/>
      <c r="K699" s="39"/>
      <c r="L699" s="12"/>
      <c r="M699" s="40"/>
      <c r="N699" s="29"/>
      <c r="O699" s="12"/>
      <c r="P699" s="39"/>
      <c r="Q699" s="12"/>
      <c r="R699" s="39"/>
      <c r="S699" s="39"/>
      <c r="T699" s="39"/>
      <c r="U699" s="39"/>
      <c r="V699" s="39"/>
      <c r="W699" s="39"/>
      <c r="X699" s="39"/>
      <c r="Y699" s="39"/>
      <c r="Z699" s="39"/>
      <c r="AA699" s="39"/>
      <c r="AB699" s="39"/>
      <c r="AC699" s="39"/>
    </row>
    <row r="700">
      <c r="A700" s="23"/>
      <c r="B700" s="24"/>
      <c r="C700" s="29"/>
      <c r="D700" s="29"/>
      <c r="E700" s="29"/>
      <c r="F700" s="29"/>
      <c r="G700" s="29"/>
      <c r="H700" s="12"/>
      <c r="I700" s="12"/>
      <c r="J700" s="12"/>
      <c r="K700" s="39"/>
      <c r="L700" s="12"/>
      <c r="M700" s="40"/>
      <c r="N700" s="29"/>
      <c r="O700" s="12"/>
      <c r="P700" s="39"/>
      <c r="Q700" s="12"/>
      <c r="R700" s="39"/>
      <c r="S700" s="39"/>
      <c r="T700" s="39"/>
      <c r="U700" s="39"/>
      <c r="V700" s="39"/>
      <c r="W700" s="39"/>
      <c r="X700" s="39"/>
      <c r="Y700" s="39"/>
      <c r="Z700" s="39"/>
      <c r="AA700" s="39"/>
      <c r="AB700" s="39"/>
      <c r="AC700" s="39"/>
    </row>
    <row r="701">
      <c r="A701" s="23"/>
      <c r="B701" s="24"/>
      <c r="C701" s="29"/>
      <c r="D701" s="29"/>
      <c r="E701" s="29"/>
      <c r="F701" s="29"/>
      <c r="G701" s="29"/>
      <c r="H701" s="12"/>
      <c r="I701" s="12"/>
      <c r="J701" s="12"/>
      <c r="K701" s="39"/>
      <c r="L701" s="12"/>
      <c r="M701" s="40"/>
      <c r="N701" s="29"/>
      <c r="O701" s="12"/>
      <c r="P701" s="39"/>
      <c r="Q701" s="12"/>
      <c r="R701" s="39"/>
      <c r="S701" s="39"/>
      <c r="T701" s="39"/>
      <c r="U701" s="39"/>
      <c r="V701" s="39"/>
      <c r="W701" s="39"/>
      <c r="X701" s="39"/>
      <c r="Y701" s="39"/>
      <c r="Z701" s="39"/>
      <c r="AA701" s="39"/>
      <c r="AB701" s="39"/>
      <c r="AC701" s="39"/>
    </row>
    <row r="702">
      <c r="A702" s="23"/>
      <c r="B702" s="24"/>
      <c r="C702" s="29"/>
      <c r="D702" s="29"/>
      <c r="E702" s="29"/>
      <c r="F702" s="29"/>
      <c r="G702" s="29"/>
      <c r="H702" s="12"/>
      <c r="I702" s="12"/>
      <c r="J702" s="12"/>
      <c r="K702" s="39"/>
      <c r="L702" s="12"/>
      <c r="M702" s="40"/>
      <c r="N702" s="29"/>
      <c r="O702" s="12"/>
      <c r="P702" s="39"/>
      <c r="Q702" s="12"/>
      <c r="R702" s="39"/>
      <c r="S702" s="39"/>
      <c r="T702" s="39"/>
      <c r="U702" s="39"/>
      <c r="V702" s="39"/>
      <c r="W702" s="39"/>
      <c r="X702" s="39"/>
      <c r="Y702" s="39"/>
      <c r="Z702" s="39"/>
      <c r="AA702" s="39"/>
      <c r="AB702" s="39"/>
      <c r="AC702" s="39"/>
    </row>
    <row r="703">
      <c r="A703" s="23"/>
      <c r="B703" s="24"/>
      <c r="C703" s="29"/>
      <c r="D703" s="29"/>
      <c r="E703" s="29"/>
      <c r="F703" s="29"/>
      <c r="G703" s="29"/>
      <c r="H703" s="12"/>
      <c r="I703" s="12"/>
      <c r="J703" s="12"/>
      <c r="K703" s="39"/>
      <c r="L703" s="12"/>
      <c r="M703" s="40"/>
      <c r="N703" s="29"/>
      <c r="O703" s="12"/>
      <c r="P703" s="39"/>
      <c r="Q703" s="12"/>
      <c r="R703" s="39"/>
      <c r="S703" s="39"/>
      <c r="T703" s="39"/>
      <c r="U703" s="39"/>
      <c r="V703" s="39"/>
      <c r="W703" s="39"/>
      <c r="X703" s="39"/>
      <c r="Y703" s="39"/>
      <c r="Z703" s="39"/>
      <c r="AA703" s="39"/>
      <c r="AB703" s="39"/>
      <c r="AC703" s="39"/>
    </row>
    <row r="704">
      <c r="A704" s="23"/>
      <c r="B704" s="24"/>
      <c r="C704" s="29"/>
      <c r="D704" s="29"/>
      <c r="E704" s="29"/>
      <c r="F704" s="29"/>
      <c r="G704" s="29"/>
      <c r="H704" s="12"/>
      <c r="I704" s="12"/>
      <c r="J704" s="12"/>
      <c r="K704" s="39"/>
      <c r="L704" s="12"/>
      <c r="M704" s="40"/>
      <c r="N704" s="29"/>
      <c r="O704" s="12"/>
      <c r="P704" s="39"/>
      <c r="Q704" s="12"/>
      <c r="R704" s="39"/>
      <c r="S704" s="39"/>
      <c r="T704" s="39"/>
      <c r="U704" s="39"/>
      <c r="V704" s="39"/>
      <c r="W704" s="39"/>
      <c r="X704" s="39"/>
      <c r="Y704" s="39"/>
      <c r="Z704" s="39"/>
      <c r="AA704" s="39"/>
      <c r="AB704" s="39"/>
      <c r="AC704" s="39"/>
    </row>
    <row r="705">
      <c r="A705" s="23"/>
      <c r="B705" s="24"/>
      <c r="C705" s="29"/>
      <c r="D705" s="29"/>
      <c r="E705" s="29"/>
      <c r="F705" s="29"/>
      <c r="G705" s="29"/>
      <c r="H705" s="12"/>
      <c r="I705" s="12"/>
      <c r="J705" s="12"/>
      <c r="K705" s="39"/>
      <c r="L705" s="12"/>
      <c r="M705" s="40"/>
      <c r="N705" s="29"/>
      <c r="O705" s="12"/>
      <c r="P705" s="39"/>
      <c r="Q705" s="12"/>
      <c r="R705" s="39"/>
      <c r="S705" s="39"/>
      <c r="T705" s="39"/>
      <c r="U705" s="39"/>
      <c r="V705" s="39"/>
      <c r="W705" s="39"/>
      <c r="X705" s="39"/>
      <c r="Y705" s="39"/>
      <c r="Z705" s="39"/>
      <c r="AA705" s="39"/>
      <c r="AB705" s="39"/>
      <c r="AC705" s="39"/>
    </row>
    <row r="706">
      <c r="A706" s="23"/>
      <c r="B706" s="24"/>
      <c r="C706" s="29"/>
      <c r="D706" s="29"/>
      <c r="E706" s="29"/>
      <c r="F706" s="29"/>
      <c r="G706" s="29"/>
      <c r="H706" s="12"/>
      <c r="I706" s="12"/>
      <c r="J706" s="12"/>
      <c r="K706" s="39"/>
      <c r="L706" s="12"/>
      <c r="M706" s="40"/>
      <c r="N706" s="29"/>
      <c r="O706" s="12"/>
      <c r="P706" s="39"/>
      <c r="Q706" s="12"/>
      <c r="R706" s="39"/>
      <c r="S706" s="39"/>
      <c r="T706" s="39"/>
      <c r="U706" s="39"/>
      <c r="V706" s="39"/>
      <c r="W706" s="39"/>
      <c r="X706" s="39"/>
      <c r="Y706" s="39"/>
      <c r="Z706" s="39"/>
      <c r="AA706" s="39"/>
      <c r="AB706" s="39"/>
      <c r="AC706" s="39"/>
    </row>
    <row r="707">
      <c r="A707" s="23"/>
      <c r="B707" s="24"/>
      <c r="C707" s="29"/>
      <c r="D707" s="29"/>
      <c r="E707" s="29"/>
      <c r="F707" s="29"/>
      <c r="G707" s="29"/>
      <c r="H707" s="12"/>
      <c r="I707" s="12"/>
      <c r="J707" s="12"/>
      <c r="K707" s="39"/>
      <c r="L707" s="12"/>
      <c r="M707" s="40"/>
      <c r="N707" s="29"/>
      <c r="O707" s="12"/>
      <c r="P707" s="39"/>
      <c r="Q707" s="12"/>
      <c r="R707" s="39"/>
      <c r="S707" s="39"/>
      <c r="T707" s="39"/>
      <c r="U707" s="39"/>
      <c r="V707" s="39"/>
      <c r="W707" s="39"/>
      <c r="X707" s="39"/>
      <c r="Y707" s="39"/>
      <c r="Z707" s="39"/>
      <c r="AA707" s="39"/>
      <c r="AB707" s="39"/>
      <c r="AC707" s="39"/>
    </row>
    <row r="708">
      <c r="A708" s="23"/>
      <c r="B708" s="24"/>
      <c r="C708" s="29"/>
      <c r="D708" s="29"/>
      <c r="E708" s="29"/>
      <c r="F708" s="29"/>
      <c r="G708" s="29"/>
      <c r="H708" s="12"/>
      <c r="I708" s="12"/>
      <c r="J708" s="12"/>
      <c r="K708" s="39"/>
      <c r="L708" s="12"/>
      <c r="M708" s="40"/>
      <c r="N708" s="29"/>
      <c r="O708" s="12"/>
      <c r="P708" s="39"/>
      <c r="Q708" s="12"/>
      <c r="R708" s="39"/>
      <c r="S708" s="39"/>
      <c r="T708" s="39"/>
      <c r="U708" s="39"/>
      <c r="V708" s="39"/>
      <c r="W708" s="39"/>
      <c r="X708" s="39"/>
      <c r="Y708" s="39"/>
      <c r="Z708" s="39"/>
      <c r="AA708" s="39"/>
      <c r="AB708" s="39"/>
      <c r="AC708" s="39"/>
    </row>
    <row r="709">
      <c r="A709" s="23"/>
      <c r="B709" s="24"/>
      <c r="C709" s="29"/>
      <c r="D709" s="29"/>
      <c r="E709" s="29"/>
      <c r="F709" s="29"/>
      <c r="G709" s="29"/>
      <c r="H709" s="12"/>
      <c r="I709" s="12"/>
      <c r="J709" s="12"/>
      <c r="K709" s="39"/>
      <c r="L709" s="12"/>
      <c r="M709" s="40"/>
      <c r="N709" s="29"/>
      <c r="O709" s="12"/>
      <c r="P709" s="39"/>
      <c r="Q709" s="12"/>
      <c r="R709" s="39"/>
      <c r="S709" s="39"/>
      <c r="T709" s="39"/>
      <c r="U709" s="39"/>
      <c r="V709" s="39"/>
      <c r="W709" s="39"/>
      <c r="X709" s="39"/>
      <c r="Y709" s="39"/>
      <c r="Z709" s="39"/>
      <c r="AA709" s="39"/>
      <c r="AB709" s="39"/>
      <c r="AC709" s="39"/>
    </row>
    <row r="710">
      <c r="A710" s="23"/>
      <c r="B710" s="24"/>
      <c r="C710" s="29"/>
      <c r="D710" s="29"/>
      <c r="E710" s="29"/>
      <c r="F710" s="29"/>
      <c r="G710" s="29"/>
      <c r="H710" s="12"/>
      <c r="I710" s="12"/>
      <c r="J710" s="12"/>
      <c r="K710" s="39"/>
      <c r="L710" s="12"/>
      <c r="M710" s="40"/>
      <c r="N710" s="29"/>
      <c r="O710" s="12"/>
      <c r="P710" s="39"/>
      <c r="Q710" s="12"/>
      <c r="R710" s="39"/>
      <c r="S710" s="39"/>
      <c r="T710" s="39"/>
      <c r="U710" s="39"/>
      <c r="V710" s="39"/>
      <c r="W710" s="39"/>
      <c r="X710" s="39"/>
      <c r="Y710" s="39"/>
      <c r="Z710" s="39"/>
      <c r="AA710" s="39"/>
      <c r="AB710" s="39"/>
      <c r="AC710" s="39"/>
    </row>
    <row r="711">
      <c r="A711" s="23"/>
      <c r="B711" s="24"/>
      <c r="C711" s="29"/>
      <c r="D711" s="29"/>
      <c r="E711" s="29"/>
      <c r="F711" s="29"/>
      <c r="G711" s="29"/>
      <c r="H711" s="12"/>
      <c r="I711" s="12"/>
      <c r="J711" s="12"/>
      <c r="K711" s="39"/>
      <c r="L711" s="12"/>
      <c r="M711" s="40"/>
      <c r="N711" s="29"/>
      <c r="O711" s="12"/>
      <c r="P711" s="39"/>
      <c r="Q711" s="12"/>
      <c r="R711" s="39"/>
      <c r="S711" s="39"/>
      <c r="T711" s="39"/>
      <c r="U711" s="39"/>
      <c r="V711" s="39"/>
      <c r="W711" s="39"/>
      <c r="X711" s="39"/>
      <c r="Y711" s="39"/>
      <c r="Z711" s="39"/>
      <c r="AA711" s="39"/>
      <c r="AB711" s="39"/>
      <c r="AC711" s="39"/>
    </row>
    <row r="712">
      <c r="A712" s="23"/>
      <c r="B712" s="24"/>
      <c r="C712" s="29"/>
      <c r="D712" s="29"/>
      <c r="E712" s="29"/>
      <c r="F712" s="29"/>
      <c r="G712" s="29"/>
      <c r="H712" s="12"/>
      <c r="I712" s="12"/>
      <c r="J712" s="12"/>
      <c r="K712" s="39"/>
      <c r="L712" s="12"/>
      <c r="M712" s="40"/>
      <c r="N712" s="29"/>
      <c r="O712" s="12"/>
      <c r="P712" s="39"/>
      <c r="Q712" s="12"/>
      <c r="R712" s="39"/>
      <c r="S712" s="39"/>
      <c r="T712" s="39"/>
      <c r="U712" s="39"/>
      <c r="V712" s="39"/>
      <c r="W712" s="39"/>
      <c r="X712" s="39"/>
      <c r="Y712" s="39"/>
      <c r="Z712" s="39"/>
      <c r="AA712" s="39"/>
      <c r="AB712" s="39"/>
      <c r="AC712" s="39"/>
    </row>
    <row r="713">
      <c r="A713" s="23"/>
      <c r="B713" s="24"/>
      <c r="C713" s="29"/>
      <c r="D713" s="29"/>
      <c r="E713" s="29"/>
      <c r="F713" s="29"/>
      <c r="G713" s="29"/>
      <c r="H713" s="12"/>
      <c r="I713" s="12"/>
      <c r="J713" s="12"/>
      <c r="K713" s="39"/>
      <c r="L713" s="12"/>
      <c r="M713" s="40"/>
      <c r="N713" s="29"/>
      <c r="O713" s="12"/>
      <c r="P713" s="39"/>
      <c r="Q713" s="12"/>
      <c r="R713" s="39"/>
      <c r="S713" s="39"/>
      <c r="T713" s="39"/>
      <c r="U713" s="39"/>
      <c r="V713" s="39"/>
      <c r="W713" s="39"/>
      <c r="X713" s="39"/>
      <c r="Y713" s="39"/>
      <c r="Z713" s="39"/>
      <c r="AA713" s="39"/>
      <c r="AB713" s="39"/>
      <c r="AC713" s="39"/>
    </row>
    <row r="714">
      <c r="A714" s="23"/>
      <c r="B714" s="24"/>
      <c r="C714" s="29"/>
      <c r="D714" s="29"/>
      <c r="E714" s="29"/>
      <c r="F714" s="29"/>
      <c r="G714" s="29"/>
      <c r="H714" s="12"/>
      <c r="I714" s="12"/>
      <c r="J714" s="12"/>
      <c r="K714" s="39"/>
      <c r="L714" s="12"/>
      <c r="M714" s="40"/>
      <c r="N714" s="29"/>
      <c r="O714" s="12"/>
      <c r="P714" s="39"/>
      <c r="Q714" s="12"/>
      <c r="R714" s="39"/>
      <c r="S714" s="39"/>
      <c r="T714" s="39"/>
      <c r="U714" s="39"/>
      <c r="V714" s="39"/>
      <c r="W714" s="39"/>
      <c r="X714" s="39"/>
      <c r="Y714" s="39"/>
      <c r="Z714" s="39"/>
      <c r="AA714" s="39"/>
      <c r="AB714" s="39"/>
      <c r="AC714" s="39"/>
    </row>
    <row r="715">
      <c r="A715" s="23"/>
      <c r="B715" s="24"/>
      <c r="C715" s="29"/>
      <c r="D715" s="29"/>
      <c r="E715" s="29"/>
      <c r="F715" s="29"/>
      <c r="G715" s="29"/>
      <c r="H715" s="12"/>
      <c r="I715" s="12"/>
      <c r="J715" s="12"/>
      <c r="K715" s="39"/>
      <c r="L715" s="12"/>
      <c r="M715" s="40"/>
      <c r="N715" s="29"/>
      <c r="O715" s="12"/>
      <c r="P715" s="39"/>
      <c r="Q715" s="12"/>
      <c r="R715" s="39"/>
      <c r="S715" s="39"/>
      <c r="T715" s="39"/>
      <c r="U715" s="39"/>
      <c r="V715" s="39"/>
      <c r="W715" s="39"/>
      <c r="X715" s="39"/>
      <c r="Y715" s="39"/>
      <c r="Z715" s="39"/>
      <c r="AA715" s="39"/>
      <c r="AB715" s="39"/>
      <c r="AC715" s="39"/>
    </row>
    <row r="716">
      <c r="A716" s="23"/>
      <c r="B716" s="24"/>
      <c r="C716" s="29"/>
      <c r="D716" s="29"/>
      <c r="E716" s="29"/>
      <c r="F716" s="29"/>
      <c r="G716" s="29"/>
      <c r="H716" s="12"/>
      <c r="I716" s="12"/>
      <c r="J716" s="12"/>
      <c r="K716" s="39"/>
      <c r="L716" s="12"/>
      <c r="M716" s="40"/>
      <c r="N716" s="29"/>
      <c r="O716" s="12"/>
      <c r="P716" s="39"/>
      <c r="Q716" s="12"/>
      <c r="R716" s="39"/>
      <c r="S716" s="39"/>
      <c r="T716" s="39"/>
      <c r="U716" s="39"/>
      <c r="V716" s="39"/>
      <c r="W716" s="39"/>
      <c r="X716" s="39"/>
      <c r="Y716" s="39"/>
      <c r="Z716" s="39"/>
      <c r="AA716" s="39"/>
      <c r="AB716" s="39"/>
      <c r="AC716" s="39"/>
    </row>
    <row r="717">
      <c r="A717" s="23"/>
      <c r="B717" s="24"/>
      <c r="C717" s="29"/>
      <c r="D717" s="29"/>
      <c r="E717" s="29"/>
      <c r="F717" s="29"/>
      <c r="G717" s="29"/>
      <c r="H717" s="12"/>
      <c r="I717" s="12"/>
      <c r="J717" s="12"/>
      <c r="K717" s="39"/>
      <c r="L717" s="12"/>
      <c r="M717" s="40"/>
      <c r="N717" s="29"/>
      <c r="O717" s="12"/>
      <c r="P717" s="39"/>
      <c r="Q717" s="12"/>
      <c r="R717" s="39"/>
      <c r="S717" s="39"/>
      <c r="T717" s="39"/>
      <c r="U717" s="39"/>
      <c r="V717" s="39"/>
      <c r="W717" s="39"/>
      <c r="X717" s="39"/>
      <c r="Y717" s="39"/>
      <c r="Z717" s="39"/>
      <c r="AA717" s="39"/>
      <c r="AB717" s="39"/>
      <c r="AC717" s="39"/>
    </row>
    <row r="718">
      <c r="A718" s="23"/>
      <c r="B718" s="24"/>
      <c r="C718" s="29"/>
      <c r="D718" s="29"/>
      <c r="E718" s="29"/>
      <c r="F718" s="29"/>
      <c r="G718" s="29"/>
      <c r="H718" s="12"/>
      <c r="I718" s="12"/>
      <c r="J718" s="12"/>
      <c r="K718" s="39"/>
      <c r="L718" s="12"/>
      <c r="M718" s="40"/>
      <c r="N718" s="29"/>
      <c r="O718" s="12"/>
      <c r="P718" s="39"/>
      <c r="Q718" s="12"/>
      <c r="R718" s="39"/>
      <c r="S718" s="39"/>
      <c r="T718" s="39"/>
      <c r="U718" s="39"/>
      <c r="V718" s="39"/>
      <c r="W718" s="39"/>
      <c r="X718" s="39"/>
      <c r="Y718" s="39"/>
      <c r="Z718" s="39"/>
      <c r="AA718" s="39"/>
      <c r="AB718" s="39"/>
      <c r="AC718" s="39"/>
    </row>
    <row r="719">
      <c r="A719" s="23"/>
      <c r="B719" s="24"/>
      <c r="C719" s="29"/>
      <c r="D719" s="29"/>
      <c r="E719" s="29"/>
      <c r="F719" s="29"/>
      <c r="G719" s="29"/>
      <c r="H719" s="12"/>
      <c r="I719" s="12"/>
      <c r="J719" s="12"/>
      <c r="K719" s="39"/>
      <c r="L719" s="12"/>
      <c r="M719" s="40"/>
      <c r="N719" s="29"/>
      <c r="O719" s="12"/>
      <c r="P719" s="39"/>
      <c r="Q719" s="12"/>
      <c r="R719" s="39"/>
      <c r="S719" s="39"/>
      <c r="T719" s="39"/>
      <c r="U719" s="39"/>
      <c r="V719" s="39"/>
      <c r="W719" s="39"/>
      <c r="X719" s="39"/>
      <c r="Y719" s="39"/>
      <c r="Z719" s="39"/>
      <c r="AA719" s="39"/>
      <c r="AB719" s="39"/>
      <c r="AC719" s="39"/>
    </row>
    <row r="720">
      <c r="A720" s="23"/>
      <c r="B720" s="24"/>
      <c r="C720" s="29"/>
      <c r="D720" s="29"/>
      <c r="E720" s="29"/>
      <c r="F720" s="29"/>
      <c r="G720" s="29"/>
      <c r="H720" s="12"/>
      <c r="I720" s="12"/>
      <c r="J720" s="12"/>
      <c r="K720" s="39"/>
      <c r="L720" s="12"/>
      <c r="M720" s="40"/>
      <c r="N720" s="29"/>
      <c r="O720" s="12"/>
      <c r="P720" s="39"/>
      <c r="Q720" s="12"/>
      <c r="R720" s="39"/>
      <c r="S720" s="39"/>
      <c r="T720" s="39"/>
      <c r="U720" s="39"/>
      <c r="V720" s="39"/>
      <c r="W720" s="39"/>
      <c r="X720" s="39"/>
      <c r="Y720" s="39"/>
      <c r="Z720" s="39"/>
      <c r="AA720" s="39"/>
      <c r="AB720" s="39"/>
      <c r="AC720" s="39"/>
    </row>
    <row r="721">
      <c r="A721" s="23"/>
      <c r="B721" s="24"/>
      <c r="C721" s="29"/>
      <c r="D721" s="29"/>
      <c r="E721" s="29"/>
      <c r="F721" s="29"/>
      <c r="G721" s="29"/>
      <c r="H721" s="12"/>
      <c r="I721" s="12"/>
      <c r="J721" s="12"/>
      <c r="K721" s="39"/>
      <c r="L721" s="12"/>
      <c r="M721" s="40"/>
      <c r="N721" s="29"/>
      <c r="O721" s="12"/>
      <c r="P721" s="39"/>
      <c r="Q721" s="12"/>
      <c r="R721" s="39"/>
      <c r="S721" s="39"/>
      <c r="T721" s="39"/>
      <c r="U721" s="39"/>
      <c r="V721" s="39"/>
      <c r="W721" s="39"/>
      <c r="X721" s="39"/>
      <c r="Y721" s="39"/>
      <c r="Z721" s="39"/>
      <c r="AA721" s="39"/>
      <c r="AB721" s="39"/>
      <c r="AC721" s="39"/>
    </row>
    <row r="722">
      <c r="A722" s="23"/>
      <c r="B722" s="24"/>
      <c r="C722" s="29"/>
      <c r="D722" s="29"/>
      <c r="E722" s="29"/>
      <c r="F722" s="29"/>
      <c r="G722" s="29"/>
      <c r="H722" s="12"/>
      <c r="I722" s="12"/>
      <c r="J722" s="12"/>
      <c r="K722" s="39"/>
      <c r="L722" s="12"/>
      <c r="M722" s="40"/>
      <c r="N722" s="29"/>
      <c r="O722" s="12"/>
      <c r="P722" s="39"/>
      <c r="Q722" s="12"/>
      <c r="R722" s="39"/>
      <c r="S722" s="39"/>
      <c r="T722" s="39"/>
      <c r="U722" s="39"/>
      <c r="V722" s="39"/>
      <c r="W722" s="39"/>
      <c r="X722" s="39"/>
      <c r="Y722" s="39"/>
      <c r="Z722" s="39"/>
      <c r="AA722" s="39"/>
      <c r="AB722" s="39"/>
      <c r="AC722" s="39"/>
    </row>
    <row r="723">
      <c r="A723" s="23"/>
      <c r="B723" s="24"/>
      <c r="C723" s="29"/>
      <c r="D723" s="29"/>
      <c r="E723" s="29"/>
      <c r="F723" s="29"/>
      <c r="G723" s="29"/>
      <c r="H723" s="12"/>
      <c r="I723" s="12"/>
      <c r="J723" s="12"/>
      <c r="K723" s="39"/>
      <c r="L723" s="12"/>
      <c r="M723" s="40"/>
      <c r="N723" s="29"/>
      <c r="O723" s="12"/>
      <c r="P723" s="39"/>
      <c r="Q723" s="12"/>
      <c r="R723" s="39"/>
      <c r="S723" s="39"/>
      <c r="T723" s="39"/>
      <c r="U723" s="39"/>
      <c r="V723" s="39"/>
      <c r="W723" s="39"/>
      <c r="X723" s="39"/>
      <c r="Y723" s="39"/>
      <c r="Z723" s="39"/>
      <c r="AA723" s="39"/>
      <c r="AB723" s="39"/>
      <c r="AC723" s="39"/>
    </row>
    <row r="724">
      <c r="A724" s="23"/>
      <c r="B724" s="24"/>
      <c r="C724" s="29"/>
      <c r="D724" s="29"/>
      <c r="E724" s="29"/>
      <c r="F724" s="29"/>
      <c r="G724" s="29"/>
      <c r="H724" s="12"/>
      <c r="I724" s="12"/>
      <c r="J724" s="12"/>
      <c r="K724" s="39"/>
      <c r="L724" s="12"/>
      <c r="M724" s="40"/>
      <c r="N724" s="29"/>
      <c r="O724" s="12"/>
      <c r="P724" s="39"/>
      <c r="Q724" s="12"/>
      <c r="R724" s="39"/>
      <c r="S724" s="39"/>
      <c r="T724" s="39"/>
      <c r="U724" s="39"/>
      <c r="V724" s="39"/>
      <c r="W724" s="39"/>
      <c r="X724" s="39"/>
      <c r="Y724" s="39"/>
      <c r="Z724" s="39"/>
      <c r="AA724" s="39"/>
      <c r="AB724" s="39"/>
      <c r="AC724" s="39"/>
    </row>
    <row r="725">
      <c r="A725" s="23"/>
      <c r="B725" s="24"/>
      <c r="C725" s="29"/>
      <c r="D725" s="29"/>
      <c r="E725" s="29"/>
      <c r="F725" s="29"/>
      <c r="G725" s="29"/>
      <c r="H725" s="12"/>
      <c r="I725" s="12"/>
      <c r="J725" s="12"/>
      <c r="K725" s="39"/>
      <c r="L725" s="12"/>
      <c r="M725" s="40"/>
      <c r="N725" s="29"/>
      <c r="O725" s="12"/>
      <c r="P725" s="39"/>
      <c r="Q725" s="12"/>
      <c r="R725" s="39"/>
      <c r="S725" s="39"/>
      <c r="T725" s="39"/>
      <c r="U725" s="39"/>
      <c r="V725" s="39"/>
      <c r="W725" s="39"/>
      <c r="X725" s="39"/>
      <c r="Y725" s="39"/>
      <c r="Z725" s="39"/>
      <c r="AA725" s="39"/>
      <c r="AB725" s="39"/>
      <c r="AC725" s="39"/>
    </row>
    <row r="726">
      <c r="A726" s="23"/>
      <c r="B726" s="24"/>
      <c r="C726" s="29"/>
      <c r="D726" s="29"/>
      <c r="E726" s="29"/>
      <c r="F726" s="29"/>
      <c r="G726" s="29"/>
      <c r="H726" s="12"/>
      <c r="I726" s="12"/>
      <c r="J726" s="12"/>
      <c r="K726" s="39"/>
      <c r="L726" s="12"/>
      <c r="M726" s="40"/>
      <c r="N726" s="29"/>
      <c r="O726" s="12"/>
      <c r="P726" s="39"/>
      <c r="Q726" s="12"/>
      <c r="R726" s="39"/>
      <c r="S726" s="39"/>
      <c r="T726" s="39"/>
      <c r="U726" s="39"/>
      <c r="V726" s="39"/>
      <c r="W726" s="39"/>
      <c r="X726" s="39"/>
      <c r="Y726" s="39"/>
      <c r="Z726" s="39"/>
      <c r="AA726" s="39"/>
      <c r="AB726" s="39"/>
      <c r="AC726" s="39"/>
    </row>
    <row r="727">
      <c r="A727" s="23"/>
      <c r="B727" s="24"/>
      <c r="C727" s="29"/>
      <c r="D727" s="29"/>
      <c r="E727" s="29"/>
      <c r="F727" s="29"/>
      <c r="G727" s="29"/>
      <c r="H727" s="12"/>
      <c r="I727" s="12"/>
      <c r="J727" s="12"/>
      <c r="K727" s="39"/>
      <c r="L727" s="12"/>
      <c r="M727" s="40"/>
      <c r="N727" s="29"/>
      <c r="O727" s="12"/>
      <c r="P727" s="39"/>
      <c r="Q727" s="12"/>
      <c r="R727" s="39"/>
      <c r="S727" s="39"/>
      <c r="T727" s="39"/>
      <c r="U727" s="39"/>
      <c r="V727" s="39"/>
      <c r="W727" s="39"/>
      <c r="X727" s="39"/>
      <c r="Y727" s="39"/>
      <c r="Z727" s="39"/>
      <c r="AA727" s="39"/>
      <c r="AB727" s="39"/>
      <c r="AC727" s="39"/>
    </row>
    <row r="728">
      <c r="A728" s="23"/>
      <c r="B728" s="24"/>
      <c r="C728" s="29"/>
      <c r="D728" s="29"/>
      <c r="E728" s="29"/>
      <c r="F728" s="29"/>
      <c r="G728" s="29"/>
      <c r="H728" s="12"/>
      <c r="I728" s="12"/>
      <c r="J728" s="12"/>
      <c r="K728" s="39"/>
      <c r="L728" s="12"/>
      <c r="M728" s="40"/>
      <c r="N728" s="29"/>
      <c r="O728" s="12"/>
      <c r="P728" s="39"/>
      <c r="Q728" s="12"/>
      <c r="R728" s="39"/>
      <c r="S728" s="39"/>
      <c r="T728" s="39"/>
      <c r="U728" s="39"/>
      <c r="V728" s="39"/>
      <c r="W728" s="39"/>
      <c r="X728" s="39"/>
      <c r="Y728" s="39"/>
      <c r="Z728" s="39"/>
      <c r="AA728" s="39"/>
      <c r="AB728" s="39"/>
      <c r="AC728" s="39"/>
    </row>
    <row r="729">
      <c r="A729" s="23"/>
      <c r="B729" s="24"/>
      <c r="C729" s="29"/>
      <c r="D729" s="29"/>
      <c r="E729" s="29"/>
      <c r="F729" s="29"/>
      <c r="G729" s="29"/>
      <c r="H729" s="12"/>
      <c r="I729" s="12"/>
      <c r="J729" s="12"/>
      <c r="K729" s="39"/>
      <c r="L729" s="12"/>
      <c r="M729" s="40"/>
      <c r="N729" s="29"/>
      <c r="O729" s="12"/>
      <c r="P729" s="39"/>
      <c r="Q729" s="12"/>
      <c r="R729" s="39"/>
      <c r="S729" s="39"/>
      <c r="T729" s="39"/>
      <c r="U729" s="39"/>
      <c r="V729" s="39"/>
      <c r="W729" s="39"/>
      <c r="X729" s="39"/>
      <c r="Y729" s="39"/>
      <c r="Z729" s="39"/>
      <c r="AA729" s="39"/>
      <c r="AB729" s="39"/>
      <c r="AC729" s="39"/>
    </row>
    <row r="730">
      <c r="A730" s="23"/>
      <c r="B730" s="24"/>
      <c r="C730" s="29"/>
      <c r="D730" s="29"/>
      <c r="E730" s="29"/>
      <c r="F730" s="29"/>
      <c r="G730" s="29"/>
      <c r="H730" s="12"/>
      <c r="I730" s="12"/>
      <c r="J730" s="12"/>
      <c r="K730" s="39"/>
      <c r="L730" s="12"/>
      <c r="M730" s="40"/>
      <c r="N730" s="29"/>
      <c r="O730" s="12"/>
      <c r="P730" s="39"/>
      <c r="Q730" s="12"/>
      <c r="R730" s="39"/>
      <c r="S730" s="39"/>
      <c r="T730" s="39"/>
      <c r="U730" s="39"/>
      <c r="V730" s="39"/>
      <c r="W730" s="39"/>
      <c r="X730" s="39"/>
      <c r="Y730" s="39"/>
      <c r="Z730" s="39"/>
      <c r="AA730" s="39"/>
      <c r="AB730" s="39"/>
      <c r="AC730" s="39"/>
    </row>
    <row r="731">
      <c r="A731" s="23"/>
      <c r="B731" s="24"/>
      <c r="C731" s="29"/>
      <c r="D731" s="29"/>
      <c r="E731" s="29"/>
      <c r="F731" s="29"/>
      <c r="G731" s="29"/>
      <c r="H731" s="12"/>
      <c r="I731" s="12"/>
      <c r="J731" s="12"/>
      <c r="K731" s="39"/>
      <c r="L731" s="12"/>
      <c r="M731" s="40"/>
      <c r="N731" s="29"/>
      <c r="O731" s="12"/>
      <c r="P731" s="39"/>
      <c r="Q731" s="12"/>
      <c r="R731" s="39"/>
      <c r="S731" s="39"/>
      <c r="T731" s="39"/>
      <c r="U731" s="39"/>
      <c r="V731" s="39"/>
      <c r="W731" s="39"/>
      <c r="X731" s="39"/>
      <c r="Y731" s="39"/>
      <c r="Z731" s="39"/>
      <c r="AA731" s="39"/>
      <c r="AB731" s="39"/>
      <c r="AC731" s="39"/>
    </row>
    <row r="732">
      <c r="A732" s="23"/>
      <c r="B732" s="24"/>
      <c r="C732" s="29"/>
      <c r="D732" s="29"/>
      <c r="E732" s="29"/>
      <c r="F732" s="29"/>
      <c r="G732" s="29"/>
      <c r="H732" s="12"/>
      <c r="I732" s="12"/>
      <c r="J732" s="12"/>
      <c r="K732" s="39"/>
      <c r="L732" s="12"/>
      <c r="M732" s="40"/>
      <c r="N732" s="29"/>
      <c r="O732" s="12"/>
      <c r="P732" s="39"/>
      <c r="Q732" s="12"/>
      <c r="R732" s="39"/>
      <c r="S732" s="39"/>
      <c r="T732" s="39"/>
      <c r="U732" s="39"/>
      <c r="V732" s="39"/>
      <c r="W732" s="39"/>
      <c r="X732" s="39"/>
      <c r="Y732" s="39"/>
      <c r="Z732" s="39"/>
      <c r="AA732" s="39"/>
      <c r="AB732" s="39"/>
      <c r="AC732" s="39"/>
    </row>
    <row r="733">
      <c r="A733" s="23"/>
      <c r="B733" s="24"/>
      <c r="C733" s="29"/>
      <c r="D733" s="29"/>
      <c r="E733" s="29"/>
      <c r="F733" s="29"/>
      <c r="G733" s="29"/>
      <c r="H733" s="12"/>
      <c r="I733" s="12"/>
      <c r="J733" s="12"/>
      <c r="K733" s="39"/>
      <c r="L733" s="12"/>
      <c r="M733" s="40"/>
      <c r="N733" s="29"/>
      <c r="O733" s="12"/>
      <c r="P733" s="39"/>
      <c r="Q733" s="12"/>
      <c r="R733" s="39"/>
      <c r="S733" s="39"/>
      <c r="T733" s="39"/>
      <c r="U733" s="39"/>
      <c r="V733" s="39"/>
      <c r="W733" s="39"/>
      <c r="X733" s="39"/>
      <c r="Y733" s="39"/>
      <c r="Z733" s="39"/>
      <c r="AA733" s="39"/>
      <c r="AB733" s="39"/>
      <c r="AC733" s="39"/>
    </row>
    <row r="734">
      <c r="A734" s="23"/>
      <c r="B734" s="24"/>
      <c r="C734" s="29"/>
      <c r="D734" s="29"/>
      <c r="E734" s="29"/>
      <c r="F734" s="29"/>
      <c r="G734" s="29"/>
      <c r="H734" s="12"/>
      <c r="I734" s="12"/>
      <c r="J734" s="12"/>
      <c r="K734" s="39"/>
      <c r="L734" s="12"/>
      <c r="M734" s="40"/>
      <c r="N734" s="29"/>
      <c r="O734" s="12"/>
      <c r="P734" s="39"/>
      <c r="Q734" s="12"/>
      <c r="R734" s="39"/>
      <c r="S734" s="39"/>
      <c r="T734" s="39"/>
      <c r="U734" s="39"/>
      <c r="V734" s="39"/>
      <c r="W734" s="39"/>
      <c r="X734" s="39"/>
      <c r="Y734" s="39"/>
      <c r="Z734" s="39"/>
      <c r="AA734" s="39"/>
      <c r="AB734" s="39"/>
      <c r="AC734" s="39"/>
    </row>
    <row r="735">
      <c r="A735" s="23"/>
      <c r="B735" s="24"/>
      <c r="C735" s="29"/>
      <c r="D735" s="29"/>
      <c r="E735" s="29"/>
      <c r="F735" s="29"/>
      <c r="G735" s="29"/>
      <c r="H735" s="12"/>
      <c r="I735" s="12"/>
      <c r="J735" s="12"/>
      <c r="K735" s="39"/>
      <c r="L735" s="12"/>
      <c r="M735" s="40"/>
      <c r="N735" s="29"/>
      <c r="O735" s="12"/>
      <c r="P735" s="39"/>
      <c r="Q735" s="12"/>
      <c r="R735" s="39"/>
      <c r="S735" s="39"/>
      <c r="T735" s="39"/>
      <c r="U735" s="39"/>
      <c r="V735" s="39"/>
      <c r="W735" s="39"/>
      <c r="X735" s="39"/>
      <c r="Y735" s="39"/>
      <c r="Z735" s="39"/>
      <c r="AA735" s="39"/>
      <c r="AB735" s="39"/>
      <c r="AC735" s="39"/>
    </row>
    <row r="736">
      <c r="A736" s="23"/>
      <c r="B736" s="24"/>
      <c r="C736" s="29"/>
      <c r="D736" s="29"/>
      <c r="E736" s="29"/>
      <c r="F736" s="29"/>
      <c r="G736" s="29"/>
      <c r="H736" s="12"/>
      <c r="I736" s="12"/>
      <c r="J736" s="12"/>
      <c r="K736" s="39"/>
      <c r="L736" s="12"/>
      <c r="M736" s="40"/>
      <c r="N736" s="29"/>
      <c r="O736" s="12"/>
      <c r="P736" s="39"/>
      <c r="Q736" s="12"/>
      <c r="R736" s="39"/>
      <c r="S736" s="39"/>
      <c r="T736" s="39"/>
      <c r="U736" s="39"/>
      <c r="V736" s="39"/>
      <c r="W736" s="39"/>
      <c r="X736" s="39"/>
      <c r="Y736" s="39"/>
      <c r="Z736" s="39"/>
      <c r="AA736" s="39"/>
      <c r="AB736" s="39"/>
      <c r="AC736" s="39"/>
    </row>
    <row r="737">
      <c r="A737" s="23"/>
      <c r="B737" s="24"/>
      <c r="C737" s="29"/>
      <c r="D737" s="29"/>
      <c r="E737" s="29"/>
      <c r="F737" s="29"/>
      <c r="G737" s="29"/>
      <c r="H737" s="12"/>
      <c r="I737" s="12"/>
      <c r="J737" s="12"/>
      <c r="K737" s="39"/>
      <c r="L737" s="12"/>
      <c r="M737" s="40"/>
      <c r="N737" s="29"/>
      <c r="O737" s="12"/>
      <c r="P737" s="39"/>
      <c r="Q737" s="12"/>
      <c r="R737" s="39"/>
      <c r="S737" s="39"/>
      <c r="T737" s="39"/>
      <c r="U737" s="39"/>
      <c r="V737" s="39"/>
      <c r="W737" s="39"/>
      <c r="X737" s="39"/>
      <c r="Y737" s="39"/>
      <c r="Z737" s="39"/>
      <c r="AA737" s="39"/>
      <c r="AB737" s="39"/>
      <c r="AC737" s="39"/>
    </row>
    <row r="738">
      <c r="A738" s="23"/>
      <c r="B738" s="24"/>
      <c r="C738" s="29"/>
      <c r="D738" s="29"/>
      <c r="E738" s="29"/>
      <c r="F738" s="29"/>
      <c r="G738" s="29"/>
      <c r="H738" s="12"/>
      <c r="I738" s="12"/>
      <c r="J738" s="12"/>
      <c r="K738" s="39"/>
      <c r="L738" s="12"/>
      <c r="M738" s="40"/>
      <c r="N738" s="29"/>
      <c r="O738" s="12"/>
      <c r="P738" s="39"/>
      <c r="Q738" s="12"/>
      <c r="R738" s="39"/>
      <c r="S738" s="39"/>
      <c r="T738" s="39"/>
      <c r="U738" s="39"/>
      <c r="V738" s="39"/>
      <c r="W738" s="39"/>
      <c r="X738" s="39"/>
      <c r="Y738" s="39"/>
      <c r="Z738" s="39"/>
      <c r="AA738" s="39"/>
      <c r="AB738" s="39"/>
      <c r="AC738" s="39"/>
    </row>
    <row r="739">
      <c r="A739" s="23"/>
      <c r="B739" s="24"/>
      <c r="C739" s="29"/>
      <c r="D739" s="29"/>
      <c r="E739" s="29"/>
      <c r="F739" s="29"/>
      <c r="G739" s="29"/>
      <c r="H739" s="12"/>
      <c r="I739" s="12"/>
      <c r="J739" s="12"/>
      <c r="K739" s="39"/>
      <c r="L739" s="12"/>
      <c r="M739" s="40"/>
      <c r="N739" s="29"/>
      <c r="O739" s="12"/>
      <c r="P739" s="39"/>
      <c r="Q739" s="12"/>
      <c r="R739" s="39"/>
      <c r="S739" s="39"/>
      <c r="T739" s="39"/>
      <c r="U739" s="39"/>
      <c r="V739" s="39"/>
      <c r="W739" s="39"/>
      <c r="X739" s="39"/>
      <c r="Y739" s="39"/>
      <c r="Z739" s="39"/>
      <c r="AA739" s="39"/>
      <c r="AB739" s="39"/>
      <c r="AC739" s="39"/>
    </row>
    <row r="740">
      <c r="A740" s="23"/>
      <c r="B740" s="24"/>
      <c r="C740" s="29"/>
      <c r="D740" s="29"/>
      <c r="E740" s="29"/>
      <c r="F740" s="29"/>
      <c r="G740" s="29"/>
      <c r="H740" s="12"/>
      <c r="I740" s="12"/>
      <c r="J740" s="12"/>
      <c r="K740" s="39"/>
      <c r="L740" s="12"/>
      <c r="M740" s="40"/>
      <c r="N740" s="29"/>
      <c r="O740" s="12"/>
      <c r="P740" s="39"/>
      <c r="Q740" s="12"/>
      <c r="R740" s="39"/>
      <c r="S740" s="39"/>
      <c r="T740" s="39"/>
      <c r="U740" s="39"/>
      <c r="V740" s="39"/>
      <c r="W740" s="39"/>
      <c r="X740" s="39"/>
      <c r="Y740" s="39"/>
      <c r="Z740" s="39"/>
      <c r="AA740" s="39"/>
      <c r="AB740" s="39"/>
      <c r="AC740" s="39"/>
    </row>
    <row r="741">
      <c r="A741" s="23"/>
      <c r="B741" s="24"/>
      <c r="C741" s="29"/>
      <c r="D741" s="29"/>
      <c r="E741" s="29"/>
      <c r="F741" s="29"/>
      <c r="G741" s="29"/>
      <c r="H741" s="12"/>
      <c r="I741" s="12"/>
      <c r="J741" s="12"/>
      <c r="K741" s="39"/>
      <c r="L741" s="12"/>
      <c r="M741" s="40"/>
      <c r="N741" s="29"/>
      <c r="O741" s="12"/>
      <c r="P741" s="39"/>
      <c r="Q741" s="12"/>
      <c r="R741" s="39"/>
      <c r="S741" s="39"/>
      <c r="T741" s="39"/>
      <c r="U741" s="39"/>
      <c r="V741" s="39"/>
      <c r="W741" s="39"/>
      <c r="X741" s="39"/>
      <c r="Y741" s="39"/>
      <c r="Z741" s="39"/>
      <c r="AA741" s="39"/>
      <c r="AB741" s="39"/>
      <c r="AC741" s="39"/>
    </row>
    <row r="742">
      <c r="A742" s="23"/>
      <c r="B742" s="24"/>
      <c r="C742" s="29"/>
      <c r="D742" s="29"/>
      <c r="E742" s="29"/>
      <c r="F742" s="29"/>
      <c r="G742" s="29"/>
      <c r="H742" s="12"/>
      <c r="I742" s="12"/>
      <c r="J742" s="12"/>
      <c r="K742" s="39"/>
      <c r="L742" s="12"/>
      <c r="M742" s="40"/>
      <c r="N742" s="29"/>
      <c r="O742" s="12"/>
      <c r="P742" s="39"/>
      <c r="Q742" s="12"/>
      <c r="R742" s="39"/>
      <c r="S742" s="39"/>
      <c r="T742" s="39"/>
      <c r="U742" s="39"/>
      <c r="V742" s="39"/>
      <c r="W742" s="39"/>
      <c r="X742" s="39"/>
      <c r="Y742" s="39"/>
      <c r="Z742" s="39"/>
      <c r="AA742" s="39"/>
      <c r="AB742" s="39"/>
      <c r="AC742" s="39"/>
    </row>
    <row r="743">
      <c r="A743" s="23"/>
      <c r="B743" s="24"/>
      <c r="C743" s="29"/>
      <c r="D743" s="29"/>
      <c r="E743" s="29"/>
      <c r="F743" s="29"/>
      <c r="G743" s="29"/>
      <c r="H743" s="12"/>
      <c r="I743" s="12"/>
      <c r="J743" s="12"/>
      <c r="K743" s="39"/>
      <c r="L743" s="12"/>
      <c r="M743" s="40"/>
      <c r="N743" s="29"/>
      <c r="O743" s="12"/>
      <c r="P743" s="39"/>
      <c r="Q743" s="12"/>
      <c r="R743" s="39"/>
      <c r="S743" s="39"/>
      <c r="T743" s="39"/>
      <c r="U743" s="39"/>
      <c r="V743" s="39"/>
      <c r="W743" s="39"/>
      <c r="X743" s="39"/>
      <c r="Y743" s="39"/>
      <c r="Z743" s="39"/>
      <c r="AA743" s="39"/>
      <c r="AB743" s="39"/>
      <c r="AC743" s="39"/>
    </row>
    <row r="744">
      <c r="A744" s="23"/>
      <c r="B744" s="24"/>
      <c r="C744" s="29"/>
      <c r="D744" s="29"/>
      <c r="E744" s="29"/>
      <c r="F744" s="29"/>
      <c r="G744" s="29"/>
      <c r="H744" s="12"/>
      <c r="I744" s="12"/>
      <c r="J744" s="12"/>
      <c r="K744" s="39"/>
      <c r="L744" s="12"/>
      <c r="M744" s="40"/>
      <c r="N744" s="29"/>
      <c r="O744" s="12"/>
      <c r="P744" s="39"/>
      <c r="Q744" s="12"/>
      <c r="R744" s="39"/>
      <c r="S744" s="39"/>
      <c r="T744" s="39"/>
      <c r="U744" s="39"/>
      <c r="V744" s="39"/>
      <c r="W744" s="39"/>
      <c r="X744" s="39"/>
      <c r="Y744" s="39"/>
      <c r="Z744" s="39"/>
      <c r="AA744" s="39"/>
      <c r="AB744" s="39"/>
      <c r="AC744" s="39"/>
    </row>
    <row r="745">
      <c r="A745" s="23"/>
      <c r="B745" s="24"/>
      <c r="C745" s="29"/>
      <c r="D745" s="29"/>
      <c r="E745" s="29"/>
      <c r="F745" s="29"/>
      <c r="G745" s="29"/>
      <c r="H745" s="12"/>
      <c r="I745" s="12"/>
      <c r="J745" s="12"/>
      <c r="K745" s="39"/>
      <c r="L745" s="12"/>
      <c r="M745" s="40"/>
      <c r="N745" s="29"/>
      <c r="O745" s="12"/>
      <c r="P745" s="39"/>
      <c r="Q745" s="12"/>
      <c r="R745" s="39"/>
      <c r="S745" s="39"/>
      <c r="T745" s="39"/>
      <c r="U745" s="39"/>
      <c r="V745" s="39"/>
      <c r="W745" s="39"/>
      <c r="X745" s="39"/>
      <c r="Y745" s="39"/>
      <c r="Z745" s="39"/>
      <c r="AA745" s="39"/>
      <c r="AB745" s="39"/>
      <c r="AC745" s="39"/>
    </row>
    <row r="746">
      <c r="A746" s="23"/>
      <c r="B746" s="24"/>
      <c r="C746" s="29"/>
      <c r="D746" s="29"/>
      <c r="E746" s="29"/>
      <c r="F746" s="29"/>
      <c r="G746" s="29"/>
      <c r="H746" s="12"/>
      <c r="I746" s="12"/>
      <c r="J746" s="12"/>
      <c r="K746" s="39"/>
      <c r="L746" s="12"/>
      <c r="M746" s="40"/>
      <c r="N746" s="29"/>
      <c r="O746" s="12"/>
      <c r="P746" s="39"/>
      <c r="Q746" s="12"/>
      <c r="R746" s="39"/>
      <c r="S746" s="39"/>
      <c r="T746" s="39"/>
      <c r="U746" s="39"/>
      <c r="V746" s="39"/>
      <c r="W746" s="39"/>
      <c r="X746" s="39"/>
      <c r="Y746" s="39"/>
      <c r="Z746" s="39"/>
      <c r="AA746" s="39"/>
      <c r="AB746" s="39"/>
      <c r="AC746" s="39"/>
    </row>
    <row r="747">
      <c r="A747" s="23"/>
      <c r="B747" s="24"/>
      <c r="C747" s="29"/>
      <c r="D747" s="29"/>
      <c r="E747" s="29"/>
      <c r="F747" s="29"/>
      <c r="G747" s="29"/>
      <c r="H747" s="12"/>
      <c r="I747" s="12"/>
      <c r="J747" s="12"/>
      <c r="K747" s="39"/>
      <c r="L747" s="12"/>
      <c r="M747" s="40"/>
      <c r="N747" s="29"/>
      <c r="O747" s="12"/>
      <c r="P747" s="39"/>
      <c r="Q747" s="12"/>
      <c r="R747" s="39"/>
      <c r="S747" s="39"/>
      <c r="T747" s="39"/>
      <c r="U747" s="39"/>
      <c r="V747" s="39"/>
      <c r="W747" s="39"/>
      <c r="X747" s="39"/>
      <c r="Y747" s="39"/>
      <c r="Z747" s="39"/>
      <c r="AA747" s="39"/>
      <c r="AB747" s="39"/>
      <c r="AC747" s="39"/>
    </row>
    <row r="748">
      <c r="A748" s="23"/>
      <c r="B748" s="24"/>
      <c r="C748" s="29"/>
      <c r="D748" s="29"/>
      <c r="E748" s="29"/>
      <c r="F748" s="29"/>
      <c r="G748" s="29"/>
      <c r="H748" s="12"/>
      <c r="I748" s="12"/>
      <c r="J748" s="12"/>
      <c r="K748" s="39"/>
      <c r="L748" s="12"/>
      <c r="M748" s="40"/>
      <c r="N748" s="29"/>
      <c r="O748" s="12"/>
      <c r="P748" s="39"/>
      <c r="Q748" s="12"/>
      <c r="R748" s="39"/>
      <c r="S748" s="39"/>
      <c r="T748" s="39"/>
      <c r="U748" s="39"/>
      <c r="V748" s="39"/>
      <c r="W748" s="39"/>
      <c r="X748" s="39"/>
      <c r="Y748" s="39"/>
      <c r="Z748" s="39"/>
      <c r="AA748" s="39"/>
      <c r="AB748" s="39"/>
      <c r="AC748" s="39"/>
    </row>
    <row r="749">
      <c r="A749" s="23"/>
      <c r="B749" s="24"/>
      <c r="C749" s="29"/>
      <c r="D749" s="29"/>
      <c r="E749" s="29"/>
      <c r="F749" s="29"/>
      <c r="G749" s="29"/>
      <c r="H749" s="12"/>
      <c r="I749" s="12"/>
      <c r="J749" s="12"/>
      <c r="K749" s="39"/>
      <c r="L749" s="12"/>
      <c r="M749" s="40"/>
      <c r="N749" s="29"/>
      <c r="O749" s="12"/>
      <c r="P749" s="39"/>
      <c r="Q749" s="12"/>
      <c r="R749" s="39"/>
      <c r="S749" s="39"/>
      <c r="T749" s="39"/>
      <c r="U749" s="39"/>
      <c r="V749" s="39"/>
      <c r="W749" s="39"/>
      <c r="X749" s="39"/>
      <c r="Y749" s="39"/>
      <c r="Z749" s="39"/>
      <c r="AA749" s="39"/>
      <c r="AB749" s="39"/>
      <c r="AC749" s="39"/>
    </row>
    <row r="750">
      <c r="A750" s="23"/>
      <c r="B750" s="24"/>
      <c r="C750" s="29"/>
      <c r="D750" s="29"/>
      <c r="E750" s="29"/>
      <c r="F750" s="29"/>
      <c r="G750" s="29"/>
      <c r="H750" s="12"/>
      <c r="I750" s="12"/>
      <c r="J750" s="12"/>
      <c r="K750" s="39"/>
      <c r="L750" s="12"/>
      <c r="M750" s="40"/>
      <c r="N750" s="29"/>
      <c r="O750" s="12"/>
      <c r="P750" s="39"/>
      <c r="Q750" s="12"/>
      <c r="R750" s="39"/>
      <c r="S750" s="39"/>
      <c r="T750" s="39"/>
      <c r="U750" s="39"/>
      <c r="V750" s="39"/>
      <c r="W750" s="39"/>
      <c r="X750" s="39"/>
      <c r="Y750" s="39"/>
      <c r="Z750" s="39"/>
      <c r="AA750" s="39"/>
      <c r="AB750" s="39"/>
      <c r="AC750" s="39"/>
    </row>
    <row r="751">
      <c r="A751" s="23"/>
      <c r="B751" s="24"/>
      <c r="C751" s="29"/>
      <c r="D751" s="29"/>
      <c r="E751" s="29"/>
      <c r="F751" s="29"/>
      <c r="G751" s="29"/>
      <c r="H751" s="12"/>
      <c r="I751" s="12"/>
      <c r="J751" s="12"/>
      <c r="K751" s="39"/>
      <c r="L751" s="12"/>
      <c r="M751" s="40"/>
      <c r="N751" s="29"/>
      <c r="O751" s="12"/>
      <c r="P751" s="39"/>
      <c r="Q751" s="12"/>
      <c r="R751" s="39"/>
      <c r="S751" s="39"/>
      <c r="T751" s="39"/>
      <c r="U751" s="39"/>
      <c r="V751" s="39"/>
      <c r="W751" s="39"/>
      <c r="X751" s="39"/>
      <c r="Y751" s="39"/>
      <c r="Z751" s="39"/>
      <c r="AA751" s="39"/>
      <c r="AB751" s="39"/>
      <c r="AC751" s="39"/>
    </row>
    <row r="752">
      <c r="A752" s="23"/>
      <c r="B752" s="24"/>
      <c r="C752" s="29"/>
      <c r="D752" s="29"/>
      <c r="E752" s="29"/>
      <c r="F752" s="29"/>
      <c r="G752" s="29"/>
      <c r="H752" s="12"/>
      <c r="I752" s="12"/>
      <c r="J752" s="12"/>
      <c r="K752" s="39"/>
      <c r="L752" s="12"/>
      <c r="M752" s="40"/>
      <c r="N752" s="29"/>
      <c r="O752" s="12"/>
      <c r="P752" s="39"/>
      <c r="Q752" s="12"/>
      <c r="R752" s="39"/>
      <c r="S752" s="39"/>
      <c r="T752" s="39"/>
      <c r="U752" s="39"/>
      <c r="V752" s="39"/>
      <c r="W752" s="39"/>
      <c r="X752" s="39"/>
      <c r="Y752" s="39"/>
      <c r="Z752" s="39"/>
      <c r="AA752" s="39"/>
      <c r="AB752" s="39"/>
      <c r="AC752" s="39"/>
    </row>
    <row r="753">
      <c r="A753" s="23"/>
      <c r="B753" s="24"/>
      <c r="C753" s="29"/>
      <c r="D753" s="29"/>
      <c r="E753" s="29"/>
      <c r="F753" s="29"/>
      <c r="G753" s="29"/>
      <c r="H753" s="12"/>
      <c r="I753" s="12"/>
      <c r="J753" s="12"/>
      <c r="K753" s="39"/>
      <c r="L753" s="12"/>
      <c r="M753" s="40"/>
      <c r="N753" s="29"/>
      <c r="O753" s="12"/>
      <c r="P753" s="39"/>
      <c r="Q753" s="12"/>
      <c r="R753" s="39"/>
      <c r="S753" s="39"/>
      <c r="T753" s="39"/>
      <c r="U753" s="39"/>
      <c r="V753" s="39"/>
      <c r="W753" s="39"/>
      <c r="X753" s="39"/>
      <c r="Y753" s="39"/>
      <c r="Z753" s="39"/>
      <c r="AA753" s="39"/>
      <c r="AB753" s="39"/>
      <c r="AC753" s="39"/>
    </row>
    <row r="754">
      <c r="A754" s="23"/>
      <c r="B754" s="24"/>
      <c r="C754" s="29"/>
      <c r="D754" s="29"/>
      <c r="E754" s="29"/>
      <c r="F754" s="29"/>
      <c r="G754" s="29"/>
      <c r="H754" s="12"/>
      <c r="I754" s="12"/>
      <c r="J754" s="12"/>
      <c r="K754" s="39"/>
      <c r="L754" s="12"/>
      <c r="M754" s="40"/>
      <c r="N754" s="29"/>
      <c r="O754" s="12"/>
      <c r="P754" s="39"/>
      <c r="Q754" s="12"/>
      <c r="R754" s="39"/>
      <c r="S754" s="39"/>
      <c r="T754" s="39"/>
      <c r="U754" s="39"/>
      <c r="V754" s="39"/>
      <c r="W754" s="39"/>
      <c r="X754" s="39"/>
      <c r="Y754" s="39"/>
      <c r="Z754" s="39"/>
      <c r="AA754" s="39"/>
      <c r="AB754" s="39"/>
      <c r="AC754" s="39"/>
    </row>
    <row r="755">
      <c r="A755" s="23"/>
      <c r="B755" s="24"/>
      <c r="C755" s="29"/>
      <c r="D755" s="29"/>
      <c r="E755" s="29"/>
      <c r="F755" s="29"/>
      <c r="G755" s="29"/>
      <c r="H755" s="12"/>
      <c r="I755" s="12"/>
      <c r="J755" s="12"/>
      <c r="K755" s="39"/>
      <c r="L755" s="12"/>
      <c r="M755" s="40"/>
      <c r="N755" s="29"/>
      <c r="O755" s="12"/>
      <c r="P755" s="39"/>
      <c r="Q755" s="12"/>
      <c r="R755" s="39"/>
      <c r="S755" s="39"/>
      <c r="T755" s="39"/>
      <c r="U755" s="39"/>
      <c r="V755" s="39"/>
      <c r="W755" s="39"/>
      <c r="X755" s="39"/>
      <c r="Y755" s="39"/>
      <c r="Z755" s="39"/>
      <c r="AA755" s="39"/>
      <c r="AB755" s="39"/>
      <c r="AC755" s="39"/>
    </row>
    <row r="756">
      <c r="A756" s="23"/>
      <c r="B756" s="24"/>
      <c r="C756" s="29"/>
      <c r="D756" s="29"/>
      <c r="E756" s="29"/>
      <c r="F756" s="29"/>
      <c r="G756" s="29"/>
      <c r="H756" s="12"/>
      <c r="I756" s="12"/>
      <c r="J756" s="12"/>
      <c r="K756" s="39"/>
      <c r="L756" s="12"/>
      <c r="M756" s="40"/>
      <c r="N756" s="29"/>
      <c r="O756" s="12"/>
      <c r="P756" s="39"/>
      <c r="Q756" s="12"/>
      <c r="R756" s="39"/>
      <c r="S756" s="39"/>
      <c r="T756" s="39"/>
      <c r="U756" s="39"/>
      <c r="V756" s="39"/>
      <c r="W756" s="39"/>
      <c r="X756" s="39"/>
      <c r="Y756" s="39"/>
      <c r="Z756" s="39"/>
      <c r="AA756" s="39"/>
      <c r="AB756" s="39"/>
      <c r="AC756" s="39"/>
    </row>
    <row r="757">
      <c r="A757" s="23"/>
      <c r="B757" s="24"/>
      <c r="C757" s="29"/>
      <c r="D757" s="29"/>
      <c r="E757" s="29"/>
      <c r="F757" s="29"/>
      <c r="G757" s="29"/>
      <c r="H757" s="12"/>
      <c r="I757" s="12"/>
      <c r="J757" s="12"/>
      <c r="K757" s="39"/>
      <c r="L757" s="12"/>
      <c r="M757" s="40"/>
      <c r="N757" s="29"/>
      <c r="O757" s="12"/>
      <c r="P757" s="39"/>
      <c r="Q757" s="12"/>
      <c r="R757" s="39"/>
      <c r="S757" s="39"/>
      <c r="T757" s="39"/>
      <c r="U757" s="39"/>
      <c r="V757" s="39"/>
      <c r="W757" s="39"/>
      <c r="X757" s="39"/>
      <c r="Y757" s="39"/>
      <c r="Z757" s="39"/>
      <c r="AA757" s="39"/>
      <c r="AB757" s="39"/>
      <c r="AC757" s="39"/>
    </row>
    <row r="758">
      <c r="A758" s="23"/>
      <c r="B758" s="24"/>
      <c r="C758" s="29"/>
      <c r="D758" s="29"/>
      <c r="E758" s="29"/>
      <c r="F758" s="29"/>
      <c r="G758" s="29"/>
      <c r="H758" s="12"/>
      <c r="I758" s="12"/>
      <c r="J758" s="12"/>
      <c r="K758" s="39"/>
      <c r="L758" s="12"/>
      <c r="M758" s="40"/>
      <c r="N758" s="29"/>
      <c r="O758" s="12"/>
      <c r="P758" s="39"/>
      <c r="Q758" s="12"/>
      <c r="R758" s="39"/>
      <c r="S758" s="39"/>
      <c r="T758" s="39"/>
      <c r="U758" s="39"/>
      <c r="V758" s="39"/>
      <c r="W758" s="39"/>
      <c r="X758" s="39"/>
      <c r="Y758" s="39"/>
      <c r="Z758" s="39"/>
      <c r="AA758" s="39"/>
      <c r="AB758" s="39"/>
      <c r="AC758" s="39"/>
    </row>
    <row r="759">
      <c r="A759" s="23"/>
      <c r="B759" s="24"/>
      <c r="C759" s="29"/>
      <c r="D759" s="29"/>
      <c r="E759" s="29"/>
      <c r="F759" s="29"/>
      <c r="G759" s="29"/>
      <c r="H759" s="12"/>
      <c r="I759" s="12"/>
      <c r="J759" s="12"/>
      <c r="K759" s="39"/>
      <c r="L759" s="12"/>
      <c r="M759" s="40"/>
      <c r="N759" s="29"/>
      <c r="O759" s="12"/>
      <c r="P759" s="39"/>
      <c r="Q759" s="12"/>
      <c r="R759" s="39"/>
      <c r="S759" s="39"/>
      <c r="T759" s="39"/>
      <c r="U759" s="39"/>
      <c r="V759" s="39"/>
      <c r="W759" s="39"/>
      <c r="X759" s="39"/>
      <c r="Y759" s="39"/>
      <c r="Z759" s="39"/>
      <c r="AA759" s="39"/>
      <c r="AB759" s="39"/>
      <c r="AC759" s="39"/>
    </row>
    <row r="760">
      <c r="A760" s="23"/>
      <c r="B760" s="24"/>
      <c r="C760" s="29"/>
      <c r="D760" s="29"/>
      <c r="E760" s="29"/>
      <c r="F760" s="29"/>
      <c r="G760" s="29"/>
      <c r="H760" s="12"/>
      <c r="I760" s="12"/>
      <c r="J760" s="12"/>
      <c r="K760" s="39"/>
      <c r="L760" s="12"/>
      <c r="M760" s="40"/>
      <c r="N760" s="29"/>
      <c r="O760" s="12"/>
      <c r="P760" s="39"/>
      <c r="Q760" s="12"/>
      <c r="R760" s="39"/>
      <c r="S760" s="39"/>
      <c r="T760" s="39"/>
      <c r="U760" s="39"/>
      <c r="V760" s="39"/>
      <c r="W760" s="39"/>
      <c r="X760" s="39"/>
      <c r="Y760" s="39"/>
      <c r="Z760" s="39"/>
      <c r="AA760" s="39"/>
      <c r="AB760" s="39"/>
      <c r="AC760" s="39"/>
    </row>
    <row r="761">
      <c r="A761" s="23"/>
      <c r="B761" s="24"/>
      <c r="C761" s="29"/>
      <c r="D761" s="29"/>
      <c r="E761" s="29"/>
      <c r="F761" s="29"/>
      <c r="G761" s="29"/>
      <c r="H761" s="12"/>
      <c r="I761" s="12"/>
      <c r="J761" s="12"/>
      <c r="K761" s="39"/>
      <c r="L761" s="12"/>
      <c r="M761" s="40"/>
      <c r="N761" s="29"/>
      <c r="O761" s="12"/>
      <c r="P761" s="39"/>
      <c r="Q761" s="12"/>
      <c r="R761" s="39"/>
      <c r="S761" s="39"/>
      <c r="T761" s="39"/>
      <c r="U761" s="39"/>
      <c r="V761" s="39"/>
      <c r="W761" s="39"/>
      <c r="X761" s="39"/>
      <c r="Y761" s="39"/>
      <c r="Z761" s="39"/>
      <c r="AA761" s="39"/>
      <c r="AB761" s="39"/>
      <c r="AC761" s="39"/>
    </row>
    <row r="762">
      <c r="A762" s="23"/>
      <c r="B762" s="24"/>
      <c r="C762" s="29"/>
      <c r="D762" s="29"/>
      <c r="E762" s="29"/>
      <c r="F762" s="29"/>
      <c r="G762" s="29"/>
      <c r="H762" s="12"/>
      <c r="I762" s="12"/>
      <c r="J762" s="12"/>
      <c r="K762" s="39"/>
      <c r="L762" s="12"/>
      <c r="M762" s="40"/>
      <c r="N762" s="29"/>
      <c r="O762" s="12"/>
      <c r="P762" s="39"/>
      <c r="Q762" s="12"/>
      <c r="R762" s="39"/>
      <c r="S762" s="39"/>
      <c r="T762" s="39"/>
      <c r="U762" s="39"/>
      <c r="V762" s="39"/>
      <c r="W762" s="39"/>
      <c r="X762" s="39"/>
      <c r="Y762" s="39"/>
      <c r="Z762" s="39"/>
      <c r="AA762" s="39"/>
      <c r="AB762" s="39"/>
      <c r="AC762" s="39"/>
    </row>
    <row r="763">
      <c r="A763" s="23"/>
      <c r="B763" s="24"/>
      <c r="C763" s="29"/>
      <c r="D763" s="29"/>
      <c r="E763" s="29"/>
      <c r="F763" s="29"/>
      <c r="G763" s="29"/>
      <c r="H763" s="12"/>
      <c r="I763" s="12"/>
      <c r="J763" s="12"/>
      <c r="K763" s="39"/>
      <c r="L763" s="12"/>
      <c r="M763" s="40"/>
      <c r="N763" s="29"/>
      <c r="O763" s="12"/>
      <c r="P763" s="39"/>
      <c r="Q763" s="12"/>
      <c r="R763" s="39"/>
      <c r="S763" s="39"/>
      <c r="T763" s="39"/>
      <c r="U763" s="39"/>
      <c r="V763" s="39"/>
      <c r="W763" s="39"/>
      <c r="X763" s="39"/>
      <c r="Y763" s="39"/>
      <c r="Z763" s="39"/>
      <c r="AA763" s="39"/>
      <c r="AB763" s="39"/>
      <c r="AC763" s="39"/>
    </row>
    <row r="764">
      <c r="A764" s="23"/>
      <c r="B764" s="24"/>
      <c r="C764" s="29"/>
      <c r="D764" s="29"/>
      <c r="E764" s="29"/>
      <c r="F764" s="29"/>
      <c r="G764" s="29"/>
      <c r="H764" s="12"/>
      <c r="I764" s="12"/>
      <c r="J764" s="12"/>
      <c r="K764" s="39"/>
      <c r="L764" s="12"/>
      <c r="M764" s="40"/>
      <c r="N764" s="29"/>
      <c r="O764" s="12"/>
      <c r="P764" s="39"/>
      <c r="Q764" s="12"/>
      <c r="R764" s="39"/>
      <c r="S764" s="39"/>
      <c r="T764" s="39"/>
      <c r="U764" s="39"/>
      <c r="V764" s="39"/>
      <c r="W764" s="39"/>
      <c r="X764" s="39"/>
      <c r="Y764" s="39"/>
      <c r="Z764" s="39"/>
      <c r="AA764" s="39"/>
      <c r="AB764" s="39"/>
      <c r="AC764" s="39"/>
    </row>
    <row r="765">
      <c r="A765" s="23"/>
      <c r="B765" s="24"/>
      <c r="C765" s="29"/>
      <c r="D765" s="29"/>
      <c r="E765" s="29"/>
      <c r="F765" s="29"/>
      <c r="G765" s="29"/>
      <c r="H765" s="12"/>
      <c r="I765" s="12"/>
      <c r="J765" s="12"/>
      <c r="K765" s="39"/>
      <c r="L765" s="12"/>
      <c r="M765" s="40"/>
      <c r="N765" s="29"/>
      <c r="O765" s="12"/>
      <c r="P765" s="39"/>
      <c r="Q765" s="12"/>
      <c r="R765" s="39"/>
      <c r="S765" s="39"/>
      <c r="T765" s="39"/>
      <c r="U765" s="39"/>
      <c r="V765" s="39"/>
      <c r="W765" s="39"/>
      <c r="X765" s="39"/>
      <c r="Y765" s="39"/>
      <c r="Z765" s="39"/>
      <c r="AA765" s="39"/>
      <c r="AB765" s="39"/>
      <c r="AC765" s="39"/>
    </row>
    <row r="766">
      <c r="A766" s="23"/>
      <c r="B766" s="24"/>
      <c r="C766" s="29"/>
      <c r="D766" s="29"/>
      <c r="E766" s="29"/>
      <c r="F766" s="29"/>
      <c r="G766" s="29"/>
      <c r="H766" s="12"/>
      <c r="I766" s="12"/>
      <c r="J766" s="12"/>
      <c r="K766" s="39"/>
      <c r="L766" s="12"/>
      <c r="M766" s="40"/>
      <c r="N766" s="29"/>
      <c r="O766" s="12"/>
      <c r="P766" s="39"/>
      <c r="Q766" s="12"/>
      <c r="R766" s="39"/>
      <c r="S766" s="39"/>
      <c r="T766" s="39"/>
      <c r="U766" s="39"/>
      <c r="V766" s="39"/>
      <c r="W766" s="39"/>
      <c r="X766" s="39"/>
      <c r="Y766" s="39"/>
      <c r="Z766" s="39"/>
      <c r="AA766" s="39"/>
      <c r="AB766" s="39"/>
      <c r="AC766" s="39"/>
    </row>
    <row r="767">
      <c r="A767" s="23"/>
      <c r="B767" s="24"/>
      <c r="C767" s="29"/>
      <c r="D767" s="29"/>
      <c r="E767" s="29"/>
      <c r="F767" s="29"/>
      <c r="G767" s="29"/>
      <c r="H767" s="12"/>
      <c r="I767" s="12"/>
      <c r="J767" s="12"/>
      <c r="K767" s="39"/>
      <c r="L767" s="12"/>
      <c r="M767" s="40"/>
      <c r="N767" s="29"/>
      <c r="O767" s="12"/>
      <c r="P767" s="39"/>
      <c r="Q767" s="12"/>
      <c r="R767" s="39"/>
      <c r="S767" s="39"/>
      <c r="T767" s="39"/>
      <c r="U767" s="39"/>
      <c r="V767" s="39"/>
      <c r="W767" s="39"/>
      <c r="X767" s="39"/>
      <c r="Y767" s="39"/>
      <c r="Z767" s="39"/>
      <c r="AA767" s="39"/>
      <c r="AB767" s="39"/>
      <c r="AC767" s="39"/>
    </row>
    <row r="768">
      <c r="A768" s="23"/>
      <c r="B768" s="24"/>
      <c r="C768" s="29"/>
      <c r="D768" s="29"/>
      <c r="E768" s="29"/>
      <c r="F768" s="29"/>
      <c r="G768" s="29"/>
      <c r="H768" s="12"/>
      <c r="I768" s="12"/>
      <c r="J768" s="12"/>
      <c r="K768" s="39"/>
      <c r="L768" s="12"/>
      <c r="M768" s="40"/>
      <c r="N768" s="29"/>
      <c r="O768" s="12"/>
      <c r="P768" s="39"/>
      <c r="Q768" s="12"/>
      <c r="R768" s="39"/>
      <c r="S768" s="39"/>
      <c r="T768" s="39"/>
      <c r="U768" s="39"/>
      <c r="V768" s="39"/>
      <c r="W768" s="39"/>
      <c r="X768" s="39"/>
      <c r="Y768" s="39"/>
      <c r="Z768" s="39"/>
      <c r="AA768" s="39"/>
      <c r="AB768" s="39"/>
      <c r="AC768" s="39"/>
    </row>
    <row r="769">
      <c r="A769" s="23"/>
      <c r="B769" s="24"/>
      <c r="C769" s="29"/>
      <c r="D769" s="29"/>
      <c r="E769" s="29"/>
      <c r="F769" s="29"/>
      <c r="G769" s="29"/>
      <c r="H769" s="12"/>
      <c r="I769" s="12"/>
      <c r="J769" s="12"/>
      <c r="K769" s="39"/>
      <c r="L769" s="12"/>
      <c r="M769" s="40"/>
      <c r="N769" s="29"/>
      <c r="O769" s="12"/>
      <c r="P769" s="39"/>
      <c r="Q769" s="12"/>
      <c r="R769" s="39"/>
      <c r="S769" s="39"/>
      <c r="T769" s="39"/>
      <c r="U769" s="39"/>
      <c r="V769" s="39"/>
      <c r="W769" s="39"/>
      <c r="X769" s="39"/>
      <c r="Y769" s="39"/>
      <c r="Z769" s="39"/>
      <c r="AA769" s="39"/>
      <c r="AB769" s="39"/>
      <c r="AC769" s="39"/>
    </row>
    <row r="770">
      <c r="A770" s="23"/>
      <c r="B770" s="24"/>
      <c r="C770" s="29"/>
      <c r="D770" s="29"/>
      <c r="E770" s="29"/>
      <c r="F770" s="29"/>
      <c r="G770" s="29"/>
      <c r="H770" s="12"/>
      <c r="I770" s="12"/>
      <c r="J770" s="12"/>
      <c r="K770" s="39"/>
      <c r="L770" s="12"/>
      <c r="M770" s="40"/>
      <c r="N770" s="29"/>
      <c r="O770" s="12"/>
      <c r="P770" s="39"/>
      <c r="Q770" s="12"/>
      <c r="R770" s="39"/>
      <c r="S770" s="39"/>
      <c r="T770" s="39"/>
      <c r="U770" s="39"/>
      <c r="V770" s="39"/>
      <c r="W770" s="39"/>
      <c r="X770" s="39"/>
      <c r="Y770" s="39"/>
      <c r="Z770" s="39"/>
      <c r="AA770" s="39"/>
      <c r="AB770" s="39"/>
      <c r="AC770" s="39"/>
    </row>
    <row r="771">
      <c r="A771" s="23"/>
      <c r="B771" s="24"/>
      <c r="C771" s="29"/>
      <c r="D771" s="29"/>
      <c r="E771" s="29"/>
      <c r="F771" s="29"/>
      <c r="G771" s="29"/>
      <c r="H771" s="12"/>
      <c r="I771" s="12"/>
      <c r="J771" s="12"/>
      <c r="K771" s="39"/>
      <c r="L771" s="12"/>
      <c r="M771" s="40"/>
      <c r="N771" s="29"/>
      <c r="O771" s="12"/>
      <c r="P771" s="39"/>
      <c r="Q771" s="12"/>
      <c r="R771" s="39"/>
      <c r="S771" s="39"/>
      <c r="T771" s="39"/>
      <c r="U771" s="39"/>
      <c r="V771" s="39"/>
      <c r="W771" s="39"/>
      <c r="X771" s="39"/>
      <c r="Y771" s="39"/>
      <c r="Z771" s="39"/>
      <c r="AA771" s="39"/>
      <c r="AB771" s="39"/>
      <c r="AC771" s="39"/>
    </row>
    <row r="772">
      <c r="A772" s="23"/>
      <c r="B772" s="24"/>
      <c r="C772" s="29"/>
      <c r="D772" s="29"/>
      <c r="E772" s="29"/>
      <c r="F772" s="29"/>
      <c r="G772" s="29"/>
      <c r="H772" s="12"/>
      <c r="I772" s="12"/>
      <c r="J772" s="12"/>
      <c r="K772" s="39"/>
      <c r="L772" s="12"/>
      <c r="M772" s="40"/>
      <c r="N772" s="29"/>
      <c r="O772" s="12"/>
      <c r="P772" s="39"/>
      <c r="Q772" s="12"/>
      <c r="R772" s="39"/>
      <c r="S772" s="39"/>
      <c r="T772" s="39"/>
      <c r="U772" s="39"/>
      <c r="V772" s="39"/>
      <c r="W772" s="39"/>
      <c r="X772" s="39"/>
      <c r="Y772" s="39"/>
      <c r="Z772" s="39"/>
      <c r="AA772" s="39"/>
      <c r="AB772" s="39"/>
      <c r="AC772" s="39"/>
    </row>
    <row r="773">
      <c r="A773" s="23"/>
      <c r="B773" s="24"/>
      <c r="C773" s="29"/>
      <c r="D773" s="29"/>
      <c r="E773" s="29"/>
      <c r="F773" s="29"/>
      <c r="G773" s="29"/>
      <c r="H773" s="12"/>
      <c r="I773" s="12"/>
      <c r="J773" s="12"/>
      <c r="K773" s="39"/>
      <c r="L773" s="12"/>
      <c r="M773" s="40"/>
      <c r="N773" s="29"/>
      <c r="O773" s="12"/>
      <c r="P773" s="39"/>
      <c r="Q773" s="12"/>
      <c r="R773" s="39"/>
      <c r="S773" s="39"/>
      <c r="T773" s="39"/>
      <c r="U773" s="39"/>
      <c r="V773" s="39"/>
      <c r="W773" s="39"/>
      <c r="X773" s="39"/>
      <c r="Y773" s="39"/>
      <c r="Z773" s="39"/>
      <c r="AA773" s="39"/>
      <c r="AB773" s="39"/>
      <c r="AC773" s="39"/>
    </row>
    <row r="774">
      <c r="A774" s="23"/>
      <c r="B774" s="24"/>
      <c r="C774" s="29"/>
      <c r="D774" s="29"/>
      <c r="E774" s="29"/>
      <c r="F774" s="29"/>
      <c r="G774" s="29"/>
      <c r="H774" s="12"/>
      <c r="I774" s="12"/>
      <c r="J774" s="12"/>
      <c r="K774" s="39"/>
      <c r="L774" s="12"/>
      <c r="M774" s="40"/>
      <c r="N774" s="29"/>
      <c r="O774" s="12"/>
      <c r="P774" s="39"/>
      <c r="Q774" s="12"/>
      <c r="R774" s="39"/>
      <c r="S774" s="39"/>
      <c r="T774" s="39"/>
      <c r="U774" s="39"/>
      <c r="V774" s="39"/>
      <c r="W774" s="39"/>
      <c r="X774" s="39"/>
      <c r="Y774" s="39"/>
      <c r="Z774" s="39"/>
      <c r="AA774" s="39"/>
      <c r="AB774" s="39"/>
      <c r="AC774" s="39"/>
    </row>
    <row r="775">
      <c r="A775" s="23"/>
      <c r="B775" s="24"/>
      <c r="C775" s="29"/>
      <c r="D775" s="29"/>
      <c r="E775" s="29"/>
      <c r="F775" s="29"/>
      <c r="G775" s="29"/>
      <c r="H775" s="12"/>
      <c r="I775" s="12"/>
      <c r="J775" s="12"/>
      <c r="K775" s="39"/>
      <c r="L775" s="12"/>
      <c r="M775" s="40"/>
      <c r="N775" s="29"/>
      <c r="O775" s="12"/>
      <c r="P775" s="39"/>
      <c r="Q775" s="12"/>
      <c r="R775" s="39"/>
      <c r="S775" s="39"/>
      <c r="T775" s="39"/>
      <c r="U775" s="39"/>
      <c r="V775" s="39"/>
      <c r="W775" s="39"/>
      <c r="X775" s="39"/>
      <c r="Y775" s="39"/>
      <c r="Z775" s="39"/>
      <c r="AA775" s="39"/>
      <c r="AB775" s="39"/>
      <c r="AC775" s="39"/>
    </row>
    <row r="776">
      <c r="A776" s="23"/>
      <c r="B776" s="24"/>
      <c r="C776" s="29"/>
      <c r="D776" s="29"/>
      <c r="E776" s="29"/>
      <c r="F776" s="29"/>
      <c r="G776" s="29"/>
      <c r="H776" s="12"/>
      <c r="I776" s="12"/>
      <c r="J776" s="12"/>
      <c r="K776" s="39"/>
      <c r="L776" s="12"/>
      <c r="M776" s="40"/>
      <c r="N776" s="29"/>
      <c r="O776" s="12"/>
      <c r="P776" s="39"/>
      <c r="Q776" s="12"/>
      <c r="R776" s="39"/>
      <c r="S776" s="39"/>
      <c r="T776" s="39"/>
      <c r="U776" s="39"/>
      <c r="V776" s="39"/>
      <c r="W776" s="39"/>
      <c r="X776" s="39"/>
      <c r="Y776" s="39"/>
      <c r="Z776" s="39"/>
      <c r="AA776" s="39"/>
      <c r="AB776" s="39"/>
      <c r="AC776" s="39"/>
    </row>
    <row r="777">
      <c r="A777" s="23"/>
      <c r="B777" s="24"/>
      <c r="C777" s="29"/>
      <c r="D777" s="29"/>
      <c r="E777" s="29"/>
      <c r="F777" s="29"/>
      <c r="G777" s="29"/>
      <c r="H777" s="12"/>
      <c r="I777" s="12"/>
      <c r="J777" s="12"/>
      <c r="K777" s="39"/>
      <c r="L777" s="12"/>
      <c r="M777" s="40"/>
      <c r="N777" s="29"/>
      <c r="O777" s="12"/>
      <c r="P777" s="39"/>
      <c r="Q777" s="12"/>
      <c r="R777" s="39"/>
      <c r="S777" s="39"/>
      <c r="T777" s="39"/>
      <c r="U777" s="39"/>
      <c r="V777" s="39"/>
      <c r="W777" s="39"/>
      <c r="X777" s="39"/>
      <c r="Y777" s="39"/>
      <c r="Z777" s="39"/>
      <c r="AA777" s="39"/>
      <c r="AB777" s="39"/>
      <c r="AC777" s="39"/>
    </row>
    <row r="778">
      <c r="A778" s="23"/>
      <c r="B778" s="24"/>
      <c r="C778" s="29"/>
      <c r="D778" s="29"/>
      <c r="E778" s="29"/>
      <c r="F778" s="29"/>
      <c r="G778" s="29"/>
      <c r="H778" s="12"/>
      <c r="I778" s="12"/>
      <c r="J778" s="12"/>
      <c r="K778" s="39"/>
      <c r="L778" s="12"/>
      <c r="M778" s="40"/>
      <c r="N778" s="29"/>
      <c r="O778" s="12"/>
      <c r="P778" s="39"/>
      <c r="Q778" s="12"/>
      <c r="R778" s="39"/>
      <c r="S778" s="39"/>
      <c r="T778" s="39"/>
      <c r="U778" s="39"/>
      <c r="V778" s="39"/>
      <c r="W778" s="39"/>
      <c r="X778" s="39"/>
      <c r="Y778" s="39"/>
      <c r="Z778" s="39"/>
      <c r="AA778" s="39"/>
      <c r="AB778" s="39"/>
      <c r="AC778" s="39"/>
    </row>
    <row r="779">
      <c r="A779" s="23"/>
      <c r="B779" s="24"/>
      <c r="C779" s="29"/>
      <c r="D779" s="29"/>
      <c r="E779" s="29"/>
      <c r="F779" s="29"/>
      <c r="G779" s="29"/>
      <c r="H779" s="12"/>
      <c r="I779" s="12"/>
      <c r="J779" s="12"/>
      <c r="K779" s="39"/>
      <c r="L779" s="12"/>
      <c r="M779" s="40"/>
      <c r="N779" s="29"/>
      <c r="O779" s="12"/>
      <c r="P779" s="39"/>
      <c r="Q779" s="12"/>
      <c r="R779" s="39"/>
      <c r="S779" s="39"/>
      <c r="T779" s="39"/>
      <c r="U779" s="39"/>
      <c r="V779" s="39"/>
      <c r="W779" s="39"/>
      <c r="X779" s="39"/>
      <c r="Y779" s="39"/>
      <c r="Z779" s="39"/>
      <c r="AA779" s="39"/>
      <c r="AB779" s="39"/>
      <c r="AC779" s="39"/>
    </row>
    <row r="780">
      <c r="A780" s="23"/>
      <c r="B780" s="24"/>
      <c r="C780" s="29"/>
      <c r="D780" s="29"/>
      <c r="E780" s="29"/>
      <c r="F780" s="29"/>
      <c r="G780" s="29"/>
      <c r="H780" s="12"/>
      <c r="I780" s="12"/>
      <c r="J780" s="12"/>
      <c r="K780" s="39"/>
      <c r="L780" s="12"/>
      <c r="M780" s="40"/>
      <c r="N780" s="29"/>
      <c r="O780" s="12"/>
      <c r="P780" s="39"/>
      <c r="Q780" s="12"/>
      <c r="R780" s="39"/>
      <c r="S780" s="39"/>
      <c r="T780" s="39"/>
      <c r="U780" s="39"/>
      <c r="V780" s="39"/>
      <c r="W780" s="39"/>
      <c r="X780" s="39"/>
      <c r="Y780" s="39"/>
      <c r="Z780" s="39"/>
      <c r="AA780" s="39"/>
      <c r="AB780" s="39"/>
      <c r="AC780" s="39"/>
    </row>
    <row r="781">
      <c r="A781" s="23"/>
      <c r="B781" s="24"/>
      <c r="C781" s="29"/>
      <c r="D781" s="29"/>
      <c r="E781" s="29"/>
      <c r="F781" s="29"/>
      <c r="G781" s="29"/>
      <c r="H781" s="12"/>
      <c r="I781" s="12"/>
      <c r="J781" s="12"/>
      <c r="K781" s="39"/>
      <c r="L781" s="12"/>
      <c r="M781" s="40"/>
      <c r="N781" s="29"/>
      <c r="O781" s="12"/>
      <c r="P781" s="39"/>
      <c r="Q781" s="12"/>
      <c r="R781" s="39"/>
      <c r="S781" s="39"/>
      <c r="T781" s="39"/>
      <c r="U781" s="39"/>
      <c r="V781" s="39"/>
      <c r="W781" s="39"/>
      <c r="X781" s="39"/>
      <c r="Y781" s="39"/>
      <c r="Z781" s="39"/>
      <c r="AA781" s="39"/>
      <c r="AB781" s="39"/>
      <c r="AC781" s="39"/>
    </row>
    <row r="782">
      <c r="A782" s="23"/>
      <c r="B782" s="24"/>
      <c r="C782" s="29"/>
      <c r="D782" s="29"/>
      <c r="E782" s="29"/>
      <c r="F782" s="29"/>
      <c r="G782" s="29"/>
      <c r="H782" s="12"/>
      <c r="I782" s="12"/>
      <c r="J782" s="12"/>
      <c r="K782" s="39"/>
      <c r="L782" s="12"/>
      <c r="M782" s="40"/>
      <c r="N782" s="29"/>
      <c r="O782" s="12"/>
      <c r="P782" s="39"/>
      <c r="Q782" s="12"/>
      <c r="R782" s="39"/>
      <c r="S782" s="39"/>
      <c r="T782" s="39"/>
      <c r="U782" s="39"/>
      <c r="V782" s="39"/>
      <c r="W782" s="39"/>
      <c r="X782" s="39"/>
      <c r="Y782" s="39"/>
      <c r="Z782" s="39"/>
      <c r="AA782" s="39"/>
      <c r="AB782" s="39"/>
      <c r="AC782" s="39"/>
    </row>
    <row r="783">
      <c r="A783" s="23"/>
      <c r="B783" s="24"/>
      <c r="C783" s="29"/>
      <c r="D783" s="29"/>
      <c r="E783" s="29"/>
      <c r="F783" s="29"/>
      <c r="G783" s="29"/>
      <c r="H783" s="12"/>
      <c r="I783" s="12"/>
      <c r="J783" s="12"/>
      <c r="K783" s="39"/>
      <c r="L783" s="12"/>
      <c r="M783" s="40"/>
      <c r="N783" s="29"/>
      <c r="O783" s="12"/>
      <c r="P783" s="39"/>
      <c r="Q783" s="12"/>
      <c r="R783" s="39"/>
      <c r="S783" s="39"/>
      <c r="T783" s="39"/>
      <c r="U783" s="39"/>
      <c r="V783" s="39"/>
      <c r="W783" s="39"/>
      <c r="X783" s="39"/>
      <c r="Y783" s="39"/>
      <c r="Z783" s="39"/>
      <c r="AA783" s="39"/>
      <c r="AB783" s="39"/>
      <c r="AC783" s="39"/>
    </row>
    <row r="784">
      <c r="A784" s="23"/>
      <c r="B784" s="24"/>
      <c r="C784" s="29"/>
      <c r="D784" s="29"/>
      <c r="E784" s="29"/>
      <c r="F784" s="29"/>
      <c r="G784" s="29"/>
      <c r="H784" s="12"/>
      <c r="I784" s="12"/>
      <c r="J784" s="12"/>
      <c r="K784" s="39"/>
      <c r="L784" s="12"/>
      <c r="M784" s="40"/>
      <c r="N784" s="29"/>
      <c r="O784" s="12"/>
      <c r="P784" s="39"/>
      <c r="Q784" s="12"/>
      <c r="R784" s="39"/>
      <c r="S784" s="39"/>
      <c r="T784" s="39"/>
      <c r="U784" s="39"/>
      <c r="V784" s="39"/>
      <c r="W784" s="39"/>
      <c r="X784" s="39"/>
      <c r="Y784" s="39"/>
      <c r="Z784" s="39"/>
      <c r="AA784" s="39"/>
      <c r="AB784" s="39"/>
      <c r="AC784" s="39"/>
    </row>
    <row r="785">
      <c r="A785" s="23"/>
      <c r="B785" s="24"/>
      <c r="C785" s="29"/>
      <c r="D785" s="29"/>
      <c r="E785" s="29"/>
      <c r="F785" s="29"/>
      <c r="G785" s="29"/>
      <c r="H785" s="12"/>
      <c r="I785" s="12"/>
      <c r="J785" s="12"/>
      <c r="K785" s="39"/>
      <c r="L785" s="12"/>
      <c r="M785" s="40"/>
      <c r="N785" s="29"/>
      <c r="O785" s="12"/>
      <c r="P785" s="39"/>
      <c r="Q785" s="12"/>
      <c r="R785" s="39"/>
      <c r="S785" s="39"/>
      <c r="T785" s="39"/>
      <c r="U785" s="39"/>
      <c r="V785" s="39"/>
      <c r="W785" s="39"/>
      <c r="X785" s="39"/>
      <c r="Y785" s="39"/>
      <c r="Z785" s="39"/>
      <c r="AA785" s="39"/>
      <c r="AB785" s="39"/>
      <c r="AC785" s="39"/>
    </row>
    <row r="786">
      <c r="A786" s="23"/>
      <c r="B786" s="24"/>
      <c r="C786" s="29"/>
      <c r="D786" s="29"/>
      <c r="E786" s="29"/>
      <c r="F786" s="29"/>
      <c r="G786" s="29"/>
      <c r="H786" s="12"/>
      <c r="I786" s="12"/>
      <c r="J786" s="12"/>
      <c r="K786" s="39"/>
      <c r="L786" s="12"/>
      <c r="M786" s="40"/>
      <c r="N786" s="29"/>
      <c r="O786" s="12"/>
      <c r="P786" s="39"/>
      <c r="Q786" s="12"/>
      <c r="R786" s="39"/>
      <c r="S786" s="39"/>
      <c r="T786" s="39"/>
      <c r="U786" s="39"/>
      <c r="V786" s="39"/>
      <c r="W786" s="39"/>
      <c r="X786" s="39"/>
      <c r="Y786" s="39"/>
      <c r="Z786" s="39"/>
      <c r="AA786" s="39"/>
      <c r="AB786" s="39"/>
      <c r="AC786" s="39"/>
    </row>
    <row r="787">
      <c r="A787" s="23"/>
      <c r="B787" s="24"/>
      <c r="C787" s="29"/>
      <c r="D787" s="29"/>
      <c r="E787" s="29"/>
      <c r="F787" s="29"/>
      <c r="G787" s="29"/>
      <c r="H787" s="12"/>
      <c r="I787" s="12"/>
      <c r="J787" s="12"/>
      <c r="K787" s="39"/>
      <c r="L787" s="12"/>
      <c r="M787" s="40"/>
      <c r="N787" s="29"/>
      <c r="O787" s="12"/>
      <c r="P787" s="39"/>
      <c r="Q787" s="12"/>
      <c r="R787" s="39"/>
      <c r="S787" s="39"/>
      <c r="T787" s="39"/>
      <c r="U787" s="39"/>
      <c r="V787" s="39"/>
      <c r="W787" s="39"/>
      <c r="X787" s="39"/>
      <c r="Y787" s="39"/>
      <c r="Z787" s="39"/>
      <c r="AA787" s="39"/>
      <c r="AB787" s="39"/>
      <c r="AC787" s="39"/>
    </row>
    <row r="788">
      <c r="A788" s="23"/>
      <c r="B788" s="24"/>
      <c r="C788" s="29"/>
      <c r="D788" s="29"/>
      <c r="E788" s="29"/>
      <c r="F788" s="29"/>
      <c r="G788" s="29"/>
      <c r="H788" s="12"/>
      <c r="I788" s="12"/>
      <c r="J788" s="12"/>
      <c r="K788" s="39"/>
      <c r="L788" s="12"/>
      <c r="M788" s="40"/>
      <c r="N788" s="29"/>
      <c r="O788" s="12"/>
      <c r="P788" s="39"/>
      <c r="Q788" s="12"/>
      <c r="R788" s="39"/>
      <c r="S788" s="39"/>
      <c r="T788" s="39"/>
      <c r="U788" s="39"/>
      <c r="V788" s="39"/>
      <c r="W788" s="39"/>
      <c r="X788" s="39"/>
      <c r="Y788" s="39"/>
      <c r="Z788" s="39"/>
      <c r="AA788" s="39"/>
      <c r="AB788" s="39"/>
      <c r="AC788" s="39"/>
    </row>
    <row r="789">
      <c r="A789" s="23"/>
      <c r="B789" s="24"/>
      <c r="C789" s="29"/>
      <c r="D789" s="29"/>
      <c r="E789" s="29"/>
      <c r="F789" s="29"/>
      <c r="G789" s="29"/>
      <c r="H789" s="12"/>
      <c r="I789" s="12"/>
      <c r="J789" s="12"/>
      <c r="K789" s="39"/>
      <c r="L789" s="12"/>
      <c r="M789" s="40"/>
      <c r="N789" s="29"/>
      <c r="O789" s="12"/>
      <c r="P789" s="39"/>
      <c r="Q789" s="12"/>
      <c r="R789" s="39"/>
      <c r="S789" s="39"/>
      <c r="T789" s="39"/>
      <c r="U789" s="39"/>
      <c r="V789" s="39"/>
      <c r="W789" s="39"/>
      <c r="X789" s="39"/>
      <c r="Y789" s="39"/>
      <c r="Z789" s="39"/>
      <c r="AA789" s="39"/>
      <c r="AB789" s="39"/>
      <c r="AC789" s="39"/>
    </row>
    <row r="790">
      <c r="A790" s="23"/>
      <c r="B790" s="24"/>
      <c r="C790" s="29"/>
      <c r="D790" s="29"/>
      <c r="E790" s="29"/>
      <c r="F790" s="29"/>
      <c r="G790" s="29"/>
      <c r="H790" s="12"/>
      <c r="I790" s="12"/>
      <c r="J790" s="12"/>
      <c r="K790" s="39"/>
      <c r="L790" s="12"/>
      <c r="M790" s="40"/>
      <c r="N790" s="29"/>
      <c r="O790" s="12"/>
      <c r="P790" s="39"/>
      <c r="Q790" s="12"/>
      <c r="R790" s="39"/>
      <c r="S790" s="39"/>
      <c r="T790" s="39"/>
      <c r="U790" s="39"/>
      <c r="V790" s="39"/>
      <c r="W790" s="39"/>
      <c r="X790" s="39"/>
      <c r="Y790" s="39"/>
      <c r="Z790" s="39"/>
      <c r="AA790" s="39"/>
      <c r="AB790" s="39"/>
      <c r="AC790" s="39"/>
    </row>
    <row r="791">
      <c r="A791" s="23"/>
      <c r="B791" s="24"/>
      <c r="C791" s="29"/>
      <c r="D791" s="29"/>
      <c r="E791" s="29"/>
      <c r="F791" s="29"/>
      <c r="G791" s="29"/>
      <c r="H791" s="12"/>
      <c r="I791" s="12"/>
      <c r="J791" s="12"/>
      <c r="K791" s="39"/>
      <c r="L791" s="12"/>
      <c r="M791" s="40"/>
      <c r="N791" s="29"/>
      <c r="O791" s="12"/>
      <c r="P791" s="39"/>
      <c r="Q791" s="12"/>
      <c r="R791" s="39"/>
      <c r="S791" s="39"/>
      <c r="T791" s="39"/>
      <c r="U791" s="39"/>
      <c r="V791" s="39"/>
      <c r="W791" s="39"/>
      <c r="X791" s="39"/>
      <c r="Y791" s="39"/>
      <c r="Z791" s="39"/>
      <c r="AA791" s="39"/>
      <c r="AB791" s="39"/>
      <c r="AC791" s="39"/>
    </row>
    <row r="792">
      <c r="A792" s="23"/>
      <c r="B792" s="24"/>
      <c r="C792" s="29"/>
      <c r="D792" s="29"/>
      <c r="E792" s="29"/>
      <c r="F792" s="29"/>
      <c r="G792" s="29"/>
      <c r="H792" s="12"/>
      <c r="I792" s="12"/>
      <c r="J792" s="12"/>
      <c r="K792" s="39"/>
      <c r="L792" s="12"/>
      <c r="M792" s="40"/>
      <c r="N792" s="29"/>
      <c r="O792" s="12"/>
      <c r="P792" s="39"/>
      <c r="Q792" s="12"/>
      <c r="R792" s="39"/>
      <c r="S792" s="39"/>
      <c r="T792" s="39"/>
      <c r="U792" s="39"/>
      <c r="V792" s="39"/>
      <c r="W792" s="39"/>
      <c r="X792" s="39"/>
      <c r="Y792" s="39"/>
      <c r="Z792" s="39"/>
      <c r="AA792" s="39"/>
      <c r="AB792" s="39"/>
      <c r="AC792" s="39"/>
    </row>
    <row r="793">
      <c r="A793" s="23"/>
      <c r="B793" s="24"/>
      <c r="C793" s="29"/>
      <c r="D793" s="29"/>
      <c r="E793" s="29"/>
      <c r="F793" s="29"/>
      <c r="G793" s="29"/>
      <c r="H793" s="12"/>
      <c r="I793" s="12"/>
      <c r="J793" s="12"/>
      <c r="K793" s="39"/>
      <c r="L793" s="12"/>
      <c r="M793" s="40"/>
      <c r="N793" s="29"/>
      <c r="O793" s="12"/>
      <c r="P793" s="39"/>
      <c r="Q793" s="12"/>
      <c r="R793" s="39"/>
      <c r="S793" s="39"/>
      <c r="T793" s="39"/>
      <c r="U793" s="39"/>
      <c r="V793" s="39"/>
      <c r="W793" s="39"/>
      <c r="X793" s="39"/>
      <c r="Y793" s="39"/>
      <c r="Z793" s="39"/>
      <c r="AA793" s="39"/>
      <c r="AB793" s="39"/>
      <c r="AC793" s="39"/>
    </row>
    <row r="794">
      <c r="A794" s="23"/>
      <c r="B794" s="24"/>
      <c r="C794" s="29"/>
      <c r="D794" s="29"/>
      <c r="E794" s="29"/>
      <c r="F794" s="29"/>
      <c r="G794" s="29"/>
      <c r="H794" s="12"/>
      <c r="I794" s="12"/>
      <c r="J794" s="12"/>
      <c r="K794" s="39"/>
      <c r="L794" s="12"/>
      <c r="M794" s="40"/>
      <c r="N794" s="29"/>
      <c r="O794" s="12"/>
      <c r="P794" s="39"/>
      <c r="Q794" s="12"/>
      <c r="R794" s="39"/>
      <c r="S794" s="39"/>
      <c r="T794" s="39"/>
      <c r="U794" s="39"/>
      <c r="V794" s="39"/>
      <c r="W794" s="39"/>
      <c r="X794" s="39"/>
      <c r="Y794" s="39"/>
      <c r="Z794" s="39"/>
      <c r="AA794" s="39"/>
      <c r="AB794" s="39"/>
      <c r="AC794" s="39"/>
    </row>
    <row r="795">
      <c r="A795" s="23"/>
      <c r="B795" s="24"/>
      <c r="C795" s="29"/>
      <c r="D795" s="29"/>
      <c r="E795" s="29"/>
      <c r="F795" s="29"/>
      <c r="G795" s="29"/>
      <c r="H795" s="12"/>
      <c r="I795" s="12"/>
      <c r="J795" s="12"/>
      <c r="K795" s="39"/>
      <c r="L795" s="12"/>
      <c r="M795" s="40"/>
      <c r="N795" s="29"/>
      <c r="O795" s="12"/>
      <c r="P795" s="39"/>
      <c r="Q795" s="12"/>
      <c r="R795" s="39"/>
      <c r="S795" s="39"/>
      <c r="T795" s="39"/>
      <c r="U795" s="39"/>
      <c r="V795" s="39"/>
      <c r="W795" s="39"/>
      <c r="X795" s="39"/>
      <c r="Y795" s="39"/>
      <c r="Z795" s="39"/>
      <c r="AA795" s="39"/>
      <c r="AB795" s="39"/>
      <c r="AC795" s="39"/>
    </row>
    <row r="796">
      <c r="A796" s="23"/>
      <c r="B796" s="24"/>
      <c r="C796" s="29"/>
      <c r="D796" s="29"/>
      <c r="E796" s="29"/>
      <c r="F796" s="29"/>
      <c r="G796" s="29"/>
      <c r="H796" s="12"/>
      <c r="I796" s="12"/>
      <c r="J796" s="12"/>
      <c r="K796" s="39"/>
      <c r="L796" s="12"/>
      <c r="M796" s="40"/>
      <c r="N796" s="29"/>
      <c r="O796" s="12"/>
      <c r="P796" s="39"/>
      <c r="Q796" s="12"/>
      <c r="R796" s="39"/>
      <c r="S796" s="39"/>
      <c r="T796" s="39"/>
      <c r="U796" s="39"/>
      <c r="V796" s="39"/>
      <c r="W796" s="39"/>
      <c r="X796" s="39"/>
      <c r="Y796" s="39"/>
      <c r="Z796" s="39"/>
      <c r="AA796" s="39"/>
      <c r="AB796" s="39"/>
      <c r="AC796" s="39"/>
    </row>
    <row r="797">
      <c r="A797" s="23"/>
      <c r="B797" s="24"/>
      <c r="C797" s="29"/>
      <c r="D797" s="29"/>
      <c r="E797" s="29"/>
      <c r="F797" s="29"/>
      <c r="G797" s="29"/>
      <c r="H797" s="12"/>
      <c r="I797" s="12"/>
      <c r="J797" s="12"/>
      <c r="K797" s="39"/>
      <c r="L797" s="12"/>
      <c r="M797" s="40"/>
      <c r="N797" s="29"/>
      <c r="O797" s="12"/>
      <c r="P797" s="39"/>
      <c r="Q797" s="12"/>
      <c r="R797" s="39"/>
      <c r="S797" s="39"/>
      <c r="T797" s="39"/>
      <c r="U797" s="39"/>
      <c r="V797" s="39"/>
      <c r="W797" s="39"/>
      <c r="X797" s="39"/>
      <c r="Y797" s="39"/>
      <c r="Z797" s="39"/>
      <c r="AA797" s="39"/>
      <c r="AB797" s="39"/>
      <c r="AC797" s="39"/>
    </row>
    <row r="798">
      <c r="A798" s="23"/>
      <c r="B798" s="24"/>
      <c r="C798" s="29"/>
      <c r="D798" s="29"/>
      <c r="E798" s="29"/>
      <c r="F798" s="29"/>
      <c r="G798" s="29"/>
      <c r="H798" s="12"/>
      <c r="I798" s="12"/>
      <c r="J798" s="12"/>
      <c r="K798" s="39"/>
      <c r="L798" s="12"/>
      <c r="M798" s="40"/>
      <c r="N798" s="29"/>
      <c r="O798" s="12"/>
      <c r="P798" s="39"/>
      <c r="Q798" s="12"/>
      <c r="R798" s="39"/>
      <c r="S798" s="39"/>
      <c r="T798" s="39"/>
      <c r="U798" s="39"/>
      <c r="V798" s="39"/>
      <c r="W798" s="39"/>
      <c r="X798" s="39"/>
      <c r="Y798" s="39"/>
      <c r="Z798" s="39"/>
      <c r="AA798" s="39"/>
      <c r="AB798" s="39"/>
      <c r="AC798" s="39"/>
    </row>
    <row r="799">
      <c r="A799" s="23"/>
      <c r="B799" s="24"/>
      <c r="C799" s="29"/>
      <c r="D799" s="29"/>
      <c r="E799" s="29"/>
      <c r="F799" s="29"/>
      <c r="G799" s="29"/>
      <c r="H799" s="12"/>
      <c r="I799" s="12"/>
      <c r="J799" s="12"/>
      <c r="K799" s="39"/>
      <c r="L799" s="12"/>
      <c r="M799" s="40"/>
      <c r="N799" s="29"/>
      <c r="O799" s="12"/>
      <c r="P799" s="39"/>
      <c r="Q799" s="12"/>
      <c r="R799" s="39"/>
      <c r="S799" s="39"/>
      <c r="T799" s="39"/>
      <c r="U799" s="39"/>
      <c r="V799" s="39"/>
      <c r="W799" s="39"/>
      <c r="X799" s="39"/>
      <c r="Y799" s="39"/>
      <c r="Z799" s="39"/>
      <c r="AA799" s="39"/>
      <c r="AB799" s="39"/>
      <c r="AC799" s="39"/>
    </row>
    <row r="800">
      <c r="A800" s="23"/>
      <c r="B800" s="24"/>
      <c r="C800" s="29"/>
      <c r="D800" s="29"/>
      <c r="E800" s="29"/>
      <c r="F800" s="29"/>
      <c r="G800" s="29"/>
      <c r="H800" s="12"/>
      <c r="I800" s="12"/>
      <c r="J800" s="12"/>
      <c r="K800" s="39"/>
      <c r="L800" s="12"/>
      <c r="M800" s="40"/>
      <c r="N800" s="29"/>
      <c r="O800" s="12"/>
      <c r="P800" s="39"/>
      <c r="Q800" s="12"/>
      <c r="R800" s="39"/>
      <c r="S800" s="39"/>
      <c r="T800" s="39"/>
      <c r="U800" s="39"/>
      <c r="V800" s="39"/>
      <c r="W800" s="39"/>
      <c r="X800" s="39"/>
      <c r="Y800" s="39"/>
      <c r="Z800" s="39"/>
      <c r="AA800" s="39"/>
      <c r="AB800" s="39"/>
      <c r="AC800" s="39"/>
    </row>
    <row r="801">
      <c r="A801" s="23"/>
      <c r="B801" s="24"/>
      <c r="C801" s="29"/>
      <c r="D801" s="29"/>
      <c r="E801" s="29"/>
      <c r="F801" s="29"/>
      <c r="G801" s="29"/>
      <c r="H801" s="12"/>
      <c r="I801" s="12"/>
      <c r="J801" s="12"/>
      <c r="K801" s="39"/>
      <c r="L801" s="12"/>
      <c r="M801" s="40"/>
      <c r="N801" s="29"/>
      <c r="O801" s="12"/>
      <c r="P801" s="39"/>
      <c r="Q801" s="12"/>
      <c r="R801" s="39"/>
      <c r="S801" s="39"/>
      <c r="T801" s="39"/>
      <c r="U801" s="39"/>
      <c r="V801" s="39"/>
      <c r="W801" s="39"/>
      <c r="X801" s="39"/>
      <c r="Y801" s="39"/>
      <c r="Z801" s="39"/>
      <c r="AA801" s="39"/>
      <c r="AB801" s="39"/>
      <c r="AC801" s="39"/>
    </row>
    <row r="802">
      <c r="A802" s="23"/>
      <c r="B802" s="24"/>
      <c r="C802" s="29"/>
      <c r="D802" s="29"/>
      <c r="E802" s="29"/>
      <c r="F802" s="29"/>
      <c r="G802" s="29"/>
      <c r="H802" s="12"/>
      <c r="I802" s="12"/>
      <c r="J802" s="12"/>
      <c r="K802" s="39"/>
      <c r="L802" s="12"/>
      <c r="M802" s="40"/>
      <c r="N802" s="29"/>
      <c r="O802" s="12"/>
      <c r="P802" s="39"/>
      <c r="Q802" s="12"/>
      <c r="R802" s="39"/>
      <c r="S802" s="39"/>
      <c r="T802" s="39"/>
      <c r="U802" s="39"/>
      <c r="V802" s="39"/>
      <c r="W802" s="39"/>
      <c r="X802" s="39"/>
      <c r="Y802" s="39"/>
      <c r="Z802" s="39"/>
      <c r="AA802" s="39"/>
      <c r="AB802" s="39"/>
      <c r="AC802" s="39"/>
    </row>
    <row r="803">
      <c r="A803" s="23"/>
      <c r="B803" s="24"/>
      <c r="C803" s="29"/>
      <c r="D803" s="29"/>
      <c r="E803" s="29"/>
      <c r="F803" s="29"/>
      <c r="G803" s="29"/>
      <c r="H803" s="12"/>
      <c r="I803" s="12"/>
      <c r="J803" s="12"/>
      <c r="K803" s="39"/>
      <c r="L803" s="12"/>
      <c r="M803" s="40"/>
      <c r="N803" s="29"/>
      <c r="O803" s="12"/>
      <c r="P803" s="39"/>
      <c r="Q803" s="12"/>
      <c r="R803" s="39"/>
      <c r="S803" s="39"/>
      <c r="T803" s="39"/>
      <c r="U803" s="39"/>
      <c r="V803" s="39"/>
      <c r="W803" s="39"/>
      <c r="X803" s="39"/>
      <c r="Y803" s="39"/>
      <c r="Z803" s="39"/>
      <c r="AA803" s="39"/>
      <c r="AB803" s="39"/>
      <c r="AC803" s="39"/>
    </row>
    <row r="804">
      <c r="A804" s="23"/>
      <c r="B804" s="24"/>
      <c r="C804" s="29"/>
      <c r="D804" s="29"/>
      <c r="E804" s="29"/>
      <c r="F804" s="29"/>
      <c r="G804" s="29"/>
      <c r="H804" s="12"/>
      <c r="I804" s="12"/>
      <c r="J804" s="12"/>
      <c r="K804" s="39"/>
      <c r="L804" s="12"/>
      <c r="M804" s="40"/>
      <c r="N804" s="29"/>
      <c r="O804" s="12"/>
      <c r="P804" s="39"/>
      <c r="Q804" s="12"/>
      <c r="R804" s="39"/>
      <c r="S804" s="39"/>
      <c r="T804" s="39"/>
      <c r="U804" s="39"/>
      <c r="V804" s="39"/>
      <c r="W804" s="39"/>
      <c r="X804" s="39"/>
      <c r="Y804" s="39"/>
      <c r="Z804" s="39"/>
      <c r="AA804" s="39"/>
      <c r="AB804" s="39"/>
      <c r="AC804" s="39"/>
    </row>
    <row r="805">
      <c r="A805" s="23"/>
      <c r="B805" s="24"/>
      <c r="C805" s="29"/>
      <c r="D805" s="29"/>
      <c r="E805" s="29"/>
      <c r="F805" s="29"/>
      <c r="G805" s="29"/>
      <c r="H805" s="12"/>
      <c r="I805" s="12"/>
      <c r="J805" s="12"/>
      <c r="K805" s="39"/>
      <c r="L805" s="12"/>
      <c r="M805" s="40"/>
      <c r="N805" s="29"/>
      <c r="O805" s="12"/>
      <c r="P805" s="39"/>
      <c r="Q805" s="12"/>
      <c r="R805" s="39"/>
      <c r="S805" s="39"/>
      <c r="T805" s="39"/>
      <c r="U805" s="39"/>
      <c r="V805" s="39"/>
      <c r="W805" s="39"/>
      <c r="X805" s="39"/>
      <c r="Y805" s="39"/>
      <c r="Z805" s="39"/>
      <c r="AA805" s="39"/>
      <c r="AB805" s="39"/>
      <c r="AC805" s="39"/>
    </row>
    <row r="806">
      <c r="A806" s="23"/>
      <c r="B806" s="24"/>
      <c r="C806" s="29"/>
      <c r="D806" s="29"/>
      <c r="E806" s="29"/>
      <c r="F806" s="29"/>
      <c r="G806" s="29"/>
      <c r="H806" s="12"/>
      <c r="I806" s="12"/>
      <c r="J806" s="12"/>
      <c r="K806" s="39"/>
      <c r="L806" s="12"/>
      <c r="M806" s="40"/>
      <c r="N806" s="29"/>
      <c r="O806" s="12"/>
      <c r="P806" s="39"/>
      <c r="Q806" s="12"/>
      <c r="R806" s="39"/>
      <c r="S806" s="39"/>
      <c r="T806" s="39"/>
      <c r="U806" s="39"/>
      <c r="V806" s="39"/>
      <c r="W806" s="39"/>
      <c r="X806" s="39"/>
      <c r="Y806" s="39"/>
      <c r="Z806" s="39"/>
      <c r="AA806" s="39"/>
      <c r="AB806" s="39"/>
      <c r="AC806" s="39"/>
    </row>
    <row r="807">
      <c r="A807" s="23"/>
      <c r="B807" s="24"/>
      <c r="C807" s="29"/>
      <c r="D807" s="29"/>
      <c r="E807" s="29"/>
      <c r="F807" s="29"/>
      <c r="G807" s="29"/>
      <c r="H807" s="12"/>
      <c r="I807" s="12"/>
      <c r="J807" s="12"/>
      <c r="K807" s="39"/>
      <c r="L807" s="12"/>
      <c r="M807" s="40"/>
      <c r="N807" s="29"/>
      <c r="O807" s="12"/>
      <c r="P807" s="39"/>
      <c r="Q807" s="12"/>
      <c r="R807" s="39"/>
      <c r="S807" s="39"/>
      <c r="T807" s="39"/>
      <c r="U807" s="39"/>
      <c r="V807" s="39"/>
      <c r="W807" s="39"/>
      <c r="X807" s="39"/>
      <c r="Y807" s="39"/>
      <c r="Z807" s="39"/>
      <c r="AA807" s="39"/>
      <c r="AB807" s="39"/>
      <c r="AC807" s="39"/>
    </row>
    <row r="808">
      <c r="A808" s="23"/>
      <c r="B808" s="24"/>
      <c r="C808" s="29"/>
      <c r="D808" s="29"/>
      <c r="E808" s="29"/>
      <c r="F808" s="29"/>
      <c r="G808" s="29"/>
      <c r="H808" s="12"/>
      <c r="I808" s="12"/>
      <c r="J808" s="12"/>
      <c r="K808" s="39"/>
      <c r="L808" s="12"/>
      <c r="M808" s="40"/>
      <c r="N808" s="29"/>
      <c r="O808" s="12"/>
      <c r="P808" s="39"/>
      <c r="Q808" s="12"/>
      <c r="R808" s="39"/>
      <c r="S808" s="39"/>
      <c r="T808" s="39"/>
      <c r="U808" s="39"/>
      <c r="V808" s="39"/>
      <c r="W808" s="39"/>
      <c r="X808" s="39"/>
      <c r="Y808" s="39"/>
      <c r="Z808" s="39"/>
      <c r="AA808" s="39"/>
      <c r="AB808" s="39"/>
      <c r="AC808" s="39"/>
    </row>
    <row r="809">
      <c r="A809" s="23"/>
      <c r="B809" s="24"/>
      <c r="C809" s="29"/>
      <c r="D809" s="29"/>
      <c r="E809" s="29"/>
      <c r="F809" s="29"/>
      <c r="G809" s="29"/>
      <c r="H809" s="12"/>
      <c r="I809" s="12"/>
      <c r="J809" s="12"/>
      <c r="K809" s="39"/>
      <c r="L809" s="12"/>
      <c r="M809" s="40"/>
      <c r="N809" s="29"/>
      <c r="O809" s="12"/>
      <c r="P809" s="39"/>
      <c r="Q809" s="12"/>
      <c r="R809" s="39"/>
      <c r="S809" s="39"/>
      <c r="T809" s="39"/>
      <c r="U809" s="39"/>
      <c r="V809" s="39"/>
      <c r="W809" s="39"/>
      <c r="X809" s="39"/>
      <c r="Y809" s="39"/>
      <c r="Z809" s="39"/>
      <c r="AA809" s="39"/>
      <c r="AB809" s="39"/>
      <c r="AC809" s="39"/>
    </row>
    <row r="810">
      <c r="A810" s="23"/>
      <c r="B810" s="24"/>
      <c r="C810" s="29"/>
      <c r="D810" s="29"/>
      <c r="E810" s="29"/>
      <c r="F810" s="29"/>
      <c r="G810" s="29"/>
      <c r="H810" s="12"/>
      <c r="I810" s="12"/>
      <c r="J810" s="12"/>
      <c r="K810" s="39"/>
      <c r="L810" s="12"/>
      <c r="M810" s="40"/>
      <c r="N810" s="29"/>
      <c r="O810" s="12"/>
      <c r="P810" s="39"/>
      <c r="Q810" s="12"/>
      <c r="R810" s="39"/>
      <c r="S810" s="39"/>
      <c r="T810" s="39"/>
      <c r="U810" s="39"/>
      <c r="V810" s="39"/>
      <c r="W810" s="39"/>
      <c r="X810" s="39"/>
      <c r="Y810" s="39"/>
      <c r="Z810" s="39"/>
      <c r="AA810" s="39"/>
      <c r="AB810" s="39"/>
      <c r="AC810" s="39"/>
    </row>
    <row r="811">
      <c r="A811" s="23"/>
      <c r="B811" s="24"/>
      <c r="C811" s="29"/>
      <c r="D811" s="29"/>
      <c r="E811" s="29"/>
      <c r="F811" s="29"/>
      <c r="G811" s="29"/>
      <c r="H811" s="12"/>
      <c r="I811" s="12"/>
      <c r="J811" s="12"/>
      <c r="K811" s="39"/>
      <c r="L811" s="12"/>
      <c r="M811" s="40"/>
      <c r="N811" s="29"/>
      <c r="O811" s="12"/>
      <c r="P811" s="39"/>
      <c r="Q811" s="12"/>
      <c r="R811" s="39"/>
      <c r="S811" s="39"/>
      <c r="T811" s="39"/>
      <c r="U811" s="39"/>
      <c r="V811" s="39"/>
      <c r="W811" s="39"/>
      <c r="X811" s="39"/>
      <c r="Y811" s="39"/>
      <c r="Z811" s="39"/>
      <c r="AA811" s="39"/>
      <c r="AB811" s="39"/>
      <c r="AC811" s="39"/>
    </row>
    <row r="812">
      <c r="A812" s="23"/>
      <c r="B812" s="24"/>
      <c r="C812" s="29"/>
      <c r="D812" s="29"/>
      <c r="E812" s="29"/>
      <c r="F812" s="29"/>
      <c r="G812" s="29"/>
      <c r="H812" s="12"/>
      <c r="I812" s="12"/>
      <c r="J812" s="12"/>
      <c r="K812" s="39"/>
      <c r="L812" s="12"/>
      <c r="M812" s="40"/>
      <c r="N812" s="29"/>
      <c r="O812" s="12"/>
      <c r="P812" s="39"/>
      <c r="Q812" s="12"/>
      <c r="R812" s="39"/>
      <c r="S812" s="39"/>
      <c r="T812" s="39"/>
      <c r="U812" s="39"/>
      <c r="V812" s="39"/>
      <c r="W812" s="39"/>
      <c r="X812" s="39"/>
      <c r="Y812" s="39"/>
      <c r="Z812" s="39"/>
      <c r="AA812" s="39"/>
      <c r="AB812" s="39"/>
      <c r="AC812" s="39"/>
    </row>
    <row r="813">
      <c r="A813" s="23"/>
      <c r="B813" s="24"/>
      <c r="C813" s="29"/>
      <c r="D813" s="29"/>
      <c r="E813" s="29"/>
      <c r="F813" s="29"/>
      <c r="G813" s="29"/>
      <c r="H813" s="12"/>
      <c r="I813" s="12"/>
      <c r="J813" s="12"/>
      <c r="K813" s="39"/>
      <c r="L813" s="12"/>
      <c r="M813" s="40"/>
      <c r="N813" s="29"/>
      <c r="O813" s="12"/>
      <c r="P813" s="39"/>
      <c r="Q813" s="12"/>
      <c r="R813" s="39"/>
      <c r="S813" s="39"/>
      <c r="T813" s="39"/>
      <c r="U813" s="39"/>
      <c r="V813" s="39"/>
      <c r="W813" s="39"/>
      <c r="X813" s="39"/>
      <c r="Y813" s="39"/>
      <c r="Z813" s="39"/>
      <c r="AA813" s="39"/>
      <c r="AB813" s="39"/>
      <c r="AC813" s="39"/>
    </row>
    <row r="814">
      <c r="A814" s="23"/>
      <c r="B814" s="24"/>
      <c r="C814" s="29"/>
      <c r="D814" s="29"/>
      <c r="E814" s="29"/>
      <c r="F814" s="29"/>
      <c r="G814" s="29"/>
      <c r="H814" s="12"/>
      <c r="I814" s="12"/>
      <c r="J814" s="12"/>
      <c r="K814" s="39"/>
      <c r="L814" s="12"/>
      <c r="M814" s="40"/>
      <c r="N814" s="29"/>
      <c r="O814" s="12"/>
      <c r="P814" s="39"/>
      <c r="Q814" s="12"/>
      <c r="R814" s="39"/>
      <c r="S814" s="39"/>
      <c r="T814" s="39"/>
      <c r="U814" s="39"/>
      <c r="V814" s="39"/>
      <c r="W814" s="39"/>
      <c r="X814" s="39"/>
      <c r="Y814" s="39"/>
      <c r="Z814" s="39"/>
      <c r="AA814" s="39"/>
      <c r="AB814" s="39"/>
      <c r="AC814" s="39"/>
    </row>
    <row r="815">
      <c r="A815" s="23"/>
      <c r="B815" s="24"/>
      <c r="C815" s="29"/>
      <c r="D815" s="29"/>
      <c r="E815" s="29"/>
      <c r="F815" s="29"/>
      <c r="G815" s="29"/>
      <c r="H815" s="12"/>
      <c r="I815" s="12"/>
      <c r="J815" s="12"/>
      <c r="K815" s="39"/>
      <c r="L815" s="12"/>
      <c r="M815" s="40"/>
      <c r="N815" s="29"/>
      <c r="O815" s="12"/>
      <c r="P815" s="39"/>
      <c r="Q815" s="12"/>
      <c r="R815" s="39"/>
      <c r="S815" s="39"/>
      <c r="T815" s="39"/>
      <c r="U815" s="39"/>
      <c r="V815" s="39"/>
      <c r="W815" s="39"/>
      <c r="X815" s="39"/>
      <c r="Y815" s="39"/>
      <c r="Z815" s="39"/>
      <c r="AA815" s="39"/>
      <c r="AB815" s="39"/>
      <c r="AC815" s="39"/>
    </row>
    <row r="816">
      <c r="A816" s="23"/>
      <c r="B816" s="24"/>
      <c r="C816" s="29"/>
      <c r="D816" s="29"/>
      <c r="E816" s="29"/>
      <c r="F816" s="29"/>
      <c r="G816" s="29"/>
      <c r="H816" s="12"/>
      <c r="I816" s="12"/>
      <c r="J816" s="12"/>
      <c r="K816" s="39"/>
      <c r="L816" s="12"/>
      <c r="M816" s="40"/>
      <c r="N816" s="29"/>
      <c r="O816" s="12"/>
      <c r="P816" s="39"/>
      <c r="Q816" s="12"/>
      <c r="R816" s="39"/>
      <c r="S816" s="39"/>
      <c r="T816" s="39"/>
      <c r="U816" s="39"/>
      <c r="V816" s="39"/>
      <c r="W816" s="39"/>
      <c r="X816" s="39"/>
      <c r="Y816" s="39"/>
      <c r="Z816" s="39"/>
      <c r="AA816" s="39"/>
      <c r="AB816" s="39"/>
      <c r="AC816" s="39"/>
    </row>
    <row r="817">
      <c r="A817" s="23"/>
      <c r="B817" s="24"/>
      <c r="C817" s="29"/>
      <c r="D817" s="29"/>
      <c r="E817" s="29"/>
      <c r="F817" s="29"/>
      <c r="G817" s="29"/>
      <c r="H817" s="12"/>
      <c r="I817" s="12"/>
      <c r="J817" s="12"/>
      <c r="K817" s="39"/>
      <c r="L817" s="12"/>
      <c r="M817" s="40"/>
      <c r="N817" s="29"/>
      <c r="O817" s="12"/>
      <c r="P817" s="39"/>
      <c r="Q817" s="12"/>
      <c r="R817" s="39"/>
      <c r="S817" s="39"/>
      <c r="T817" s="39"/>
      <c r="U817" s="39"/>
      <c r="V817" s="39"/>
      <c r="W817" s="39"/>
      <c r="X817" s="39"/>
      <c r="Y817" s="39"/>
      <c r="Z817" s="39"/>
      <c r="AA817" s="39"/>
      <c r="AB817" s="39"/>
      <c r="AC817" s="39"/>
    </row>
    <row r="818">
      <c r="A818" s="23"/>
      <c r="B818" s="24"/>
      <c r="C818" s="29"/>
      <c r="D818" s="29"/>
      <c r="E818" s="29"/>
      <c r="F818" s="29"/>
      <c r="G818" s="29"/>
      <c r="H818" s="12"/>
      <c r="I818" s="12"/>
      <c r="J818" s="12"/>
      <c r="K818" s="39"/>
      <c r="L818" s="12"/>
      <c r="M818" s="40"/>
      <c r="N818" s="29"/>
      <c r="O818" s="12"/>
      <c r="P818" s="39"/>
      <c r="Q818" s="12"/>
      <c r="R818" s="39"/>
      <c r="S818" s="39"/>
      <c r="T818" s="39"/>
      <c r="U818" s="39"/>
      <c r="V818" s="39"/>
      <c r="W818" s="39"/>
      <c r="X818" s="39"/>
      <c r="Y818" s="39"/>
      <c r="Z818" s="39"/>
      <c r="AA818" s="39"/>
      <c r="AB818" s="39"/>
      <c r="AC818" s="39"/>
    </row>
    <row r="819">
      <c r="A819" s="23"/>
      <c r="B819" s="24"/>
      <c r="C819" s="29"/>
      <c r="D819" s="29"/>
      <c r="E819" s="29"/>
      <c r="F819" s="29"/>
      <c r="G819" s="29"/>
      <c r="H819" s="12"/>
      <c r="I819" s="12"/>
      <c r="J819" s="12"/>
      <c r="K819" s="39"/>
      <c r="L819" s="12"/>
      <c r="M819" s="40"/>
      <c r="N819" s="29"/>
      <c r="O819" s="12"/>
      <c r="P819" s="39"/>
      <c r="Q819" s="12"/>
      <c r="R819" s="39"/>
      <c r="S819" s="39"/>
      <c r="T819" s="39"/>
      <c r="U819" s="39"/>
      <c r="V819" s="39"/>
      <c r="W819" s="39"/>
      <c r="X819" s="39"/>
      <c r="Y819" s="39"/>
      <c r="Z819" s="39"/>
      <c r="AA819" s="39"/>
      <c r="AB819" s="39"/>
      <c r="AC819" s="39"/>
    </row>
    <row r="820">
      <c r="A820" s="23"/>
      <c r="B820" s="24"/>
      <c r="C820" s="29"/>
      <c r="D820" s="29"/>
      <c r="E820" s="29"/>
      <c r="F820" s="29"/>
      <c r="G820" s="29"/>
      <c r="H820" s="12"/>
      <c r="I820" s="12"/>
      <c r="J820" s="12"/>
      <c r="K820" s="39"/>
      <c r="L820" s="12"/>
      <c r="M820" s="40"/>
      <c r="N820" s="29"/>
      <c r="O820" s="12"/>
      <c r="P820" s="39"/>
      <c r="Q820" s="12"/>
      <c r="R820" s="39"/>
      <c r="S820" s="39"/>
      <c r="T820" s="39"/>
      <c r="U820" s="39"/>
      <c r="V820" s="39"/>
      <c r="W820" s="39"/>
      <c r="X820" s="39"/>
      <c r="Y820" s="39"/>
      <c r="Z820" s="39"/>
      <c r="AA820" s="39"/>
      <c r="AB820" s="39"/>
      <c r="AC820" s="39"/>
    </row>
    <row r="821">
      <c r="A821" s="23"/>
      <c r="B821" s="24"/>
      <c r="C821" s="29"/>
      <c r="D821" s="29"/>
      <c r="E821" s="29"/>
      <c r="F821" s="29"/>
      <c r="G821" s="29"/>
      <c r="H821" s="12"/>
      <c r="I821" s="12"/>
      <c r="J821" s="12"/>
      <c r="K821" s="39"/>
      <c r="L821" s="12"/>
      <c r="M821" s="40"/>
      <c r="N821" s="29"/>
      <c r="O821" s="12"/>
      <c r="P821" s="39"/>
      <c r="Q821" s="12"/>
      <c r="R821" s="39"/>
      <c r="S821" s="39"/>
      <c r="T821" s="39"/>
      <c r="U821" s="39"/>
      <c r="V821" s="39"/>
      <c r="W821" s="39"/>
      <c r="X821" s="39"/>
      <c r="Y821" s="39"/>
      <c r="Z821" s="39"/>
      <c r="AA821" s="39"/>
      <c r="AB821" s="39"/>
      <c r="AC821" s="39"/>
    </row>
    <row r="822">
      <c r="A822" s="23"/>
      <c r="B822" s="24"/>
      <c r="C822" s="29"/>
      <c r="D822" s="29"/>
      <c r="E822" s="29"/>
      <c r="F822" s="29"/>
      <c r="G822" s="29"/>
      <c r="H822" s="12"/>
      <c r="I822" s="12"/>
      <c r="J822" s="12"/>
      <c r="K822" s="39"/>
      <c r="L822" s="12"/>
      <c r="M822" s="40"/>
      <c r="N822" s="29"/>
      <c r="O822" s="12"/>
      <c r="P822" s="39"/>
      <c r="Q822" s="12"/>
      <c r="R822" s="39"/>
      <c r="S822" s="39"/>
      <c r="T822" s="39"/>
      <c r="U822" s="39"/>
      <c r="V822" s="39"/>
      <c r="W822" s="39"/>
      <c r="X822" s="39"/>
      <c r="Y822" s="39"/>
      <c r="Z822" s="39"/>
      <c r="AA822" s="39"/>
      <c r="AB822" s="39"/>
      <c r="AC822" s="39"/>
    </row>
    <row r="823">
      <c r="A823" s="23"/>
      <c r="B823" s="24"/>
      <c r="C823" s="29"/>
      <c r="D823" s="29"/>
      <c r="E823" s="29"/>
      <c r="F823" s="29"/>
      <c r="G823" s="29"/>
      <c r="H823" s="12"/>
      <c r="I823" s="12"/>
      <c r="J823" s="12"/>
      <c r="K823" s="39"/>
      <c r="L823" s="12"/>
      <c r="M823" s="40"/>
      <c r="N823" s="29"/>
      <c r="O823" s="12"/>
      <c r="P823" s="39"/>
      <c r="Q823" s="12"/>
      <c r="R823" s="39"/>
      <c r="S823" s="39"/>
      <c r="T823" s="39"/>
      <c r="U823" s="39"/>
      <c r="V823" s="39"/>
      <c r="W823" s="39"/>
      <c r="X823" s="39"/>
      <c r="Y823" s="39"/>
      <c r="Z823" s="39"/>
      <c r="AA823" s="39"/>
      <c r="AB823" s="39"/>
      <c r="AC823" s="39"/>
    </row>
    <row r="824">
      <c r="A824" s="23"/>
      <c r="B824" s="24"/>
      <c r="C824" s="29"/>
      <c r="D824" s="29"/>
      <c r="E824" s="29"/>
      <c r="F824" s="29"/>
      <c r="G824" s="29"/>
      <c r="H824" s="12"/>
      <c r="I824" s="12"/>
      <c r="J824" s="12"/>
      <c r="K824" s="39"/>
      <c r="L824" s="12"/>
      <c r="M824" s="40"/>
      <c r="N824" s="29"/>
      <c r="O824" s="12"/>
      <c r="P824" s="39"/>
      <c r="Q824" s="12"/>
      <c r="R824" s="39"/>
      <c r="S824" s="39"/>
      <c r="T824" s="39"/>
      <c r="U824" s="39"/>
      <c r="V824" s="39"/>
      <c r="W824" s="39"/>
      <c r="X824" s="39"/>
      <c r="Y824" s="39"/>
      <c r="Z824" s="39"/>
      <c r="AA824" s="39"/>
      <c r="AB824" s="39"/>
      <c r="AC824" s="39"/>
    </row>
    <row r="825">
      <c r="A825" s="23"/>
      <c r="B825" s="24"/>
      <c r="C825" s="29"/>
      <c r="D825" s="29"/>
      <c r="E825" s="29"/>
      <c r="F825" s="29"/>
      <c r="G825" s="29"/>
      <c r="H825" s="12"/>
      <c r="I825" s="12"/>
      <c r="J825" s="12"/>
      <c r="K825" s="39"/>
      <c r="L825" s="12"/>
      <c r="M825" s="40"/>
      <c r="N825" s="29"/>
      <c r="O825" s="12"/>
      <c r="P825" s="39"/>
      <c r="Q825" s="12"/>
      <c r="R825" s="39"/>
      <c r="S825" s="39"/>
      <c r="T825" s="39"/>
      <c r="U825" s="39"/>
      <c r="V825" s="39"/>
      <c r="W825" s="39"/>
      <c r="X825" s="39"/>
      <c r="Y825" s="39"/>
      <c r="Z825" s="39"/>
      <c r="AA825" s="39"/>
      <c r="AB825" s="39"/>
      <c r="AC825" s="39"/>
    </row>
    <row r="826">
      <c r="A826" s="23"/>
      <c r="B826" s="24"/>
      <c r="C826" s="29"/>
      <c r="D826" s="29"/>
      <c r="E826" s="29"/>
      <c r="F826" s="29"/>
      <c r="G826" s="29"/>
      <c r="H826" s="12"/>
      <c r="I826" s="12"/>
      <c r="J826" s="12"/>
      <c r="K826" s="39"/>
      <c r="L826" s="12"/>
      <c r="M826" s="40"/>
      <c r="N826" s="29"/>
      <c r="O826" s="12"/>
      <c r="P826" s="39"/>
      <c r="Q826" s="12"/>
      <c r="R826" s="39"/>
      <c r="S826" s="39"/>
      <c r="T826" s="39"/>
      <c r="U826" s="39"/>
      <c r="V826" s="39"/>
      <c r="W826" s="39"/>
      <c r="X826" s="39"/>
      <c r="Y826" s="39"/>
      <c r="Z826" s="39"/>
      <c r="AA826" s="39"/>
      <c r="AB826" s="39"/>
      <c r="AC826" s="39"/>
    </row>
    <row r="827">
      <c r="A827" s="23"/>
      <c r="B827" s="24"/>
      <c r="C827" s="29"/>
      <c r="D827" s="29"/>
      <c r="E827" s="29"/>
      <c r="F827" s="29"/>
      <c r="G827" s="29"/>
      <c r="H827" s="12"/>
      <c r="I827" s="12"/>
      <c r="J827" s="12"/>
      <c r="K827" s="39"/>
      <c r="L827" s="12"/>
      <c r="M827" s="40"/>
      <c r="N827" s="29"/>
      <c r="O827" s="12"/>
      <c r="P827" s="39"/>
      <c r="Q827" s="12"/>
      <c r="R827" s="39"/>
      <c r="S827" s="39"/>
      <c r="T827" s="39"/>
      <c r="U827" s="39"/>
      <c r="V827" s="39"/>
      <c r="W827" s="39"/>
      <c r="X827" s="39"/>
      <c r="Y827" s="39"/>
      <c r="Z827" s="39"/>
      <c r="AA827" s="39"/>
      <c r="AB827" s="39"/>
      <c r="AC827" s="39"/>
    </row>
    <row r="828">
      <c r="A828" s="23"/>
      <c r="B828" s="24"/>
      <c r="C828" s="29"/>
      <c r="D828" s="29"/>
      <c r="E828" s="29"/>
      <c r="F828" s="29"/>
      <c r="G828" s="29"/>
      <c r="H828" s="12"/>
      <c r="I828" s="12"/>
      <c r="J828" s="12"/>
      <c r="K828" s="39"/>
      <c r="L828" s="12"/>
      <c r="M828" s="40"/>
      <c r="N828" s="29"/>
      <c r="O828" s="12"/>
      <c r="P828" s="39"/>
      <c r="Q828" s="12"/>
      <c r="R828" s="39"/>
      <c r="S828" s="39"/>
      <c r="T828" s="39"/>
      <c r="U828" s="39"/>
      <c r="V828" s="39"/>
      <c r="W828" s="39"/>
      <c r="X828" s="39"/>
      <c r="Y828" s="39"/>
      <c r="Z828" s="39"/>
      <c r="AA828" s="39"/>
      <c r="AB828" s="39"/>
      <c r="AC828" s="39"/>
    </row>
    <row r="829">
      <c r="A829" s="23"/>
      <c r="B829" s="24"/>
      <c r="C829" s="29"/>
      <c r="D829" s="29"/>
      <c r="E829" s="29"/>
      <c r="F829" s="29"/>
      <c r="G829" s="29"/>
      <c r="H829" s="12"/>
      <c r="I829" s="12"/>
      <c r="J829" s="12"/>
      <c r="K829" s="39"/>
      <c r="L829" s="12"/>
      <c r="M829" s="40"/>
      <c r="N829" s="29"/>
      <c r="O829" s="12"/>
      <c r="P829" s="39"/>
      <c r="Q829" s="12"/>
      <c r="R829" s="39"/>
      <c r="S829" s="39"/>
      <c r="T829" s="39"/>
      <c r="U829" s="39"/>
      <c r="V829" s="39"/>
      <c r="W829" s="39"/>
      <c r="X829" s="39"/>
      <c r="Y829" s="39"/>
      <c r="Z829" s="39"/>
      <c r="AA829" s="39"/>
      <c r="AB829" s="39"/>
      <c r="AC829" s="39"/>
    </row>
    <row r="830">
      <c r="A830" s="23"/>
      <c r="B830" s="24"/>
      <c r="C830" s="29"/>
      <c r="D830" s="29"/>
      <c r="E830" s="29"/>
      <c r="F830" s="29"/>
      <c r="G830" s="29"/>
      <c r="H830" s="12"/>
      <c r="I830" s="12"/>
      <c r="J830" s="12"/>
      <c r="K830" s="39"/>
      <c r="L830" s="12"/>
      <c r="M830" s="40"/>
      <c r="N830" s="29"/>
      <c r="O830" s="12"/>
      <c r="P830" s="39"/>
      <c r="Q830" s="12"/>
      <c r="R830" s="39"/>
      <c r="S830" s="39"/>
      <c r="T830" s="39"/>
      <c r="U830" s="39"/>
      <c r="V830" s="39"/>
      <c r="W830" s="39"/>
      <c r="X830" s="39"/>
      <c r="Y830" s="39"/>
      <c r="Z830" s="39"/>
      <c r="AA830" s="39"/>
      <c r="AB830" s="39"/>
      <c r="AC830" s="39"/>
    </row>
    <row r="831">
      <c r="A831" s="23"/>
      <c r="B831" s="24"/>
      <c r="C831" s="29"/>
      <c r="D831" s="29"/>
      <c r="E831" s="29"/>
      <c r="F831" s="29"/>
      <c r="G831" s="29"/>
      <c r="H831" s="12"/>
      <c r="I831" s="12"/>
      <c r="J831" s="12"/>
      <c r="K831" s="39"/>
      <c r="L831" s="12"/>
      <c r="M831" s="40"/>
      <c r="N831" s="29"/>
      <c r="O831" s="12"/>
      <c r="P831" s="39"/>
      <c r="Q831" s="12"/>
      <c r="R831" s="39"/>
      <c r="S831" s="39"/>
      <c r="T831" s="39"/>
      <c r="U831" s="39"/>
      <c r="V831" s="39"/>
      <c r="W831" s="39"/>
      <c r="X831" s="39"/>
      <c r="Y831" s="39"/>
      <c r="Z831" s="39"/>
      <c r="AA831" s="39"/>
      <c r="AB831" s="39"/>
      <c r="AC831" s="39"/>
    </row>
    <row r="832">
      <c r="A832" s="23"/>
      <c r="B832" s="24"/>
      <c r="C832" s="29"/>
      <c r="D832" s="29"/>
      <c r="E832" s="29"/>
      <c r="F832" s="29"/>
      <c r="G832" s="29"/>
      <c r="H832" s="12"/>
      <c r="I832" s="12"/>
      <c r="J832" s="12"/>
      <c r="K832" s="39"/>
      <c r="L832" s="12"/>
      <c r="M832" s="40"/>
      <c r="N832" s="29"/>
      <c r="O832" s="12"/>
      <c r="P832" s="39"/>
      <c r="Q832" s="12"/>
      <c r="R832" s="39"/>
      <c r="S832" s="39"/>
      <c r="T832" s="39"/>
      <c r="U832" s="39"/>
      <c r="V832" s="39"/>
      <c r="W832" s="39"/>
      <c r="X832" s="39"/>
      <c r="Y832" s="39"/>
      <c r="Z832" s="39"/>
      <c r="AA832" s="39"/>
      <c r="AB832" s="39"/>
      <c r="AC832" s="39"/>
    </row>
    <row r="833">
      <c r="A833" s="23"/>
      <c r="B833" s="24"/>
      <c r="C833" s="29"/>
      <c r="D833" s="29"/>
      <c r="E833" s="29"/>
      <c r="F833" s="29"/>
      <c r="G833" s="29"/>
      <c r="H833" s="12"/>
      <c r="I833" s="12"/>
      <c r="J833" s="12"/>
      <c r="K833" s="39"/>
      <c r="L833" s="12"/>
      <c r="M833" s="40"/>
      <c r="N833" s="29"/>
      <c r="O833" s="12"/>
      <c r="P833" s="39"/>
      <c r="Q833" s="12"/>
      <c r="R833" s="39"/>
      <c r="S833" s="39"/>
      <c r="T833" s="39"/>
      <c r="U833" s="39"/>
      <c r="V833" s="39"/>
      <c r="W833" s="39"/>
      <c r="X833" s="39"/>
      <c r="Y833" s="39"/>
      <c r="Z833" s="39"/>
      <c r="AA833" s="39"/>
      <c r="AB833" s="39"/>
      <c r="AC833" s="39"/>
    </row>
    <row r="834">
      <c r="A834" s="23"/>
      <c r="B834" s="24"/>
      <c r="C834" s="29"/>
      <c r="D834" s="29"/>
      <c r="E834" s="29"/>
      <c r="F834" s="29"/>
      <c r="G834" s="29"/>
      <c r="H834" s="12"/>
      <c r="I834" s="12"/>
      <c r="J834" s="12"/>
      <c r="K834" s="39"/>
      <c r="L834" s="12"/>
      <c r="M834" s="40"/>
      <c r="N834" s="29"/>
      <c r="O834" s="12"/>
      <c r="P834" s="39"/>
      <c r="Q834" s="12"/>
      <c r="R834" s="39"/>
      <c r="S834" s="39"/>
      <c r="T834" s="39"/>
      <c r="U834" s="39"/>
      <c r="V834" s="39"/>
      <c r="W834" s="39"/>
      <c r="X834" s="39"/>
      <c r="Y834" s="39"/>
      <c r="Z834" s="39"/>
      <c r="AA834" s="39"/>
      <c r="AB834" s="39"/>
      <c r="AC834" s="39"/>
    </row>
    <row r="835">
      <c r="A835" s="23"/>
      <c r="B835" s="24"/>
      <c r="C835" s="29"/>
      <c r="D835" s="29"/>
      <c r="E835" s="29"/>
      <c r="F835" s="29"/>
      <c r="G835" s="29"/>
      <c r="H835" s="12"/>
      <c r="I835" s="12"/>
      <c r="J835" s="12"/>
      <c r="K835" s="39"/>
      <c r="L835" s="12"/>
      <c r="M835" s="40"/>
      <c r="N835" s="29"/>
      <c r="O835" s="12"/>
      <c r="P835" s="39"/>
      <c r="Q835" s="12"/>
      <c r="R835" s="39"/>
      <c r="S835" s="39"/>
      <c r="T835" s="39"/>
      <c r="U835" s="39"/>
      <c r="V835" s="39"/>
      <c r="W835" s="39"/>
      <c r="X835" s="39"/>
      <c r="Y835" s="39"/>
      <c r="Z835" s="39"/>
      <c r="AA835" s="39"/>
      <c r="AB835" s="39"/>
      <c r="AC835" s="39"/>
    </row>
    <row r="836">
      <c r="A836" s="23"/>
      <c r="B836" s="24"/>
      <c r="C836" s="29"/>
      <c r="D836" s="29"/>
      <c r="E836" s="29"/>
      <c r="F836" s="29"/>
      <c r="G836" s="29"/>
      <c r="H836" s="12"/>
      <c r="I836" s="12"/>
      <c r="J836" s="12"/>
      <c r="K836" s="39"/>
      <c r="L836" s="12"/>
      <c r="M836" s="40"/>
      <c r="N836" s="29"/>
      <c r="O836" s="12"/>
      <c r="P836" s="39"/>
      <c r="Q836" s="12"/>
      <c r="R836" s="39"/>
      <c r="S836" s="39"/>
      <c r="T836" s="39"/>
      <c r="U836" s="39"/>
      <c r="V836" s="39"/>
      <c r="W836" s="39"/>
      <c r="X836" s="39"/>
      <c r="Y836" s="39"/>
      <c r="Z836" s="39"/>
      <c r="AA836" s="39"/>
      <c r="AB836" s="39"/>
      <c r="AC836" s="39"/>
    </row>
    <row r="837">
      <c r="A837" s="23"/>
      <c r="B837" s="24"/>
      <c r="C837" s="29"/>
      <c r="D837" s="29"/>
      <c r="E837" s="29"/>
      <c r="F837" s="29"/>
      <c r="G837" s="29"/>
      <c r="H837" s="12"/>
      <c r="I837" s="12"/>
      <c r="J837" s="12"/>
      <c r="K837" s="39"/>
      <c r="L837" s="12"/>
      <c r="M837" s="40"/>
      <c r="N837" s="29"/>
      <c r="O837" s="12"/>
      <c r="P837" s="39"/>
      <c r="Q837" s="12"/>
      <c r="R837" s="39"/>
      <c r="S837" s="39"/>
      <c r="T837" s="39"/>
      <c r="U837" s="39"/>
      <c r="V837" s="39"/>
      <c r="W837" s="39"/>
      <c r="X837" s="39"/>
      <c r="Y837" s="39"/>
      <c r="Z837" s="39"/>
      <c r="AA837" s="39"/>
      <c r="AB837" s="39"/>
      <c r="AC837" s="39"/>
    </row>
    <row r="838">
      <c r="A838" s="23"/>
      <c r="B838" s="24"/>
      <c r="C838" s="29"/>
      <c r="D838" s="29"/>
      <c r="E838" s="29"/>
      <c r="F838" s="29"/>
      <c r="G838" s="29"/>
      <c r="H838" s="12"/>
      <c r="I838" s="12"/>
      <c r="J838" s="12"/>
      <c r="K838" s="39"/>
      <c r="L838" s="12"/>
      <c r="M838" s="40"/>
      <c r="N838" s="29"/>
      <c r="O838" s="12"/>
      <c r="P838" s="39"/>
      <c r="Q838" s="12"/>
      <c r="R838" s="39"/>
      <c r="S838" s="39"/>
      <c r="T838" s="39"/>
      <c r="U838" s="39"/>
      <c r="V838" s="39"/>
      <c r="W838" s="39"/>
      <c r="X838" s="39"/>
      <c r="Y838" s="39"/>
      <c r="Z838" s="39"/>
      <c r="AA838" s="39"/>
      <c r="AB838" s="39"/>
      <c r="AC838" s="39"/>
    </row>
    <row r="839">
      <c r="A839" s="23"/>
      <c r="B839" s="24"/>
      <c r="C839" s="29"/>
      <c r="D839" s="29"/>
      <c r="E839" s="29"/>
      <c r="F839" s="29"/>
      <c r="G839" s="29"/>
      <c r="H839" s="12"/>
      <c r="I839" s="12"/>
      <c r="J839" s="12"/>
      <c r="K839" s="39"/>
      <c r="L839" s="12"/>
      <c r="M839" s="40"/>
      <c r="N839" s="29"/>
      <c r="O839" s="12"/>
      <c r="P839" s="39"/>
      <c r="Q839" s="12"/>
      <c r="R839" s="39"/>
      <c r="S839" s="39"/>
      <c r="T839" s="39"/>
      <c r="U839" s="39"/>
      <c r="V839" s="39"/>
      <c r="W839" s="39"/>
      <c r="X839" s="39"/>
      <c r="Y839" s="39"/>
      <c r="Z839" s="39"/>
      <c r="AA839" s="39"/>
      <c r="AB839" s="39"/>
      <c r="AC839" s="39"/>
    </row>
    <row r="840">
      <c r="A840" s="23"/>
      <c r="B840" s="24"/>
      <c r="C840" s="29"/>
      <c r="D840" s="29"/>
      <c r="E840" s="29"/>
      <c r="F840" s="29"/>
      <c r="G840" s="29"/>
      <c r="H840" s="12"/>
      <c r="I840" s="12"/>
      <c r="J840" s="12"/>
      <c r="K840" s="39"/>
      <c r="L840" s="12"/>
      <c r="M840" s="40"/>
      <c r="N840" s="29"/>
      <c r="O840" s="12"/>
      <c r="P840" s="39"/>
      <c r="Q840" s="12"/>
      <c r="R840" s="39"/>
      <c r="S840" s="39"/>
      <c r="T840" s="39"/>
      <c r="U840" s="39"/>
      <c r="V840" s="39"/>
      <c r="W840" s="39"/>
      <c r="X840" s="39"/>
      <c r="Y840" s="39"/>
      <c r="Z840" s="39"/>
      <c r="AA840" s="39"/>
      <c r="AB840" s="39"/>
      <c r="AC840" s="39"/>
    </row>
    <row r="841">
      <c r="A841" s="23"/>
      <c r="B841" s="24"/>
      <c r="C841" s="29"/>
      <c r="D841" s="29"/>
      <c r="E841" s="29"/>
      <c r="F841" s="29"/>
      <c r="G841" s="29"/>
      <c r="H841" s="12"/>
      <c r="I841" s="12"/>
      <c r="J841" s="12"/>
      <c r="K841" s="39"/>
      <c r="L841" s="12"/>
      <c r="M841" s="40"/>
      <c r="N841" s="29"/>
      <c r="O841" s="12"/>
      <c r="P841" s="39"/>
      <c r="Q841" s="12"/>
      <c r="R841" s="39"/>
      <c r="S841" s="39"/>
      <c r="T841" s="39"/>
      <c r="U841" s="39"/>
      <c r="V841" s="39"/>
      <c r="W841" s="39"/>
      <c r="X841" s="39"/>
      <c r="Y841" s="39"/>
      <c r="Z841" s="39"/>
      <c r="AA841" s="39"/>
      <c r="AB841" s="39"/>
      <c r="AC841" s="39"/>
    </row>
    <row r="842">
      <c r="A842" s="23"/>
      <c r="B842" s="24"/>
      <c r="C842" s="29"/>
      <c r="D842" s="29"/>
      <c r="E842" s="29"/>
      <c r="F842" s="29"/>
      <c r="G842" s="29"/>
      <c r="H842" s="12"/>
      <c r="I842" s="12"/>
      <c r="J842" s="12"/>
      <c r="K842" s="39"/>
      <c r="L842" s="12"/>
      <c r="M842" s="40"/>
      <c r="N842" s="29"/>
      <c r="O842" s="12"/>
      <c r="P842" s="39"/>
      <c r="Q842" s="12"/>
      <c r="R842" s="39"/>
      <c r="S842" s="39"/>
      <c r="T842" s="39"/>
      <c r="U842" s="39"/>
      <c r="V842" s="39"/>
      <c r="W842" s="39"/>
      <c r="X842" s="39"/>
      <c r="Y842" s="39"/>
      <c r="Z842" s="39"/>
      <c r="AA842" s="39"/>
      <c r="AB842" s="39"/>
      <c r="AC842" s="39"/>
    </row>
    <row r="843">
      <c r="A843" s="23"/>
      <c r="B843" s="24"/>
      <c r="C843" s="29"/>
      <c r="D843" s="29"/>
      <c r="E843" s="29"/>
      <c r="F843" s="29"/>
      <c r="G843" s="29"/>
      <c r="H843" s="12"/>
      <c r="I843" s="12"/>
      <c r="J843" s="12"/>
      <c r="K843" s="39"/>
      <c r="L843" s="12"/>
      <c r="M843" s="40"/>
      <c r="N843" s="29"/>
      <c r="O843" s="12"/>
      <c r="P843" s="39"/>
      <c r="Q843" s="12"/>
      <c r="R843" s="39"/>
      <c r="S843" s="39"/>
      <c r="T843" s="39"/>
      <c r="U843" s="39"/>
      <c r="V843" s="39"/>
      <c r="W843" s="39"/>
      <c r="X843" s="39"/>
      <c r="Y843" s="39"/>
      <c r="Z843" s="39"/>
      <c r="AA843" s="39"/>
      <c r="AB843" s="39"/>
      <c r="AC843" s="39"/>
    </row>
    <row r="844">
      <c r="A844" s="23"/>
      <c r="B844" s="24"/>
      <c r="C844" s="29"/>
      <c r="D844" s="29"/>
      <c r="E844" s="29"/>
      <c r="F844" s="29"/>
      <c r="G844" s="29"/>
      <c r="H844" s="12"/>
      <c r="I844" s="12"/>
      <c r="J844" s="12"/>
      <c r="K844" s="39"/>
      <c r="L844" s="12"/>
      <c r="M844" s="40"/>
      <c r="N844" s="29"/>
      <c r="O844" s="12"/>
      <c r="P844" s="39"/>
      <c r="Q844" s="12"/>
      <c r="R844" s="39"/>
      <c r="S844" s="39"/>
      <c r="T844" s="39"/>
      <c r="U844" s="39"/>
      <c r="V844" s="39"/>
      <c r="W844" s="39"/>
      <c r="X844" s="39"/>
      <c r="Y844" s="39"/>
      <c r="Z844" s="39"/>
      <c r="AA844" s="39"/>
      <c r="AB844" s="39"/>
      <c r="AC844" s="39"/>
    </row>
    <row r="845">
      <c r="A845" s="23"/>
      <c r="B845" s="24"/>
      <c r="C845" s="29"/>
      <c r="D845" s="29"/>
      <c r="E845" s="29"/>
      <c r="F845" s="29"/>
      <c r="G845" s="29"/>
      <c r="H845" s="12"/>
      <c r="I845" s="12"/>
      <c r="J845" s="12"/>
      <c r="K845" s="39"/>
      <c r="L845" s="12"/>
      <c r="M845" s="40"/>
      <c r="N845" s="29"/>
      <c r="O845" s="12"/>
      <c r="P845" s="39"/>
      <c r="Q845" s="12"/>
      <c r="R845" s="39"/>
      <c r="S845" s="39"/>
      <c r="T845" s="39"/>
      <c r="U845" s="39"/>
      <c r="V845" s="39"/>
      <c r="W845" s="39"/>
      <c r="X845" s="39"/>
      <c r="Y845" s="39"/>
      <c r="Z845" s="39"/>
      <c r="AA845" s="39"/>
      <c r="AB845" s="39"/>
      <c r="AC845" s="39"/>
    </row>
    <row r="846">
      <c r="A846" s="23"/>
      <c r="B846" s="24"/>
      <c r="C846" s="29"/>
      <c r="D846" s="29"/>
      <c r="E846" s="29"/>
      <c r="F846" s="29"/>
      <c r="G846" s="29"/>
      <c r="H846" s="12"/>
      <c r="I846" s="12"/>
      <c r="J846" s="12"/>
      <c r="K846" s="39"/>
      <c r="L846" s="12"/>
      <c r="M846" s="40"/>
      <c r="N846" s="29"/>
      <c r="O846" s="12"/>
      <c r="P846" s="39"/>
      <c r="Q846" s="12"/>
      <c r="R846" s="39"/>
      <c r="S846" s="39"/>
      <c r="T846" s="39"/>
      <c r="U846" s="39"/>
      <c r="V846" s="39"/>
      <c r="W846" s="39"/>
      <c r="X846" s="39"/>
      <c r="Y846" s="39"/>
      <c r="Z846" s="39"/>
      <c r="AA846" s="39"/>
      <c r="AB846" s="39"/>
      <c r="AC846" s="39"/>
    </row>
    <row r="847">
      <c r="A847" s="23"/>
      <c r="B847" s="24"/>
      <c r="C847" s="29"/>
      <c r="D847" s="29"/>
      <c r="E847" s="29"/>
      <c r="F847" s="29"/>
      <c r="G847" s="29"/>
      <c r="H847" s="12"/>
      <c r="I847" s="12"/>
      <c r="J847" s="12"/>
      <c r="K847" s="39"/>
      <c r="L847" s="12"/>
      <c r="M847" s="40"/>
      <c r="N847" s="29"/>
      <c r="O847" s="12"/>
      <c r="P847" s="39"/>
      <c r="Q847" s="12"/>
      <c r="R847" s="39"/>
      <c r="S847" s="39"/>
      <c r="T847" s="39"/>
      <c r="U847" s="39"/>
      <c r="V847" s="39"/>
      <c r="W847" s="39"/>
      <c r="X847" s="39"/>
      <c r="Y847" s="39"/>
      <c r="Z847" s="39"/>
      <c r="AA847" s="39"/>
      <c r="AB847" s="39"/>
      <c r="AC847" s="39"/>
    </row>
    <row r="848">
      <c r="A848" s="23"/>
      <c r="B848" s="24"/>
      <c r="C848" s="29"/>
      <c r="D848" s="29"/>
      <c r="E848" s="29"/>
      <c r="F848" s="29"/>
      <c r="G848" s="29"/>
      <c r="H848" s="12"/>
      <c r="I848" s="12"/>
      <c r="J848" s="12"/>
      <c r="K848" s="39"/>
      <c r="L848" s="12"/>
      <c r="M848" s="40"/>
      <c r="N848" s="29"/>
      <c r="O848" s="12"/>
      <c r="P848" s="39"/>
      <c r="Q848" s="12"/>
      <c r="R848" s="39"/>
      <c r="S848" s="39"/>
      <c r="T848" s="39"/>
      <c r="U848" s="39"/>
      <c r="V848" s="39"/>
      <c r="W848" s="39"/>
      <c r="X848" s="39"/>
      <c r="Y848" s="39"/>
      <c r="Z848" s="39"/>
      <c r="AA848" s="39"/>
      <c r="AB848" s="39"/>
      <c r="AC848" s="39"/>
    </row>
    <row r="849">
      <c r="A849" s="23"/>
      <c r="B849" s="24"/>
      <c r="C849" s="29"/>
      <c r="D849" s="29"/>
      <c r="E849" s="29"/>
      <c r="F849" s="29"/>
      <c r="G849" s="29"/>
      <c r="H849" s="12"/>
      <c r="I849" s="12"/>
      <c r="J849" s="12"/>
      <c r="K849" s="39"/>
      <c r="L849" s="12"/>
      <c r="M849" s="40"/>
      <c r="N849" s="29"/>
      <c r="O849" s="12"/>
      <c r="P849" s="39"/>
      <c r="Q849" s="12"/>
      <c r="R849" s="39"/>
      <c r="S849" s="39"/>
      <c r="T849" s="39"/>
      <c r="U849" s="39"/>
      <c r="V849" s="39"/>
      <c r="W849" s="39"/>
      <c r="X849" s="39"/>
      <c r="Y849" s="39"/>
      <c r="Z849" s="39"/>
      <c r="AA849" s="39"/>
      <c r="AB849" s="39"/>
      <c r="AC849" s="39"/>
    </row>
    <row r="850">
      <c r="A850" s="23"/>
      <c r="B850" s="24"/>
      <c r="C850" s="29"/>
      <c r="D850" s="29"/>
      <c r="E850" s="29"/>
      <c r="F850" s="29"/>
      <c r="G850" s="29"/>
      <c r="H850" s="12"/>
      <c r="I850" s="12"/>
      <c r="J850" s="12"/>
      <c r="K850" s="39"/>
      <c r="L850" s="12"/>
      <c r="M850" s="40"/>
      <c r="N850" s="29"/>
      <c r="O850" s="12"/>
      <c r="P850" s="39"/>
      <c r="Q850" s="12"/>
      <c r="R850" s="39"/>
      <c r="S850" s="39"/>
      <c r="T850" s="39"/>
      <c r="U850" s="39"/>
      <c r="V850" s="39"/>
      <c r="W850" s="39"/>
      <c r="X850" s="39"/>
      <c r="Y850" s="39"/>
      <c r="Z850" s="39"/>
      <c r="AA850" s="39"/>
      <c r="AB850" s="39"/>
      <c r="AC850" s="39"/>
    </row>
    <row r="851">
      <c r="A851" s="23"/>
      <c r="B851" s="24"/>
      <c r="C851" s="29"/>
      <c r="D851" s="29"/>
      <c r="E851" s="29"/>
      <c r="F851" s="29"/>
      <c r="G851" s="29"/>
      <c r="H851" s="12"/>
      <c r="I851" s="12"/>
      <c r="J851" s="12"/>
      <c r="K851" s="39"/>
      <c r="L851" s="12"/>
      <c r="M851" s="40"/>
      <c r="N851" s="29"/>
      <c r="O851" s="12"/>
      <c r="P851" s="39"/>
      <c r="Q851" s="12"/>
      <c r="R851" s="39"/>
      <c r="S851" s="39"/>
      <c r="T851" s="39"/>
      <c r="U851" s="39"/>
      <c r="V851" s="39"/>
      <c r="W851" s="39"/>
      <c r="X851" s="39"/>
      <c r="Y851" s="39"/>
      <c r="Z851" s="39"/>
      <c r="AA851" s="39"/>
      <c r="AB851" s="39"/>
      <c r="AC851" s="39"/>
    </row>
    <row r="852">
      <c r="A852" s="23"/>
      <c r="B852" s="24"/>
      <c r="C852" s="29"/>
      <c r="D852" s="29"/>
      <c r="E852" s="29"/>
      <c r="F852" s="29"/>
      <c r="G852" s="29"/>
      <c r="H852" s="12"/>
      <c r="I852" s="12"/>
      <c r="J852" s="12"/>
      <c r="K852" s="39"/>
      <c r="L852" s="12"/>
      <c r="M852" s="40"/>
      <c r="N852" s="29"/>
      <c r="O852" s="12"/>
      <c r="P852" s="39"/>
      <c r="Q852" s="12"/>
      <c r="R852" s="39"/>
      <c r="S852" s="39"/>
      <c r="T852" s="39"/>
      <c r="U852" s="39"/>
      <c r="V852" s="39"/>
      <c r="W852" s="39"/>
      <c r="X852" s="39"/>
      <c r="Y852" s="39"/>
      <c r="Z852" s="39"/>
      <c r="AA852" s="39"/>
      <c r="AB852" s="39"/>
      <c r="AC852" s="39"/>
    </row>
    <row r="853">
      <c r="A853" s="23"/>
      <c r="B853" s="24"/>
      <c r="C853" s="29"/>
      <c r="D853" s="29"/>
      <c r="E853" s="29"/>
      <c r="F853" s="29"/>
      <c r="G853" s="29"/>
      <c r="H853" s="12"/>
      <c r="I853" s="12"/>
      <c r="J853" s="12"/>
      <c r="K853" s="39"/>
      <c r="L853" s="12"/>
      <c r="M853" s="40"/>
      <c r="N853" s="29"/>
      <c r="O853" s="12"/>
      <c r="P853" s="39"/>
      <c r="Q853" s="12"/>
      <c r="R853" s="39"/>
      <c r="S853" s="39"/>
      <c r="T853" s="39"/>
      <c r="U853" s="39"/>
      <c r="V853" s="39"/>
      <c r="W853" s="39"/>
      <c r="X853" s="39"/>
      <c r="Y853" s="39"/>
      <c r="Z853" s="39"/>
      <c r="AA853" s="39"/>
      <c r="AB853" s="39"/>
      <c r="AC853" s="39"/>
    </row>
    <row r="854">
      <c r="A854" s="23"/>
      <c r="B854" s="24"/>
      <c r="C854" s="29"/>
      <c r="D854" s="29"/>
      <c r="E854" s="29"/>
      <c r="F854" s="29"/>
      <c r="G854" s="29"/>
      <c r="H854" s="12"/>
      <c r="I854" s="12"/>
      <c r="J854" s="12"/>
      <c r="K854" s="39"/>
      <c r="L854" s="12"/>
      <c r="M854" s="40"/>
      <c r="N854" s="29"/>
      <c r="O854" s="12"/>
      <c r="P854" s="39"/>
      <c r="Q854" s="12"/>
      <c r="R854" s="39"/>
      <c r="S854" s="39"/>
      <c r="T854" s="39"/>
      <c r="U854" s="39"/>
      <c r="V854" s="39"/>
      <c r="W854" s="39"/>
      <c r="X854" s="39"/>
      <c r="Y854" s="39"/>
      <c r="Z854" s="39"/>
      <c r="AA854" s="39"/>
      <c r="AB854" s="39"/>
      <c r="AC854" s="39"/>
    </row>
    <row r="855">
      <c r="A855" s="23"/>
      <c r="B855" s="24"/>
      <c r="C855" s="29"/>
      <c r="D855" s="29"/>
      <c r="E855" s="29"/>
      <c r="F855" s="29"/>
      <c r="G855" s="29"/>
      <c r="H855" s="12"/>
      <c r="I855" s="12"/>
      <c r="J855" s="12"/>
      <c r="K855" s="39"/>
      <c r="L855" s="12"/>
      <c r="M855" s="40"/>
      <c r="N855" s="29"/>
      <c r="O855" s="12"/>
      <c r="P855" s="39"/>
      <c r="Q855" s="12"/>
      <c r="R855" s="39"/>
      <c r="S855" s="39"/>
      <c r="T855" s="39"/>
      <c r="U855" s="39"/>
      <c r="V855" s="39"/>
      <c r="W855" s="39"/>
      <c r="X855" s="39"/>
      <c r="Y855" s="39"/>
      <c r="Z855" s="39"/>
      <c r="AA855" s="39"/>
      <c r="AB855" s="39"/>
      <c r="AC855" s="39"/>
    </row>
    <row r="856">
      <c r="A856" s="23"/>
      <c r="B856" s="24"/>
      <c r="C856" s="29"/>
      <c r="D856" s="29"/>
      <c r="E856" s="29"/>
      <c r="F856" s="29"/>
      <c r="G856" s="29"/>
      <c r="H856" s="12"/>
      <c r="I856" s="12"/>
      <c r="J856" s="12"/>
      <c r="K856" s="39"/>
      <c r="L856" s="12"/>
      <c r="M856" s="40"/>
      <c r="N856" s="29"/>
      <c r="O856" s="12"/>
      <c r="P856" s="39"/>
      <c r="Q856" s="12"/>
      <c r="R856" s="39"/>
      <c r="S856" s="39"/>
      <c r="T856" s="39"/>
      <c r="U856" s="39"/>
      <c r="V856" s="39"/>
      <c r="W856" s="39"/>
      <c r="X856" s="39"/>
      <c r="Y856" s="39"/>
      <c r="Z856" s="39"/>
      <c r="AA856" s="39"/>
      <c r="AB856" s="39"/>
      <c r="AC856" s="39"/>
    </row>
    <row r="857">
      <c r="A857" s="23"/>
      <c r="B857" s="24"/>
      <c r="C857" s="29"/>
      <c r="D857" s="29"/>
      <c r="E857" s="29"/>
      <c r="F857" s="29"/>
      <c r="G857" s="29"/>
      <c r="H857" s="12"/>
      <c r="I857" s="12"/>
      <c r="J857" s="12"/>
      <c r="K857" s="39"/>
      <c r="L857" s="12"/>
      <c r="M857" s="40"/>
      <c r="N857" s="29"/>
      <c r="O857" s="12"/>
      <c r="P857" s="39"/>
      <c r="Q857" s="12"/>
      <c r="R857" s="39"/>
      <c r="S857" s="39"/>
      <c r="T857" s="39"/>
      <c r="U857" s="39"/>
      <c r="V857" s="39"/>
      <c r="W857" s="39"/>
      <c r="X857" s="39"/>
      <c r="Y857" s="39"/>
      <c r="Z857" s="39"/>
      <c r="AA857" s="39"/>
      <c r="AB857" s="39"/>
      <c r="AC857" s="39"/>
    </row>
    <row r="858">
      <c r="A858" s="23"/>
      <c r="B858" s="24"/>
      <c r="C858" s="29"/>
      <c r="D858" s="29"/>
      <c r="E858" s="29"/>
      <c r="F858" s="29"/>
      <c r="G858" s="29"/>
      <c r="H858" s="12"/>
      <c r="I858" s="12"/>
      <c r="J858" s="12"/>
      <c r="K858" s="39"/>
      <c r="L858" s="12"/>
      <c r="M858" s="40"/>
      <c r="N858" s="29"/>
      <c r="O858" s="12"/>
      <c r="P858" s="39"/>
      <c r="Q858" s="12"/>
      <c r="R858" s="39"/>
      <c r="S858" s="39"/>
      <c r="T858" s="39"/>
      <c r="U858" s="39"/>
      <c r="V858" s="39"/>
      <c r="W858" s="39"/>
      <c r="X858" s="39"/>
      <c r="Y858" s="39"/>
      <c r="Z858" s="39"/>
      <c r="AA858" s="39"/>
      <c r="AB858" s="39"/>
      <c r="AC858" s="39"/>
    </row>
    <row r="859">
      <c r="A859" s="23"/>
      <c r="B859" s="24"/>
      <c r="C859" s="29"/>
      <c r="D859" s="29"/>
      <c r="E859" s="29"/>
      <c r="F859" s="29"/>
      <c r="G859" s="29"/>
      <c r="H859" s="12"/>
      <c r="I859" s="12"/>
      <c r="J859" s="12"/>
      <c r="K859" s="39"/>
      <c r="L859" s="12"/>
      <c r="M859" s="40"/>
      <c r="N859" s="29"/>
      <c r="O859" s="12"/>
      <c r="P859" s="39"/>
      <c r="Q859" s="12"/>
      <c r="R859" s="39"/>
      <c r="S859" s="39"/>
      <c r="T859" s="39"/>
      <c r="U859" s="39"/>
      <c r="V859" s="39"/>
      <c r="W859" s="39"/>
      <c r="X859" s="39"/>
      <c r="Y859" s="39"/>
      <c r="Z859" s="39"/>
      <c r="AA859" s="39"/>
      <c r="AB859" s="39"/>
      <c r="AC859" s="39"/>
    </row>
    <row r="860">
      <c r="A860" s="23"/>
      <c r="B860" s="24"/>
      <c r="C860" s="29"/>
      <c r="D860" s="29"/>
      <c r="E860" s="29"/>
      <c r="F860" s="29"/>
      <c r="G860" s="29"/>
      <c r="H860" s="12"/>
      <c r="I860" s="12"/>
      <c r="J860" s="12"/>
      <c r="K860" s="39"/>
      <c r="L860" s="12"/>
      <c r="M860" s="40"/>
      <c r="N860" s="29"/>
      <c r="O860" s="12"/>
      <c r="P860" s="39"/>
      <c r="Q860" s="12"/>
      <c r="R860" s="39"/>
      <c r="S860" s="39"/>
      <c r="T860" s="39"/>
      <c r="U860" s="39"/>
      <c r="V860" s="39"/>
      <c r="W860" s="39"/>
      <c r="X860" s="39"/>
      <c r="Y860" s="39"/>
      <c r="Z860" s="39"/>
      <c r="AA860" s="39"/>
      <c r="AB860" s="39"/>
      <c r="AC860" s="39"/>
    </row>
    <row r="861">
      <c r="A861" s="23"/>
      <c r="B861" s="24"/>
      <c r="C861" s="29"/>
      <c r="D861" s="29"/>
      <c r="E861" s="29"/>
      <c r="F861" s="29"/>
      <c r="G861" s="29"/>
      <c r="H861" s="12"/>
      <c r="I861" s="12"/>
      <c r="J861" s="12"/>
      <c r="K861" s="39"/>
      <c r="L861" s="12"/>
      <c r="M861" s="40"/>
      <c r="N861" s="29"/>
      <c r="O861" s="12"/>
      <c r="P861" s="39"/>
      <c r="Q861" s="12"/>
      <c r="R861" s="39"/>
      <c r="S861" s="39"/>
      <c r="T861" s="39"/>
      <c r="U861" s="39"/>
      <c r="V861" s="39"/>
      <c r="W861" s="39"/>
      <c r="X861" s="39"/>
      <c r="Y861" s="39"/>
      <c r="Z861" s="39"/>
      <c r="AA861" s="39"/>
      <c r="AB861" s="39"/>
      <c r="AC861" s="39"/>
    </row>
    <row r="862">
      <c r="A862" s="23"/>
      <c r="B862" s="24"/>
      <c r="C862" s="29"/>
      <c r="D862" s="29"/>
      <c r="E862" s="29"/>
      <c r="F862" s="29"/>
      <c r="G862" s="29"/>
      <c r="H862" s="12"/>
      <c r="I862" s="12"/>
      <c r="J862" s="12"/>
      <c r="K862" s="39"/>
      <c r="L862" s="12"/>
      <c r="M862" s="40"/>
      <c r="N862" s="29"/>
      <c r="O862" s="12"/>
      <c r="P862" s="39"/>
      <c r="Q862" s="12"/>
      <c r="R862" s="39"/>
      <c r="S862" s="39"/>
      <c r="T862" s="39"/>
      <c r="U862" s="39"/>
      <c r="V862" s="39"/>
      <c r="W862" s="39"/>
      <c r="X862" s="39"/>
      <c r="Y862" s="39"/>
      <c r="Z862" s="39"/>
      <c r="AA862" s="39"/>
      <c r="AB862" s="39"/>
      <c r="AC862" s="39"/>
    </row>
    <row r="863">
      <c r="A863" s="23"/>
      <c r="B863" s="24"/>
      <c r="C863" s="29"/>
      <c r="D863" s="29"/>
      <c r="E863" s="29"/>
      <c r="F863" s="29"/>
      <c r="G863" s="29"/>
      <c r="H863" s="12"/>
      <c r="I863" s="12"/>
      <c r="J863" s="12"/>
      <c r="K863" s="39"/>
      <c r="L863" s="12"/>
      <c r="M863" s="40"/>
      <c r="N863" s="29"/>
      <c r="O863" s="12"/>
      <c r="P863" s="39"/>
      <c r="Q863" s="12"/>
      <c r="R863" s="39"/>
      <c r="S863" s="39"/>
      <c r="T863" s="39"/>
      <c r="U863" s="39"/>
      <c r="V863" s="39"/>
      <c r="W863" s="39"/>
      <c r="X863" s="39"/>
      <c r="Y863" s="39"/>
      <c r="Z863" s="39"/>
      <c r="AA863" s="39"/>
      <c r="AB863" s="39"/>
      <c r="AC863" s="39"/>
    </row>
    <row r="864">
      <c r="A864" s="23"/>
      <c r="B864" s="24"/>
      <c r="C864" s="29"/>
      <c r="D864" s="29"/>
      <c r="E864" s="29"/>
      <c r="F864" s="29"/>
      <c r="G864" s="29"/>
      <c r="H864" s="12"/>
      <c r="I864" s="12"/>
      <c r="J864" s="12"/>
      <c r="K864" s="39"/>
      <c r="L864" s="12"/>
      <c r="M864" s="40"/>
      <c r="N864" s="29"/>
      <c r="O864" s="12"/>
      <c r="P864" s="39"/>
      <c r="Q864" s="12"/>
      <c r="R864" s="39"/>
      <c r="S864" s="39"/>
      <c r="T864" s="39"/>
      <c r="U864" s="39"/>
      <c r="V864" s="39"/>
      <c r="W864" s="39"/>
      <c r="X864" s="39"/>
      <c r="Y864" s="39"/>
      <c r="Z864" s="39"/>
      <c r="AA864" s="39"/>
      <c r="AB864" s="39"/>
      <c r="AC864" s="39"/>
    </row>
    <row r="865">
      <c r="A865" s="23"/>
      <c r="B865" s="24"/>
      <c r="C865" s="29"/>
      <c r="D865" s="29"/>
      <c r="E865" s="29"/>
      <c r="F865" s="29"/>
      <c r="G865" s="29"/>
      <c r="H865" s="12"/>
      <c r="I865" s="12"/>
      <c r="J865" s="12"/>
      <c r="K865" s="39"/>
      <c r="L865" s="12"/>
      <c r="M865" s="40"/>
      <c r="N865" s="29"/>
      <c r="O865" s="12"/>
      <c r="P865" s="39"/>
      <c r="Q865" s="12"/>
      <c r="R865" s="39"/>
      <c r="S865" s="39"/>
      <c r="T865" s="39"/>
      <c r="U865" s="39"/>
      <c r="V865" s="39"/>
      <c r="W865" s="39"/>
      <c r="X865" s="39"/>
      <c r="Y865" s="39"/>
      <c r="Z865" s="39"/>
      <c r="AA865" s="39"/>
      <c r="AB865" s="39"/>
      <c r="AC865" s="39"/>
    </row>
    <row r="866">
      <c r="A866" s="23"/>
      <c r="B866" s="24"/>
      <c r="C866" s="29"/>
      <c r="D866" s="29"/>
      <c r="E866" s="29"/>
      <c r="F866" s="29"/>
      <c r="G866" s="29"/>
      <c r="H866" s="12"/>
      <c r="I866" s="12"/>
      <c r="J866" s="12"/>
      <c r="K866" s="39"/>
      <c r="L866" s="12"/>
      <c r="M866" s="40"/>
      <c r="N866" s="29"/>
      <c r="O866" s="12"/>
      <c r="P866" s="39"/>
      <c r="Q866" s="12"/>
      <c r="R866" s="39"/>
      <c r="S866" s="39"/>
      <c r="T866" s="39"/>
      <c r="U866" s="39"/>
      <c r="V866" s="39"/>
      <c r="W866" s="39"/>
      <c r="X866" s="39"/>
      <c r="Y866" s="39"/>
      <c r="Z866" s="39"/>
      <c r="AA866" s="39"/>
      <c r="AB866" s="39"/>
      <c r="AC866" s="39"/>
    </row>
    <row r="867">
      <c r="A867" s="23"/>
      <c r="B867" s="24"/>
      <c r="C867" s="29"/>
      <c r="D867" s="29"/>
      <c r="E867" s="29"/>
      <c r="F867" s="29"/>
      <c r="G867" s="29"/>
      <c r="H867" s="12"/>
      <c r="I867" s="12"/>
      <c r="J867" s="12"/>
      <c r="K867" s="39"/>
      <c r="L867" s="12"/>
      <c r="M867" s="40"/>
      <c r="N867" s="29"/>
      <c r="O867" s="12"/>
      <c r="P867" s="39"/>
      <c r="Q867" s="12"/>
      <c r="R867" s="39"/>
      <c r="S867" s="39"/>
      <c r="T867" s="39"/>
      <c r="U867" s="39"/>
      <c r="V867" s="39"/>
      <c r="W867" s="39"/>
      <c r="X867" s="39"/>
      <c r="Y867" s="39"/>
      <c r="Z867" s="39"/>
      <c r="AA867" s="39"/>
      <c r="AB867" s="39"/>
      <c r="AC867" s="39"/>
    </row>
    <row r="868">
      <c r="A868" s="23"/>
      <c r="B868" s="24"/>
      <c r="C868" s="29"/>
      <c r="D868" s="29"/>
      <c r="E868" s="29"/>
      <c r="F868" s="29"/>
      <c r="G868" s="29"/>
      <c r="H868" s="12"/>
      <c r="I868" s="12"/>
      <c r="J868" s="12"/>
      <c r="K868" s="39"/>
      <c r="L868" s="12"/>
      <c r="M868" s="40"/>
      <c r="N868" s="29"/>
      <c r="O868" s="12"/>
      <c r="P868" s="39"/>
      <c r="Q868" s="12"/>
      <c r="R868" s="39"/>
      <c r="S868" s="39"/>
      <c r="T868" s="39"/>
      <c r="U868" s="39"/>
      <c r="V868" s="39"/>
      <c r="W868" s="39"/>
      <c r="X868" s="39"/>
      <c r="Y868" s="39"/>
      <c r="Z868" s="39"/>
      <c r="AA868" s="39"/>
      <c r="AB868" s="39"/>
      <c r="AC868" s="39"/>
    </row>
    <row r="869">
      <c r="A869" s="23"/>
      <c r="B869" s="24"/>
      <c r="C869" s="29"/>
      <c r="D869" s="29"/>
      <c r="E869" s="29"/>
      <c r="F869" s="29"/>
      <c r="G869" s="29"/>
      <c r="H869" s="12"/>
      <c r="I869" s="12"/>
      <c r="J869" s="12"/>
      <c r="K869" s="39"/>
      <c r="L869" s="12"/>
      <c r="M869" s="40"/>
      <c r="N869" s="29"/>
      <c r="O869" s="12"/>
      <c r="P869" s="39"/>
      <c r="Q869" s="12"/>
      <c r="R869" s="39"/>
      <c r="S869" s="39"/>
      <c r="T869" s="39"/>
      <c r="U869" s="39"/>
      <c r="V869" s="39"/>
      <c r="W869" s="39"/>
      <c r="X869" s="39"/>
      <c r="Y869" s="39"/>
      <c r="Z869" s="39"/>
      <c r="AA869" s="39"/>
      <c r="AB869" s="39"/>
      <c r="AC869" s="39"/>
    </row>
    <row r="870">
      <c r="A870" s="23"/>
      <c r="B870" s="24"/>
      <c r="C870" s="29"/>
      <c r="D870" s="29"/>
      <c r="E870" s="29"/>
      <c r="F870" s="29"/>
      <c r="G870" s="29"/>
      <c r="H870" s="12"/>
      <c r="I870" s="12"/>
      <c r="J870" s="12"/>
      <c r="K870" s="39"/>
      <c r="L870" s="12"/>
      <c r="M870" s="40"/>
      <c r="N870" s="29"/>
      <c r="O870" s="12"/>
      <c r="P870" s="39"/>
      <c r="Q870" s="12"/>
      <c r="R870" s="39"/>
      <c r="S870" s="39"/>
      <c r="T870" s="39"/>
      <c r="U870" s="39"/>
      <c r="V870" s="39"/>
      <c r="W870" s="39"/>
      <c r="X870" s="39"/>
      <c r="Y870" s="39"/>
      <c r="Z870" s="39"/>
      <c r="AA870" s="39"/>
      <c r="AB870" s="39"/>
      <c r="AC870" s="39"/>
    </row>
    <row r="871">
      <c r="A871" s="23"/>
      <c r="B871" s="24"/>
      <c r="C871" s="29"/>
      <c r="D871" s="29"/>
      <c r="E871" s="29"/>
      <c r="F871" s="29"/>
      <c r="G871" s="29"/>
      <c r="H871" s="12"/>
      <c r="I871" s="12"/>
      <c r="J871" s="12"/>
      <c r="K871" s="39"/>
      <c r="L871" s="12"/>
      <c r="M871" s="40"/>
      <c r="N871" s="29"/>
      <c r="O871" s="12"/>
      <c r="P871" s="39"/>
      <c r="Q871" s="12"/>
      <c r="R871" s="39"/>
      <c r="S871" s="39"/>
      <c r="T871" s="39"/>
      <c r="U871" s="39"/>
      <c r="V871" s="39"/>
      <c r="W871" s="39"/>
      <c r="X871" s="39"/>
      <c r="Y871" s="39"/>
      <c r="Z871" s="39"/>
      <c r="AA871" s="39"/>
      <c r="AB871" s="39"/>
      <c r="AC871" s="39"/>
    </row>
    <row r="872">
      <c r="A872" s="23"/>
      <c r="B872" s="24"/>
      <c r="C872" s="29"/>
      <c r="D872" s="29"/>
      <c r="E872" s="29"/>
      <c r="F872" s="29"/>
      <c r="G872" s="29"/>
      <c r="H872" s="12"/>
      <c r="I872" s="12"/>
      <c r="J872" s="12"/>
      <c r="K872" s="39"/>
      <c r="L872" s="12"/>
      <c r="M872" s="40"/>
      <c r="N872" s="29"/>
      <c r="O872" s="12"/>
      <c r="P872" s="39"/>
      <c r="Q872" s="12"/>
      <c r="R872" s="39"/>
      <c r="S872" s="39"/>
      <c r="T872" s="39"/>
      <c r="U872" s="39"/>
      <c r="V872" s="39"/>
      <c r="W872" s="39"/>
      <c r="X872" s="39"/>
      <c r="Y872" s="39"/>
      <c r="Z872" s="39"/>
      <c r="AA872" s="39"/>
      <c r="AB872" s="39"/>
      <c r="AC872" s="39"/>
    </row>
    <row r="873">
      <c r="A873" s="23"/>
      <c r="B873" s="24"/>
      <c r="C873" s="29"/>
      <c r="D873" s="29"/>
      <c r="E873" s="29"/>
      <c r="F873" s="29"/>
      <c r="G873" s="29"/>
      <c r="H873" s="12"/>
      <c r="I873" s="12"/>
      <c r="J873" s="12"/>
      <c r="K873" s="39"/>
      <c r="L873" s="12"/>
      <c r="M873" s="40"/>
      <c r="N873" s="29"/>
      <c r="O873" s="12"/>
      <c r="P873" s="39"/>
      <c r="Q873" s="12"/>
      <c r="R873" s="39"/>
      <c r="S873" s="39"/>
      <c r="T873" s="39"/>
      <c r="U873" s="39"/>
      <c r="V873" s="39"/>
      <c r="W873" s="39"/>
      <c r="X873" s="39"/>
      <c r="Y873" s="39"/>
      <c r="Z873" s="39"/>
      <c r="AA873" s="39"/>
      <c r="AB873" s="39"/>
      <c r="AC873" s="39"/>
    </row>
    <row r="874">
      <c r="A874" s="23"/>
      <c r="B874" s="24"/>
      <c r="C874" s="29"/>
      <c r="D874" s="29"/>
      <c r="E874" s="29"/>
      <c r="F874" s="29"/>
      <c r="G874" s="29"/>
      <c r="H874" s="12"/>
      <c r="I874" s="12"/>
      <c r="J874" s="12"/>
      <c r="K874" s="39"/>
      <c r="L874" s="12"/>
      <c r="M874" s="40"/>
      <c r="N874" s="29"/>
      <c r="O874" s="12"/>
      <c r="P874" s="39"/>
      <c r="Q874" s="12"/>
      <c r="R874" s="39"/>
      <c r="S874" s="39"/>
      <c r="T874" s="39"/>
      <c r="U874" s="39"/>
      <c r="V874" s="39"/>
      <c r="W874" s="39"/>
      <c r="X874" s="39"/>
      <c r="Y874" s="39"/>
      <c r="Z874" s="39"/>
      <c r="AA874" s="39"/>
      <c r="AB874" s="39"/>
      <c r="AC874" s="39"/>
    </row>
    <row r="875">
      <c r="A875" s="23"/>
      <c r="B875" s="24"/>
      <c r="C875" s="29"/>
      <c r="D875" s="29"/>
      <c r="E875" s="29"/>
      <c r="F875" s="29"/>
      <c r="G875" s="29"/>
      <c r="H875" s="12"/>
      <c r="I875" s="12"/>
      <c r="J875" s="12"/>
      <c r="K875" s="39"/>
      <c r="L875" s="12"/>
      <c r="M875" s="40"/>
      <c r="N875" s="29"/>
      <c r="O875" s="12"/>
      <c r="P875" s="39"/>
      <c r="Q875" s="12"/>
      <c r="R875" s="39"/>
      <c r="S875" s="39"/>
      <c r="T875" s="39"/>
      <c r="U875" s="39"/>
      <c r="V875" s="39"/>
      <c r="W875" s="39"/>
      <c r="X875" s="39"/>
      <c r="Y875" s="39"/>
      <c r="Z875" s="39"/>
      <c r="AA875" s="39"/>
      <c r="AB875" s="39"/>
      <c r="AC875" s="39"/>
    </row>
    <row r="876">
      <c r="A876" s="23"/>
      <c r="B876" s="24"/>
      <c r="C876" s="29"/>
      <c r="D876" s="29"/>
      <c r="E876" s="29"/>
      <c r="F876" s="29"/>
      <c r="G876" s="29"/>
      <c r="H876" s="12"/>
      <c r="I876" s="12"/>
      <c r="J876" s="12"/>
      <c r="K876" s="39"/>
      <c r="L876" s="12"/>
      <c r="M876" s="40"/>
      <c r="N876" s="29"/>
      <c r="O876" s="12"/>
      <c r="P876" s="39"/>
      <c r="Q876" s="12"/>
      <c r="R876" s="39"/>
      <c r="S876" s="39"/>
      <c r="T876" s="39"/>
      <c r="U876" s="39"/>
      <c r="V876" s="39"/>
      <c r="W876" s="39"/>
      <c r="X876" s="39"/>
      <c r="Y876" s="39"/>
      <c r="Z876" s="39"/>
      <c r="AA876" s="39"/>
      <c r="AB876" s="39"/>
      <c r="AC876" s="39"/>
    </row>
    <row r="877">
      <c r="A877" s="23"/>
      <c r="B877" s="24"/>
      <c r="C877" s="29"/>
      <c r="D877" s="29"/>
      <c r="E877" s="29"/>
      <c r="F877" s="29"/>
      <c r="G877" s="29"/>
      <c r="H877" s="12"/>
      <c r="I877" s="12"/>
      <c r="J877" s="12"/>
      <c r="K877" s="39"/>
      <c r="L877" s="12"/>
      <c r="M877" s="40"/>
      <c r="N877" s="29"/>
      <c r="O877" s="12"/>
      <c r="P877" s="39"/>
      <c r="Q877" s="12"/>
      <c r="R877" s="39"/>
      <c r="S877" s="39"/>
      <c r="T877" s="39"/>
      <c r="U877" s="39"/>
      <c r="V877" s="39"/>
      <c r="W877" s="39"/>
      <c r="X877" s="39"/>
      <c r="Y877" s="39"/>
      <c r="Z877" s="39"/>
      <c r="AA877" s="39"/>
      <c r="AB877" s="39"/>
      <c r="AC877" s="39"/>
    </row>
    <row r="878">
      <c r="A878" s="23"/>
      <c r="B878" s="24"/>
      <c r="C878" s="29"/>
      <c r="D878" s="29"/>
      <c r="E878" s="29"/>
      <c r="F878" s="29"/>
      <c r="G878" s="29"/>
      <c r="H878" s="12"/>
      <c r="I878" s="12"/>
      <c r="J878" s="12"/>
      <c r="K878" s="39"/>
      <c r="L878" s="12"/>
      <c r="M878" s="40"/>
      <c r="N878" s="29"/>
      <c r="O878" s="12"/>
      <c r="P878" s="39"/>
      <c r="Q878" s="12"/>
      <c r="R878" s="39"/>
      <c r="S878" s="39"/>
      <c r="T878" s="39"/>
      <c r="U878" s="39"/>
      <c r="V878" s="39"/>
      <c r="W878" s="39"/>
      <c r="X878" s="39"/>
      <c r="Y878" s="39"/>
      <c r="Z878" s="39"/>
      <c r="AA878" s="39"/>
      <c r="AB878" s="39"/>
      <c r="AC878" s="39"/>
    </row>
    <row r="879">
      <c r="A879" s="23"/>
      <c r="B879" s="24"/>
      <c r="C879" s="29"/>
      <c r="D879" s="29"/>
      <c r="E879" s="29"/>
      <c r="F879" s="29"/>
      <c r="G879" s="29"/>
      <c r="H879" s="12"/>
      <c r="I879" s="12"/>
      <c r="J879" s="12"/>
      <c r="K879" s="39"/>
      <c r="L879" s="12"/>
      <c r="M879" s="40"/>
      <c r="N879" s="29"/>
      <c r="O879" s="12"/>
      <c r="P879" s="39"/>
      <c r="Q879" s="12"/>
      <c r="R879" s="39"/>
      <c r="S879" s="39"/>
      <c r="T879" s="39"/>
      <c r="U879" s="39"/>
      <c r="V879" s="39"/>
      <c r="W879" s="39"/>
      <c r="X879" s="39"/>
      <c r="Y879" s="39"/>
      <c r="Z879" s="39"/>
      <c r="AA879" s="39"/>
      <c r="AB879" s="39"/>
      <c r="AC879" s="39"/>
    </row>
    <row r="880">
      <c r="A880" s="23"/>
      <c r="B880" s="24"/>
      <c r="C880" s="29"/>
      <c r="D880" s="29"/>
      <c r="E880" s="29"/>
      <c r="F880" s="29"/>
      <c r="G880" s="29"/>
      <c r="H880" s="12"/>
      <c r="I880" s="12"/>
      <c r="J880" s="12"/>
      <c r="K880" s="39"/>
      <c r="L880" s="12"/>
      <c r="M880" s="40"/>
      <c r="N880" s="29"/>
      <c r="O880" s="12"/>
      <c r="P880" s="39"/>
      <c r="Q880" s="12"/>
      <c r="R880" s="39"/>
      <c r="S880" s="39"/>
      <c r="T880" s="39"/>
      <c r="U880" s="39"/>
      <c r="V880" s="39"/>
      <c r="W880" s="39"/>
      <c r="X880" s="39"/>
      <c r="Y880" s="39"/>
      <c r="Z880" s="39"/>
      <c r="AA880" s="39"/>
      <c r="AB880" s="39"/>
      <c r="AC880" s="39"/>
    </row>
    <row r="881">
      <c r="A881" s="23"/>
      <c r="B881" s="24"/>
      <c r="C881" s="29"/>
      <c r="D881" s="29"/>
      <c r="E881" s="29"/>
      <c r="F881" s="29"/>
      <c r="G881" s="29"/>
      <c r="H881" s="12"/>
      <c r="I881" s="12"/>
      <c r="J881" s="12"/>
      <c r="K881" s="39"/>
      <c r="L881" s="12"/>
      <c r="M881" s="40"/>
      <c r="N881" s="29"/>
      <c r="O881" s="12"/>
      <c r="P881" s="39"/>
      <c r="Q881" s="12"/>
      <c r="R881" s="39"/>
      <c r="S881" s="39"/>
      <c r="T881" s="39"/>
      <c r="U881" s="39"/>
      <c r="V881" s="39"/>
      <c r="W881" s="39"/>
      <c r="X881" s="39"/>
      <c r="Y881" s="39"/>
      <c r="Z881" s="39"/>
      <c r="AA881" s="39"/>
      <c r="AB881" s="39"/>
      <c r="AC881" s="39"/>
    </row>
    <row r="882">
      <c r="A882" s="23"/>
      <c r="B882" s="24"/>
      <c r="C882" s="29"/>
      <c r="D882" s="29"/>
      <c r="E882" s="29"/>
      <c r="F882" s="29"/>
      <c r="G882" s="29"/>
      <c r="H882" s="12"/>
      <c r="I882" s="12"/>
      <c r="J882" s="12"/>
      <c r="K882" s="39"/>
      <c r="L882" s="12"/>
      <c r="M882" s="40"/>
      <c r="N882" s="29"/>
      <c r="O882" s="12"/>
      <c r="P882" s="39"/>
      <c r="Q882" s="12"/>
      <c r="R882" s="39"/>
      <c r="S882" s="39"/>
      <c r="T882" s="39"/>
      <c r="U882" s="39"/>
      <c r="V882" s="39"/>
      <c r="W882" s="39"/>
      <c r="X882" s="39"/>
      <c r="Y882" s="39"/>
      <c r="Z882" s="39"/>
      <c r="AA882" s="39"/>
      <c r="AB882" s="39"/>
      <c r="AC882" s="39"/>
    </row>
    <row r="883">
      <c r="A883" s="23"/>
      <c r="B883" s="24"/>
      <c r="C883" s="29"/>
      <c r="D883" s="29"/>
      <c r="E883" s="29"/>
      <c r="F883" s="29"/>
      <c r="G883" s="29"/>
      <c r="H883" s="12"/>
      <c r="I883" s="12"/>
      <c r="J883" s="12"/>
      <c r="K883" s="39"/>
      <c r="L883" s="12"/>
      <c r="M883" s="40"/>
      <c r="N883" s="29"/>
      <c r="O883" s="12"/>
      <c r="P883" s="39"/>
      <c r="Q883" s="12"/>
      <c r="R883" s="39"/>
      <c r="S883" s="39"/>
      <c r="T883" s="39"/>
      <c r="U883" s="39"/>
      <c r="V883" s="39"/>
      <c r="W883" s="39"/>
      <c r="X883" s="39"/>
      <c r="Y883" s="39"/>
      <c r="Z883" s="39"/>
      <c r="AA883" s="39"/>
      <c r="AB883" s="39"/>
      <c r="AC883" s="39"/>
    </row>
    <row r="884">
      <c r="A884" s="23"/>
      <c r="B884" s="24"/>
      <c r="C884" s="29"/>
      <c r="D884" s="29"/>
      <c r="E884" s="29"/>
      <c r="F884" s="29"/>
      <c r="G884" s="29"/>
      <c r="H884" s="12"/>
      <c r="I884" s="12"/>
      <c r="J884" s="12"/>
      <c r="K884" s="39"/>
      <c r="L884" s="12"/>
      <c r="M884" s="40"/>
      <c r="N884" s="29"/>
      <c r="O884" s="12"/>
      <c r="P884" s="39"/>
      <c r="Q884" s="12"/>
      <c r="R884" s="39"/>
      <c r="S884" s="39"/>
      <c r="T884" s="39"/>
      <c r="U884" s="39"/>
      <c r="V884" s="39"/>
      <c r="W884" s="39"/>
      <c r="X884" s="39"/>
      <c r="Y884" s="39"/>
      <c r="Z884" s="39"/>
      <c r="AA884" s="39"/>
      <c r="AB884" s="39"/>
      <c r="AC884" s="39"/>
    </row>
    <row r="885">
      <c r="A885" s="23"/>
      <c r="B885" s="24"/>
      <c r="C885" s="29"/>
      <c r="D885" s="29"/>
      <c r="E885" s="29"/>
      <c r="F885" s="29"/>
      <c r="G885" s="29"/>
      <c r="H885" s="12"/>
      <c r="I885" s="12"/>
      <c r="J885" s="12"/>
      <c r="K885" s="39"/>
      <c r="L885" s="12"/>
      <c r="M885" s="40"/>
      <c r="N885" s="29"/>
      <c r="O885" s="12"/>
      <c r="P885" s="39"/>
      <c r="Q885" s="12"/>
      <c r="R885" s="39"/>
      <c r="S885" s="39"/>
      <c r="T885" s="39"/>
      <c r="U885" s="39"/>
      <c r="V885" s="39"/>
      <c r="W885" s="39"/>
      <c r="X885" s="39"/>
      <c r="Y885" s="39"/>
      <c r="Z885" s="39"/>
      <c r="AA885" s="39"/>
      <c r="AB885" s="39"/>
      <c r="AC885" s="39"/>
    </row>
    <row r="886">
      <c r="A886" s="23"/>
      <c r="B886" s="24"/>
      <c r="C886" s="29"/>
      <c r="D886" s="29"/>
      <c r="E886" s="29"/>
      <c r="F886" s="29"/>
      <c r="G886" s="29"/>
      <c r="H886" s="12"/>
      <c r="I886" s="12"/>
      <c r="J886" s="12"/>
      <c r="K886" s="39"/>
      <c r="L886" s="12"/>
      <c r="M886" s="40"/>
      <c r="N886" s="29"/>
      <c r="O886" s="12"/>
      <c r="P886" s="39"/>
      <c r="Q886" s="12"/>
      <c r="R886" s="39"/>
      <c r="S886" s="39"/>
      <c r="T886" s="39"/>
      <c r="U886" s="39"/>
      <c r="V886" s="39"/>
      <c r="W886" s="39"/>
      <c r="X886" s="39"/>
      <c r="Y886" s="39"/>
      <c r="Z886" s="39"/>
      <c r="AA886" s="39"/>
      <c r="AB886" s="39"/>
      <c r="AC886" s="39"/>
    </row>
    <row r="887">
      <c r="A887" s="23"/>
      <c r="B887" s="24"/>
      <c r="C887" s="29"/>
      <c r="D887" s="29"/>
      <c r="E887" s="29"/>
      <c r="F887" s="29"/>
      <c r="G887" s="29"/>
      <c r="H887" s="12"/>
      <c r="I887" s="12"/>
      <c r="J887" s="12"/>
      <c r="K887" s="39"/>
      <c r="L887" s="12"/>
      <c r="M887" s="40"/>
      <c r="N887" s="29"/>
      <c r="O887" s="12"/>
      <c r="P887" s="39"/>
      <c r="Q887" s="12"/>
      <c r="R887" s="39"/>
      <c r="S887" s="39"/>
      <c r="T887" s="39"/>
      <c r="U887" s="39"/>
      <c r="V887" s="39"/>
      <c r="W887" s="39"/>
      <c r="X887" s="39"/>
      <c r="Y887" s="39"/>
      <c r="Z887" s="39"/>
      <c r="AA887" s="39"/>
      <c r="AB887" s="39"/>
      <c r="AC887" s="39"/>
    </row>
    <row r="888">
      <c r="A888" s="23"/>
      <c r="B888" s="24"/>
      <c r="C888" s="29"/>
      <c r="D888" s="29"/>
      <c r="E888" s="29"/>
      <c r="F888" s="29"/>
      <c r="G888" s="29"/>
      <c r="H888" s="12"/>
      <c r="I888" s="12"/>
      <c r="J888" s="12"/>
      <c r="K888" s="39"/>
      <c r="L888" s="12"/>
      <c r="M888" s="40"/>
      <c r="N888" s="29"/>
      <c r="O888" s="12"/>
      <c r="P888" s="39"/>
      <c r="Q888" s="12"/>
      <c r="R888" s="39"/>
      <c r="S888" s="39"/>
      <c r="T888" s="39"/>
      <c r="U888" s="39"/>
      <c r="V888" s="39"/>
      <c r="W888" s="39"/>
      <c r="X888" s="39"/>
      <c r="Y888" s="39"/>
      <c r="Z888" s="39"/>
      <c r="AA888" s="39"/>
      <c r="AB888" s="39"/>
      <c r="AC888" s="39"/>
    </row>
    <row r="889">
      <c r="A889" s="23"/>
      <c r="B889" s="24"/>
      <c r="C889" s="29"/>
      <c r="D889" s="29"/>
      <c r="E889" s="29"/>
      <c r="F889" s="29"/>
      <c r="G889" s="29"/>
      <c r="H889" s="12"/>
      <c r="I889" s="12"/>
      <c r="J889" s="12"/>
      <c r="K889" s="39"/>
      <c r="L889" s="12"/>
      <c r="M889" s="40"/>
      <c r="N889" s="29"/>
      <c r="O889" s="12"/>
      <c r="P889" s="39"/>
      <c r="Q889" s="12"/>
      <c r="R889" s="39"/>
      <c r="S889" s="39"/>
      <c r="T889" s="39"/>
      <c r="U889" s="39"/>
      <c r="V889" s="39"/>
      <c r="W889" s="39"/>
      <c r="X889" s="39"/>
      <c r="Y889" s="39"/>
      <c r="Z889" s="39"/>
      <c r="AA889" s="39"/>
      <c r="AB889" s="39"/>
      <c r="AC889" s="39"/>
    </row>
    <row r="890">
      <c r="A890" s="23"/>
      <c r="B890" s="24"/>
      <c r="C890" s="29"/>
      <c r="D890" s="29"/>
      <c r="E890" s="29"/>
      <c r="F890" s="29"/>
      <c r="G890" s="29"/>
      <c r="H890" s="12"/>
      <c r="I890" s="12"/>
      <c r="J890" s="12"/>
      <c r="K890" s="39"/>
      <c r="L890" s="12"/>
      <c r="M890" s="40"/>
      <c r="N890" s="29"/>
      <c r="O890" s="12"/>
      <c r="P890" s="39"/>
      <c r="Q890" s="12"/>
      <c r="R890" s="39"/>
      <c r="S890" s="39"/>
      <c r="T890" s="39"/>
      <c r="U890" s="39"/>
      <c r="V890" s="39"/>
      <c r="W890" s="39"/>
      <c r="X890" s="39"/>
      <c r="Y890" s="39"/>
      <c r="Z890" s="39"/>
      <c r="AA890" s="39"/>
      <c r="AB890" s="39"/>
      <c r="AC890" s="39"/>
    </row>
    <row r="891">
      <c r="A891" s="23"/>
      <c r="B891" s="24"/>
      <c r="C891" s="29"/>
      <c r="D891" s="29"/>
      <c r="E891" s="29"/>
      <c r="F891" s="29"/>
      <c r="G891" s="29"/>
      <c r="H891" s="12"/>
      <c r="I891" s="12"/>
      <c r="J891" s="12"/>
      <c r="K891" s="39"/>
      <c r="L891" s="12"/>
      <c r="M891" s="40"/>
      <c r="N891" s="29"/>
      <c r="O891" s="12"/>
      <c r="P891" s="39"/>
      <c r="Q891" s="12"/>
      <c r="R891" s="39"/>
      <c r="S891" s="39"/>
      <c r="T891" s="39"/>
      <c r="U891" s="39"/>
      <c r="V891" s="39"/>
      <c r="W891" s="39"/>
      <c r="X891" s="39"/>
      <c r="Y891" s="39"/>
      <c r="Z891" s="39"/>
      <c r="AA891" s="39"/>
      <c r="AB891" s="39"/>
      <c r="AC891" s="39"/>
    </row>
    <row r="892">
      <c r="A892" s="23"/>
      <c r="B892" s="24"/>
      <c r="C892" s="29"/>
      <c r="D892" s="29"/>
      <c r="E892" s="29"/>
      <c r="F892" s="29"/>
      <c r="G892" s="29"/>
      <c r="H892" s="12"/>
      <c r="I892" s="12"/>
      <c r="J892" s="12"/>
      <c r="K892" s="39"/>
      <c r="L892" s="12"/>
      <c r="M892" s="40"/>
      <c r="N892" s="29"/>
      <c r="O892" s="12"/>
      <c r="P892" s="39"/>
      <c r="Q892" s="12"/>
      <c r="R892" s="39"/>
      <c r="S892" s="39"/>
      <c r="T892" s="39"/>
      <c r="U892" s="39"/>
      <c r="V892" s="39"/>
      <c r="W892" s="39"/>
      <c r="X892" s="39"/>
      <c r="Y892" s="39"/>
      <c r="Z892" s="39"/>
      <c r="AA892" s="39"/>
      <c r="AB892" s="39"/>
      <c r="AC892" s="39"/>
    </row>
    <row r="893">
      <c r="A893" s="23"/>
      <c r="B893" s="24"/>
      <c r="C893" s="29"/>
      <c r="D893" s="29"/>
      <c r="E893" s="29"/>
      <c r="F893" s="29"/>
      <c r="G893" s="29"/>
      <c r="H893" s="12"/>
      <c r="I893" s="12"/>
      <c r="J893" s="12"/>
      <c r="K893" s="39"/>
      <c r="L893" s="12"/>
      <c r="M893" s="40"/>
      <c r="N893" s="29"/>
      <c r="O893" s="12"/>
      <c r="P893" s="39"/>
      <c r="Q893" s="12"/>
      <c r="R893" s="39"/>
      <c r="S893" s="39"/>
      <c r="T893" s="39"/>
      <c r="U893" s="39"/>
      <c r="V893" s="39"/>
      <c r="W893" s="39"/>
      <c r="X893" s="39"/>
      <c r="Y893" s="39"/>
      <c r="Z893" s="39"/>
      <c r="AA893" s="39"/>
      <c r="AB893" s="39"/>
      <c r="AC893" s="39"/>
    </row>
    <row r="894">
      <c r="A894" s="23"/>
      <c r="B894" s="24"/>
      <c r="C894" s="29"/>
      <c r="D894" s="29"/>
      <c r="E894" s="29"/>
      <c r="F894" s="29"/>
      <c r="G894" s="29"/>
      <c r="H894" s="12"/>
      <c r="I894" s="12"/>
      <c r="J894" s="12"/>
      <c r="K894" s="39"/>
      <c r="L894" s="12"/>
      <c r="M894" s="40"/>
      <c r="N894" s="29"/>
      <c r="O894" s="12"/>
      <c r="P894" s="39"/>
      <c r="Q894" s="12"/>
      <c r="R894" s="39"/>
      <c r="S894" s="39"/>
      <c r="T894" s="39"/>
      <c r="U894" s="39"/>
      <c r="V894" s="39"/>
      <c r="W894" s="39"/>
      <c r="X894" s="39"/>
      <c r="Y894" s="39"/>
      <c r="Z894" s="39"/>
      <c r="AA894" s="39"/>
      <c r="AB894" s="39"/>
      <c r="AC894" s="39"/>
    </row>
    <row r="895">
      <c r="A895" s="23"/>
      <c r="B895" s="24"/>
      <c r="C895" s="29"/>
      <c r="D895" s="29"/>
      <c r="E895" s="29"/>
      <c r="F895" s="29"/>
      <c r="G895" s="29"/>
      <c r="H895" s="12"/>
      <c r="I895" s="12"/>
      <c r="J895" s="12"/>
      <c r="K895" s="39"/>
      <c r="L895" s="12"/>
      <c r="M895" s="40"/>
      <c r="N895" s="29"/>
      <c r="O895" s="12"/>
      <c r="P895" s="39"/>
      <c r="Q895" s="12"/>
      <c r="R895" s="39"/>
      <c r="S895" s="39"/>
      <c r="T895" s="39"/>
      <c r="U895" s="39"/>
      <c r="V895" s="39"/>
      <c r="W895" s="39"/>
      <c r="X895" s="39"/>
      <c r="Y895" s="39"/>
      <c r="Z895" s="39"/>
      <c r="AA895" s="39"/>
      <c r="AB895" s="39"/>
      <c r="AC895" s="39"/>
    </row>
    <row r="896">
      <c r="A896" s="23"/>
      <c r="B896" s="24"/>
      <c r="C896" s="29"/>
      <c r="D896" s="29"/>
      <c r="E896" s="29"/>
      <c r="F896" s="29"/>
      <c r="G896" s="29"/>
      <c r="H896" s="12"/>
      <c r="I896" s="12"/>
      <c r="J896" s="12"/>
      <c r="K896" s="39"/>
      <c r="L896" s="12"/>
      <c r="M896" s="40"/>
      <c r="N896" s="29"/>
      <c r="O896" s="12"/>
      <c r="P896" s="39"/>
      <c r="Q896" s="12"/>
      <c r="R896" s="39"/>
      <c r="S896" s="39"/>
      <c r="T896" s="39"/>
      <c r="U896" s="39"/>
      <c r="V896" s="39"/>
      <c r="W896" s="39"/>
      <c r="X896" s="39"/>
      <c r="Y896" s="39"/>
      <c r="Z896" s="39"/>
      <c r="AA896" s="39"/>
      <c r="AB896" s="39"/>
      <c r="AC896" s="39"/>
    </row>
    <row r="897">
      <c r="A897" s="23"/>
      <c r="B897" s="24"/>
      <c r="C897" s="29"/>
      <c r="D897" s="29"/>
      <c r="E897" s="29"/>
      <c r="F897" s="29"/>
      <c r="G897" s="29"/>
      <c r="H897" s="12"/>
      <c r="I897" s="12"/>
      <c r="J897" s="12"/>
      <c r="K897" s="39"/>
      <c r="L897" s="12"/>
      <c r="M897" s="40"/>
      <c r="N897" s="29"/>
      <c r="O897" s="12"/>
      <c r="P897" s="39"/>
      <c r="Q897" s="12"/>
      <c r="R897" s="39"/>
      <c r="S897" s="39"/>
      <c r="T897" s="39"/>
      <c r="U897" s="39"/>
      <c r="V897" s="39"/>
      <c r="W897" s="39"/>
      <c r="X897" s="39"/>
      <c r="Y897" s="39"/>
      <c r="Z897" s="39"/>
      <c r="AA897" s="39"/>
      <c r="AB897" s="39"/>
      <c r="AC897" s="39"/>
    </row>
    <row r="898">
      <c r="A898" s="23"/>
      <c r="B898" s="24"/>
      <c r="C898" s="29"/>
      <c r="D898" s="29"/>
      <c r="E898" s="29"/>
      <c r="F898" s="29"/>
      <c r="G898" s="29"/>
      <c r="H898" s="12"/>
      <c r="I898" s="12"/>
      <c r="J898" s="12"/>
      <c r="K898" s="39"/>
      <c r="L898" s="12"/>
      <c r="M898" s="40"/>
      <c r="N898" s="29"/>
      <c r="O898" s="12"/>
      <c r="P898" s="39"/>
      <c r="Q898" s="12"/>
      <c r="R898" s="39"/>
      <c r="S898" s="39"/>
      <c r="T898" s="39"/>
      <c r="U898" s="39"/>
      <c r="V898" s="39"/>
      <c r="W898" s="39"/>
      <c r="X898" s="39"/>
      <c r="Y898" s="39"/>
      <c r="Z898" s="39"/>
      <c r="AA898" s="39"/>
      <c r="AB898" s="39"/>
      <c r="AC898" s="39"/>
    </row>
    <row r="899">
      <c r="A899" s="23"/>
      <c r="B899" s="24"/>
      <c r="C899" s="29"/>
      <c r="D899" s="29"/>
      <c r="E899" s="29"/>
      <c r="F899" s="29"/>
      <c r="G899" s="29"/>
      <c r="H899" s="12"/>
      <c r="I899" s="12"/>
      <c r="J899" s="12"/>
      <c r="K899" s="39"/>
      <c r="L899" s="12"/>
      <c r="M899" s="40"/>
      <c r="N899" s="29"/>
      <c r="O899" s="12"/>
      <c r="P899" s="39"/>
      <c r="Q899" s="12"/>
      <c r="R899" s="39"/>
      <c r="S899" s="39"/>
      <c r="T899" s="39"/>
      <c r="U899" s="39"/>
      <c r="V899" s="39"/>
      <c r="W899" s="39"/>
      <c r="X899" s="39"/>
      <c r="Y899" s="39"/>
      <c r="Z899" s="39"/>
      <c r="AA899" s="39"/>
      <c r="AB899" s="39"/>
      <c r="AC899" s="39"/>
    </row>
    <row r="900">
      <c r="A900" s="23"/>
      <c r="B900" s="24"/>
      <c r="C900" s="29"/>
      <c r="D900" s="29"/>
      <c r="E900" s="29"/>
      <c r="F900" s="29"/>
      <c r="G900" s="29"/>
      <c r="H900" s="12"/>
      <c r="I900" s="12"/>
      <c r="J900" s="12"/>
      <c r="K900" s="39"/>
      <c r="L900" s="12"/>
      <c r="M900" s="40"/>
      <c r="N900" s="29"/>
      <c r="O900" s="12"/>
      <c r="P900" s="39"/>
      <c r="Q900" s="12"/>
      <c r="R900" s="39"/>
      <c r="S900" s="39"/>
      <c r="T900" s="39"/>
      <c r="U900" s="39"/>
      <c r="V900" s="39"/>
      <c r="W900" s="39"/>
      <c r="X900" s="39"/>
      <c r="Y900" s="39"/>
      <c r="Z900" s="39"/>
      <c r="AA900" s="39"/>
      <c r="AB900" s="39"/>
      <c r="AC900" s="39"/>
    </row>
    <row r="901">
      <c r="A901" s="23"/>
      <c r="B901" s="24"/>
      <c r="C901" s="29"/>
      <c r="D901" s="29"/>
      <c r="E901" s="29"/>
      <c r="F901" s="29"/>
      <c r="G901" s="29"/>
      <c r="H901" s="12"/>
      <c r="I901" s="12"/>
      <c r="J901" s="12"/>
      <c r="K901" s="39"/>
      <c r="L901" s="12"/>
      <c r="M901" s="40"/>
      <c r="N901" s="29"/>
      <c r="O901" s="12"/>
      <c r="P901" s="39"/>
      <c r="Q901" s="12"/>
      <c r="R901" s="39"/>
      <c r="S901" s="39"/>
      <c r="T901" s="39"/>
      <c r="U901" s="39"/>
      <c r="V901" s="39"/>
      <c r="W901" s="39"/>
      <c r="X901" s="39"/>
      <c r="Y901" s="39"/>
      <c r="Z901" s="39"/>
      <c r="AA901" s="39"/>
      <c r="AB901" s="39"/>
      <c r="AC901" s="39"/>
    </row>
    <row r="902">
      <c r="A902" s="23"/>
      <c r="B902" s="24"/>
      <c r="C902" s="29"/>
      <c r="D902" s="29"/>
      <c r="E902" s="29"/>
      <c r="F902" s="29"/>
      <c r="G902" s="29"/>
      <c r="H902" s="12"/>
      <c r="I902" s="12"/>
      <c r="J902" s="12"/>
      <c r="K902" s="39"/>
      <c r="L902" s="12"/>
      <c r="M902" s="40"/>
      <c r="N902" s="29"/>
      <c r="O902" s="12"/>
      <c r="P902" s="39"/>
      <c r="Q902" s="12"/>
      <c r="R902" s="39"/>
      <c r="S902" s="39"/>
      <c r="T902" s="39"/>
      <c r="U902" s="39"/>
      <c r="V902" s="39"/>
      <c r="W902" s="39"/>
      <c r="X902" s="39"/>
      <c r="Y902" s="39"/>
      <c r="Z902" s="39"/>
      <c r="AA902" s="39"/>
      <c r="AB902" s="39"/>
      <c r="AC902" s="39"/>
    </row>
    <row r="903">
      <c r="A903" s="23"/>
      <c r="B903" s="24"/>
      <c r="C903" s="29"/>
      <c r="D903" s="29"/>
      <c r="E903" s="29"/>
      <c r="F903" s="29"/>
      <c r="G903" s="29"/>
      <c r="H903" s="12"/>
      <c r="I903" s="12"/>
      <c r="J903" s="12"/>
      <c r="K903" s="39"/>
      <c r="L903" s="12"/>
      <c r="M903" s="40"/>
      <c r="N903" s="29"/>
      <c r="O903" s="12"/>
      <c r="P903" s="39"/>
      <c r="Q903" s="12"/>
      <c r="R903" s="39"/>
      <c r="S903" s="39"/>
      <c r="T903" s="39"/>
      <c r="U903" s="39"/>
      <c r="V903" s="39"/>
      <c r="W903" s="39"/>
      <c r="X903" s="39"/>
      <c r="Y903" s="39"/>
      <c r="Z903" s="39"/>
      <c r="AA903" s="39"/>
      <c r="AB903" s="39"/>
      <c r="AC903" s="39"/>
    </row>
    <row r="904">
      <c r="A904" s="23"/>
      <c r="B904" s="24"/>
      <c r="C904" s="29"/>
      <c r="D904" s="29"/>
      <c r="E904" s="29"/>
      <c r="F904" s="29"/>
      <c r="G904" s="29"/>
      <c r="H904" s="12"/>
      <c r="I904" s="12"/>
      <c r="J904" s="12"/>
      <c r="K904" s="39"/>
      <c r="L904" s="12"/>
      <c r="M904" s="40"/>
      <c r="N904" s="29"/>
      <c r="O904" s="12"/>
      <c r="P904" s="39"/>
      <c r="Q904" s="12"/>
      <c r="R904" s="39"/>
      <c r="S904" s="39"/>
      <c r="T904" s="39"/>
      <c r="U904" s="39"/>
      <c r="V904" s="39"/>
      <c r="W904" s="39"/>
      <c r="X904" s="39"/>
      <c r="Y904" s="39"/>
      <c r="Z904" s="39"/>
      <c r="AA904" s="39"/>
      <c r="AB904" s="39"/>
      <c r="AC904" s="39"/>
    </row>
    <row r="905">
      <c r="A905" s="23"/>
      <c r="B905" s="24"/>
      <c r="C905" s="29"/>
      <c r="D905" s="29"/>
      <c r="E905" s="29"/>
      <c r="F905" s="29"/>
      <c r="G905" s="29"/>
      <c r="H905" s="12"/>
      <c r="I905" s="12"/>
      <c r="J905" s="12"/>
      <c r="K905" s="39"/>
      <c r="L905" s="12"/>
      <c r="M905" s="40"/>
      <c r="N905" s="29"/>
      <c r="O905" s="12"/>
      <c r="P905" s="39"/>
      <c r="Q905" s="12"/>
      <c r="R905" s="39"/>
      <c r="S905" s="39"/>
      <c r="T905" s="39"/>
      <c r="U905" s="39"/>
      <c r="V905" s="39"/>
      <c r="W905" s="39"/>
      <c r="X905" s="39"/>
      <c r="Y905" s="39"/>
      <c r="Z905" s="39"/>
      <c r="AA905" s="39"/>
      <c r="AB905" s="39"/>
      <c r="AC905" s="39"/>
    </row>
    <row r="906">
      <c r="A906" s="23"/>
      <c r="B906" s="24"/>
      <c r="C906" s="29"/>
      <c r="D906" s="29"/>
      <c r="E906" s="29"/>
      <c r="F906" s="29"/>
      <c r="G906" s="29"/>
      <c r="H906" s="12"/>
      <c r="I906" s="12"/>
      <c r="J906" s="12"/>
      <c r="K906" s="39"/>
      <c r="L906" s="12"/>
      <c r="M906" s="40"/>
      <c r="N906" s="29"/>
      <c r="O906" s="12"/>
      <c r="P906" s="39"/>
      <c r="Q906" s="12"/>
      <c r="R906" s="39"/>
      <c r="S906" s="39"/>
      <c r="T906" s="39"/>
      <c r="U906" s="39"/>
      <c r="V906" s="39"/>
      <c r="W906" s="39"/>
      <c r="X906" s="39"/>
      <c r="Y906" s="39"/>
      <c r="Z906" s="39"/>
      <c r="AA906" s="39"/>
      <c r="AB906" s="39"/>
      <c r="AC906" s="39"/>
    </row>
    <row r="907">
      <c r="A907" s="23"/>
      <c r="B907" s="24"/>
      <c r="C907" s="29"/>
      <c r="D907" s="29"/>
      <c r="E907" s="29"/>
      <c r="F907" s="29"/>
      <c r="G907" s="29"/>
      <c r="H907" s="12"/>
      <c r="I907" s="12"/>
      <c r="J907" s="12"/>
      <c r="K907" s="39"/>
      <c r="L907" s="12"/>
      <c r="M907" s="40"/>
      <c r="N907" s="29"/>
      <c r="O907" s="12"/>
      <c r="P907" s="39"/>
      <c r="Q907" s="12"/>
      <c r="R907" s="39"/>
      <c r="S907" s="39"/>
      <c r="T907" s="39"/>
      <c r="U907" s="39"/>
      <c r="V907" s="39"/>
      <c r="W907" s="39"/>
      <c r="X907" s="39"/>
      <c r="Y907" s="39"/>
      <c r="Z907" s="39"/>
      <c r="AA907" s="39"/>
      <c r="AB907" s="39"/>
      <c r="AC907" s="39"/>
    </row>
    <row r="908">
      <c r="A908" s="23"/>
      <c r="B908" s="24"/>
      <c r="C908" s="29"/>
      <c r="D908" s="29"/>
      <c r="E908" s="29"/>
      <c r="F908" s="29"/>
      <c r="G908" s="29"/>
      <c r="H908" s="12"/>
      <c r="I908" s="12"/>
      <c r="J908" s="12"/>
      <c r="K908" s="39"/>
      <c r="L908" s="12"/>
      <c r="M908" s="40"/>
      <c r="N908" s="29"/>
      <c r="O908" s="12"/>
      <c r="P908" s="39"/>
      <c r="Q908" s="12"/>
      <c r="R908" s="39"/>
      <c r="S908" s="39"/>
      <c r="T908" s="39"/>
      <c r="U908" s="39"/>
      <c r="V908" s="39"/>
      <c r="W908" s="39"/>
      <c r="X908" s="39"/>
      <c r="Y908" s="39"/>
      <c r="Z908" s="39"/>
      <c r="AA908" s="39"/>
      <c r="AB908" s="39"/>
      <c r="AC908" s="39"/>
    </row>
    <row r="909">
      <c r="A909" s="23"/>
      <c r="B909" s="24"/>
      <c r="C909" s="29"/>
      <c r="D909" s="29"/>
      <c r="E909" s="29"/>
      <c r="F909" s="29"/>
      <c r="G909" s="29"/>
      <c r="H909" s="12"/>
      <c r="I909" s="12"/>
      <c r="J909" s="12"/>
      <c r="K909" s="39"/>
      <c r="L909" s="12"/>
      <c r="M909" s="40"/>
      <c r="N909" s="29"/>
      <c r="O909" s="12"/>
      <c r="P909" s="39"/>
      <c r="Q909" s="12"/>
      <c r="R909" s="39"/>
      <c r="S909" s="39"/>
      <c r="T909" s="39"/>
      <c r="U909" s="39"/>
      <c r="V909" s="39"/>
      <c r="W909" s="39"/>
      <c r="X909" s="39"/>
      <c r="Y909" s="39"/>
      <c r="Z909" s="39"/>
      <c r="AA909" s="39"/>
      <c r="AB909" s="39"/>
      <c r="AC909" s="39"/>
    </row>
    <row r="910">
      <c r="A910" s="23"/>
      <c r="B910" s="24"/>
      <c r="C910" s="29"/>
      <c r="D910" s="29"/>
      <c r="E910" s="29"/>
      <c r="F910" s="29"/>
      <c r="G910" s="29"/>
      <c r="H910" s="12"/>
      <c r="I910" s="12"/>
      <c r="J910" s="12"/>
      <c r="K910" s="39"/>
      <c r="L910" s="12"/>
      <c r="M910" s="40"/>
      <c r="N910" s="29"/>
      <c r="O910" s="12"/>
      <c r="P910" s="39"/>
      <c r="Q910" s="12"/>
      <c r="R910" s="39"/>
      <c r="S910" s="39"/>
      <c r="T910" s="39"/>
      <c r="U910" s="39"/>
      <c r="V910" s="39"/>
      <c r="W910" s="39"/>
      <c r="X910" s="39"/>
      <c r="Y910" s="39"/>
      <c r="Z910" s="39"/>
      <c r="AA910" s="39"/>
      <c r="AB910" s="39"/>
      <c r="AC910" s="39"/>
    </row>
    <row r="911">
      <c r="A911" s="23"/>
      <c r="B911" s="24"/>
      <c r="C911" s="29"/>
      <c r="D911" s="29"/>
      <c r="E911" s="29"/>
      <c r="F911" s="29"/>
      <c r="G911" s="29"/>
      <c r="H911" s="12"/>
      <c r="I911" s="12"/>
      <c r="J911" s="12"/>
      <c r="K911" s="39"/>
      <c r="L911" s="12"/>
      <c r="M911" s="40"/>
      <c r="N911" s="29"/>
      <c r="O911" s="12"/>
      <c r="P911" s="39"/>
      <c r="Q911" s="12"/>
      <c r="R911" s="39"/>
      <c r="S911" s="39"/>
      <c r="T911" s="39"/>
      <c r="U911" s="39"/>
      <c r="V911" s="39"/>
      <c r="W911" s="39"/>
      <c r="X911" s="39"/>
      <c r="Y911" s="39"/>
      <c r="Z911" s="39"/>
      <c r="AA911" s="39"/>
      <c r="AB911" s="39"/>
      <c r="AC911" s="39"/>
    </row>
    <row r="912">
      <c r="A912" s="23"/>
      <c r="B912" s="24"/>
      <c r="C912" s="29"/>
      <c r="D912" s="29"/>
      <c r="E912" s="29"/>
      <c r="F912" s="29"/>
      <c r="G912" s="29"/>
      <c r="H912" s="12"/>
      <c r="I912" s="12"/>
      <c r="J912" s="12"/>
      <c r="K912" s="39"/>
      <c r="L912" s="12"/>
      <c r="M912" s="40"/>
      <c r="N912" s="29"/>
      <c r="O912" s="12"/>
      <c r="P912" s="39"/>
      <c r="Q912" s="12"/>
      <c r="R912" s="39"/>
      <c r="S912" s="39"/>
      <c r="T912" s="39"/>
      <c r="U912" s="39"/>
      <c r="V912" s="39"/>
      <c r="W912" s="39"/>
      <c r="X912" s="39"/>
      <c r="Y912" s="39"/>
      <c r="Z912" s="39"/>
      <c r="AA912" s="39"/>
      <c r="AB912" s="39"/>
      <c r="AC912" s="39"/>
    </row>
    <row r="913">
      <c r="A913" s="23"/>
      <c r="B913" s="24"/>
      <c r="C913" s="29"/>
      <c r="D913" s="29"/>
      <c r="E913" s="29"/>
      <c r="F913" s="29"/>
      <c r="G913" s="29"/>
      <c r="H913" s="12"/>
      <c r="I913" s="12"/>
      <c r="J913" s="12"/>
      <c r="K913" s="39"/>
      <c r="L913" s="12"/>
      <c r="M913" s="40"/>
      <c r="N913" s="29"/>
      <c r="O913" s="12"/>
      <c r="P913" s="39"/>
      <c r="Q913" s="12"/>
      <c r="R913" s="39"/>
      <c r="S913" s="39"/>
      <c r="T913" s="39"/>
      <c r="U913" s="39"/>
      <c r="V913" s="39"/>
      <c r="W913" s="39"/>
      <c r="X913" s="39"/>
      <c r="Y913" s="39"/>
      <c r="Z913" s="39"/>
      <c r="AA913" s="39"/>
      <c r="AB913" s="39"/>
      <c r="AC913" s="39"/>
    </row>
    <row r="914">
      <c r="A914" s="23"/>
      <c r="B914" s="24"/>
      <c r="C914" s="29"/>
      <c r="D914" s="29"/>
      <c r="E914" s="29"/>
      <c r="F914" s="29"/>
      <c r="G914" s="29"/>
      <c r="H914" s="12"/>
      <c r="I914" s="12"/>
      <c r="J914" s="12"/>
      <c r="K914" s="39"/>
      <c r="L914" s="12"/>
      <c r="M914" s="40"/>
      <c r="N914" s="29"/>
      <c r="O914" s="12"/>
      <c r="P914" s="39"/>
      <c r="Q914" s="12"/>
      <c r="R914" s="39"/>
      <c r="S914" s="39"/>
      <c r="T914" s="39"/>
      <c r="U914" s="39"/>
      <c r="V914" s="39"/>
      <c r="W914" s="39"/>
      <c r="X914" s="39"/>
      <c r="Y914" s="39"/>
      <c r="Z914" s="39"/>
      <c r="AA914" s="39"/>
      <c r="AB914" s="39"/>
      <c r="AC914" s="39"/>
    </row>
    <row r="915">
      <c r="A915" s="23"/>
      <c r="B915" s="24"/>
      <c r="C915" s="29"/>
      <c r="D915" s="29"/>
      <c r="E915" s="29"/>
      <c r="F915" s="29"/>
      <c r="G915" s="29"/>
      <c r="H915" s="12"/>
      <c r="I915" s="12"/>
      <c r="J915" s="12"/>
      <c r="K915" s="39"/>
      <c r="L915" s="12"/>
      <c r="M915" s="40"/>
      <c r="N915" s="29"/>
      <c r="O915" s="12"/>
      <c r="P915" s="39"/>
      <c r="Q915" s="12"/>
      <c r="R915" s="39"/>
      <c r="S915" s="39"/>
      <c r="T915" s="39"/>
      <c r="U915" s="39"/>
      <c r="V915" s="39"/>
      <c r="W915" s="39"/>
      <c r="X915" s="39"/>
      <c r="Y915" s="39"/>
      <c r="Z915" s="39"/>
      <c r="AA915" s="39"/>
      <c r="AB915" s="39"/>
      <c r="AC915" s="39"/>
    </row>
    <row r="916">
      <c r="A916" s="23"/>
      <c r="B916" s="24"/>
      <c r="C916" s="29"/>
      <c r="D916" s="29"/>
      <c r="E916" s="29"/>
      <c r="F916" s="29"/>
      <c r="G916" s="29"/>
      <c r="H916" s="12"/>
      <c r="I916" s="12"/>
      <c r="J916" s="12"/>
      <c r="K916" s="39"/>
      <c r="L916" s="12"/>
      <c r="M916" s="40"/>
      <c r="N916" s="29"/>
      <c r="O916" s="12"/>
      <c r="P916" s="39"/>
      <c r="Q916" s="12"/>
      <c r="R916" s="39"/>
      <c r="S916" s="39"/>
      <c r="T916" s="39"/>
      <c r="U916" s="39"/>
      <c r="V916" s="39"/>
      <c r="W916" s="39"/>
      <c r="X916" s="39"/>
      <c r="Y916" s="39"/>
      <c r="Z916" s="39"/>
      <c r="AA916" s="39"/>
      <c r="AB916" s="39"/>
      <c r="AC916" s="39"/>
    </row>
    <row r="917">
      <c r="A917" s="23"/>
      <c r="B917" s="24"/>
      <c r="C917" s="29"/>
      <c r="D917" s="29"/>
      <c r="E917" s="29"/>
      <c r="F917" s="29"/>
      <c r="G917" s="29"/>
      <c r="H917" s="12"/>
      <c r="I917" s="12"/>
      <c r="J917" s="12"/>
      <c r="K917" s="39"/>
      <c r="L917" s="12"/>
      <c r="M917" s="40"/>
      <c r="N917" s="29"/>
      <c r="O917" s="12"/>
      <c r="P917" s="39"/>
      <c r="Q917" s="12"/>
      <c r="R917" s="39"/>
      <c r="S917" s="39"/>
      <c r="T917" s="39"/>
      <c r="U917" s="39"/>
      <c r="V917" s="39"/>
      <c r="W917" s="39"/>
      <c r="X917" s="39"/>
      <c r="Y917" s="39"/>
      <c r="Z917" s="39"/>
      <c r="AA917" s="39"/>
      <c r="AB917" s="39"/>
      <c r="AC917" s="39"/>
    </row>
    <row r="918">
      <c r="A918" s="23"/>
      <c r="B918" s="24"/>
      <c r="C918" s="29"/>
      <c r="D918" s="29"/>
      <c r="E918" s="29"/>
      <c r="F918" s="29"/>
      <c r="G918" s="29"/>
      <c r="H918" s="12"/>
      <c r="I918" s="12"/>
      <c r="J918" s="12"/>
      <c r="K918" s="39"/>
      <c r="L918" s="12"/>
      <c r="M918" s="40"/>
      <c r="N918" s="29"/>
      <c r="O918" s="12"/>
      <c r="P918" s="39"/>
      <c r="Q918" s="12"/>
      <c r="R918" s="39"/>
      <c r="S918" s="39"/>
      <c r="T918" s="39"/>
      <c r="U918" s="39"/>
      <c r="V918" s="39"/>
      <c r="W918" s="39"/>
      <c r="X918" s="39"/>
      <c r="Y918" s="39"/>
      <c r="Z918" s="39"/>
      <c r="AA918" s="39"/>
      <c r="AB918" s="39"/>
      <c r="AC918" s="39"/>
    </row>
    <row r="919">
      <c r="A919" s="23"/>
      <c r="B919" s="24"/>
      <c r="C919" s="29"/>
      <c r="D919" s="29"/>
      <c r="E919" s="29"/>
      <c r="F919" s="29"/>
      <c r="G919" s="29"/>
      <c r="H919" s="12"/>
      <c r="I919" s="12"/>
      <c r="J919" s="12"/>
      <c r="K919" s="39"/>
      <c r="L919" s="12"/>
      <c r="M919" s="40"/>
      <c r="N919" s="29"/>
      <c r="O919" s="12"/>
      <c r="P919" s="39"/>
      <c r="Q919" s="12"/>
      <c r="R919" s="39"/>
      <c r="S919" s="39"/>
      <c r="T919" s="39"/>
      <c r="U919" s="39"/>
      <c r="V919" s="39"/>
      <c r="W919" s="39"/>
      <c r="X919" s="39"/>
      <c r="Y919" s="39"/>
      <c r="Z919" s="39"/>
      <c r="AA919" s="39"/>
      <c r="AB919" s="39"/>
      <c r="AC919" s="39"/>
    </row>
    <row r="920">
      <c r="A920" s="23"/>
      <c r="B920" s="24"/>
      <c r="C920" s="29"/>
      <c r="D920" s="29"/>
      <c r="E920" s="29"/>
      <c r="F920" s="29"/>
      <c r="G920" s="29"/>
      <c r="H920" s="12"/>
      <c r="I920" s="12"/>
      <c r="J920" s="12"/>
      <c r="K920" s="39"/>
      <c r="L920" s="12"/>
      <c r="M920" s="40"/>
      <c r="N920" s="29"/>
      <c r="O920" s="12"/>
      <c r="P920" s="39"/>
      <c r="Q920" s="12"/>
      <c r="R920" s="39"/>
      <c r="S920" s="39"/>
      <c r="T920" s="39"/>
      <c r="U920" s="39"/>
      <c r="V920" s="39"/>
      <c r="W920" s="39"/>
      <c r="X920" s="39"/>
      <c r="Y920" s="39"/>
      <c r="Z920" s="39"/>
      <c r="AA920" s="39"/>
      <c r="AB920" s="39"/>
      <c r="AC920" s="39"/>
    </row>
    <row r="921">
      <c r="A921" s="23"/>
      <c r="B921" s="24"/>
      <c r="C921" s="29"/>
      <c r="D921" s="29"/>
      <c r="E921" s="29"/>
      <c r="F921" s="29"/>
      <c r="G921" s="29"/>
      <c r="H921" s="12"/>
      <c r="I921" s="12"/>
      <c r="J921" s="12"/>
      <c r="K921" s="39"/>
      <c r="L921" s="12"/>
      <c r="M921" s="40"/>
      <c r="N921" s="29"/>
      <c r="O921" s="12"/>
      <c r="P921" s="39"/>
      <c r="Q921" s="12"/>
      <c r="R921" s="39"/>
      <c r="S921" s="39"/>
      <c r="T921" s="39"/>
      <c r="U921" s="39"/>
      <c r="V921" s="39"/>
      <c r="W921" s="39"/>
      <c r="X921" s="39"/>
      <c r="Y921" s="39"/>
      <c r="Z921" s="39"/>
      <c r="AA921" s="39"/>
      <c r="AB921" s="39"/>
      <c r="AC921" s="39"/>
    </row>
    <row r="922">
      <c r="A922" s="23"/>
      <c r="B922" s="24"/>
      <c r="C922" s="29"/>
      <c r="D922" s="29"/>
      <c r="E922" s="29"/>
      <c r="F922" s="29"/>
      <c r="G922" s="29"/>
      <c r="H922" s="12"/>
      <c r="I922" s="12"/>
      <c r="J922" s="12"/>
      <c r="K922" s="39"/>
      <c r="L922" s="12"/>
      <c r="M922" s="40"/>
      <c r="N922" s="29"/>
      <c r="O922" s="12"/>
      <c r="P922" s="39"/>
      <c r="Q922" s="12"/>
      <c r="R922" s="39"/>
      <c r="S922" s="39"/>
      <c r="T922" s="39"/>
      <c r="U922" s="39"/>
      <c r="V922" s="39"/>
      <c r="W922" s="39"/>
      <c r="X922" s="39"/>
      <c r="Y922" s="39"/>
      <c r="Z922" s="39"/>
      <c r="AA922" s="39"/>
      <c r="AB922" s="39"/>
      <c r="AC922" s="39"/>
    </row>
    <row r="923">
      <c r="A923" s="23"/>
      <c r="B923" s="24"/>
      <c r="C923" s="29"/>
      <c r="D923" s="29"/>
      <c r="E923" s="29"/>
      <c r="F923" s="29"/>
      <c r="G923" s="29"/>
      <c r="H923" s="12"/>
      <c r="I923" s="12"/>
      <c r="J923" s="12"/>
      <c r="K923" s="39"/>
      <c r="L923" s="12"/>
      <c r="M923" s="40"/>
      <c r="N923" s="29"/>
      <c r="O923" s="12"/>
      <c r="P923" s="39"/>
      <c r="Q923" s="12"/>
      <c r="R923" s="39"/>
      <c r="S923" s="39"/>
      <c r="T923" s="39"/>
      <c r="U923" s="39"/>
      <c r="V923" s="39"/>
      <c r="W923" s="39"/>
      <c r="X923" s="39"/>
      <c r="Y923" s="39"/>
      <c r="Z923" s="39"/>
      <c r="AA923" s="39"/>
      <c r="AB923" s="39"/>
      <c r="AC923" s="39"/>
    </row>
    <row r="924">
      <c r="A924" s="23"/>
      <c r="B924" s="24"/>
      <c r="C924" s="29"/>
      <c r="D924" s="29"/>
      <c r="E924" s="29"/>
      <c r="F924" s="29"/>
      <c r="G924" s="29"/>
      <c r="H924" s="12"/>
      <c r="I924" s="12"/>
      <c r="J924" s="12"/>
      <c r="K924" s="39"/>
      <c r="L924" s="12"/>
      <c r="M924" s="40"/>
      <c r="N924" s="29"/>
      <c r="O924" s="12"/>
      <c r="P924" s="39"/>
      <c r="Q924" s="12"/>
      <c r="R924" s="39"/>
      <c r="S924" s="39"/>
      <c r="T924" s="39"/>
      <c r="U924" s="39"/>
      <c r="V924" s="39"/>
      <c r="W924" s="39"/>
      <c r="X924" s="39"/>
      <c r="Y924" s="39"/>
      <c r="Z924" s="39"/>
      <c r="AA924" s="39"/>
      <c r="AB924" s="39"/>
      <c r="AC924" s="39"/>
    </row>
    <row r="925">
      <c r="A925" s="23"/>
      <c r="B925" s="24"/>
      <c r="C925" s="29"/>
      <c r="D925" s="29"/>
      <c r="E925" s="29"/>
      <c r="F925" s="29"/>
      <c r="G925" s="29"/>
      <c r="H925" s="12"/>
      <c r="I925" s="12"/>
      <c r="J925" s="12"/>
      <c r="K925" s="39"/>
      <c r="L925" s="12"/>
      <c r="M925" s="40"/>
      <c r="N925" s="29"/>
      <c r="O925" s="12"/>
      <c r="P925" s="39"/>
      <c r="Q925" s="12"/>
      <c r="R925" s="39"/>
      <c r="S925" s="39"/>
      <c r="T925" s="39"/>
      <c r="U925" s="39"/>
      <c r="V925" s="39"/>
      <c r="W925" s="39"/>
      <c r="X925" s="39"/>
      <c r="Y925" s="39"/>
      <c r="Z925" s="39"/>
      <c r="AA925" s="39"/>
      <c r="AB925" s="39"/>
      <c r="AC925" s="39"/>
    </row>
    <row r="926">
      <c r="A926" s="23"/>
      <c r="B926" s="24"/>
      <c r="C926" s="29"/>
      <c r="D926" s="29"/>
      <c r="E926" s="29"/>
      <c r="F926" s="29"/>
      <c r="G926" s="29"/>
      <c r="H926" s="12"/>
      <c r="I926" s="12"/>
      <c r="J926" s="12"/>
      <c r="K926" s="39"/>
      <c r="L926" s="12"/>
      <c r="M926" s="40"/>
      <c r="N926" s="29"/>
      <c r="O926" s="12"/>
      <c r="P926" s="39"/>
      <c r="Q926" s="12"/>
      <c r="R926" s="39"/>
      <c r="S926" s="39"/>
      <c r="T926" s="39"/>
      <c r="U926" s="39"/>
      <c r="V926" s="39"/>
      <c r="W926" s="39"/>
      <c r="X926" s="39"/>
      <c r="Y926" s="39"/>
      <c r="Z926" s="39"/>
      <c r="AA926" s="39"/>
      <c r="AB926" s="39"/>
      <c r="AC926" s="39"/>
    </row>
    <row r="927">
      <c r="A927" s="23"/>
      <c r="B927" s="24"/>
      <c r="C927" s="29"/>
      <c r="D927" s="29"/>
      <c r="E927" s="29"/>
      <c r="F927" s="29"/>
      <c r="G927" s="29"/>
      <c r="H927" s="12"/>
      <c r="I927" s="12"/>
      <c r="J927" s="12"/>
      <c r="K927" s="39"/>
      <c r="L927" s="12"/>
      <c r="M927" s="40"/>
      <c r="N927" s="29"/>
      <c r="O927" s="12"/>
      <c r="P927" s="39"/>
      <c r="Q927" s="12"/>
      <c r="R927" s="39"/>
      <c r="S927" s="39"/>
      <c r="T927" s="39"/>
      <c r="U927" s="39"/>
      <c r="V927" s="39"/>
      <c r="W927" s="39"/>
      <c r="X927" s="39"/>
      <c r="Y927" s="39"/>
      <c r="Z927" s="39"/>
      <c r="AA927" s="39"/>
      <c r="AB927" s="39"/>
      <c r="AC927" s="39"/>
    </row>
    <row r="928">
      <c r="A928" s="23"/>
      <c r="B928" s="24"/>
      <c r="C928" s="29"/>
      <c r="D928" s="29"/>
      <c r="E928" s="29"/>
      <c r="F928" s="29"/>
      <c r="G928" s="29"/>
      <c r="H928" s="12"/>
      <c r="I928" s="12"/>
      <c r="J928" s="12"/>
      <c r="K928" s="39"/>
      <c r="L928" s="12"/>
      <c r="M928" s="40"/>
      <c r="N928" s="29"/>
      <c r="O928" s="12"/>
      <c r="P928" s="39"/>
      <c r="Q928" s="12"/>
      <c r="R928" s="39"/>
      <c r="S928" s="39"/>
      <c r="T928" s="39"/>
      <c r="U928" s="39"/>
      <c r="V928" s="39"/>
      <c r="W928" s="39"/>
      <c r="X928" s="39"/>
      <c r="Y928" s="39"/>
      <c r="Z928" s="39"/>
      <c r="AA928" s="39"/>
      <c r="AB928" s="39"/>
      <c r="AC928" s="39"/>
    </row>
    <row r="929">
      <c r="A929" s="23"/>
      <c r="B929" s="24"/>
      <c r="C929" s="29"/>
      <c r="D929" s="29"/>
      <c r="E929" s="29"/>
      <c r="F929" s="29"/>
      <c r="G929" s="29"/>
      <c r="H929" s="12"/>
      <c r="I929" s="12"/>
      <c r="J929" s="12"/>
      <c r="K929" s="39"/>
      <c r="L929" s="12"/>
      <c r="M929" s="40"/>
      <c r="N929" s="29"/>
      <c r="O929" s="12"/>
      <c r="P929" s="39"/>
      <c r="Q929" s="12"/>
      <c r="R929" s="39"/>
      <c r="S929" s="39"/>
      <c r="T929" s="39"/>
      <c r="U929" s="39"/>
      <c r="V929" s="39"/>
      <c r="W929" s="39"/>
      <c r="X929" s="39"/>
      <c r="Y929" s="39"/>
      <c r="Z929" s="39"/>
      <c r="AA929" s="39"/>
      <c r="AB929" s="39"/>
      <c r="AC929" s="39"/>
    </row>
    <row r="930">
      <c r="A930" s="23"/>
      <c r="B930" s="24"/>
      <c r="C930" s="29"/>
      <c r="D930" s="29"/>
      <c r="E930" s="29"/>
      <c r="F930" s="29"/>
      <c r="G930" s="29"/>
      <c r="H930" s="12"/>
      <c r="I930" s="12"/>
      <c r="J930" s="12"/>
      <c r="K930" s="39"/>
      <c r="L930" s="12"/>
      <c r="M930" s="40"/>
      <c r="N930" s="29"/>
      <c r="O930" s="12"/>
      <c r="P930" s="39"/>
      <c r="Q930" s="12"/>
      <c r="R930" s="39"/>
      <c r="S930" s="39"/>
      <c r="T930" s="39"/>
      <c r="U930" s="39"/>
      <c r="V930" s="39"/>
      <c r="W930" s="39"/>
      <c r="X930" s="39"/>
      <c r="Y930" s="39"/>
      <c r="Z930" s="39"/>
      <c r="AA930" s="39"/>
      <c r="AB930" s="39"/>
      <c r="AC930" s="39"/>
    </row>
    <row r="931">
      <c r="A931" s="23"/>
      <c r="B931" s="24"/>
      <c r="C931" s="29"/>
      <c r="D931" s="29"/>
      <c r="E931" s="29"/>
      <c r="F931" s="29"/>
      <c r="G931" s="29"/>
      <c r="H931" s="12"/>
      <c r="I931" s="12"/>
      <c r="J931" s="12"/>
      <c r="K931" s="39"/>
      <c r="L931" s="12"/>
      <c r="M931" s="40"/>
      <c r="N931" s="29"/>
      <c r="O931" s="12"/>
      <c r="P931" s="39"/>
      <c r="Q931" s="12"/>
      <c r="R931" s="39"/>
      <c r="S931" s="39"/>
      <c r="T931" s="39"/>
      <c r="U931" s="39"/>
      <c r="V931" s="39"/>
      <c r="W931" s="39"/>
      <c r="X931" s="39"/>
      <c r="Y931" s="39"/>
      <c r="Z931" s="39"/>
      <c r="AA931" s="39"/>
      <c r="AB931" s="39"/>
      <c r="AC931" s="39"/>
    </row>
    <row r="932">
      <c r="A932" s="23"/>
      <c r="B932" s="24"/>
      <c r="C932" s="29"/>
      <c r="D932" s="29"/>
      <c r="E932" s="29"/>
      <c r="F932" s="29"/>
      <c r="G932" s="29"/>
      <c r="H932" s="12"/>
      <c r="I932" s="12"/>
      <c r="J932" s="12"/>
      <c r="K932" s="39"/>
      <c r="L932" s="12"/>
      <c r="M932" s="40"/>
      <c r="N932" s="29"/>
      <c r="O932" s="12"/>
      <c r="P932" s="39"/>
      <c r="Q932" s="12"/>
      <c r="R932" s="39"/>
      <c r="S932" s="39"/>
      <c r="T932" s="39"/>
      <c r="U932" s="39"/>
      <c r="V932" s="39"/>
      <c r="W932" s="39"/>
      <c r="X932" s="39"/>
      <c r="Y932" s="39"/>
      <c r="Z932" s="39"/>
      <c r="AA932" s="39"/>
      <c r="AB932" s="39"/>
      <c r="AC932" s="39"/>
    </row>
    <row r="933">
      <c r="A933" s="23"/>
      <c r="B933" s="24"/>
      <c r="C933" s="29"/>
      <c r="D933" s="29"/>
      <c r="E933" s="29"/>
      <c r="F933" s="29"/>
      <c r="G933" s="29"/>
      <c r="H933" s="12"/>
      <c r="I933" s="12"/>
      <c r="J933" s="12"/>
      <c r="K933" s="39"/>
      <c r="L933" s="12"/>
      <c r="M933" s="40"/>
      <c r="N933" s="29"/>
      <c r="O933" s="12"/>
      <c r="P933" s="39"/>
      <c r="Q933" s="12"/>
      <c r="R933" s="39"/>
      <c r="S933" s="39"/>
      <c r="T933" s="39"/>
      <c r="U933" s="39"/>
      <c r="V933" s="39"/>
      <c r="W933" s="39"/>
      <c r="X933" s="39"/>
      <c r="Y933" s="39"/>
      <c r="Z933" s="39"/>
      <c r="AA933" s="39"/>
      <c r="AB933" s="39"/>
      <c r="AC933" s="39"/>
    </row>
    <row r="934">
      <c r="A934" s="23"/>
      <c r="B934" s="24"/>
      <c r="C934" s="29"/>
      <c r="D934" s="29"/>
      <c r="E934" s="29"/>
      <c r="F934" s="29"/>
      <c r="G934" s="29"/>
      <c r="H934" s="12"/>
      <c r="I934" s="12"/>
      <c r="J934" s="12"/>
      <c r="K934" s="39"/>
      <c r="L934" s="12"/>
      <c r="M934" s="40"/>
      <c r="N934" s="29"/>
      <c r="O934" s="12"/>
      <c r="P934" s="39"/>
      <c r="Q934" s="12"/>
      <c r="R934" s="39"/>
      <c r="S934" s="39"/>
      <c r="T934" s="39"/>
      <c r="U934" s="39"/>
      <c r="V934" s="39"/>
      <c r="W934" s="39"/>
      <c r="X934" s="39"/>
      <c r="Y934" s="39"/>
      <c r="Z934" s="39"/>
      <c r="AA934" s="39"/>
      <c r="AB934" s="39"/>
      <c r="AC934" s="39"/>
    </row>
    <row r="935">
      <c r="A935" s="23"/>
      <c r="B935" s="24"/>
      <c r="C935" s="29"/>
      <c r="D935" s="29"/>
      <c r="E935" s="29"/>
      <c r="F935" s="29"/>
      <c r="G935" s="29"/>
      <c r="H935" s="12"/>
      <c r="I935" s="12"/>
      <c r="J935" s="12"/>
      <c r="K935" s="39"/>
      <c r="L935" s="12"/>
      <c r="M935" s="40"/>
      <c r="N935" s="29"/>
      <c r="O935" s="12"/>
      <c r="P935" s="39"/>
      <c r="Q935" s="12"/>
      <c r="R935" s="39"/>
      <c r="S935" s="39"/>
      <c r="T935" s="39"/>
      <c r="U935" s="39"/>
      <c r="V935" s="39"/>
      <c r="W935" s="39"/>
      <c r="X935" s="39"/>
      <c r="Y935" s="39"/>
      <c r="Z935" s="39"/>
      <c r="AA935" s="39"/>
      <c r="AB935" s="39"/>
      <c r="AC935" s="39"/>
    </row>
    <row r="936">
      <c r="A936" s="23"/>
      <c r="B936" s="24"/>
      <c r="C936" s="29"/>
      <c r="D936" s="29"/>
      <c r="E936" s="29"/>
      <c r="F936" s="29"/>
      <c r="G936" s="29"/>
      <c r="H936" s="12"/>
      <c r="I936" s="12"/>
      <c r="J936" s="12"/>
      <c r="K936" s="39"/>
      <c r="L936" s="12"/>
      <c r="M936" s="40"/>
      <c r="N936" s="29"/>
      <c r="O936" s="12"/>
      <c r="P936" s="39"/>
      <c r="Q936" s="12"/>
      <c r="R936" s="39"/>
      <c r="S936" s="39"/>
      <c r="T936" s="39"/>
      <c r="U936" s="39"/>
      <c r="V936" s="39"/>
      <c r="W936" s="39"/>
      <c r="X936" s="39"/>
      <c r="Y936" s="39"/>
      <c r="Z936" s="39"/>
      <c r="AA936" s="39"/>
      <c r="AB936" s="39"/>
      <c r="AC936" s="39"/>
    </row>
    <row r="937">
      <c r="A937" s="23"/>
      <c r="B937" s="24"/>
      <c r="C937" s="29"/>
      <c r="D937" s="29"/>
      <c r="E937" s="29"/>
      <c r="F937" s="29"/>
      <c r="G937" s="29"/>
      <c r="H937" s="12"/>
      <c r="I937" s="12"/>
      <c r="J937" s="12"/>
      <c r="K937" s="39"/>
      <c r="L937" s="12"/>
      <c r="M937" s="40"/>
      <c r="N937" s="29"/>
      <c r="O937" s="12"/>
      <c r="P937" s="39"/>
      <c r="Q937" s="12"/>
      <c r="R937" s="39"/>
      <c r="S937" s="39"/>
      <c r="T937" s="39"/>
      <c r="U937" s="39"/>
      <c r="V937" s="39"/>
      <c r="W937" s="39"/>
      <c r="X937" s="39"/>
      <c r="Y937" s="39"/>
      <c r="Z937" s="39"/>
      <c r="AA937" s="39"/>
      <c r="AB937" s="39"/>
      <c r="AC937" s="39"/>
    </row>
    <row r="938">
      <c r="A938" s="23"/>
      <c r="B938" s="24"/>
      <c r="C938" s="29"/>
      <c r="D938" s="29"/>
      <c r="E938" s="29"/>
      <c r="F938" s="29"/>
      <c r="G938" s="29"/>
      <c r="H938" s="12"/>
      <c r="I938" s="12"/>
      <c r="J938" s="12"/>
      <c r="K938" s="39"/>
      <c r="L938" s="12"/>
      <c r="M938" s="40"/>
      <c r="N938" s="29"/>
      <c r="O938" s="12"/>
      <c r="P938" s="39"/>
      <c r="Q938" s="12"/>
      <c r="R938" s="39"/>
      <c r="S938" s="39"/>
      <c r="T938" s="39"/>
      <c r="U938" s="39"/>
      <c r="V938" s="39"/>
      <c r="W938" s="39"/>
      <c r="X938" s="39"/>
      <c r="Y938" s="39"/>
      <c r="Z938" s="39"/>
      <c r="AA938" s="39"/>
      <c r="AB938" s="39"/>
      <c r="AC938" s="39"/>
    </row>
    <row r="939">
      <c r="A939" s="23"/>
      <c r="B939" s="24"/>
      <c r="C939" s="29"/>
      <c r="D939" s="29"/>
      <c r="E939" s="29"/>
      <c r="F939" s="29"/>
      <c r="G939" s="29"/>
      <c r="H939" s="12"/>
      <c r="I939" s="12"/>
      <c r="J939" s="12"/>
      <c r="K939" s="39"/>
      <c r="L939" s="12"/>
      <c r="M939" s="40"/>
      <c r="N939" s="29"/>
      <c r="O939" s="12"/>
      <c r="P939" s="39"/>
      <c r="Q939" s="12"/>
      <c r="R939" s="39"/>
      <c r="S939" s="39"/>
      <c r="T939" s="39"/>
      <c r="U939" s="39"/>
      <c r="V939" s="39"/>
      <c r="W939" s="39"/>
      <c r="X939" s="39"/>
      <c r="Y939" s="39"/>
      <c r="Z939" s="39"/>
      <c r="AA939" s="39"/>
      <c r="AB939" s="39"/>
      <c r="AC939" s="39"/>
    </row>
    <row r="940">
      <c r="A940" s="23"/>
      <c r="B940" s="24"/>
      <c r="C940" s="29"/>
      <c r="D940" s="29"/>
      <c r="E940" s="29"/>
      <c r="F940" s="29"/>
      <c r="G940" s="29"/>
      <c r="H940" s="12"/>
      <c r="I940" s="12"/>
      <c r="J940" s="12"/>
      <c r="K940" s="39"/>
      <c r="L940" s="12"/>
      <c r="M940" s="40"/>
      <c r="N940" s="29"/>
      <c r="O940" s="12"/>
      <c r="P940" s="39"/>
      <c r="Q940" s="12"/>
      <c r="R940" s="39"/>
      <c r="S940" s="39"/>
      <c r="T940" s="39"/>
      <c r="U940" s="39"/>
      <c r="V940" s="39"/>
      <c r="W940" s="39"/>
      <c r="X940" s="39"/>
      <c r="Y940" s="39"/>
      <c r="Z940" s="39"/>
      <c r="AA940" s="39"/>
      <c r="AB940" s="39"/>
      <c r="AC940" s="39"/>
    </row>
    <row r="941">
      <c r="A941" s="23"/>
      <c r="B941" s="24"/>
      <c r="C941" s="29"/>
      <c r="D941" s="29"/>
      <c r="E941" s="29"/>
      <c r="F941" s="29"/>
      <c r="G941" s="29"/>
      <c r="H941" s="12"/>
      <c r="I941" s="12"/>
      <c r="J941" s="12"/>
      <c r="K941" s="39"/>
      <c r="L941" s="12"/>
      <c r="M941" s="40"/>
      <c r="N941" s="29"/>
      <c r="O941" s="12"/>
      <c r="P941" s="39"/>
      <c r="Q941" s="12"/>
      <c r="R941" s="39"/>
      <c r="S941" s="39"/>
      <c r="T941" s="39"/>
      <c r="U941" s="39"/>
      <c r="V941" s="39"/>
      <c r="W941" s="39"/>
      <c r="X941" s="39"/>
      <c r="Y941" s="39"/>
      <c r="Z941" s="39"/>
      <c r="AA941" s="39"/>
      <c r="AB941" s="39"/>
      <c r="AC941" s="39"/>
    </row>
    <row r="942">
      <c r="A942" s="23"/>
      <c r="B942" s="24"/>
      <c r="C942" s="29"/>
      <c r="D942" s="29"/>
      <c r="E942" s="29"/>
      <c r="F942" s="29"/>
      <c r="G942" s="29"/>
      <c r="H942" s="12"/>
      <c r="I942" s="12"/>
      <c r="J942" s="12"/>
      <c r="K942" s="39"/>
      <c r="L942" s="12"/>
      <c r="M942" s="40"/>
      <c r="N942" s="29"/>
      <c r="O942" s="12"/>
      <c r="P942" s="39"/>
      <c r="Q942" s="12"/>
      <c r="R942" s="39"/>
      <c r="S942" s="39"/>
      <c r="T942" s="39"/>
      <c r="U942" s="39"/>
      <c r="V942" s="39"/>
      <c r="W942" s="39"/>
      <c r="X942" s="39"/>
      <c r="Y942" s="39"/>
      <c r="Z942" s="39"/>
      <c r="AA942" s="39"/>
      <c r="AB942" s="39"/>
      <c r="AC942" s="39"/>
    </row>
    <row r="943">
      <c r="A943" s="23"/>
      <c r="B943" s="24"/>
      <c r="C943" s="29"/>
      <c r="D943" s="29"/>
      <c r="E943" s="29"/>
      <c r="F943" s="29"/>
      <c r="G943" s="29"/>
      <c r="H943" s="12"/>
      <c r="I943" s="12"/>
      <c r="J943" s="12"/>
      <c r="K943" s="39"/>
      <c r="L943" s="12"/>
      <c r="M943" s="40"/>
      <c r="N943" s="29"/>
      <c r="O943" s="12"/>
      <c r="P943" s="39"/>
      <c r="Q943" s="12"/>
      <c r="R943" s="39"/>
      <c r="S943" s="39"/>
      <c r="T943" s="39"/>
      <c r="U943" s="39"/>
      <c r="V943" s="39"/>
      <c r="W943" s="39"/>
      <c r="X943" s="39"/>
      <c r="Y943" s="39"/>
      <c r="Z943" s="39"/>
      <c r="AA943" s="39"/>
      <c r="AB943" s="39"/>
      <c r="AC943" s="39"/>
    </row>
    <row r="944">
      <c r="A944" s="23"/>
      <c r="B944" s="24"/>
      <c r="C944" s="29"/>
      <c r="D944" s="29"/>
      <c r="E944" s="29"/>
      <c r="F944" s="29"/>
      <c r="G944" s="29"/>
      <c r="H944" s="12"/>
      <c r="I944" s="12"/>
      <c r="J944" s="12"/>
      <c r="K944" s="39"/>
      <c r="L944" s="12"/>
      <c r="M944" s="40"/>
      <c r="N944" s="29"/>
      <c r="O944" s="12"/>
      <c r="P944" s="39"/>
      <c r="Q944" s="12"/>
      <c r="R944" s="39"/>
      <c r="S944" s="39"/>
      <c r="T944" s="39"/>
      <c r="U944" s="39"/>
      <c r="V944" s="39"/>
      <c r="W944" s="39"/>
      <c r="X944" s="39"/>
      <c r="Y944" s="39"/>
      <c r="Z944" s="39"/>
      <c r="AA944" s="39"/>
      <c r="AB944" s="39"/>
      <c r="AC944" s="39"/>
    </row>
    <row r="945">
      <c r="A945" s="23"/>
      <c r="B945" s="24"/>
      <c r="C945" s="29"/>
      <c r="D945" s="29"/>
      <c r="E945" s="29"/>
      <c r="F945" s="29"/>
      <c r="G945" s="29"/>
      <c r="H945" s="12"/>
      <c r="I945" s="12"/>
      <c r="J945" s="12"/>
      <c r="K945" s="39"/>
      <c r="L945" s="12"/>
      <c r="M945" s="40"/>
      <c r="N945" s="29"/>
      <c r="O945" s="12"/>
      <c r="P945" s="39"/>
      <c r="Q945" s="12"/>
      <c r="R945" s="39"/>
      <c r="S945" s="39"/>
      <c r="T945" s="39"/>
      <c r="U945" s="39"/>
      <c r="V945" s="39"/>
      <c r="W945" s="39"/>
      <c r="X945" s="39"/>
      <c r="Y945" s="39"/>
      <c r="Z945" s="39"/>
      <c r="AA945" s="39"/>
      <c r="AB945" s="39"/>
      <c r="AC945" s="39"/>
    </row>
    <row r="946">
      <c r="A946" s="23"/>
      <c r="B946" s="24"/>
      <c r="C946" s="29"/>
      <c r="D946" s="29"/>
      <c r="E946" s="29"/>
      <c r="F946" s="29"/>
      <c r="G946" s="29"/>
      <c r="H946" s="12"/>
      <c r="I946" s="12"/>
      <c r="J946" s="12"/>
      <c r="K946" s="39"/>
      <c r="L946" s="12"/>
      <c r="M946" s="40"/>
      <c r="N946" s="29"/>
      <c r="O946" s="12"/>
      <c r="P946" s="39"/>
      <c r="Q946" s="12"/>
      <c r="R946" s="39"/>
      <c r="S946" s="39"/>
      <c r="T946" s="39"/>
      <c r="U946" s="39"/>
      <c r="V946" s="39"/>
      <c r="W946" s="39"/>
      <c r="X946" s="39"/>
      <c r="Y946" s="39"/>
      <c r="Z946" s="39"/>
      <c r="AA946" s="39"/>
      <c r="AB946" s="39"/>
      <c r="AC946" s="39"/>
    </row>
    <row r="947">
      <c r="A947" s="23"/>
      <c r="B947" s="24"/>
      <c r="C947" s="29"/>
      <c r="D947" s="29"/>
      <c r="E947" s="29"/>
      <c r="F947" s="29"/>
      <c r="G947" s="29"/>
      <c r="H947" s="12"/>
      <c r="I947" s="12"/>
      <c r="J947" s="12"/>
      <c r="K947" s="39"/>
      <c r="L947" s="12"/>
      <c r="M947" s="40"/>
      <c r="N947" s="29"/>
      <c r="O947" s="12"/>
      <c r="P947" s="39"/>
      <c r="Q947" s="12"/>
      <c r="R947" s="39"/>
      <c r="S947" s="39"/>
      <c r="T947" s="39"/>
      <c r="U947" s="39"/>
      <c r="V947" s="39"/>
      <c r="W947" s="39"/>
      <c r="X947" s="39"/>
      <c r="Y947" s="39"/>
      <c r="Z947" s="39"/>
      <c r="AA947" s="39"/>
      <c r="AB947" s="39"/>
      <c r="AC947" s="39"/>
    </row>
    <row r="948">
      <c r="A948" s="23"/>
      <c r="B948" s="24"/>
      <c r="C948" s="29"/>
      <c r="D948" s="29"/>
      <c r="E948" s="29"/>
      <c r="F948" s="29"/>
      <c r="G948" s="29"/>
      <c r="H948" s="12"/>
      <c r="I948" s="12"/>
      <c r="J948" s="12"/>
      <c r="K948" s="39"/>
      <c r="L948" s="12"/>
      <c r="M948" s="40"/>
      <c r="N948" s="29"/>
      <c r="O948" s="12"/>
      <c r="P948" s="39"/>
      <c r="Q948" s="12"/>
      <c r="R948" s="39"/>
      <c r="S948" s="39"/>
      <c r="T948" s="39"/>
      <c r="U948" s="39"/>
      <c r="V948" s="39"/>
      <c r="W948" s="39"/>
      <c r="X948" s="39"/>
      <c r="Y948" s="39"/>
      <c r="Z948" s="39"/>
      <c r="AA948" s="39"/>
      <c r="AB948" s="39"/>
      <c r="AC948" s="39"/>
    </row>
    <row r="949">
      <c r="A949" s="23"/>
      <c r="B949" s="24"/>
      <c r="C949" s="29"/>
      <c r="D949" s="29"/>
      <c r="E949" s="29"/>
      <c r="F949" s="29"/>
      <c r="G949" s="29"/>
      <c r="H949" s="12"/>
      <c r="I949" s="12"/>
      <c r="J949" s="12"/>
      <c r="K949" s="39"/>
      <c r="L949" s="12"/>
      <c r="M949" s="40"/>
      <c r="N949" s="29"/>
      <c r="O949" s="12"/>
      <c r="P949" s="39"/>
      <c r="Q949" s="12"/>
      <c r="R949" s="39"/>
      <c r="S949" s="39"/>
      <c r="T949" s="39"/>
      <c r="U949" s="39"/>
      <c r="V949" s="39"/>
      <c r="W949" s="39"/>
      <c r="X949" s="39"/>
      <c r="Y949" s="39"/>
      <c r="Z949" s="39"/>
      <c r="AA949" s="39"/>
      <c r="AB949" s="39"/>
      <c r="AC949" s="39"/>
    </row>
    <row r="950">
      <c r="A950" s="23"/>
      <c r="B950" s="24"/>
      <c r="C950" s="29"/>
      <c r="D950" s="29"/>
      <c r="E950" s="29"/>
      <c r="F950" s="29"/>
      <c r="G950" s="29"/>
      <c r="H950" s="12"/>
      <c r="I950" s="12"/>
      <c r="J950" s="12"/>
      <c r="K950" s="39"/>
      <c r="L950" s="12"/>
      <c r="M950" s="40"/>
      <c r="N950" s="29"/>
      <c r="O950" s="12"/>
      <c r="P950" s="39"/>
      <c r="Q950" s="12"/>
      <c r="R950" s="39"/>
      <c r="S950" s="39"/>
      <c r="T950" s="39"/>
      <c r="U950" s="39"/>
      <c r="V950" s="39"/>
      <c r="W950" s="39"/>
      <c r="X950" s="39"/>
      <c r="Y950" s="39"/>
      <c r="Z950" s="39"/>
      <c r="AA950" s="39"/>
      <c r="AB950" s="39"/>
      <c r="AC950" s="39"/>
    </row>
    <row r="951">
      <c r="A951" s="23"/>
      <c r="B951" s="24"/>
      <c r="C951" s="29"/>
      <c r="D951" s="29"/>
      <c r="E951" s="29"/>
      <c r="F951" s="29"/>
      <c r="G951" s="29"/>
      <c r="H951" s="12"/>
      <c r="I951" s="12"/>
      <c r="J951" s="12"/>
      <c r="K951" s="39"/>
      <c r="L951" s="12"/>
      <c r="M951" s="40"/>
      <c r="N951" s="29"/>
      <c r="O951" s="12"/>
      <c r="P951" s="39"/>
      <c r="Q951" s="12"/>
      <c r="R951" s="39"/>
      <c r="S951" s="39"/>
      <c r="T951" s="39"/>
      <c r="U951" s="39"/>
      <c r="V951" s="39"/>
      <c r="W951" s="39"/>
      <c r="X951" s="39"/>
      <c r="Y951" s="39"/>
      <c r="Z951" s="39"/>
      <c r="AA951" s="39"/>
      <c r="AB951" s="39"/>
      <c r="AC951" s="39"/>
    </row>
    <row r="952">
      <c r="A952" s="23"/>
      <c r="B952" s="24"/>
      <c r="C952" s="29"/>
      <c r="D952" s="29"/>
      <c r="E952" s="29"/>
      <c r="F952" s="29"/>
      <c r="G952" s="29"/>
      <c r="H952" s="12"/>
      <c r="I952" s="12"/>
      <c r="J952" s="12"/>
      <c r="K952" s="39"/>
      <c r="L952" s="12"/>
      <c r="M952" s="40"/>
      <c r="N952" s="29"/>
      <c r="O952" s="12"/>
      <c r="P952" s="39"/>
      <c r="Q952" s="12"/>
      <c r="R952" s="39"/>
      <c r="S952" s="39"/>
      <c r="T952" s="39"/>
      <c r="U952" s="39"/>
      <c r="V952" s="39"/>
      <c r="W952" s="39"/>
      <c r="X952" s="39"/>
      <c r="Y952" s="39"/>
      <c r="Z952" s="39"/>
      <c r="AA952" s="39"/>
      <c r="AB952" s="39"/>
      <c r="AC952" s="39"/>
    </row>
    <row r="953">
      <c r="A953" s="23"/>
      <c r="B953" s="24"/>
      <c r="C953" s="29"/>
      <c r="D953" s="29"/>
      <c r="E953" s="29"/>
      <c r="F953" s="29"/>
      <c r="G953" s="29"/>
      <c r="H953" s="12"/>
      <c r="I953" s="12"/>
      <c r="J953" s="12"/>
      <c r="K953" s="39"/>
      <c r="L953" s="12"/>
      <c r="M953" s="40"/>
      <c r="N953" s="29"/>
      <c r="O953" s="12"/>
      <c r="P953" s="39"/>
      <c r="Q953" s="12"/>
      <c r="R953" s="39"/>
      <c r="S953" s="39"/>
      <c r="T953" s="39"/>
      <c r="U953" s="39"/>
      <c r="V953" s="39"/>
      <c r="W953" s="39"/>
      <c r="X953" s="39"/>
      <c r="Y953" s="39"/>
      <c r="Z953" s="39"/>
      <c r="AA953" s="39"/>
      <c r="AB953" s="39"/>
      <c r="AC953" s="39"/>
    </row>
    <row r="954">
      <c r="A954" s="23"/>
      <c r="B954" s="24"/>
      <c r="C954" s="29"/>
      <c r="D954" s="29"/>
      <c r="E954" s="29"/>
      <c r="F954" s="29"/>
      <c r="G954" s="29"/>
      <c r="H954" s="12"/>
      <c r="I954" s="12"/>
      <c r="J954" s="12"/>
      <c r="K954" s="39"/>
      <c r="L954" s="12"/>
      <c r="M954" s="40"/>
      <c r="N954" s="29"/>
      <c r="O954" s="12"/>
      <c r="P954" s="39"/>
      <c r="Q954" s="12"/>
      <c r="R954" s="39"/>
      <c r="S954" s="39"/>
      <c r="T954" s="39"/>
      <c r="U954" s="39"/>
      <c r="V954" s="39"/>
      <c r="W954" s="39"/>
      <c r="X954" s="39"/>
      <c r="Y954" s="39"/>
      <c r="Z954" s="39"/>
      <c r="AA954" s="39"/>
      <c r="AB954" s="39"/>
      <c r="AC954" s="39"/>
    </row>
    <row r="955">
      <c r="A955" s="23"/>
      <c r="B955" s="24"/>
      <c r="C955" s="29"/>
      <c r="D955" s="29"/>
      <c r="E955" s="29"/>
      <c r="F955" s="29"/>
      <c r="G955" s="29"/>
      <c r="H955" s="12"/>
      <c r="I955" s="12"/>
      <c r="J955" s="12"/>
      <c r="K955" s="39"/>
      <c r="L955" s="12"/>
      <c r="M955" s="40"/>
      <c r="N955" s="29"/>
      <c r="O955" s="12"/>
      <c r="P955" s="39"/>
      <c r="Q955" s="12"/>
      <c r="R955" s="39"/>
      <c r="S955" s="39"/>
      <c r="T955" s="39"/>
      <c r="U955" s="39"/>
      <c r="V955" s="39"/>
      <c r="W955" s="39"/>
      <c r="X955" s="39"/>
      <c r="Y955" s="39"/>
      <c r="Z955" s="39"/>
      <c r="AA955" s="39"/>
      <c r="AB955" s="39"/>
      <c r="AC955" s="39"/>
    </row>
    <row r="956">
      <c r="A956" s="23"/>
      <c r="B956" s="24"/>
      <c r="C956" s="29"/>
      <c r="D956" s="29"/>
      <c r="E956" s="29"/>
      <c r="F956" s="29"/>
      <c r="G956" s="29"/>
      <c r="H956" s="12"/>
      <c r="I956" s="12"/>
      <c r="J956" s="12"/>
      <c r="K956" s="39"/>
      <c r="L956" s="12"/>
      <c r="M956" s="40"/>
      <c r="N956" s="29"/>
      <c r="O956" s="12"/>
      <c r="P956" s="39"/>
      <c r="Q956" s="12"/>
      <c r="R956" s="39"/>
      <c r="S956" s="39"/>
      <c r="T956" s="39"/>
      <c r="U956" s="39"/>
      <c r="V956" s="39"/>
      <c r="W956" s="39"/>
      <c r="X956" s="39"/>
      <c r="Y956" s="39"/>
      <c r="Z956" s="39"/>
      <c r="AA956" s="39"/>
      <c r="AB956" s="39"/>
      <c r="AC956" s="39"/>
    </row>
    <row r="957">
      <c r="A957" s="23"/>
      <c r="B957" s="24"/>
      <c r="C957" s="29"/>
      <c r="D957" s="29"/>
      <c r="E957" s="29"/>
      <c r="F957" s="29"/>
      <c r="G957" s="29"/>
      <c r="H957" s="12"/>
      <c r="I957" s="12"/>
      <c r="J957" s="12"/>
      <c r="K957" s="39"/>
      <c r="L957" s="12"/>
      <c r="M957" s="40"/>
      <c r="N957" s="29"/>
      <c r="O957" s="12"/>
      <c r="P957" s="39"/>
      <c r="Q957" s="12"/>
      <c r="R957" s="39"/>
      <c r="S957" s="39"/>
      <c r="T957" s="39"/>
      <c r="U957" s="39"/>
      <c r="V957" s="39"/>
      <c r="W957" s="39"/>
      <c r="X957" s="39"/>
      <c r="Y957" s="39"/>
      <c r="Z957" s="39"/>
      <c r="AA957" s="39"/>
      <c r="AB957" s="39"/>
      <c r="AC957" s="39"/>
    </row>
    <row r="958">
      <c r="A958" s="23"/>
      <c r="B958" s="24"/>
      <c r="C958" s="29"/>
      <c r="D958" s="29"/>
      <c r="E958" s="29"/>
      <c r="F958" s="29"/>
      <c r="G958" s="29"/>
      <c r="H958" s="12"/>
      <c r="I958" s="12"/>
      <c r="J958" s="12"/>
      <c r="K958" s="39"/>
      <c r="L958" s="12"/>
      <c r="M958" s="40"/>
      <c r="N958" s="29"/>
      <c r="O958" s="12"/>
      <c r="P958" s="39"/>
      <c r="Q958" s="12"/>
      <c r="R958" s="39"/>
      <c r="S958" s="39"/>
      <c r="T958" s="39"/>
      <c r="U958" s="39"/>
      <c r="V958" s="39"/>
      <c r="W958" s="39"/>
      <c r="X958" s="39"/>
      <c r="Y958" s="39"/>
      <c r="Z958" s="39"/>
      <c r="AA958" s="39"/>
      <c r="AB958" s="39"/>
      <c r="AC958" s="39"/>
    </row>
    <row r="959">
      <c r="A959" s="23"/>
      <c r="B959" s="24"/>
      <c r="C959" s="29"/>
      <c r="D959" s="29"/>
      <c r="E959" s="29"/>
      <c r="F959" s="29"/>
      <c r="G959" s="29"/>
      <c r="H959" s="12"/>
      <c r="I959" s="12"/>
      <c r="J959" s="12"/>
      <c r="K959" s="39"/>
      <c r="L959" s="12"/>
      <c r="M959" s="40"/>
      <c r="N959" s="29"/>
      <c r="O959" s="12"/>
      <c r="P959" s="39"/>
      <c r="Q959" s="12"/>
      <c r="R959" s="39"/>
      <c r="S959" s="39"/>
      <c r="T959" s="39"/>
      <c r="U959" s="39"/>
      <c r="V959" s="39"/>
      <c r="W959" s="39"/>
      <c r="X959" s="39"/>
      <c r="Y959" s="39"/>
      <c r="Z959" s="39"/>
      <c r="AA959" s="39"/>
      <c r="AB959" s="39"/>
      <c r="AC959" s="39"/>
    </row>
    <row r="960">
      <c r="A960" s="23"/>
      <c r="B960" s="24"/>
      <c r="C960" s="29"/>
      <c r="D960" s="29"/>
      <c r="E960" s="29"/>
      <c r="F960" s="29"/>
      <c r="G960" s="29"/>
      <c r="H960" s="12"/>
      <c r="I960" s="12"/>
      <c r="J960" s="12"/>
      <c r="K960" s="39"/>
      <c r="L960" s="12"/>
      <c r="M960" s="40"/>
      <c r="N960" s="29"/>
      <c r="O960" s="12"/>
      <c r="P960" s="39"/>
      <c r="Q960" s="12"/>
      <c r="R960" s="39"/>
      <c r="S960" s="39"/>
      <c r="T960" s="39"/>
      <c r="U960" s="39"/>
      <c r="V960" s="39"/>
      <c r="W960" s="39"/>
      <c r="X960" s="39"/>
      <c r="Y960" s="39"/>
      <c r="Z960" s="39"/>
      <c r="AA960" s="39"/>
      <c r="AB960" s="39"/>
      <c r="AC960" s="39"/>
    </row>
    <row r="961">
      <c r="A961" s="23"/>
      <c r="B961" s="24"/>
      <c r="C961" s="29"/>
      <c r="D961" s="29"/>
      <c r="E961" s="29"/>
      <c r="F961" s="29"/>
      <c r="G961" s="29"/>
      <c r="H961" s="12"/>
      <c r="I961" s="12"/>
      <c r="J961" s="12"/>
      <c r="K961" s="39"/>
      <c r="L961" s="12"/>
      <c r="M961" s="40"/>
      <c r="N961" s="29"/>
      <c r="O961" s="12"/>
      <c r="P961" s="39"/>
      <c r="Q961" s="12"/>
      <c r="R961" s="39"/>
      <c r="S961" s="39"/>
      <c r="T961" s="39"/>
      <c r="U961" s="39"/>
      <c r="V961" s="39"/>
      <c r="W961" s="39"/>
      <c r="X961" s="39"/>
      <c r="Y961" s="39"/>
      <c r="Z961" s="39"/>
      <c r="AA961" s="39"/>
      <c r="AB961" s="39"/>
      <c r="AC961" s="39"/>
    </row>
    <row r="962">
      <c r="A962" s="23"/>
      <c r="B962" s="24"/>
      <c r="C962" s="29"/>
      <c r="D962" s="29"/>
      <c r="E962" s="29"/>
      <c r="F962" s="29"/>
      <c r="G962" s="29"/>
      <c r="H962" s="12"/>
      <c r="I962" s="12"/>
      <c r="J962" s="12"/>
      <c r="K962" s="39"/>
      <c r="L962" s="12"/>
      <c r="M962" s="40"/>
      <c r="N962" s="29"/>
      <c r="O962" s="12"/>
      <c r="P962" s="39"/>
      <c r="Q962" s="12"/>
      <c r="R962" s="39"/>
      <c r="S962" s="39"/>
      <c r="T962" s="39"/>
      <c r="U962" s="39"/>
      <c r="V962" s="39"/>
      <c r="W962" s="39"/>
      <c r="X962" s="39"/>
      <c r="Y962" s="39"/>
      <c r="Z962" s="39"/>
      <c r="AA962" s="39"/>
      <c r="AB962" s="39"/>
      <c r="AC962" s="39"/>
    </row>
    <row r="963">
      <c r="A963" s="23"/>
      <c r="B963" s="24"/>
      <c r="C963" s="29"/>
      <c r="D963" s="29"/>
      <c r="E963" s="29"/>
      <c r="F963" s="29"/>
      <c r="G963" s="29"/>
      <c r="H963" s="12"/>
      <c r="I963" s="12"/>
      <c r="J963" s="12"/>
      <c r="K963" s="39"/>
      <c r="L963" s="12"/>
      <c r="M963" s="40"/>
      <c r="N963" s="29"/>
      <c r="O963" s="12"/>
      <c r="P963" s="39"/>
      <c r="Q963" s="12"/>
      <c r="R963" s="39"/>
      <c r="S963" s="39"/>
      <c r="T963" s="39"/>
      <c r="U963" s="39"/>
      <c r="V963" s="39"/>
      <c r="W963" s="39"/>
      <c r="X963" s="39"/>
      <c r="Y963" s="39"/>
      <c r="Z963" s="39"/>
      <c r="AA963" s="39"/>
      <c r="AB963" s="39"/>
      <c r="AC963" s="39"/>
    </row>
    <row r="964">
      <c r="A964" s="23"/>
      <c r="B964" s="24"/>
      <c r="C964" s="29"/>
      <c r="D964" s="29"/>
      <c r="E964" s="29"/>
      <c r="F964" s="29"/>
      <c r="G964" s="29"/>
      <c r="H964" s="12"/>
      <c r="I964" s="12"/>
      <c r="J964" s="12"/>
      <c r="K964" s="39"/>
      <c r="L964" s="12"/>
      <c r="M964" s="40"/>
      <c r="N964" s="29"/>
      <c r="O964" s="12"/>
      <c r="P964" s="39"/>
      <c r="Q964" s="12"/>
      <c r="R964" s="39"/>
      <c r="S964" s="39"/>
      <c r="T964" s="39"/>
      <c r="U964" s="39"/>
      <c r="V964" s="39"/>
      <c r="W964" s="39"/>
      <c r="X964" s="39"/>
      <c r="Y964" s="39"/>
      <c r="Z964" s="39"/>
      <c r="AA964" s="39"/>
      <c r="AB964" s="39"/>
      <c r="AC964" s="39"/>
    </row>
    <row r="965">
      <c r="A965" s="23"/>
      <c r="B965" s="24"/>
      <c r="C965" s="29"/>
      <c r="D965" s="29"/>
      <c r="E965" s="29"/>
      <c r="F965" s="29"/>
      <c r="G965" s="29"/>
      <c r="H965" s="12"/>
      <c r="I965" s="12"/>
      <c r="J965" s="12"/>
      <c r="K965" s="39"/>
      <c r="L965" s="12"/>
      <c r="M965" s="40"/>
      <c r="N965" s="29"/>
      <c r="O965" s="12"/>
      <c r="P965" s="39"/>
      <c r="Q965" s="12"/>
      <c r="R965" s="39"/>
      <c r="S965" s="39"/>
      <c r="T965" s="39"/>
      <c r="U965" s="39"/>
      <c r="V965" s="39"/>
      <c r="W965" s="39"/>
      <c r="X965" s="39"/>
      <c r="Y965" s="39"/>
      <c r="Z965" s="39"/>
      <c r="AA965" s="39"/>
      <c r="AB965" s="39"/>
      <c r="AC965" s="39"/>
    </row>
    <row r="966">
      <c r="A966" s="23"/>
      <c r="B966" s="24"/>
      <c r="C966" s="29"/>
      <c r="D966" s="29"/>
      <c r="E966" s="29"/>
      <c r="F966" s="29"/>
      <c r="G966" s="29"/>
      <c r="H966" s="12"/>
      <c r="I966" s="12"/>
      <c r="J966" s="12"/>
      <c r="K966" s="39"/>
      <c r="L966" s="12"/>
      <c r="M966" s="40"/>
      <c r="N966" s="29"/>
      <c r="O966" s="12"/>
      <c r="P966" s="39"/>
      <c r="Q966" s="12"/>
      <c r="R966" s="39"/>
      <c r="S966" s="39"/>
      <c r="T966" s="39"/>
      <c r="U966" s="39"/>
      <c r="V966" s="39"/>
      <c r="W966" s="39"/>
      <c r="X966" s="39"/>
      <c r="Y966" s="39"/>
      <c r="Z966" s="39"/>
      <c r="AA966" s="39"/>
      <c r="AB966" s="39"/>
      <c r="AC966" s="39"/>
    </row>
    <row r="967">
      <c r="A967" s="23"/>
      <c r="B967" s="24"/>
      <c r="C967" s="29"/>
      <c r="D967" s="29"/>
      <c r="E967" s="29"/>
      <c r="F967" s="29"/>
      <c r="G967" s="29"/>
      <c r="H967" s="12"/>
      <c r="I967" s="12"/>
      <c r="J967" s="12"/>
      <c r="K967" s="39"/>
      <c r="L967" s="12"/>
      <c r="M967" s="40"/>
      <c r="N967" s="29"/>
      <c r="O967" s="12"/>
      <c r="P967" s="39"/>
      <c r="Q967" s="12"/>
      <c r="R967" s="39"/>
      <c r="S967" s="39"/>
      <c r="T967" s="39"/>
      <c r="U967" s="39"/>
      <c r="V967" s="39"/>
      <c r="W967" s="39"/>
      <c r="X967" s="39"/>
      <c r="Y967" s="39"/>
      <c r="Z967" s="39"/>
      <c r="AA967" s="39"/>
      <c r="AB967" s="39"/>
      <c r="AC967" s="39"/>
    </row>
    <row r="968">
      <c r="A968" s="23"/>
      <c r="B968" s="24"/>
      <c r="C968" s="29"/>
      <c r="D968" s="29"/>
      <c r="E968" s="29"/>
      <c r="F968" s="29"/>
      <c r="G968" s="29"/>
      <c r="H968" s="12"/>
      <c r="I968" s="12"/>
      <c r="J968" s="12"/>
      <c r="K968" s="39"/>
      <c r="L968" s="12"/>
      <c r="M968" s="40"/>
      <c r="N968" s="29"/>
      <c r="O968" s="12"/>
      <c r="P968" s="39"/>
      <c r="Q968" s="12"/>
      <c r="R968" s="39"/>
      <c r="S968" s="39"/>
      <c r="T968" s="39"/>
      <c r="U968" s="39"/>
      <c r="V968" s="39"/>
      <c r="W968" s="39"/>
      <c r="X968" s="39"/>
      <c r="Y968" s="39"/>
      <c r="Z968" s="39"/>
      <c r="AA968" s="39"/>
      <c r="AB968" s="39"/>
      <c r="AC968" s="39"/>
    </row>
    <row r="969">
      <c r="A969" s="23"/>
      <c r="B969" s="24"/>
      <c r="C969" s="29"/>
      <c r="D969" s="29"/>
      <c r="E969" s="29"/>
      <c r="F969" s="29"/>
      <c r="G969" s="29"/>
      <c r="H969" s="12"/>
      <c r="I969" s="12"/>
      <c r="J969" s="12"/>
      <c r="K969" s="39"/>
      <c r="L969" s="12"/>
      <c r="M969" s="40"/>
      <c r="N969" s="29"/>
      <c r="O969" s="12"/>
      <c r="P969" s="39"/>
      <c r="Q969" s="12"/>
      <c r="R969" s="39"/>
      <c r="S969" s="39"/>
      <c r="T969" s="39"/>
      <c r="U969" s="39"/>
      <c r="V969" s="39"/>
      <c r="W969" s="39"/>
      <c r="X969" s="39"/>
      <c r="Y969" s="39"/>
      <c r="Z969" s="39"/>
      <c r="AA969" s="39"/>
      <c r="AB969" s="39"/>
      <c r="AC969" s="39"/>
    </row>
    <row r="970">
      <c r="A970" s="23"/>
      <c r="B970" s="24"/>
      <c r="C970" s="29"/>
      <c r="D970" s="29"/>
      <c r="E970" s="29"/>
      <c r="F970" s="29"/>
      <c r="G970" s="29"/>
      <c r="H970" s="12"/>
      <c r="I970" s="12"/>
      <c r="J970" s="12"/>
      <c r="K970" s="39"/>
      <c r="L970" s="12"/>
      <c r="M970" s="40"/>
      <c r="N970" s="29"/>
      <c r="O970" s="12"/>
      <c r="P970" s="39"/>
      <c r="Q970" s="12"/>
      <c r="R970" s="39"/>
      <c r="S970" s="39"/>
      <c r="T970" s="39"/>
      <c r="U970" s="39"/>
      <c r="V970" s="39"/>
      <c r="W970" s="39"/>
      <c r="X970" s="39"/>
      <c r="Y970" s="39"/>
      <c r="Z970" s="39"/>
      <c r="AA970" s="39"/>
      <c r="AB970" s="39"/>
      <c r="AC970" s="39"/>
    </row>
    <row r="971">
      <c r="A971" s="23"/>
      <c r="B971" s="24"/>
      <c r="C971" s="29"/>
      <c r="D971" s="29"/>
      <c r="E971" s="29"/>
      <c r="F971" s="29"/>
      <c r="G971" s="29"/>
      <c r="H971" s="12"/>
      <c r="I971" s="12"/>
      <c r="J971" s="12"/>
      <c r="K971" s="39"/>
      <c r="L971" s="12"/>
      <c r="M971" s="40"/>
      <c r="N971" s="29"/>
      <c r="O971" s="12"/>
      <c r="P971" s="39"/>
      <c r="Q971" s="12"/>
      <c r="R971" s="39"/>
      <c r="S971" s="39"/>
      <c r="T971" s="39"/>
      <c r="U971" s="39"/>
      <c r="V971" s="39"/>
      <c r="W971" s="39"/>
      <c r="X971" s="39"/>
      <c r="Y971" s="39"/>
      <c r="Z971" s="39"/>
      <c r="AA971" s="39"/>
      <c r="AB971" s="39"/>
      <c r="AC971" s="39"/>
    </row>
    <row r="972">
      <c r="A972" s="23"/>
      <c r="B972" s="24"/>
      <c r="C972" s="29"/>
      <c r="D972" s="29"/>
      <c r="E972" s="29"/>
      <c r="F972" s="29"/>
      <c r="G972" s="29"/>
      <c r="H972" s="12"/>
      <c r="I972" s="12"/>
      <c r="J972" s="12"/>
      <c r="K972" s="39"/>
      <c r="L972" s="12"/>
      <c r="M972" s="40"/>
      <c r="N972" s="29"/>
      <c r="O972" s="12"/>
      <c r="P972" s="39"/>
      <c r="Q972" s="12"/>
      <c r="R972" s="39"/>
      <c r="S972" s="39"/>
      <c r="T972" s="39"/>
      <c r="U972" s="39"/>
      <c r="V972" s="39"/>
      <c r="W972" s="39"/>
      <c r="X972" s="39"/>
      <c r="Y972" s="39"/>
      <c r="Z972" s="39"/>
      <c r="AA972" s="39"/>
      <c r="AB972" s="39"/>
      <c r="AC972" s="39"/>
    </row>
    <row r="973">
      <c r="A973" s="23"/>
      <c r="B973" s="24"/>
      <c r="C973" s="29"/>
      <c r="D973" s="29"/>
      <c r="E973" s="29"/>
      <c r="F973" s="29"/>
      <c r="G973" s="29"/>
      <c r="H973" s="12"/>
      <c r="I973" s="12"/>
      <c r="J973" s="12"/>
      <c r="K973" s="39"/>
      <c r="L973" s="12"/>
      <c r="M973" s="40"/>
      <c r="N973" s="29"/>
      <c r="O973" s="12"/>
      <c r="P973" s="39"/>
      <c r="Q973" s="12"/>
      <c r="R973" s="39"/>
      <c r="S973" s="39"/>
      <c r="T973" s="39"/>
      <c r="U973" s="39"/>
      <c r="V973" s="39"/>
      <c r="W973" s="39"/>
      <c r="X973" s="39"/>
      <c r="Y973" s="39"/>
      <c r="Z973" s="39"/>
      <c r="AA973" s="39"/>
      <c r="AB973" s="39"/>
      <c r="AC973" s="39"/>
    </row>
    <row r="974">
      <c r="A974" s="23"/>
      <c r="B974" s="24"/>
      <c r="C974" s="29"/>
      <c r="D974" s="29"/>
      <c r="E974" s="29"/>
      <c r="F974" s="29"/>
      <c r="G974" s="29"/>
      <c r="H974" s="12"/>
      <c r="I974" s="12"/>
      <c r="J974" s="12"/>
      <c r="K974" s="39"/>
      <c r="L974" s="12"/>
      <c r="M974" s="40"/>
      <c r="N974" s="29"/>
      <c r="O974" s="12"/>
      <c r="P974" s="39"/>
      <c r="Q974" s="12"/>
      <c r="R974" s="39"/>
      <c r="S974" s="39"/>
      <c r="T974" s="39"/>
      <c r="U974" s="39"/>
      <c r="V974" s="39"/>
      <c r="W974" s="39"/>
      <c r="X974" s="39"/>
      <c r="Y974" s="39"/>
      <c r="Z974" s="39"/>
      <c r="AA974" s="39"/>
      <c r="AB974" s="39"/>
      <c r="AC974" s="39"/>
    </row>
    <row r="975">
      <c r="A975" s="23"/>
      <c r="B975" s="24"/>
      <c r="C975" s="29"/>
      <c r="D975" s="29"/>
      <c r="E975" s="29"/>
      <c r="F975" s="29"/>
      <c r="G975" s="29"/>
      <c r="H975" s="12"/>
      <c r="I975" s="12"/>
      <c r="J975" s="12"/>
      <c r="K975" s="39"/>
      <c r="L975" s="12"/>
      <c r="M975" s="40"/>
      <c r="N975" s="29"/>
      <c r="O975" s="12"/>
      <c r="P975" s="39"/>
      <c r="Q975" s="12"/>
      <c r="R975" s="39"/>
      <c r="S975" s="39"/>
      <c r="T975" s="39"/>
      <c r="U975" s="39"/>
      <c r="V975" s="39"/>
      <c r="W975" s="39"/>
      <c r="X975" s="39"/>
      <c r="Y975" s="39"/>
      <c r="Z975" s="39"/>
      <c r="AA975" s="39"/>
      <c r="AB975" s="39"/>
      <c r="AC975" s="39"/>
    </row>
    <row r="976">
      <c r="A976" s="23"/>
      <c r="B976" s="24"/>
      <c r="C976" s="29"/>
      <c r="D976" s="29"/>
      <c r="E976" s="29"/>
      <c r="F976" s="29"/>
      <c r="G976" s="29"/>
      <c r="H976" s="12"/>
      <c r="I976" s="12"/>
      <c r="J976" s="12"/>
      <c r="K976" s="39"/>
      <c r="L976" s="12"/>
      <c r="M976" s="40"/>
      <c r="N976" s="29"/>
      <c r="O976" s="12"/>
      <c r="P976" s="39"/>
      <c r="Q976" s="12"/>
      <c r="R976" s="39"/>
      <c r="S976" s="39"/>
      <c r="T976" s="39"/>
      <c r="U976" s="39"/>
      <c r="V976" s="39"/>
      <c r="W976" s="39"/>
      <c r="X976" s="39"/>
      <c r="Y976" s="39"/>
      <c r="Z976" s="39"/>
      <c r="AA976" s="39"/>
      <c r="AB976" s="39"/>
      <c r="AC976" s="39"/>
    </row>
    <row r="977">
      <c r="A977" s="23"/>
      <c r="B977" s="24"/>
      <c r="C977" s="29"/>
      <c r="D977" s="29"/>
      <c r="E977" s="29"/>
      <c r="F977" s="29"/>
      <c r="G977" s="29"/>
      <c r="H977" s="12"/>
      <c r="I977" s="12"/>
      <c r="J977" s="12"/>
      <c r="K977" s="39"/>
      <c r="L977" s="12"/>
      <c r="M977" s="40"/>
      <c r="N977" s="29"/>
      <c r="O977" s="12"/>
      <c r="P977" s="39"/>
      <c r="Q977" s="12"/>
      <c r="R977" s="39"/>
      <c r="S977" s="39"/>
      <c r="T977" s="39"/>
      <c r="U977" s="39"/>
      <c r="V977" s="39"/>
      <c r="W977" s="39"/>
      <c r="X977" s="39"/>
      <c r="Y977" s="39"/>
      <c r="Z977" s="39"/>
      <c r="AA977" s="39"/>
      <c r="AB977" s="39"/>
      <c r="AC977" s="39"/>
    </row>
    <row r="978">
      <c r="A978" s="23"/>
      <c r="B978" s="24"/>
      <c r="C978" s="29"/>
      <c r="D978" s="29"/>
      <c r="E978" s="29"/>
      <c r="F978" s="29"/>
      <c r="G978" s="29"/>
      <c r="H978" s="12"/>
      <c r="I978" s="12"/>
      <c r="J978" s="12"/>
      <c r="K978" s="39"/>
      <c r="L978" s="12"/>
      <c r="M978" s="40"/>
      <c r="N978" s="29"/>
      <c r="O978" s="12"/>
      <c r="P978" s="39"/>
      <c r="Q978" s="12"/>
      <c r="R978" s="39"/>
      <c r="S978" s="39"/>
      <c r="T978" s="39"/>
      <c r="U978" s="39"/>
      <c r="V978" s="39"/>
      <c r="W978" s="39"/>
      <c r="X978" s="39"/>
      <c r="Y978" s="39"/>
      <c r="Z978" s="39"/>
      <c r="AA978" s="39"/>
      <c r="AB978" s="39"/>
      <c r="AC978" s="39"/>
    </row>
    <row r="979">
      <c r="A979" s="23"/>
      <c r="B979" s="24"/>
      <c r="C979" s="29"/>
      <c r="D979" s="29"/>
      <c r="E979" s="29"/>
      <c r="F979" s="29"/>
      <c r="G979" s="29"/>
      <c r="H979" s="12"/>
      <c r="I979" s="12"/>
      <c r="J979" s="12"/>
      <c r="K979" s="39"/>
      <c r="L979" s="12"/>
      <c r="M979" s="40"/>
      <c r="N979" s="29"/>
      <c r="O979" s="12"/>
      <c r="P979" s="39"/>
      <c r="Q979" s="12"/>
      <c r="R979" s="39"/>
      <c r="S979" s="39"/>
      <c r="T979" s="39"/>
      <c r="U979" s="39"/>
      <c r="V979" s="39"/>
      <c r="W979" s="39"/>
      <c r="X979" s="39"/>
      <c r="Y979" s="39"/>
      <c r="Z979" s="39"/>
      <c r="AA979" s="39"/>
      <c r="AB979" s="39"/>
      <c r="AC979" s="39"/>
    </row>
    <row r="980">
      <c r="A980" s="23"/>
      <c r="B980" s="24"/>
      <c r="C980" s="29"/>
      <c r="D980" s="29"/>
      <c r="E980" s="29"/>
      <c r="F980" s="29"/>
      <c r="G980" s="29"/>
      <c r="H980" s="12"/>
      <c r="I980" s="12"/>
      <c r="J980" s="12"/>
      <c r="K980" s="39"/>
      <c r="L980" s="12"/>
      <c r="M980" s="40"/>
      <c r="N980" s="29"/>
      <c r="O980" s="12"/>
      <c r="P980" s="39"/>
      <c r="Q980" s="12"/>
      <c r="R980" s="39"/>
      <c r="S980" s="39"/>
      <c r="T980" s="39"/>
      <c r="U980" s="39"/>
      <c r="V980" s="39"/>
      <c r="W980" s="39"/>
      <c r="X980" s="39"/>
      <c r="Y980" s="39"/>
      <c r="Z980" s="39"/>
      <c r="AA980" s="39"/>
      <c r="AB980" s="39"/>
      <c r="AC980" s="39"/>
    </row>
    <row r="981">
      <c r="A981" s="23"/>
      <c r="B981" s="24"/>
      <c r="C981" s="29"/>
      <c r="D981" s="29"/>
      <c r="E981" s="29"/>
      <c r="F981" s="29"/>
      <c r="G981" s="29"/>
      <c r="H981" s="12"/>
      <c r="I981" s="12"/>
      <c r="J981" s="12"/>
      <c r="K981" s="39"/>
      <c r="L981" s="12"/>
      <c r="M981" s="40"/>
      <c r="N981" s="29"/>
      <c r="O981" s="12"/>
      <c r="P981" s="39"/>
      <c r="Q981" s="12"/>
      <c r="R981" s="39"/>
      <c r="S981" s="39"/>
      <c r="T981" s="39"/>
      <c r="U981" s="39"/>
      <c r="V981" s="39"/>
      <c r="W981" s="39"/>
      <c r="X981" s="39"/>
      <c r="Y981" s="39"/>
      <c r="Z981" s="39"/>
      <c r="AA981" s="39"/>
      <c r="AB981" s="39"/>
      <c r="AC981" s="39"/>
    </row>
    <row r="982">
      <c r="A982" s="23"/>
      <c r="B982" s="24"/>
      <c r="C982" s="29"/>
      <c r="D982" s="29"/>
      <c r="E982" s="29"/>
      <c r="F982" s="29"/>
      <c r="G982" s="29"/>
      <c r="H982" s="12"/>
      <c r="I982" s="12"/>
      <c r="J982" s="12"/>
      <c r="K982" s="39"/>
      <c r="L982" s="12"/>
      <c r="M982" s="40"/>
      <c r="N982" s="29"/>
      <c r="O982" s="12"/>
      <c r="P982" s="39"/>
      <c r="Q982" s="12"/>
      <c r="R982" s="39"/>
      <c r="S982" s="39"/>
      <c r="T982" s="39"/>
      <c r="U982" s="39"/>
      <c r="V982" s="39"/>
      <c r="W982" s="39"/>
      <c r="X982" s="39"/>
      <c r="Y982" s="39"/>
      <c r="Z982" s="39"/>
      <c r="AA982" s="39"/>
      <c r="AB982" s="39"/>
      <c r="AC982" s="39"/>
    </row>
    <row r="983">
      <c r="A983" s="23"/>
      <c r="B983" s="24"/>
      <c r="C983" s="29"/>
      <c r="D983" s="29"/>
      <c r="E983" s="29"/>
      <c r="F983" s="29"/>
      <c r="G983" s="29"/>
      <c r="H983" s="12"/>
      <c r="I983" s="12"/>
      <c r="J983" s="12"/>
      <c r="K983" s="39"/>
      <c r="L983" s="12"/>
      <c r="M983" s="40"/>
      <c r="N983" s="29"/>
      <c r="O983" s="12"/>
      <c r="P983" s="39"/>
      <c r="Q983" s="12"/>
      <c r="R983" s="39"/>
      <c r="S983" s="39"/>
      <c r="T983" s="39"/>
      <c r="U983" s="39"/>
      <c r="V983" s="39"/>
      <c r="W983" s="39"/>
      <c r="X983" s="39"/>
      <c r="Y983" s="39"/>
      <c r="Z983" s="39"/>
      <c r="AA983" s="39"/>
      <c r="AB983" s="39"/>
      <c r="AC983" s="39"/>
    </row>
    <row r="984">
      <c r="A984" s="23"/>
      <c r="B984" s="24"/>
      <c r="C984" s="29"/>
      <c r="D984" s="29"/>
      <c r="E984" s="29"/>
      <c r="F984" s="29"/>
      <c r="G984" s="29"/>
      <c r="H984" s="12"/>
      <c r="I984" s="12"/>
      <c r="J984" s="12"/>
      <c r="K984" s="39"/>
      <c r="L984" s="12"/>
      <c r="M984" s="40"/>
      <c r="N984" s="29"/>
      <c r="O984" s="12"/>
      <c r="P984" s="39"/>
      <c r="Q984" s="12"/>
      <c r="R984" s="39"/>
      <c r="S984" s="39"/>
      <c r="T984" s="39"/>
      <c r="U984" s="39"/>
      <c r="V984" s="39"/>
      <c r="W984" s="39"/>
      <c r="X984" s="39"/>
      <c r="Y984" s="39"/>
      <c r="Z984" s="39"/>
      <c r="AA984" s="39"/>
      <c r="AB984" s="39"/>
      <c r="AC984" s="39"/>
    </row>
    <row r="985">
      <c r="A985" s="23"/>
      <c r="B985" s="24"/>
      <c r="C985" s="29"/>
      <c r="D985" s="29"/>
      <c r="E985" s="29"/>
      <c r="F985" s="29"/>
      <c r="G985" s="29"/>
      <c r="H985" s="12"/>
      <c r="I985" s="12"/>
      <c r="J985" s="12"/>
      <c r="K985" s="39"/>
      <c r="L985" s="12"/>
      <c r="M985" s="40"/>
      <c r="N985" s="29"/>
      <c r="O985" s="12"/>
      <c r="P985" s="39"/>
      <c r="Q985" s="12"/>
      <c r="R985" s="39"/>
      <c r="S985" s="39"/>
      <c r="T985" s="39"/>
      <c r="U985" s="39"/>
      <c r="V985" s="39"/>
      <c r="W985" s="39"/>
      <c r="X985" s="39"/>
      <c r="Y985" s="39"/>
      <c r="Z985" s="39"/>
      <c r="AA985" s="39"/>
      <c r="AB985" s="39"/>
      <c r="AC985" s="39"/>
    </row>
    <row r="986">
      <c r="A986" s="23"/>
      <c r="B986" s="24"/>
      <c r="C986" s="29"/>
      <c r="D986" s="29"/>
      <c r="E986" s="29"/>
      <c r="F986" s="29"/>
      <c r="G986" s="29"/>
      <c r="H986" s="12"/>
      <c r="I986" s="12"/>
      <c r="J986" s="12"/>
      <c r="K986" s="39"/>
      <c r="L986" s="12"/>
      <c r="M986" s="40"/>
      <c r="N986" s="29"/>
      <c r="O986" s="12"/>
      <c r="P986" s="39"/>
      <c r="Q986" s="12"/>
      <c r="R986" s="39"/>
      <c r="S986" s="39"/>
      <c r="T986" s="39"/>
      <c r="U986" s="39"/>
      <c r="V986" s="39"/>
      <c r="W986" s="39"/>
      <c r="X986" s="39"/>
      <c r="Y986" s="39"/>
      <c r="Z986" s="39"/>
      <c r="AA986" s="39"/>
      <c r="AB986" s="39"/>
      <c r="AC986" s="39"/>
    </row>
    <row r="987">
      <c r="A987" s="23"/>
      <c r="B987" s="24"/>
      <c r="C987" s="29"/>
      <c r="D987" s="29"/>
      <c r="E987" s="29"/>
      <c r="F987" s="29"/>
      <c r="G987" s="29"/>
      <c r="H987" s="12"/>
      <c r="I987" s="12"/>
      <c r="J987" s="12"/>
      <c r="K987" s="39"/>
      <c r="L987" s="12"/>
      <c r="M987" s="40"/>
      <c r="N987" s="29"/>
      <c r="O987" s="12"/>
      <c r="P987" s="39"/>
      <c r="Q987" s="12"/>
      <c r="R987" s="39"/>
      <c r="S987" s="39"/>
      <c r="T987" s="39"/>
      <c r="U987" s="39"/>
      <c r="V987" s="39"/>
      <c r="W987" s="39"/>
      <c r="X987" s="39"/>
      <c r="Y987" s="39"/>
      <c r="Z987" s="39"/>
      <c r="AA987" s="39"/>
      <c r="AB987" s="39"/>
      <c r="AC987" s="39"/>
    </row>
    <row r="988">
      <c r="A988" s="23"/>
      <c r="B988" s="24"/>
      <c r="C988" s="29"/>
      <c r="D988" s="29"/>
      <c r="E988" s="29"/>
      <c r="F988" s="29"/>
      <c r="G988" s="29"/>
      <c r="H988" s="12"/>
      <c r="I988" s="12"/>
      <c r="J988" s="12"/>
      <c r="K988" s="39"/>
      <c r="L988" s="12"/>
      <c r="M988" s="40"/>
      <c r="N988" s="29"/>
      <c r="O988" s="12"/>
      <c r="P988" s="39"/>
      <c r="Q988" s="12"/>
      <c r="R988" s="39"/>
      <c r="S988" s="39"/>
      <c r="T988" s="39"/>
      <c r="U988" s="39"/>
      <c r="V988" s="39"/>
      <c r="W988" s="39"/>
      <c r="X988" s="39"/>
      <c r="Y988" s="39"/>
      <c r="Z988" s="39"/>
      <c r="AA988" s="39"/>
      <c r="AB988" s="39"/>
      <c r="AC988" s="39"/>
    </row>
    <row r="989">
      <c r="A989" s="23"/>
      <c r="B989" s="24"/>
      <c r="C989" s="29"/>
      <c r="D989" s="29"/>
      <c r="E989" s="29"/>
      <c r="F989" s="29"/>
      <c r="G989" s="29"/>
      <c r="H989" s="12"/>
      <c r="I989" s="12"/>
      <c r="J989" s="12"/>
      <c r="K989" s="39"/>
      <c r="L989" s="12"/>
      <c r="M989" s="40"/>
      <c r="N989" s="29"/>
      <c r="O989" s="12"/>
      <c r="P989" s="39"/>
      <c r="Q989" s="12"/>
      <c r="R989" s="39"/>
      <c r="S989" s="39"/>
      <c r="T989" s="39"/>
      <c r="U989" s="39"/>
      <c r="V989" s="39"/>
      <c r="W989" s="39"/>
      <c r="X989" s="39"/>
      <c r="Y989" s="39"/>
      <c r="Z989" s="39"/>
      <c r="AA989" s="39"/>
      <c r="AB989" s="39"/>
      <c r="AC989" s="39"/>
    </row>
    <row r="990">
      <c r="A990" s="23"/>
      <c r="B990" s="24"/>
      <c r="C990" s="29"/>
      <c r="D990" s="29"/>
      <c r="E990" s="29"/>
      <c r="F990" s="29"/>
      <c r="G990" s="29"/>
      <c r="H990" s="12"/>
      <c r="I990" s="12"/>
      <c r="J990" s="12"/>
      <c r="K990" s="39"/>
      <c r="L990" s="12"/>
      <c r="M990" s="40"/>
      <c r="N990" s="29"/>
      <c r="O990" s="12"/>
      <c r="P990" s="39"/>
      <c r="Q990" s="12"/>
      <c r="R990" s="39"/>
      <c r="S990" s="39"/>
      <c r="T990" s="39"/>
      <c r="U990" s="39"/>
      <c r="V990" s="39"/>
      <c r="W990" s="39"/>
      <c r="X990" s="39"/>
      <c r="Y990" s="39"/>
      <c r="Z990" s="39"/>
      <c r="AA990" s="39"/>
      <c r="AB990" s="39"/>
      <c r="AC990" s="39"/>
    </row>
    <row r="991">
      <c r="A991" s="23"/>
      <c r="B991" s="24"/>
      <c r="C991" s="29"/>
      <c r="D991" s="29"/>
      <c r="E991" s="29"/>
      <c r="F991" s="29"/>
      <c r="G991" s="29"/>
      <c r="H991" s="12"/>
      <c r="I991" s="12"/>
      <c r="J991" s="12"/>
      <c r="K991" s="39"/>
      <c r="L991" s="12"/>
      <c r="M991" s="40"/>
      <c r="N991" s="29"/>
      <c r="O991" s="12"/>
      <c r="P991" s="39"/>
      <c r="Q991" s="12"/>
      <c r="R991" s="39"/>
      <c r="S991" s="39"/>
      <c r="T991" s="39"/>
      <c r="U991" s="39"/>
      <c r="V991" s="39"/>
      <c r="W991" s="39"/>
      <c r="X991" s="39"/>
      <c r="Y991" s="39"/>
      <c r="Z991" s="39"/>
      <c r="AA991" s="39"/>
      <c r="AB991" s="39"/>
      <c r="AC991" s="39"/>
    </row>
    <row r="992">
      <c r="A992" s="23"/>
      <c r="B992" s="24"/>
      <c r="C992" s="29"/>
      <c r="D992" s="29"/>
      <c r="E992" s="29"/>
      <c r="F992" s="29"/>
      <c r="G992" s="29"/>
      <c r="H992" s="12"/>
      <c r="I992" s="12"/>
      <c r="J992" s="12"/>
      <c r="K992" s="39"/>
      <c r="L992" s="12"/>
      <c r="M992" s="40"/>
      <c r="N992" s="29"/>
      <c r="O992" s="12"/>
      <c r="P992" s="39"/>
      <c r="Q992" s="12"/>
      <c r="R992" s="39"/>
      <c r="S992" s="39"/>
      <c r="T992" s="39"/>
      <c r="U992" s="39"/>
      <c r="V992" s="39"/>
      <c r="W992" s="39"/>
      <c r="X992" s="39"/>
      <c r="Y992" s="39"/>
      <c r="Z992" s="39"/>
      <c r="AA992" s="39"/>
      <c r="AB992" s="39"/>
      <c r="AC992" s="39"/>
    </row>
    <row r="993">
      <c r="A993" s="23"/>
      <c r="B993" s="24"/>
      <c r="C993" s="29"/>
      <c r="D993" s="29"/>
      <c r="E993" s="29"/>
      <c r="F993" s="29"/>
      <c r="G993" s="29"/>
      <c r="H993" s="12"/>
      <c r="I993" s="12"/>
      <c r="J993" s="12"/>
      <c r="K993" s="39"/>
      <c r="L993" s="12"/>
      <c r="M993" s="40"/>
      <c r="N993" s="29"/>
      <c r="O993" s="12"/>
      <c r="P993" s="39"/>
      <c r="Q993" s="12"/>
      <c r="R993" s="39"/>
      <c r="S993" s="39"/>
      <c r="T993" s="39"/>
      <c r="U993" s="39"/>
      <c r="V993" s="39"/>
      <c r="W993" s="39"/>
      <c r="X993" s="39"/>
      <c r="Y993" s="39"/>
      <c r="Z993" s="39"/>
      <c r="AA993" s="39"/>
      <c r="AB993" s="39"/>
      <c r="AC993" s="39"/>
    </row>
    <row r="994">
      <c r="A994" s="23"/>
      <c r="B994" s="24"/>
      <c r="C994" s="29"/>
      <c r="D994" s="29"/>
      <c r="E994" s="29"/>
      <c r="F994" s="29"/>
      <c r="G994" s="29"/>
      <c r="H994" s="12"/>
      <c r="I994" s="12"/>
      <c r="J994" s="12"/>
      <c r="K994" s="39"/>
      <c r="L994" s="12"/>
      <c r="M994" s="40"/>
      <c r="N994" s="29"/>
      <c r="O994" s="12"/>
      <c r="P994" s="39"/>
      <c r="Q994" s="12"/>
      <c r="R994" s="39"/>
      <c r="S994" s="39"/>
      <c r="T994" s="39"/>
      <c r="U994" s="39"/>
      <c r="V994" s="39"/>
      <c r="W994" s="39"/>
      <c r="X994" s="39"/>
      <c r="Y994" s="39"/>
      <c r="Z994" s="39"/>
      <c r="AA994" s="39"/>
      <c r="AB994" s="39"/>
      <c r="AC994" s="39"/>
    </row>
    <row r="995">
      <c r="A995" s="23"/>
      <c r="B995" s="24"/>
      <c r="C995" s="29"/>
      <c r="D995" s="29"/>
      <c r="E995" s="29"/>
      <c r="F995" s="29"/>
      <c r="G995" s="29"/>
      <c r="H995" s="12"/>
      <c r="I995" s="12"/>
      <c r="J995" s="12"/>
      <c r="K995" s="39"/>
      <c r="L995" s="12"/>
      <c r="M995" s="40"/>
      <c r="N995" s="29"/>
      <c r="O995" s="12"/>
      <c r="P995" s="39"/>
      <c r="Q995" s="12"/>
      <c r="R995" s="39"/>
      <c r="S995" s="39"/>
      <c r="T995" s="39"/>
      <c r="U995" s="39"/>
      <c r="V995" s="39"/>
      <c r="W995" s="39"/>
      <c r="X995" s="39"/>
      <c r="Y995" s="39"/>
      <c r="Z995" s="39"/>
      <c r="AA995" s="39"/>
      <c r="AB995" s="39"/>
      <c r="AC995" s="39"/>
    </row>
    <row r="996">
      <c r="A996" s="23"/>
      <c r="B996" s="24"/>
      <c r="C996" s="29"/>
      <c r="D996" s="29"/>
      <c r="E996" s="29"/>
      <c r="F996" s="29"/>
      <c r="G996" s="29"/>
      <c r="H996" s="12"/>
      <c r="I996" s="12"/>
      <c r="J996" s="12"/>
      <c r="K996" s="39"/>
      <c r="L996" s="12"/>
      <c r="M996" s="40"/>
      <c r="N996" s="29"/>
      <c r="O996" s="12"/>
      <c r="P996" s="39"/>
      <c r="Q996" s="12"/>
      <c r="R996" s="39"/>
      <c r="S996" s="39"/>
      <c r="T996" s="39"/>
      <c r="U996" s="39"/>
      <c r="V996" s="39"/>
      <c r="W996" s="39"/>
      <c r="X996" s="39"/>
      <c r="Y996" s="39"/>
      <c r="Z996" s="39"/>
      <c r="AA996" s="39"/>
      <c r="AB996" s="39"/>
      <c r="AC996" s="39"/>
    </row>
    <row r="997">
      <c r="A997" s="23"/>
      <c r="B997" s="24"/>
      <c r="C997" s="29"/>
      <c r="D997" s="29"/>
      <c r="E997" s="29"/>
      <c r="F997" s="29"/>
      <c r="G997" s="29"/>
      <c r="H997" s="12"/>
      <c r="I997" s="12"/>
      <c r="J997" s="12"/>
      <c r="K997" s="39"/>
      <c r="L997" s="12"/>
      <c r="M997" s="40"/>
      <c r="N997" s="29"/>
      <c r="O997" s="12"/>
      <c r="P997" s="39"/>
      <c r="Q997" s="12"/>
      <c r="R997" s="39"/>
      <c r="S997" s="39"/>
      <c r="T997" s="39"/>
      <c r="U997" s="39"/>
      <c r="V997" s="39"/>
      <c r="W997" s="39"/>
      <c r="X997" s="39"/>
      <c r="Y997" s="39"/>
      <c r="Z997" s="39"/>
      <c r="AA997" s="39"/>
      <c r="AB997" s="39"/>
      <c r="AC997" s="39"/>
    </row>
    <row r="998">
      <c r="A998" s="23"/>
      <c r="B998" s="24"/>
      <c r="C998" s="29"/>
      <c r="D998" s="29"/>
      <c r="E998" s="29"/>
      <c r="F998" s="29"/>
      <c r="G998" s="29"/>
      <c r="H998" s="12"/>
      <c r="I998" s="12"/>
      <c r="J998" s="12"/>
      <c r="K998" s="39"/>
      <c r="L998" s="12"/>
      <c r="M998" s="40"/>
      <c r="N998" s="29"/>
      <c r="O998" s="12"/>
      <c r="P998" s="39"/>
      <c r="Q998" s="12"/>
      <c r="R998" s="39"/>
      <c r="S998" s="39"/>
      <c r="T998" s="39"/>
      <c r="U998" s="39"/>
      <c r="V998" s="39"/>
      <c r="W998" s="39"/>
      <c r="X998" s="39"/>
      <c r="Y998" s="39"/>
      <c r="Z998" s="39"/>
      <c r="AA998" s="39"/>
      <c r="AB998" s="39"/>
      <c r="AC998" s="39"/>
    </row>
    <row r="999">
      <c r="A999" s="23"/>
      <c r="B999" s="24"/>
      <c r="C999" s="29"/>
      <c r="D999" s="29"/>
      <c r="E999" s="29"/>
      <c r="F999" s="29"/>
      <c r="G999" s="29"/>
      <c r="H999" s="12"/>
      <c r="I999" s="12"/>
      <c r="J999" s="12"/>
      <c r="K999" s="39"/>
      <c r="L999" s="12"/>
      <c r="M999" s="40"/>
      <c r="N999" s="29"/>
      <c r="O999" s="12"/>
      <c r="P999" s="39"/>
      <c r="Q999" s="12"/>
      <c r="R999" s="39"/>
      <c r="S999" s="39"/>
      <c r="T999" s="39"/>
      <c r="U999" s="39"/>
      <c r="V999" s="39"/>
      <c r="W999" s="39"/>
      <c r="X999" s="39"/>
      <c r="Y999" s="39"/>
      <c r="Z999" s="39"/>
      <c r="AA999" s="39"/>
      <c r="AB999" s="39"/>
      <c r="AC999" s="39"/>
    </row>
    <row r="1000">
      <c r="A1000" s="23"/>
      <c r="B1000" s="24"/>
      <c r="C1000" s="29"/>
      <c r="D1000" s="29"/>
      <c r="E1000" s="29"/>
      <c r="F1000" s="29"/>
      <c r="G1000" s="29"/>
      <c r="H1000" s="12"/>
      <c r="I1000" s="12"/>
      <c r="J1000" s="12"/>
      <c r="K1000" s="39"/>
      <c r="L1000" s="12"/>
      <c r="M1000" s="40"/>
      <c r="N1000" s="29"/>
      <c r="O1000" s="12"/>
      <c r="P1000" s="39"/>
      <c r="Q1000" s="12"/>
      <c r="R1000" s="39"/>
      <c r="S1000" s="39"/>
      <c r="T1000" s="39"/>
      <c r="U1000" s="39"/>
      <c r="V1000" s="39"/>
      <c r="W1000" s="39"/>
      <c r="X1000" s="39"/>
      <c r="Y1000" s="39"/>
      <c r="Z1000" s="39"/>
      <c r="AA1000" s="39"/>
      <c r="AB1000" s="39"/>
      <c r="AC1000" s="39"/>
    </row>
    <row r="1001">
      <c r="A1001" s="23"/>
      <c r="B1001" s="24"/>
      <c r="C1001" s="29"/>
      <c r="D1001" s="29"/>
      <c r="E1001" s="29"/>
      <c r="F1001" s="29"/>
      <c r="G1001" s="29"/>
      <c r="H1001" s="12"/>
      <c r="I1001" s="12"/>
      <c r="J1001" s="12"/>
      <c r="K1001" s="39"/>
      <c r="L1001" s="12"/>
      <c r="M1001" s="40"/>
      <c r="N1001" s="29"/>
      <c r="O1001" s="12"/>
      <c r="P1001" s="39"/>
      <c r="Q1001" s="12"/>
      <c r="R1001" s="39"/>
      <c r="S1001" s="39"/>
      <c r="T1001" s="39"/>
      <c r="U1001" s="39"/>
      <c r="V1001" s="39"/>
      <c r="W1001" s="39"/>
      <c r="X1001" s="39"/>
      <c r="Y1001" s="39"/>
      <c r="Z1001" s="39"/>
      <c r="AA1001" s="39"/>
      <c r="AB1001" s="39"/>
      <c r="AC1001" s="39"/>
    </row>
    <row r="1002">
      <c r="A1002" s="23"/>
      <c r="B1002" s="24"/>
      <c r="C1002" s="29"/>
      <c r="D1002" s="29"/>
      <c r="E1002" s="29"/>
      <c r="F1002" s="29"/>
      <c r="G1002" s="29"/>
      <c r="H1002" s="12"/>
      <c r="I1002" s="12"/>
      <c r="J1002" s="12"/>
      <c r="K1002" s="39"/>
      <c r="L1002" s="12"/>
      <c r="M1002" s="40"/>
      <c r="N1002" s="29"/>
      <c r="O1002" s="12"/>
      <c r="P1002" s="39"/>
      <c r="Q1002" s="12"/>
      <c r="R1002" s="39"/>
      <c r="S1002" s="39"/>
      <c r="T1002" s="39"/>
      <c r="U1002" s="39"/>
      <c r="V1002" s="39"/>
      <c r="W1002" s="39"/>
      <c r="X1002" s="39"/>
      <c r="Y1002" s="39"/>
      <c r="Z1002" s="39"/>
      <c r="AA1002" s="39"/>
      <c r="AB1002" s="39"/>
      <c r="AC1002" s="39"/>
    </row>
    <row r="1003">
      <c r="A1003" s="23"/>
      <c r="B1003" s="24"/>
      <c r="C1003" s="29"/>
      <c r="D1003" s="29"/>
      <c r="E1003" s="29"/>
      <c r="F1003" s="29"/>
      <c r="G1003" s="29"/>
      <c r="H1003" s="12"/>
      <c r="I1003" s="12"/>
      <c r="J1003" s="12"/>
      <c r="K1003" s="39"/>
      <c r="L1003" s="12"/>
      <c r="M1003" s="40"/>
      <c r="N1003" s="29"/>
      <c r="O1003" s="12"/>
      <c r="P1003" s="39"/>
      <c r="Q1003" s="12"/>
      <c r="R1003" s="39"/>
      <c r="S1003" s="39"/>
      <c r="T1003" s="39"/>
      <c r="U1003" s="39"/>
      <c r="V1003" s="39"/>
      <c r="W1003" s="39"/>
      <c r="X1003" s="39"/>
      <c r="Y1003" s="39"/>
      <c r="Z1003" s="39"/>
      <c r="AA1003" s="39"/>
      <c r="AB1003" s="39"/>
      <c r="AC1003" s="39"/>
    </row>
    <row r="1004">
      <c r="A1004" s="23"/>
      <c r="B1004" s="24"/>
      <c r="C1004" s="29"/>
      <c r="D1004" s="29"/>
      <c r="E1004" s="29"/>
      <c r="F1004" s="29"/>
      <c r="G1004" s="29"/>
      <c r="H1004" s="12"/>
      <c r="I1004" s="12"/>
      <c r="J1004" s="12"/>
      <c r="K1004" s="39"/>
      <c r="L1004" s="12"/>
      <c r="M1004" s="40"/>
      <c r="N1004" s="29"/>
      <c r="O1004" s="12"/>
      <c r="P1004" s="39"/>
      <c r="Q1004" s="12"/>
      <c r="R1004" s="39"/>
      <c r="S1004" s="39"/>
      <c r="T1004" s="39"/>
      <c r="U1004" s="39"/>
      <c r="V1004" s="39"/>
      <c r="W1004" s="39"/>
      <c r="X1004" s="39"/>
      <c r="Y1004" s="39"/>
      <c r="Z1004" s="39"/>
      <c r="AA1004" s="39"/>
      <c r="AB1004" s="39"/>
      <c r="AC1004" s="39"/>
    </row>
    <row r="1005">
      <c r="A1005" s="23"/>
      <c r="B1005" s="24"/>
      <c r="C1005" s="29"/>
      <c r="D1005" s="29"/>
      <c r="E1005" s="29"/>
      <c r="F1005" s="29"/>
      <c r="G1005" s="29"/>
      <c r="H1005" s="12"/>
      <c r="I1005" s="12"/>
      <c r="J1005" s="12"/>
      <c r="K1005" s="39"/>
      <c r="L1005" s="12"/>
      <c r="M1005" s="40"/>
      <c r="N1005" s="29"/>
      <c r="O1005" s="12"/>
      <c r="P1005" s="39"/>
      <c r="Q1005" s="12"/>
      <c r="R1005" s="39"/>
      <c r="S1005" s="39"/>
      <c r="T1005" s="39"/>
      <c r="U1005" s="39"/>
      <c r="V1005" s="39"/>
      <c r="W1005" s="39"/>
      <c r="X1005" s="39"/>
      <c r="Y1005" s="39"/>
      <c r="Z1005" s="39"/>
      <c r="AA1005" s="39"/>
      <c r="AB1005" s="39"/>
      <c r="AC1005" s="39"/>
    </row>
    <row r="1006">
      <c r="A1006" s="23"/>
      <c r="B1006" s="24"/>
      <c r="C1006" s="29"/>
      <c r="D1006" s="29"/>
      <c r="E1006" s="29"/>
      <c r="F1006" s="29"/>
      <c r="G1006" s="29"/>
      <c r="H1006" s="12"/>
      <c r="I1006" s="12"/>
      <c r="J1006" s="12"/>
      <c r="K1006" s="39"/>
      <c r="L1006" s="12"/>
      <c r="M1006" s="40"/>
      <c r="N1006" s="29"/>
      <c r="O1006" s="12"/>
      <c r="P1006" s="39"/>
      <c r="Q1006" s="12"/>
      <c r="R1006" s="39"/>
      <c r="S1006" s="39"/>
      <c r="T1006" s="39"/>
      <c r="U1006" s="39"/>
      <c r="V1006" s="39"/>
      <c r="W1006" s="39"/>
      <c r="X1006" s="39"/>
      <c r="Y1006" s="39"/>
      <c r="Z1006" s="39"/>
      <c r="AA1006" s="39"/>
      <c r="AB1006" s="39"/>
      <c r="AC1006" s="39"/>
    </row>
    <row r="1007">
      <c r="A1007" s="23"/>
      <c r="B1007" s="24"/>
      <c r="C1007" s="29"/>
      <c r="D1007" s="29"/>
      <c r="E1007" s="29"/>
      <c r="F1007" s="29"/>
      <c r="G1007" s="29"/>
      <c r="H1007" s="12"/>
      <c r="I1007" s="12"/>
      <c r="J1007" s="12"/>
      <c r="K1007" s="39"/>
      <c r="L1007" s="12"/>
      <c r="M1007" s="40"/>
      <c r="N1007" s="29"/>
      <c r="O1007" s="12"/>
      <c r="P1007" s="39"/>
      <c r="Q1007" s="12"/>
      <c r="R1007" s="39"/>
      <c r="S1007" s="39"/>
      <c r="T1007" s="39"/>
      <c r="U1007" s="39"/>
      <c r="V1007" s="39"/>
      <c r="W1007" s="39"/>
      <c r="X1007" s="39"/>
      <c r="Y1007" s="39"/>
      <c r="Z1007" s="39"/>
      <c r="AA1007" s="39"/>
      <c r="AB1007" s="39"/>
      <c r="AC1007" s="39"/>
    </row>
    <row r="1008">
      <c r="A1008" s="23"/>
      <c r="B1008" s="24"/>
      <c r="C1008" s="29"/>
      <c r="D1008" s="29"/>
      <c r="E1008" s="29"/>
      <c r="F1008" s="29"/>
      <c r="G1008" s="29"/>
      <c r="H1008" s="12"/>
      <c r="I1008" s="12"/>
      <c r="J1008" s="12"/>
      <c r="K1008" s="39"/>
      <c r="L1008" s="12"/>
      <c r="M1008" s="40"/>
      <c r="N1008" s="29"/>
      <c r="O1008" s="12"/>
      <c r="P1008" s="39"/>
      <c r="Q1008" s="12"/>
      <c r="R1008" s="39"/>
      <c r="S1008" s="39"/>
      <c r="T1008" s="39"/>
      <c r="U1008" s="39"/>
      <c r="V1008" s="39"/>
      <c r="W1008" s="39"/>
      <c r="X1008" s="39"/>
      <c r="Y1008" s="39"/>
      <c r="Z1008" s="39"/>
      <c r="AA1008" s="39"/>
      <c r="AB1008" s="39"/>
      <c r="AC1008" s="39"/>
    </row>
  </sheetData>
  <dataValidations>
    <dataValidation type="list" allowBlank="1" sqref="G2:G1008">
      <formula1>DropdownLists!$H$22:$H$23</formula1>
    </dataValidation>
    <dataValidation type="list" allowBlank="1" sqref="F2:F1008">
      <formula1>DropdownLists!$H$12:$H$17</formula1>
    </dataValidation>
    <dataValidation type="list" allowBlank="1" sqref="D2:D1008">
      <formula1>DropdownLists!$C$2:$C$246</formula1>
    </dataValidation>
    <dataValidation type="list" allowBlank="1" sqref="E2:E1008">
      <formula1>DropdownLists!$I$2:$I$11</formula1>
    </dataValidation>
    <dataValidation type="list" allowBlank="1" showErrorMessage="1" sqref="A2:A1008">
      <formula1>"Standard,Extended"</formula1>
    </dataValidation>
    <dataValidation type="list" allowBlank="1" sqref="H2:J1008">
      <formula1>DropdownLists!$K$2:$K$1023</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0"/>
  </cols>
  <sheetData>
    <row r="1">
      <c r="A1" s="8" t="s">
        <v>0</v>
      </c>
      <c r="B1" s="1"/>
      <c r="C1" s="1"/>
      <c r="D1" s="1"/>
      <c r="E1" s="1"/>
      <c r="F1" s="1"/>
      <c r="G1" s="1"/>
      <c r="H1" s="1"/>
    </row>
    <row r="2">
      <c r="A2" s="8" t="s">
        <v>27</v>
      </c>
      <c r="B2" s="12" t="s">
        <v>30</v>
      </c>
      <c r="C2" s="1"/>
      <c r="D2" s="1"/>
      <c r="E2" s="1"/>
      <c r="F2" s="1"/>
      <c r="G2" s="1"/>
      <c r="H2" s="1"/>
    </row>
    <row r="3">
      <c r="A3" s="8" t="s">
        <v>48</v>
      </c>
      <c r="B3" s="12" t="s">
        <v>50</v>
      </c>
      <c r="C3" s="1"/>
      <c r="D3" s="1"/>
      <c r="E3" s="1"/>
      <c r="F3" s="1"/>
      <c r="G3" s="1"/>
      <c r="H3" s="1"/>
    </row>
    <row r="4">
      <c r="A4" s="8" t="s">
        <v>53</v>
      </c>
      <c r="B4" s="12" t="s">
        <v>54</v>
      </c>
      <c r="C4" s="1"/>
      <c r="D4" s="1"/>
      <c r="E4" s="1"/>
      <c r="F4" s="1"/>
      <c r="G4" s="1"/>
      <c r="H4" s="1"/>
    </row>
    <row r="5">
      <c r="A5" s="8" t="s">
        <v>57</v>
      </c>
      <c r="B5" s="1"/>
      <c r="C5" s="1"/>
      <c r="D5" s="1"/>
      <c r="E5" s="1"/>
      <c r="F5" s="1"/>
      <c r="G5" s="1"/>
      <c r="H5" s="1"/>
    </row>
    <row r="6">
      <c r="A6" s="17"/>
      <c r="B6" s="1"/>
      <c r="C6" s="1"/>
      <c r="D6" s="1"/>
      <c r="E6" s="1"/>
      <c r="F6" s="1"/>
      <c r="G6" s="1"/>
      <c r="H6" s="1"/>
    </row>
    <row r="7">
      <c r="A7" s="17"/>
      <c r="B7" s="1"/>
      <c r="C7" s="1"/>
      <c r="D7" s="1"/>
      <c r="E7" s="1"/>
      <c r="F7" s="1"/>
      <c r="G7" s="1"/>
      <c r="H7" s="1"/>
    </row>
    <row r="8">
      <c r="A8" s="17"/>
      <c r="B8" s="1"/>
      <c r="C8" s="1"/>
      <c r="D8" s="1"/>
      <c r="E8" s="1"/>
      <c r="F8" s="1"/>
      <c r="G8" s="1"/>
      <c r="H8" s="1"/>
    </row>
    <row r="9">
      <c r="A9" s="17"/>
      <c r="B9" s="1"/>
      <c r="C9" s="1"/>
      <c r="D9" s="1"/>
      <c r="E9" s="1"/>
      <c r="F9" s="1"/>
      <c r="G9" s="1"/>
      <c r="H9" s="1"/>
    </row>
    <row r="10">
      <c r="A10" s="17"/>
      <c r="B10" s="1"/>
      <c r="C10" s="1"/>
      <c r="D10" s="1"/>
      <c r="E10" s="1"/>
      <c r="F10" s="1"/>
      <c r="G10" s="1"/>
      <c r="H10"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36.63"/>
    <col customWidth="1" min="3" max="3" width="32.13"/>
    <col customWidth="1" min="4" max="4" width="26.38"/>
    <col customWidth="1" min="5" max="5" width="31.5"/>
  </cols>
  <sheetData>
    <row r="1">
      <c r="A1" s="1"/>
      <c r="B1" s="3" t="s">
        <v>3</v>
      </c>
      <c r="D1" s="5" t="s">
        <v>5</v>
      </c>
      <c r="F1" s="1"/>
      <c r="G1" s="1"/>
    </row>
    <row r="2">
      <c r="A2" s="1"/>
      <c r="F2" s="1"/>
      <c r="G2" s="1"/>
    </row>
    <row r="3">
      <c r="A3" s="7" t="s">
        <v>8</v>
      </c>
      <c r="F3" s="1"/>
      <c r="G3" s="1"/>
    </row>
    <row r="4">
      <c r="A4" s="9"/>
      <c r="B4" s="10" t="s">
        <v>23</v>
      </c>
      <c r="D4" s="13" t="s">
        <v>23</v>
      </c>
      <c r="F4" s="1"/>
      <c r="G4" s="1"/>
    </row>
    <row r="5">
      <c r="A5" s="19"/>
      <c r="B5" s="9" t="s">
        <v>70</v>
      </c>
      <c r="D5" s="9" t="s">
        <v>71</v>
      </c>
      <c r="E5" s="9" t="s">
        <v>72</v>
      </c>
      <c r="F5" s="1"/>
      <c r="G5" s="1"/>
    </row>
    <row r="6">
      <c r="A6" s="21" t="s">
        <v>76</v>
      </c>
      <c r="B6" s="25" t="str">
        <f>$A$5&amp;" -- Episodic + Roll-Up"</f>
        <v> -- Episodic + Roll-Up</v>
      </c>
      <c r="D6" s="1" t="s">
        <v>84</v>
      </c>
      <c r="E6" s="1" t="str">
        <f t="shared" ref="E6:E7" si="1">D6</f>
        <v>LF // TV Universe</v>
      </c>
      <c r="F6" s="1"/>
      <c r="G6" s="1"/>
    </row>
    <row r="7">
      <c r="A7" s="27"/>
      <c r="B7" s="25" t="str">
        <f>$A$5&amp;"-- Episodic Network Roll-Up"</f>
        <v>-- Episodic Network Roll-Up</v>
      </c>
      <c r="D7" s="12" t="s">
        <v>86</v>
      </c>
      <c r="E7" s="1" t="str">
        <f t="shared" si="1"/>
        <v>LF // TV // Episodic Plus</v>
      </c>
      <c r="F7" s="1"/>
      <c r="G7" s="1"/>
    </row>
    <row r="8">
      <c r="A8" s="27"/>
      <c r="B8" s="30" t="s">
        <v>84</v>
      </c>
      <c r="D8" s="1" t="str">
        <f t="shared" ref="D8:E8" si="2">$A$5&amp;" -- Episodic + Roll-Up"</f>
        <v> -- Episodic + Roll-Up</v>
      </c>
      <c r="E8" s="1" t="str">
        <f t="shared" si="2"/>
        <v> -- Episodic + Roll-Up</v>
      </c>
      <c r="F8" s="17"/>
      <c r="G8" s="33"/>
    </row>
    <row r="9">
      <c r="A9" s="27"/>
      <c r="B9" s="36" t="s">
        <v>89</v>
      </c>
      <c r="D9" s="38" t="s">
        <v>91</v>
      </c>
      <c r="E9" s="1"/>
      <c r="F9" s="17"/>
      <c r="G9" s="33"/>
    </row>
    <row r="10">
      <c r="A10" s="27"/>
      <c r="B10" s="36" t="s">
        <v>86</v>
      </c>
      <c r="D10" s="38"/>
      <c r="F10" s="17"/>
      <c r="G10" s="33"/>
    </row>
    <row r="11">
      <c r="A11" s="27"/>
      <c r="D11" s="1"/>
      <c r="E11" s="1"/>
      <c r="F11" s="17"/>
      <c r="G11" s="1"/>
    </row>
    <row r="12">
      <c r="A12" s="27"/>
      <c r="F12" s="17"/>
      <c r="G12" s="1"/>
    </row>
    <row r="13">
      <c r="A13" s="27"/>
      <c r="D13" s="1"/>
      <c r="E13" s="1"/>
      <c r="F13" s="1"/>
      <c r="G13" s="1"/>
    </row>
    <row r="14">
      <c r="A14" s="27"/>
      <c r="D14" s="1"/>
      <c r="E14" s="1"/>
      <c r="F14" s="1"/>
      <c r="G14" s="1"/>
    </row>
    <row r="15">
      <c r="A15" s="27"/>
      <c r="B15" s="43"/>
      <c r="C15" s="1"/>
      <c r="D15" s="1"/>
      <c r="E15" s="1"/>
      <c r="F15" s="1"/>
      <c r="G15" s="1"/>
    </row>
    <row r="16">
      <c r="F16" s="1"/>
      <c r="G16" s="1"/>
    </row>
    <row r="17">
      <c r="A17" s="1"/>
      <c r="D17" s="1"/>
      <c r="E17" s="1"/>
      <c r="F17" s="1"/>
      <c r="G17" s="1"/>
    </row>
    <row r="18">
      <c r="B18" s="1"/>
      <c r="C18" s="1"/>
      <c r="D18" s="1"/>
      <c r="E18" s="1"/>
      <c r="F18" s="1"/>
      <c r="G18" s="1"/>
    </row>
    <row r="19">
      <c r="F19" s="1"/>
      <c r="G19" s="1"/>
    </row>
    <row r="20">
      <c r="F20" s="1"/>
      <c r="G20" s="1"/>
    </row>
    <row r="21">
      <c r="F21" s="1"/>
      <c r="G21" s="1"/>
    </row>
    <row r="22">
      <c r="F22" s="1"/>
      <c r="G22" s="1"/>
    </row>
    <row r="23">
      <c r="F23" s="1"/>
      <c r="G23" s="1"/>
    </row>
    <row r="24">
      <c r="E24" s="1"/>
      <c r="F24" s="1"/>
      <c r="G24" s="1"/>
    </row>
  </sheetData>
  <mergeCells count="10">
    <mergeCell ref="B8:C8"/>
    <mergeCell ref="B9:C9"/>
    <mergeCell ref="B10:C10"/>
    <mergeCell ref="B1:C3"/>
    <mergeCell ref="D1:E3"/>
    <mergeCell ref="B4:C4"/>
    <mergeCell ref="D4:E4"/>
    <mergeCell ref="B5:C5"/>
    <mergeCell ref="B6:C6"/>
    <mergeCell ref="B7:C7"/>
  </mergeCells>
  <dataValidations>
    <dataValidation type="list" allowBlank="1" sqref="A5">
      <formula1>DropdownLists!$C$2:$C$310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25"/>
    <col customWidth="1" min="2" max="2" width="86.38"/>
  </cols>
  <sheetData>
    <row r="1">
      <c r="A1" s="28"/>
      <c r="B1" s="31" t="s">
        <v>85</v>
      </c>
    </row>
    <row r="2">
      <c r="A2" s="32" t="s">
        <v>87</v>
      </c>
      <c r="B2" s="34" t="s">
        <v>88</v>
      </c>
    </row>
    <row r="3">
      <c r="A3" s="37" t="s">
        <v>90</v>
      </c>
      <c r="B3" s="41" t="s">
        <v>92</v>
      </c>
    </row>
    <row r="4">
      <c r="A4" s="42" t="s">
        <v>93</v>
      </c>
      <c r="B4" s="44" t="s">
        <v>94</v>
      </c>
    </row>
    <row r="5">
      <c r="A5" s="46" t="s">
        <v>96</v>
      </c>
      <c r="B5" s="47" t="s">
        <v>97</v>
      </c>
    </row>
    <row r="6">
      <c r="A6" s="42" t="s">
        <v>98</v>
      </c>
      <c r="B6" s="42" t="s">
        <v>99</v>
      </c>
    </row>
    <row r="7">
      <c r="A7" s="48" t="s">
        <v>100</v>
      </c>
      <c r="B7" s="49" t="s">
        <v>102</v>
      </c>
    </row>
    <row r="8">
      <c r="A8" s="50" t="s">
        <v>103</v>
      </c>
      <c r="B8" s="51" t="s">
        <v>104</v>
      </c>
    </row>
    <row r="9">
      <c r="A9" s="52" t="s">
        <v>105</v>
      </c>
      <c r="B9" s="53" t="s">
        <v>106</v>
      </c>
    </row>
    <row r="10">
      <c r="A10" s="54" t="s">
        <v>107</v>
      </c>
      <c r="B10" s="55" t="s">
        <v>108</v>
      </c>
    </row>
    <row r="11">
      <c r="A11" s="54" t="s">
        <v>109</v>
      </c>
      <c r="B11" s="55" t="s">
        <v>108</v>
      </c>
    </row>
    <row r="12">
      <c r="A12" s="56" t="s">
        <v>110</v>
      </c>
      <c r="B12" s="57"/>
    </row>
    <row r="13">
      <c r="A13" s="58" t="s">
        <v>111</v>
      </c>
      <c r="B13" s="59" t="s">
        <v>112</v>
      </c>
    </row>
    <row r="14">
      <c r="A14" s="60" t="s">
        <v>113</v>
      </c>
      <c r="B14" s="61" t="s">
        <v>114</v>
      </c>
    </row>
    <row r="15">
      <c r="A15" s="62" t="s">
        <v>115</v>
      </c>
      <c r="B15" s="63" t="s">
        <v>116</v>
      </c>
    </row>
    <row r="16">
      <c r="A16" s="64" t="s">
        <v>117</v>
      </c>
      <c r="B16" s="65" t="s">
        <v>118</v>
      </c>
    </row>
    <row r="17">
      <c r="A17" s="46" t="s">
        <v>119</v>
      </c>
      <c r="B17" s="47" t="s">
        <v>97</v>
      </c>
    </row>
    <row r="18">
      <c r="A18" s="66" t="s">
        <v>120</v>
      </c>
      <c r="B18" s="67" t="s">
        <v>121</v>
      </c>
    </row>
    <row r="19">
      <c r="A19" s="46" t="s">
        <v>122</v>
      </c>
      <c r="B19" s="47" t="s">
        <v>97</v>
      </c>
    </row>
    <row r="20">
      <c r="A20" s="68" t="s">
        <v>123</v>
      </c>
      <c r="B20" s="65" t="s">
        <v>118</v>
      </c>
    </row>
    <row r="21">
      <c r="A21" s="69" t="s">
        <v>123</v>
      </c>
      <c r="B21" s="70" t="s">
        <v>124</v>
      </c>
    </row>
    <row r="22">
      <c r="A22" s="71" t="s">
        <v>125</v>
      </c>
      <c r="B22" s="72"/>
    </row>
    <row r="23">
      <c r="A23" s="64" t="s">
        <v>126</v>
      </c>
      <c r="B23" s="65" t="s">
        <v>118</v>
      </c>
    </row>
    <row r="24">
      <c r="A24" s="66" t="s">
        <v>127</v>
      </c>
      <c r="B24" s="67" t="s">
        <v>121</v>
      </c>
    </row>
    <row r="25">
      <c r="A25" s="73" t="s">
        <v>128</v>
      </c>
      <c r="B25" s="75" t="s">
        <v>129</v>
      </c>
    </row>
    <row r="26">
      <c r="A26" s="76" t="s">
        <v>130</v>
      </c>
      <c r="B26" s="65" t="s">
        <v>118</v>
      </c>
    </row>
    <row r="27">
      <c r="A27" s="77" t="s">
        <v>131</v>
      </c>
      <c r="B27" s="67" t="s">
        <v>121</v>
      </c>
    </row>
    <row r="28">
      <c r="A28" s="46" t="s">
        <v>132</v>
      </c>
      <c r="B28" s="47" t="s">
        <v>97</v>
      </c>
    </row>
    <row r="29">
      <c r="A29" s="46" t="s">
        <v>133</v>
      </c>
      <c r="B29" s="47" t="s">
        <v>97</v>
      </c>
    </row>
    <row r="30">
      <c r="A30" s="46" t="s">
        <v>134</v>
      </c>
      <c r="B30" s="47" t="s">
        <v>97</v>
      </c>
    </row>
    <row r="31">
      <c r="A31" s="64" t="s">
        <v>135</v>
      </c>
      <c r="B31" s="65" t="s">
        <v>118</v>
      </c>
    </row>
    <row r="32">
      <c r="A32" s="54" t="s">
        <v>136</v>
      </c>
      <c r="B32" s="55" t="s">
        <v>108</v>
      </c>
    </row>
    <row r="33">
      <c r="A33" s="78" t="s">
        <v>137</v>
      </c>
      <c r="B33" s="79"/>
    </row>
    <row r="34">
      <c r="A34" s="80" t="s">
        <v>138</v>
      </c>
      <c r="B34" s="81" t="s">
        <v>88</v>
      </c>
    </row>
    <row r="35">
      <c r="A35" s="54" t="s">
        <v>139</v>
      </c>
      <c r="B35" s="55" t="s">
        <v>108</v>
      </c>
    </row>
    <row r="36">
      <c r="A36" s="82" t="s">
        <v>140</v>
      </c>
      <c r="B36" s="55" t="s">
        <v>108</v>
      </c>
    </row>
    <row r="37">
      <c r="A37" s="83" t="s">
        <v>141</v>
      </c>
      <c r="B37" s="55" t="s">
        <v>108</v>
      </c>
    </row>
    <row r="38">
      <c r="A38" s="54" t="s">
        <v>142</v>
      </c>
      <c r="B38" s="55" t="s">
        <v>108</v>
      </c>
    </row>
    <row r="39">
      <c r="A39" s="54" t="s">
        <v>143</v>
      </c>
      <c r="B39" s="55" t="s">
        <v>108</v>
      </c>
    </row>
    <row r="40">
      <c r="A40" s="54" t="s">
        <v>144</v>
      </c>
      <c r="B40" s="55" t="s">
        <v>108</v>
      </c>
    </row>
    <row r="41">
      <c r="A41" s="84" t="s">
        <v>145</v>
      </c>
      <c r="B41" s="55" t="s">
        <v>108</v>
      </c>
    </row>
    <row r="42">
      <c r="A42" s="48" t="s">
        <v>146</v>
      </c>
      <c r="B42" s="49" t="s">
        <v>147</v>
      </c>
    </row>
    <row r="43">
      <c r="A43" s="48" t="s">
        <v>148</v>
      </c>
      <c r="B43" s="49" t="s">
        <v>149</v>
      </c>
    </row>
    <row r="44">
      <c r="A44" s="48" t="s">
        <v>150</v>
      </c>
      <c r="B44" s="49" t="s">
        <v>147</v>
      </c>
    </row>
    <row r="45">
      <c r="A45" s="85" t="s">
        <v>151</v>
      </c>
      <c r="B45" s="86" t="s">
        <v>152</v>
      </c>
    </row>
    <row r="46">
      <c r="A46" s="54" t="s">
        <v>153</v>
      </c>
      <c r="B46" s="55" t="s">
        <v>108</v>
      </c>
    </row>
    <row r="47">
      <c r="A47" s="66" t="s">
        <v>154</v>
      </c>
      <c r="B47" s="67" t="s">
        <v>121</v>
      </c>
    </row>
    <row r="48">
      <c r="A48" s="87" t="s">
        <v>155</v>
      </c>
      <c r="B48" s="88" t="s">
        <v>156</v>
      </c>
    </row>
    <row r="49">
      <c r="A49" s="87" t="s">
        <v>157</v>
      </c>
      <c r="B49" s="88" t="s">
        <v>156</v>
      </c>
    </row>
    <row r="50">
      <c r="A50" s="89" t="s">
        <v>158</v>
      </c>
      <c r="B50" s="88" t="s">
        <v>156</v>
      </c>
    </row>
    <row r="51">
      <c r="A51" s="89" t="s">
        <v>159</v>
      </c>
      <c r="B51" s="88" t="s">
        <v>156</v>
      </c>
    </row>
    <row r="52">
      <c r="A52" s="89" t="s">
        <v>160</v>
      </c>
      <c r="B52" s="88" t="s">
        <v>156</v>
      </c>
    </row>
    <row r="53">
      <c r="A53" s="89" t="s">
        <v>161</v>
      </c>
      <c r="B53" s="88" t="s">
        <v>156</v>
      </c>
    </row>
    <row r="54">
      <c r="A54" s="64" t="s">
        <v>162</v>
      </c>
      <c r="B54" s="65" t="s">
        <v>118</v>
      </c>
    </row>
    <row r="55">
      <c r="A55" s="54" t="s">
        <v>163</v>
      </c>
      <c r="B55" s="55" t="s">
        <v>108</v>
      </c>
    </row>
    <row r="56">
      <c r="A56" s="90" t="s">
        <v>164</v>
      </c>
      <c r="B56" s="91" t="s">
        <v>165</v>
      </c>
    </row>
    <row r="57">
      <c r="A57" s="92" t="s">
        <v>166</v>
      </c>
      <c r="B57" s="53" t="s">
        <v>167</v>
      </c>
    </row>
    <row r="58">
      <c r="A58" s="50" t="s">
        <v>168</v>
      </c>
      <c r="B58" s="53" t="s">
        <v>167</v>
      </c>
    </row>
    <row r="59">
      <c r="A59" s="50" t="s">
        <v>169</v>
      </c>
      <c r="B59" s="53" t="s">
        <v>167</v>
      </c>
    </row>
    <row r="60">
      <c r="A60" s="50" t="s">
        <v>170</v>
      </c>
      <c r="B60" s="53" t="s">
        <v>167</v>
      </c>
    </row>
    <row r="61">
      <c r="A61" s="93" t="s">
        <v>171</v>
      </c>
      <c r="B61" s="53" t="s">
        <v>167</v>
      </c>
    </row>
    <row r="62">
      <c r="A62" s="50" t="s">
        <v>172</v>
      </c>
      <c r="B62" s="53" t="s">
        <v>167</v>
      </c>
    </row>
    <row r="63">
      <c r="A63" s="50" t="s">
        <v>173</v>
      </c>
      <c r="B63" s="53" t="s">
        <v>167</v>
      </c>
    </row>
    <row r="64">
      <c r="A64" s="50" t="s">
        <v>174</v>
      </c>
      <c r="B64" s="53" t="s">
        <v>167</v>
      </c>
    </row>
    <row r="65">
      <c r="A65" s="48" t="s">
        <v>175</v>
      </c>
      <c r="B65" s="49" t="s">
        <v>176</v>
      </c>
    </row>
    <row r="66">
      <c r="A66" s="60" t="s">
        <v>177</v>
      </c>
      <c r="B66" s="61" t="s">
        <v>178</v>
      </c>
    </row>
    <row r="67">
      <c r="A67" s="94" t="s">
        <v>179</v>
      </c>
      <c r="B67" s="61" t="s">
        <v>178</v>
      </c>
    </row>
    <row r="68">
      <c r="A68" s="60" t="s">
        <v>180</v>
      </c>
      <c r="B68" s="61" t="s">
        <v>178</v>
      </c>
    </row>
    <row r="69">
      <c r="A69" s="80" t="s">
        <v>181</v>
      </c>
      <c r="B69" s="81" t="s">
        <v>88</v>
      </c>
    </row>
    <row r="70">
      <c r="A70" s="66" t="s">
        <v>182</v>
      </c>
      <c r="B70" s="67" t="s">
        <v>121</v>
      </c>
    </row>
    <row r="71">
      <c r="A71" s="54" t="s">
        <v>183</v>
      </c>
      <c r="B71" s="55" t="s">
        <v>108</v>
      </c>
    </row>
    <row r="72">
      <c r="A72" s="95" t="s">
        <v>184</v>
      </c>
      <c r="B72" s="96" t="s">
        <v>97</v>
      </c>
    </row>
    <row r="73">
      <c r="A73" s="97" t="s">
        <v>184</v>
      </c>
      <c r="B73" s="75" t="s">
        <v>129</v>
      </c>
    </row>
    <row r="74">
      <c r="A74" s="98" t="s">
        <v>185</v>
      </c>
      <c r="B74" s="47" t="s">
        <v>97</v>
      </c>
    </row>
    <row r="75">
      <c r="A75" s="99" t="s">
        <v>186</v>
      </c>
      <c r="B75" s="96" t="s">
        <v>187</v>
      </c>
    </row>
    <row r="76">
      <c r="A76" s="54" t="s">
        <v>188</v>
      </c>
      <c r="B76" s="55" t="s">
        <v>108</v>
      </c>
    </row>
    <row r="77">
      <c r="A77" s="100" t="s">
        <v>189</v>
      </c>
      <c r="B77" s="34" t="s">
        <v>88</v>
      </c>
    </row>
    <row r="78">
      <c r="A78" s="46" t="s">
        <v>190</v>
      </c>
      <c r="B78" s="47" t="s">
        <v>97</v>
      </c>
    </row>
    <row r="79">
      <c r="A79" s="101" t="s">
        <v>191</v>
      </c>
      <c r="B79" s="102" t="s">
        <v>192</v>
      </c>
    </row>
    <row r="80">
      <c r="A80" s="50" t="s">
        <v>193</v>
      </c>
      <c r="B80" s="51" t="s">
        <v>194</v>
      </c>
    </row>
    <row r="81">
      <c r="A81" s="54" t="s">
        <v>195</v>
      </c>
      <c r="B81" s="55" t="s">
        <v>108</v>
      </c>
    </row>
    <row r="82">
      <c r="A82" s="100" t="s">
        <v>196</v>
      </c>
      <c r="B82" s="34" t="s">
        <v>88</v>
      </c>
    </row>
    <row r="83">
      <c r="A83" s="100" t="s">
        <v>197</v>
      </c>
      <c r="B83" s="34" t="s">
        <v>88</v>
      </c>
    </row>
    <row r="84">
      <c r="A84" s="64" t="s">
        <v>198</v>
      </c>
      <c r="B84" s="65" t="s">
        <v>118</v>
      </c>
    </row>
    <row r="85">
      <c r="A85" s="64" t="s">
        <v>199</v>
      </c>
      <c r="B85" s="103"/>
    </row>
    <row r="86">
      <c r="A86" s="104" t="s">
        <v>200</v>
      </c>
      <c r="B86" s="67" t="s">
        <v>121</v>
      </c>
    </row>
    <row r="87">
      <c r="A87" s="64" t="s">
        <v>201</v>
      </c>
      <c r="B87" s="65" t="s">
        <v>118</v>
      </c>
    </row>
    <row r="88">
      <c r="A88" s="76" t="s">
        <v>202</v>
      </c>
      <c r="B88" s="65" t="s">
        <v>118</v>
      </c>
    </row>
    <row r="89">
      <c r="A89" s="64" t="s">
        <v>203</v>
      </c>
      <c r="B89" s="65" t="s">
        <v>118</v>
      </c>
    </row>
    <row r="90">
      <c r="A90" s="64" t="s">
        <v>204</v>
      </c>
      <c r="B90" s="65" t="s">
        <v>118</v>
      </c>
    </row>
    <row r="91">
      <c r="A91" s="76" t="s">
        <v>205</v>
      </c>
      <c r="B91" s="65" t="s">
        <v>118</v>
      </c>
    </row>
    <row r="92">
      <c r="A92" s="64" t="s">
        <v>206</v>
      </c>
      <c r="B92" s="65" t="s">
        <v>118</v>
      </c>
    </row>
    <row r="93">
      <c r="A93" s="50" t="s">
        <v>207</v>
      </c>
      <c r="B93" s="53" t="s">
        <v>167</v>
      </c>
    </row>
    <row r="94">
      <c r="A94" s="60" t="s">
        <v>208</v>
      </c>
      <c r="B94" s="61" t="s">
        <v>114</v>
      </c>
    </row>
    <row r="95">
      <c r="A95" s="105" t="s">
        <v>209</v>
      </c>
      <c r="B95" s="61" t="s">
        <v>114</v>
      </c>
    </row>
    <row r="96">
      <c r="A96" s="60" t="s">
        <v>210</v>
      </c>
      <c r="B96" s="61" t="s">
        <v>114</v>
      </c>
    </row>
    <row r="97">
      <c r="A97" s="106" t="s">
        <v>211</v>
      </c>
      <c r="B97" s="107" t="s">
        <v>212</v>
      </c>
    </row>
    <row r="98">
      <c r="A98" s="93" t="s">
        <v>213</v>
      </c>
      <c r="B98" s="51" t="s">
        <v>214</v>
      </c>
    </row>
    <row r="99">
      <c r="A99" s="66" t="s">
        <v>215</v>
      </c>
      <c r="B99" s="67" t="s">
        <v>121</v>
      </c>
    </row>
    <row r="100">
      <c r="A100" s="66" t="s">
        <v>216</v>
      </c>
      <c r="B100" s="67" t="s">
        <v>121</v>
      </c>
    </row>
    <row r="101">
      <c r="A101" s="89" t="s">
        <v>217</v>
      </c>
      <c r="B101" s="108" t="s">
        <v>218</v>
      </c>
    </row>
    <row r="102">
      <c r="A102" s="64" t="s">
        <v>219</v>
      </c>
      <c r="B102" s="65" t="s">
        <v>118</v>
      </c>
    </row>
    <row r="103">
      <c r="A103" s="76" t="s">
        <v>220</v>
      </c>
      <c r="B103" s="65" t="s">
        <v>118</v>
      </c>
    </row>
    <row r="104">
      <c r="A104" s="76" t="s">
        <v>221</v>
      </c>
      <c r="B104" s="65" t="s">
        <v>118</v>
      </c>
    </row>
    <row r="105">
      <c r="A105" s="64" t="s">
        <v>222</v>
      </c>
      <c r="B105" s="65" t="s">
        <v>118</v>
      </c>
    </row>
    <row r="106">
      <c r="A106" s="64" t="s">
        <v>223</v>
      </c>
      <c r="B106" s="65" t="s">
        <v>118</v>
      </c>
    </row>
    <row r="107">
      <c r="A107" s="54" t="s">
        <v>224</v>
      </c>
      <c r="B107" s="55" t="s">
        <v>108</v>
      </c>
    </row>
    <row r="108">
      <c r="A108" s="66" t="s">
        <v>225</v>
      </c>
      <c r="B108" s="67" t="s">
        <v>121</v>
      </c>
    </row>
    <row r="109">
      <c r="A109" s="64" t="s">
        <v>226</v>
      </c>
      <c r="B109" s="65" t="s">
        <v>227</v>
      </c>
    </row>
    <row r="110">
      <c r="A110" s="109" t="s">
        <v>228</v>
      </c>
      <c r="B110" s="55" t="s">
        <v>108</v>
      </c>
    </row>
    <row r="111">
      <c r="A111" s="89" t="s">
        <v>229</v>
      </c>
      <c r="B111" s="88" t="s">
        <v>156</v>
      </c>
    </row>
    <row r="112">
      <c r="A112" s="110" t="s">
        <v>230</v>
      </c>
      <c r="B112" s="111" t="s">
        <v>227</v>
      </c>
    </row>
    <row r="113">
      <c r="A113" s="42" t="s">
        <v>231</v>
      </c>
      <c r="B113" s="42" t="s">
        <v>232</v>
      </c>
    </row>
    <row r="114">
      <c r="A114" s="112" t="s">
        <v>233</v>
      </c>
      <c r="B114" s="65" t="s">
        <v>118</v>
      </c>
    </row>
    <row r="115">
      <c r="A115" s="60" t="s">
        <v>234</v>
      </c>
      <c r="B115" s="113"/>
    </row>
    <row r="116">
      <c r="A116" s="64" t="s">
        <v>235</v>
      </c>
      <c r="B116" s="103"/>
    </row>
    <row r="117">
      <c r="A117" s="114" t="s">
        <v>236</v>
      </c>
      <c r="B117" s="102" t="s">
        <v>237</v>
      </c>
    </row>
    <row r="118">
      <c r="A118" s="50" t="s">
        <v>238</v>
      </c>
      <c r="B118" s="51" t="s">
        <v>239</v>
      </c>
    </row>
    <row r="119">
      <c r="A119" s="52" t="s">
        <v>240</v>
      </c>
      <c r="B119" s="53" t="s">
        <v>241</v>
      </c>
    </row>
    <row r="120">
      <c r="A120" s="66" t="s">
        <v>242</v>
      </c>
      <c r="B120" s="67" t="s">
        <v>121</v>
      </c>
    </row>
    <row r="121">
      <c r="A121" s="46" t="s">
        <v>243</v>
      </c>
      <c r="B121" s="47" t="s">
        <v>97</v>
      </c>
    </row>
    <row r="122">
      <c r="A122" s="64" t="s">
        <v>244</v>
      </c>
      <c r="B122" s="65" t="s">
        <v>118</v>
      </c>
    </row>
    <row r="123">
      <c r="A123" s="115" t="s">
        <v>245</v>
      </c>
      <c r="B123" s="107" t="s">
        <v>212</v>
      </c>
    </row>
    <row r="124">
      <c r="A124" s="76" t="s">
        <v>246</v>
      </c>
      <c r="B124" s="65" t="s">
        <v>118</v>
      </c>
    </row>
    <row r="125">
      <c r="A125" s="82" t="s">
        <v>247</v>
      </c>
      <c r="B125" s="55" t="s">
        <v>108</v>
      </c>
    </row>
    <row r="126">
      <c r="A126" s="66" t="s">
        <v>248</v>
      </c>
      <c r="B126" s="67" t="s">
        <v>121</v>
      </c>
    </row>
    <row r="127">
      <c r="A127" s="54" t="s">
        <v>249</v>
      </c>
      <c r="B127" s="55" t="s">
        <v>108</v>
      </c>
    </row>
    <row r="128">
      <c r="A128" s="46" t="s">
        <v>250</v>
      </c>
      <c r="B128" s="47" t="s">
        <v>97</v>
      </c>
    </row>
    <row r="129">
      <c r="A129" s="46" t="s">
        <v>251</v>
      </c>
      <c r="B129" s="47" t="s">
        <v>97</v>
      </c>
    </row>
    <row r="130">
      <c r="A130" s="98" t="s">
        <v>252</v>
      </c>
      <c r="B130" s="47" t="s">
        <v>97</v>
      </c>
    </row>
    <row r="131">
      <c r="A131" s="98" t="s">
        <v>253</v>
      </c>
      <c r="B131" s="47" t="s">
        <v>97</v>
      </c>
    </row>
    <row r="132">
      <c r="A132" s="76" t="s">
        <v>254</v>
      </c>
      <c r="B132" s="65" t="s">
        <v>118</v>
      </c>
    </row>
    <row r="133">
      <c r="A133" s="77" t="s">
        <v>255</v>
      </c>
      <c r="B133" s="67" t="s">
        <v>121</v>
      </c>
    </row>
    <row r="134">
      <c r="A134" s="104" t="s">
        <v>256</v>
      </c>
      <c r="B134" s="67" t="s">
        <v>121</v>
      </c>
    </row>
    <row r="135">
      <c r="A135" s="66" t="s">
        <v>257</v>
      </c>
      <c r="B135" s="67" t="s">
        <v>121</v>
      </c>
    </row>
    <row r="136">
      <c r="A136" s="54" t="s">
        <v>258</v>
      </c>
      <c r="B136" s="55" t="s">
        <v>108</v>
      </c>
    </row>
    <row r="137">
      <c r="A137" s="64" t="s">
        <v>259</v>
      </c>
      <c r="B137" s="65" t="s">
        <v>118</v>
      </c>
    </row>
    <row r="138">
      <c r="A138" s="50" t="s">
        <v>260</v>
      </c>
      <c r="B138" s="51" t="s">
        <v>261</v>
      </c>
    </row>
    <row r="139">
      <c r="A139" s="37" t="s">
        <v>262</v>
      </c>
      <c r="B139" s="116"/>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5"/>
  </cols>
  <sheetData>
    <row r="1">
      <c r="A1" s="118" t="s">
        <v>263</v>
      </c>
    </row>
  </sheetData>
  <hyperlinks>
    <hyperlink r:id="rId1" location="gid=360161018"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9.38"/>
    <col customWidth="1" min="3" max="3" width="20.38"/>
    <col customWidth="1" min="4" max="4" width="21.38"/>
    <col customWidth="1" min="5" max="5" width="13.75"/>
    <col customWidth="1" min="6" max="6" width="48.25"/>
    <col customWidth="1" min="7" max="7" width="158.13"/>
    <col customWidth="1" min="8" max="8" width="21.38"/>
    <col customWidth="1" min="9" max="9" width="49.88"/>
    <col customWidth="1" min="11" max="11" width="14.0"/>
    <col customWidth="1" min="12" max="12" width="51.5"/>
    <col customWidth="1" min="14" max="14" width="17.75"/>
    <col customWidth="1" min="15" max="15" width="18.38"/>
    <col customWidth="1" min="16" max="16" width="25.5"/>
    <col customWidth="1" min="18" max="18" width="22.5"/>
    <col customWidth="1" min="19" max="19" width="23.63"/>
    <col customWidth="1" min="20" max="20" width="11.5"/>
    <col customWidth="1" min="21" max="21" width="52.38"/>
    <col customWidth="1" min="22" max="22" width="159.0"/>
  </cols>
  <sheetData>
    <row r="1">
      <c r="A1" s="119" t="s">
        <v>264</v>
      </c>
      <c r="B1" s="120" t="s">
        <v>265</v>
      </c>
      <c r="C1" s="121" t="s">
        <v>44</v>
      </c>
      <c r="D1" s="119" t="s">
        <v>266</v>
      </c>
      <c r="E1" s="119" t="s">
        <v>267</v>
      </c>
      <c r="F1" s="120" t="s">
        <v>268</v>
      </c>
      <c r="G1" s="119" t="s">
        <v>269</v>
      </c>
      <c r="H1" s="122" t="s">
        <v>270</v>
      </c>
      <c r="I1" s="123" t="s">
        <v>271</v>
      </c>
      <c r="J1" s="124"/>
      <c r="K1" s="125" t="s">
        <v>272</v>
      </c>
      <c r="L1" s="124" t="s">
        <v>85</v>
      </c>
      <c r="M1" s="126"/>
      <c r="N1" s="127" t="s">
        <v>273</v>
      </c>
      <c r="O1" s="127" t="s">
        <v>274</v>
      </c>
      <c r="P1" s="127" t="s">
        <v>275</v>
      </c>
      <c r="Q1" s="128"/>
      <c r="R1" s="128" t="s">
        <v>44</v>
      </c>
      <c r="S1" s="128" t="s">
        <v>266</v>
      </c>
      <c r="T1" s="128" t="s">
        <v>267</v>
      </c>
      <c r="U1" s="129" t="s">
        <v>268</v>
      </c>
      <c r="V1" s="128" t="s">
        <v>276</v>
      </c>
      <c r="W1" s="128"/>
      <c r="X1" s="128"/>
      <c r="Y1" s="128"/>
      <c r="Z1" s="128"/>
      <c r="AA1" s="128"/>
    </row>
    <row r="2">
      <c r="A2" s="130" t="s">
        <v>277</v>
      </c>
      <c r="B2" s="131" t="s">
        <v>278</v>
      </c>
      <c r="C2" s="130" t="s">
        <v>87</v>
      </c>
      <c r="D2" s="132" t="s">
        <v>279</v>
      </c>
      <c r="E2" s="130"/>
      <c r="F2" s="133" t="s">
        <v>280</v>
      </c>
      <c r="G2" s="133" t="s">
        <v>281</v>
      </c>
      <c r="H2" s="134" t="s">
        <v>282</v>
      </c>
      <c r="I2" s="135" t="s">
        <v>283</v>
      </c>
      <c r="J2" s="136"/>
      <c r="K2" s="136" t="s">
        <v>284</v>
      </c>
      <c r="L2" s="137" t="s">
        <v>285</v>
      </c>
      <c r="M2" s="126"/>
      <c r="N2" s="127" t="s">
        <v>286</v>
      </c>
      <c r="O2" s="127" t="s">
        <v>286</v>
      </c>
      <c r="P2" s="127" t="s">
        <v>286</v>
      </c>
      <c r="Q2" s="128"/>
      <c r="R2" s="128" t="s">
        <v>87</v>
      </c>
      <c r="S2" s="128" t="s">
        <v>279</v>
      </c>
      <c r="T2" s="128"/>
      <c r="U2" s="129" t="s">
        <v>280</v>
      </c>
      <c r="V2" s="128" t="s">
        <v>287</v>
      </c>
      <c r="W2" s="128"/>
      <c r="X2" s="128"/>
      <c r="Y2" s="128"/>
      <c r="Z2" s="128"/>
      <c r="AA2" s="128"/>
    </row>
    <row r="3">
      <c r="A3" s="130" t="s">
        <v>90</v>
      </c>
      <c r="B3" s="131" t="s">
        <v>288</v>
      </c>
      <c r="C3" s="130" t="s">
        <v>90</v>
      </c>
      <c r="D3" s="138" t="s">
        <v>289</v>
      </c>
      <c r="E3" s="139" t="s">
        <v>290</v>
      </c>
      <c r="F3" s="133" t="s">
        <v>291</v>
      </c>
      <c r="G3" s="133" t="s">
        <v>292</v>
      </c>
      <c r="H3" s="130" t="s">
        <v>293</v>
      </c>
      <c r="I3" s="139" t="s">
        <v>294</v>
      </c>
      <c r="J3" s="136"/>
      <c r="K3" s="136" t="s">
        <v>295</v>
      </c>
      <c r="L3" s="140" t="s">
        <v>296</v>
      </c>
      <c r="M3" s="126"/>
      <c r="N3" s="127" t="s">
        <v>297</v>
      </c>
      <c r="O3" s="127" t="s">
        <v>297</v>
      </c>
      <c r="P3" s="127" t="s">
        <v>297</v>
      </c>
      <c r="Q3" s="128"/>
      <c r="R3" s="128" t="s">
        <v>90</v>
      </c>
      <c r="S3" s="128" t="s">
        <v>289</v>
      </c>
      <c r="T3" s="128" t="s">
        <v>290</v>
      </c>
      <c r="U3" s="129" t="s">
        <v>291</v>
      </c>
      <c r="V3" s="128" t="s">
        <v>298</v>
      </c>
      <c r="W3" s="128"/>
      <c r="X3" s="128"/>
      <c r="Y3" s="128"/>
      <c r="Z3" s="128"/>
      <c r="AA3" s="128"/>
    </row>
    <row r="4">
      <c r="A4" s="139" t="s">
        <v>299</v>
      </c>
      <c r="B4" s="141"/>
      <c r="C4" s="130" t="s">
        <v>300</v>
      </c>
      <c r="D4" s="139" t="s">
        <v>301</v>
      </c>
      <c r="E4" s="139" t="s">
        <v>290</v>
      </c>
      <c r="F4" s="133" t="s">
        <v>302</v>
      </c>
      <c r="G4" s="133"/>
      <c r="H4" s="134" t="s">
        <v>303</v>
      </c>
      <c r="I4" s="135" t="s">
        <v>304</v>
      </c>
      <c r="K4" s="136" t="s">
        <v>305</v>
      </c>
      <c r="L4" s="136" t="s">
        <v>306</v>
      </c>
      <c r="M4" s="128"/>
      <c r="N4" s="127" t="s">
        <v>307</v>
      </c>
      <c r="O4" s="127" t="s">
        <v>307</v>
      </c>
      <c r="P4" s="127" t="s">
        <v>307</v>
      </c>
      <c r="Q4" s="128"/>
      <c r="R4" s="128" t="s">
        <v>300</v>
      </c>
      <c r="S4" s="128" t="s">
        <v>301</v>
      </c>
      <c r="T4" s="128" t="s">
        <v>290</v>
      </c>
      <c r="U4" s="129" t="s">
        <v>302</v>
      </c>
      <c r="V4" s="128"/>
      <c r="W4" s="128"/>
      <c r="X4" s="128"/>
      <c r="Y4" s="128"/>
      <c r="Z4" s="128"/>
      <c r="AA4" s="128"/>
    </row>
    <row r="5">
      <c r="A5" s="139" t="s">
        <v>299</v>
      </c>
      <c r="B5" s="142" t="s">
        <v>96</v>
      </c>
      <c r="C5" s="130" t="s">
        <v>96</v>
      </c>
      <c r="D5" s="139" t="s">
        <v>279</v>
      </c>
      <c r="E5" s="139" t="s">
        <v>308</v>
      </c>
      <c r="F5" s="133" t="s">
        <v>309</v>
      </c>
      <c r="G5" s="133" t="s">
        <v>310</v>
      </c>
      <c r="H5" s="134" t="s">
        <v>311</v>
      </c>
      <c r="I5" s="135" t="s">
        <v>312</v>
      </c>
      <c r="J5" s="128"/>
      <c r="K5" s="136" t="s">
        <v>313</v>
      </c>
      <c r="L5" s="143" t="s">
        <v>314</v>
      </c>
      <c r="M5" s="128"/>
      <c r="N5" s="127" t="s">
        <v>315</v>
      </c>
      <c r="O5" s="127" t="s">
        <v>315</v>
      </c>
      <c r="P5" s="127" t="s">
        <v>315</v>
      </c>
      <c r="Q5" s="128"/>
      <c r="R5" s="128" t="s">
        <v>96</v>
      </c>
      <c r="S5" s="128" t="s">
        <v>279</v>
      </c>
      <c r="T5" s="128" t="s">
        <v>308</v>
      </c>
      <c r="U5" s="129" t="s">
        <v>309</v>
      </c>
      <c r="V5" s="128" t="s">
        <v>316</v>
      </c>
      <c r="W5" s="128"/>
      <c r="X5" s="128"/>
      <c r="Y5" s="128"/>
      <c r="Z5" s="128"/>
      <c r="AA5" s="128"/>
    </row>
    <row r="6">
      <c r="A6" s="139" t="s">
        <v>299</v>
      </c>
      <c r="B6" s="144"/>
      <c r="C6" s="130" t="s">
        <v>317</v>
      </c>
      <c r="D6" s="139" t="s">
        <v>279</v>
      </c>
      <c r="E6" s="130"/>
      <c r="F6" s="133" t="s">
        <v>318</v>
      </c>
      <c r="G6" s="133"/>
      <c r="H6" s="134" t="s">
        <v>319</v>
      </c>
      <c r="I6" s="135" t="s">
        <v>320</v>
      </c>
      <c r="J6" s="128"/>
      <c r="K6" s="136" t="s">
        <v>321</v>
      </c>
      <c r="L6" s="143" t="s">
        <v>322</v>
      </c>
      <c r="M6" s="128"/>
      <c r="N6" s="127" t="s">
        <v>323</v>
      </c>
      <c r="O6" s="127" t="s">
        <v>323</v>
      </c>
      <c r="P6" s="127" t="s">
        <v>323</v>
      </c>
      <c r="Q6" s="128"/>
      <c r="R6" s="128" t="s">
        <v>317</v>
      </c>
      <c r="S6" s="128" t="s">
        <v>279</v>
      </c>
      <c r="T6" s="128"/>
      <c r="U6" s="129" t="s">
        <v>318</v>
      </c>
      <c r="V6" s="128"/>
      <c r="W6" s="128"/>
      <c r="X6" s="128"/>
      <c r="Y6" s="128"/>
      <c r="Z6" s="128"/>
      <c r="AA6" s="128"/>
    </row>
    <row r="7">
      <c r="A7" s="145" t="s">
        <v>100</v>
      </c>
      <c r="B7" s="144" t="s">
        <v>100</v>
      </c>
      <c r="C7" s="139" t="s">
        <v>100</v>
      </c>
      <c r="D7" s="139" t="s">
        <v>301</v>
      </c>
      <c r="E7" s="146" t="s">
        <v>324</v>
      </c>
      <c r="F7" s="147" t="s">
        <v>325</v>
      </c>
      <c r="G7" s="148" t="s">
        <v>326</v>
      </c>
      <c r="H7" s="135" t="s">
        <v>327</v>
      </c>
      <c r="I7" s="135" t="s">
        <v>328</v>
      </c>
      <c r="J7" s="128"/>
      <c r="K7" s="136" t="s">
        <v>329</v>
      </c>
      <c r="L7" s="143" t="s">
        <v>330</v>
      </c>
      <c r="M7" s="128"/>
      <c r="N7" s="127" t="s">
        <v>331</v>
      </c>
      <c r="O7" s="127" t="s">
        <v>331</v>
      </c>
      <c r="P7" s="127" t="s">
        <v>331</v>
      </c>
      <c r="Q7" s="128"/>
      <c r="R7" s="128" t="s">
        <v>100</v>
      </c>
      <c r="S7" s="128" t="s">
        <v>301</v>
      </c>
      <c r="T7" s="128" t="s">
        <v>324</v>
      </c>
      <c r="U7" s="129" t="s">
        <v>332</v>
      </c>
      <c r="V7" s="127" t="s">
        <v>333</v>
      </c>
      <c r="W7" s="128"/>
      <c r="X7" s="128"/>
      <c r="Y7" s="128"/>
      <c r="Z7" s="128"/>
      <c r="AA7" s="128"/>
    </row>
    <row r="8">
      <c r="A8" s="139" t="s">
        <v>299</v>
      </c>
      <c r="B8" s="141"/>
      <c r="C8" s="130" t="s">
        <v>103</v>
      </c>
      <c r="D8" s="139" t="s">
        <v>279</v>
      </c>
      <c r="E8" s="146" t="s">
        <v>334</v>
      </c>
      <c r="F8" s="149" t="s">
        <v>335</v>
      </c>
      <c r="G8" s="133" t="s">
        <v>336</v>
      </c>
      <c r="H8" s="134" t="s">
        <v>337</v>
      </c>
      <c r="I8" s="135" t="s">
        <v>338</v>
      </c>
      <c r="J8" s="128"/>
      <c r="K8" s="136" t="s">
        <v>331</v>
      </c>
      <c r="L8" s="143" t="s">
        <v>339</v>
      </c>
      <c r="M8" s="128"/>
      <c r="N8" s="127" t="s">
        <v>340</v>
      </c>
      <c r="O8" s="127" t="s">
        <v>340</v>
      </c>
      <c r="P8" s="127" t="s">
        <v>340</v>
      </c>
      <c r="Q8" s="128"/>
      <c r="R8" s="128" t="s">
        <v>103</v>
      </c>
      <c r="S8" s="128" t="s">
        <v>279</v>
      </c>
      <c r="T8" s="128" t="s">
        <v>334</v>
      </c>
      <c r="U8" s="129" t="s">
        <v>335</v>
      </c>
      <c r="V8" s="128" t="s">
        <v>341</v>
      </c>
      <c r="W8" s="128"/>
      <c r="X8" s="128"/>
      <c r="Y8" s="128"/>
      <c r="Z8" s="128"/>
      <c r="AA8" s="128"/>
    </row>
    <row r="9">
      <c r="A9" s="139" t="s">
        <v>342</v>
      </c>
      <c r="B9" s="141" t="s">
        <v>107</v>
      </c>
      <c r="C9" s="130" t="s">
        <v>107</v>
      </c>
      <c r="D9" s="139" t="s">
        <v>279</v>
      </c>
      <c r="E9" s="139" t="s">
        <v>343</v>
      </c>
      <c r="F9" s="150" t="s">
        <v>344</v>
      </c>
      <c r="G9" s="133" t="s">
        <v>345</v>
      </c>
      <c r="H9" s="134" t="s">
        <v>346</v>
      </c>
      <c r="I9" s="135" t="s">
        <v>347</v>
      </c>
      <c r="J9" s="128"/>
      <c r="K9" s="136" t="s">
        <v>348</v>
      </c>
      <c r="L9" s="143" t="s">
        <v>349</v>
      </c>
      <c r="M9" s="128"/>
      <c r="N9" s="127" t="s">
        <v>348</v>
      </c>
      <c r="O9" s="127" t="s">
        <v>348</v>
      </c>
      <c r="P9" s="127" t="s">
        <v>348</v>
      </c>
      <c r="Q9" s="128"/>
      <c r="R9" s="128" t="s">
        <v>107</v>
      </c>
      <c r="S9" s="128" t="s">
        <v>279</v>
      </c>
      <c r="T9" s="128" t="s">
        <v>343</v>
      </c>
      <c r="U9" s="129" t="s">
        <v>344</v>
      </c>
      <c r="V9" s="128" t="s">
        <v>350</v>
      </c>
      <c r="W9" s="128"/>
      <c r="X9" s="128"/>
      <c r="Y9" s="128"/>
      <c r="Z9" s="128"/>
      <c r="AA9" s="128"/>
    </row>
    <row r="10">
      <c r="A10" s="139" t="s">
        <v>342</v>
      </c>
      <c r="B10" s="141" t="s">
        <v>109</v>
      </c>
      <c r="C10" s="130" t="s">
        <v>109</v>
      </c>
      <c r="D10" s="139" t="s">
        <v>279</v>
      </c>
      <c r="E10" s="146" t="s">
        <v>343</v>
      </c>
      <c r="F10" s="133" t="s">
        <v>351</v>
      </c>
      <c r="G10" s="133" t="s">
        <v>352</v>
      </c>
      <c r="H10" s="134" t="s">
        <v>353</v>
      </c>
      <c r="I10" s="135" t="s">
        <v>354</v>
      </c>
      <c r="J10" s="128"/>
      <c r="K10" s="136" t="s">
        <v>323</v>
      </c>
      <c r="L10" s="143" t="s">
        <v>355</v>
      </c>
      <c r="M10" s="128"/>
      <c r="N10" s="127" t="s">
        <v>321</v>
      </c>
      <c r="O10" s="127" t="s">
        <v>321</v>
      </c>
      <c r="P10" s="127" t="s">
        <v>321</v>
      </c>
      <c r="Q10" s="128"/>
      <c r="R10" s="128" t="s">
        <v>109</v>
      </c>
      <c r="S10" s="128" t="s">
        <v>279</v>
      </c>
      <c r="T10" s="128" t="s">
        <v>343</v>
      </c>
      <c r="U10" s="129" t="s">
        <v>351</v>
      </c>
      <c r="V10" s="128" t="s">
        <v>356</v>
      </c>
      <c r="W10" s="128"/>
      <c r="X10" s="128"/>
      <c r="Y10" s="128"/>
      <c r="Z10" s="128"/>
      <c r="AA10" s="128"/>
    </row>
    <row r="11">
      <c r="A11" s="139" t="s">
        <v>299</v>
      </c>
      <c r="B11" s="141"/>
      <c r="C11" s="130" t="s">
        <v>357</v>
      </c>
      <c r="D11" s="130"/>
      <c r="E11" s="130"/>
      <c r="F11" s="133" t="s">
        <v>358</v>
      </c>
      <c r="G11" s="133"/>
      <c r="H11" s="130" t="s">
        <v>359</v>
      </c>
      <c r="I11" s="130" t="s">
        <v>359</v>
      </c>
      <c r="J11" s="128"/>
      <c r="K11" s="136" t="s">
        <v>360</v>
      </c>
      <c r="L11" s="143" t="s">
        <v>361</v>
      </c>
      <c r="M11" s="128"/>
      <c r="N11" s="127" t="s">
        <v>362</v>
      </c>
      <c r="O11" s="127" t="s">
        <v>307</v>
      </c>
      <c r="P11" s="128"/>
      <c r="Q11" s="128"/>
      <c r="R11" s="128" t="s">
        <v>357</v>
      </c>
      <c r="S11" s="128"/>
      <c r="T11" s="128"/>
      <c r="U11" s="129" t="s">
        <v>358</v>
      </c>
      <c r="V11" s="128"/>
      <c r="W11" s="128"/>
      <c r="X11" s="128"/>
      <c r="Y11" s="128"/>
      <c r="Z11" s="128"/>
      <c r="AA11" s="128"/>
    </row>
    <row r="12">
      <c r="A12" s="139" t="s">
        <v>363</v>
      </c>
      <c r="B12" s="141" t="s">
        <v>363</v>
      </c>
      <c r="C12" s="139" t="s">
        <v>110</v>
      </c>
      <c r="D12" s="139" t="s">
        <v>301</v>
      </c>
      <c r="E12" s="139" t="s">
        <v>364</v>
      </c>
      <c r="F12" s="149" t="s">
        <v>365</v>
      </c>
      <c r="G12" s="133" t="s">
        <v>366</v>
      </c>
      <c r="H12" s="134" t="s">
        <v>367</v>
      </c>
      <c r="I12" s="138"/>
      <c r="J12" s="128"/>
      <c r="K12" s="136" t="s">
        <v>368</v>
      </c>
      <c r="L12" s="143" t="s">
        <v>369</v>
      </c>
      <c r="M12" s="128"/>
      <c r="N12" s="127" t="s">
        <v>370</v>
      </c>
      <c r="O12" s="127" t="s">
        <v>323</v>
      </c>
      <c r="P12" s="128"/>
      <c r="Q12" s="128"/>
      <c r="R12" s="128" t="s">
        <v>110</v>
      </c>
      <c r="S12" s="128" t="s">
        <v>301</v>
      </c>
      <c r="T12" s="128" t="s">
        <v>364</v>
      </c>
      <c r="U12" s="129" t="s">
        <v>365</v>
      </c>
      <c r="V12" s="128" t="s">
        <v>371</v>
      </c>
      <c r="W12" s="128"/>
      <c r="X12" s="128"/>
      <c r="Y12" s="128"/>
      <c r="Z12" s="128"/>
      <c r="AA12" s="128"/>
    </row>
    <row r="13">
      <c r="A13" s="139" t="s">
        <v>299</v>
      </c>
      <c r="B13" s="141"/>
      <c r="C13" s="130" t="s">
        <v>111</v>
      </c>
      <c r="D13" s="139" t="s">
        <v>279</v>
      </c>
      <c r="E13" s="130"/>
      <c r="F13" s="133" t="s">
        <v>372</v>
      </c>
      <c r="G13" s="133" t="s">
        <v>373</v>
      </c>
      <c r="H13" s="134" t="s">
        <v>374</v>
      </c>
      <c r="I13" s="138"/>
      <c r="J13" s="128"/>
      <c r="K13" s="136" t="s">
        <v>286</v>
      </c>
      <c r="L13" s="143" t="s">
        <v>375</v>
      </c>
      <c r="M13" s="128"/>
      <c r="N13" s="127" t="s">
        <v>376</v>
      </c>
      <c r="O13" s="127" t="s">
        <v>323</v>
      </c>
      <c r="P13" s="128"/>
      <c r="Q13" s="128"/>
      <c r="R13" s="128" t="s">
        <v>111</v>
      </c>
      <c r="S13" s="128" t="s">
        <v>279</v>
      </c>
      <c r="T13" s="128"/>
      <c r="U13" s="129" t="s">
        <v>372</v>
      </c>
      <c r="V13" s="128" t="s">
        <v>377</v>
      </c>
      <c r="W13" s="128"/>
      <c r="X13" s="128"/>
      <c r="Y13" s="128"/>
      <c r="Z13" s="128"/>
      <c r="AA13" s="128"/>
    </row>
    <row r="14">
      <c r="A14" s="139" t="s">
        <v>299</v>
      </c>
      <c r="B14" s="141"/>
      <c r="C14" s="151" t="s">
        <v>378</v>
      </c>
      <c r="D14" s="151"/>
      <c r="E14" s="151"/>
      <c r="F14" s="152" t="s">
        <v>379</v>
      </c>
      <c r="G14" s="133" t="s">
        <v>380</v>
      </c>
      <c r="H14" s="134" t="s">
        <v>381</v>
      </c>
      <c r="I14" s="138"/>
      <c r="J14" s="128"/>
      <c r="K14" s="136" t="s">
        <v>189</v>
      </c>
      <c r="L14" s="143" t="s">
        <v>382</v>
      </c>
      <c r="M14" s="128"/>
      <c r="N14" s="127" t="s">
        <v>383</v>
      </c>
      <c r="O14" s="127" t="s">
        <v>323</v>
      </c>
      <c r="P14" s="128"/>
      <c r="Q14" s="128"/>
      <c r="R14" s="128" t="s">
        <v>378</v>
      </c>
      <c r="S14" s="128"/>
      <c r="T14" s="128"/>
      <c r="U14" s="129" t="s">
        <v>379</v>
      </c>
      <c r="V14" s="128" t="s">
        <v>384</v>
      </c>
      <c r="W14" s="128"/>
      <c r="X14" s="128"/>
      <c r="Y14" s="128"/>
      <c r="Z14" s="128"/>
      <c r="AA14" s="128"/>
    </row>
    <row r="15">
      <c r="A15" s="139" t="s">
        <v>299</v>
      </c>
      <c r="B15" s="141"/>
      <c r="C15" s="130" t="s">
        <v>385</v>
      </c>
      <c r="D15" s="139" t="s">
        <v>279</v>
      </c>
      <c r="E15" s="130"/>
      <c r="F15" s="133" t="s">
        <v>386</v>
      </c>
      <c r="G15" s="133"/>
      <c r="H15" s="134" t="s">
        <v>387</v>
      </c>
      <c r="I15" s="138"/>
      <c r="J15" s="128"/>
      <c r="K15" s="136" t="s">
        <v>388</v>
      </c>
      <c r="L15" s="143" t="s">
        <v>389</v>
      </c>
      <c r="M15" s="128"/>
      <c r="N15" s="127" t="s">
        <v>390</v>
      </c>
      <c r="O15" s="127" t="s">
        <v>340</v>
      </c>
      <c r="P15" s="128"/>
      <c r="Q15" s="128"/>
      <c r="R15" s="128" t="s">
        <v>385</v>
      </c>
      <c r="S15" s="128" t="s">
        <v>279</v>
      </c>
      <c r="T15" s="128"/>
      <c r="U15" s="129" t="s">
        <v>386</v>
      </c>
      <c r="V15" s="128"/>
      <c r="W15" s="128"/>
      <c r="X15" s="128"/>
      <c r="Y15" s="128"/>
      <c r="Z15" s="128"/>
      <c r="AA15" s="128"/>
    </row>
    <row r="16">
      <c r="A16" s="139" t="s">
        <v>299</v>
      </c>
      <c r="B16" s="141"/>
      <c r="C16" s="151" t="s">
        <v>115</v>
      </c>
      <c r="D16" s="153" t="s">
        <v>279</v>
      </c>
      <c r="E16" s="151"/>
      <c r="F16" s="133" t="s">
        <v>391</v>
      </c>
      <c r="G16" s="133" t="s">
        <v>392</v>
      </c>
      <c r="H16" s="134" t="s">
        <v>393</v>
      </c>
      <c r="I16" s="154"/>
      <c r="J16" s="128"/>
      <c r="K16" s="136" t="s">
        <v>383</v>
      </c>
      <c r="L16" s="143" t="s">
        <v>394</v>
      </c>
      <c r="M16" s="128"/>
      <c r="N16" s="127" t="s">
        <v>313</v>
      </c>
      <c r="O16" s="127" t="s">
        <v>340</v>
      </c>
      <c r="P16" s="128"/>
      <c r="Q16" s="128"/>
      <c r="R16" s="128" t="s">
        <v>115</v>
      </c>
      <c r="S16" s="128" t="s">
        <v>279</v>
      </c>
      <c r="T16" s="128"/>
      <c r="U16" s="129" t="s">
        <v>391</v>
      </c>
      <c r="V16" s="128" t="s">
        <v>395</v>
      </c>
      <c r="W16" s="128"/>
      <c r="X16" s="128"/>
      <c r="Y16" s="128"/>
      <c r="Z16" s="128"/>
      <c r="AA16" s="128"/>
    </row>
    <row r="17">
      <c r="A17" s="139" t="s">
        <v>299</v>
      </c>
      <c r="B17" s="141"/>
      <c r="C17" s="130" t="s">
        <v>396</v>
      </c>
      <c r="D17" s="139" t="s">
        <v>279</v>
      </c>
      <c r="E17" s="130"/>
      <c r="F17" s="133" t="s">
        <v>397</v>
      </c>
      <c r="G17" s="133"/>
      <c r="H17" s="139" t="s">
        <v>398</v>
      </c>
      <c r="I17" s="138"/>
      <c r="J17" s="128"/>
      <c r="K17" s="136" t="s">
        <v>399</v>
      </c>
      <c r="L17" s="143" t="s">
        <v>400</v>
      </c>
      <c r="M17" s="128"/>
      <c r="N17" s="127" t="s">
        <v>189</v>
      </c>
      <c r="O17" s="127" t="s">
        <v>340</v>
      </c>
      <c r="P17" s="128"/>
      <c r="Q17" s="128"/>
      <c r="R17" s="128" t="s">
        <v>396</v>
      </c>
      <c r="S17" s="128" t="s">
        <v>279</v>
      </c>
      <c r="T17" s="128"/>
      <c r="U17" s="129" t="s">
        <v>397</v>
      </c>
      <c r="V17" s="128"/>
      <c r="W17" s="128"/>
      <c r="X17" s="128"/>
      <c r="Y17" s="128"/>
      <c r="Z17" s="128"/>
      <c r="AA17" s="128"/>
    </row>
    <row r="18">
      <c r="A18" s="139" t="s">
        <v>401</v>
      </c>
      <c r="B18" s="141" t="s">
        <v>401</v>
      </c>
      <c r="C18" s="151" t="s">
        <v>117</v>
      </c>
      <c r="D18" s="153" t="s">
        <v>279</v>
      </c>
      <c r="E18" s="139" t="s">
        <v>402</v>
      </c>
      <c r="F18" s="133" t="s">
        <v>403</v>
      </c>
      <c r="G18" s="133" t="s">
        <v>404</v>
      </c>
      <c r="H18" s="134" t="s">
        <v>289</v>
      </c>
      <c r="I18" s="139"/>
      <c r="J18" s="128"/>
      <c r="K18" s="136" t="s">
        <v>405</v>
      </c>
      <c r="L18" s="143" t="s">
        <v>406</v>
      </c>
      <c r="M18" s="128"/>
      <c r="N18" s="127" t="s">
        <v>407</v>
      </c>
      <c r="O18" s="127" t="s">
        <v>340</v>
      </c>
      <c r="P18" s="128"/>
      <c r="Q18" s="128"/>
      <c r="R18" s="128" t="s">
        <v>117</v>
      </c>
      <c r="S18" s="128" t="s">
        <v>279</v>
      </c>
      <c r="T18" s="128" t="s">
        <v>402</v>
      </c>
      <c r="U18" s="129" t="s">
        <v>403</v>
      </c>
      <c r="V18" s="128" t="s">
        <v>408</v>
      </c>
      <c r="W18" s="128"/>
      <c r="X18" s="128"/>
      <c r="Y18" s="128"/>
      <c r="Z18" s="128"/>
      <c r="AA18" s="128"/>
    </row>
    <row r="19">
      <c r="A19" s="139" t="s">
        <v>401</v>
      </c>
      <c r="B19" s="141" t="s">
        <v>401</v>
      </c>
      <c r="C19" s="130" t="s">
        <v>409</v>
      </c>
      <c r="D19" s="139" t="s">
        <v>279</v>
      </c>
      <c r="E19" s="139" t="s">
        <v>402</v>
      </c>
      <c r="F19" s="155" t="s">
        <v>410</v>
      </c>
      <c r="G19" s="133" t="s">
        <v>411</v>
      </c>
      <c r="H19" s="139" t="s">
        <v>412</v>
      </c>
      <c r="I19" s="138"/>
      <c r="J19" s="128"/>
      <c r="K19" s="136" t="s">
        <v>307</v>
      </c>
      <c r="L19" s="143" t="s">
        <v>413</v>
      </c>
      <c r="M19" s="128"/>
      <c r="N19" s="127" t="s">
        <v>414</v>
      </c>
      <c r="O19" s="127" t="s">
        <v>340</v>
      </c>
      <c r="P19" s="128"/>
      <c r="Q19" s="128"/>
      <c r="R19" s="128" t="s">
        <v>409</v>
      </c>
      <c r="S19" s="128" t="s">
        <v>279</v>
      </c>
      <c r="T19" s="128" t="s">
        <v>402</v>
      </c>
      <c r="U19" s="129" t="s">
        <v>410</v>
      </c>
      <c r="V19" s="128" t="s">
        <v>415</v>
      </c>
      <c r="W19" s="128"/>
      <c r="X19" s="128"/>
      <c r="Y19" s="128"/>
      <c r="Z19" s="128"/>
      <c r="AA19" s="128"/>
    </row>
    <row r="20">
      <c r="A20" s="139" t="s">
        <v>401</v>
      </c>
      <c r="B20" s="141" t="s">
        <v>401</v>
      </c>
      <c r="C20" s="139" t="s">
        <v>416</v>
      </c>
      <c r="D20" s="139" t="s">
        <v>301</v>
      </c>
      <c r="E20" s="139" t="s">
        <v>402</v>
      </c>
      <c r="F20" s="156" t="s">
        <v>403</v>
      </c>
      <c r="G20" s="148" t="s">
        <v>417</v>
      </c>
      <c r="H20" s="157" t="s">
        <v>301</v>
      </c>
      <c r="I20" s="139"/>
      <c r="J20" s="128"/>
      <c r="K20" s="136" t="s">
        <v>340</v>
      </c>
      <c r="L20" s="143" t="s">
        <v>418</v>
      </c>
      <c r="M20" s="128"/>
      <c r="N20" s="127" t="s">
        <v>284</v>
      </c>
      <c r="O20" s="127" t="s">
        <v>348</v>
      </c>
      <c r="P20" s="128"/>
      <c r="Q20" s="128"/>
      <c r="R20" s="128" t="s">
        <v>416</v>
      </c>
      <c r="S20" s="128" t="s">
        <v>301</v>
      </c>
      <c r="T20" s="128" t="s">
        <v>402</v>
      </c>
      <c r="U20" s="129" t="s">
        <v>403</v>
      </c>
      <c r="V20" s="128" t="s">
        <v>419</v>
      </c>
      <c r="W20" s="128"/>
      <c r="X20" s="128"/>
      <c r="Y20" s="128"/>
      <c r="Z20" s="128"/>
      <c r="AA20" s="128"/>
    </row>
    <row r="21">
      <c r="A21" s="139" t="s">
        <v>299</v>
      </c>
      <c r="B21" s="144"/>
      <c r="C21" s="130" t="s">
        <v>420</v>
      </c>
      <c r="D21" s="132" t="s">
        <v>279</v>
      </c>
      <c r="E21" s="130"/>
      <c r="F21" s="158" t="s">
        <v>421</v>
      </c>
      <c r="G21" s="133"/>
      <c r="H21" s="132" t="s">
        <v>279</v>
      </c>
      <c r="I21" s="159"/>
      <c r="J21" s="128"/>
      <c r="K21" s="136" t="s">
        <v>422</v>
      </c>
      <c r="L21" s="143" t="s">
        <v>423</v>
      </c>
      <c r="M21" s="128"/>
      <c r="N21" s="127" t="s">
        <v>295</v>
      </c>
      <c r="O21" s="127" t="s">
        <v>348</v>
      </c>
      <c r="P21" s="128"/>
      <c r="Q21" s="128"/>
      <c r="R21" s="128" t="s">
        <v>420</v>
      </c>
      <c r="S21" s="128" t="s">
        <v>279</v>
      </c>
      <c r="T21" s="128"/>
      <c r="U21" s="129" t="s">
        <v>421</v>
      </c>
      <c r="V21" s="128"/>
      <c r="W21" s="128"/>
      <c r="X21" s="128"/>
      <c r="Y21" s="128"/>
      <c r="Z21" s="128"/>
      <c r="AA21" s="128"/>
    </row>
    <row r="22">
      <c r="A22" s="139" t="s">
        <v>299</v>
      </c>
      <c r="B22" s="144"/>
      <c r="C22" s="151" t="s">
        <v>424</v>
      </c>
      <c r="D22" s="153" t="s">
        <v>279</v>
      </c>
      <c r="E22" s="151"/>
      <c r="F22" s="158" t="s">
        <v>425</v>
      </c>
      <c r="G22" s="133"/>
      <c r="H22" s="132" t="s">
        <v>426</v>
      </c>
      <c r="I22" s="139"/>
      <c r="J22" s="128"/>
      <c r="K22" s="136" t="s">
        <v>427</v>
      </c>
      <c r="L22" s="143" t="s">
        <v>428</v>
      </c>
      <c r="M22" s="128"/>
      <c r="N22" s="127" t="s">
        <v>329</v>
      </c>
      <c r="O22" s="127" t="s">
        <v>348</v>
      </c>
      <c r="P22" s="128"/>
      <c r="Q22" s="128"/>
      <c r="R22" s="128" t="s">
        <v>424</v>
      </c>
      <c r="S22" s="128" t="s">
        <v>279</v>
      </c>
      <c r="T22" s="128"/>
      <c r="U22" s="129" t="s">
        <v>425</v>
      </c>
      <c r="V22" s="128"/>
      <c r="W22" s="128"/>
      <c r="X22" s="128"/>
      <c r="Y22" s="128"/>
      <c r="Z22" s="128"/>
      <c r="AA22" s="128"/>
    </row>
    <row r="23">
      <c r="A23" s="139" t="s">
        <v>299</v>
      </c>
      <c r="B23" s="141"/>
      <c r="C23" s="139" t="s">
        <v>429</v>
      </c>
      <c r="D23" s="139" t="s">
        <v>279</v>
      </c>
      <c r="E23" s="130"/>
      <c r="F23" s="158" t="s">
        <v>430</v>
      </c>
      <c r="G23" s="133" t="s">
        <v>431</v>
      </c>
      <c r="H23" s="132" t="s">
        <v>432</v>
      </c>
      <c r="I23" s="139"/>
      <c r="J23" s="128"/>
      <c r="K23" s="136" t="s">
        <v>433</v>
      </c>
      <c r="L23" s="143" t="s">
        <v>434</v>
      </c>
      <c r="M23" s="128"/>
      <c r="N23" s="127" t="s">
        <v>360</v>
      </c>
      <c r="O23" s="127" t="s">
        <v>348</v>
      </c>
      <c r="P23" s="128"/>
      <c r="Q23" s="128"/>
      <c r="R23" s="127" t="s">
        <v>429</v>
      </c>
      <c r="S23" s="128" t="s">
        <v>279</v>
      </c>
      <c r="T23" s="128"/>
      <c r="U23" s="129" t="s">
        <v>430</v>
      </c>
      <c r="V23" s="128" t="s">
        <v>435</v>
      </c>
      <c r="W23" s="128"/>
      <c r="X23" s="128"/>
      <c r="Y23" s="128"/>
      <c r="Z23" s="128"/>
      <c r="AA23" s="128"/>
    </row>
    <row r="24">
      <c r="A24" s="139" t="s">
        <v>436</v>
      </c>
      <c r="B24" s="131" t="s">
        <v>437</v>
      </c>
      <c r="C24" s="130" t="s">
        <v>120</v>
      </c>
      <c r="D24" s="139" t="s">
        <v>279</v>
      </c>
      <c r="E24" s="146" t="s">
        <v>438</v>
      </c>
      <c r="F24" s="158" t="s">
        <v>439</v>
      </c>
      <c r="G24" s="133" t="s">
        <v>440</v>
      </c>
      <c r="H24" s="160"/>
      <c r="I24" s="139"/>
      <c r="J24" s="128"/>
      <c r="K24" s="136" t="s">
        <v>297</v>
      </c>
      <c r="L24" s="143" t="s">
        <v>441</v>
      </c>
      <c r="M24" s="128"/>
      <c r="N24" s="127" t="s">
        <v>388</v>
      </c>
      <c r="O24" s="127" t="s">
        <v>348</v>
      </c>
      <c r="P24" s="128"/>
      <c r="Q24" s="128"/>
      <c r="R24" s="128" t="s">
        <v>120</v>
      </c>
      <c r="S24" s="128" t="s">
        <v>279</v>
      </c>
      <c r="T24" s="128" t="s">
        <v>438</v>
      </c>
      <c r="U24" s="129" t="s">
        <v>439</v>
      </c>
      <c r="V24" s="128" t="s">
        <v>442</v>
      </c>
      <c r="W24" s="128"/>
      <c r="X24" s="128"/>
      <c r="Y24" s="128"/>
      <c r="Z24" s="128"/>
      <c r="AA24" s="128"/>
    </row>
    <row r="25">
      <c r="A25" s="139" t="s">
        <v>299</v>
      </c>
      <c r="B25" s="144"/>
      <c r="C25" s="161" t="s">
        <v>443</v>
      </c>
      <c r="D25" s="139" t="s">
        <v>279</v>
      </c>
      <c r="E25" s="130"/>
      <c r="F25" s="133" t="s">
        <v>444</v>
      </c>
      <c r="G25" s="133" t="s">
        <v>445</v>
      </c>
      <c r="H25" s="151"/>
      <c r="I25" s="151"/>
      <c r="J25" s="128"/>
      <c r="K25" s="136" t="s">
        <v>315</v>
      </c>
      <c r="L25" s="143" t="s">
        <v>446</v>
      </c>
      <c r="M25" s="128"/>
      <c r="N25" s="127" t="s">
        <v>405</v>
      </c>
      <c r="O25" s="127" t="s">
        <v>348</v>
      </c>
      <c r="P25" s="128"/>
      <c r="Q25" s="128"/>
      <c r="R25" s="128" t="s">
        <v>443</v>
      </c>
      <c r="S25" s="128" t="s">
        <v>279</v>
      </c>
      <c r="T25" s="128"/>
      <c r="U25" s="129" t="s">
        <v>444</v>
      </c>
      <c r="V25" s="128" t="s">
        <v>447</v>
      </c>
      <c r="W25" s="128"/>
      <c r="X25" s="128"/>
      <c r="Y25" s="128"/>
      <c r="Z25" s="128"/>
      <c r="AA25" s="128"/>
    </row>
    <row r="26">
      <c r="A26" s="139" t="s">
        <v>299</v>
      </c>
      <c r="B26" s="144"/>
      <c r="C26" s="130" t="s">
        <v>448</v>
      </c>
      <c r="D26" s="139" t="s">
        <v>279</v>
      </c>
      <c r="E26" s="130"/>
      <c r="F26" s="162" t="s">
        <v>449</v>
      </c>
      <c r="G26" s="133"/>
      <c r="H26" s="160"/>
      <c r="I26" s="160"/>
      <c r="J26" s="128"/>
      <c r="K26" s="136" t="s">
        <v>450</v>
      </c>
      <c r="L26" s="143" t="s">
        <v>451</v>
      </c>
      <c r="M26" s="128"/>
      <c r="N26" s="127" t="s">
        <v>422</v>
      </c>
      <c r="O26" s="127" t="s">
        <v>348</v>
      </c>
      <c r="P26" s="128"/>
      <c r="Q26" s="128"/>
      <c r="R26" s="128" t="s">
        <v>448</v>
      </c>
      <c r="S26" s="128" t="s">
        <v>279</v>
      </c>
      <c r="T26" s="128"/>
      <c r="U26" s="129" t="s">
        <v>449</v>
      </c>
      <c r="V26" s="128"/>
      <c r="W26" s="128"/>
      <c r="X26" s="128"/>
      <c r="Y26" s="128"/>
      <c r="Z26" s="128"/>
      <c r="AA26" s="128"/>
    </row>
    <row r="27">
      <c r="A27" s="139" t="s">
        <v>299</v>
      </c>
      <c r="B27" s="144"/>
      <c r="C27" s="151" t="s">
        <v>122</v>
      </c>
      <c r="D27" s="153" t="s">
        <v>279</v>
      </c>
      <c r="E27" s="139" t="s">
        <v>308</v>
      </c>
      <c r="F27" s="162" t="s">
        <v>452</v>
      </c>
      <c r="G27" s="133" t="s">
        <v>453</v>
      </c>
      <c r="H27" s="151"/>
      <c r="I27" s="151"/>
      <c r="J27" s="128"/>
      <c r="K27" s="163" t="s">
        <v>454</v>
      </c>
      <c r="L27" s="143" t="s">
        <v>455</v>
      </c>
      <c r="M27" s="128"/>
      <c r="N27" s="127" t="s">
        <v>427</v>
      </c>
      <c r="O27" s="127" t="s">
        <v>348</v>
      </c>
      <c r="P27" s="128"/>
      <c r="Q27" s="128"/>
      <c r="R27" s="128" t="s">
        <v>122</v>
      </c>
      <c r="S27" s="128" t="s">
        <v>279</v>
      </c>
      <c r="T27" s="128" t="s">
        <v>308</v>
      </c>
      <c r="U27" s="129" t="s">
        <v>452</v>
      </c>
      <c r="V27" s="128" t="s">
        <v>456</v>
      </c>
      <c r="W27" s="128"/>
      <c r="X27" s="128"/>
      <c r="Y27" s="128"/>
      <c r="Z27" s="128"/>
      <c r="AA27" s="128"/>
    </row>
    <row r="28">
      <c r="A28" s="139" t="s">
        <v>401</v>
      </c>
      <c r="B28" s="141" t="s">
        <v>401</v>
      </c>
      <c r="C28" s="130" t="s">
        <v>123</v>
      </c>
      <c r="D28" s="138" t="s">
        <v>289</v>
      </c>
      <c r="E28" s="146" t="s">
        <v>123</v>
      </c>
      <c r="F28" s="162" t="s">
        <v>457</v>
      </c>
      <c r="G28" s="133" t="s">
        <v>458</v>
      </c>
      <c r="H28" s="164"/>
      <c r="I28" s="151"/>
      <c r="J28" s="128"/>
      <c r="K28" s="163" t="s">
        <v>459</v>
      </c>
      <c r="L28" s="143" t="s">
        <v>460</v>
      </c>
      <c r="M28" s="128"/>
      <c r="N28" s="127" t="s">
        <v>450</v>
      </c>
      <c r="O28" s="127" t="s">
        <v>348</v>
      </c>
      <c r="P28" s="128"/>
      <c r="Q28" s="128"/>
      <c r="R28" s="128" t="s">
        <v>123</v>
      </c>
      <c r="S28" s="128" t="s">
        <v>289</v>
      </c>
      <c r="T28" s="128" t="s">
        <v>123</v>
      </c>
      <c r="U28" s="129" t="s">
        <v>457</v>
      </c>
      <c r="V28" s="128" t="s">
        <v>461</v>
      </c>
      <c r="W28" s="128"/>
      <c r="X28" s="128"/>
      <c r="Y28" s="128"/>
      <c r="Z28" s="128"/>
      <c r="AA28" s="128"/>
    </row>
    <row r="29">
      <c r="A29" s="139" t="s">
        <v>401</v>
      </c>
      <c r="B29" s="141" t="s">
        <v>401</v>
      </c>
      <c r="C29" s="139" t="s">
        <v>125</v>
      </c>
      <c r="D29" s="139" t="s">
        <v>301</v>
      </c>
      <c r="E29" s="146" t="s">
        <v>123</v>
      </c>
      <c r="F29" s="156" t="s">
        <v>462</v>
      </c>
      <c r="G29" s="133" t="s">
        <v>463</v>
      </c>
      <c r="H29" s="164"/>
      <c r="I29" s="151"/>
      <c r="J29" s="128"/>
      <c r="K29" s="137" t="s">
        <v>464</v>
      </c>
      <c r="L29" s="143" t="s">
        <v>465</v>
      </c>
      <c r="M29" s="128"/>
      <c r="N29" s="127" t="s">
        <v>454</v>
      </c>
      <c r="O29" s="127" t="s">
        <v>348</v>
      </c>
      <c r="P29" s="128"/>
      <c r="Q29" s="128"/>
      <c r="R29" s="128" t="s">
        <v>125</v>
      </c>
      <c r="S29" s="128" t="s">
        <v>301</v>
      </c>
      <c r="T29" s="128" t="s">
        <v>123</v>
      </c>
      <c r="U29" s="129" t="s">
        <v>462</v>
      </c>
      <c r="V29" s="128" t="s">
        <v>466</v>
      </c>
      <c r="W29" s="128"/>
      <c r="X29" s="128"/>
      <c r="Y29" s="128"/>
      <c r="Z29" s="128"/>
      <c r="AA29" s="128"/>
    </row>
    <row r="30">
      <c r="A30" s="139" t="s">
        <v>299</v>
      </c>
      <c r="B30" s="144"/>
      <c r="C30" s="151" t="s">
        <v>127</v>
      </c>
      <c r="D30" s="153" t="s">
        <v>279</v>
      </c>
      <c r="E30" s="146" t="s">
        <v>438</v>
      </c>
      <c r="F30" s="150" t="s">
        <v>467</v>
      </c>
      <c r="G30" s="133"/>
      <c r="H30" s="164"/>
      <c r="I30" s="151"/>
      <c r="J30" s="128"/>
      <c r="K30" s="165" t="s">
        <v>468</v>
      </c>
      <c r="L30" s="143" t="s">
        <v>469</v>
      </c>
      <c r="M30" s="128"/>
      <c r="N30" s="127" t="s">
        <v>459</v>
      </c>
      <c r="O30" s="127" t="s">
        <v>348</v>
      </c>
      <c r="P30" s="128"/>
      <c r="Q30" s="128"/>
      <c r="R30" s="128" t="s">
        <v>127</v>
      </c>
      <c r="S30" s="128" t="s">
        <v>279</v>
      </c>
      <c r="T30" s="128" t="s">
        <v>438</v>
      </c>
      <c r="U30" s="129" t="s">
        <v>467</v>
      </c>
      <c r="V30" s="128"/>
      <c r="W30" s="128"/>
      <c r="X30" s="128"/>
      <c r="Y30" s="128"/>
      <c r="Z30" s="128"/>
      <c r="AA30" s="128"/>
    </row>
    <row r="31">
      <c r="A31" s="139" t="s">
        <v>299</v>
      </c>
      <c r="B31" s="144"/>
      <c r="C31" s="151" t="s">
        <v>128</v>
      </c>
      <c r="D31" s="139" t="s">
        <v>412</v>
      </c>
      <c r="E31" s="146" t="s">
        <v>308</v>
      </c>
      <c r="F31" s="162" t="s">
        <v>470</v>
      </c>
      <c r="G31" s="133" t="s">
        <v>471</v>
      </c>
      <c r="H31" s="151"/>
      <c r="I31" s="151"/>
      <c r="J31" s="128"/>
      <c r="K31" s="137" t="s">
        <v>390</v>
      </c>
      <c r="L31" s="143" t="s">
        <v>472</v>
      </c>
      <c r="M31" s="128"/>
      <c r="N31" s="127" t="s">
        <v>305</v>
      </c>
      <c r="O31" s="127" t="s">
        <v>323</v>
      </c>
      <c r="P31" s="128"/>
      <c r="Q31" s="128"/>
      <c r="R31" s="128" t="s">
        <v>128</v>
      </c>
      <c r="S31" s="128" t="s">
        <v>412</v>
      </c>
      <c r="T31" s="128" t="s">
        <v>308</v>
      </c>
      <c r="U31" s="129" t="s">
        <v>470</v>
      </c>
      <c r="V31" s="128" t="s">
        <v>473</v>
      </c>
      <c r="W31" s="128"/>
      <c r="X31" s="128"/>
      <c r="Y31" s="128"/>
      <c r="Z31" s="128"/>
      <c r="AA31" s="128"/>
    </row>
    <row r="32">
      <c r="A32" s="139" t="s">
        <v>299</v>
      </c>
      <c r="B32" s="144"/>
      <c r="C32" s="130" t="s">
        <v>474</v>
      </c>
      <c r="D32" s="139" t="s">
        <v>279</v>
      </c>
      <c r="E32" s="130"/>
      <c r="F32" s="162" t="s">
        <v>475</v>
      </c>
      <c r="G32" s="133"/>
      <c r="H32" s="151"/>
      <c r="I32" s="151"/>
      <c r="J32" s="128"/>
      <c r="K32" s="127" t="s">
        <v>476</v>
      </c>
      <c r="L32" s="143" t="s">
        <v>477</v>
      </c>
      <c r="M32" s="128"/>
      <c r="N32" s="127" t="s">
        <v>433</v>
      </c>
      <c r="O32" s="127" t="s">
        <v>478</v>
      </c>
      <c r="P32" s="128"/>
      <c r="Q32" s="128"/>
      <c r="R32" s="128" t="s">
        <v>474</v>
      </c>
      <c r="S32" s="128" t="s">
        <v>279</v>
      </c>
      <c r="T32" s="128"/>
      <c r="U32" s="129" t="s">
        <v>475</v>
      </c>
      <c r="V32" s="128"/>
      <c r="W32" s="128"/>
      <c r="X32" s="128"/>
      <c r="Y32" s="128"/>
      <c r="Z32" s="128"/>
      <c r="AA32" s="128"/>
    </row>
    <row r="33">
      <c r="A33" s="139" t="s">
        <v>401</v>
      </c>
      <c r="B33" s="141" t="s">
        <v>401</v>
      </c>
      <c r="C33" s="130" t="s">
        <v>130</v>
      </c>
      <c r="D33" s="139" t="s">
        <v>279</v>
      </c>
      <c r="E33" s="139" t="s">
        <v>402</v>
      </c>
      <c r="F33" s="150" t="s">
        <v>479</v>
      </c>
      <c r="G33" s="133" t="s">
        <v>480</v>
      </c>
      <c r="H33" s="164"/>
      <c r="I33" s="151"/>
      <c r="J33" s="128"/>
      <c r="K33" s="127" t="s">
        <v>414</v>
      </c>
      <c r="L33" s="143" t="s">
        <v>481</v>
      </c>
      <c r="M33" s="128"/>
      <c r="N33" s="127"/>
      <c r="O33" s="127"/>
      <c r="P33" s="128"/>
      <c r="Q33" s="128"/>
      <c r="R33" s="128" t="s">
        <v>130</v>
      </c>
      <c r="S33" s="128" t="s">
        <v>279</v>
      </c>
      <c r="T33" s="128" t="s">
        <v>402</v>
      </c>
      <c r="U33" s="129" t="s">
        <v>479</v>
      </c>
      <c r="V33" s="128" t="s">
        <v>482</v>
      </c>
      <c r="W33" s="128"/>
      <c r="X33" s="128"/>
      <c r="Y33" s="128"/>
      <c r="Z33" s="128"/>
      <c r="AA33" s="128"/>
    </row>
    <row r="34">
      <c r="A34" s="139" t="s">
        <v>131</v>
      </c>
      <c r="B34" s="142" t="s">
        <v>131</v>
      </c>
      <c r="C34" s="130" t="s">
        <v>131</v>
      </c>
      <c r="D34" s="139" t="s">
        <v>279</v>
      </c>
      <c r="E34" s="146" t="s">
        <v>438</v>
      </c>
      <c r="F34" s="162" t="s">
        <v>483</v>
      </c>
      <c r="G34" s="133" t="s">
        <v>484</v>
      </c>
      <c r="H34" s="151"/>
      <c r="I34" s="151"/>
      <c r="J34" s="128"/>
      <c r="K34" s="127" t="s">
        <v>485</v>
      </c>
      <c r="L34" s="143" t="s">
        <v>486</v>
      </c>
      <c r="M34" s="128"/>
      <c r="N34" s="128"/>
      <c r="O34" s="128"/>
      <c r="P34" s="128"/>
      <c r="Q34" s="128"/>
      <c r="R34" s="128" t="s">
        <v>131</v>
      </c>
      <c r="S34" s="128" t="s">
        <v>279</v>
      </c>
      <c r="T34" s="128" t="s">
        <v>438</v>
      </c>
      <c r="U34" s="129" t="s">
        <v>483</v>
      </c>
      <c r="V34" s="128" t="s">
        <v>487</v>
      </c>
      <c r="W34" s="128"/>
      <c r="X34" s="128"/>
      <c r="Y34" s="128"/>
      <c r="Z34" s="128"/>
      <c r="AA34" s="128"/>
    </row>
    <row r="35">
      <c r="A35" s="139" t="s">
        <v>131</v>
      </c>
      <c r="B35" s="142" t="s">
        <v>131</v>
      </c>
      <c r="C35" s="130" t="s">
        <v>488</v>
      </c>
      <c r="D35" s="139" t="s">
        <v>279</v>
      </c>
      <c r="E35" s="146" t="s">
        <v>438</v>
      </c>
      <c r="F35" s="161"/>
      <c r="G35" s="133" t="s">
        <v>489</v>
      </c>
      <c r="H35" s="151"/>
      <c r="I35" s="151"/>
      <c r="J35" s="128"/>
      <c r="K35" s="128"/>
      <c r="L35" s="143" t="s">
        <v>490</v>
      </c>
      <c r="M35" s="128"/>
      <c r="N35" s="128"/>
      <c r="O35" s="128"/>
      <c r="P35" s="128"/>
      <c r="Q35" s="128"/>
      <c r="R35" s="128" t="s">
        <v>488</v>
      </c>
      <c r="S35" s="128" t="s">
        <v>279</v>
      </c>
      <c r="T35" s="128" t="s">
        <v>438</v>
      </c>
      <c r="U35" s="129"/>
      <c r="V35" s="128" t="s">
        <v>491</v>
      </c>
      <c r="W35" s="128"/>
      <c r="X35" s="128"/>
      <c r="Y35" s="128"/>
      <c r="Z35" s="128"/>
      <c r="AA35" s="128"/>
    </row>
    <row r="36">
      <c r="A36" s="139" t="s">
        <v>299</v>
      </c>
      <c r="B36" s="144"/>
      <c r="C36" s="130" t="s">
        <v>132</v>
      </c>
      <c r="D36" s="139" t="s">
        <v>279</v>
      </c>
      <c r="E36" s="139" t="s">
        <v>308</v>
      </c>
      <c r="F36" s="162" t="s">
        <v>492</v>
      </c>
      <c r="G36" s="133" t="s">
        <v>493</v>
      </c>
      <c r="H36" s="164"/>
      <c r="I36" s="151"/>
      <c r="J36" s="128"/>
      <c r="K36" s="128"/>
      <c r="L36" s="143" t="s">
        <v>494</v>
      </c>
      <c r="M36" s="128"/>
      <c r="N36" s="128"/>
      <c r="O36" s="128"/>
      <c r="P36" s="128"/>
      <c r="Q36" s="128"/>
      <c r="R36" s="128" t="s">
        <v>132</v>
      </c>
      <c r="S36" s="128" t="s">
        <v>279</v>
      </c>
      <c r="T36" s="128" t="s">
        <v>308</v>
      </c>
      <c r="U36" s="129" t="s">
        <v>492</v>
      </c>
      <c r="V36" s="128" t="s">
        <v>495</v>
      </c>
      <c r="W36" s="128"/>
      <c r="X36" s="128"/>
      <c r="Y36" s="128"/>
      <c r="Z36" s="128"/>
      <c r="AA36" s="128"/>
    </row>
    <row r="37">
      <c r="A37" s="139" t="s">
        <v>299</v>
      </c>
      <c r="B37" s="144"/>
      <c r="C37" s="130" t="s">
        <v>496</v>
      </c>
      <c r="D37" s="139" t="s">
        <v>279</v>
      </c>
      <c r="E37" s="139" t="s">
        <v>308</v>
      </c>
      <c r="F37" s="162" t="s">
        <v>497</v>
      </c>
      <c r="G37" s="133"/>
      <c r="H37" s="151"/>
      <c r="I37" s="151"/>
      <c r="J37" s="128"/>
      <c r="K37" s="128"/>
      <c r="L37" s="143" t="s">
        <v>498</v>
      </c>
      <c r="M37" s="128"/>
      <c r="N37" s="128"/>
      <c r="O37" s="128"/>
      <c r="P37" s="128"/>
      <c r="Q37" s="128"/>
      <c r="R37" s="128" t="s">
        <v>496</v>
      </c>
      <c r="S37" s="128" t="s">
        <v>279</v>
      </c>
      <c r="T37" s="128" t="s">
        <v>308</v>
      </c>
      <c r="U37" s="129" t="s">
        <v>497</v>
      </c>
      <c r="V37" s="128"/>
      <c r="W37" s="128"/>
      <c r="X37" s="128"/>
      <c r="Y37" s="128"/>
      <c r="Z37" s="128"/>
      <c r="AA37" s="128"/>
    </row>
    <row r="38">
      <c r="A38" s="130" t="s">
        <v>401</v>
      </c>
      <c r="B38" s="141" t="s">
        <v>401</v>
      </c>
      <c r="C38" s="151" t="s">
        <v>135</v>
      </c>
      <c r="D38" s="153" t="s">
        <v>279</v>
      </c>
      <c r="E38" s="139" t="s">
        <v>402</v>
      </c>
      <c r="F38" s="162" t="s">
        <v>499</v>
      </c>
      <c r="G38" s="133" t="s">
        <v>500</v>
      </c>
      <c r="H38" s="151"/>
      <c r="I38" s="151"/>
      <c r="J38" s="128"/>
      <c r="K38" s="128"/>
      <c r="L38" s="143" t="s">
        <v>501</v>
      </c>
      <c r="M38" s="128"/>
      <c r="N38" s="128"/>
      <c r="O38" s="128"/>
      <c r="P38" s="128"/>
      <c r="Q38" s="128"/>
      <c r="R38" s="128" t="s">
        <v>135</v>
      </c>
      <c r="S38" s="128" t="s">
        <v>279</v>
      </c>
      <c r="T38" s="128" t="s">
        <v>402</v>
      </c>
      <c r="U38" s="129" t="s">
        <v>499</v>
      </c>
      <c r="V38" s="128" t="s">
        <v>502</v>
      </c>
      <c r="W38" s="128"/>
      <c r="X38" s="128"/>
      <c r="Y38" s="128"/>
      <c r="Z38" s="128"/>
      <c r="AA38" s="128"/>
    </row>
    <row r="39">
      <c r="A39" s="139" t="s">
        <v>299</v>
      </c>
      <c r="B39" s="144"/>
      <c r="C39" s="130" t="s">
        <v>136</v>
      </c>
      <c r="D39" s="139" t="s">
        <v>279</v>
      </c>
      <c r="E39" s="146" t="s">
        <v>343</v>
      </c>
      <c r="F39" s="162" t="s">
        <v>503</v>
      </c>
      <c r="G39" s="133" t="s">
        <v>504</v>
      </c>
      <c r="H39" s="164"/>
      <c r="I39" s="151"/>
      <c r="J39" s="128"/>
      <c r="K39" s="128"/>
      <c r="L39" s="143" t="s">
        <v>505</v>
      </c>
      <c r="M39" s="128"/>
      <c r="N39" s="128"/>
      <c r="O39" s="128"/>
      <c r="P39" s="128"/>
      <c r="Q39" s="128"/>
      <c r="R39" s="128" t="s">
        <v>136</v>
      </c>
      <c r="S39" s="128" t="s">
        <v>279</v>
      </c>
      <c r="T39" s="128" t="s">
        <v>343</v>
      </c>
      <c r="U39" s="129" t="s">
        <v>503</v>
      </c>
      <c r="V39" s="128" t="s">
        <v>506</v>
      </c>
      <c r="W39" s="128"/>
      <c r="X39" s="128"/>
      <c r="Y39" s="128"/>
      <c r="Z39" s="128"/>
      <c r="AA39" s="128"/>
    </row>
    <row r="40">
      <c r="A40" s="139" t="s">
        <v>299</v>
      </c>
      <c r="B40" s="144"/>
      <c r="C40" s="130" t="s">
        <v>137</v>
      </c>
      <c r="D40" s="139" t="s">
        <v>301</v>
      </c>
      <c r="E40" s="130"/>
      <c r="F40" s="162" t="s">
        <v>507</v>
      </c>
      <c r="G40" s="133" t="s">
        <v>508</v>
      </c>
      <c r="H40" s="164"/>
      <c r="I40" s="151"/>
      <c r="J40" s="128"/>
      <c r="K40" s="128"/>
      <c r="L40" s="143" t="s">
        <v>509</v>
      </c>
      <c r="M40" s="128"/>
      <c r="N40" s="128"/>
      <c r="O40" s="128"/>
      <c r="P40" s="128"/>
      <c r="Q40" s="128"/>
      <c r="R40" s="128" t="s">
        <v>137</v>
      </c>
      <c r="S40" s="128" t="s">
        <v>301</v>
      </c>
      <c r="T40" s="128"/>
      <c r="U40" s="129" t="s">
        <v>507</v>
      </c>
      <c r="V40" s="128" t="s">
        <v>510</v>
      </c>
      <c r="W40" s="128"/>
      <c r="X40" s="128"/>
      <c r="Y40" s="128"/>
      <c r="Z40" s="128"/>
      <c r="AA40" s="128"/>
    </row>
    <row r="41">
      <c r="A41" s="139" t="s">
        <v>299</v>
      </c>
      <c r="B41" s="144"/>
      <c r="C41" s="151" t="s">
        <v>511</v>
      </c>
      <c r="D41" s="153" t="s">
        <v>279</v>
      </c>
      <c r="E41" s="151"/>
      <c r="F41" s="162" t="s">
        <v>512</v>
      </c>
      <c r="G41" s="133"/>
      <c r="H41" s="164"/>
      <c r="I41" s="151"/>
      <c r="J41" s="128"/>
      <c r="K41" s="128"/>
      <c r="L41" s="143" t="s">
        <v>513</v>
      </c>
      <c r="M41" s="128"/>
      <c r="N41" s="128"/>
      <c r="O41" s="128"/>
      <c r="P41" s="128"/>
      <c r="Q41" s="128"/>
      <c r="R41" s="128" t="s">
        <v>511</v>
      </c>
      <c r="S41" s="128" t="s">
        <v>279</v>
      </c>
      <c r="T41" s="128"/>
      <c r="U41" s="129" t="s">
        <v>512</v>
      </c>
      <c r="V41" s="128"/>
      <c r="W41" s="128"/>
      <c r="X41" s="128"/>
      <c r="Y41" s="128"/>
      <c r="Z41" s="128"/>
      <c r="AA41" s="128"/>
    </row>
    <row r="42">
      <c r="A42" s="139" t="s">
        <v>299</v>
      </c>
      <c r="B42" s="144"/>
      <c r="C42" s="130" t="s">
        <v>514</v>
      </c>
      <c r="D42" s="139" t="s">
        <v>279</v>
      </c>
      <c r="E42" s="130"/>
      <c r="F42" s="162" t="s">
        <v>515</v>
      </c>
      <c r="G42" s="133" t="s">
        <v>516</v>
      </c>
      <c r="H42" s="151"/>
      <c r="I42" s="151"/>
      <c r="J42" s="128"/>
      <c r="K42" s="128"/>
      <c r="L42" s="143" t="s">
        <v>517</v>
      </c>
      <c r="M42" s="128"/>
      <c r="N42" s="128"/>
      <c r="O42" s="128"/>
      <c r="P42" s="128"/>
      <c r="Q42" s="128"/>
      <c r="R42" s="128" t="s">
        <v>514</v>
      </c>
      <c r="S42" s="128" t="s">
        <v>279</v>
      </c>
      <c r="T42" s="128"/>
      <c r="U42" s="129" t="s">
        <v>515</v>
      </c>
      <c r="V42" s="128" t="s">
        <v>518</v>
      </c>
      <c r="W42" s="128"/>
      <c r="X42" s="128"/>
      <c r="Y42" s="128"/>
      <c r="Z42" s="128"/>
      <c r="AA42" s="128"/>
    </row>
    <row r="43">
      <c r="A43" s="139" t="s">
        <v>299</v>
      </c>
      <c r="B43" s="144"/>
      <c r="C43" s="130" t="s">
        <v>519</v>
      </c>
      <c r="D43" s="139" t="s">
        <v>279</v>
      </c>
      <c r="E43" s="130"/>
      <c r="F43" s="162" t="s">
        <v>515</v>
      </c>
      <c r="G43" s="133"/>
      <c r="H43" s="164"/>
      <c r="I43" s="151"/>
      <c r="J43" s="128"/>
      <c r="K43" s="128"/>
      <c r="L43" s="143" t="s">
        <v>520</v>
      </c>
      <c r="M43" s="128"/>
      <c r="N43" s="128"/>
      <c r="O43" s="128"/>
      <c r="P43" s="128"/>
      <c r="Q43" s="128"/>
      <c r="R43" s="128" t="s">
        <v>519</v>
      </c>
      <c r="S43" s="128" t="s">
        <v>279</v>
      </c>
      <c r="T43" s="128"/>
      <c r="U43" s="129" t="s">
        <v>515</v>
      </c>
      <c r="V43" s="128"/>
      <c r="W43" s="128"/>
      <c r="X43" s="128"/>
      <c r="Y43" s="128"/>
      <c r="Z43" s="128"/>
      <c r="AA43" s="128"/>
    </row>
    <row r="44">
      <c r="A44" s="139" t="s">
        <v>299</v>
      </c>
      <c r="B44" s="144"/>
      <c r="C44" s="151" t="s">
        <v>139</v>
      </c>
      <c r="D44" s="153" t="s">
        <v>279</v>
      </c>
      <c r="E44" s="146" t="s">
        <v>343</v>
      </c>
      <c r="F44" s="162" t="s">
        <v>521</v>
      </c>
      <c r="G44" s="133" t="s">
        <v>522</v>
      </c>
      <c r="H44" s="151"/>
      <c r="I44" s="151"/>
      <c r="J44" s="128"/>
      <c r="K44" s="128"/>
      <c r="L44" s="143" t="s">
        <v>523</v>
      </c>
      <c r="M44" s="128"/>
      <c r="N44" s="128"/>
      <c r="O44" s="128"/>
      <c r="P44" s="128"/>
      <c r="Q44" s="128"/>
      <c r="R44" s="128" t="s">
        <v>139</v>
      </c>
      <c r="S44" s="128" t="s">
        <v>279</v>
      </c>
      <c r="T44" s="128" t="s">
        <v>343</v>
      </c>
      <c r="U44" s="129" t="s">
        <v>521</v>
      </c>
      <c r="V44" s="128" t="s">
        <v>524</v>
      </c>
      <c r="W44" s="128"/>
      <c r="X44" s="128"/>
      <c r="Y44" s="128"/>
      <c r="Z44" s="128"/>
      <c r="AA44" s="128"/>
    </row>
    <row r="45">
      <c r="A45" s="139" t="s">
        <v>299</v>
      </c>
      <c r="B45" s="144"/>
      <c r="C45" s="130" t="s">
        <v>525</v>
      </c>
      <c r="D45" s="130"/>
      <c r="E45" s="130"/>
      <c r="F45" s="162" t="s">
        <v>526</v>
      </c>
      <c r="G45" s="133"/>
      <c r="H45" s="164"/>
      <c r="I45" s="151"/>
      <c r="J45" s="128"/>
      <c r="K45" s="128"/>
      <c r="L45" s="143" t="s">
        <v>527</v>
      </c>
      <c r="M45" s="128"/>
      <c r="N45" s="128"/>
      <c r="O45" s="128"/>
      <c r="P45" s="128"/>
      <c r="Q45" s="128"/>
      <c r="R45" s="128" t="s">
        <v>525</v>
      </c>
      <c r="S45" s="128"/>
      <c r="T45" s="128"/>
      <c r="U45" s="129" t="s">
        <v>526</v>
      </c>
      <c r="V45" s="128"/>
      <c r="W45" s="128"/>
      <c r="X45" s="128"/>
      <c r="Y45" s="128"/>
      <c r="Z45" s="128"/>
      <c r="AA45" s="128"/>
    </row>
    <row r="46">
      <c r="A46" s="139" t="s">
        <v>299</v>
      </c>
      <c r="B46" s="141" t="s">
        <v>528</v>
      </c>
      <c r="C46" s="139" t="s">
        <v>529</v>
      </c>
      <c r="D46" s="139" t="s">
        <v>279</v>
      </c>
      <c r="E46" s="146" t="s">
        <v>343</v>
      </c>
      <c r="F46" s="162" t="s">
        <v>530</v>
      </c>
      <c r="G46" s="146" t="s">
        <v>531</v>
      </c>
      <c r="H46" s="164"/>
      <c r="I46" s="151"/>
      <c r="J46" s="128"/>
      <c r="K46" s="128"/>
      <c r="L46" s="166" t="s">
        <v>532</v>
      </c>
      <c r="M46" s="128"/>
      <c r="N46" s="128"/>
      <c r="O46" s="128"/>
      <c r="P46" s="128"/>
      <c r="Q46" s="128"/>
      <c r="R46" s="127" t="s">
        <v>533</v>
      </c>
      <c r="S46" s="128" t="s">
        <v>279</v>
      </c>
      <c r="T46" s="128" t="s">
        <v>343</v>
      </c>
      <c r="U46" s="129" t="s">
        <v>530</v>
      </c>
      <c r="V46" s="128" t="s">
        <v>534</v>
      </c>
      <c r="W46" s="128"/>
      <c r="X46" s="128"/>
      <c r="Y46" s="128"/>
      <c r="Z46" s="128"/>
      <c r="AA46" s="128"/>
    </row>
    <row r="47">
      <c r="A47" s="139" t="s">
        <v>299</v>
      </c>
      <c r="B47" s="141" t="s">
        <v>528</v>
      </c>
      <c r="C47" s="151" t="s">
        <v>535</v>
      </c>
      <c r="D47" s="153" t="s">
        <v>279</v>
      </c>
      <c r="E47" s="146" t="s">
        <v>343</v>
      </c>
      <c r="F47" s="162" t="s">
        <v>536</v>
      </c>
      <c r="G47" s="133"/>
      <c r="H47" s="164"/>
      <c r="I47" s="151"/>
      <c r="J47" s="128"/>
      <c r="K47" s="128"/>
      <c r="L47" s="167" t="s">
        <v>537</v>
      </c>
      <c r="M47" s="128"/>
      <c r="N47" s="128"/>
      <c r="O47" s="128"/>
      <c r="P47" s="128"/>
      <c r="Q47" s="128"/>
      <c r="R47" s="128" t="s">
        <v>535</v>
      </c>
      <c r="S47" s="128" t="s">
        <v>279</v>
      </c>
      <c r="T47" s="128" t="s">
        <v>343</v>
      </c>
      <c r="U47" s="129" t="s">
        <v>536</v>
      </c>
      <c r="V47" s="128"/>
      <c r="W47" s="128"/>
      <c r="X47" s="128"/>
      <c r="Y47" s="128"/>
      <c r="Z47" s="128"/>
      <c r="AA47" s="128"/>
    </row>
    <row r="48">
      <c r="A48" s="139" t="s">
        <v>299</v>
      </c>
      <c r="B48" s="144"/>
      <c r="C48" s="130" t="s">
        <v>142</v>
      </c>
      <c r="D48" s="139" t="s">
        <v>279</v>
      </c>
      <c r="E48" s="146" t="s">
        <v>343</v>
      </c>
      <c r="F48" s="162" t="s">
        <v>536</v>
      </c>
      <c r="G48" s="133"/>
      <c r="H48" s="164"/>
      <c r="I48" s="151"/>
      <c r="J48" s="128"/>
      <c r="K48" s="128"/>
      <c r="L48" s="167" t="s">
        <v>538</v>
      </c>
      <c r="M48" s="128"/>
      <c r="N48" s="128"/>
      <c r="O48" s="128"/>
      <c r="P48" s="128"/>
      <c r="Q48" s="128"/>
      <c r="R48" s="128" t="s">
        <v>142</v>
      </c>
      <c r="S48" s="128" t="s">
        <v>279</v>
      </c>
      <c r="T48" s="128" t="s">
        <v>343</v>
      </c>
      <c r="U48" s="129" t="s">
        <v>536</v>
      </c>
      <c r="V48" s="128"/>
      <c r="W48" s="128"/>
      <c r="X48" s="128"/>
      <c r="Y48" s="128"/>
      <c r="Z48" s="128"/>
      <c r="AA48" s="128"/>
    </row>
    <row r="49">
      <c r="A49" s="139" t="s">
        <v>299</v>
      </c>
      <c r="B49" s="144"/>
      <c r="C49" s="130" t="s">
        <v>143</v>
      </c>
      <c r="D49" s="139" t="s">
        <v>279</v>
      </c>
      <c r="E49" s="146" t="s">
        <v>343</v>
      </c>
      <c r="F49" s="162" t="s">
        <v>530</v>
      </c>
      <c r="G49" s="133" t="s">
        <v>539</v>
      </c>
      <c r="H49" s="164"/>
      <c r="I49" s="151"/>
      <c r="J49" s="128"/>
      <c r="K49" s="128"/>
      <c r="L49" s="143" t="s">
        <v>540</v>
      </c>
      <c r="M49" s="128"/>
      <c r="N49" s="128"/>
      <c r="O49" s="128"/>
      <c r="P49" s="128"/>
      <c r="Q49" s="128"/>
      <c r="R49" s="128" t="s">
        <v>143</v>
      </c>
      <c r="S49" s="128" t="s">
        <v>279</v>
      </c>
      <c r="T49" s="128" t="s">
        <v>343</v>
      </c>
      <c r="U49" s="129" t="s">
        <v>530</v>
      </c>
      <c r="V49" s="128" t="s">
        <v>541</v>
      </c>
      <c r="W49" s="128"/>
      <c r="X49" s="128"/>
      <c r="Y49" s="128"/>
      <c r="Z49" s="128"/>
      <c r="AA49" s="128"/>
    </row>
    <row r="50">
      <c r="A50" s="139" t="s">
        <v>299</v>
      </c>
      <c r="B50" s="144"/>
      <c r="C50" s="151" t="s">
        <v>144</v>
      </c>
      <c r="D50" s="153" t="s">
        <v>279</v>
      </c>
      <c r="E50" s="146" t="s">
        <v>343</v>
      </c>
      <c r="F50" s="150" t="s">
        <v>542</v>
      </c>
      <c r="G50" s="133" t="s">
        <v>543</v>
      </c>
      <c r="H50" s="164"/>
      <c r="I50" s="151"/>
      <c r="J50" s="128"/>
      <c r="K50" s="128"/>
      <c r="L50" s="143" t="s">
        <v>544</v>
      </c>
      <c r="M50" s="128"/>
      <c r="N50" s="128"/>
      <c r="O50" s="128"/>
      <c r="P50" s="128"/>
      <c r="Q50" s="128"/>
      <c r="R50" s="128" t="s">
        <v>144</v>
      </c>
      <c r="S50" s="128" t="s">
        <v>279</v>
      </c>
      <c r="T50" s="128" t="s">
        <v>343</v>
      </c>
      <c r="U50" s="129" t="s">
        <v>542</v>
      </c>
      <c r="V50" s="128" t="s">
        <v>545</v>
      </c>
      <c r="W50" s="128"/>
      <c r="X50" s="128"/>
      <c r="Y50" s="128"/>
      <c r="Z50" s="128"/>
      <c r="AA50" s="128"/>
    </row>
    <row r="51">
      <c r="A51" s="139" t="s">
        <v>546</v>
      </c>
      <c r="B51" s="142" t="s">
        <v>146</v>
      </c>
      <c r="C51" s="130" t="s">
        <v>146</v>
      </c>
      <c r="D51" s="139" t="s">
        <v>279</v>
      </c>
      <c r="E51" s="139" t="s">
        <v>290</v>
      </c>
      <c r="F51" s="150" t="s">
        <v>547</v>
      </c>
      <c r="G51" s="133" t="s">
        <v>548</v>
      </c>
      <c r="H51" s="151"/>
      <c r="I51" s="151"/>
      <c r="J51" s="128"/>
      <c r="K51" s="128"/>
      <c r="L51" s="168" t="s">
        <v>549</v>
      </c>
      <c r="M51" s="128"/>
      <c r="N51" s="128"/>
      <c r="O51" s="128"/>
      <c r="P51" s="128"/>
      <c r="Q51" s="128"/>
      <c r="R51" s="128" t="s">
        <v>146</v>
      </c>
      <c r="S51" s="128" t="s">
        <v>279</v>
      </c>
      <c r="T51" s="128" t="s">
        <v>290</v>
      </c>
      <c r="U51" s="129" t="s">
        <v>547</v>
      </c>
      <c r="V51" s="128" t="s">
        <v>550</v>
      </c>
      <c r="W51" s="128"/>
      <c r="X51" s="128"/>
      <c r="Y51" s="128"/>
      <c r="Z51" s="128"/>
      <c r="AA51" s="128"/>
    </row>
    <row r="52">
      <c r="A52" s="139" t="s">
        <v>546</v>
      </c>
      <c r="B52" s="142" t="s">
        <v>146</v>
      </c>
      <c r="C52" s="130" t="s">
        <v>148</v>
      </c>
      <c r="D52" s="139" t="s">
        <v>279</v>
      </c>
      <c r="E52" s="139" t="s">
        <v>290</v>
      </c>
      <c r="F52" s="162" t="s">
        <v>551</v>
      </c>
      <c r="G52" s="133" t="s">
        <v>552</v>
      </c>
      <c r="H52" s="151"/>
      <c r="I52" s="151"/>
      <c r="J52" s="128"/>
      <c r="K52" s="128"/>
      <c r="L52" s="143" t="s">
        <v>553</v>
      </c>
      <c r="M52" s="128"/>
      <c r="N52" s="128"/>
      <c r="O52" s="128"/>
      <c r="P52" s="128"/>
      <c r="Q52" s="128"/>
      <c r="R52" s="128" t="s">
        <v>148</v>
      </c>
      <c r="S52" s="128" t="s">
        <v>279</v>
      </c>
      <c r="T52" s="128" t="s">
        <v>290</v>
      </c>
      <c r="U52" s="129" t="s">
        <v>551</v>
      </c>
      <c r="V52" s="128" t="s">
        <v>554</v>
      </c>
      <c r="W52" s="128"/>
      <c r="X52" s="128"/>
      <c r="Y52" s="128"/>
      <c r="Z52" s="128"/>
      <c r="AA52" s="128"/>
    </row>
    <row r="53">
      <c r="A53" s="139" t="s">
        <v>546</v>
      </c>
      <c r="B53" s="142" t="s">
        <v>146</v>
      </c>
      <c r="C53" s="130" t="s">
        <v>150</v>
      </c>
      <c r="D53" s="139" t="s">
        <v>279</v>
      </c>
      <c r="E53" s="139" t="s">
        <v>290</v>
      </c>
      <c r="F53" s="162" t="s">
        <v>555</v>
      </c>
      <c r="G53" s="133" t="s">
        <v>556</v>
      </c>
      <c r="H53" s="151"/>
      <c r="I53" s="151"/>
      <c r="J53" s="128"/>
      <c r="K53" s="128"/>
      <c r="L53" s="143" t="s">
        <v>557</v>
      </c>
      <c r="M53" s="128"/>
      <c r="N53" s="128"/>
      <c r="O53" s="128"/>
      <c r="P53" s="128"/>
      <c r="Q53" s="128"/>
      <c r="R53" s="128" t="s">
        <v>150</v>
      </c>
      <c r="S53" s="128" t="s">
        <v>279</v>
      </c>
      <c r="T53" s="128" t="s">
        <v>290</v>
      </c>
      <c r="U53" s="129" t="s">
        <v>555</v>
      </c>
      <c r="V53" s="128" t="s">
        <v>558</v>
      </c>
      <c r="W53" s="128"/>
      <c r="X53" s="128"/>
      <c r="Y53" s="128"/>
      <c r="Z53" s="128"/>
      <c r="AA53" s="128"/>
    </row>
    <row r="54">
      <c r="A54" s="139" t="s">
        <v>546</v>
      </c>
      <c r="B54" s="141" t="s">
        <v>151</v>
      </c>
      <c r="C54" s="139" t="s">
        <v>151</v>
      </c>
      <c r="D54" s="139" t="s">
        <v>301</v>
      </c>
      <c r="E54" s="139" t="s">
        <v>290</v>
      </c>
      <c r="F54" s="169" t="s">
        <v>559</v>
      </c>
      <c r="G54" s="133" t="s">
        <v>560</v>
      </c>
      <c r="H54" s="151"/>
      <c r="I54" s="151"/>
      <c r="J54" s="128"/>
      <c r="K54" s="128"/>
      <c r="L54" s="143" t="s">
        <v>561</v>
      </c>
      <c r="M54" s="128"/>
      <c r="N54" s="128"/>
      <c r="O54" s="128"/>
      <c r="P54" s="128"/>
      <c r="Q54" s="128"/>
      <c r="R54" s="128" t="s">
        <v>151</v>
      </c>
      <c r="S54" s="128" t="s">
        <v>301</v>
      </c>
      <c r="T54" s="128" t="s">
        <v>290</v>
      </c>
      <c r="U54" s="129" t="s">
        <v>562</v>
      </c>
      <c r="V54" s="128" t="s">
        <v>563</v>
      </c>
      <c r="W54" s="128"/>
      <c r="X54" s="128"/>
      <c r="Y54" s="128"/>
      <c r="Z54" s="128"/>
      <c r="AA54" s="128"/>
    </row>
    <row r="55">
      <c r="A55" s="139" t="s">
        <v>299</v>
      </c>
      <c r="B55" s="141" t="s">
        <v>528</v>
      </c>
      <c r="C55" s="130" t="s">
        <v>564</v>
      </c>
      <c r="D55" s="139" t="s">
        <v>279</v>
      </c>
      <c r="E55" s="146" t="s">
        <v>343</v>
      </c>
      <c r="F55" s="162" t="s">
        <v>565</v>
      </c>
      <c r="G55" s="160"/>
      <c r="H55" s="151"/>
      <c r="I55" s="151"/>
      <c r="J55" s="128"/>
      <c r="K55" s="128"/>
      <c r="L55" s="143" t="s">
        <v>566</v>
      </c>
      <c r="M55" s="128"/>
      <c r="N55" s="128"/>
      <c r="O55" s="128"/>
      <c r="P55" s="128"/>
      <c r="Q55" s="128"/>
      <c r="R55" s="128" t="s">
        <v>564</v>
      </c>
      <c r="S55" s="128" t="s">
        <v>279</v>
      </c>
      <c r="T55" s="128" t="s">
        <v>343</v>
      </c>
      <c r="U55" s="129" t="s">
        <v>565</v>
      </c>
      <c r="W55" s="128"/>
      <c r="X55" s="128"/>
      <c r="Y55" s="128"/>
      <c r="Z55" s="128"/>
      <c r="AA55" s="128"/>
    </row>
    <row r="56">
      <c r="A56" s="130" t="s">
        <v>567</v>
      </c>
      <c r="B56" s="131" t="s">
        <v>568</v>
      </c>
      <c r="C56" s="139" t="s">
        <v>154</v>
      </c>
      <c r="D56" s="139" t="s">
        <v>279</v>
      </c>
      <c r="E56" s="146" t="s">
        <v>438</v>
      </c>
      <c r="F56" s="162" t="s">
        <v>569</v>
      </c>
      <c r="G56" s="148" t="s">
        <v>570</v>
      </c>
      <c r="H56" s="164"/>
      <c r="I56" s="151"/>
      <c r="J56" s="128"/>
      <c r="K56" s="128"/>
      <c r="L56" s="143" t="s">
        <v>571</v>
      </c>
      <c r="M56" s="128"/>
      <c r="N56" s="128"/>
      <c r="O56" s="128"/>
      <c r="P56" s="128"/>
      <c r="Q56" s="128"/>
      <c r="R56" s="128" t="s">
        <v>154</v>
      </c>
      <c r="S56" s="128" t="s">
        <v>279</v>
      </c>
      <c r="T56" s="128" t="s">
        <v>438</v>
      </c>
      <c r="U56" s="129" t="s">
        <v>569</v>
      </c>
      <c r="V56" s="127" t="s">
        <v>572</v>
      </c>
      <c r="W56" s="128"/>
      <c r="X56" s="128"/>
      <c r="Y56" s="128"/>
      <c r="Z56" s="128"/>
      <c r="AA56" s="128"/>
    </row>
    <row r="57">
      <c r="A57" s="139" t="s">
        <v>299</v>
      </c>
      <c r="B57" s="141"/>
      <c r="C57" s="151" t="s">
        <v>573</v>
      </c>
      <c r="D57" s="139" t="s">
        <v>412</v>
      </c>
      <c r="E57" s="151"/>
      <c r="F57" s="164"/>
      <c r="G57" s="133"/>
      <c r="H57" s="151"/>
      <c r="I57" s="151"/>
      <c r="J57" s="128"/>
      <c r="K57" s="128"/>
      <c r="L57" s="143" t="s">
        <v>574</v>
      </c>
      <c r="M57" s="128"/>
      <c r="N57" s="128"/>
      <c r="O57" s="128"/>
      <c r="P57" s="128"/>
      <c r="Q57" s="128"/>
      <c r="R57" s="128" t="s">
        <v>573</v>
      </c>
      <c r="S57" s="128" t="s">
        <v>412</v>
      </c>
      <c r="T57" s="128"/>
      <c r="U57" s="129"/>
      <c r="V57" s="128"/>
      <c r="W57" s="128"/>
      <c r="X57" s="128"/>
      <c r="Y57" s="128"/>
      <c r="Z57" s="128"/>
      <c r="AA57" s="128"/>
    </row>
    <row r="58">
      <c r="A58" s="139" t="s">
        <v>299</v>
      </c>
      <c r="B58" s="141"/>
      <c r="C58" s="130" t="s">
        <v>575</v>
      </c>
      <c r="D58" s="139" t="s">
        <v>412</v>
      </c>
      <c r="E58" s="130"/>
      <c r="F58" s="164"/>
      <c r="G58" s="133"/>
      <c r="H58" s="151"/>
      <c r="I58" s="151"/>
      <c r="J58" s="128"/>
      <c r="K58" s="128"/>
      <c r="L58" s="143" t="s">
        <v>576</v>
      </c>
      <c r="M58" s="128"/>
      <c r="N58" s="128"/>
      <c r="O58" s="128"/>
      <c r="P58" s="128"/>
      <c r="Q58" s="128"/>
      <c r="R58" s="128" t="s">
        <v>575</v>
      </c>
      <c r="S58" s="128" t="s">
        <v>412</v>
      </c>
      <c r="T58" s="128"/>
      <c r="U58" s="129"/>
      <c r="V58" s="128"/>
      <c r="W58" s="128"/>
      <c r="X58" s="128"/>
      <c r="Y58" s="128"/>
      <c r="Z58" s="128"/>
      <c r="AA58" s="128"/>
    </row>
    <row r="59">
      <c r="A59" s="139" t="s">
        <v>577</v>
      </c>
      <c r="B59" s="141" t="s">
        <v>578</v>
      </c>
      <c r="C59" s="139" t="s">
        <v>579</v>
      </c>
      <c r="D59" s="139" t="s">
        <v>412</v>
      </c>
      <c r="E59" s="151"/>
      <c r="F59" s="156" t="s">
        <v>580</v>
      </c>
      <c r="G59" s="148" t="s">
        <v>581</v>
      </c>
      <c r="H59" s="151"/>
      <c r="I59" s="151"/>
      <c r="J59" s="128"/>
      <c r="K59" s="128"/>
      <c r="L59" s="170" t="s">
        <v>582</v>
      </c>
      <c r="M59" s="128"/>
      <c r="N59" s="128"/>
      <c r="O59" s="128"/>
      <c r="P59" s="128"/>
      <c r="Q59" s="128"/>
      <c r="R59" s="127" t="s">
        <v>579</v>
      </c>
      <c r="S59" s="128" t="s">
        <v>412</v>
      </c>
      <c r="T59" s="128"/>
      <c r="U59" s="129" t="s">
        <v>580</v>
      </c>
      <c r="V59" s="127" t="s">
        <v>583</v>
      </c>
      <c r="W59" s="128"/>
      <c r="X59" s="128"/>
      <c r="Y59" s="128"/>
      <c r="Z59" s="128"/>
      <c r="AA59" s="128"/>
    </row>
    <row r="60">
      <c r="A60" s="139" t="s">
        <v>546</v>
      </c>
      <c r="B60" s="131" t="s">
        <v>155</v>
      </c>
      <c r="C60" s="151" t="s">
        <v>155</v>
      </c>
      <c r="D60" s="153" t="s">
        <v>279</v>
      </c>
      <c r="E60" s="139" t="s">
        <v>290</v>
      </c>
      <c r="F60" s="162" t="s">
        <v>584</v>
      </c>
      <c r="G60" s="133" t="s">
        <v>585</v>
      </c>
      <c r="H60" s="164"/>
      <c r="I60" s="151"/>
      <c r="J60" s="128"/>
      <c r="K60" s="128"/>
      <c r="L60" s="170" t="s">
        <v>586</v>
      </c>
      <c r="M60" s="128"/>
      <c r="N60" s="128"/>
      <c r="O60" s="128"/>
      <c r="P60" s="128"/>
      <c r="Q60" s="128"/>
      <c r="R60" s="128" t="s">
        <v>155</v>
      </c>
      <c r="S60" s="128" t="s">
        <v>279</v>
      </c>
      <c r="T60" s="128" t="s">
        <v>290</v>
      </c>
      <c r="U60" s="129" t="s">
        <v>584</v>
      </c>
      <c r="V60" s="127" t="s">
        <v>587</v>
      </c>
      <c r="W60" s="128"/>
      <c r="X60" s="128"/>
      <c r="Y60" s="128"/>
      <c r="Z60" s="128"/>
      <c r="AA60" s="128"/>
    </row>
    <row r="61">
      <c r="A61" s="139" t="s">
        <v>546</v>
      </c>
      <c r="B61" s="131" t="s">
        <v>155</v>
      </c>
      <c r="C61" s="151" t="s">
        <v>157</v>
      </c>
      <c r="D61" s="153" t="s">
        <v>279</v>
      </c>
      <c r="E61" s="139" t="s">
        <v>290</v>
      </c>
      <c r="F61" s="162" t="s">
        <v>584</v>
      </c>
      <c r="G61" s="133"/>
      <c r="H61" s="151"/>
      <c r="I61" s="151"/>
      <c r="J61" s="128"/>
      <c r="K61" s="128"/>
      <c r="L61" s="170" t="s">
        <v>588</v>
      </c>
      <c r="M61" s="128"/>
      <c r="N61" s="128"/>
      <c r="O61" s="128"/>
      <c r="P61" s="128"/>
      <c r="Q61" s="128"/>
      <c r="R61" s="128" t="s">
        <v>157</v>
      </c>
      <c r="S61" s="128" t="s">
        <v>279</v>
      </c>
      <c r="T61" s="128" t="s">
        <v>290</v>
      </c>
      <c r="U61" s="129" t="s">
        <v>584</v>
      </c>
      <c r="V61" s="128"/>
      <c r="W61" s="128"/>
      <c r="X61" s="128"/>
      <c r="Y61" s="128"/>
      <c r="Z61" s="128"/>
      <c r="AA61" s="128"/>
    </row>
    <row r="62">
      <c r="A62" s="139" t="s">
        <v>546</v>
      </c>
      <c r="B62" s="131" t="s">
        <v>158</v>
      </c>
      <c r="C62" s="130" t="s">
        <v>158</v>
      </c>
      <c r="D62" s="139" t="s">
        <v>279</v>
      </c>
      <c r="E62" s="139" t="s">
        <v>290</v>
      </c>
      <c r="F62" s="162" t="s">
        <v>589</v>
      </c>
      <c r="G62" s="133"/>
      <c r="H62" s="164"/>
      <c r="I62" s="151"/>
      <c r="J62" s="128"/>
      <c r="K62" s="128"/>
      <c r="L62" s="170" t="s">
        <v>590</v>
      </c>
      <c r="M62" s="128"/>
      <c r="N62" s="128"/>
      <c r="O62" s="128"/>
      <c r="P62" s="128"/>
      <c r="Q62" s="128"/>
      <c r="R62" s="128" t="s">
        <v>158</v>
      </c>
      <c r="S62" s="128" t="s">
        <v>279</v>
      </c>
      <c r="T62" s="128" t="s">
        <v>290</v>
      </c>
      <c r="U62" s="129" t="s">
        <v>589</v>
      </c>
      <c r="V62" s="128"/>
      <c r="W62" s="128"/>
      <c r="X62" s="128"/>
      <c r="Y62" s="128"/>
      <c r="Z62" s="128"/>
      <c r="AA62" s="128"/>
    </row>
    <row r="63">
      <c r="A63" s="139" t="s">
        <v>546</v>
      </c>
      <c r="B63" s="131" t="s">
        <v>155</v>
      </c>
      <c r="C63" s="151" t="s">
        <v>591</v>
      </c>
      <c r="D63" s="153" t="s">
        <v>279</v>
      </c>
      <c r="E63" s="139" t="s">
        <v>290</v>
      </c>
      <c r="F63" s="162" t="s">
        <v>584</v>
      </c>
      <c r="G63" s="133"/>
      <c r="H63" s="164"/>
      <c r="I63" s="151"/>
      <c r="J63" s="128"/>
      <c r="K63" s="128"/>
      <c r="L63" s="170" t="s">
        <v>592</v>
      </c>
      <c r="M63" s="128"/>
      <c r="N63" s="128"/>
      <c r="O63" s="128"/>
      <c r="P63" s="128"/>
      <c r="Q63" s="128"/>
      <c r="R63" s="128" t="s">
        <v>591</v>
      </c>
      <c r="S63" s="128" t="s">
        <v>279</v>
      </c>
      <c r="T63" s="128" t="s">
        <v>290</v>
      </c>
      <c r="U63" s="129" t="s">
        <v>584</v>
      </c>
      <c r="V63" s="128"/>
      <c r="W63" s="128"/>
      <c r="X63" s="128"/>
      <c r="Y63" s="128"/>
      <c r="Z63" s="128"/>
      <c r="AA63" s="128"/>
    </row>
    <row r="64">
      <c r="A64" s="139" t="s">
        <v>546</v>
      </c>
      <c r="B64" s="131" t="s">
        <v>155</v>
      </c>
      <c r="C64" s="130" t="s">
        <v>159</v>
      </c>
      <c r="D64" s="139" t="s">
        <v>279</v>
      </c>
      <c r="E64" s="139" t="s">
        <v>290</v>
      </c>
      <c r="F64" s="162" t="s">
        <v>584</v>
      </c>
      <c r="G64" s="133" t="s">
        <v>593</v>
      </c>
      <c r="H64" s="164"/>
      <c r="I64" s="151"/>
      <c r="J64" s="128"/>
      <c r="K64" s="128"/>
      <c r="L64" s="170" t="s">
        <v>594</v>
      </c>
      <c r="M64" s="128"/>
      <c r="N64" s="128"/>
      <c r="O64" s="128"/>
      <c r="P64" s="128"/>
      <c r="Q64" s="128"/>
      <c r="R64" s="128" t="s">
        <v>159</v>
      </c>
      <c r="S64" s="128" t="s">
        <v>279</v>
      </c>
      <c r="T64" s="128" t="s">
        <v>290</v>
      </c>
      <c r="U64" s="129" t="s">
        <v>584</v>
      </c>
      <c r="V64" s="128" t="s">
        <v>595</v>
      </c>
      <c r="W64" s="128"/>
      <c r="X64" s="128"/>
      <c r="Y64" s="128"/>
      <c r="Z64" s="128"/>
      <c r="AA64" s="128"/>
    </row>
    <row r="65">
      <c r="A65" s="139" t="s">
        <v>546</v>
      </c>
      <c r="B65" s="131" t="s">
        <v>155</v>
      </c>
      <c r="C65" s="130" t="s">
        <v>161</v>
      </c>
      <c r="D65" s="139" t="s">
        <v>279</v>
      </c>
      <c r="E65" s="139" t="s">
        <v>290</v>
      </c>
      <c r="F65" s="162" t="s">
        <v>596</v>
      </c>
      <c r="G65" s="133" t="s">
        <v>597</v>
      </c>
      <c r="H65" s="164"/>
      <c r="I65" s="151"/>
      <c r="J65" s="128"/>
      <c r="K65" s="128"/>
      <c r="L65" s="143" t="s">
        <v>598</v>
      </c>
      <c r="M65" s="128"/>
      <c r="N65" s="128"/>
      <c r="O65" s="128"/>
      <c r="P65" s="128"/>
      <c r="Q65" s="128"/>
      <c r="R65" s="128" t="s">
        <v>161</v>
      </c>
      <c r="S65" s="128" t="s">
        <v>279</v>
      </c>
      <c r="T65" s="128" t="s">
        <v>290</v>
      </c>
      <c r="U65" s="129" t="s">
        <v>596</v>
      </c>
      <c r="V65" s="128" t="s">
        <v>599</v>
      </c>
      <c r="W65" s="128"/>
      <c r="X65" s="128"/>
      <c r="Y65" s="128"/>
      <c r="Z65" s="128"/>
      <c r="AA65" s="128"/>
    </row>
    <row r="66">
      <c r="A66" s="139" t="s">
        <v>299</v>
      </c>
      <c r="B66" s="141"/>
      <c r="C66" s="130" t="s">
        <v>600</v>
      </c>
      <c r="D66" s="139" t="s">
        <v>279</v>
      </c>
      <c r="E66" s="130"/>
      <c r="F66" s="162" t="s">
        <v>601</v>
      </c>
      <c r="G66" s="133"/>
      <c r="H66" s="164"/>
      <c r="I66" s="151"/>
      <c r="J66" s="128"/>
      <c r="K66" s="128"/>
      <c r="L66" s="170" t="s">
        <v>602</v>
      </c>
      <c r="M66" s="128"/>
      <c r="N66" s="128"/>
      <c r="O66" s="128"/>
      <c r="P66" s="128"/>
      <c r="Q66" s="128"/>
      <c r="R66" s="128" t="s">
        <v>600</v>
      </c>
      <c r="S66" s="128" t="s">
        <v>279</v>
      </c>
      <c r="T66" s="128"/>
      <c r="U66" s="129" t="s">
        <v>601</v>
      </c>
      <c r="V66" s="128"/>
      <c r="W66" s="128"/>
      <c r="X66" s="128"/>
      <c r="Y66" s="128"/>
      <c r="Z66" s="128"/>
      <c r="AA66" s="128"/>
    </row>
    <row r="67">
      <c r="A67" s="139" t="s">
        <v>299</v>
      </c>
      <c r="B67" s="141"/>
      <c r="C67" s="130" t="s">
        <v>603</v>
      </c>
      <c r="D67" s="139" t="s">
        <v>279</v>
      </c>
      <c r="E67" s="130"/>
      <c r="F67" s="162" t="s">
        <v>604</v>
      </c>
      <c r="G67" s="133"/>
      <c r="H67" s="164"/>
      <c r="I67" s="151"/>
      <c r="J67" s="128"/>
      <c r="K67" s="128"/>
      <c r="L67" s="170" t="s">
        <v>605</v>
      </c>
      <c r="M67" s="128"/>
      <c r="N67" s="128"/>
      <c r="O67" s="128"/>
      <c r="P67" s="128"/>
      <c r="Q67" s="128"/>
      <c r="R67" s="128" t="s">
        <v>603</v>
      </c>
      <c r="S67" s="128" t="s">
        <v>279</v>
      </c>
      <c r="T67" s="128"/>
      <c r="U67" s="129" t="s">
        <v>604</v>
      </c>
      <c r="V67" s="128"/>
      <c r="W67" s="128"/>
      <c r="X67" s="128"/>
      <c r="Y67" s="128"/>
      <c r="Z67" s="128"/>
      <c r="AA67" s="128"/>
    </row>
    <row r="68">
      <c r="A68" s="139" t="s">
        <v>299</v>
      </c>
      <c r="B68" s="141"/>
      <c r="C68" s="130" t="s">
        <v>606</v>
      </c>
      <c r="D68" s="139" t="s">
        <v>279</v>
      </c>
      <c r="E68" s="130"/>
      <c r="F68" s="162" t="s">
        <v>607</v>
      </c>
      <c r="G68" s="133"/>
      <c r="H68" s="164"/>
      <c r="I68" s="151"/>
      <c r="J68" s="128"/>
      <c r="K68" s="128"/>
      <c r="L68" s="170" t="s">
        <v>608</v>
      </c>
      <c r="M68" s="128"/>
      <c r="N68" s="128"/>
      <c r="O68" s="128"/>
      <c r="P68" s="128"/>
      <c r="Q68" s="128"/>
      <c r="R68" s="128" t="s">
        <v>606</v>
      </c>
      <c r="S68" s="128" t="s">
        <v>279</v>
      </c>
      <c r="T68" s="128"/>
      <c r="U68" s="129" t="s">
        <v>607</v>
      </c>
      <c r="V68" s="128"/>
      <c r="W68" s="128"/>
      <c r="X68" s="128"/>
      <c r="Y68" s="128"/>
      <c r="Z68" s="128"/>
      <c r="AA68" s="128"/>
    </row>
    <row r="69">
      <c r="A69" s="139" t="s">
        <v>299</v>
      </c>
      <c r="B69" s="141"/>
      <c r="C69" s="151" t="s">
        <v>609</v>
      </c>
      <c r="D69" s="139" t="s">
        <v>279</v>
      </c>
      <c r="E69" s="151"/>
      <c r="F69" s="162" t="s">
        <v>610</v>
      </c>
      <c r="G69" s="133"/>
      <c r="H69" s="164"/>
      <c r="I69" s="151"/>
      <c r="J69" s="128"/>
      <c r="K69" s="128"/>
      <c r="L69" s="170" t="s">
        <v>611</v>
      </c>
      <c r="M69" s="128"/>
      <c r="N69" s="128"/>
      <c r="O69" s="128"/>
      <c r="P69" s="128"/>
      <c r="Q69" s="128"/>
      <c r="R69" s="128" t="s">
        <v>609</v>
      </c>
      <c r="S69" s="128" t="s">
        <v>279</v>
      </c>
      <c r="T69" s="128"/>
      <c r="U69" s="129" t="s">
        <v>610</v>
      </c>
      <c r="V69" s="128"/>
      <c r="W69" s="128"/>
      <c r="X69" s="128"/>
      <c r="Y69" s="128"/>
      <c r="Z69" s="128"/>
      <c r="AA69" s="128"/>
    </row>
    <row r="70">
      <c r="A70" s="151" t="s">
        <v>163</v>
      </c>
      <c r="B70" s="141"/>
      <c r="C70" s="151" t="s">
        <v>163</v>
      </c>
      <c r="D70" s="153" t="s">
        <v>279</v>
      </c>
      <c r="E70" s="146" t="s">
        <v>343</v>
      </c>
      <c r="F70" s="162" t="s">
        <v>612</v>
      </c>
      <c r="G70" s="133" t="s">
        <v>613</v>
      </c>
      <c r="H70" s="164"/>
      <c r="I70" s="151"/>
      <c r="J70" s="128"/>
      <c r="K70" s="128"/>
      <c r="L70" s="171" t="s">
        <v>614</v>
      </c>
      <c r="M70" s="128"/>
      <c r="N70" s="128"/>
      <c r="O70" s="128"/>
      <c r="P70" s="128"/>
      <c r="Q70" s="128"/>
      <c r="R70" s="128" t="s">
        <v>163</v>
      </c>
      <c r="S70" s="128" t="s">
        <v>279</v>
      </c>
      <c r="T70" s="128" t="s">
        <v>343</v>
      </c>
      <c r="U70" s="129" t="s">
        <v>612</v>
      </c>
      <c r="V70" s="128" t="s">
        <v>615</v>
      </c>
      <c r="W70" s="128"/>
      <c r="X70" s="128"/>
      <c r="Y70" s="128"/>
      <c r="Z70" s="128"/>
      <c r="AA70" s="128"/>
    </row>
    <row r="71">
      <c r="A71" s="151" t="s">
        <v>164</v>
      </c>
      <c r="B71" s="141"/>
      <c r="C71" s="151" t="s">
        <v>164</v>
      </c>
      <c r="D71" s="151" t="s">
        <v>289</v>
      </c>
      <c r="E71" s="146" t="s">
        <v>616</v>
      </c>
      <c r="F71" s="162" t="s">
        <v>617</v>
      </c>
      <c r="G71" s="133" t="s">
        <v>618</v>
      </c>
      <c r="H71" s="164"/>
      <c r="I71" s="151"/>
      <c r="J71" s="128"/>
      <c r="K71" s="128"/>
      <c r="L71" s="170" t="s">
        <v>619</v>
      </c>
      <c r="M71" s="128"/>
      <c r="N71" s="128"/>
      <c r="O71" s="128"/>
      <c r="P71" s="128"/>
      <c r="Q71" s="128"/>
      <c r="R71" s="128" t="s">
        <v>164</v>
      </c>
      <c r="S71" s="128" t="s">
        <v>289</v>
      </c>
      <c r="T71" s="128" t="s">
        <v>616</v>
      </c>
      <c r="U71" s="129" t="s">
        <v>617</v>
      </c>
      <c r="V71" s="128" t="s">
        <v>620</v>
      </c>
      <c r="W71" s="128"/>
      <c r="X71" s="128"/>
      <c r="Y71" s="128"/>
      <c r="Z71" s="128"/>
      <c r="AA71" s="128"/>
    </row>
    <row r="72">
      <c r="A72" s="139" t="s">
        <v>299</v>
      </c>
      <c r="B72" s="141"/>
      <c r="C72" s="130" t="s">
        <v>621</v>
      </c>
      <c r="D72" s="139" t="s">
        <v>279</v>
      </c>
      <c r="E72" s="146" t="s">
        <v>616</v>
      </c>
      <c r="F72" s="162" t="s">
        <v>622</v>
      </c>
      <c r="G72" s="133" t="s">
        <v>623</v>
      </c>
      <c r="H72" s="164"/>
      <c r="I72" s="151"/>
      <c r="J72" s="128"/>
      <c r="K72" s="128"/>
      <c r="L72" s="170" t="s">
        <v>624</v>
      </c>
      <c r="M72" s="128"/>
      <c r="N72" s="128"/>
      <c r="O72" s="128"/>
      <c r="P72" s="128"/>
      <c r="Q72" s="128"/>
      <c r="R72" s="128" t="s">
        <v>621</v>
      </c>
      <c r="S72" s="128" t="s">
        <v>279</v>
      </c>
      <c r="T72" s="128" t="s">
        <v>616</v>
      </c>
      <c r="U72" s="129" t="s">
        <v>622</v>
      </c>
      <c r="V72" s="128" t="s">
        <v>625</v>
      </c>
      <c r="W72" s="128"/>
      <c r="X72" s="128"/>
      <c r="Y72" s="128"/>
      <c r="Z72" s="128"/>
      <c r="AA72" s="128"/>
    </row>
    <row r="73">
      <c r="A73" s="139" t="s">
        <v>299</v>
      </c>
      <c r="B73" s="141"/>
      <c r="C73" s="130" t="s">
        <v>169</v>
      </c>
      <c r="D73" s="139" t="s">
        <v>279</v>
      </c>
      <c r="E73" s="146" t="s">
        <v>616</v>
      </c>
      <c r="F73" s="162" t="s">
        <v>626</v>
      </c>
      <c r="G73" s="133"/>
      <c r="H73" s="151"/>
      <c r="I73" s="151"/>
      <c r="J73" s="128"/>
      <c r="K73" s="128"/>
      <c r="L73" s="170" t="s">
        <v>627</v>
      </c>
      <c r="M73" s="128"/>
      <c r="N73" s="128"/>
      <c r="O73" s="128"/>
      <c r="P73" s="128"/>
      <c r="Q73" s="128"/>
      <c r="R73" s="128" t="s">
        <v>169</v>
      </c>
      <c r="S73" s="128" t="s">
        <v>279</v>
      </c>
      <c r="T73" s="128" t="s">
        <v>616</v>
      </c>
      <c r="U73" s="129" t="s">
        <v>626</v>
      </c>
      <c r="V73" s="128"/>
      <c r="W73" s="128"/>
      <c r="X73" s="128"/>
      <c r="Y73" s="128"/>
      <c r="Z73" s="128"/>
      <c r="AA73" s="128"/>
    </row>
    <row r="74">
      <c r="A74" s="139" t="s">
        <v>299</v>
      </c>
      <c r="B74" s="141"/>
      <c r="C74" s="130" t="s">
        <v>628</v>
      </c>
      <c r="D74" s="139" t="s">
        <v>279</v>
      </c>
      <c r="E74" s="146" t="s">
        <v>616</v>
      </c>
      <c r="F74" s="162" t="s">
        <v>629</v>
      </c>
      <c r="G74" s="133" t="s">
        <v>630</v>
      </c>
      <c r="H74" s="164"/>
      <c r="I74" s="151"/>
      <c r="J74" s="128"/>
      <c r="K74" s="128"/>
      <c r="L74" s="170" t="s">
        <v>631</v>
      </c>
      <c r="M74" s="128"/>
      <c r="N74" s="128"/>
      <c r="O74" s="128"/>
      <c r="P74" s="128"/>
      <c r="Q74" s="128"/>
      <c r="R74" s="128" t="s">
        <v>628</v>
      </c>
      <c r="S74" s="128" t="s">
        <v>279</v>
      </c>
      <c r="T74" s="128" t="s">
        <v>616</v>
      </c>
      <c r="U74" s="129" t="s">
        <v>629</v>
      </c>
      <c r="V74" s="128" t="s">
        <v>632</v>
      </c>
      <c r="W74" s="128"/>
      <c r="X74" s="128"/>
      <c r="Y74" s="128"/>
      <c r="Z74" s="128"/>
      <c r="AA74" s="128"/>
    </row>
    <row r="75">
      <c r="A75" s="139" t="s">
        <v>299</v>
      </c>
      <c r="B75" s="141"/>
      <c r="C75" s="151" t="s">
        <v>171</v>
      </c>
      <c r="D75" s="153" t="s">
        <v>279</v>
      </c>
      <c r="E75" s="146" t="s">
        <v>616</v>
      </c>
      <c r="F75" s="162" t="s">
        <v>633</v>
      </c>
      <c r="G75" s="133"/>
      <c r="H75" s="164"/>
      <c r="I75" s="151"/>
      <c r="J75" s="128"/>
      <c r="K75" s="128"/>
      <c r="L75" s="170" t="s">
        <v>634</v>
      </c>
      <c r="M75" s="128"/>
      <c r="N75" s="128"/>
      <c r="O75" s="128"/>
      <c r="P75" s="128"/>
      <c r="Q75" s="128"/>
      <c r="R75" s="128" t="s">
        <v>171</v>
      </c>
      <c r="S75" s="128" t="s">
        <v>279</v>
      </c>
      <c r="T75" s="128" t="s">
        <v>616</v>
      </c>
      <c r="U75" s="129" t="s">
        <v>633</v>
      </c>
      <c r="V75" s="128"/>
      <c r="W75" s="128"/>
      <c r="X75" s="128"/>
      <c r="Y75" s="128"/>
      <c r="Z75" s="128"/>
      <c r="AA75" s="128"/>
    </row>
    <row r="76">
      <c r="A76" s="139" t="s">
        <v>299</v>
      </c>
      <c r="B76" s="141"/>
      <c r="C76" s="130" t="s">
        <v>635</v>
      </c>
      <c r="D76" s="139" t="s">
        <v>279</v>
      </c>
      <c r="E76" s="146" t="s">
        <v>616</v>
      </c>
      <c r="F76" s="162" t="s">
        <v>633</v>
      </c>
      <c r="G76" s="133" t="s">
        <v>636</v>
      </c>
      <c r="H76" s="164"/>
      <c r="I76" s="151"/>
      <c r="J76" s="128"/>
      <c r="K76" s="128"/>
      <c r="L76" s="170" t="s">
        <v>637</v>
      </c>
      <c r="M76" s="128"/>
      <c r="N76" s="128"/>
      <c r="O76" s="128"/>
      <c r="P76" s="128"/>
      <c r="Q76" s="128"/>
      <c r="R76" s="128" t="s">
        <v>635</v>
      </c>
      <c r="S76" s="128" t="s">
        <v>279</v>
      </c>
      <c r="T76" s="128" t="s">
        <v>616</v>
      </c>
      <c r="U76" s="129" t="s">
        <v>633</v>
      </c>
      <c r="V76" s="128" t="s">
        <v>638</v>
      </c>
      <c r="W76" s="128"/>
      <c r="X76" s="128"/>
      <c r="Y76" s="128"/>
      <c r="Z76" s="128"/>
      <c r="AA76" s="128"/>
    </row>
    <row r="77">
      <c r="A77" s="139" t="s">
        <v>299</v>
      </c>
      <c r="B77" s="141"/>
      <c r="C77" s="130" t="s">
        <v>639</v>
      </c>
      <c r="D77" s="139" t="s">
        <v>279</v>
      </c>
      <c r="E77" s="146" t="s">
        <v>616</v>
      </c>
      <c r="F77" s="150" t="s">
        <v>633</v>
      </c>
      <c r="G77" s="133" t="s">
        <v>640</v>
      </c>
      <c r="H77" s="151"/>
      <c r="I77" s="151"/>
      <c r="J77" s="128"/>
      <c r="K77" s="128"/>
      <c r="L77" s="170" t="s">
        <v>641</v>
      </c>
      <c r="M77" s="128"/>
      <c r="N77" s="128"/>
      <c r="O77" s="128"/>
      <c r="P77" s="128"/>
      <c r="Q77" s="128"/>
      <c r="R77" s="128" t="s">
        <v>639</v>
      </c>
      <c r="S77" s="128" t="s">
        <v>279</v>
      </c>
      <c r="T77" s="128" t="s">
        <v>616</v>
      </c>
      <c r="U77" s="129" t="s">
        <v>633</v>
      </c>
      <c r="V77" s="128" t="s">
        <v>642</v>
      </c>
      <c r="W77" s="128"/>
      <c r="X77" s="128"/>
      <c r="Y77" s="128"/>
      <c r="Z77" s="128"/>
      <c r="AA77" s="128"/>
    </row>
    <row r="78">
      <c r="A78" s="139" t="s">
        <v>299</v>
      </c>
      <c r="B78" s="141"/>
      <c r="C78" s="130" t="s">
        <v>643</v>
      </c>
      <c r="D78" s="139" t="s">
        <v>279</v>
      </c>
      <c r="E78" s="130"/>
      <c r="F78" s="150" t="s">
        <v>644</v>
      </c>
      <c r="G78" s="133"/>
      <c r="H78" s="151"/>
      <c r="I78" s="151"/>
      <c r="J78" s="128"/>
      <c r="K78" s="128"/>
      <c r="L78" s="170" t="s">
        <v>645</v>
      </c>
      <c r="M78" s="128"/>
      <c r="N78" s="128"/>
      <c r="O78" s="128"/>
      <c r="P78" s="128"/>
      <c r="Q78" s="128"/>
      <c r="R78" s="128" t="s">
        <v>643</v>
      </c>
      <c r="S78" s="128" t="s">
        <v>279</v>
      </c>
      <c r="T78" s="128"/>
      <c r="U78" s="129" t="s">
        <v>644</v>
      </c>
      <c r="V78" s="128"/>
      <c r="W78" s="128"/>
      <c r="X78" s="128"/>
      <c r="Y78" s="128"/>
      <c r="Z78" s="128"/>
      <c r="AA78" s="128"/>
    </row>
    <row r="79">
      <c r="A79" s="151" t="s">
        <v>175</v>
      </c>
      <c r="B79" s="142" t="s">
        <v>175</v>
      </c>
      <c r="C79" s="130" t="s">
        <v>175</v>
      </c>
      <c r="D79" s="139" t="s">
        <v>279</v>
      </c>
      <c r="E79" s="139" t="s">
        <v>290</v>
      </c>
      <c r="F79" s="172" t="s">
        <v>646</v>
      </c>
      <c r="G79" s="133" t="s">
        <v>647</v>
      </c>
      <c r="H79" s="151"/>
      <c r="I79" s="151"/>
      <c r="J79" s="128"/>
      <c r="K79" s="128"/>
      <c r="L79" s="170" t="s">
        <v>648</v>
      </c>
      <c r="M79" s="128"/>
      <c r="N79" s="128"/>
      <c r="O79" s="128"/>
      <c r="P79" s="128"/>
      <c r="Q79" s="128"/>
      <c r="R79" s="128" t="s">
        <v>175</v>
      </c>
      <c r="S79" s="128" t="s">
        <v>279</v>
      </c>
      <c r="T79" s="128" t="s">
        <v>290</v>
      </c>
      <c r="U79" s="129" t="s">
        <v>646</v>
      </c>
      <c r="V79" s="128" t="s">
        <v>649</v>
      </c>
      <c r="W79" s="128"/>
      <c r="X79" s="128"/>
      <c r="Y79" s="128"/>
      <c r="Z79" s="128"/>
      <c r="AA79" s="128"/>
    </row>
    <row r="80">
      <c r="A80" s="139" t="s">
        <v>299</v>
      </c>
      <c r="B80" s="141"/>
      <c r="C80" s="151" t="s">
        <v>650</v>
      </c>
      <c r="D80" s="153" t="s">
        <v>279</v>
      </c>
      <c r="E80" s="151"/>
      <c r="F80" s="162" t="s">
        <v>651</v>
      </c>
      <c r="G80" s="133" t="s">
        <v>652</v>
      </c>
      <c r="H80" s="164"/>
      <c r="I80" s="151"/>
      <c r="J80" s="128"/>
      <c r="K80" s="128"/>
      <c r="L80" s="173" t="s">
        <v>653</v>
      </c>
      <c r="M80" s="128"/>
      <c r="N80" s="128"/>
      <c r="O80" s="128"/>
      <c r="P80" s="128"/>
      <c r="Q80" s="128"/>
      <c r="R80" s="128" t="s">
        <v>650</v>
      </c>
      <c r="S80" s="128" t="s">
        <v>279</v>
      </c>
      <c r="T80" s="128"/>
      <c r="U80" s="129" t="s">
        <v>651</v>
      </c>
      <c r="V80" s="128" t="s">
        <v>654</v>
      </c>
      <c r="W80" s="128"/>
      <c r="X80" s="128"/>
      <c r="Y80" s="128"/>
      <c r="Z80" s="128"/>
      <c r="AA80" s="128"/>
    </row>
    <row r="81">
      <c r="A81" s="151"/>
      <c r="B81" s="141"/>
      <c r="C81" s="174" t="s">
        <v>655</v>
      </c>
      <c r="D81" s="175" t="s">
        <v>279</v>
      </c>
      <c r="E81" s="174"/>
      <c r="F81" s="164"/>
      <c r="G81" s="133" t="s">
        <v>656</v>
      </c>
      <c r="H81" s="164"/>
      <c r="I81" s="151"/>
      <c r="J81" s="128"/>
      <c r="K81" s="128"/>
      <c r="L81" s="170" t="s">
        <v>657</v>
      </c>
      <c r="M81" s="128"/>
      <c r="N81" s="128"/>
      <c r="O81" s="128"/>
      <c r="P81" s="128"/>
      <c r="Q81" s="128"/>
      <c r="R81" s="128" t="s">
        <v>655</v>
      </c>
      <c r="S81" s="128" t="s">
        <v>279</v>
      </c>
      <c r="T81" s="128"/>
      <c r="U81" s="129"/>
      <c r="V81" s="128" t="s">
        <v>658</v>
      </c>
      <c r="W81" s="128"/>
      <c r="X81" s="128"/>
      <c r="Y81" s="128"/>
      <c r="Z81" s="128"/>
      <c r="AA81" s="128"/>
    </row>
    <row r="82">
      <c r="A82" s="130" t="s">
        <v>659</v>
      </c>
      <c r="B82" s="131" t="s">
        <v>659</v>
      </c>
      <c r="C82" s="151" t="s">
        <v>177</v>
      </c>
      <c r="D82" s="153" t="s">
        <v>279</v>
      </c>
      <c r="E82" s="146" t="s">
        <v>290</v>
      </c>
      <c r="F82" s="162" t="s">
        <v>660</v>
      </c>
      <c r="G82" s="133" t="s">
        <v>661</v>
      </c>
      <c r="H82" s="164"/>
      <c r="I82" s="151"/>
      <c r="J82" s="128"/>
      <c r="K82" s="128"/>
      <c r="L82" s="170" t="s">
        <v>662</v>
      </c>
      <c r="M82" s="128"/>
      <c r="N82" s="128"/>
      <c r="O82" s="128"/>
      <c r="P82" s="128"/>
      <c r="Q82" s="128"/>
      <c r="R82" s="128" t="s">
        <v>177</v>
      </c>
      <c r="S82" s="128" t="s">
        <v>279</v>
      </c>
      <c r="T82" s="128" t="s">
        <v>290</v>
      </c>
      <c r="U82" s="129" t="s">
        <v>660</v>
      </c>
      <c r="V82" s="128" t="s">
        <v>663</v>
      </c>
      <c r="W82" s="128"/>
      <c r="X82" s="128"/>
      <c r="Y82" s="128"/>
      <c r="Z82" s="128"/>
      <c r="AA82" s="128"/>
    </row>
    <row r="83">
      <c r="A83" s="130" t="s">
        <v>659</v>
      </c>
      <c r="B83" s="131" t="s">
        <v>659</v>
      </c>
      <c r="C83" s="130" t="s">
        <v>179</v>
      </c>
      <c r="D83" s="139" t="s">
        <v>279</v>
      </c>
      <c r="E83" s="146" t="s">
        <v>290</v>
      </c>
      <c r="F83" s="162" t="s">
        <v>660</v>
      </c>
      <c r="G83" s="133"/>
      <c r="H83" s="164"/>
      <c r="I83" s="151"/>
      <c r="J83" s="128"/>
      <c r="K83" s="128"/>
      <c r="L83" s="170" t="s">
        <v>664</v>
      </c>
      <c r="M83" s="128"/>
      <c r="N83" s="128"/>
      <c r="O83" s="128"/>
      <c r="P83" s="128"/>
      <c r="Q83" s="128"/>
      <c r="R83" s="128" t="s">
        <v>179</v>
      </c>
      <c r="S83" s="128" t="s">
        <v>279</v>
      </c>
      <c r="T83" s="128" t="s">
        <v>290</v>
      </c>
      <c r="U83" s="129" t="s">
        <v>660</v>
      </c>
      <c r="V83" s="128"/>
      <c r="W83" s="128"/>
      <c r="X83" s="128"/>
      <c r="Y83" s="128"/>
      <c r="Z83" s="128"/>
      <c r="AA83" s="128"/>
    </row>
    <row r="84">
      <c r="A84" s="130" t="s">
        <v>659</v>
      </c>
      <c r="B84" s="131" t="s">
        <v>659</v>
      </c>
      <c r="C84" s="151" t="s">
        <v>180</v>
      </c>
      <c r="D84" s="153" t="s">
        <v>279</v>
      </c>
      <c r="E84" s="146" t="s">
        <v>290</v>
      </c>
      <c r="F84" s="162" t="s">
        <v>665</v>
      </c>
      <c r="G84" s="133" t="s">
        <v>666</v>
      </c>
      <c r="H84" s="164"/>
      <c r="I84" s="151"/>
      <c r="J84" s="128"/>
      <c r="K84" s="128"/>
      <c r="L84" s="171" t="s">
        <v>667</v>
      </c>
      <c r="M84" s="128"/>
      <c r="N84" s="128"/>
      <c r="O84" s="128"/>
      <c r="P84" s="128"/>
      <c r="Q84" s="128"/>
      <c r="R84" s="128" t="s">
        <v>180</v>
      </c>
      <c r="S84" s="128" t="s">
        <v>279</v>
      </c>
      <c r="T84" s="128" t="s">
        <v>290</v>
      </c>
      <c r="U84" s="129" t="s">
        <v>665</v>
      </c>
      <c r="V84" s="128" t="s">
        <v>668</v>
      </c>
      <c r="W84" s="128"/>
      <c r="X84" s="128"/>
      <c r="Y84" s="128"/>
      <c r="Z84" s="128"/>
      <c r="AA84" s="128"/>
    </row>
    <row r="85">
      <c r="A85" s="130" t="s">
        <v>277</v>
      </c>
      <c r="B85" s="131" t="s">
        <v>278</v>
      </c>
      <c r="C85" s="130" t="s">
        <v>181</v>
      </c>
      <c r="D85" s="139" t="s">
        <v>279</v>
      </c>
      <c r="E85" s="130"/>
      <c r="F85" s="162" t="s">
        <v>669</v>
      </c>
      <c r="G85" s="133" t="s">
        <v>670</v>
      </c>
      <c r="H85" s="164"/>
      <c r="I85" s="151"/>
      <c r="J85" s="128"/>
      <c r="K85" s="128"/>
      <c r="L85" s="171" t="s">
        <v>671</v>
      </c>
      <c r="M85" s="128"/>
      <c r="N85" s="128"/>
      <c r="O85" s="128"/>
      <c r="P85" s="128"/>
      <c r="Q85" s="128"/>
      <c r="R85" s="128" t="s">
        <v>181</v>
      </c>
      <c r="S85" s="128" t="s">
        <v>279</v>
      </c>
      <c r="T85" s="128"/>
      <c r="U85" s="129" t="s">
        <v>669</v>
      </c>
      <c r="V85" s="128" t="s">
        <v>672</v>
      </c>
      <c r="W85" s="128"/>
      <c r="X85" s="128"/>
      <c r="Y85" s="128"/>
      <c r="Z85" s="128"/>
      <c r="AA85" s="128"/>
    </row>
    <row r="86">
      <c r="A86" s="139" t="s">
        <v>299</v>
      </c>
      <c r="B86" s="141"/>
      <c r="C86" s="151" t="s">
        <v>673</v>
      </c>
      <c r="D86" s="153" t="s">
        <v>279</v>
      </c>
      <c r="E86" s="151"/>
      <c r="F86" s="164"/>
      <c r="G86" s="133"/>
      <c r="H86" s="164"/>
      <c r="I86" s="151"/>
      <c r="J86" s="128"/>
      <c r="K86" s="128"/>
      <c r="L86" s="170" t="s">
        <v>674</v>
      </c>
      <c r="M86" s="128"/>
      <c r="N86" s="128"/>
      <c r="O86" s="128"/>
      <c r="P86" s="128"/>
      <c r="Q86" s="128"/>
      <c r="R86" s="128" t="s">
        <v>673</v>
      </c>
      <c r="S86" s="128" t="s">
        <v>279</v>
      </c>
      <c r="T86" s="128"/>
      <c r="U86" s="129"/>
      <c r="V86" s="128"/>
      <c r="W86" s="128"/>
      <c r="X86" s="128"/>
      <c r="Y86" s="128"/>
      <c r="Z86" s="128"/>
      <c r="AA86" s="128"/>
    </row>
    <row r="87">
      <c r="A87" s="139" t="s">
        <v>299</v>
      </c>
      <c r="B87" s="141"/>
      <c r="C87" s="130" t="s">
        <v>675</v>
      </c>
      <c r="D87" s="139" t="s">
        <v>279</v>
      </c>
      <c r="E87" s="130"/>
      <c r="F87" s="164"/>
      <c r="G87" s="133"/>
      <c r="H87" s="151"/>
      <c r="I87" s="151"/>
      <c r="J87" s="128"/>
      <c r="K87" s="128"/>
      <c r="L87" s="170" t="s">
        <v>676</v>
      </c>
      <c r="M87" s="128"/>
      <c r="N87" s="128"/>
      <c r="O87" s="128"/>
      <c r="P87" s="128"/>
      <c r="Q87" s="128"/>
      <c r="R87" s="128" t="s">
        <v>675</v>
      </c>
      <c r="S87" s="128" t="s">
        <v>279</v>
      </c>
      <c r="T87" s="128"/>
      <c r="U87" s="129"/>
      <c r="V87" s="128"/>
      <c r="W87" s="128"/>
      <c r="X87" s="128"/>
      <c r="Y87" s="128"/>
      <c r="Z87" s="128"/>
      <c r="AA87" s="128"/>
    </row>
    <row r="88">
      <c r="A88" s="139" t="s">
        <v>299</v>
      </c>
      <c r="B88" s="141"/>
      <c r="C88" s="130" t="s">
        <v>677</v>
      </c>
      <c r="D88" s="139" t="s">
        <v>279</v>
      </c>
      <c r="E88" s="130"/>
      <c r="F88" s="150" t="s">
        <v>678</v>
      </c>
      <c r="G88" s="133"/>
      <c r="H88" s="164"/>
      <c r="I88" s="151"/>
      <c r="J88" s="128"/>
      <c r="K88" s="128"/>
      <c r="L88" s="170" t="s">
        <v>679</v>
      </c>
      <c r="M88" s="128"/>
      <c r="N88" s="128"/>
      <c r="O88" s="128"/>
      <c r="P88" s="128"/>
      <c r="Q88" s="128"/>
      <c r="R88" s="128" t="s">
        <v>677</v>
      </c>
      <c r="S88" s="128" t="s">
        <v>279</v>
      </c>
      <c r="T88" s="128"/>
      <c r="U88" s="129" t="s">
        <v>678</v>
      </c>
      <c r="V88" s="128"/>
      <c r="W88" s="128"/>
      <c r="X88" s="128"/>
      <c r="Y88" s="128"/>
      <c r="Z88" s="128"/>
      <c r="AA88" s="128"/>
    </row>
    <row r="89">
      <c r="A89" s="139" t="s">
        <v>299</v>
      </c>
      <c r="B89" s="141"/>
      <c r="C89" s="130" t="s">
        <v>680</v>
      </c>
      <c r="D89" s="139" t="s">
        <v>301</v>
      </c>
      <c r="E89" s="130"/>
      <c r="F89" s="162" t="s">
        <v>681</v>
      </c>
      <c r="G89" s="133"/>
      <c r="H89" s="151"/>
      <c r="I89" s="151"/>
      <c r="J89" s="128"/>
      <c r="K89" s="128"/>
      <c r="L89" s="170" t="s">
        <v>682</v>
      </c>
      <c r="M89" s="128"/>
      <c r="N89" s="128"/>
      <c r="O89" s="128"/>
      <c r="P89" s="128"/>
      <c r="Q89" s="128"/>
      <c r="R89" s="128" t="s">
        <v>680</v>
      </c>
      <c r="S89" s="128" t="s">
        <v>301</v>
      </c>
      <c r="T89" s="128"/>
      <c r="U89" s="129" t="s">
        <v>681</v>
      </c>
      <c r="V89" s="128"/>
      <c r="W89" s="128"/>
      <c r="X89" s="128"/>
      <c r="Y89" s="128"/>
      <c r="Z89" s="128"/>
      <c r="AA89" s="128"/>
    </row>
    <row r="90">
      <c r="A90" s="139" t="s">
        <v>299</v>
      </c>
      <c r="B90" s="141"/>
      <c r="C90" s="151" t="s">
        <v>182</v>
      </c>
      <c r="D90" s="153" t="s">
        <v>279</v>
      </c>
      <c r="E90" s="146" t="s">
        <v>438</v>
      </c>
      <c r="F90" s="162" t="s">
        <v>683</v>
      </c>
      <c r="G90" s="133" t="s">
        <v>684</v>
      </c>
      <c r="H90" s="151"/>
      <c r="I90" s="151"/>
      <c r="J90" s="128"/>
      <c r="K90" s="128"/>
      <c r="L90" s="170" t="s">
        <v>685</v>
      </c>
      <c r="M90" s="128"/>
      <c r="N90" s="128"/>
      <c r="O90" s="128"/>
      <c r="P90" s="128"/>
      <c r="Q90" s="128"/>
      <c r="R90" s="128" t="s">
        <v>182</v>
      </c>
      <c r="S90" s="128" t="s">
        <v>279</v>
      </c>
      <c r="T90" s="128" t="s">
        <v>438</v>
      </c>
      <c r="U90" s="129" t="s">
        <v>683</v>
      </c>
      <c r="V90" s="128" t="s">
        <v>686</v>
      </c>
      <c r="W90" s="128"/>
      <c r="X90" s="128"/>
      <c r="Y90" s="128"/>
      <c r="Z90" s="128"/>
      <c r="AA90" s="128"/>
    </row>
    <row r="91">
      <c r="A91" s="139" t="s">
        <v>299</v>
      </c>
      <c r="B91" s="141"/>
      <c r="C91" s="132" t="s">
        <v>687</v>
      </c>
      <c r="D91" s="139" t="s">
        <v>279</v>
      </c>
      <c r="E91" s="160"/>
      <c r="F91" s="176" t="s">
        <v>688</v>
      </c>
      <c r="G91" s="148" t="s">
        <v>689</v>
      </c>
      <c r="H91" s="164"/>
      <c r="I91" s="151"/>
      <c r="J91" s="128"/>
      <c r="K91" s="128"/>
      <c r="L91" s="170" t="s">
        <v>690</v>
      </c>
      <c r="M91" s="128"/>
      <c r="N91" s="128"/>
      <c r="O91" s="128"/>
      <c r="P91" s="128"/>
      <c r="Q91" s="128"/>
      <c r="R91" s="127" t="s">
        <v>687</v>
      </c>
      <c r="S91" s="128" t="s">
        <v>279</v>
      </c>
      <c r="T91" s="128"/>
      <c r="U91" s="177" t="s">
        <v>688</v>
      </c>
      <c r="V91" s="127" t="s">
        <v>691</v>
      </c>
      <c r="W91" s="128"/>
      <c r="X91" s="128"/>
      <c r="Y91" s="128"/>
      <c r="Z91" s="128"/>
      <c r="AA91" s="128"/>
    </row>
    <row r="92">
      <c r="A92" s="130" t="s">
        <v>692</v>
      </c>
      <c r="B92" s="141"/>
      <c r="C92" s="151" t="s">
        <v>693</v>
      </c>
      <c r="D92" s="153" t="s">
        <v>279</v>
      </c>
      <c r="E92" s="151"/>
      <c r="F92" s="162" t="s">
        <v>694</v>
      </c>
      <c r="G92" s="133" t="s">
        <v>695</v>
      </c>
      <c r="H92" s="151"/>
      <c r="I92" s="151"/>
      <c r="J92" s="128"/>
      <c r="K92" s="128"/>
      <c r="L92" s="170" t="s">
        <v>696</v>
      </c>
      <c r="M92" s="128"/>
      <c r="N92" s="128"/>
      <c r="O92" s="128"/>
      <c r="P92" s="128"/>
      <c r="Q92" s="128"/>
      <c r="R92" s="128" t="s">
        <v>693</v>
      </c>
      <c r="S92" s="128" t="s">
        <v>279</v>
      </c>
      <c r="T92" s="128"/>
      <c r="U92" s="129" t="s">
        <v>694</v>
      </c>
      <c r="V92" s="128" t="s">
        <v>697</v>
      </c>
      <c r="W92" s="128"/>
      <c r="X92" s="128"/>
      <c r="Y92" s="128"/>
      <c r="Z92" s="128"/>
      <c r="AA92" s="128"/>
    </row>
    <row r="93">
      <c r="A93" s="139" t="s">
        <v>299</v>
      </c>
      <c r="B93" s="141"/>
      <c r="C93" s="151" t="s">
        <v>698</v>
      </c>
      <c r="D93" s="153" t="s">
        <v>279</v>
      </c>
      <c r="E93" s="151"/>
      <c r="F93" s="162" t="s">
        <v>699</v>
      </c>
      <c r="G93" s="133"/>
      <c r="H93" s="164"/>
      <c r="I93" s="151"/>
      <c r="J93" s="128"/>
      <c r="K93" s="128"/>
      <c r="L93" s="170" t="s">
        <v>700</v>
      </c>
      <c r="M93" s="128"/>
      <c r="N93" s="128"/>
      <c r="O93" s="128"/>
      <c r="P93" s="128"/>
      <c r="Q93" s="128"/>
      <c r="R93" s="128" t="s">
        <v>698</v>
      </c>
      <c r="S93" s="128" t="s">
        <v>279</v>
      </c>
      <c r="T93" s="128"/>
      <c r="U93" s="129" t="s">
        <v>699</v>
      </c>
      <c r="V93" s="128"/>
      <c r="W93" s="128"/>
      <c r="X93" s="128"/>
      <c r="Y93" s="128"/>
      <c r="Z93" s="128"/>
      <c r="AA93" s="128"/>
    </row>
    <row r="94">
      <c r="A94" s="130" t="s">
        <v>701</v>
      </c>
      <c r="B94" s="131" t="s">
        <v>701</v>
      </c>
      <c r="C94" s="130" t="s">
        <v>702</v>
      </c>
      <c r="D94" s="139" t="s">
        <v>279</v>
      </c>
      <c r="E94" s="130"/>
      <c r="F94" s="162" t="s">
        <v>703</v>
      </c>
      <c r="G94" s="133" t="s">
        <v>704</v>
      </c>
      <c r="H94" s="151"/>
      <c r="I94" s="151"/>
      <c r="J94" s="128"/>
      <c r="K94" s="128"/>
      <c r="L94" s="170" t="s">
        <v>705</v>
      </c>
      <c r="M94" s="128"/>
      <c r="N94" s="128"/>
      <c r="O94" s="128"/>
      <c r="P94" s="128"/>
      <c r="Q94" s="128"/>
      <c r="R94" s="128" t="s">
        <v>702</v>
      </c>
      <c r="S94" s="128" t="s">
        <v>279</v>
      </c>
      <c r="T94" s="128"/>
      <c r="U94" s="129" t="s">
        <v>703</v>
      </c>
      <c r="V94" s="128" t="s">
        <v>706</v>
      </c>
      <c r="W94" s="128"/>
      <c r="X94" s="128"/>
      <c r="Y94" s="128"/>
      <c r="Z94" s="128"/>
      <c r="AA94" s="128"/>
    </row>
    <row r="95">
      <c r="A95" s="130" t="s">
        <v>701</v>
      </c>
      <c r="B95" s="131" t="s">
        <v>701</v>
      </c>
      <c r="C95" s="130" t="s">
        <v>707</v>
      </c>
      <c r="D95" s="139" t="s">
        <v>279</v>
      </c>
      <c r="E95" s="130"/>
      <c r="F95" s="150" t="s">
        <v>708</v>
      </c>
      <c r="G95" s="133" t="s">
        <v>709</v>
      </c>
      <c r="H95" s="164"/>
      <c r="I95" s="151"/>
      <c r="J95" s="128"/>
      <c r="K95" s="128"/>
      <c r="L95" s="170" t="s">
        <v>710</v>
      </c>
      <c r="M95" s="128"/>
      <c r="N95" s="128"/>
      <c r="O95" s="128"/>
      <c r="P95" s="128"/>
      <c r="Q95" s="128"/>
      <c r="R95" s="128" t="s">
        <v>707</v>
      </c>
      <c r="S95" s="128" t="s">
        <v>279</v>
      </c>
      <c r="T95" s="128"/>
      <c r="U95" s="129" t="s">
        <v>708</v>
      </c>
      <c r="V95" s="128" t="s">
        <v>711</v>
      </c>
      <c r="W95" s="128"/>
      <c r="X95" s="128"/>
      <c r="Y95" s="128"/>
      <c r="Z95" s="128"/>
      <c r="AA95" s="128"/>
    </row>
    <row r="96">
      <c r="A96" s="139" t="s">
        <v>299</v>
      </c>
      <c r="B96" s="141"/>
      <c r="C96" s="130" t="s">
        <v>184</v>
      </c>
      <c r="D96" s="139" t="s">
        <v>412</v>
      </c>
      <c r="E96" s="146" t="s">
        <v>308</v>
      </c>
      <c r="F96" s="162" t="s">
        <v>712</v>
      </c>
      <c r="G96" s="133" t="s">
        <v>713</v>
      </c>
      <c r="H96" s="151"/>
      <c r="I96" s="151"/>
      <c r="J96" s="128"/>
      <c r="K96" s="128"/>
      <c r="L96" s="170" t="s">
        <v>714</v>
      </c>
      <c r="M96" s="128"/>
      <c r="N96" s="128"/>
      <c r="O96" s="128"/>
      <c r="P96" s="128"/>
      <c r="Q96" s="128"/>
      <c r="R96" s="128" t="s">
        <v>184</v>
      </c>
      <c r="S96" s="128" t="s">
        <v>412</v>
      </c>
      <c r="T96" s="128" t="s">
        <v>308</v>
      </c>
      <c r="U96" s="129" t="s">
        <v>712</v>
      </c>
      <c r="V96" s="128" t="s">
        <v>715</v>
      </c>
      <c r="W96" s="128"/>
      <c r="X96" s="128"/>
      <c r="Y96" s="128"/>
      <c r="Z96" s="128"/>
      <c r="AA96" s="128"/>
    </row>
    <row r="97">
      <c r="A97" s="139" t="s">
        <v>299</v>
      </c>
      <c r="B97" s="141"/>
      <c r="C97" s="130" t="s">
        <v>185</v>
      </c>
      <c r="D97" s="139" t="s">
        <v>412</v>
      </c>
      <c r="E97" s="146" t="s">
        <v>308</v>
      </c>
      <c r="F97" s="162" t="s">
        <v>716</v>
      </c>
      <c r="G97" s="133"/>
      <c r="H97" s="151"/>
      <c r="I97" s="151"/>
      <c r="J97" s="128"/>
      <c r="K97" s="128"/>
      <c r="L97" s="170" t="s">
        <v>717</v>
      </c>
      <c r="M97" s="128"/>
      <c r="N97" s="128"/>
      <c r="O97" s="128"/>
      <c r="P97" s="128"/>
      <c r="Q97" s="128"/>
      <c r="R97" s="128" t="s">
        <v>185</v>
      </c>
      <c r="S97" s="128" t="s">
        <v>412</v>
      </c>
      <c r="T97" s="128" t="s">
        <v>308</v>
      </c>
      <c r="U97" s="129" t="s">
        <v>716</v>
      </c>
      <c r="V97" s="128"/>
      <c r="W97" s="128"/>
      <c r="X97" s="128"/>
      <c r="Y97" s="128"/>
      <c r="Z97" s="128"/>
      <c r="AA97" s="128"/>
    </row>
    <row r="98">
      <c r="A98" s="139" t="s">
        <v>299</v>
      </c>
      <c r="B98" s="141" t="s">
        <v>186</v>
      </c>
      <c r="C98" s="139" t="s">
        <v>186</v>
      </c>
      <c r="D98" s="139" t="s">
        <v>301</v>
      </c>
      <c r="E98" s="139" t="s">
        <v>308</v>
      </c>
      <c r="F98" s="178" t="s">
        <v>718</v>
      </c>
      <c r="G98" s="148" t="s">
        <v>719</v>
      </c>
      <c r="H98" s="164"/>
      <c r="I98" s="151"/>
      <c r="J98" s="128"/>
      <c r="K98" s="128"/>
      <c r="L98" s="170" t="s">
        <v>720</v>
      </c>
      <c r="M98" s="128"/>
      <c r="N98" s="128"/>
      <c r="O98" s="128"/>
      <c r="P98" s="128"/>
      <c r="Q98" s="128"/>
      <c r="R98" s="127" t="s">
        <v>721</v>
      </c>
      <c r="S98" s="128" t="s">
        <v>301</v>
      </c>
      <c r="T98" s="128" t="s">
        <v>308</v>
      </c>
      <c r="U98" s="129" t="s">
        <v>718</v>
      </c>
      <c r="V98" s="127" t="s">
        <v>722</v>
      </c>
      <c r="W98" s="128"/>
      <c r="X98" s="128"/>
      <c r="Y98" s="128"/>
      <c r="Z98" s="128"/>
      <c r="AA98" s="128"/>
    </row>
    <row r="99">
      <c r="A99" s="139" t="s">
        <v>299</v>
      </c>
      <c r="B99" s="141"/>
      <c r="C99" s="130" t="s">
        <v>723</v>
      </c>
      <c r="D99" s="139" t="s">
        <v>279</v>
      </c>
      <c r="E99" s="130"/>
      <c r="F99" s="164"/>
      <c r="G99" s="133"/>
      <c r="H99" s="164"/>
      <c r="I99" s="151"/>
      <c r="J99" s="128"/>
      <c r="K99" s="128"/>
      <c r="L99" s="170" t="s">
        <v>724</v>
      </c>
      <c r="M99" s="128"/>
      <c r="N99" s="128"/>
      <c r="O99" s="128"/>
      <c r="P99" s="128"/>
      <c r="Q99" s="128"/>
      <c r="R99" s="128" t="s">
        <v>723</v>
      </c>
      <c r="S99" s="128" t="s">
        <v>279</v>
      </c>
      <c r="T99" s="128"/>
      <c r="U99" s="129"/>
      <c r="V99" s="128"/>
      <c r="W99" s="128"/>
      <c r="X99" s="128"/>
      <c r="Y99" s="128"/>
      <c r="Z99" s="128"/>
      <c r="AA99" s="128"/>
    </row>
    <row r="100">
      <c r="A100" s="139" t="s">
        <v>299</v>
      </c>
      <c r="B100" s="141"/>
      <c r="C100" s="151" t="s">
        <v>188</v>
      </c>
      <c r="D100" s="139" t="s">
        <v>279</v>
      </c>
      <c r="E100" s="146" t="s">
        <v>343</v>
      </c>
      <c r="F100" s="162" t="s">
        <v>725</v>
      </c>
      <c r="G100" s="133" t="s">
        <v>726</v>
      </c>
      <c r="H100" s="164"/>
      <c r="I100" s="151"/>
      <c r="J100" s="128"/>
      <c r="K100" s="128"/>
      <c r="L100" s="170" t="s">
        <v>727</v>
      </c>
      <c r="M100" s="128"/>
      <c r="N100" s="128"/>
      <c r="O100" s="128"/>
      <c r="P100" s="128"/>
      <c r="Q100" s="128"/>
      <c r="R100" s="128" t="s">
        <v>188</v>
      </c>
      <c r="S100" s="128" t="s">
        <v>279</v>
      </c>
      <c r="T100" s="128" t="s">
        <v>343</v>
      </c>
      <c r="U100" s="129" t="s">
        <v>725</v>
      </c>
      <c r="V100" s="128" t="s">
        <v>728</v>
      </c>
      <c r="W100" s="128"/>
      <c r="X100" s="128"/>
      <c r="Y100" s="128"/>
      <c r="Z100" s="128"/>
      <c r="AA100" s="128"/>
    </row>
    <row r="101">
      <c r="A101" s="130" t="s">
        <v>277</v>
      </c>
      <c r="B101" s="131" t="s">
        <v>278</v>
      </c>
      <c r="C101" s="139" t="s">
        <v>189</v>
      </c>
      <c r="D101" s="139" t="s">
        <v>279</v>
      </c>
      <c r="E101" s="130"/>
      <c r="F101" s="162" t="s">
        <v>699</v>
      </c>
      <c r="G101" s="133" t="s">
        <v>729</v>
      </c>
      <c r="H101" s="151"/>
      <c r="I101" s="151"/>
      <c r="J101" s="128"/>
      <c r="K101" s="128"/>
      <c r="L101" s="170" t="s">
        <v>730</v>
      </c>
      <c r="M101" s="128"/>
      <c r="N101" s="128"/>
      <c r="O101" s="128"/>
      <c r="P101" s="128"/>
      <c r="Q101" s="128"/>
      <c r="R101" s="128" t="s">
        <v>731</v>
      </c>
      <c r="S101" s="128" t="s">
        <v>279</v>
      </c>
      <c r="T101" s="128"/>
      <c r="U101" s="129" t="s">
        <v>699</v>
      </c>
      <c r="V101" s="128" t="s">
        <v>732</v>
      </c>
      <c r="W101" s="128"/>
      <c r="X101" s="128"/>
      <c r="Y101" s="128"/>
      <c r="Z101" s="128"/>
      <c r="AA101" s="128"/>
    </row>
    <row r="102">
      <c r="A102" s="139" t="s">
        <v>299</v>
      </c>
      <c r="B102" s="141"/>
      <c r="C102" s="138" t="s">
        <v>733</v>
      </c>
      <c r="D102" s="139" t="s">
        <v>279</v>
      </c>
      <c r="E102" s="138"/>
      <c r="F102" s="151"/>
      <c r="G102" s="133"/>
      <c r="H102" s="164"/>
      <c r="I102" s="151"/>
      <c r="J102" s="128"/>
      <c r="K102" s="128"/>
      <c r="L102" s="170" t="s">
        <v>734</v>
      </c>
      <c r="M102" s="128"/>
      <c r="N102" s="128"/>
      <c r="O102" s="128"/>
      <c r="P102" s="128"/>
      <c r="Q102" s="128"/>
      <c r="R102" s="128" t="s">
        <v>733</v>
      </c>
      <c r="S102" s="128" t="s">
        <v>279</v>
      </c>
      <c r="T102" s="128"/>
      <c r="U102" s="129"/>
      <c r="V102" s="128"/>
      <c r="W102" s="128"/>
      <c r="X102" s="128"/>
      <c r="Y102" s="128"/>
      <c r="Z102" s="128"/>
      <c r="AA102" s="128"/>
    </row>
    <row r="103">
      <c r="A103" s="139" t="s">
        <v>299</v>
      </c>
      <c r="B103" s="141"/>
      <c r="C103" s="130" t="s">
        <v>735</v>
      </c>
      <c r="D103" s="139" t="s">
        <v>279</v>
      </c>
      <c r="E103" s="130"/>
      <c r="F103" s="150" t="s">
        <v>736</v>
      </c>
      <c r="G103" s="133"/>
      <c r="H103" s="151"/>
      <c r="I103" s="151"/>
      <c r="J103" s="128"/>
      <c r="K103" s="128"/>
      <c r="L103" s="170" t="s">
        <v>737</v>
      </c>
      <c r="M103" s="128"/>
      <c r="N103" s="128"/>
      <c r="O103" s="128"/>
      <c r="P103" s="128"/>
      <c r="Q103" s="128"/>
      <c r="R103" s="128" t="s">
        <v>735</v>
      </c>
      <c r="S103" s="128" t="s">
        <v>279</v>
      </c>
      <c r="T103" s="128"/>
      <c r="U103" s="129" t="s">
        <v>736</v>
      </c>
      <c r="V103" s="128"/>
      <c r="W103" s="128"/>
      <c r="X103" s="128"/>
      <c r="Y103" s="128"/>
      <c r="Z103" s="128"/>
      <c r="AA103" s="128"/>
    </row>
    <row r="104">
      <c r="A104" s="139" t="s">
        <v>299</v>
      </c>
      <c r="B104" s="141"/>
      <c r="C104" s="130" t="s">
        <v>190</v>
      </c>
      <c r="D104" s="139" t="s">
        <v>279</v>
      </c>
      <c r="E104" s="139" t="s">
        <v>308</v>
      </c>
      <c r="F104" s="162" t="s">
        <v>738</v>
      </c>
      <c r="G104" s="133" t="s">
        <v>739</v>
      </c>
      <c r="H104" s="151"/>
      <c r="I104" s="151"/>
      <c r="J104" s="128"/>
      <c r="K104" s="128"/>
      <c r="L104" s="170" t="s">
        <v>740</v>
      </c>
      <c r="M104" s="128"/>
      <c r="N104" s="128"/>
      <c r="O104" s="128"/>
      <c r="P104" s="128"/>
      <c r="Q104" s="128"/>
      <c r="R104" s="128" t="s">
        <v>190</v>
      </c>
      <c r="S104" s="128" t="s">
        <v>279</v>
      </c>
      <c r="T104" s="128" t="s">
        <v>308</v>
      </c>
      <c r="U104" s="129" t="s">
        <v>738</v>
      </c>
      <c r="V104" s="128" t="s">
        <v>741</v>
      </c>
      <c r="W104" s="128"/>
      <c r="X104" s="128"/>
      <c r="Y104" s="128"/>
      <c r="Z104" s="128"/>
      <c r="AA104" s="128"/>
    </row>
    <row r="105">
      <c r="A105" s="139" t="s">
        <v>299</v>
      </c>
      <c r="B105" s="141"/>
      <c r="C105" s="130" t="s">
        <v>742</v>
      </c>
      <c r="D105" s="130"/>
      <c r="E105" s="130"/>
      <c r="F105" s="164"/>
      <c r="G105" s="133"/>
      <c r="H105" s="164"/>
      <c r="I105" s="151"/>
      <c r="J105" s="128"/>
      <c r="K105" s="128"/>
      <c r="L105" s="173" t="s">
        <v>743</v>
      </c>
      <c r="M105" s="179"/>
      <c r="N105" s="128"/>
      <c r="O105" s="128"/>
      <c r="P105" s="128"/>
      <c r="Q105" s="128"/>
      <c r="R105" s="128" t="s">
        <v>742</v>
      </c>
      <c r="S105" s="128"/>
      <c r="T105" s="128"/>
      <c r="U105" s="129"/>
      <c r="V105" s="128"/>
      <c r="W105" s="128"/>
      <c r="X105" s="128"/>
      <c r="Y105" s="128"/>
      <c r="Z105" s="128"/>
      <c r="AA105" s="128"/>
    </row>
    <row r="106">
      <c r="A106" s="139" t="s">
        <v>299</v>
      </c>
      <c r="B106" s="141"/>
      <c r="C106" s="130" t="s">
        <v>744</v>
      </c>
      <c r="D106" s="130"/>
      <c r="E106" s="130"/>
      <c r="F106" s="162" t="s">
        <v>745</v>
      </c>
      <c r="G106" s="133"/>
      <c r="H106" s="164"/>
      <c r="I106" s="151"/>
      <c r="J106" s="128"/>
      <c r="K106" s="128"/>
      <c r="L106" s="170" t="s">
        <v>746</v>
      </c>
      <c r="M106" s="128"/>
      <c r="N106" s="128"/>
      <c r="O106" s="128"/>
      <c r="P106" s="128"/>
      <c r="Q106" s="128"/>
      <c r="R106" s="128" t="s">
        <v>744</v>
      </c>
      <c r="S106" s="128"/>
      <c r="T106" s="128"/>
      <c r="U106" s="129" t="s">
        <v>745</v>
      </c>
      <c r="V106" s="128"/>
      <c r="W106" s="128"/>
      <c r="X106" s="128"/>
      <c r="Y106" s="128"/>
      <c r="Z106" s="128"/>
      <c r="AA106" s="128"/>
    </row>
    <row r="107">
      <c r="A107" s="139" t="s">
        <v>299</v>
      </c>
      <c r="B107" s="141"/>
      <c r="C107" s="130" t="s">
        <v>747</v>
      </c>
      <c r="D107" s="130"/>
      <c r="E107" s="130"/>
      <c r="F107" s="162" t="s">
        <v>748</v>
      </c>
      <c r="G107" s="133"/>
      <c r="H107" s="151"/>
      <c r="I107" s="151"/>
      <c r="J107" s="128"/>
      <c r="K107" s="128"/>
      <c r="L107" s="170" t="s">
        <v>749</v>
      </c>
      <c r="M107" s="128"/>
      <c r="N107" s="128"/>
      <c r="O107" s="128"/>
      <c r="P107" s="128"/>
      <c r="Q107" s="128"/>
      <c r="R107" s="128" t="s">
        <v>747</v>
      </c>
      <c r="S107" s="128"/>
      <c r="T107" s="128"/>
      <c r="U107" s="129" t="s">
        <v>748</v>
      </c>
      <c r="V107" s="128"/>
      <c r="W107" s="128"/>
      <c r="X107" s="128"/>
      <c r="Y107" s="128"/>
      <c r="Z107" s="128"/>
      <c r="AA107" s="128"/>
    </row>
    <row r="108">
      <c r="A108" s="139" t="s">
        <v>299</v>
      </c>
      <c r="B108" s="131" t="s">
        <v>191</v>
      </c>
      <c r="C108" s="151" t="s">
        <v>191</v>
      </c>
      <c r="D108" s="139" t="s">
        <v>301</v>
      </c>
      <c r="E108" s="151"/>
      <c r="F108" s="150" t="s">
        <v>750</v>
      </c>
      <c r="G108" s="133" t="s">
        <v>751</v>
      </c>
      <c r="H108" s="164"/>
      <c r="I108" s="151"/>
      <c r="J108" s="128"/>
      <c r="K108" s="128"/>
      <c r="L108" s="170" t="s">
        <v>752</v>
      </c>
      <c r="M108" s="128"/>
      <c r="N108" s="128"/>
      <c r="O108" s="128"/>
      <c r="P108" s="128"/>
      <c r="Q108" s="128"/>
      <c r="R108" s="128" t="s">
        <v>191</v>
      </c>
      <c r="S108" s="128" t="s">
        <v>301</v>
      </c>
      <c r="T108" s="128"/>
      <c r="U108" s="129" t="s">
        <v>750</v>
      </c>
      <c r="V108" s="128" t="s">
        <v>753</v>
      </c>
      <c r="W108" s="128"/>
      <c r="X108" s="128"/>
      <c r="Y108" s="128"/>
      <c r="Z108" s="128"/>
      <c r="AA108" s="128"/>
    </row>
    <row r="109">
      <c r="A109" s="139" t="s">
        <v>299</v>
      </c>
      <c r="B109" s="141"/>
      <c r="C109" s="130" t="s">
        <v>193</v>
      </c>
      <c r="D109" s="139" t="s">
        <v>279</v>
      </c>
      <c r="E109" s="146" t="s">
        <v>334</v>
      </c>
      <c r="F109" s="162" t="s">
        <v>754</v>
      </c>
      <c r="G109" s="133" t="s">
        <v>755</v>
      </c>
      <c r="H109" s="151"/>
      <c r="I109" s="151"/>
      <c r="J109" s="128"/>
      <c r="K109" s="128"/>
      <c r="L109" s="170" t="s">
        <v>756</v>
      </c>
      <c r="M109" s="128"/>
      <c r="N109" s="128"/>
      <c r="O109" s="128"/>
      <c r="P109" s="128"/>
      <c r="Q109" s="128"/>
      <c r="R109" s="128" t="s">
        <v>193</v>
      </c>
      <c r="S109" s="128" t="s">
        <v>279</v>
      </c>
      <c r="T109" s="128" t="s">
        <v>334</v>
      </c>
      <c r="U109" s="129" t="s">
        <v>754</v>
      </c>
      <c r="V109" s="128" t="s">
        <v>757</v>
      </c>
      <c r="W109" s="128"/>
      <c r="X109" s="128"/>
      <c r="Y109" s="128"/>
      <c r="Z109" s="128"/>
      <c r="AA109" s="128"/>
    </row>
    <row r="110">
      <c r="A110" s="139" t="s">
        <v>299</v>
      </c>
      <c r="B110" s="141"/>
      <c r="C110" s="130" t="s">
        <v>758</v>
      </c>
      <c r="D110" s="130"/>
      <c r="E110" s="130"/>
      <c r="F110" s="162" t="s">
        <v>759</v>
      </c>
      <c r="G110" s="133"/>
      <c r="H110" s="164"/>
      <c r="I110" s="151"/>
      <c r="J110" s="128"/>
      <c r="K110" s="128"/>
      <c r="L110" s="170" t="s">
        <v>760</v>
      </c>
      <c r="M110" s="128"/>
      <c r="N110" s="128"/>
      <c r="O110" s="128"/>
      <c r="P110" s="128"/>
      <c r="Q110" s="128"/>
      <c r="R110" s="128" t="s">
        <v>758</v>
      </c>
      <c r="S110" s="128"/>
      <c r="T110" s="128"/>
      <c r="U110" s="129" t="s">
        <v>759</v>
      </c>
      <c r="V110" s="128"/>
      <c r="W110" s="128"/>
      <c r="X110" s="128"/>
      <c r="Y110" s="128"/>
      <c r="Z110" s="128"/>
      <c r="AA110" s="128"/>
    </row>
    <row r="111">
      <c r="A111" s="139" t="s">
        <v>299</v>
      </c>
      <c r="B111" s="141"/>
      <c r="C111" s="130" t="s">
        <v>195</v>
      </c>
      <c r="D111" s="139" t="s">
        <v>279</v>
      </c>
      <c r="E111" s="146" t="s">
        <v>343</v>
      </c>
      <c r="F111" s="162" t="s">
        <v>761</v>
      </c>
      <c r="G111" s="133" t="s">
        <v>762</v>
      </c>
      <c r="H111" s="164"/>
      <c r="I111" s="151"/>
      <c r="J111" s="128"/>
      <c r="K111" s="128"/>
      <c r="L111" s="170" t="s">
        <v>763</v>
      </c>
      <c r="M111" s="128"/>
      <c r="N111" s="128"/>
      <c r="O111" s="128"/>
      <c r="P111" s="128"/>
      <c r="Q111" s="128"/>
      <c r="R111" s="128" t="s">
        <v>195</v>
      </c>
      <c r="S111" s="128" t="s">
        <v>279</v>
      </c>
      <c r="T111" s="128" t="s">
        <v>343</v>
      </c>
      <c r="U111" s="129" t="s">
        <v>761</v>
      </c>
      <c r="V111" s="128" t="s">
        <v>764</v>
      </c>
      <c r="W111" s="128"/>
      <c r="X111" s="128"/>
      <c r="Y111" s="128"/>
      <c r="Z111" s="128"/>
      <c r="AA111" s="128"/>
    </row>
    <row r="112">
      <c r="A112" s="139" t="s">
        <v>299</v>
      </c>
      <c r="B112" s="141"/>
      <c r="C112" s="130" t="s">
        <v>765</v>
      </c>
      <c r="D112" s="139" t="s">
        <v>279</v>
      </c>
      <c r="E112" s="130"/>
      <c r="F112" s="164"/>
      <c r="G112" s="133"/>
      <c r="H112" s="164"/>
      <c r="I112" s="151"/>
      <c r="J112" s="128"/>
      <c r="K112" s="128"/>
      <c r="L112" s="170" t="s">
        <v>766</v>
      </c>
      <c r="M112" s="128"/>
      <c r="N112" s="128"/>
      <c r="O112" s="128"/>
      <c r="P112" s="128"/>
      <c r="Q112" s="128"/>
      <c r="R112" s="128" t="s">
        <v>765</v>
      </c>
      <c r="S112" s="128" t="s">
        <v>279</v>
      </c>
      <c r="T112" s="128"/>
      <c r="U112" s="129"/>
      <c r="V112" s="128"/>
      <c r="W112" s="128"/>
      <c r="X112" s="128"/>
      <c r="Y112" s="128"/>
      <c r="Z112" s="128"/>
      <c r="AA112" s="128"/>
    </row>
    <row r="113">
      <c r="A113" s="139" t="s">
        <v>299</v>
      </c>
      <c r="B113" s="141"/>
      <c r="C113" s="151" t="s">
        <v>767</v>
      </c>
      <c r="D113" s="139" t="s">
        <v>279</v>
      </c>
      <c r="E113" s="151"/>
      <c r="F113" s="164"/>
      <c r="G113" s="133"/>
      <c r="H113" s="151"/>
      <c r="I113" s="151"/>
      <c r="J113" s="128"/>
      <c r="K113" s="128"/>
      <c r="L113" s="170" t="s">
        <v>768</v>
      </c>
      <c r="M113" s="128"/>
      <c r="N113" s="128"/>
      <c r="O113" s="128"/>
      <c r="P113" s="128"/>
      <c r="Q113" s="128"/>
      <c r="R113" s="128" t="s">
        <v>767</v>
      </c>
      <c r="S113" s="128" t="s">
        <v>279</v>
      </c>
      <c r="T113" s="128"/>
      <c r="U113" s="129"/>
      <c r="V113" s="128"/>
      <c r="W113" s="128"/>
      <c r="X113" s="128"/>
      <c r="Y113" s="128"/>
      <c r="Z113" s="128"/>
      <c r="AA113" s="128"/>
    </row>
    <row r="114">
      <c r="A114" s="139" t="s">
        <v>299</v>
      </c>
      <c r="B114" s="141"/>
      <c r="C114" s="130" t="s">
        <v>769</v>
      </c>
      <c r="D114" s="139" t="s">
        <v>279</v>
      </c>
      <c r="E114" s="130"/>
      <c r="F114" s="162" t="s">
        <v>770</v>
      </c>
      <c r="G114" s="133"/>
      <c r="H114" s="151"/>
      <c r="I114" s="151"/>
      <c r="J114" s="128"/>
      <c r="K114" s="128"/>
      <c r="L114" s="170" t="s">
        <v>771</v>
      </c>
      <c r="M114" s="128"/>
      <c r="N114" s="128"/>
      <c r="O114" s="128"/>
      <c r="P114" s="128"/>
      <c r="Q114" s="128"/>
      <c r="R114" s="128" t="s">
        <v>769</v>
      </c>
      <c r="S114" s="128" t="s">
        <v>279</v>
      </c>
      <c r="T114" s="128"/>
      <c r="U114" s="129" t="s">
        <v>770</v>
      </c>
      <c r="V114" s="128"/>
      <c r="W114" s="128"/>
      <c r="X114" s="128"/>
      <c r="Y114" s="128"/>
      <c r="Z114" s="128"/>
      <c r="AA114" s="128"/>
    </row>
    <row r="115">
      <c r="A115" s="130" t="s">
        <v>277</v>
      </c>
      <c r="B115" s="130" t="s">
        <v>278</v>
      </c>
      <c r="C115" s="130" t="s">
        <v>196</v>
      </c>
      <c r="D115" s="139" t="s">
        <v>279</v>
      </c>
      <c r="E115" s="130"/>
      <c r="F115" s="162" t="s">
        <v>772</v>
      </c>
      <c r="G115" s="133" t="s">
        <v>773</v>
      </c>
      <c r="H115" s="164"/>
      <c r="I115" s="151"/>
      <c r="J115" s="128"/>
      <c r="K115" s="128"/>
      <c r="L115" s="170" t="s">
        <v>774</v>
      </c>
      <c r="M115" s="128"/>
      <c r="N115" s="128"/>
      <c r="O115" s="128"/>
      <c r="P115" s="128"/>
      <c r="Q115" s="128"/>
      <c r="R115" s="128" t="s">
        <v>196</v>
      </c>
      <c r="S115" s="128" t="s">
        <v>279</v>
      </c>
      <c r="T115" s="128"/>
      <c r="U115" s="129" t="s">
        <v>772</v>
      </c>
      <c r="V115" s="128" t="s">
        <v>775</v>
      </c>
      <c r="W115" s="128"/>
      <c r="X115" s="128"/>
      <c r="Y115" s="128"/>
      <c r="Z115" s="128"/>
      <c r="AA115" s="128"/>
    </row>
    <row r="116">
      <c r="A116" s="130" t="s">
        <v>277</v>
      </c>
      <c r="B116" s="130" t="s">
        <v>278</v>
      </c>
      <c r="C116" s="130" t="s">
        <v>197</v>
      </c>
      <c r="D116" s="139" t="s">
        <v>279</v>
      </c>
      <c r="E116" s="130"/>
      <c r="F116" s="150" t="s">
        <v>776</v>
      </c>
      <c r="G116" s="133" t="s">
        <v>777</v>
      </c>
      <c r="H116" s="164"/>
      <c r="I116" s="151"/>
      <c r="J116" s="128"/>
      <c r="K116" s="128"/>
      <c r="L116" s="170" t="s">
        <v>778</v>
      </c>
      <c r="M116" s="128"/>
      <c r="N116" s="128"/>
      <c r="O116" s="128"/>
      <c r="P116" s="128"/>
      <c r="Q116" s="128"/>
      <c r="R116" s="128" t="s">
        <v>197</v>
      </c>
      <c r="S116" s="128" t="s">
        <v>279</v>
      </c>
      <c r="T116" s="128"/>
      <c r="U116" s="129" t="s">
        <v>776</v>
      </c>
      <c r="V116" s="128" t="s">
        <v>779</v>
      </c>
      <c r="W116" s="128"/>
      <c r="X116" s="128"/>
      <c r="Y116" s="128"/>
      <c r="Z116" s="128"/>
      <c r="AA116" s="128"/>
    </row>
    <row r="117">
      <c r="A117" s="130" t="s">
        <v>259</v>
      </c>
      <c r="B117" s="141" t="s">
        <v>401</v>
      </c>
      <c r="C117" s="130" t="s">
        <v>198</v>
      </c>
      <c r="D117" s="139" t="s">
        <v>279</v>
      </c>
      <c r="E117" s="139" t="s">
        <v>402</v>
      </c>
      <c r="F117" s="150" t="s">
        <v>780</v>
      </c>
      <c r="G117" s="133" t="s">
        <v>781</v>
      </c>
      <c r="H117" s="151"/>
      <c r="I117" s="151"/>
      <c r="J117" s="128"/>
      <c r="K117" s="128"/>
      <c r="L117" s="170" t="s">
        <v>782</v>
      </c>
      <c r="M117" s="128"/>
      <c r="N117" s="128"/>
      <c r="O117" s="128"/>
      <c r="P117" s="128"/>
      <c r="Q117" s="128"/>
      <c r="R117" s="128" t="s">
        <v>198</v>
      </c>
      <c r="S117" s="128" t="s">
        <v>279</v>
      </c>
      <c r="T117" s="128" t="s">
        <v>402</v>
      </c>
      <c r="U117" s="129" t="s">
        <v>780</v>
      </c>
      <c r="V117" s="128" t="s">
        <v>783</v>
      </c>
      <c r="W117" s="128"/>
      <c r="X117" s="128"/>
      <c r="Y117" s="128"/>
      <c r="Z117" s="128"/>
      <c r="AA117" s="128"/>
    </row>
    <row r="118">
      <c r="A118" s="139" t="s">
        <v>299</v>
      </c>
      <c r="B118" s="139" t="s">
        <v>199</v>
      </c>
      <c r="C118" s="139" t="s">
        <v>199</v>
      </c>
      <c r="D118" s="132" t="s">
        <v>301</v>
      </c>
      <c r="E118" s="151"/>
      <c r="F118" s="178" t="s">
        <v>784</v>
      </c>
      <c r="G118" s="133" t="s">
        <v>785</v>
      </c>
      <c r="H118" s="151"/>
      <c r="I118" s="151"/>
      <c r="J118" s="128"/>
      <c r="K118" s="128"/>
      <c r="L118" s="170" t="s">
        <v>786</v>
      </c>
      <c r="M118" s="128"/>
      <c r="N118" s="128"/>
      <c r="O118" s="128"/>
      <c r="P118" s="128"/>
      <c r="Q118" s="128"/>
      <c r="R118" s="128" t="s">
        <v>199</v>
      </c>
      <c r="S118" s="128" t="s">
        <v>301</v>
      </c>
      <c r="T118" s="128"/>
      <c r="U118" s="129" t="s">
        <v>784</v>
      </c>
      <c r="V118" s="128" t="s">
        <v>787</v>
      </c>
      <c r="W118" s="128"/>
      <c r="X118" s="128"/>
      <c r="Y118" s="128"/>
      <c r="Z118" s="128"/>
      <c r="AA118" s="128"/>
    </row>
    <row r="119">
      <c r="A119" s="139" t="s">
        <v>299</v>
      </c>
      <c r="B119" s="141"/>
      <c r="C119" s="130" t="s">
        <v>788</v>
      </c>
      <c r="D119" s="130"/>
      <c r="E119" s="130"/>
      <c r="F119" s="164"/>
      <c r="G119" s="133"/>
      <c r="H119" s="151"/>
      <c r="I119" s="151"/>
      <c r="J119" s="128"/>
      <c r="K119" s="128"/>
      <c r="L119" s="170" t="s">
        <v>789</v>
      </c>
      <c r="M119" s="128"/>
      <c r="N119" s="128"/>
      <c r="O119" s="128"/>
      <c r="P119" s="128"/>
      <c r="Q119" s="128"/>
      <c r="R119" s="128" t="s">
        <v>788</v>
      </c>
      <c r="S119" s="128"/>
      <c r="T119" s="128"/>
      <c r="U119" s="129"/>
      <c r="V119" s="128"/>
      <c r="W119" s="128"/>
      <c r="X119" s="128"/>
      <c r="Y119" s="128"/>
      <c r="Z119" s="128"/>
      <c r="AA119" s="128"/>
    </row>
    <row r="120">
      <c r="A120" s="139" t="s">
        <v>299</v>
      </c>
      <c r="B120" s="141"/>
      <c r="C120" s="130" t="s">
        <v>790</v>
      </c>
      <c r="D120" s="139" t="s">
        <v>279</v>
      </c>
      <c r="E120" s="130"/>
      <c r="F120" s="162" t="s">
        <v>791</v>
      </c>
      <c r="G120" s="133"/>
      <c r="H120" s="164"/>
      <c r="I120" s="151"/>
      <c r="J120" s="128"/>
      <c r="K120" s="128"/>
      <c r="L120" s="171" t="s">
        <v>792</v>
      </c>
      <c r="M120" s="128"/>
      <c r="N120" s="128"/>
      <c r="O120" s="128"/>
      <c r="P120" s="128"/>
      <c r="Q120" s="128"/>
      <c r="R120" s="128" t="s">
        <v>790</v>
      </c>
      <c r="S120" s="128" t="s">
        <v>279</v>
      </c>
      <c r="T120" s="128"/>
      <c r="U120" s="129" t="s">
        <v>791</v>
      </c>
      <c r="V120" s="128"/>
      <c r="W120" s="128"/>
      <c r="X120" s="128"/>
      <c r="Y120" s="128"/>
      <c r="Z120" s="128"/>
      <c r="AA120" s="128"/>
    </row>
    <row r="121">
      <c r="A121" s="139" t="s">
        <v>299</v>
      </c>
      <c r="B121" s="141"/>
      <c r="C121" s="139" t="s">
        <v>793</v>
      </c>
      <c r="D121" s="139"/>
      <c r="E121" s="146" t="s">
        <v>343</v>
      </c>
      <c r="F121" s="150" t="s">
        <v>794</v>
      </c>
      <c r="G121" s="133" t="s">
        <v>795</v>
      </c>
      <c r="H121" s="151"/>
      <c r="I121" s="151"/>
      <c r="J121" s="128"/>
      <c r="K121" s="128"/>
      <c r="L121" s="170" t="s">
        <v>796</v>
      </c>
      <c r="M121" s="128"/>
      <c r="N121" s="128"/>
      <c r="O121" s="128"/>
      <c r="P121" s="128"/>
      <c r="Q121" s="128"/>
      <c r="R121" s="128" t="s">
        <v>793</v>
      </c>
      <c r="S121" s="128"/>
      <c r="T121" s="128" t="s">
        <v>343</v>
      </c>
      <c r="U121" s="129" t="s">
        <v>794</v>
      </c>
      <c r="V121" s="128" t="s">
        <v>797</v>
      </c>
      <c r="W121" s="128"/>
      <c r="X121" s="128"/>
      <c r="Y121" s="128"/>
      <c r="Z121" s="128"/>
      <c r="AA121" s="128"/>
    </row>
    <row r="122">
      <c r="A122" s="139" t="s">
        <v>299</v>
      </c>
      <c r="B122" s="180" t="s">
        <v>200</v>
      </c>
      <c r="C122" s="139" t="s">
        <v>200</v>
      </c>
      <c r="D122" s="139" t="s">
        <v>279</v>
      </c>
      <c r="E122" s="146" t="s">
        <v>438</v>
      </c>
      <c r="F122" s="162" t="s">
        <v>798</v>
      </c>
      <c r="G122" s="148" t="s">
        <v>799</v>
      </c>
      <c r="H122" s="151"/>
      <c r="I122" s="151"/>
      <c r="J122" s="128"/>
      <c r="K122" s="128"/>
      <c r="L122" s="170" t="s">
        <v>800</v>
      </c>
      <c r="M122" s="128"/>
      <c r="N122" s="128"/>
      <c r="O122" s="128"/>
      <c r="P122" s="128"/>
      <c r="Q122" s="128"/>
      <c r="R122" s="127" t="s">
        <v>200</v>
      </c>
      <c r="S122" s="128" t="s">
        <v>279</v>
      </c>
      <c r="T122" s="128" t="s">
        <v>438</v>
      </c>
      <c r="U122" s="129" t="s">
        <v>798</v>
      </c>
      <c r="V122" s="128" t="s">
        <v>801</v>
      </c>
      <c r="W122" s="128"/>
      <c r="X122" s="128"/>
      <c r="Y122" s="128"/>
      <c r="Z122" s="128"/>
      <c r="AA122" s="128"/>
    </row>
    <row r="123">
      <c r="A123" s="130" t="s">
        <v>401</v>
      </c>
      <c r="B123" s="141" t="s">
        <v>401</v>
      </c>
      <c r="C123" s="130" t="s">
        <v>201</v>
      </c>
      <c r="D123" s="139" t="s">
        <v>279</v>
      </c>
      <c r="E123" s="139" t="s">
        <v>402</v>
      </c>
      <c r="F123" s="162" t="s">
        <v>802</v>
      </c>
      <c r="G123" s="133" t="s">
        <v>803</v>
      </c>
      <c r="H123" s="164"/>
      <c r="I123" s="151"/>
      <c r="J123" s="128"/>
      <c r="K123" s="128"/>
      <c r="L123" s="143" t="s">
        <v>804</v>
      </c>
      <c r="M123" s="128"/>
      <c r="N123" s="128"/>
      <c r="O123" s="128"/>
      <c r="P123" s="128"/>
      <c r="Q123" s="128"/>
      <c r="R123" s="128" t="s">
        <v>201</v>
      </c>
      <c r="S123" s="128" t="s">
        <v>279</v>
      </c>
      <c r="T123" s="128" t="s">
        <v>402</v>
      </c>
      <c r="U123" s="129" t="s">
        <v>802</v>
      </c>
      <c r="V123" s="128" t="s">
        <v>805</v>
      </c>
      <c r="W123" s="128"/>
      <c r="X123" s="128"/>
      <c r="Y123" s="128"/>
      <c r="Z123" s="128"/>
      <c r="AA123" s="128"/>
    </row>
    <row r="124">
      <c r="A124" s="139" t="s">
        <v>299</v>
      </c>
      <c r="B124" s="141" t="s">
        <v>401</v>
      </c>
      <c r="C124" s="130" t="s">
        <v>203</v>
      </c>
      <c r="D124" s="139" t="s">
        <v>279</v>
      </c>
      <c r="E124" s="139" t="s">
        <v>402</v>
      </c>
      <c r="F124" s="151"/>
      <c r="G124" s="133"/>
      <c r="H124" s="164"/>
      <c r="I124" s="151"/>
      <c r="J124" s="128"/>
      <c r="K124" s="128"/>
      <c r="L124" s="170" t="s">
        <v>806</v>
      </c>
      <c r="M124" s="128"/>
      <c r="N124" s="128"/>
      <c r="O124" s="128"/>
      <c r="P124" s="128"/>
      <c r="Q124" s="128"/>
      <c r="R124" s="128" t="s">
        <v>203</v>
      </c>
      <c r="S124" s="128" t="s">
        <v>279</v>
      </c>
      <c r="T124" s="128" t="s">
        <v>402</v>
      </c>
      <c r="U124" s="129"/>
      <c r="V124" s="128"/>
      <c r="W124" s="128"/>
      <c r="X124" s="128"/>
      <c r="Y124" s="128"/>
      <c r="Z124" s="128"/>
      <c r="AA124" s="128"/>
    </row>
    <row r="125">
      <c r="A125" s="130" t="s">
        <v>401</v>
      </c>
      <c r="B125" s="141" t="s">
        <v>401</v>
      </c>
      <c r="C125" s="130" t="s">
        <v>205</v>
      </c>
      <c r="D125" s="139" t="s">
        <v>279</v>
      </c>
      <c r="E125" s="139" t="s">
        <v>402</v>
      </c>
      <c r="F125" s="150" t="s">
        <v>807</v>
      </c>
      <c r="G125" s="133" t="s">
        <v>808</v>
      </c>
      <c r="H125" s="151"/>
      <c r="I125" s="151"/>
      <c r="J125" s="128"/>
      <c r="K125" s="128"/>
      <c r="L125" s="173" t="s">
        <v>809</v>
      </c>
      <c r="M125" s="128"/>
      <c r="N125" s="128"/>
      <c r="O125" s="128"/>
      <c r="P125" s="128"/>
      <c r="Q125" s="128"/>
      <c r="R125" s="128" t="s">
        <v>205</v>
      </c>
      <c r="S125" s="128" t="s">
        <v>279</v>
      </c>
      <c r="T125" s="128" t="s">
        <v>402</v>
      </c>
      <c r="U125" s="129" t="s">
        <v>807</v>
      </c>
      <c r="V125" s="128" t="s">
        <v>810</v>
      </c>
      <c r="W125" s="128"/>
      <c r="X125" s="128"/>
      <c r="Y125" s="128"/>
      <c r="Z125" s="128"/>
      <c r="AA125" s="128"/>
    </row>
    <row r="126">
      <c r="A126" s="139" t="s">
        <v>299</v>
      </c>
      <c r="B126" s="141"/>
      <c r="C126" s="130" t="s">
        <v>811</v>
      </c>
      <c r="D126" s="139" t="s">
        <v>279</v>
      </c>
      <c r="E126" s="130"/>
      <c r="F126" s="162" t="s">
        <v>812</v>
      </c>
      <c r="G126" s="133"/>
      <c r="H126" s="151"/>
      <c r="I126" s="151"/>
      <c r="J126" s="128"/>
      <c r="K126" s="128"/>
      <c r="L126" s="170" t="s">
        <v>813</v>
      </c>
      <c r="M126" s="128"/>
      <c r="N126" s="128"/>
      <c r="O126" s="128"/>
      <c r="P126" s="128"/>
      <c r="Q126" s="128"/>
      <c r="R126" s="128" t="s">
        <v>811</v>
      </c>
      <c r="S126" s="128" t="s">
        <v>279</v>
      </c>
      <c r="T126" s="128"/>
      <c r="U126" s="129" t="s">
        <v>812</v>
      </c>
      <c r="V126" s="128"/>
      <c r="W126" s="128"/>
      <c r="X126" s="128"/>
      <c r="Y126" s="128"/>
      <c r="Z126" s="128"/>
      <c r="AA126" s="128"/>
    </row>
    <row r="127">
      <c r="A127" s="139" t="s">
        <v>299</v>
      </c>
      <c r="B127" s="141"/>
      <c r="C127" s="130" t="s">
        <v>207</v>
      </c>
      <c r="D127" s="139" t="s">
        <v>279</v>
      </c>
      <c r="E127" s="139" t="s">
        <v>290</v>
      </c>
      <c r="F127" s="162" t="s">
        <v>814</v>
      </c>
      <c r="G127" s="133"/>
      <c r="H127" s="164"/>
      <c r="I127" s="151"/>
      <c r="J127" s="128"/>
      <c r="K127" s="128"/>
      <c r="L127" s="170" t="s">
        <v>815</v>
      </c>
      <c r="M127" s="128"/>
      <c r="N127" s="128"/>
      <c r="O127" s="128"/>
      <c r="P127" s="128"/>
      <c r="Q127" s="128"/>
      <c r="R127" s="128" t="s">
        <v>207</v>
      </c>
      <c r="S127" s="128" t="s">
        <v>279</v>
      </c>
      <c r="T127" s="128" t="s">
        <v>290</v>
      </c>
      <c r="U127" s="129" t="s">
        <v>814</v>
      </c>
      <c r="V127" s="128"/>
      <c r="W127" s="128"/>
      <c r="X127" s="128"/>
      <c r="Y127" s="128"/>
      <c r="Z127" s="128"/>
      <c r="AA127" s="128"/>
    </row>
    <row r="128">
      <c r="A128" s="139" t="s">
        <v>299</v>
      </c>
      <c r="B128" s="141"/>
      <c r="C128" s="130" t="s">
        <v>208</v>
      </c>
      <c r="D128" s="139" t="s">
        <v>279</v>
      </c>
      <c r="E128" s="139" t="s">
        <v>290</v>
      </c>
      <c r="F128" s="161"/>
      <c r="G128" s="133"/>
      <c r="H128" s="164"/>
      <c r="I128" s="151"/>
      <c r="J128" s="128"/>
      <c r="K128" s="128"/>
      <c r="L128" s="143" t="s">
        <v>816</v>
      </c>
      <c r="M128" s="128"/>
      <c r="N128" s="128"/>
      <c r="O128" s="128"/>
      <c r="P128" s="128"/>
      <c r="Q128" s="128"/>
      <c r="R128" s="128" t="s">
        <v>208</v>
      </c>
      <c r="S128" s="128" t="s">
        <v>279</v>
      </c>
      <c r="T128" s="128" t="s">
        <v>290</v>
      </c>
      <c r="U128" s="129"/>
      <c r="V128" s="128"/>
      <c r="W128" s="128"/>
      <c r="X128" s="128"/>
      <c r="Y128" s="128"/>
      <c r="Z128" s="128"/>
      <c r="AA128" s="128"/>
    </row>
    <row r="129">
      <c r="A129" s="139" t="s">
        <v>299</v>
      </c>
      <c r="B129" s="139" t="s">
        <v>210</v>
      </c>
      <c r="C129" s="130" t="s">
        <v>209</v>
      </c>
      <c r="D129" s="139" t="s">
        <v>279</v>
      </c>
      <c r="E129" s="139" t="s">
        <v>290</v>
      </c>
      <c r="F129" s="162" t="s">
        <v>817</v>
      </c>
      <c r="G129" s="133" t="s">
        <v>818</v>
      </c>
      <c r="H129" s="164"/>
      <c r="I129" s="151"/>
      <c r="J129" s="128"/>
      <c r="K129" s="128"/>
      <c r="L129" s="170" t="s">
        <v>819</v>
      </c>
      <c r="M129" s="128"/>
      <c r="N129" s="128"/>
      <c r="O129" s="128"/>
      <c r="P129" s="128"/>
      <c r="Q129" s="128"/>
      <c r="R129" s="128" t="s">
        <v>209</v>
      </c>
      <c r="S129" s="128" t="s">
        <v>279</v>
      </c>
      <c r="T129" s="128" t="s">
        <v>290</v>
      </c>
      <c r="U129" s="129" t="s">
        <v>817</v>
      </c>
      <c r="V129" s="128" t="s">
        <v>820</v>
      </c>
      <c r="W129" s="128"/>
      <c r="X129" s="128"/>
      <c r="Y129" s="128"/>
      <c r="Z129" s="128"/>
      <c r="AA129" s="128"/>
    </row>
    <row r="130">
      <c r="A130" s="139" t="s">
        <v>299</v>
      </c>
      <c r="B130" s="139" t="s">
        <v>210</v>
      </c>
      <c r="C130" s="130" t="s">
        <v>210</v>
      </c>
      <c r="D130" s="139" t="s">
        <v>279</v>
      </c>
      <c r="E130" s="139" t="s">
        <v>290</v>
      </c>
      <c r="F130" s="162" t="s">
        <v>821</v>
      </c>
      <c r="G130" s="133" t="s">
        <v>822</v>
      </c>
      <c r="H130" s="164"/>
      <c r="I130" s="151"/>
      <c r="J130" s="128"/>
      <c r="K130" s="128"/>
      <c r="L130" s="170" t="s">
        <v>823</v>
      </c>
      <c r="M130" s="128"/>
      <c r="N130" s="128"/>
      <c r="O130" s="128"/>
      <c r="P130" s="128"/>
      <c r="Q130" s="128"/>
      <c r="R130" s="128" t="s">
        <v>210</v>
      </c>
      <c r="S130" s="128" t="s">
        <v>279</v>
      </c>
      <c r="T130" s="128" t="s">
        <v>290</v>
      </c>
      <c r="U130" s="129" t="s">
        <v>821</v>
      </c>
      <c r="V130" s="128" t="s">
        <v>824</v>
      </c>
      <c r="W130" s="128"/>
      <c r="X130" s="128"/>
      <c r="Y130" s="128"/>
      <c r="Z130" s="128"/>
      <c r="AA130" s="128"/>
    </row>
    <row r="131">
      <c r="A131" s="139" t="s">
        <v>299</v>
      </c>
      <c r="B131" s="141"/>
      <c r="C131" s="151" t="s">
        <v>825</v>
      </c>
      <c r="D131" s="139" t="s">
        <v>279</v>
      </c>
      <c r="E131" s="151"/>
      <c r="F131" s="164"/>
      <c r="G131" s="133" t="s">
        <v>826</v>
      </c>
      <c r="H131" s="164"/>
      <c r="I131" s="151"/>
      <c r="J131" s="128"/>
      <c r="K131" s="128"/>
      <c r="L131" s="170" t="s">
        <v>827</v>
      </c>
      <c r="M131" s="128"/>
      <c r="N131" s="128"/>
      <c r="O131" s="128"/>
      <c r="P131" s="128"/>
      <c r="Q131" s="128"/>
      <c r="R131" s="128" t="s">
        <v>825</v>
      </c>
      <c r="S131" s="128" t="s">
        <v>279</v>
      </c>
      <c r="T131" s="128"/>
      <c r="U131" s="129"/>
      <c r="V131" s="128" t="s">
        <v>828</v>
      </c>
      <c r="W131" s="128"/>
      <c r="X131" s="128"/>
      <c r="Y131" s="128"/>
      <c r="Z131" s="128"/>
      <c r="AA131" s="128"/>
    </row>
    <row r="132">
      <c r="A132" s="130" t="s">
        <v>829</v>
      </c>
      <c r="B132" s="139" t="s">
        <v>436</v>
      </c>
      <c r="C132" s="151" t="s">
        <v>211</v>
      </c>
      <c r="D132" s="138" t="s">
        <v>289</v>
      </c>
      <c r="E132" s="146" t="s">
        <v>438</v>
      </c>
      <c r="F132" s="162" t="s">
        <v>830</v>
      </c>
      <c r="G132" s="133" t="s">
        <v>831</v>
      </c>
      <c r="H132" s="164"/>
      <c r="I132" s="151"/>
      <c r="J132" s="128"/>
      <c r="K132" s="128"/>
      <c r="L132" s="170" t="s">
        <v>832</v>
      </c>
      <c r="M132" s="128"/>
      <c r="N132" s="128"/>
      <c r="O132" s="128"/>
      <c r="P132" s="128"/>
      <c r="Q132" s="128"/>
      <c r="R132" s="128" t="s">
        <v>211</v>
      </c>
      <c r="S132" s="128" t="s">
        <v>289</v>
      </c>
      <c r="T132" s="128" t="s">
        <v>438</v>
      </c>
      <c r="U132" s="129" t="s">
        <v>830</v>
      </c>
      <c r="V132" s="128" t="s">
        <v>833</v>
      </c>
      <c r="W132" s="128"/>
      <c r="X132" s="128"/>
      <c r="Y132" s="128"/>
      <c r="Z132" s="128"/>
      <c r="AA132" s="128"/>
    </row>
    <row r="133">
      <c r="A133" s="139" t="s">
        <v>299</v>
      </c>
      <c r="B133" s="139" t="s">
        <v>834</v>
      </c>
      <c r="C133" s="146" t="s">
        <v>213</v>
      </c>
      <c r="D133" s="146" t="s">
        <v>301</v>
      </c>
      <c r="E133" s="146" t="s">
        <v>438</v>
      </c>
      <c r="F133" s="181" t="s">
        <v>835</v>
      </c>
      <c r="G133" s="133" t="s">
        <v>836</v>
      </c>
      <c r="H133" s="151"/>
      <c r="I133" s="151"/>
      <c r="J133" s="128"/>
      <c r="K133" s="128"/>
      <c r="L133" s="170" t="s">
        <v>837</v>
      </c>
      <c r="M133" s="128"/>
      <c r="N133" s="128"/>
      <c r="O133" s="128"/>
      <c r="P133" s="128"/>
      <c r="Q133" s="128"/>
      <c r="R133" s="128" t="s">
        <v>213</v>
      </c>
      <c r="S133" s="128" t="s">
        <v>301</v>
      </c>
      <c r="T133" s="128" t="s">
        <v>438</v>
      </c>
      <c r="U133" s="129" t="s">
        <v>835</v>
      </c>
      <c r="V133" s="128" t="s">
        <v>838</v>
      </c>
      <c r="W133" s="128"/>
      <c r="X133" s="128"/>
      <c r="Y133" s="128"/>
      <c r="Z133" s="128"/>
      <c r="AA133" s="128"/>
    </row>
    <row r="134">
      <c r="A134" s="130" t="s">
        <v>839</v>
      </c>
      <c r="B134" s="130" t="s">
        <v>839</v>
      </c>
      <c r="C134" s="130" t="s">
        <v>840</v>
      </c>
      <c r="D134" s="139" t="s">
        <v>279</v>
      </c>
      <c r="E134" s="146" t="s">
        <v>438</v>
      </c>
      <c r="F134" s="150" t="s">
        <v>841</v>
      </c>
      <c r="G134" s="133" t="s">
        <v>842</v>
      </c>
      <c r="H134" s="164"/>
      <c r="I134" s="151"/>
      <c r="J134" s="128"/>
      <c r="K134" s="128"/>
      <c r="L134" s="170" t="s">
        <v>843</v>
      </c>
      <c r="M134" s="128"/>
      <c r="N134" s="128"/>
      <c r="O134" s="128"/>
      <c r="P134" s="128"/>
      <c r="Q134" s="128"/>
      <c r="R134" s="128" t="s">
        <v>840</v>
      </c>
      <c r="S134" s="128" t="s">
        <v>279</v>
      </c>
      <c r="T134" s="128" t="s">
        <v>438</v>
      </c>
      <c r="U134" s="129" t="s">
        <v>841</v>
      </c>
      <c r="V134" s="128" t="s">
        <v>844</v>
      </c>
      <c r="W134" s="128"/>
      <c r="X134" s="128"/>
      <c r="Y134" s="128"/>
      <c r="Z134" s="128"/>
      <c r="AA134" s="128"/>
    </row>
    <row r="135">
      <c r="A135" s="139" t="s">
        <v>299</v>
      </c>
      <c r="B135" s="139"/>
      <c r="C135" s="130" t="s">
        <v>216</v>
      </c>
      <c r="D135" s="138" t="s">
        <v>289</v>
      </c>
      <c r="E135" s="146" t="s">
        <v>438</v>
      </c>
      <c r="F135" s="162" t="s">
        <v>845</v>
      </c>
      <c r="G135" s="133" t="s">
        <v>846</v>
      </c>
      <c r="H135" s="151"/>
      <c r="I135" s="151"/>
      <c r="J135" s="128"/>
      <c r="K135" s="128"/>
      <c r="L135" s="170" t="s">
        <v>847</v>
      </c>
      <c r="M135" s="128"/>
      <c r="N135" s="128"/>
      <c r="O135" s="128"/>
      <c r="P135" s="128"/>
      <c r="Q135" s="128"/>
      <c r="R135" s="128" t="s">
        <v>216</v>
      </c>
      <c r="S135" s="128" t="s">
        <v>289</v>
      </c>
      <c r="T135" s="128" t="s">
        <v>438</v>
      </c>
      <c r="U135" s="129" t="s">
        <v>845</v>
      </c>
      <c r="V135" s="128" t="s">
        <v>848</v>
      </c>
      <c r="W135" s="128"/>
      <c r="X135" s="128"/>
      <c r="Y135" s="128"/>
      <c r="Z135" s="128"/>
      <c r="AA135" s="128"/>
    </row>
    <row r="136">
      <c r="A136" s="151" t="s">
        <v>217</v>
      </c>
      <c r="B136" s="139" t="s">
        <v>217</v>
      </c>
      <c r="C136" s="151" t="s">
        <v>217</v>
      </c>
      <c r="D136" s="146" t="s">
        <v>301</v>
      </c>
      <c r="E136" s="146" t="s">
        <v>849</v>
      </c>
      <c r="F136" s="162" t="s">
        <v>850</v>
      </c>
      <c r="G136" s="133" t="s">
        <v>851</v>
      </c>
      <c r="H136" s="151"/>
      <c r="I136" s="151"/>
      <c r="J136" s="128"/>
      <c r="K136" s="128"/>
      <c r="L136" s="173" t="s">
        <v>852</v>
      </c>
      <c r="M136" s="128"/>
      <c r="N136" s="128"/>
      <c r="O136" s="128"/>
      <c r="P136" s="128"/>
      <c r="Q136" s="128"/>
      <c r="R136" s="128" t="s">
        <v>217</v>
      </c>
      <c r="S136" s="128" t="s">
        <v>301</v>
      </c>
      <c r="T136" s="128" t="s">
        <v>849</v>
      </c>
      <c r="U136" s="129" t="s">
        <v>850</v>
      </c>
      <c r="V136" s="128" t="s">
        <v>853</v>
      </c>
      <c r="W136" s="128"/>
      <c r="X136" s="128"/>
      <c r="Y136" s="128"/>
      <c r="Z136" s="128"/>
      <c r="AA136" s="128"/>
    </row>
    <row r="137">
      <c r="A137" s="139" t="s">
        <v>299</v>
      </c>
      <c r="B137" s="153"/>
      <c r="C137" s="130" t="s">
        <v>854</v>
      </c>
      <c r="D137" s="139" t="s">
        <v>279</v>
      </c>
      <c r="E137" s="130"/>
      <c r="F137" s="151"/>
      <c r="G137" s="133" t="s">
        <v>855</v>
      </c>
      <c r="H137" s="164"/>
      <c r="I137" s="151"/>
      <c r="J137" s="128"/>
      <c r="K137" s="128"/>
      <c r="L137" s="170" t="s">
        <v>856</v>
      </c>
      <c r="M137" s="128"/>
      <c r="N137" s="128"/>
      <c r="O137" s="128"/>
      <c r="P137" s="128"/>
      <c r="Q137" s="128"/>
      <c r="R137" s="128" t="s">
        <v>854</v>
      </c>
      <c r="S137" s="128" t="s">
        <v>279</v>
      </c>
      <c r="T137" s="128"/>
      <c r="U137" s="129"/>
      <c r="V137" s="128" t="s">
        <v>857</v>
      </c>
      <c r="W137" s="128"/>
      <c r="X137" s="128"/>
      <c r="Y137" s="128"/>
      <c r="Z137" s="128"/>
      <c r="AA137" s="128"/>
    </row>
    <row r="138">
      <c r="A138" s="139" t="s">
        <v>299</v>
      </c>
      <c r="B138" s="153"/>
      <c r="C138" s="151" t="s">
        <v>858</v>
      </c>
      <c r="D138" s="139" t="s">
        <v>279</v>
      </c>
      <c r="E138" s="151"/>
      <c r="F138" s="164"/>
      <c r="G138" s="133" t="s">
        <v>859</v>
      </c>
      <c r="H138" s="151"/>
      <c r="I138" s="151"/>
      <c r="J138" s="128"/>
      <c r="K138" s="128"/>
      <c r="L138" s="170" t="s">
        <v>860</v>
      </c>
      <c r="M138" s="128"/>
      <c r="N138" s="128"/>
      <c r="O138" s="128"/>
      <c r="P138" s="128"/>
      <c r="Q138" s="128"/>
      <c r="R138" s="128" t="s">
        <v>858</v>
      </c>
      <c r="S138" s="128" t="s">
        <v>279</v>
      </c>
      <c r="T138" s="128"/>
      <c r="U138" s="129"/>
      <c r="V138" s="128" t="s">
        <v>861</v>
      </c>
      <c r="W138" s="128"/>
      <c r="X138" s="128"/>
      <c r="Y138" s="128"/>
      <c r="Z138" s="128"/>
      <c r="AA138" s="128"/>
    </row>
    <row r="139">
      <c r="A139" s="130" t="s">
        <v>401</v>
      </c>
      <c r="B139" s="139" t="s">
        <v>401</v>
      </c>
      <c r="C139" s="130" t="s">
        <v>219</v>
      </c>
      <c r="D139" s="139" t="s">
        <v>279</v>
      </c>
      <c r="E139" s="139" t="s">
        <v>402</v>
      </c>
      <c r="F139" s="164"/>
      <c r="G139" s="133"/>
      <c r="H139" s="151"/>
      <c r="I139" s="151"/>
      <c r="J139" s="128"/>
      <c r="K139" s="128"/>
      <c r="L139" s="170" t="s">
        <v>862</v>
      </c>
      <c r="M139" s="128"/>
      <c r="N139" s="128"/>
      <c r="O139" s="128"/>
      <c r="P139" s="128"/>
      <c r="Q139" s="128"/>
      <c r="R139" s="182" t="s">
        <v>219</v>
      </c>
      <c r="S139" s="182" t="s">
        <v>279</v>
      </c>
      <c r="T139" s="183" t="s">
        <v>402</v>
      </c>
      <c r="U139" s="184"/>
      <c r="V139" s="128"/>
      <c r="W139" s="128"/>
      <c r="X139" s="128"/>
      <c r="Y139" s="128"/>
      <c r="Z139" s="128"/>
      <c r="AA139" s="128"/>
    </row>
    <row r="140">
      <c r="A140" s="151" t="s">
        <v>401</v>
      </c>
      <c r="B140" s="139" t="s">
        <v>401</v>
      </c>
      <c r="C140" s="151" t="s">
        <v>220</v>
      </c>
      <c r="D140" s="139" t="s">
        <v>279</v>
      </c>
      <c r="E140" s="139" t="s">
        <v>402</v>
      </c>
      <c r="F140" s="162" t="s">
        <v>863</v>
      </c>
      <c r="G140" s="133" t="s">
        <v>864</v>
      </c>
      <c r="H140" s="164"/>
      <c r="I140" s="151"/>
      <c r="J140" s="128"/>
      <c r="K140" s="128"/>
      <c r="L140" s="170" t="s">
        <v>865</v>
      </c>
      <c r="M140" s="128"/>
      <c r="N140" s="182"/>
      <c r="O140" s="185"/>
      <c r="P140" s="182"/>
      <c r="Q140" s="186"/>
      <c r="R140" s="187" t="s">
        <v>220</v>
      </c>
      <c r="S140" s="187" t="s">
        <v>279</v>
      </c>
      <c r="T140" s="188" t="s">
        <v>402</v>
      </c>
      <c r="U140" s="189" t="s">
        <v>863</v>
      </c>
      <c r="V140" s="128" t="s">
        <v>866</v>
      </c>
      <c r="W140" s="128"/>
      <c r="X140" s="128"/>
      <c r="Y140" s="128"/>
      <c r="Z140" s="128"/>
      <c r="AA140" s="128"/>
    </row>
    <row r="141">
      <c r="A141" s="151" t="s">
        <v>401</v>
      </c>
      <c r="B141" s="153" t="s">
        <v>401</v>
      </c>
      <c r="C141" s="130" t="s">
        <v>221</v>
      </c>
      <c r="D141" s="139" t="s">
        <v>279</v>
      </c>
      <c r="E141" s="139" t="s">
        <v>402</v>
      </c>
      <c r="F141" s="162" t="s">
        <v>863</v>
      </c>
      <c r="G141" s="133" t="s">
        <v>867</v>
      </c>
      <c r="H141" s="164"/>
      <c r="I141" s="151"/>
      <c r="J141" s="128"/>
      <c r="K141" s="128"/>
      <c r="L141" s="170" t="s">
        <v>868</v>
      </c>
      <c r="M141" s="128"/>
      <c r="N141" s="187"/>
      <c r="O141" s="190"/>
      <c r="P141" s="187"/>
      <c r="Q141" s="191"/>
      <c r="R141" s="182" t="s">
        <v>221</v>
      </c>
      <c r="S141" s="182" t="s">
        <v>279</v>
      </c>
      <c r="T141" s="183" t="s">
        <v>402</v>
      </c>
      <c r="U141" s="184" t="s">
        <v>863</v>
      </c>
      <c r="V141" s="128" t="s">
        <v>869</v>
      </c>
      <c r="W141" s="128"/>
      <c r="X141" s="128"/>
      <c r="Y141" s="128"/>
      <c r="Z141" s="128"/>
      <c r="AA141" s="128"/>
    </row>
    <row r="142">
      <c r="A142" s="151" t="s">
        <v>401</v>
      </c>
      <c r="B142" s="139" t="s">
        <v>401</v>
      </c>
      <c r="C142" s="130" t="s">
        <v>223</v>
      </c>
      <c r="D142" s="139" t="s">
        <v>279</v>
      </c>
      <c r="E142" s="139" t="s">
        <v>402</v>
      </c>
      <c r="F142" s="162" t="s">
        <v>863</v>
      </c>
      <c r="G142" s="133" t="s">
        <v>870</v>
      </c>
      <c r="H142" s="164"/>
      <c r="I142" s="151"/>
      <c r="J142" s="128"/>
      <c r="K142" s="128"/>
      <c r="L142" s="170" t="s">
        <v>871</v>
      </c>
      <c r="M142" s="128"/>
      <c r="N142" s="182"/>
      <c r="O142" s="185"/>
      <c r="P142" s="182"/>
      <c r="Q142" s="186"/>
      <c r="R142" s="187" t="s">
        <v>223</v>
      </c>
      <c r="S142" s="187" t="s">
        <v>279</v>
      </c>
      <c r="T142" s="188" t="s">
        <v>402</v>
      </c>
      <c r="U142" s="189" t="s">
        <v>863</v>
      </c>
      <c r="V142" s="128" t="s">
        <v>872</v>
      </c>
      <c r="W142" s="128"/>
      <c r="X142" s="128"/>
      <c r="Y142" s="128"/>
      <c r="Z142" s="128"/>
      <c r="AA142" s="128"/>
    </row>
    <row r="143">
      <c r="A143" s="139" t="s">
        <v>299</v>
      </c>
      <c r="B143" s="141"/>
      <c r="C143" s="130" t="s">
        <v>873</v>
      </c>
      <c r="D143" s="130"/>
      <c r="E143" s="130"/>
      <c r="F143" s="150" t="s">
        <v>874</v>
      </c>
      <c r="G143" s="133"/>
      <c r="H143" s="164"/>
      <c r="I143" s="151"/>
      <c r="J143" s="128"/>
      <c r="K143" s="128"/>
      <c r="L143" s="170" t="s">
        <v>875</v>
      </c>
      <c r="M143" s="128"/>
      <c r="N143" s="187"/>
      <c r="O143" s="190"/>
      <c r="P143" s="187"/>
      <c r="Q143" s="191"/>
      <c r="R143" s="182" t="s">
        <v>873</v>
      </c>
      <c r="S143" s="182"/>
      <c r="T143" s="183"/>
      <c r="U143" s="184" t="s">
        <v>874</v>
      </c>
      <c r="V143" s="128"/>
      <c r="W143" s="128"/>
      <c r="X143" s="128"/>
      <c r="Y143" s="128"/>
      <c r="Z143" s="128"/>
      <c r="AA143" s="128"/>
    </row>
    <row r="144">
      <c r="A144" s="139" t="s">
        <v>299</v>
      </c>
      <c r="B144" s="141"/>
      <c r="C144" s="130" t="s">
        <v>876</v>
      </c>
      <c r="D144" s="139" t="s">
        <v>279</v>
      </c>
      <c r="E144" s="130"/>
      <c r="F144" s="150" t="s">
        <v>877</v>
      </c>
      <c r="G144" s="133"/>
      <c r="H144" s="151"/>
      <c r="I144" s="151"/>
      <c r="J144" s="128"/>
      <c r="K144" s="128"/>
      <c r="L144" s="170" t="s">
        <v>878</v>
      </c>
      <c r="M144" s="128"/>
      <c r="N144" s="182"/>
      <c r="O144" s="185"/>
      <c r="P144" s="182"/>
      <c r="Q144" s="186"/>
      <c r="R144" s="187" t="s">
        <v>876</v>
      </c>
      <c r="S144" s="187" t="s">
        <v>279</v>
      </c>
      <c r="T144" s="188"/>
      <c r="U144" s="189" t="s">
        <v>877</v>
      </c>
      <c r="V144" s="128"/>
      <c r="W144" s="128"/>
      <c r="X144" s="128"/>
      <c r="Y144" s="128"/>
      <c r="Z144" s="128"/>
      <c r="AA144" s="128"/>
    </row>
    <row r="145">
      <c r="A145" s="151"/>
      <c r="B145" s="141"/>
      <c r="C145" s="151" t="s">
        <v>879</v>
      </c>
      <c r="D145" s="151"/>
      <c r="E145" s="151"/>
      <c r="F145" s="162" t="s">
        <v>880</v>
      </c>
      <c r="G145" s="133" t="s">
        <v>881</v>
      </c>
      <c r="H145" s="151"/>
      <c r="I145" s="151"/>
      <c r="J145" s="128"/>
      <c r="K145" s="128"/>
      <c r="L145" s="170" t="s">
        <v>882</v>
      </c>
      <c r="M145" s="128"/>
      <c r="N145" s="187"/>
      <c r="O145" s="190"/>
      <c r="P145" s="187"/>
      <c r="Q145" s="191"/>
      <c r="R145" s="182" t="s">
        <v>879</v>
      </c>
      <c r="S145" s="182"/>
      <c r="T145" s="183"/>
      <c r="U145" s="184" t="s">
        <v>880</v>
      </c>
      <c r="V145" s="128" t="s">
        <v>883</v>
      </c>
      <c r="W145" s="128"/>
      <c r="X145" s="128"/>
      <c r="Y145" s="128"/>
      <c r="Z145" s="128"/>
      <c r="AA145" s="128"/>
    </row>
    <row r="146">
      <c r="A146" s="139" t="s">
        <v>299</v>
      </c>
      <c r="B146" s="141" t="s">
        <v>528</v>
      </c>
      <c r="C146" s="130" t="s">
        <v>224</v>
      </c>
      <c r="D146" s="139" t="s">
        <v>279</v>
      </c>
      <c r="E146" s="146" t="s">
        <v>343</v>
      </c>
      <c r="F146" s="162" t="s">
        <v>884</v>
      </c>
      <c r="G146" s="133" t="s">
        <v>885</v>
      </c>
      <c r="H146" s="164"/>
      <c r="I146" s="151"/>
      <c r="J146" s="128"/>
      <c r="K146" s="128"/>
      <c r="L146" s="170" t="s">
        <v>886</v>
      </c>
      <c r="M146" s="128"/>
      <c r="N146" s="182"/>
      <c r="O146" s="185"/>
      <c r="P146" s="182"/>
      <c r="Q146" s="186"/>
      <c r="R146" s="187" t="s">
        <v>224</v>
      </c>
      <c r="S146" s="187" t="s">
        <v>279</v>
      </c>
      <c r="T146" s="188" t="s">
        <v>343</v>
      </c>
      <c r="U146" s="189" t="s">
        <v>884</v>
      </c>
      <c r="V146" s="128" t="s">
        <v>887</v>
      </c>
      <c r="W146" s="128"/>
      <c r="X146" s="128"/>
      <c r="Y146" s="128"/>
      <c r="Z146" s="128"/>
      <c r="AA146" s="128"/>
    </row>
    <row r="147">
      <c r="A147" s="130" t="s">
        <v>888</v>
      </c>
      <c r="B147" s="130" t="s">
        <v>889</v>
      </c>
      <c r="C147" s="130" t="s">
        <v>225</v>
      </c>
      <c r="D147" s="139" t="s">
        <v>279</v>
      </c>
      <c r="E147" s="146" t="s">
        <v>438</v>
      </c>
      <c r="F147" s="178" t="s">
        <v>890</v>
      </c>
      <c r="G147" s="133" t="s">
        <v>891</v>
      </c>
      <c r="H147" s="164"/>
      <c r="I147" s="151"/>
      <c r="J147" s="128"/>
      <c r="K147" s="128"/>
      <c r="L147" s="173" t="s">
        <v>892</v>
      </c>
      <c r="M147" s="128"/>
      <c r="N147" s="187"/>
      <c r="O147" s="190"/>
      <c r="P147" s="187"/>
      <c r="Q147" s="191"/>
      <c r="R147" s="182" t="s">
        <v>225</v>
      </c>
      <c r="S147" s="182" t="s">
        <v>279</v>
      </c>
      <c r="T147" s="183" t="s">
        <v>438</v>
      </c>
      <c r="U147" s="184" t="s">
        <v>890</v>
      </c>
      <c r="V147" s="128" t="s">
        <v>893</v>
      </c>
      <c r="W147" s="128"/>
      <c r="X147" s="128"/>
      <c r="Y147" s="128"/>
      <c r="Z147" s="128"/>
      <c r="AA147" s="128"/>
    </row>
    <row r="148">
      <c r="A148" s="151" t="s">
        <v>401</v>
      </c>
      <c r="B148" s="139" t="s">
        <v>401</v>
      </c>
      <c r="C148" s="130" t="s">
        <v>226</v>
      </c>
      <c r="D148" s="139" t="s">
        <v>279</v>
      </c>
      <c r="E148" s="139" t="s">
        <v>402</v>
      </c>
      <c r="F148" s="172" t="s">
        <v>894</v>
      </c>
      <c r="G148" s="133" t="s">
        <v>895</v>
      </c>
      <c r="H148" s="164"/>
      <c r="I148" s="151"/>
      <c r="J148" s="128"/>
      <c r="K148" s="128"/>
      <c r="L148" s="170" t="s">
        <v>896</v>
      </c>
      <c r="M148" s="128"/>
      <c r="N148" s="182"/>
      <c r="O148" s="185"/>
      <c r="P148" s="182"/>
      <c r="Q148" s="186"/>
      <c r="R148" s="187" t="s">
        <v>226</v>
      </c>
      <c r="S148" s="187" t="s">
        <v>279</v>
      </c>
      <c r="T148" s="188" t="s">
        <v>402</v>
      </c>
      <c r="U148" s="189" t="s">
        <v>897</v>
      </c>
      <c r="V148" s="128" t="s">
        <v>898</v>
      </c>
      <c r="W148" s="128"/>
      <c r="X148" s="128"/>
      <c r="Y148" s="128"/>
      <c r="Z148" s="128"/>
      <c r="AA148" s="128"/>
    </row>
    <row r="149">
      <c r="A149" s="139" t="s">
        <v>299</v>
      </c>
      <c r="B149" s="141"/>
      <c r="C149" s="151" t="s">
        <v>899</v>
      </c>
      <c r="D149" s="138" t="s">
        <v>289</v>
      </c>
      <c r="E149" s="151"/>
      <c r="F149" s="162" t="s">
        <v>900</v>
      </c>
      <c r="G149" s="133" t="s">
        <v>901</v>
      </c>
      <c r="H149" s="164"/>
      <c r="I149" s="151"/>
      <c r="J149" s="128"/>
      <c r="K149" s="128"/>
      <c r="L149" s="170" t="s">
        <v>902</v>
      </c>
      <c r="M149" s="128"/>
      <c r="N149" s="187"/>
      <c r="O149" s="190"/>
      <c r="P149" s="187"/>
      <c r="Q149" s="191"/>
      <c r="R149" s="182" t="s">
        <v>899</v>
      </c>
      <c r="S149" s="182" t="s">
        <v>289</v>
      </c>
      <c r="T149" s="183"/>
      <c r="U149" s="184" t="s">
        <v>900</v>
      </c>
      <c r="V149" s="128" t="s">
        <v>903</v>
      </c>
      <c r="W149" s="128"/>
      <c r="X149" s="128"/>
      <c r="Y149" s="128"/>
      <c r="Z149" s="128"/>
      <c r="AA149" s="128"/>
    </row>
    <row r="150">
      <c r="A150" s="139" t="s">
        <v>299</v>
      </c>
      <c r="B150" s="141"/>
      <c r="C150" s="139" t="s">
        <v>904</v>
      </c>
      <c r="D150" s="139"/>
      <c r="E150" s="151"/>
      <c r="F150" s="178" t="s">
        <v>905</v>
      </c>
      <c r="G150" s="133" t="s">
        <v>906</v>
      </c>
      <c r="H150" s="164"/>
      <c r="I150" s="151"/>
      <c r="J150" s="128"/>
      <c r="K150" s="128"/>
      <c r="L150" s="170" t="s">
        <v>907</v>
      </c>
      <c r="M150" s="128"/>
      <c r="N150" s="182"/>
      <c r="O150" s="185"/>
      <c r="P150" s="182"/>
      <c r="Q150" s="186"/>
      <c r="R150" s="187" t="s">
        <v>904</v>
      </c>
      <c r="S150" s="187"/>
      <c r="T150" s="188"/>
      <c r="U150" s="189" t="s">
        <v>905</v>
      </c>
      <c r="V150" s="128" t="s">
        <v>908</v>
      </c>
      <c r="W150" s="128"/>
      <c r="X150" s="128"/>
      <c r="Y150" s="128"/>
      <c r="Z150" s="128"/>
      <c r="AA150" s="128"/>
    </row>
    <row r="151">
      <c r="A151" s="139" t="s">
        <v>299</v>
      </c>
      <c r="B151" s="141"/>
      <c r="C151" s="151" t="s">
        <v>909</v>
      </c>
      <c r="D151" s="139" t="s">
        <v>279</v>
      </c>
      <c r="E151" s="151"/>
      <c r="F151" s="162" t="s">
        <v>910</v>
      </c>
      <c r="G151" s="133"/>
      <c r="H151" s="151"/>
      <c r="I151" s="151"/>
      <c r="J151" s="128"/>
      <c r="K151" s="128"/>
      <c r="L151" s="170" t="s">
        <v>911</v>
      </c>
      <c r="M151" s="128"/>
      <c r="N151" s="187"/>
      <c r="O151" s="190"/>
      <c r="P151" s="187"/>
      <c r="Q151" s="191"/>
      <c r="R151" s="182" t="s">
        <v>909</v>
      </c>
      <c r="S151" s="182" t="s">
        <v>279</v>
      </c>
      <c r="T151" s="183"/>
      <c r="U151" s="184" t="s">
        <v>910</v>
      </c>
      <c r="V151" s="128"/>
      <c r="W151" s="128"/>
      <c r="X151" s="128"/>
      <c r="Y151" s="128"/>
      <c r="Z151" s="128"/>
      <c r="AA151" s="128"/>
    </row>
    <row r="152">
      <c r="A152" s="139" t="s">
        <v>299</v>
      </c>
      <c r="B152" s="141"/>
      <c r="C152" s="151" t="s">
        <v>912</v>
      </c>
      <c r="D152" s="139" t="s">
        <v>279</v>
      </c>
      <c r="E152" s="151"/>
      <c r="F152" s="162" t="s">
        <v>913</v>
      </c>
      <c r="G152" s="133" t="s">
        <v>914</v>
      </c>
      <c r="H152" s="164"/>
      <c r="I152" s="151"/>
      <c r="J152" s="128"/>
      <c r="K152" s="128"/>
      <c r="L152" s="170" t="s">
        <v>915</v>
      </c>
      <c r="M152" s="128"/>
      <c r="N152" s="182"/>
      <c r="O152" s="185"/>
      <c r="P152" s="182"/>
      <c r="Q152" s="186"/>
      <c r="R152" s="187" t="s">
        <v>912</v>
      </c>
      <c r="S152" s="187" t="s">
        <v>279</v>
      </c>
      <c r="T152" s="188"/>
      <c r="U152" s="189" t="s">
        <v>913</v>
      </c>
      <c r="V152" s="128" t="s">
        <v>916</v>
      </c>
      <c r="W152" s="128"/>
      <c r="X152" s="128"/>
      <c r="Y152" s="128"/>
      <c r="Z152" s="128"/>
      <c r="AA152" s="128"/>
    </row>
    <row r="153">
      <c r="A153" s="139" t="s">
        <v>299</v>
      </c>
      <c r="B153" s="141"/>
      <c r="C153" s="151" t="s">
        <v>917</v>
      </c>
      <c r="D153" s="151"/>
      <c r="E153" s="151"/>
      <c r="F153" s="164"/>
      <c r="G153" s="133"/>
      <c r="H153" s="164"/>
      <c r="I153" s="151"/>
      <c r="J153" s="128"/>
      <c r="K153" s="128"/>
      <c r="L153" s="170" t="s">
        <v>918</v>
      </c>
      <c r="M153" s="128"/>
      <c r="N153" s="187"/>
      <c r="O153" s="190"/>
      <c r="P153" s="187"/>
      <c r="Q153" s="191"/>
      <c r="R153" s="182" t="s">
        <v>917</v>
      </c>
      <c r="S153" s="182"/>
      <c r="T153" s="183"/>
      <c r="U153" s="184"/>
      <c r="V153" s="128"/>
      <c r="W153" s="128"/>
      <c r="X153" s="128"/>
      <c r="Y153" s="128"/>
      <c r="Z153" s="128"/>
      <c r="AA153" s="128"/>
    </row>
    <row r="154">
      <c r="A154" s="139" t="s">
        <v>299</v>
      </c>
      <c r="B154" s="141"/>
      <c r="C154" s="139" t="s">
        <v>919</v>
      </c>
      <c r="D154" s="139" t="s">
        <v>301</v>
      </c>
      <c r="E154" s="151"/>
      <c r="F154" s="156" t="s">
        <v>920</v>
      </c>
      <c r="G154" s="133" t="s">
        <v>921</v>
      </c>
      <c r="H154" s="151"/>
      <c r="I154" s="151"/>
      <c r="J154" s="128"/>
      <c r="K154" s="128"/>
      <c r="L154" s="170" t="s">
        <v>922</v>
      </c>
      <c r="M154" s="128"/>
      <c r="N154" s="182"/>
      <c r="O154" s="185"/>
      <c r="P154" s="182"/>
      <c r="Q154" s="186"/>
      <c r="R154" s="187" t="s">
        <v>919</v>
      </c>
      <c r="S154" s="187" t="s">
        <v>301</v>
      </c>
      <c r="T154" s="188"/>
      <c r="U154" s="189" t="s">
        <v>920</v>
      </c>
      <c r="V154" s="128" t="s">
        <v>923</v>
      </c>
      <c r="W154" s="128"/>
      <c r="X154" s="128"/>
      <c r="Y154" s="128"/>
      <c r="Z154" s="128"/>
      <c r="AA154" s="128"/>
    </row>
    <row r="155">
      <c r="A155" s="139" t="s">
        <v>299</v>
      </c>
      <c r="B155" s="141"/>
      <c r="C155" s="151" t="s">
        <v>924</v>
      </c>
      <c r="D155" s="139" t="s">
        <v>279</v>
      </c>
      <c r="E155" s="151"/>
      <c r="F155" s="162" t="s">
        <v>925</v>
      </c>
      <c r="G155" s="133"/>
      <c r="H155" s="151"/>
      <c r="I155" s="151"/>
      <c r="J155" s="128"/>
      <c r="K155" s="128"/>
      <c r="L155" s="143" t="s">
        <v>926</v>
      </c>
      <c r="M155" s="128"/>
      <c r="N155" s="187"/>
      <c r="O155" s="190"/>
      <c r="P155" s="187"/>
      <c r="Q155" s="191"/>
      <c r="R155" s="182" t="s">
        <v>924</v>
      </c>
      <c r="S155" s="182" t="s">
        <v>279</v>
      </c>
      <c r="T155" s="183"/>
      <c r="U155" s="184" t="s">
        <v>925</v>
      </c>
      <c r="V155" s="128"/>
      <c r="W155" s="128"/>
      <c r="X155" s="128"/>
      <c r="Y155" s="128"/>
      <c r="Z155" s="128"/>
      <c r="AA155" s="128"/>
    </row>
    <row r="156">
      <c r="A156" s="139" t="s">
        <v>299</v>
      </c>
      <c r="B156" s="141"/>
      <c r="C156" s="151" t="s">
        <v>927</v>
      </c>
      <c r="D156" s="139" t="s">
        <v>279</v>
      </c>
      <c r="E156" s="151"/>
      <c r="F156" s="162" t="s">
        <v>928</v>
      </c>
      <c r="G156" s="133" t="s">
        <v>929</v>
      </c>
      <c r="H156" s="151"/>
      <c r="I156" s="151"/>
      <c r="J156" s="128"/>
      <c r="K156" s="128"/>
      <c r="L156" s="170" t="s">
        <v>930</v>
      </c>
      <c r="M156" s="128"/>
      <c r="N156" s="182"/>
      <c r="O156" s="185"/>
      <c r="P156" s="182"/>
      <c r="Q156" s="186"/>
      <c r="R156" s="187" t="s">
        <v>927</v>
      </c>
      <c r="S156" s="187" t="s">
        <v>279</v>
      </c>
      <c r="T156" s="188"/>
      <c r="U156" s="189" t="s">
        <v>928</v>
      </c>
      <c r="V156" s="128" t="s">
        <v>931</v>
      </c>
      <c r="W156" s="128"/>
      <c r="X156" s="128"/>
      <c r="Y156" s="128"/>
      <c r="Z156" s="128"/>
      <c r="AA156" s="128"/>
    </row>
    <row r="157">
      <c r="A157" s="139" t="s">
        <v>299</v>
      </c>
      <c r="B157" s="141"/>
      <c r="C157" s="151" t="s">
        <v>932</v>
      </c>
      <c r="D157" s="139" t="s">
        <v>279</v>
      </c>
      <c r="E157" s="151"/>
      <c r="F157" s="162" t="s">
        <v>933</v>
      </c>
      <c r="G157" s="133" t="s">
        <v>934</v>
      </c>
      <c r="H157" s="164"/>
      <c r="I157" s="151"/>
      <c r="J157" s="128"/>
      <c r="K157" s="128"/>
      <c r="L157" s="170" t="s">
        <v>935</v>
      </c>
      <c r="M157" s="128"/>
      <c r="N157" s="187"/>
      <c r="O157" s="190"/>
      <c r="P157" s="187"/>
      <c r="Q157" s="191"/>
      <c r="R157" s="182" t="s">
        <v>932</v>
      </c>
      <c r="S157" s="182" t="s">
        <v>279</v>
      </c>
      <c r="T157" s="183"/>
      <c r="U157" s="184" t="s">
        <v>933</v>
      </c>
      <c r="V157" s="128" t="s">
        <v>936</v>
      </c>
      <c r="W157" s="128"/>
      <c r="X157" s="128"/>
      <c r="Y157" s="128"/>
      <c r="Z157" s="128"/>
      <c r="AA157" s="128"/>
    </row>
    <row r="158">
      <c r="A158" s="139" t="s">
        <v>299</v>
      </c>
      <c r="B158" s="139" t="s">
        <v>528</v>
      </c>
      <c r="C158" s="151" t="s">
        <v>228</v>
      </c>
      <c r="D158" s="139" t="s">
        <v>279</v>
      </c>
      <c r="E158" s="146" t="s">
        <v>343</v>
      </c>
      <c r="F158" s="162" t="s">
        <v>937</v>
      </c>
      <c r="G158" s="133" t="s">
        <v>938</v>
      </c>
      <c r="H158" s="164"/>
      <c r="I158" s="151"/>
      <c r="J158" s="128"/>
      <c r="K158" s="128"/>
      <c r="L158" s="170" t="s">
        <v>939</v>
      </c>
      <c r="M158" s="128"/>
      <c r="N158" s="182"/>
      <c r="O158" s="185"/>
      <c r="P158" s="182"/>
      <c r="Q158" s="186"/>
      <c r="R158" s="136" t="s">
        <v>228</v>
      </c>
      <c r="S158" s="136" t="s">
        <v>279</v>
      </c>
      <c r="T158" s="192" t="s">
        <v>343</v>
      </c>
      <c r="U158" s="193" t="s">
        <v>937</v>
      </c>
      <c r="V158" s="128" t="s">
        <v>940</v>
      </c>
      <c r="W158" s="128"/>
      <c r="X158" s="128"/>
      <c r="Y158" s="128"/>
      <c r="Z158" s="128"/>
      <c r="AA158" s="128"/>
    </row>
    <row r="159">
      <c r="A159" s="139" t="s">
        <v>299</v>
      </c>
      <c r="B159" s="141"/>
      <c r="C159" s="130" t="s">
        <v>941</v>
      </c>
      <c r="D159" s="139" t="s">
        <v>301</v>
      </c>
      <c r="E159" s="130"/>
      <c r="F159" s="162" t="s">
        <v>942</v>
      </c>
      <c r="G159" s="133"/>
      <c r="H159" s="164"/>
      <c r="I159" s="151"/>
      <c r="J159" s="128"/>
      <c r="K159" s="128"/>
      <c r="L159" s="173" t="s">
        <v>943</v>
      </c>
      <c r="M159" s="128"/>
      <c r="N159" s="187"/>
      <c r="O159" s="136"/>
      <c r="P159" s="136"/>
      <c r="Q159" s="128"/>
      <c r="R159" s="136" t="s">
        <v>941</v>
      </c>
      <c r="S159" s="136" t="s">
        <v>301</v>
      </c>
      <c r="T159" s="192"/>
      <c r="U159" s="193" t="s">
        <v>942</v>
      </c>
      <c r="V159" s="128"/>
      <c r="W159" s="128"/>
      <c r="X159" s="128"/>
      <c r="Y159" s="128"/>
      <c r="Z159" s="128"/>
      <c r="AA159" s="128"/>
    </row>
    <row r="160">
      <c r="A160" s="139" t="s">
        <v>299</v>
      </c>
      <c r="B160" s="141"/>
      <c r="C160" s="151" t="s">
        <v>944</v>
      </c>
      <c r="D160" s="151"/>
      <c r="E160" s="151"/>
      <c r="F160" s="164"/>
      <c r="G160" s="133"/>
      <c r="H160" s="164"/>
      <c r="I160" s="151"/>
      <c r="J160" s="128"/>
      <c r="K160" s="128"/>
      <c r="L160" s="170" t="s">
        <v>945</v>
      </c>
      <c r="M160" s="128"/>
      <c r="N160" s="126"/>
      <c r="O160" s="136"/>
      <c r="P160" s="136"/>
      <c r="Q160" s="128"/>
      <c r="R160" s="136" t="s">
        <v>944</v>
      </c>
      <c r="S160" s="136"/>
      <c r="T160" s="192"/>
      <c r="U160" s="193"/>
      <c r="V160" s="128"/>
      <c r="W160" s="128"/>
      <c r="X160" s="128"/>
      <c r="Y160" s="128"/>
      <c r="Z160" s="128"/>
      <c r="AA160" s="128"/>
    </row>
    <row r="161">
      <c r="A161" s="139" t="s">
        <v>299</v>
      </c>
      <c r="B161" s="141"/>
      <c r="C161" s="151" t="s">
        <v>230</v>
      </c>
      <c r="D161" s="139" t="s">
        <v>412</v>
      </c>
      <c r="E161" s="146" t="s">
        <v>123</v>
      </c>
      <c r="F161" s="162" t="s">
        <v>946</v>
      </c>
      <c r="G161" s="133" t="s">
        <v>947</v>
      </c>
      <c r="H161" s="164"/>
      <c r="I161" s="151"/>
      <c r="J161" s="128"/>
      <c r="K161" s="128"/>
      <c r="L161" s="143" t="s">
        <v>948</v>
      </c>
      <c r="M161" s="128"/>
      <c r="N161" s="136"/>
      <c r="O161" s="136"/>
      <c r="P161" s="136"/>
      <c r="Q161" s="128"/>
      <c r="R161" s="136" t="s">
        <v>230</v>
      </c>
      <c r="S161" s="136" t="s">
        <v>412</v>
      </c>
      <c r="T161" s="192" t="s">
        <v>123</v>
      </c>
      <c r="U161" s="193" t="s">
        <v>946</v>
      </c>
      <c r="V161" s="128" t="s">
        <v>949</v>
      </c>
      <c r="W161" s="128"/>
      <c r="X161" s="128"/>
      <c r="Y161" s="128"/>
      <c r="Z161" s="128"/>
      <c r="AA161" s="128"/>
    </row>
    <row r="162">
      <c r="A162" s="139" t="s">
        <v>299</v>
      </c>
      <c r="B162" s="141"/>
      <c r="C162" s="151" t="s">
        <v>950</v>
      </c>
      <c r="D162" s="151"/>
      <c r="E162" s="151"/>
      <c r="F162" s="164"/>
      <c r="G162" s="133"/>
      <c r="H162" s="164"/>
      <c r="I162" s="151"/>
      <c r="J162" s="128"/>
      <c r="K162" s="128"/>
      <c r="L162" s="170" t="s">
        <v>951</v>
      </c>
      <c r="M162" s="128"/>
      <c r="N162" s="136"/>
      <c r="O162" s="136"/>
      <c r="P162" s="136"/>
      <c r="Q162" s="128"/>
      <c r="R162" s="136" t="s">
        <v>950</v>
      </c>
      <c r="S162" s="136"/>
      <c r="T162" s="192"/>
      <c r="U162" s="193"/>
      <c r="V162" s="128"/>
      <c r="W162" s="128"/>
      <c r="X162" s="128"/>
      <c r="Y162" s="128"/>
      <c r="Z162" s="128"/>
      <c r="AA162" s="128"/>
    </row>
    <row r="163">
      <c r="A163" s="139" t="s">
        <v>299</v>
      </c>
      <c r="B163" s="141"/>
      <c r="C163" s="139" t="s">
        <v>234</v>
      </c>
      <c r="D163" s="139"/>
      <c r="E163" s="151"/>
      <c r="F163" s="156" t="s">
        <v>952</v>
      </c>
      <c r="G163" s="133" t="s">
        <v>953</v>
      </c>
      <c r="H163" s="164"/>
      <c r="I163" s="151"/>
      <c r="J163" s="128"/>
      <c r="K163" s="128"/>
      <c r="L163" s="170" t="s">
        <v>954</v>
      </c>
      <c r="M163" s="128"/>
      <c r="N163" s="136"/>
      <c r="O163" s="136"/>
      <c r="P163" s="136"/>
      <c r="Q163" s="128"/>
      <c r="R163" s="136" t="s">
        <v>234</v>
      </c>
      <c r="S163" s="136"/>
      <c r="T163" s="192"/>
      <c r="U163" s="193" t="s">
        <v>952</v>
      </c>
      <c r="V163" s="128" t="s">
        <v>955</v>
      </c>
      <c r="W163" s="128"/>
      <c r="X163" s="128"/>
      <c r="Y163" s="128"/>
      <c r="Z163" s="128"/>
      <c r="AA163" s="128"/>
    </row>
    <row r="164">
      <c r="A164" s="139" t="s">
        <v>299</v>
      </c>
      <c r="B164" s="141"/>
      <c r="C164" s="151" t="s">
        <v>956</v>
      </c>
      <c r="D164" s="139" t="s">
        <v>279</v>
      </c>
      <c r="E164" s="151"/>
      <c r="F164" s="162" t="s">
        <v>957</v>
      </c>
      <c r="G164" s="133"/>
      <c r="H164" s="164"/>
      <c r="I164" s="151"/>
      <c r="J164" s="128"/>
      <c r="K164" s="128"/>
      <c r="L164" s="170" t="s">
        <v>958</v>
      </c>
      <c r="M164" s="128"/>
      <c r="N164" s="136"/>
      <c r="O164" s="136"/>
      <c r="P164" s="136"/>
      <c r="Q164" s="128"/>
      <c r="R164" s="136" t="s">
        <v>956</v>
      </c>
      <c r="S164" s="136" t="s">
        <v>279</v>
      </c>
      <c r="T164" s="192"/>
      <c r="U164" s="193" t="s">
        <v>957</v>
      </c>
      <c r="V164" s="128"/>
      <c r="W164" s="128"/>
      <c r="X164" s="128"/>
      <c r="Y164" s="128"/>
      <c r="Z164" s="128"/>
      <c r="AA164" s="128"/>
    </row>
    <row r="165">
      <c r="A165" s="139" t="s">
        <v>299</v>
      </c>
      <c r="B165" s="131" t="s">
        <v>959</v>
      </c>
      <c r="C165" s="151" t="s">
        <v>235</v>
      </c>
      <c r="D165" s="139" t="s">
        <v>412</v>
      </c>
      <c r="E165" s="194" t="s">
        <v>960</v>
      </c>
      <c r="F165" s="162" t="s">
        <v>961</v>
      </c>
      <c r="G165" s="133" t="s">
        <v>962</v>
      </c>
      <c r="H165" s="164"/>
      <c r="I165" s="151"/>
      <c r="J165" s="128"/>
      <c r="K165" s="128"/>
      <c r="L165" s="170" t="s">
        <v>963</v>
      </c>
      <c r="M165" s="128"/>
      <c r="N165" s="136"/>
      <c r="O165" s="136"/>
      <c r="P165" s="136"/>
      <c r="Q165" s="128"/>
      <c r="R165" s="136" t="s">
        <v>235</v>
      </c>
      <c r="S165" s="136" t="s">
        <v>412</v>
      </c>
      <c r="T165" s="192" t="s">
        <v>960</v>
      </c>
      <c r="U165" s="193" t="s">
        <v>961</v>
      </c>
      <c r="V165" s="128" t="s">
        <v>964</v>
      </c>
      <c r="W165" s="128"/>
      <c r="X165" s="128"/>
      <c r="Y165" s="128"/>
      <c r="Z165" s="128"/>
      <c r="AA165" s="128"/>
    </row>
    <row r="166">
      <c r="A166" s="139" t="s">
        <v>299</v>
      </c>
      <c r="B166" s="141"/>
      <c r="C166" s="151" t="s">
        <v>965</v>
      </c>
      <c r="D166" s="139" t="s">
        <v>301</v>
      </c>
      <c r="E166" s="151"/>
      <c r="F166" s="195" t="s">
        <v>966</v>
      </c>
      <c r="G166" s="133" t="s">
        <v>967</v>
      </c>
      <c r="H166" s="164"/>
      <c r="I166" s="151"/>
      <c r="J166" s="128"/>
      <c r="K166" s="128"/>
      <c r="L166" s="170" t="s">
        <v>968</v>
      </c>
      <c r="M166" s="128"/>
      <c r="N166" s="136"/>
      <c r="O166" s="136"/>
      <c r="P166" s="136"/>
      <c r="Q166" s="128"/>
      <c r="R166" s="136" t="s">
        <v>965</v>
      </c>
      <c r="S166" s="136" t="s">
        <v>301</v>
      </c>
      <c r="T166" s="192"/>
      <c r="U166" s="193" t="s">
        <v>966</v>
      </c>
      <c r="V166" s="128" t="s">
        <v>969</v>
      </c>
      <c r="W166" s="128"/>
      <c r="X166" s="128"/>
      <c r="Y166" s="128"/>
      <c r="Z166" s="128"/>
      <c r="AA166" s="128"/>
    </row>
    <row r="167">
      <c r="A167" s="130" t="s">
        <v>238</v>
      </c>
      <c r="B167" s="131" t="s">
        <v>970</v>
      </c>
      <c r="C167" s="130" t="s">
        <v>238</v>
      </c>
      <c r="D167" s="139" t="s">
        <v>279</v>
      </c>
      <c r="E167" s="146" t="s">
        <v>334</v>
      </c>
      <c r="F167" s="162" t="s">
        <v>971</v>
      </c>
      <c r="G167" s="133" t="s">
        <v>972</v>
      </c>
      <c r="H167" s="164"/>
      <c r="I167" s="151"/>
      <c r="J167" s="128"/>
      <c r="K167" s="128"/>
      <c r="L167" s="170" t="s">
        <v>973</v>
      </c>
      <c r="M167" s="128"/>
      <c r="N167" s="136"/>
      <c r="O167" s="136"/>
      <c r="P167" s="136"/>
      <c r="Q167" s="128"/>
      <c r="R167" s="128" t="s">
        <v>238</v>
      </c>
      <c r="S167" s="128" t="s">
        <v>279</v>
      </c>
      <c r="T167" s="128" t="s">
        <v>334</v>
      </c>
      <c r="U167" s="129" t="s">
        <v>971</v>
      </c>
      <c r="V167" s="128" t="s">
        <v>974</v>
      </c>
      <c r="W167" s="128"/>
      <c r="X167" s="128"/>
      <c r="Y167" s="128"/>
      <c r="Z167" s="128"/>
      <c r="AA167" s="128"/>
    </row>
    <row r="168">
      <c r="A168" s="139" t="s">
        <v>436</v>
      </c>
      <c r="B168" s="141" t="s">
        <v>436</v>
      </c>
      <c r="C168" s="130" t="s">
        <v>242</v>
      </c>
      <c r="D168" s="139" t="s">
        <v>279</v>
      </c>
      <c r="E168" s="146" t="s">
        <v>438</v>
      </c>
      <c r="F168" s="162" t="s">
        <v>975</v>
      </c>
      <c r="G168" s="133" t="s">
        <v>976</v>
      </c>
      <c r="H168" s="164"/>
      <c r="I168" s="151"/>
      <c r="J168" s="128"/>
      <c r="K168" s="128"/>
      <c r="L168" s="170" t="s">
        <v>977</v>
      </c>
      <c r="M168" s="128"/>
      <c r="N168" s="136"/>
      <c r="O168" s="136"/>
      <c r="P168" s="136"/>
      <c r="Q168" s="128"/>
      <c r="R168" s="128" t="s">
        <v>242</v>
      </c>
      <c r="S168" s="128" t="s">
        <v>279</v>
      </c>
      <c r="T168" s="128" t="s">
        <v>438</v>
      </c>
      <c r="U168" s="129" t="s">
        <v>975</v>
      </c>
      <c r="V168" s="128" t="s">
        <v>978</v>
      </c>
      <c r="W168" s="128"/>
      <c r="X168" s="128"/>
      <c r="Y168" s="128"/>
      <c r="Z168" s="128"/>
      <c r="AA168" s="128"/>
    </row>
    <row r="169">
      <c r="A169" s="130" t="s">
        <v>979</v>
      </c>
      <c r="B169" s="131" t="s">
        <v>980</v>
      </c>
      <c r="C169" s="151" t="s">
        <v>243</v>
      </c>
      <c r="D169" s="139" t="s">
        <v>279</v>
      </c>
      <c r="E169" s="146" t="s">
        <v>308</v>
      </c>
      <c r="F169" s="162" t="s">
        <v>981</v>
      </c>
      <c r="G169" s="133" t="s">
        <v>982</v>
      </c>
      <c r="H169" s="151"/>
      <c r="I169" s="151"/>
      <c r="J169" s="128"/>
      <c r="K169" s="128"/>
      <c r="L169" s="170" t="s">
        <v>983</v>
      </c>
      <c r="M169" s="128"/>
      <c r="N169" s="136"/>
      <c r="O169" s="128"/>
      <c r="P169" s="128"/>
      <c r="Q169" s="128"/>
      <c r="R169" s="128" t="s">
        <v>243</v>
      </c>
      <c r="S169" s="128" t="s">
        <v>279</v>
      </c>
      <c r="T169" s="128" t="s">
        <v>308</v>
      </c>
      <c r="U169" s="129" t="s">
        <v>981</v>
      </c>
      <c r="V169" s="128" t="s">
        <v>984</v>
      </c>
      <c r="W169" s="128"/>
      <c r="X169" s="128"/>
      <c r="Y169" s="128"/>
      <c r="Z169" s="128"/>
      <c r="AA169" s="128"/>
    </row>
    <row r="170">
      <c r="A170" s="139" t="s">
        <v>299</v>
      </c>
      <c r="B170" s="139" t="s">
        <v>401</v>
      </c>
      <c r="C170" s="151" t="s">
        <v>244</v>
      </c>
      <c r="D170" s="139" t="s">
        <v>279</v>
      </c>
      <c r="E170" s="139" t="s">
        <v>402</v>
      </c>
      <c r="F170" s="150" t="s">
        <v>863</v>
      </c>
      <c r="G170" s="133" t="s">
        <v>985</v>
      </c>
      <c r="H170" s="164"/>
      <c r="I170" s="151"/>
      <c r="J170" s="128"/>
      <c r="K170" s="128"/>
      <c r="L170" s="170" t="s">
        <v>986</v>
      </c>
      <c r="M170" s="128"/>
      <c r="N170" s="128"/>
      <c r="O170" s="128"/>
      <c r="P170" s="128"/>
      <c r="Q170" s="128"/>
      <c r="R170" s="128" t="s">
        <v>244</v>
      </c>
      <c r="S170" s="128" t="s">
        <v>279</v>
      </c>
      <c r="T170" s="128" t="s">
        <v>402</v>
      </c>
      <c r="U170" s="129" t="s">
        <v>863</v>
      </c>
      <c r="V170" s="128" t="s">
        <v>987</v>
      </c>
      <c r="W170" s="128"/>
      <c r="X170" s="128"/>
      <c r="Y170" s="128"/>
      <c r="Z170" s="128"/>
      <c r="AA170" s="128"/>
    </row>
    <row r="171">
      <c r="A171" s="139" t="s">
        <v>299</v>
      </c>
      <c r="B171" s="141"/>
      <c r="C171" s="151" t="s">
        <v>988</v>
      </c>
      <c r="D171" s="139" t="s">
        <v>279</v>
      </c>
      <c r="E171" s="151"/>
      <c r="F171" s="162" t="s">
        <v>989</v>
      </c>
      <c r="G171" s="133"/>
      <c r="H171" s="164"/>
      <c r="I171" s="151"/>
      <c r="J171" s="128"/>
      <c r="K171" s="128"/>
      <c r="L171" s="170" t="s">
        <v>990</v>
      </c>
      <c r="M171" s="128"/>
      <c r="N171" s="128"/>
      <c r="O171" s="128"/>
      <c r="P171" s="128"/>
      <c r="Q171" s="128"/>
      <c r="R171" s="128" t="s">
        <v>988</v>
      </c>
      <c r="S171" s="128" t="s">
        <v>279</v>
      </c>
      <c r="T171" s="128"/>
      <c r="U171" s="129" t="s">
        <v>989</v>
      </c>
      <c r="V171" s="128"/>
      <c r="W171" s="128"/>
      <c r="X171" s="128"/>
      <c r="Y171" s="128"/>
      <c r="Z171" s="128"/>
      <c r="AA171" s="128"/>
    </row>
    <row r="172">
      <c r="A172" s="139" t="s">
        <v>299</v>
      </c>
      <c r="B172" s="151" t="s">
        <v>245</v>
      </c>
      <c r="C172" s="151" t="s">
        <v>245</v>
      </c>
      <c r="D172" s="139" t="s">
        <v>289</v>
      </c>
      <c r="E172" s="146" t="s">
        <v>438</v>
      </c>
      <c r="F172" s="162" t="s">
        <v>991</v>
      </c>
      <c r="G172" s="133" t="s">
        <v>992</v>
      </c>
      <c r="H172" s="151"/>
      <c r="I172" s="151"/>
      <c r="J172" s="128"/>
      <c r="K172" s="128"/>
      <c r="L172" s="170" t="s">
        <v>993</v>
      </c>
      <c r="M172" s="128"/>
      <c r="N172" s="128"/>
      <c r="O172" s="128"/>
      <c r="P172" s="128"/>
      <c r="Q172" s="128"/>
      <c r="R172" s="128" t="s">
        <v>245</v>
      </c>
      <c r="S172" s="128" t="s">
        <v>289</v>
      </c>
      <c r="T172" s="128" t="s">
        <v>438</v>
      </c>
      <c r="U172" s="129" t="s">
        <v>991</v>
      </c>
      <c r="V172" s="128" t="s">
        <v>994</v>
      </c>
      <c r="W172" s="128"/>
      <c r="X172" s="128"/>
      <c r="Y172" s="128"/>
      <c r="Z172" s="128"/>
      <c r="AA172" s="128"/>
    </row>
    <row r="173">
      <c r="A173" s="139" t="s">
        <v>299</v>
      </c>
      <c r="B173" s="141"/>
      <c r="C173" s="151" t="s">
        <v>995</v>
      </c>
      <c r="D173" s="139" t="s">
        <v>279</v>
      </c>
      <c r="E173" s="151"/>
      <c r="F173" s="162" t="s">
        <v>996</v>
      </c>
      <c r="G173" s="133"/>
      <c r="H173" s="164"/>
      <c r="I173" s="151"/>
      <c r="J173" s="128"/>
      <c r="K173" s="128"/>
      <c r="L173" s="170" t="s">
        <v>997</v>
      </c>
      <c r="M173" s="128"/>
      <c r="N173" s="128"/>
      <c r="O173" s="128"/>
      <c r="P173" s="128"/>
      <c r="Q173" s="128"/>
      <c r="R173" s="128" t="s">
        <v>995</v>
      </c>
      <c r="S173" s="128" t="s">
        <v>279</v>
      </c>
      <c r="T173" s="128"/>
      <c r="U173" s="129" t="s">
        <v>996</v>
      </c>
      <c r="V173" s="128"/>
      <c r="W173" s="128"/>
      <c r="X173" s="128"/>
      <c r="Y173" s="128"/>
      <c r="Z173" s="128"/>
      <c r="AA173" s="128"/>
    </row>
    <row r="174">
      <c r="A174" s="139" t="s">
        <v>299</v>
      </c>
      <c r="B174" s="141"/>
      <c r="C174" s="138" t="s">
        <v>998</v>
      </c>
      <c r="D174" s="139" t="s">
        <v>279</v>
      </c>
      <c r="E174" s="138"/>
      <c r="F174" s="164"/>
      <c r="G174" s="133"/>
      <c r="H174" s="164"/>
      <c r="I174" s="151"/>
      <c r="J174" s="128"/>
      <c r="K174" s="128"/>
      <c r="L174" s="170" t="s">
        <v>999</v>
      </c>
      <c r="M174" s="128"/>
      <c r="N174" s="128"/>
      <c r="O174" s="128"/>
      <c r="P174" s="128"/>
      <c r="Q174" s="128"/>
      <c r="R174" s="128" t="s">
        <v>998</v>
      </c>
      <c r="S174" s="128" t="s">
        <v>279</v>
      </c>
      <c r="T174" s="128"/>
      <c r="U174" s="129"/>
      <c r="V174" s="128"/>
      <c r="W174" s="128"/>
      <c r="X174" s="128"/>
      <c r="Y174" s="128"/>
      <c r="Z174" s="128"/>
      <c r="AA174" s="128"/>
    </row>
    <row r="175">
      <c r="A175" s="139" t="s">
        <v>1000</v>
      </c>
      <c r="B175" s="141" t="s">
        <v>1000</v>
      </c>
      <c r="C175" s="130" t="s">
        <v>1001</v>
      </c>
      <c r="D175" s="139" t="s">
        <v>289</v>
      </c>
      <c r="E175" s="130"/>
      <c r="F175" s="162" t="s">
        <v>1002</v>
      </c>
      <c r="G175" s="133" t="s">
        <v>1003</v>
      </c>
      <c r="H175" s="164"/>
      <c r="I175" s="151"/>
      <c r="J175" s="128"/>
      <c r="K175" s="128"/>
      <c r="L175" s="170" t="s">
        <v>1004</v>
      </c>
      <c r="M175" s="128"/>
      <c r="N175" s="128"/>
      <c r="O175" s="128"/>
      <c r="P175" s="128"/>
      <c r="Q175" s="128"/>
      <c r="R175" s="128" t="s">
        <v>1001</v>
      </c>
      <c r="S175" s="128" t="s">
        <v>289</v>
      </c>
      <c r="T175" s="128"/>
      <c r="U175" s="129" t="s">
        <v>1002</v>
      </c>
      <c r="V175" s="128" t="s">
        <v>1005</v>
      </c>
      <c r="W175" s="128"/>
      <c r="X175" s="128"/>
      <c r="Y175" s="128"/>
      <c r="Z175" s="128"/>
      <c r="AA175" s="128"/>
    </row>
    <row r="176">
      <c r="A176" s="139" t="s">
        <v>299</v>
      </c>
      <c r="B176" s="141"/>
      <c r="C176" s="130" t="s">
        <v>247</v>
      </c>
      <c r="D176" s="139" t="s">
        <v>279</v>
      </c>
      <c r="E176" s="146" t="s">
        <v>343</v>
      </c>
      <c r="F176" s="162" t="s">
        <v>1006</v>
      </c>
      <c r="G176" s="133" t="s">
        <v>1007</v>
      </c>
      <c r="H176" s="164"/>
      <c r="I176" s="151"/>
      <c r="J176" s="128"/>
      <c r="K176" s="128"/>
      <c r="L176" s="170" t="s">
        <v>1008</v>
      </c>
      <c r="M176" s="128"/>
      <c r="N176" s="128"/>
      <c r="O176" s="128"/>
      <c r="P176" s="128"/>
      <c r="Q176" s="128"/>
      <c r="R176" s="128" t="s">
        <v>247</v>
      </c>
      <c r="S176" s="128" t="s">
        <v>279</v>
      </c>
      <c r="T176" s="128" t="s">
        <v>343</v>
      </c>
      <c r="U176" s="129" t="s">
        <v>1006</v>
      </c>
      <c r="V176" s="128" t="s">
        <v>1009</v>
      </c>
      <c r="W176" s="128"/>
      <c r="X176" s="128"/>
      <c r="Y176" s="128"/>
      <c r="Z176" s="128"/>
      <c r="AA176" s="128"/>
    </row>
    <row r="177">
      <c r="A177" s="139" t="s">
        <v>299</v>
      </c>
      <c r="B177" s="130" t="s">
        <v>248</v>
      </c>
      <c r="C177" s="151" t="s">
        <v>248</v>
      </c>
      <c r="D177" s="139" t="s">
        <v>279</v>
      </c>
      <c r="E177" s="146" t="s">
        <v>438</v>
      </c>
      <c r="F177" s="162" t="s">
        <v>1010</v>
      </c>
      <c r="G177" s="133" t="s">
        <v>1011</v>
      </c>
      <c r="H177" s="151"/>
      <c r="I177" s="151"/>
      <c r="J177" s="128"/>
      <c r="K177" s="128"/>
      <c r="L177" s="170" t="s">
        <v>1012</v>
      </c>
      <c r="M177" s="128"/>
      <c r="N177" s="128"/>
      <c r="O177" s="128"/>
      <c r="P177" s="128"/>
      <c r="Q177" s="128"/>
      <c r="R177" s="128" t="s">
        <v>248</v>
      </c>
      <c r="S177" s="128" t="s">
        <v>279</v>
      </c>
      <c r="T177" s="128" t="s">
        <v>438</v>
      </c>
      <c r="U177" s="129" t="s">
        <v>1010</v>
      </c>
      <c r="V177" s="128" t="s">
        <v>1013</v>
      </c>
      <c r="W177" s="128"/>
      <c r="X177" s="128"/>
      <c r="Y177" s="128"/>
      <c r="Z177" s="128"/>
      <c r="AA177" s="128"/>
    </row>
    <row r="178">
      <c r="A178" s="139" t="s">
        <v>299</v>
      </c>
      <c r="B178" s="139" t="s">
        <v>528</v>
      </c>
      <c r="C178" s="151" t="s">
        <v>249</v>
      </c>
      <c r="D178" s="139" t="s">
        <v>279</v>
      </c>
      <c r="E178" s="146" t="s">
        <v>343</v>
      </c>
      <c r="F178" s="162" t="s">
        <v>1014</v>
      </c>
      <c r="G178" s="133" t="s">
        <v>1015</v>
      </c>
      <c r="H178" s="151"/>
      <c r="I178" s="151"/>
      <c r="J178" s="128"/>
      <c r="K178" s="128"/>
      <c r="L178" s="170" t="s">
        <v>1016</v>
      </c>
      <c r="M178" s="128"/>
      <c r="N178" s="128"/>
      <c r="O178" s="128"/>
      <c r="P178" s="128"/>
      <c r="Q178" s="128"/>
      <c r="R178" s="128" t="s">
        <v>249</v>
      </c>
      <c r="S178" s="128" t="s">
        <v>279</v>
      </c>
      <c r="T178" s="128" t="s">
        <v>343</v>
      </c>
      <c r="U178" s="129" t="s">
        <v>1014</v>
      </c>
      <c r="V178" s="128" t="s">
        <v>1017</v>
      </c>
      <c r="W178" s="128"/>
      <c r="X178" s="128"/>
      <c r="Y178" s="128"/>
      <c r="Z178" s="128"/>
      <c r="AA178" s="128"/>
    </row>
    <row r="179">
      <c r="A179" s="130" t="s">
        <v>979</v>
      </c>
      <c r="B179" s="130" t="s">
        <v>1018</v>
      </c>
      <c r="C179" s="151" t="s">
        <v>250</v>
      </c>
      <c r="D179" s="139" t="s">
        <v>279</v>
      </c>
      <c r="E179" s="146" t="s">
        <v>308</v>
      </c>
      <c r="F179" s="162" t="s">
        <v>1019</v>
      </c>
      <c r="G179" s="133" t="s">
        <v>1020</v>
      </c>
      <c r="H179" s="151"/>
      <c r="I179" s="151"/>
      <c r="J179" s="128"/>
      <c r="K179" s="128"/>
      <c r="L179" s="170" t="s">
        <v>1021</v>
      </c>
      <c r="M179" s="128"/>
      <c r="N179" s="128"/>
      <c r="O179" s="128"/>
      <c r="P179" s="128"/>
      <c r="Q179" s="128"/>
      <c r="R179" s="128" t="s">
        <v>250</v>
      </c>
      <c r="S179" s="128" t="s">
        <v>279</v>
      </c>
      <c r="T179" s="128" t="s">
        <v>308</v>
      </c>
      <c r="U179" s="129" t="s">
        <v>1019</v>
      </c>
      <c r="V179" s="128" t="s">
        <v>1022</v>
      </c>
      <c r="W179" s="128"/>
      <c r="X179" s="128"/>
      <c r="Y179" s="128"/>
      <c r="Z179" s="128"/>
      <c r="AA179" s="128"/>
    </row>
    <row r="180">
      <c r="A180" s="139" t="s">
        <v>299</v>
      </c>
      <c r="B180" s="151" t="s">
        <v>251</v>
      </c>
      <c r="C180" s="130" t="s">
        <v>251</v>
      </c>
      <c r="D180" s="139" t="s">
        <v>279</v>
      </c>
      <c r="E180" s="146" t="s">
        <v>308</v>
      </c>
      <c r="F180" s="150" t="s">
        <v>1023</v>
      </c>
      <c r="G180" s="133" t="s">
        <v>1024</v>
      </c>
      <c r="H180" s="151"/>
      <c r="I180" s="151"/>
      <c r="J180" s="128"/>
      <c r="K180" s="128"/>
      <c r="L180" s="170" t="s">
        <v>1025</v>
      </c>
      <c r="M180" s="128"/>
      <c r="N180" s="128"/>
      <c r="O180" s="128"/>
      <c r="P180" s="128"/>
      <c r="Q180" s="128"/>
      <c r="R180" s="128" t="s">
        <v>251</v>
      </c>
      <c r="S180" s="128" t="s">
        <v>279</v>
      </c>
      <c r="T180" s="128" t="s">
        <v>308</v>
      </c>
      <c r="U180" s="129" t="s">
        <v>1023</v>
      </c>
      <c r="V180" s="128" t="s">
        <v>1026</v>
      </c>
      <c r="W180" s="128"/>
      <c r="X180" s="128"/>
      <c r="Y180" s="128"/>
      <c r="Z180" s="128"/>
      <c r="AA180" s="128"/>
    </row>
    <row r="181">
      <c r="A181" s="139" t="s">
        <v>299</v>
      </c>
      <c r="B181" s="141"/>
      <c r="C181" s="130" t="s">
        <v>252</v>
      </c>
      <c r="D181" s="139" t="s">
        <v>279</v>
      </c>
      <c r="E181" s="146" t="s">
        <v>308</v>
      </c>
      <c r="F181" s="162" t="s">
        <v>1027</v>
      </c>
      <c r="G181" s="133"/>
      <c r="H181" s="164"/>
      <c r="I181" s="151"/>
      <c r="J181" s="128"/>
      <c r="K181" s="128"/>
      <c r="L181" s="173" t="s">
        <v>1028</v>
      </c>
      <c r="M181" s="128"/>
      <c r="N181" s="128"/>
      <c r="O181" s="128"/>
      <c r="P181" s="128"/>
      <c r="Q181" s="128"/>
      <c r="R181" s="128" t="s">
        <v>252</v>
      </c>
      <c r="S181" s="128" t="s">
        <v>279</v>
      </c>
      <c r="T181" s="128" t="s">
        <v>308</v>
      </c>
      <c r="U181" s="129" t="s">
        <v>1027</v>
      </c>
      <c r="V181" s="128"/>
      <c r="W181" s="128"/>
      <c r="X181" s="128"/>
      <c r="Y181" s="128"/>
      <c r="Z181" s="128"/>
      <c r="AA181" s="128"/>
    </row>
    <row r="182">
      <c r="A182" s="139" t="s">
        <v>299</v>
      </c>
      <c r="B182" s="141" t="s">
        <v>401</v>
      </c>
      <c r="C182" s="130" t="s">
        <v>254</v>
      </c>
      <c r="D182" s="139" t="s">
        <v>279</v>
      </c>
      <c r="E182" s="139" t="s">
        <v>402</v>
      </c>
      <c r="F182" s="150" t="s">
        <v>1029</v>
      </c>
      <c r="G182" s="133" t="s">
        <v>1030</v>
      </c>
      <c r="H182" s="151"/>
      <c r="I182" s="151"/>
      <c r="J182" s="128"/>
      <c r="K182" s="128"/>
      <c r="L182" s="170" t="s">
        <v>1031</v>
      </c>
      <c r="M182" s="128"/>
      <c r="N182" s="128"/>
      <c r="O182" s="128"/>
      <c r="P182" s="128"/>
      <c r="Q182" s="128"/>
      <c r="R182" s="128" t="s">
        <v>254</v>
      </c>
      <c r="S182" s="128" t="s">
        <v>279</v>
      </c>
      <c r="T182" s="128" t="s">
        <v>402</v>
      </c>
      <c r="U182" s="129" t="s">
        <v>1029</v>
      </c>
      <c r="V182" s="128" t="s">
        <v>1032</v>
      </c>
      <c r="W182" s="128"/>
      <c r="X182" s="128"/>
      <c r="Y182" s="128"/>
      <c r="Z182" s="128"/>
      <c r="AA182" s="128"/>
    </row>
    <row r="183">
      <c r="A183" s="139" t="s">
        <v>299</v>
      </c>
      <c r="B183" s="141"/>
      <c r="C183" s="151" t="s">
        <v>1033</v>
      </c>
      <c r="D183" s="139" t="s">
        <v>279</v>
      </c>
      <c r="E183" s="151"/>
      <c r="F183" s="162" t="s">
        <v>1034</v>
      </c>
      <c r="G183" s="133" t="s">
        <v>1035</v>
      </c>
      <c r="H183" s="151"/>
      <c r="I183" s="151"/>
      <c r="J183" s="128"/>
      <c r="K183" s="128"/>
      <c r="L183" s="170" t="s">
        <v>1036</v>
      </c>
      <c r="M183" s="128"/>
      <c r="N183" s="128"/>
      <c r="O183" s="128"/>
      <c r="P183" s="128"/>
      <c r="Q183" s="128"/>
      <c r="R183" s="128" t="s">
        <v>1033</v>
      </c>
      <c r="S183" s="128" t="s">
        <v>279</v>
      </c>
      <c r="T183" s="128"/>
      <c r="U183" s="129" t="s">
        <v>1034</v>
      </c>
      <c r="V183" s="128" t="s">
        <v>1037</v>
      </c>
      <c r="W183" s="128"/>
      <c r="X183" s="128"/>
      <c r="Y183" s="128"/>
      <c r="Z183" s="128"/>
      <c r="AA183" s="128"/>
    </row>
    <row r="184">
      <c r="A184" s="139" t="s">
        <v>299</v>
      </c>
      <c r="B184" s="141"/>
      <c r="C184" s="151" t="s">
        <v>1038</v>
      </c>
      <c r="D184" s="139" t="s">
        <v>279</v>
      </c>
      <c r="E184" s="151"/>
      <c r="F184" s="162" t="s">
        <v>1039</v>
      </c>
      <c r="G184" s="133"/>
      <c r="H184" s="151"/>
      <c r="I184" s="151"/>
      <c r="J184" s="128"/>
      <c r="K184" s="128"/>
      <c r="L184" s="173" t="s">
        <v>1040</v>
      </c>
      <c r="M184" s="128"/>
      <c r="N184" s="128"/>
      <c r="O184" s="128"/>
      <c r="P184" s="128"/>
      <c r="Q184" s="128"/>
      <c r="R184" s="128" t="s">
        <v>1038</v>
      </c>
      <c r="S184" s="128" t="s">
        <v>279</v>
      </c>
      <c r="T184" s="128"/>
      <c r="U184" s="129" t="s">
        <v>1039</v>
      </c>
      <c r="V184" s="128"/>
      <c r="W184" s="128"/>
      <c r="X184" s="128"/>
      <c r="Y184" s="128"/>
      <c r="Z184" s="128"/>
      <c r="AA184" s="128"/>
    </row>
    <row r="185">
      <c r="A185" s="139" t="s">
        <v>299</v>
      </c>
      <c r="B185" s="141"/>
      <c r="C185" s="130" t="s">
        <v>1041</v>
      </c>
      <c r="D185" s="139" t="s">
        <v>279</v>
      </c>
      <c r="E185" s="130"/>
      <c r="F185" s="150" t="s">
        <v>1039</v>
      </c>
      <c r="G185" s="133"/>
      <c r="H185" s="164"/>
      <c r="I185" s="151"/>
      <c r="J185" s="128"/>
      <c r="K185" s="128"/>
      <c r="L185" s="170" t="s">
        <v>1042</v>
      </c>
      <c r="M185" s="128"/>
      <c r="N185" s="128"/>
      <c r="O185" s="128"/>
      <c r="P185" s="128"/>
      <c r="Q185" s="128"/>
      <c r="R185" s="128" t="s">
        <v>1041</v>
      </c>
      <c r="S185" s="128" t="s">
        <v>279</v>
      </c>
      <c r="T185" s="128"/>
      <c r="U185" s="129" t="s">
        <v>1039</v>
      </c>
      <c r="V185" s="128"/>
      <c r="W185" s="128"/>
      <c r="X185" s="128"/>
      <c r="Y185" s="128"/>
      <c r="Z185" s="128"/>
      <c r="AA185" s="128"/>
    </row>
    <row r="186">
      <c r="A186" s="139" t="s">
        <v>299</v>
      </c>
      <c r="B186" s="141"/>
      <c r="C186" s="130" t="s">
        <v>1043</v>
      </c>
      <c r="D186" s="139" t="s">
        <v>279</v>
      </c>
      <c r="E186" s="130"/>
      <c r="F186" s="150" t="s">
        <v>1044</v>
      </c>
      <c r="G186" s="133" t="s">
        <v>1045</v>
      </c>
      <c r="H186" s="164"/>
      <c r="I186" s="151"/>
      <c r="J186" s="128"/>
      <c r="K186" s="128"/>
      <c r="L186" s="170" t="s">
        <v>1046</v>
      </c>
      <c r="M186" s="128"/>
      <c r="N186" s="128"/>
      <c r="O186" s="128"/>
      <c r="P186" s="128"/>
      <c r="Q186" s="128"/>
      <c r="R186" s="128" t="s">
        <v>1043</v>
      </c>
      <c r="S186" s="128" t="s">
        <v>279</v>
      </c>
      <c r="T186" s="128"/>
      <c r="U186" s="129" t="s">
        <v>1044</v>
      </c>
      <c r="V186" s="128" t="s">
        <v>1047</v>
      </c>
      <c r="W186" s="128"/>
      <c r="X186" s="128"/>
      <c r="Y186" s="128"/>
      <c r="Z186" s="128"/>
      <c r="AA186" s="128"/>
    </row>
    <row r="187">
      <c r="A187" s="139" t="s">
        <v>299</v>
      </c>
      <c r="B187" s="141"/>
      <c r="C187" s="151" t="s">
        <v>255</v>
      </c>
      <c r="D187" s="151"/>
      <c r="E187" s="146" t="s">
        <v>438</v>
      </c>
      <c r="F187" s="151"/>
      <c r="G187" s="133"/>
      <c r="H187" s="151"/>
      <c r="I187" s="151"/>
      <c r="J187" s="128"/>
      <c r="K187" s="128"/>
      <c r="L187" s="170" t="s">
        <v>1048</v>
      </c>
      <c r="M187" s="128"/>
      <c r="N187" s="128"/>
      <c r="O187" s="128"/>
      <c r="P187" s="128"/>
      <c r="Q187" s="128"/>
      <c r="R187" s="128" t="s">
        <v>255</v>
      </c>
      <c r="S187" s="128"/>
      <c r="T187" s="128" t="s">
        <v>438</v>
      </c>
      <c r="U187" s="129"/>
      <c r="V187" s="128"/>
      <c r="W187" s="128"/>
      <c r="X187" s="128"/>
      <c r="Y187" s="128"/>
      <c r="Z187" s="128"/>
      <c r="AA187" s="128"/>
    </row>
    <row r="188">
      <c r="A188" s="139" t="s">
        <v>299</v>
      </c>
      <c r="B188" s="130" t="s">
        <v>256</v>
      </c>
      <c r="C188" s="130" t="s">
        <v>256</v>
      </c>
      <c r="D188" s="139" t="s">
        <v>279</v>
      </c>
      <c r="E188" s="146" t="s">
        <v>438</v>
      </c>
      <c r="F188" s="162" t="s">
        <v>1049</v>
      </c>
      <c r="G188" s="133" t="s">
        <v>1050</v>
      </c>
      <c r="H188" s="151"/>
      <c r="I188" s="151"/>
      <c r="J188" s="128"/>
      <c r="K188" s="128"/>
      <c r="L188" s="173" t="s">
        <v>1051</v>
      </c>
      <c r="M188" s="128"/>
      <c r="N188" s="128"/>
      <c r="O188" s="128"/>
      <c r="P188" s="128"/>
      <c r="Q188" s="128"/>
      <c r="R188" s="128" t="s">
        <v>256</v>
      </c>
      <c r="S188" s="128" t="s">
        <v>279</v>
      </c>
      <c r="T188" s="128" t="s">
        <v>438</v>
      </c>
      <c r="U188" s="129" t="s">
        <v>1049</v>
      </c>
      <c r="V188" s="128" t="s">
        <v>1052</v>
      </c>
      <c r="W188" s="128"/>
      <c r="X188" s="128"/>
      <c r="Y188" s="128"/>
      <c r="Z188" s="128"/>
      <c r="AA188" s="128"/>
    </row>
    <row r="189">
      <c r="A189" s="139" t="s">
        <v>299</v>
      </c>
      <c r="B189" s="141"/>
      <c r="C189" s="151" t="s">
        <v>1053</v>
      </c>
      <c r="D189" s="139" t="s">
        <v>289</v>
      </c>
      <c r="E189" s="151"/>
      <c r="F189" s="162" t="s">
        <v>1054</v>
      </c>
      <c r="G189" s="133" t="s">
        <v>1055</v>
      </c>
      <c r="H189" s="151"/>
      <c r="I189" s="151"/>
      <c r="J189" s="128"/>
      <c r="K189" s="128"/>
      <c r="L189" s="170" t="s">
        <v>1056</v>
      </c>
      <c r="M189" s="128"/>
      <c r="N189" s="128"/>
      <c r="O189" s="128"/>
      <c r="P189" s="128"/>
      <c r="Q189" s="128"/>
      <c r="R189" s="128" t="s">
        <v>1053</v>
      </c>
      <c r="S189" s="128" t="s">
        <v>289</v>
      </c>
      <c r="T189" s="128"/>
      <c r="U189" s="129" t="s">
        <v>1054</v>
      </c>
      <c r="V189" s="128" t="s">
        <v>1057</v>
      </c>
      <c r="W189" s="128"/>
      <c r="X189" s="128"/>
      <c r="Y189" s="128"/>
      <c r="Z189" s="128"/>
      <c r="AA189" s="128"/>
    </row>
    <row r="190">
      <c r="A190" s="139" t="s">
        <v>299</v>
      </c>
      <c r="B190" s="141"/>
      <c r="C190" s="130" t="s">
        <v>1058</v>
      </c>
      <c r="D190" s="130"/>
      <c r="E190" s="130"/>
      <c r="F190" s="150" t="s">
        <v>1054</v>
      </c>
      <c r="G190" s="133"/>
      <c r="H190" s="164"/>
      <c r="I190" s="151"/>
      <c r="J190" s="128"/>
      <c r="K190" s="128"/>
      <c r="L190" s="143" t="s">
        <v>1059</v>
      </c>
      <c r="M190" s="128"/>
      <c r="N190" s="128"/>
      <c r="O190" s="128"/>
      <c r="P190" s="128"/>
      <c r="Q190" s="128"/>
      <c r="R190" s="128" t="s">
        <v>1058</v>
      </c>
      <c r="S190" s="128"/>
      <c r="T190" s="128"/>
      <c r="U190" s="129" t="s">
        <v>1054</v>
      </c>
      <c r="V190" s="128"/>
      <c r="W190" s="128"/>
      <c r="X190" s="128"/>
      <c r="Y190" s="128"/>
      <c r="Z190" s="128"/>
      <c r="AA190" s="128"/>
    </row>
    <row r="191">
      <c r="A191" s="139" t="s">
        <v>436</v>
      </c>
      <c r="B191" s="175" t="s">
        <v>436</v>
      </c>
      <c r="C191" s="130" t="s">
        <v>257</v>
      </c>
      <c r="D191" s="139" t="s">
        <v>279</v>
      </c>
      <c r="E191" s="146" t="s">
        <v>438</v>
      </c>
      <c r="F191" s="150" t="s">
        <v>1060</v>
      </c>
      <c r="G191" s="133" t="s">
        <v>1061</v>
      </c>
      <c r="H191" s="164"/>
      <c r="I191" s="151"/>
      <c r="J191" s="128"/>
      <c r="K191" s="128"/>
      <c r="L191" s="170" t="s">
        <v>1062</v>
      </c>
      <c r="M191" s="128"/>
      <c r="N191" s="128"/>
      <c r="O191" s="128"/>
      <c r="P191" s="128"/>
      <c r="Q191" s="128"/>
      <c r="R191" s="128" t="s">
        <v>257</v>
      </c>
      <c r="S191" s="128" t="s">
        <v>279</v>
      </c>
      <c r="T191" s="128" t="s">
        <v>438</v>
      </c>
      <c r="U191" s="129" t="s">
        <v>1060</v>
      </c>
      <c r="V191" s="128" t="s">
        <v>1063</v>
      </c>
      <c r="W191" s="128"/>
      <c r="X191" s="128"/>
      <c r="Y191" s="128"/>
      <c r="Z191" s="128"/>
      <c r="AA191" s="128"/>
    </row>
    <row r="192">
      <c r="A192" s="141" t="s">
        <v>401</v>
      </c>
      <c r="B192" s="141" t="s">
        <v>401</v>
      </c>
      <c r="C192" s="151" t="s">
        <v>259</v>
      </c>
      <c r="D192" s="139" t="s">
        <v>279</v>
      </c>
      <c r="E192" s="139" t="s">
        <v>402</v>
      </c>
      <c r="F192" s="150" t="s">
        <v>1064</v>
      </c>
      <c r="G192" s="133" t="s">
        <v>1065</v>
      </c>
      <c r="H192" s="151"/>
      <c r="I192" s="151"/>
      <c r="J192" s="128"/>
      <c r="K192" s="128"/>
      <c r="L192" s="170" t="s">
        <v>1066</v>
      </c>
      <c r="M192" s="128"/>
      <c r="N192" s="128"/>
      <c r="O192" s="128"/>
      <c r="P192" s="128"/>
      <c r="Q192" s="128"/>
      <c r="R192" s="128" t="s">
        <v>259</v>
      </c>
      <c r="S192" s="128" t="s">
        <v>279</v>
      </c>
      <c r="T192" s="128" t="s">
        <v>402</v>
      </c>
      <c r="U192" s="129" t="s">
        <v>1064</v>
      </c>
      <c r="V192" s="128" t="s">
        <v>1067</v>
      </c>
      <c r="W192" s="128"/>
      <c r="X192" s="128"/>
      <c r="Y192" s="128"/>
      <c r="Z192" s="128"/>
      <c r="AA192" s="128"/>
    </row>
    <row r="193">
      <c r="A193" s="141" t="s">
        <v>401</v>
      </c>
      <c r="B193" s="141" t="s">
        <v>401</v>
      </c>
      <c r="C193" s="151" t="s">
        <v>1068</v>
      </c>
      <c r="D193" s="139" t="s">
        <v>279</v>
      </c>
      <c r="E193" s="139" t="s">
        <v>402</v>
      </c>
      <c r="F193" s="150" t="s">
        <v>1064</v>
      </c>
      <c r="G193" s="133"/>
      <c r="H193" s="164"/>
      <c r="I193" s="151"/>
      <c r="J193" s="128"/>
      <c r="K193" s="128"/>
      <c r="L193" s="170" t="s">
        <v>1069</v>
      </c>
      <c r="M193" s="128"/>
      <c r="N193" s="128"/>
      <c r="O193" s="128"/>
      <c r="P193" s="128"/>
      <c r="Q193" s="128"/>
      <c r="R193" s="128" t="s">
        <v>1068</v>
      </c>
      <c r="S193" s="128" t="s">
        <v>279</v>
      </c>
      <c r="T193" s="128" t="s">
        <v>402</v>
      </c>
      <c r="U193" s="129" t="s">
        <v>1064</v>
      </c>
      <c r="V193" s="128"/>
      <c r="W193" s="128"/>
      <c r="X193" s="128"/>
      <c r="Y193" s="128"/>
      <c r="Z193" s="128"/>
      <c r="AA193" s="128"/>
    </row>
    <row r="194">
      <c r="A194" s="139" t="s">
        <v>299</v>
      </c>
      <c r="B194" s="139" t="s">
        <v>278</v>
      </c>
      <c r="C194" s="139" t="s">
        <v>1070</v>
      </c>
      <c r="D194" s="139" t="s">
        <v>279</v>
      </c>
      <c r="E194" s="130"/>
      <c r="F194" s="150" t="s">
        <v>1071</v>
      </c>
      <c r="G194" s="133" t="s">
        <v>1072</v>
      </c>
      <c r="H194" s="151"/>
      <c r="I194" s="151"/>
      <c r="J194" s="128"/>
      <c r="K194" s="128"/>
      <c r="L194" s="170" t="s">
        <v>1073</v>
      </c>
      <c r="M194" s="128"/>
      <c r="N194" s="128"/>
      <c r="O194" s="128"/>
      <c r="P194" s="128"/>
      <c r="Q194" s="128"/>
      <c r="R194" s="128" t="s">
        <v>1074</v>
      </c>
      <c r="S194" s="128" t="s">
        <v>279</v>
      </c>
      <c r="T194" s="128"/>
      <c r="U194" s="129" t="s">
        <v>1071</v>
      </c>
      <c r="V194" s="128" t="s">
        <v>1075</v>
      </c>
      <c r="W194" s="128"/>
      <c r="X194" s="128"/>
      <c r="Y194" s="128"/>
      <c r="Z194" s="128"/>
      <c r="AA194" s="128"/>
    </row>
    <row r="195">
      <c r="A195" s="139" t="s">
        <v>299</v>
      </c>
      <c r="B195" s="141"/>
      <c r="C195" s="151" t="s">
        <v>1076</v>
      </c>
      <c r="D195" s="151"/>
      <c r="E195" s="151"/>
      <c r="F195" s="151"/>
      <c r="G195" s="133"/>
      <c r="H195" s="151"/>
      <c r="I195" s="151"/>
      <c r="J195" s="128"/>
      <c r="K195" s="128"/>
      <c r="L195" s="170" t="s">
        <v>1077</v>
      </c>
      <c r="M195" s="128"/>
      <c r="N195" s="128"/>
      <c r="O195" s="128"/>
      <c r="P195" s="128"/>
      <c r="Q195" s="128"/>
      <c r="R195" s="128" t="s">
        <v>1076</v>
      </c>
      <c r="S195" s="128"/>
      <c r="T195" s="128"/>
      <c r="U195" s="129"/>
      <c r="V195" s="128"/>
      <c r="W195" s="128"/>
      <c r="X195" s="128"/>
      <c r="Y195" s="128"/>
      <c r="Z195" s="128"/>
      <c r="AA195" s="128"/>
    </row>
    <row r="196">
      <c r="A196" s="139" t="s">
        <v>299</v>
      </c>
      <c r="B196" s="141"/>
      <c r="C196" s="151" t="s">
        <v>1078</v>
      </c>
      <c r="D196" s="151"/>
      <c r="E196" s="151"/>
      <c r="F196" s="150" t="s">
        <v>1079</v>
      </c>
      <c r="G196" s="133"/>
      <c r="H196" s="151"/>
      <c r="I196" s="151"/>
      <c r="J196" s="128"/>
      <c r="K196" s="128"/>
      <c r="L196" s="170" t="s">
        <v>1080</v>
      </c>
      <c r="M196" s="128"/>
      <c r="N196" s="128"/>
      <c r="O196" s="128"/>
      <c r="P196" s="128"/>
      <c r="Q196" s="128"/>
      <c r="R196" s="128" t="s">
        <v>1078</v>
      </c>
      <c r="S196" s="128"/>
      <c r="T196" s="128"/>
      <c r="U196" s="129" t="s">
        <v>1079</v>
      </c>
      <c r="V196" s="128"/>
      <c r="W196" s="128"/>
      <c r="X196" s="128"/>
      <c r="Y196" s="128"/>
      <c r="Z196" s="128"/>
      <c r="AA196" s="128"/>
    </row>
    <row r="197">
      <c r="A197" s="130" t="s">
        <v>260</v>
      </c>
      <c r="B197" s="130" t="s">
        <v>1081</v>
      </c>
      <c r="C197" s="130" t="s">
        <v>260</v>
      </c>
      <c r="D197" s="139" t="s">
        <v>279</v>
      </c>
      <c r="E197" s="146" t="s">
        <v>334</v>
      </c>
      <c r="F197" s="150" t="s">
        <v>1082</v>
      </c>
      <c r="G197" s="133" t="s">
        <v>1083</v>
      </c>
      <c r="H197" s="151"/>
      <c r="I197" s="151"/>
      <c r="J197" s="128"/>
      <c r="K197" s="128"/>
      <c r="L197" s="170" t="s">
        <v>1084</v>
      </c>
      <c r="M197" s="128"/>
      <c r="N197" s="128"/>
      <c r="O197" s="128"/>
      <c r="P197" s="128"/>
      <c r="Q197" s="128"/>
      <c r="R197" s="128" t="s">
        <v>260</v>
      </c>
      <c r="S197" s="128" t="s">
        <v>279</v>
      </c>
      <c r="T197" s="128" t="s">
        <v>334</v>
      </c>
      <c r="U197" s="129" t="s">
        <v>1082</v>
      </c>
      <c r="V197" s="128" t="s">
        <v>1085</v>
      </c>
      <c r="W197" s="128"/>
      <c r="X197" s="128"/>
      <c r="Y197" s="128"/>
      <c r="Z197" s="128"/>
      <c r="AA197" s="128"/>
    </row>
    <row r="198">
      <c r="A198" s="139" t="s">
        <v>299</v>
      </c>
      <c r="B198" s="130" t="s">
        <v>1086</v>
      </c>
      <c r="C198" s="151" t="s">
        <v>1086</v>
      </c>
      <c r="D198" s="139" t="s">
        <v>279</v>
      </c>
      <c r="E198" s="151"/>
      <c r="F198" s="155" t="s">
        <v>1087</v>
      </c>
      <c r="G198" s="133" t="s">
        <v>1088</v>
      </c>
      <c r="H198" s="151"/>
      <c r="I198" s="151"/>
      <c r="J198" s="128"/>
      <c r="K198" s="128"/>
      <c r="L198" s="170" t="s">
        <v>1089</v>
      </c>
      <c r="M198" s="128"/>
      <c r="N198" s="128"/>
      <c r="O198" s="128"/>
      <c r="P198" s="128"/>
      <c r="Q198" s="128"/>
      <c r="R198" s="128" t="s">
        <v>1086</v>
      </c>
      <c r="S198" s="128" t="s">
        <v>279</v>
      </c>
      <c r="T198" s="128"/>
      <c r="U198" s="129" t="s">
        <v>1087</v>
      </c>
      <c r="V198" s="128" t="s">
        <v>1090</v>
      </c>
      <c r="W198" s="128"/>
      <c r="X198" s="128"/>
      <c r="Y198" s="128"/>
      <c r="Z198" s="128"/>
      <c r="AA198" s="128"/>
    </row>
    <row r="199">
      <c r="A199" s="139" t="s">
        <v>299</v>
      </c>
      <c r="B199" s="141"/>
      <c r="C199" s="151" t="s">
        <v>1091</v>
      </c>
      <c r="D199" s="139" t="s">
        <v>279</v>
      </c>
      <c r="E199" s="151"/>
      <c r="F199" s="150" t="s">
        <v>1092</v>
      </c>
      <c r="G199" s="133"/>
      <c r="H199" s="151"/>
      <c r="I199" s="151"/>
      <c r="J199" s="128"/>
      <c r="K199" s="128"/>
      <c r="L199" s="170" t="s">
        <v>1093</v>
      </c>
      <c r="M199" s="128"/>
      <c r="N199" s="128"/>
      <c r="O199" s="128"/>
      <c r="P199" s="128"/>
      <c r="Q199" s="128"/>
      <c r="R199" s="128" t="s">
        <v>1091</v>
      </c>
      <c r="S199" s="128" t="s">
        <v>279</v>
      </c>
      <c r="T199" s="128"/>
      <c r="U199" s="129" t="s">
        <v>1092</v>
      </c>
      <c r="V199" s="128"/>
      <c r="W199" s="128"/>
      <c r="X199" s="128"/>
      <c r="Y199" s="128"/>
      <c r="Z199" s="128"/>
      <c r="AA199" s="128"/>
    </row>
    <row r="200">
      <c r="A200" s="139" t="s">
        <v>299</v>
      </c>
      <c r="B200" s="141"/>
      <c r="C200" s="151" t="s">
        <v>1094</v>
      </c>
      <c r="D200" s="151"/>
      <c r="E200" s="151"/>
      <c r="F200" s="151"/>
      <c r="G200" s="133"/>
      <c r="H200" s="151"/>
      <c r="I200" s="151"/>
      <c r="J200" s="128"/>
      <c r="K200" s="128"/>
      <c r="L200" s="170" t="s">
        <v>1095</v>
      </c>
      <c r="M200" s="128"/>
      <c r="N200" s="128"/>
      <c r="O200" s="128"/>
      <c r="P200" s="128"/>
      <c r="Q200" s="128"/>
      <c r="R200" s="128" t="s">
        <v>1094</v>
      </c>
      <c r="S200" s="128"/>
      <c r="T200" s="128"/>
      <c r="U200" s="129"/>
      <c r="V200" s="128"/>
      <c r="W200" s="128"/>
      <c r="X200" s="128"/>
      <c r="Y200" s="128"/>
      <c r="Z200" s="128"/>
      <c r="AA200" s="128"/>
    </row>
    <row r="201">
      <c r="A201" s="139" t="s">
        <v>299</v>
      </c>
      <c r="B201" s="141"/>
      <c r="C201" s="151" t="s">
        <v>1096</v>
      </c>
      <c r="D201" s="139" t="s">
        <v>301</v>
      </c>
      <c r="E201" s="151"/>
      <c r="F201" s="151"/>
      <c r="G201" s="133"/>
      <c r="H201" s="151"/>
      <c r="I201" s="151"/>
      <c r="J201" s="128"/>
      <c r="K201" s="128"/>
      <c r="L201" s="170" t="s">
        <v>1097</v>
      </c>
      <c r="M201" s="128"/>
      <c r="N201" s="128"/>
      <c r="O201" s="128"/>
      <c r="P201" s="128"/>
      <c r="Q201" s="128"/>
      <c r="R201" s="128" t="s">
        <v>1096</v>
      </c>
      <c r="S201" s="128" t="s">
        <v>301</v>
      </c>
      <c r="T201" s="128"/>
      <c r="U201" s="129"/>
      <c r="V201" s="128"/>
      <c r="W201" s="128"/>
      <c r="X201" s="128"/>
      <c r="Y201" s="128"/>
      <c r="Z201" s="128"/>
      <c r="AA201" s="128"/>
    </row>
    <row r="202">
      <c r="A202" s="139" t="s">
        <v>299</v>
      </c>
      <c r="B202" s="141"/>
      <c r="C202" s="139" t="s">
        <v>262</v>
      </c>
      <c r="D202" s="139" t="s">
        <v>301</v>
      </c>
      <c r="E202" s="139"/>
      <c r="F202" s="155" t="s">
        <v>1098</v>
      </c>
      <c r="G202" s="133" t="s">
        <v>1099</v>
      </c>
      <c r="H202" s="151"/>
      <c r="I202" s="151"/>
      <c r="J202" s="128"/>
      <c r="K202" s="128"/>
      <c r="L202" s="170" t="s">
        <v>1100</v>
      </c>
      <c r="M202" s="128"/>
      <c r="N202" s="128"/>
      <c r="O202" s="128"/>
      <c r="P202" s="128"/>
      <c r="Q202" s="128"/>
      <c r="R202" s="128" t="s">
        <v>262</v>
      </c>
      <c r="S202" s="128" t="s">
        <v>301</v>
      </c>
      <c r="T202" s="128"/>
      <c r="U202" s="129" t="s">
        <v>1098</v>
      </c>
      <c r="V202" s="128" t="s">
        <v>1101</v>
      </c>
      <c r="W202" s="128"/>
      <c r="X202" s="128"/>
      <c r="Y202" s="128"/>
      <c r="Z202" s="128"/>
      <c r="AA202" s="128"/>
    </row>
    <row r="203">
      <c r="A203" s="139" t="s">
        <v>299</v>
      </c>
      <c r="B203" s="139" t="s">
        <v>1102</v>
      </c>
      <c r="C203" s="139" t="s">
        <v>1102</v>
      </c>
      <c r="D203" s="139" t="s">
        <v>301</v>
      </c>
      <c r="E203" s="146" t="s">
        <v>324</v>
      </c>
      <c r="F203" s="155" t="s">
        <v>1103</v>
      </c>
      <c r="G203" s="148" t="s">
        <v>1104</v>
      </c>
      <c r="H203" s="151"/>
      <c r="I203" s="151"/>
      <c r="J203" s="128"/>
      <c r="K203" s="128"/>
      <c r="L203" s="170" t="s">
        <v>1105</v>
      </c>
      <c r="M203" s="128"/>
      <c r="N203" s="128"/>
      <c r="O203" s="128"/>
      <c r="P203" s="128"/>
      <c r="Q203" s="128"/>
      <c r="R203" s="127" t="s">
        <v>1102</v>
      </c>
      <c r="S203" s="128" t="s">
        <v>301</v>
      </c>
      <c r="T203" s="128" t="s">
        <v>324</v>
      </c>
      <c r="U203" s="129" t="s">
        <v>1103</v>
      </c>
      <c r="V203" s="196" t="s">
        <v>1106</v>
      </c>
      <c r="W203" s="128"/>
      <c r="X203" s="128"/>
      <c r="Y203" s="128"/>
      <c r="Z203" s="128"/>
      <c r="AA203" s="128"/>
    </row>
    <row r="204">
      <c r="A204" s="139" t="s">
        <v>299</v>
      </c>
      <c r="B204" s="151" t="s">
        <v>155</v>
      </c>
      <c r="C204" s="151" t="s">
        <v>1107</v>
      </c>
      <c r="D204" s="151" t="s">
        <v>301</v>
      </c>
      <c r="E204" s="151" t="s">
        <v>290</v>
      </c>
      <c r="F204" s="197" t="s">
        <v>584</v>
      </c>
      <c r="G204" s="133" t="s">
        <v>1108</v>
      </c>
      <c r="H204" s="151"/>
      <c r="I204" s="151"/>
      <c r="J204" s="128"/>
      <c r="K204" s="128"/>
      <c r="L204" s="170" t="s">
        <v>1109</v>
      </c>
      <c r="M204" s="128"/>
      <c r="N204" s="128"/>
      <c r="O204" s="128"/>
      <c r="P204" s="128"/>
      <c r="Q204" s="128"/>
      <c r="R204" s="128" t="s">
        <v>1107</v>
      </c>
      <c r="S204" s="128" t="s">
        <v>301</v>
      </c>
      <c r="T204" s="128" t="s">
        <v>290</v>
      </c>
      <c r="U204" s="129" t="s">
        <v>584</v>
      </c>
      <c r="V204" s="128" t="s">
        <v>1110</v>
      </c>
      <c r="W204" s="128"/>
      <c r="X204" s="128"/>
      <c r="Y204" s="128"/>
      <c r="Z204" s="128"/>
      <c r="AA204" s="128"/>
    </row>
    <row r="205">
      <c r="A205" s="139" t="s">
        <v>299</v>
      </c>
      <c r="B205" s="139" t="s">
        <v>528</v>
      </c>
      <c r="C205" s="139" t="s">
        <v>145</v>
      </c>
      <c r="D205" s="151" t="s">
        <v>301</v>
      </c>
      <c r="E205" s="146" t="s">
        <v>343</v>
      </c>
      <c r="F205" s="155" t="s">
        <v>1111</v>
      </c>
      <c r="G205" s="148" t="s">
        <v>1112</v>
      </c>
      <c r="H205" s="151"/>
      <c r="I205" s="151"/>
      <c r="J205" s="128"/>
      <c r="K205" s="128"/>
      <c r="L205" s="170" t="s">
        <v>1113</v>
      </c>
      <c r="M205" s="128"/>
      <c r="N205" s="128"/>
      <c r="O205" s="128"/>
      <c r="P205" s="128"/>
      <c r="Q205" s="128"/>
      <c r="R205" s="128" t="s">
        <v>145</v>
      </c>
      <c r="S205" s="128" t="s">
        <v>301</v>
      </c>
      <c r="T205" s="128" t="s">
        <v>343</v>
      </c>
      <c r="U205" s="129" t="s">
        <v>1111</v>
      </c>
      <c r="V205" s="128" t="s">
        <v>1114</v>
      </c>
      <c r="W205" s="128"/>
      <c r="X205" s="128"/>
      <c r="Y205" s="128"/>
      <c r="Z205" s="128"/>
      <c r="AA205" s="128"/>
    </row>
    <row r="206">
      <c r="A206" s="139" t="s">
        <v>299</v>
      </c>
      <c r="B206" s="180"/>
      <c r="C206" s="180" t="s">
        <v>98</v>
      </c>
      <c r="D206" s="151" t="s">
        <v>301</v>
      </c>
      <c r="E206" s="146" t="s">
        <v>334</v>
      </c>
      <c r="F206" s="155" t="s">
        <v>1115</v>
      </c>
      <c r="G206" s="146" t="s">
        <v>1116</v>
      </c>
      <c r="H206" s="151"/>
      <c r="I206" s="151"/>
      <c r="J206" s="128"/>
      <c r="K206" s="128"/>
      <c r="L206" s="170" t="s">
        <v>1117</v>
      </c>
      <c r="M206" s="128"/>
      <c r="N206" s="128"/>
      <c r="O206" s="128"/>
      <c r="P206" s="128"/>
      <c r="Q206" s="128"/>
      <c r="R206" s="127" t="s">
        <v>98</v>
      </c>
      <c r="S206" s="128" t="s">
        <v>301</v>
      </c>
      <c r="T206" s="128" t="s">
        <v>334</v>
      </c>
      <c r="U206" s="129" t="s">
        <v>1115</v>
      </c>
      <c r="V206" s="128" t="s">
        <v>1118</v>
      </c>
      <c r="W206" s="128"/>
      <c r="X206" s="128"/>
      <c r="Y206" s="128"/>
      <c r="Z206" s="128"/>
      <c r="AA206" s="128"/>
    </row>
    <row r="207">
      <c r="A207" s="139" t="s">
        <v>299</v>
      </c>
      <c r="B207" s="141"/>
      <c r="C207" s="139" t="s">
        <v>1119</v>
      </c>
      <c r="D207" s="151" t="s">
        <v>301</v>
      </c>
      <c r="E207" s="151"/>
      <c r="F207" s="197" t="s">
        <v>1120</v>
      </c>
      <c r="G207" s="133" t="s">
        <v>1121</v>
      </c>
      <c r="H207" s="151"/>
      <c r="I207" s="151"/>
      <c r="J207" s="128"/>
      <c r="K207" s="128"/>
      <c r="L207" s="170" t="s">
        <v>1122</v>
      </c>
      <c r="M207" s="128"/>
      <c r="N207" s="128"/>
      <c r="O207" s="128"/>
      <c r="P207" s="128"/>
      <c r="Q207" s="128"/>
      <c r="R207" s="127" t="s">
        <v>1119</v>
      </c>
      <c r="S207" s="128" t="s">
        <v>301</v>
      </c>
      <c r="T207" s="128"/>
      <c r="U207" s="129" t="s">
        <v>1120</v>
      </c>
      <c r="V207" s="128" t="s">
        <v>1123</v>
      </c>
      <c r="W207" s="128"/>
      <c r="X207" s="128"/>
      <c r="Y207" s="128"/>
      <c r="Z207" s="128"/>
      <c r="AA207" s="128"/>
    </row>
    <row r="208">
      <c r="A208" s="139" t="s">
        <v>299</v>
      </c>
      <c r="B208" s="139"/>
      <c r="C208" s="198" t="s">
        <v>1124</v>
      </c>
      <c r="D208" s="151" t="s">
        <v>301</v>
      </c>
      <c r="E208" s="151"/>
      <c r="F208" s="155" t="s">
        <v>1125</v>
      </c>
      <c r="G208" s="133"/>
      <c r="H208" s="151"/>
      <c r="I208" s="151"/>
      <c r="J208" s="128"/>
      <c r="K208" s="128"/>
      <c r="L208" s="170" t="s">
        <v>1126</v>
      </c>
      <c r="M208" s="128"/>
      <c r="N208" s="128"/>
      <c r="O208" s="128"/>
      <c r="P208" s="128"/>
      <c r="Q208" s="128"/>
      <c r="R208" s="128" t="s">
        <v>1124</v>
      </c>
      <c r="S208" s="128" t="s">
        <v>301</v>
      </c>
      <c r="T208" s="128"/>
      <c r="U208" s="129" t="s">
        <v>1125</v>
      </c>
      <c r="V208" s="128"/>
      <c r="W208" s="128"/>
      <c r="X208" s="128"/>
      <c r="Y208" s="128"/>
      <c r="Z208" s="128"/>
      <c r="AA208" s="128"/>
    </row>
    <row r="209">
      <c r="A209" s="139" t="s">
        <v>299</v>
      </c>
      <c r="B209" s="139"/>
      <c r="C209" s="180" t="s">
        <v>93</v>
      </c>
      <c r="D209" s="151" t="s">
        <v>301</v>
      </c>
      <c r="E209" s="151"/>
      <c r="F209" s="155" t="s">
        <v>1127</v>
      </c>
      <c r="G209" s="148" t="s">
        <v>1128</v>
      </c>
      <c r="H209" s="151"/>
      <c r="I209" s="151"/>
      <c r="J209" s="128"/>
      <c r="K209" s="128"/>
      <c r="L209" s="170" t="s">
        <v>1129</v>
      </c>
      <c r="M209" s="128"/>
      <c r="N209" s="128"/>
      <c r="O209" s="128"/>
      <c r="P209" s="128"/>
      <c r="Q209" s="128"/>
      <c r="R209" s="128" t="s">
        <v>93</v>
      </c>
      <c r="S209" s="128" t="s">
        <v>301</v>
      </c>
      <c r="T209" s="128"/>
      <c r="U209" s="129" t="s">
        <v>1127</v>
      </c>
      <c r="V209" s="128" t="s">
        <v>1130</v>
      </c>
      <c r="W209" s="128"/>
      <c r="X209" s="128"/>
      <c r="Y209" s="128"/>
      <c r="Z209" s="128"/>
      <c r="AA209" s="128"/>
    </row>
    <row r="210">
      <c r="A210" s="139" t="s">
        <v>299</v>
      </c>
      <c r="B210" s="151" t="s">
        <v>401</v>
      </c>
      <c r="C210" s="151" t="s">
        <v>1131</v>
      </c>
      <c r="D210" s="151" t="s">
        <v>301</v>
      </c>
      <c r="E210" s="151" t="s">
        <v>402</v>
      </c>
      <c r="F210" s="199" t="s">
        <v>462</v>
      </c>
      <c r="G210" s="200" t="s">
        <v>1132</v>
      </c>
      <c r="H210" s="151"/>
      <c r="I210" s="151"/>
      <c r="J210" s="128"/>
      <c r="K210" s="128"/>
      <c r="L210" s="170" t="s">
        <v>1133</v>
      </c>
      <c r="M210" s="128"/>
      <c r="N210" s="128"/>
      <c r="O210" s="128"/>
      <c r="P210" s="128"/>
      <c r="Q210" s="128"/>
      <c r="R210" s="128" t="s">
        <v>1131</v>
      </c>
      <c r="S210" s="128" t="s">
        <v>301</v>
      </c>
      <c r="T210" s="128" t="s">
        <v>402</v>
      </c>
      <c r="U210" s="129" t="s">
        <v>462</v>
      </c>
      <c r="V210" s="128" t="s">
        <v>1134</v>
      </c>
      <c r="W210" s="128"/>
      <c r="X210" s="128"/>
      <c r="Y210" s="128"/>
      <c r="Z210" s="128"/>
      <c r="AA210" s="128"/>
    </row>
    <row r="211">
      <c r="A211" s="139" t="s">
        <v>299</v>
      </c>
      <c r="B211" s="139" t="s">
        <v>1135</v>
      </c>
      <c r="C211" s="139" t="s">
        <v>1135</v>
      </c>
      <c r="D211" s="151" t="s">
        <v>301</v>
      </c>
      <c r="E211" s="151"/>
      <c r="F211" s="147" t="s">
        <v>1136</v>
      </c>
      <c r="G211" s="148" t="s">
        <v>1137</v>
      </c>
      <c r="H211" s="151"/>
      <c r="I211" s="151"/>
      <c r="J211" s="128"/>
      <c r="K211" s="128"/>
      <c r="L211" s="170" t="s">
        <v>1138</v>
      </c>
      <c r="M211" s="128"/>
      <c r="N211" s="128"/>
      <c r="O211" s="128"/>
      <c r="P211" s="128"/>
      <c r="Q211" s="128"/>
      <c r="R211" s="128" t="s">
        <v>1135</v>
      </c>
      <c r="S211" s="128" t="s">
        <v>301</v>
      </c>
      <c r="T211" s="128"/>
      <c r="U211" s="129" t="s">
        <v>1136</v>
      </c>
      <c r="V211" s="128" t="s">
        <v>1139</v>
      </c>
      <c r="W211" s="128"/>
      <c r="X211" s="128"/>
      <c r="Y211" s="128"/>
      <c r="Z211" s="128"/>
      <c r="AA211" s="128"/>
    </row>
    <row r="212">
      <c r="A212" s="139" t="s">
        <v>299</v>
      </c>
      <c r="B212" s="139"/>
      <c r="C212" s="180" t="s">
        <v>231</v>
      </c>
      <c r="D212" s="151" t="s">
        <v>301</v>
      </c>
      <c r="E212" s="151"/>
      <c r="F212" s="155" t="s">
        <v>1140</v>
      </c>
      <c r="G212" s="148" t="s">
        <v>1141</v>
      </c>
      <c r="H212" s="151"/>
      <c r="I212" s="151"/>
      <c r="J212" s="128"/>
      <c r="K212" s="128"/>
      <c r="L212" s="170" t="s">
        <v>1142</v>
      </c>
      <c r="M212" s="128"/>
      <c r="N212" s="128"/>
      <c r="O212" s="128"/>
      <c r="P212" s="128"/>
      <c r="Q212" s="128"/>
      <c r="R212" s="127" t="s">
        <v>231</v>
      </c>
      <c r="S212" s="128" t="s">
        <v>301</v>
      </c>
      <c r="T212" s="201"/>
      <c r="U212" s="202" t="s">
        <v>1140</v>
      </c>
      <c r="V212" s="196" t="s">
        <v>1143</v>
      </c>
      <c r="W212" s="128"/>
      <c r="X212" s="128"/>
      <c r="Y212" s="128"/>
      <c r="Z212" s="128"/>
      <c r="AA212" s="128"/>
    </row>
    <row r="213">
      <c r="A213" s="139" t="s">
        <v>299</v>
      </c>
      <c r="B213" s="139"/>
      <c r="C213" s="139" t="s">
        <v>1144</v>
      </c>
      <c r="D213" s="151"/>
      <c r="E213" s="151"/>
      <c r="F213" s="151"/>
      <c r="G213" s="133"/>
      <c r="H213" s="151"/>
      <c r="I213" s="151"/>
      <c r="J213" s="128"/>
      <c r="K213" s="128"/>
      <c r="L213" s="170" t="s">
        <v>1145</v>
      </c>
      <c r="M213" s="128"/>
      <c r="N213" s="128"/>
      <c r="O213" s="128"/>
      <c r="P213" s="128"/>
      <c r="Q213" s="128"/>
      <c r="R213" s="127" t="s">
        <v>1146</v>
      </c>
      <c r="S213" s="127" t="s">
        <v>301</v>
      </c>
      <c r="U213" s="202" t="s">
        <v>1147</v>
      </c>
      <c r="V213" s="127" t="s">
        <v>1148</v>
      </c>
      <c r="W213" s="128"/>
      <c r="X213" s="128"/>
      <c r="Y213" s="128"/>
      <c r="Z213" s="128"/>
      <c r="AA213" s="128"/>
    </row>
    <row r="214">
      <c r="A214" s="139" t="s">
        <v>299</v>
      </c>
      <c r="B214" s="139"/>
      <c r="C214" s="139" t="s">
        <v>1146</v>
      </c>
      <c r="D214" s="151" t="s">
        <v>301</v>
      </c>
      <c r="E214" s="151"/>
      <c r="F214" s="203" t="s">
        <v>1147</v>
      </c>
      <c r="G214" s="148" t="s">
        <v>1149</v>
      </c>
      <c r="H214" s="151"/>
      <c r="I214" s="151"/>
      <c r="J214" s="128"/>
      <c r="K214" s="128"/>
      <c r="L214" s="170" t="s">
        <v>1150</v>
      </c>
      <c r="M214" s="128"/>
      <c r="N214" s="128"/>
      <c r="O214" s="128"/>
      <c r="P214" s="128"/>
      <c r="Q214" s="128"/>
      <c r="R214" s="127" t="s">
        <v>1151</v>
      </c>
      <c r="S214" s="127" t="s">
        <v>301</v>
      </c>
      <c r="T214" s="128"/>
      <c r="U214" s="204" t="s">
        <v>1152</v>
      </c>
      <c r="V214" s="127" t="s">
        <v>1153</v>
      </c>
      <c r="W214" s="128"/>
      <c r="X214" s="128"/>
      <c r="Y214" s="128"/>
      <c r="Z214" s="128"/>
      <c r="AA214" s="128"/>
    </row>
    <row r="215">
      <c r="A215" s="139" t="s">
        <v>1151</v>
      </c>
      <c r="B215" s="139" t="s">
        <v>1151</v>
      </c>
      <c r="C215" s="139" t="s">
        <v>1151</v>
      </c>
      <c r="D215" s="151" t="s">
        <v>301</v>
      </c>
      <c r="E215" s="151"/>
      <c r="F215" s="203" t="s">
        <v>1152</v>
      </c>
      <c r="G215" s="148" t="s">
        <v>1154</v>
      </c>
      <c r="H215" s="151"/>
      <c r="I215" s="151"/>
      <c r="J215" s="128"/>
      <c r="K215" s="128"/>
      <c r="L215" s="170" t="s">
        <v>1155</v>
      </c>
      <c r="M215" s="128"/>
      <c r="N215" s="128"/>
      <c r="O215" s="128"/>
      <c r="P215" s="128"/>
      <c r="Q215" s="128"/>
      <c r="W215" s="128"/>
      <c r="X215" s="128"/>
      <c r="Y215" s="128"/>
      <c r="Z215" s="128"/>
      <c r="AA215" s="128"/>
    </row>
    <row r="216">
      <c r="A216" s="127" t="s">
        <v>1156</v>
      </c>
      <c r="B216" s="127" t="s">
        <v>1157</v>
      </c>
      <c r="C216" s="127" t="s">
        <v>1156</v>
      </c>
      <c r="D216" s="127" t="s">
        <v>279</v>
      </c>
      <c r="E216" s="127"/>
      <c r="F216" s="205" t="s">
        <v>1158</v>
      </c>
      <c r="G216" s="127" t="s">
        <v>1159</v>
      </c>
      <c r="H216" s="127"/>
      <c r="I216" s="127"/>
      <c r="J216" s="127"/>
      <c r="K216" s="127"/>
      <c r="L216" s="127" t="s">
        <v>1160</v>
      </c>
      <c r="M216" s="127"/>
      <c r="N216" s="127"/>
      <c r="O216" s="127"/>
      <c r="P216" s="127"/>
      <c r="Q216" s="127"/>
      <c r="R216" s="127" t="s">
        <v>1156</v>
      </c>
      <c r="S216" s="127" t="s">
        <v>279</v>
      </c>
      <c r="T216" s="127"/>
      <c r="U216" s="205" t="s">
        <v>1158</v>
      </c>
      <c r="V216" s="127" t="s">
        <v>1161</v>
      </c>
      <c r="W216" s="127"/>
      <c r="X216" s="127"/>
      <c r="Y216" s="127"/>
      <c r="Z216" s="127"/>
      <c r="AA216" s="127"/>
    </row>
    <row r="217">
      <c r="A217" s="127" t="s">
        <v>1162</v>
      </c>
      <c r="B217" s="127" t="s">
        <v>1163</v>
      </c>
      <c r="C217" s="127" t="s">
        <v>1163</v>
      </c>
      <c r="D217" s="151" t="s">
        <v>301</v>
      </c>
      <c r="E217" s="128"/>
      <c r="F217" s="206" t="s">
        <v>1164</v>
      </c>
      <c r="G217" s="127" t="s">
        <v>1165</v>
      </c>
      <c r="H217" s="128"/>
      <c r="I217" s="128"/>
      <c r="J217" s="128"/>
      <c r="K217" s="128"/>
      <c r="L217" s="170" t="s">
        <v>1166</v>
      </c>
      <c r="M217" s="128"/>
      <c r="N217" s="128"/>
      <c r="O217" s="128"/>
      <c r="P217" s="128"/>
      <c r="Q217" s="128"/>
      <c r="R217" s="127" t="s">
        <v>1163</v>
      </c>
      <c r="S217" s="127" t="s">
        <v>301</v>
      </c>
      <c r="T217" s="128"/>
      <c r="U217" s="206" t="s">
        <v>1164</v>
      </c>
      <c r="V217" s="127" t="s">
        <v>1167</v>
      </c>
      <c r="Y217" s="128"/>
      <c r="Z217" s="128"/>
      <c r="AA217" s="128"/>
    </row>
    <row r="218">
      <c r="A218" s="139" t="s">
        <v>299</v>
      </c>
      <c r="B218" s="139"/>
      <c r="C218" s="127" t="s">
        <v>1168</v>
      </c>
      <c r="D218" s="151" t="s">
        <v>301</v>
      </c>
      <c r="E218" s="128"/>
      <c r="F218" s="205" t="s">
        <v>1169</v>
      </c>
      <c r="G218" s="196" t="s">
        <v>1170</v>
      </c>
      <c r="H218" s="128"/>
      <c r="I218" s="128"/>
      <c r="J218" s="128"/>
      <c r="K218" s="128"/>
      <c r="L218" s="170" t="s">
        <v>1171</v>
      </c>
      <c r="M218" s="128"/>
      <c r="N218" s="128"/>
      <c r="O218" s="128"/>
      <c r="P218" s="128"/>
      <c r="Q218" s="139"/>
      <c r="R218" s="127" t="s">
        <v>1168</v>
      </c>
      <c r="S218" s="151" t="s">
        <v>301</v>
      </c>
      <c r="T218" s="128"/>
      <c r="U218" s="205" t="s">
        <v>1169</v>
      </c>
      <c r="W218" s="128"/>
      <c r="X218" s="128"/>
      <c r="Y218" s="128"/>
      <c r="Z218" s="128"/>
      <c r="AA218" s="128"/>
    </row>
    <row r="219">
      <c r="A219" s="139" t="s">
        <v>299</v>
      </c>
      <c r="B219" s="139"/>
      <c r="C219" s="127" t="s">
        <v>1172</v>
      </c>
      <c r="D219" s="127" t="s">
        <v>279</v>
      </c>
      <c r="E219" s="128"/>
      <c r="F219" s="205" t="s">
        <v>1173</v>
      </c>
      <c r="G219" s="196" t="s">
        <v>1174</v>
      </c>
      <c r="H219" s="128"/>
      <c r="I219" s="128"/>
      <c r="J219" s="128"/>
      <c r="K219" s="128"/>
      <c r="L219" s="170" t="s">
        <v>1175</v>
      </c>
      <c r="M219" s="128"/>
      <c r="N219" s="128"/>
      <c r="O219" s="128"/>
      <c r="P219" s="128"/>
      <c r="Q219" s="128"/>
      <c r="R219" s="127" t="s">
        <v>1172</v>
      </c>
      <c r="S219" s="127" t="s">
        <v>279</v>
      </c>
      <c r="T219" s="128"/>
      <c r="U219" s="205" t="s">
        <v>1173</v>
      </c>
      <c r="V219" s="128"/>
      <c r="W219" s="128"/>
      <c r="X219" s="128"/>
      <c r="Y219" s="128"/>
      <c r="Z219" s="128"/>
      <c r="AA219" s="128"/>
    </row>
    <row r="220">
      <c r="A220" s="127" t="s">
        <v>1176</v>
      </c>
      <c r="B220" s="127" t="s">
        <v>1177</v>
      </c>
      <c r="C220" s="127" t="s">
        <v>1178</v>
      </c>
      <c r="D220" s="127" t="s">
        <v>279</v>
      </c>
      <c r="E220" s="128"/>
      <c r="F220" s="205" t="s">
        <v>1179</v>
      </c>
      <c r="G220" s="196" t="s">
        <v>1180</v>
      </c>
      <c r="H220" s="128"/>
      <c r="I220" s="128"/>
      <c r="J220" s="128"/>
      <c r="K220" s="128"/>
      <c r="L220" s="170" t="s">
        <v>1181</v>
      </c>
      <c r="M220" s="128"/>
      <c r="N220" s="128"/>
      <c r="O220" s="128"/>
      <c r="P220" s="128"/>
      <c r="Q220" s="128"/>
      <c r="R220" s="128"/>
      <c r="S220" s="128"/>
      <c r="T220" s="128"/>
      <c r="U220" s="129"/>
      <c r="V220" s="128"/>
      <c r="W220" s="128"/>
      <c r="X220" s="128"/>
      <c r="Y220" s="128"/>
      <c r="Z220" s="128"/>
      <c r="AA220" s="128"/>
    </row>
    <row r="221">
      <c r="A221" s="127" t="s">
        <v>1182</v>
      </c>
      <c r="B221" s="127" t="s">
        <v>1182</v>
      </c>
      <c r="C221" s="127" t="s">
        <v>233</v>
      </c>
      <c r="D221" s="127" t="s">
        <v>412</v>
      </c>
      <c r="E221" s="128"/>
      <c r="F221" s="206" t="s">
        <v>1183</v>
      </c>
      <c r="G221" s="196" t="s">
        <v>1184</v>
      </c>
      <c r="H221" s="128"/>
      <c r="I221" s="128"/>
      <c r="J221" s="128"/>
      <c r="K221" s="128"/>
      <c r="L221" s="170" t="s">
        <v>1185</v>
      </c>
      <c r="M221" s="128"/>
      <c r="N221" s="128"/>
      <c r="O221" s="128"/>
      <c r="P221" s="128"/>
      <c r="Q221" s="128"/>
      <c r="R221" s="128"/>
      <c r="S221" s="128"/>
      <c r="T221" s="128"/>
      <c r="U221" s="129"/>
      <c r="V221" s="128"/>
      <c r="W221" s="128"/>
      <c r="X221" s="128"/>
      <c r="Y221" s="128"/>
      <c r="Z221" s="128"/>
      <c r="AA221" s="128"/>
    </row>
    <row r="222">
      <c r="A222" s="139" t="s">
        <v>299</v>
      </c>
      <c r="B222" s="127"/>
      <c r="C222" s="127" t="s">
        <v>1186</v>
      </c>
      <c r="D222" s="127" t="s">
        <v>279</v>
      </c>
      <c r="E222" s="128"/>
      <c r="F222" s="206" t="s">
        <v>1187</v>
      </c>
      <c r="G222" s="196" t="s">
        <v>1188</v>
      </c>
      <c r="H222" s="128"/>
      <c r="I222" s="128"/>
      <c r="J222" s="128"/>
      <c r="K222" s="128"/>
      <c r="L222" s="173" t="s">
        <v>1189</v>
      </c>
      <c r="M222" s="128"/>
      <c r="N222" s="128"/>
      <c r="O222" s="128"/>
      <c r="P222" s="128"/>
      <c r="Q222" s="128"/>
      <c r="R222" s="128"/>
      <c r="S222" s="128"/>
      <c r="T222" s="128"/>
      <c r="U222" s="129"/>
      <c r="V222" s="128"/>
      <c r="W222" s="128"/>
      <c r="X222" s="128"/>
      <c r="Y222" s="128"/>
      <c r="Z222" s="128"/>
      <c r="AA222" s="128"/>
    </row>
    <row r="223">
      <c r="A223" s="151" t="s">
        <v>299</v>
      </c>
      <c r="B223" s="207"/>
      <c r="C223" s="207" t="s">
        <v>1190</v>
      </c>
      <c r="D223" s="151" t="s">
        <v>301</v>
      </c>
      <c r="E223" s="207"/>
      <c r="F223" s="208" t="s">
        <v>1191</v>
      </c>
      <c r="G223" s="133" t="s">
        <v>1192</v>
      </c>
      <c r="H223" s="128"/>
      <c r="I223" s="128"/>
      <c r="J223" s="128"/>
      <c r="K223" s="128"/>
      <c r="L223" s="170" t="s">
        <v>1193</v>
      </c>
      <c r="M223" s="128"/>
      <c r="N223" s="128"/>
      <c r="O223" s="128"/>
      <c r="P223" s="128"/>
      <c r="Q223" s="128"/>
      <c r="R223" s="128"/>
      <c r="S223" s="128"/>
      <c r="T223" s="128"/>
      <c r="U223" s="129"/>
      <c r="V223" s="128"/>
      <c r="W223" s="128"/>
      <c r="X223" s="128"/>
      <c r="Y223" s="128"/>
      <c r="Z223" s="128"/>
      <c r="AA223" s="128"/>
    </row>
    <row r="224">
      <c r="A224" s="151" t="s">
        <v>299</v>
      </c>
      <c r="B224" s="207"/>
      <c r="C224" s="207" t="s">
        <v>1194</v>
      </c>
      <c r="D224" s="151" t="s">
        <v>301</v>
      </c>
      <c r="E224" s="207"/>
      <c r="F224" s="208" t="s">
        <v>1195</v>
      </c>
      <c r="G224" s="133" t="s">
        <v>1196</v>
      </c>
      <c r="H224" s="128"/>
      <c r="I224" s="128"/>
      <c r="J224" s="128"/>
      <c r="K224" s="128"/>
      <c r="L224" s="170" t="s">
        <v>1197</v>
      </c>
      <c r="M224" s="128"/>
      <c r="N224" s="128"/>
      <c r="O224" s="128"/>
      <c r="P224" s="128"/>
      <c r="Q224" s="128"/>
      <c r="R224" s="128"/>
      <c r="S224" s="128"/>
      <c r="T224" s="128"/>
      <c r="U224" s="129"/>
      <c r="V224" s="128"/>
      <c r="W224" s="128"/>
      <c r="X224" s="128"/>
      <c r="Y224" s="128"/>
      <c r="Z224" s="128"/>
      <c r="AA224" s="128"/>
    </row>
    <row r="225">
      <c r="A225" s="151" t="s">
        <v>299</v>
      </c>
      <c r="B225" s="207"/>
      <c r="C225" s="207" t="s">
        <v>1198</v>
      </c>
      <c r="D225" s="151" t="s">
        <v>301</v>
      </c>
      <c r="E225" s="207"/>
      <c r="F225" s="208" t="s">
        <v>1199</v>
      </c>
      <c r="G225" s="133" t="s">
        <v>1200</v>
      </c>
      <c r="H225" s="128"/>
      <c r="I225" s="128"/>
      <c r="J225" s="128"/>
      <c r="K225" s="128"/>
      <c r="L225" s="170" t="s">
        <v>1201</v>
      </c>
      <c r="M225" s="128"/>
      <c r="N225" s="128"/>
      <c r="O225" s="128"/>
      <c r="P225" s="128"/>
      <c r="Q225" s="128"/>
      <c r="R225" s="128"/>
      <c r="S225" s="128"/>
      <c r="T225" s="128"/>
      <c r="U225" s="129"/>
      <c r="V225" s="128"/>
      <c r="W225" s="128"/>
      <c r="X225" s="128"/>
      <c r="Y225" s="128"/>
      <c r="Z225" s="128"/>
      <c r="AA225" s="128"/>
    </row>
    <row r="226">
      <c r="A226" s="151" t="s">
        <v>299</v>
      </c>
      <c r="B226" s="207"/>
      <c r="C226" s="207" t="s">
        <v>183</v>
      </c>
      <c r="D226" s="207" t="s">
        <v>279</v>
      </c>
      <c r="E226" s="207"/>
      <c r="F226" s="208" t="s">
        <v>1202</v>
      </c>
      <c r="G226" s="209"/>
      <c r="H226" s="128"/>
      <c r="I226" s="128"/>
      <c r="J226" s="128"/>
      <c r="K226" s="128"/>
      <c r="L226" s="170" t="s">
        <v>1203</v>
      </c>
      <c r="M226" s="128"/>
      <c r="N226" s="128"/>
      <c r="O226" s="128"/>
      <c r="P226" s="128"/>
      <c r="Q226" s="128"/>
      <c r="R226" s="128"/>
      <c r="S226" s="128"/>
      <c r="T226" s="128"/>
      <c r="U226" s="129"/>
      <c r="V226" s="128"/>
      <c r="W226" s="128"/>
      <c r="X226" s="128"/>
      <c r="Y226" s="128"/>
      <c r="Z226" s="128"/>
      <c r="AA226" s="128"/>
    </row>
    <row r="227">
      <c r="A227" s="151" t="s">
        <v>299</v>
      </c>
      <c r="B227" s="207"/>
      <c r="C227" s="207" t="s">
        <v>1204</v>
      </c>
      <c r="D227" s="151" t="s">
        <v>301</v>
      </c>
      <c r="E227" s="207"/>
      <c r="F227" s="210" t="s">
        <v>1205</v>
      </c>
      <c r="G227" s="209"/>
      <c r="H227" s="128"/>
      <c r="I227" s="128"/>
      <c r="J227" s="128"/>
      <c r="K227" s="128"/>
      <c r="L227" s="170" t="s">
        <v>1206</v>
      </c>
      <c r="M227" s="128"/>
      <c r="N227" s="128"/>
      <c r="O227" s="128"/>
      <c r="P227" s="128"/>
      <c r="Q227" s="128"/>
      <c r="R227" s="128"/>
      <c r="S227" s="128"/>
      <c r="T227" s="128"/>
      <c r="U227" s="129"/>
      <c r="V227" s="128"/>
      <c r="W227" s="128"/>
      <c r="X227" s="128"/>
      <c r="Y227" s="128"/>
      <c r="Z227" s="128"/>
      <c r="AA227" s="128"/>
    </row>
    <row r="228">
      <c r="A228" s="151" t="s">
        <v>299</v>
      </c>
      <c r="B228" s="207"/>
      <c r="C228" s="128" t="s">
        <v>1207</v>
      </c>
      <c r="D228" s="151" t="s">
        <v>301</v>
      </c>
      <c r="F228" s="211" t="s">
        <v>1208</v>
      </c>
      <c r="G228" s="212"/>
      <c r="H228" s="128"/>
      <c r="I228" s="128"/>
      <c r="J228" s="128"/>
      <c r="K228" s="128"/>
      <c r="L228" s="170" t="s">
        <v>1209</v>
      </c>
      <c r="M228" s="128"/>
      <c r="N228" s="128"/>
      <c r="O228" s="128"/>
      <c r="P228" s="128"/>
      <c r="Q228" s="128"/>
      <c r="R228" s="128"/>
      <c r="S228" s="128"/>
      <c r="T228" s="128"/>
      <c r="U228" s="129"/>
      <c r="V228" s="128"/>
      <c r="W228" s="128"/>
      <c r="X228" s="128"/>
      <c r="Y228" s="128"/>
      <c r="Z228" s="128"/>
      <c r="AA228" s="128"/>
    </row>
    <row r="229">
      <c r="A229" s="151" t="s">
        <v>299</v>
      </c>
      <c r="B229" s="207"/>
      <c r="C229" s="127" t="s">
        <v>1210</v>
      </c>
      <c r="D229" s="151" t="s">
        <v>301</v>
      </c>
      <c r="F229" s="211"/>
      <c r="G229" s="212"/>
      <c r="H229" s="128"/>
      <c r="I229" s="128"/>
      <c r="J229" s="128"/>
      <c r="K229" s="128"/>
      <c r="L229" s="170" t="s">
        <v>1211</v>
      </c>
      <c r="M229" s="128"/>
      <c r="N229" s="128"/>
      <c r="O229" s="128"/>
      <c r="P229" s="128"/>
      <c r="Q229" s="128"/>
      <c r="R229" s="128"/>
      <c r="S229" s="128"/>
      <c r="T229" s="128"/>
      <c r="U229" s="129"/>
      <c r="V229" s="128"/>
      <c r="W229" s="128"/>
      <c r="X229" s="128"/>
      <c r="Y229" s="128"/>
      <c r="Z229" s="128"/>
      <c r="AA229" s="128"/>
    </row>
    <row r="230">
      <c r="A230" s="151" t="s">
        <v>299</v>
      </c>
      <c r="B230" s="128"/>
      <c r="C230" s="128" t="s">
        <v>1212</v>
      </c>
      <c r="D230" s="151" t="s">
        <v>301</v>
      </c>
      <c r="E230" s="128"/>
      <c r="F230" s="211" t="s">
        <v>1213</v>
      </c>
      <c r="G230" s="133" t="s">
        <v>1214</v>
      </c>
      <c r="H230" s="128"/>
      <c r="I230" s="128"/>
      <c r="J230" s="128"/>
      <c r="K230" s="128"/>
      <c r="L230" s="170" t="s">
        <v>1215</v>
      </c>
      <c r="M230" s="128"/>
      <c r="N230" s="128"/>
      <c r="O230" s="128"/>
      <c r="P230" s="128"/>
      <c r="Q230" s="128"/>
      <c r="R230" s="128"/>
      <c r="S230" s="128"/>
      <c r="T230" s="128"/>
      <c r="U230" s="129"/>
      <c r="V230" s="128"/>
      <c r="W230" s="128"/>
      <c r="X230" s="128"/>
      <c r="Y230" s="128"/>
      <c r="Z230" s="128"/>
      <c r="AA230" s="128"/>
    </row>
    <row r="231">
      <c r="A231" s="128"/>
      <c r="B231" s="128"/>
      <c r="C231" s="128"/>
      <c r="D231" s="128"/>
      <c r="E231" s="128"/>
      <c r="F231" s="128"/>
      <c r="G231" s="212"/>
      <c r="H231" s="128"/>
      <c r="I231" s="128"/>
      <c r="J231" s="128"/>
      <c r="K231" s="128"/>
      <c r="L231" s="170" t="s">
        <v>1216</v>
      </c>
      <c r="M231" s="128"/>
      <c r="N231" s="128"/>
      <c r="O231" s="128"/>
      <c r="P231" s="128"/>
      <c r="Q231" s="128"/>
      <c r="R231" s="128"/>
      <c r="S231" s="128"/>
      <c r="T231" s="128"/>
      <c r="U231" s="129"/>
      <c r="V231" s="128"/>
      <c r="W231" s="128"/>
      <c r="X231" s="128"/>
      <c r="Y231" s="128"/>
      <c r="Z231" s="128"/>
      <c r="AA231" s="128"/>
    </row>
    <row r="232">
      <c r="A232" s="128"/>
      <c r="B232" s="128"/>
      <c r="C232" s="128"/>
      <c r="D232" s="128"/>
      <c r="E232" s="128"/>
      <c r="F232" s="128"/>
      <c r="G232" s="212"/>
      <c r="H232" s="128"/>
      <c r="I232" s="128"/>
      <c r="J232" s="128"/>
      <c r="K232" s="128"/>
      <c r="L232" s="170" t="s">
        <v>1217</v>
      </c>
      <c r="M232" s="128"/>
      <c r="N232" s="128"/>
      <c r="O232" s="128"/>
      <c r="P232" s="128"/>
      <c r="Q232" s="128"/>
      <c r="R232" s="128"/>
      <c r="S232" s="128"/>
      <c r="T232" s="128"/>
      <c r="U232" s="129"/>
      <c r="V232" s="128"/>
      <c r="W232" s="128"/>
      <c r="X232" s="128"/>
      <c r="Y232" s="128"/>
      <c r="Z232" s="128"/>
      <c r="AA232" s="128"/>
    </row>
    <row r="233">
      <c r="A233" s="128"/>
      <c r="B233" s="128"/>
      <c r="C233" s="128"/>
      <c r="D233" s="128"/>
      <c r="E233" s="128"/>
      <c r="F233" s="128"/>
      <c r="G233" s="212"/>
      <c r="H233" s="128"/>
      <c r="I233" s="128"/>
      <c r="J233" s="128"/>
      <c r="K233" s="128"/>
      <c r="L233" s="170" t="s">
        <v>1218</v>
      </c>
      <c r="M233" s="128"/>
      <c r="N233" s="128"/>
      <c r="O233" s="128"/>
      <c r="P233" s="128"/>
      <c r="Q233" s="128"/>
      <c r="R233" s="128"/>
      <c r="S233" s="128"/>
      <c r="T233" s="128"/>
      <c r="U233" s="129"/>
      <c r="V233" s="128"/>
      <c r="W233" s="128"/>
      <c r="X233" s="128"/>
      <c r="Y233" s="128"/>
      <c r="Z233" s="128"/>
      <c r="AA233" s="128"/>
    </row>
    <row r="234">
      <c r="A234" s="128"/>
      <c r="B234" s="128"/>
      <c r="C234" s="128"/>
      <c r="D234" s="128"/>
      <c r="E234" s="128"/>
      <c r="F234" s="128"/>
      <c r="G234" s="212"/>
      <c r="H234" s="128"/>
      <c r="I234" s="128"/>
      <c r="J234" s="128"/>
      <c r="K234" s="128"/>
      <c r="L234" s="170" t="s">
        <v>1219</v>
      </c>
      <c r="M234" s="128"/>
      <c r="N234" s="128"/>
      <c r="O234" s="128"/>
      <c r="P234" s="128"/>
      <c r="Q234" s="128"/>
      <c r="R234" s="128"/>
      <c r="S234" s="128"/>
      <c r="T234" s="128"/>
      <c r="U234" s="129"/>
      <c r="V234" s="128"/>
      <c r="W234" s="128"/>
      <c r="X234" s="128"/>
      <c r="Y234" s="128"/>
      <c r="Z234" s="128"/>
      <c r="AA234" s="128"/>
    </row>
    <row r="235">
      <c r="A235" s="128"/>
      <c r="B235" s="128"/>
      <c r="C235" s="128"/>
      <c r="D235" s="128"/>
      <c r="E235" s="128"/>
      <c r="F235" s="128"/>
      <c r="G235" s="212"/>
      <c r="H235" s="128"/>
      <c r="I235" s="128"/>
      <c r="J235" s="128"/>
      <c r="K235" s="128"/>
      <c r="L235" s="170" t="s">
        <v>1220</v>
      </c>
      <c r="M235" s="128"/>
      <c r="N235" s="128"/>
      <c r="O235" s="128"/>
      <c r="P235" s="128"/>
      <c r="Q235" s="128"/>
      <c r="R235" s="128"/>
      <c r="S235" s="128"/>
      <c r="T235" s="128"/>
      <c r="U235" s="129"/>
      <c r="V235" s="128"/>
      <c r="W235" s="128"/>
      <c r="X235" s="128"/>
      <c r="Y235" s="128"/>
      <c r="Z235" s="128"/>
      <c r="AA235" s="128"/>
    </row>
    <row r="236">
      <c r="A236" s="128"/>
      <c r="B236" s="128"/>
      <c r="C236" s="128"/>
      <c r="D236" s="128"/>
      <c r="E236" s="128"/>
      <c r="F236" s="128"/>
      <c r="G236" s="212"/>
      <c r="H236" s="128"/>
      <c r="I236" s="128"/>
      <c r="J236" s="128"/>
      <c r="K236" s="128"/>
      <c r="L236" s="170" t="s">
        <v>1221</v>
      </c>
      <c r="M236" s="128"/>
      <c r="N236" s="128"/>
      <c r="O236" s="128"/>
      <c r="P236" s="128"/>
      <c r="Q236" s="128"/>
      <c r="R236" s="128"/>
      <c r="S236" s="128"/>
      <c r="T236" s="128"/>
      <c r="U236" s="129"/>
      <c r="V236" s="128"/>
      <c r="W236" s="128"/>
      <c r="X236" s="128"/>
      <c r="Y236" s="128"/>
      <c r="Z236" s="128"/>
      <c r="AA236" s="128"/>
    </row>
    <row r="237">
      <c r="A237" s="128"/>
      <c r="B237" s="128"/>
      <c r="C237" s="128"/>
      <c r="D237" s="128"/>
      <c r="E237" s="128"/>
      <c r="F237" s="128"/>
      <c r="G237" s="212"/>
      <c r="H237" s="128"/>
      <c r="I237" s="128"/>
      <c r="J237" s="128"/>
      <c r="K237" s="128"/>
      <c r="L237" s="170" t="s">
        <v>1222</v>
      </c>
      <c r="M237" s="128"/>
      <c r="N237" s="128"/>
      <c r="O237" s="128"/>
      <c r="P237" s="128"/>
      <c r="Q237" s="128"/>
      <c r="R237" s="128"/>
      <c r="S237" s="128"/>
      <c r="T237" s="128"/>
      <c r="U237" s="129"/>
      <c r="V237" s="128"/>
      <c r="W237" s="128"/>
      <c r="X237" s="128"/>
      <c r="Y237" s="128"/>
      <c r="Z237" s="128"/>
      <c r="AA237" s="128"/>
    </row>
    <row r="238">
      <c r="A238" s="128"/>
      <c r="B238" s="128"/>
      <c r="C238" s="128"/>
      <c r="D238" s="128"/>
      <c r="E238" s="128"/>
      <c r="F238" s="128"/>
      <c r="G238" s="212"/>
      <c r="H238" s="128"/>
      <c r="I238" s="128"/>
      <c r="J238" s="128"/>
      <c r="K238" s="128"/>
      <c r="L238" s="170" t="s">
        <v>1223</v>
      </c>
      <c r="M238" s="128"/>
      <c r="N238" s="128"/>
      <c r="O238" s="128"/>
      <c r="P238" s="128"/>
      <c r="Q238" s="128"/>
      <c r="R238" s="128"/>
      <c r="S238" s="128"/>
      <c r="T238" s="128"/>
      <c r="U238" s="129"/>
      <c r="V238" s="128"/>
      <c r="W238" s="128"/>
      <c r="X238" s="128"/>
      <c r="Y238" s="128"/>
      <c r="Z238" s="128"/>
      <c r="AA238" s="128"/>
    </row>
    <row r="239">
      <c r="A239" s="128"/>
      <c r="B239" s="128"/>
      <c r="C239" s="128"/>
      <c r="D239" s="128"/>
      <c r="E239" s="128"/>
      <c r="F239" s="128"/>
      <c r="G239" s="212"/>
      <c r="H239" s="128"/>
      <c r="I239" s="128"/>
      <c r="J239" s="128"/>
      <c r="K239" s="128"/>
      <c r="L239" s="170" t="s">
        <v>1224</v>
      </c>
      <c r="M239" s="128"/>
      <c r="N239" s="128"/>
      <c r="O239" s="128"/>
      <c r="P239" s="128"/>
      <c r="Q239" s="128"/>
      <c r="R239" s="128"/>
      <c r="S239" s="128"/>
      <c r="T239" s="128"/>
      <c r="U239" s="129"/>
      <c r="V239" s="128"/>
      <c r="W239" s="128"/>
      <c r="X239" s="128"/>
      <c r="Y239" s="128"/>
      <c r="Z239" s="128"/>
      <c r="AA239" s="128"/>
    </row>
    <row r="240">
      <c r="A240" s="128"/>
      <c r="B240" s="128"/>
      <c r="C240" s="128"/>
      <c r="D240" s="128"/>
      <c r="E240" s="128"/>
      <c r="F240" s="128"/>
      <c r="G240" s="212"/>
      <c r="H240" s="128"/>
      <c r="I240" s="128"/>
      <c r="J240" s="128"/>
      <c r="K240" s="128"/>
      <c r="L240" s="170" t="s">
        <v>1225</v>
      </c>
      <c r="M240" s="128"/>
      <c r="N240" s="128"/>
      <c r="O240" s="128"/>
      <c r="P240" s="128"/>
      <c r="Q240" s="128"/>
      <c r="R240" s="128"/>
      <c r="S240" s="128"/>
      <c r="T240" s="128"/>
      <c r="U240" s="129"/>
      <c r="V240" s="128"/>
      <c r="W240" s="128"/>
      <c r="X240" s="128"/>
      <c r="Y240" s="128"/>
      <c r="Z240" s="128"/>
      <c r="AA240" s="128"/>
    </row>
    <row r="241">
      <c r="A241" s="128"/>
      <c r="B241" s="128"/>
      <c r="C241" s="128"/>
      <c r="D241" s="128"/>
      <c r="E241" s="128"/>
      <c r="F241" s="128"/>
      <c r="G241" s="212"/>
      <c r="H241" s="128"/>
      <c r="I241" s="128"/>
      <c r="J241" s="128"/>
      <c r="K241" s="128"/>
      <c r="L241" s="170" t="s">
        <v>1226</v>
      </c>
      <c r="M241" s="128"/>
      <c r="N241" s="128"/>
      <c r="O241" s="128"/>
      <c r="P241" s="128"/>
      <c r="Q241" s="128"/>
      <c r="R241" s="128"/>
      <c r="S241" s="128"/>
      <c r="T241" s="128"/>
      <c r="U241" s="129"/>
      <c r="V241" s="128"/>
      <c r="W241" s="128"/>
      <c r="X241" s="128"/>
      <c r="Y241" s="128"/>
      <c r="Z241" s="128"/>
      <c r="AA241" s="128"/>
    </row>
    <row r="242">
      <c r="A242" s="128"/>
      <c r="B242" s="128"/>
      <c r="C242" s="128"/>
      <c r="D242" s="128"/>
      <c r="E242" s="128"/>
      <c r="F242" s="128"/>
      <c r="G242" s="212"/>
      <c r="H242" s="128"/>
      <c r="I242" s="128"/>
      <c r="J242" s="128"/>
      <c r="K242" s="128"/>
      <c r="L242" s="170" t="s">
        <v>1227</v>
      </c>
      <c r="M242" s="128"/>
      <c r="N242" s="128"/>
      <c r="O242" s="128"/>
      <c r="P242" s="128"/>
      <c r="Q242" s="128"/>
      <c r="R242" s="128"/>
      <c r="S242" s="128"/>
      <c r="T242" s="128"/>
      <c r="U242" s="129"/>
      <c r="V242" s="128"/>
      <c r="W242" s="128"/>
      <c r="X242" s="128"/>
      <c r="Y242" s="128"/>
      <c r="Z242" s="128"/>
      <c r="AA242" s="128"/>
    </row>
    <row r="243">
      <c r="A243" s="128"/>
      <c r="B243" s="128"/>
      <c r="C243" s="128"/>
      <c r="D243" s="128"/>
      <c r="E243" s="128"/>
      <c r="F243" s="128"/>
      <c r="G243" s="212"/>
      <c r="H243" s="128"/>
      <c r="I243" s="128"/>
      <c r="J243" s="128"/>
      <c r="K243" s="128"/>
      <c r="L243" s="170" t="s">
        <v>1228</v>
      </c>
      <c r="M243" s="128"/>
      <c r="N243" s="128"/>
      <c r="O243" s="128"/>
      <c r="P243" s="128"/>
      <c r="Q243" s="128"/>
      <c r="R243" s="128"/>
      <c r="S243" s="128"/>
      <c r="T243" s="128"/>
      <c r="U243" s="129"/>
      <c r="V243" s="128"/>
      <c r="W243" s="128"/>
      <c r="X243" s="128"/>
      <c r="Y243" s="128"/>
      <c r="Z243" s="128"/>
      <c r="AA243" s="128"/>
    </row>
    <row r="244">
      <c r="A244" s="128"/>
      <c r="B244" s="128"/>
      <c r="C244" s="128"/>
      <c r="D244" s="128"/>
      <c r="E244" s="128"/>
      <c r="F244" s="128"/>
      <c r="G244" s="212"/>
      <c r="H244" s="128"/>
      <c r="I244" s="128"/>
      <c r="J244" s="128"/>
      <c r="K244" s="128"/>
      <c r="L244" s="170" t="s">
        <v>1229</v>
      </c>
      <c r="M244" s="128"/>
      <c r="N244" s="128"/>
      <c r="O244" s="128"/>
      <c r="P244" s="128"/>
      <c r="Q244" s="128"/>
      <c r="R244" s="128"/>
      <c r="S244" s="128"/>
      <c r="T244" s="128"/>
      <c r="U244" s="129"/>
      <c r="V244" s="128"/>
      <c r="W244" s="128"/>
      <c r="X244" s="128"/>
      <c r="Y244" s="128"/>
      <c r="Z244" s="128"/>
      <c r="AA244" s="128"/>
    </row>
    <row r="245">
      <c r="A245" s="128"/>
      <c r="B245" s="128"/>
      <c r="C245" s="128"/>
      <c r="D245" s="128"/>
      <c r="E245" s="128"/>
      <c r="F245" s="128"/>
      <c r="G245" s="212"/>
      <c r="H245" s="128"/>
      <c r="I245" s="128"/>
      <c r="J245" s="128"/>
      <c r="K245" s="128"/>
      <c r="L245" s="143" t="s">
        <v>1230</v>
      </c>
      <c r="M245" s="128"/>
      <c r="N245" s="128"/>
      <c r="O245" s="128"/>
      <c r="P245" s="128"/>
      <c r="Q245" s="128"/>
      <c r="R245" s="128"/>
      <c r="S245" s="128"/>
      <c r="T245" s="128"/>
      <c r="U245" s="129"/>
      <c r="V245" s="128"/>
      <c r="W245" s="128"/>
      <c r="X245" s="128"/>
      <c r="Y245" s="128"/>
      <c r="Z245" s="128"/>
      <c r="AA245" s="128"/>
    </row>
    <row r="246">
      <c r="A246" s="128"/>
      <c r="B246" s="128"/>
      <c r="C246" s="128"/>
      <c r="D246" s="128"/>
      <c r="E246" s="128"/>
      <c r="F246" s="128"/>
      <c r="G246" s="212"/>
      <c r="H246" s="128"/>
      <c r="I246" s="128"/>
      <c r="J246" s="128"/>
      <c r="K246" s="128"/>
      <c r="L246" s="170" t="s">
        <v>1231</v>
      </c>
      <c r="M246" s="128"/>
      <c r="N246" s="128"/>
      <c r="O246" s="128"/>
      <c r="P246" s="128"/>
      <c r="Q246" s="128"/>
      <c r="R246" s="128"/>
      <c r="S246" s="128"/>
      <c r="T246" s="128"/>
      <c r="U246" s="129"/>
      <c r="V246" s="128"/>
      <c r="W246" s="128"/>
      <c r="X246" s="128"/>
      <c r="Y246" s="128"/>
      <c r="Z246" s="128"/>
      <c r="AA246" s="128"/>
    </row>
    <row r="247">
      <c r="A247" s="128"/>
      <c r="B247" s="128"/>
      <c r="C247" s="128"/>
      <c r="D247" s="128"/>
      <c r="E247" s="128"/>
      <c r="F247" s="128"/>
      <c r="G247" s="212"/>
      <c r="H247" s="128"/>
      <c r="I247" s="128"/>
      <c r="J247" s="128"/>
      <c r="K247" s="128"/>
      <c r="L247" s="170" t="s">
        <v>1232</v>
      </c>
      <c r="M247" s="128"/>
      <c r="N247" s="128"/>
      <c r="O247" s="128"/>
      <c r="P247" s="128"/>
      <c r="Q247" s="128"/>
      <c r="R247" s="128"/>
      <c r="S247" s="128"/>
      <c r="T247" s="128"/>
      <c r="U247" s="129"/>
      <c r="V247" s="128"/>
      <c r="W247" s="128"/>
      <c r="X247" s="128"/>
      <c r="Y247" s="128"/>
      <c r="Z247" s="128"/>
      <c r="AA247" s="128"/>
    </row>
    <row r="248">
      <c r="A248" s="128"/>
      <c r="B248" s="128"/>
      <c r="C248" s="128"/>
      <c r="D248" s="128"/>
      <c r="E248" s="128"/>
      <c r="F248" s="128"/>
      <c r="G248" s="212"/>
      <c r="H248" s="128"/>
      <c r="I248" s="128"/>
      <c r="J248" s="128"/>
      <c r="K248" s="128"/>
      <c r="L248" s="170" t="s">
        <v>1233</v>
      </c>
      <c r="M248" s="128"/>
      <c r="N248" s="128"/>
      <c r="O248" s="128"/>
      <c r="P248" s="128"/>
      <c r="Q248" s="128"/>
      <c r="R248" s="128"/>
      <c r="S248" s="128"/>
      <c r="T248" s="128"/>
      <c r="U248" s="129"/>
      <c r="V248" s="128"/>
      <c r="W248" s="128"/>
      <c r="X248" s="128"/>
      <c r="Y248" s="128"/>
      <c r="Z248" s="128"/>
      <c r="AA248" s="128"/>
    </row>
    <row r="249">
      <c r="A249" s="128"/>
      <c r="B249" s="128"/>
      <c r="C249" s="128"/>
      <c r="D249" s="128"/>
      <c r="E249" s="128"/>
      <c r="F249" s="128"/>
      <c r="G249" s="212"/>
      <c r="H249" s="128"/>
      <c r="I249" s="128"/>
      <c r="J249" s="128"/>
      <c r="K249" s="128"/>
      <c r="L249" s="170" t="s">
        <v>1234</v>
      </c>
      <c r="M249" s="128"/>
      <c r="N249" s="128"/>
      <c r="O249" s="128"/>
      <c r="P249" s="128"/>
      <c r="Q249" s="128"/>
      <c r="R249" s="128"/>
      <c r="S249" s="128"/>
      <c r="T249" s="128"/>
      <c r="U249" s="129"/>
      <c r="V249" s="128"/>
      <c r="W249" s="128"/>
      <c r="X249" s="128"/>
      <c r="Y249" s="128"/>
      <c r="Z249" s="128"/>
      <c r="AA249" s="128"/>
    </row>
    <row r="250">
      <c r="A250" s="128"/>
      <c r="B250" s="128"/>
      <c r="C250" s="128"/>
      <c r="D250" s="128"/>
      <c r="E250" s="128"/>
      <c r="F250" s="128"/>
      <c r="G250" s="212"/>
      <c r="H250" s="128"/>
      <c r="I250" s="128"/>
      <c r="J250" s="128"/>
      <c r="K250" s="128"/>
      <c r="L250" s="170" t="s">
        <v>1235</v>
      </c>
      <c r="M250" s="128"/>
      <c r="N250" s="128"/>
      <c r="O250" s="128"/>
      <c r="P250" s="128"/>
      <c r="Q250" s="128"/>
      <c r="R250" s="128"/>
      <c r="S250" s="128"/>
      <c r="T250" s="128"/>
      <c r="U250" s="129"/>
      <c r="V250" s="128"/>
      <c r="W250" s="128"/>
      <c r="X250" s="128"/>
      <c r="Y250" s="128"/>
      <c r="Z250" s="128"/>
      <c r="AA250" s="128"/>
    </row>
    <row r="251">
      <c r="A251" s="128"/>
      <c r="B251" s="128"/>
      <c r="C251" s="128"/>
      <c r="D251" s="128"/>
      <c r="E251" s="128"/>
      <c r="F251" s="128"/>
      <c r="G251" s="212"/>
      <c r="H251" s="128"/>
      <c r="I251" s="128"/>
      <c r="J251" s="128"/>
      <c r="K251" s="128"/>
      <c r="L251" s="170" t="s">
        <v>1236</v>
      </c>
      <c r="M251" s="128"/>
      <c r="N251" s="128"/>
      <c r="O251" s="128"/>
      <c r="P251" s="128"/>
      <c r="Q251" s="128"/>
      <c r="R251" s="128"/>
      <c r="S251" s="128"/>
      <c r="T251" s="128"/>
      <c r="U251" s="129"/>
      <c r="V251" s="128"/>
      <c r="W251" s="128"/>
      <c r="X251" s="128"/>
      <c r="Y251" s="128"/>
      <c r="Z251" s="128"/>
      <c r="AA251" s="128"/>
    </row>
    <row r="252">
      <c r="A252" s="128"/>
      <c r="B252" s="128"/>
      <c r="C252" s="128"/>
      <c r="D252" s="128"/>
      <c r="E252" s="128"/>
      <c r="F252" s="128"/>
      <c r="G252" s="212"/>
      <c r="H252" s="128"/>
      <c r="I252" s="128"/>
      <c r="J252" s="128"/>
      <c r="K252" s="128"/>
      <c r="L252" s="170" t="s">
        <v>1237</v>
      </c>
      <c r="M252" s="128"/>
      <c r="N252" s="128"/>
      <c r="O252" s="128"/>
      <c r="P252" s="128"/>
      <c r="Q252" s="128"/>
      <c r="R252" s="128"/>
      <c r="S252" s="128"/>
      <c r="T252" s="128"/>
      <c r="U252" s="129"/>
      <c r="V252" s="128"/>
      <c r="W252" s="128"/>
      <c r="X252" s="128"/>
      <c r="Y252" s="128"/>
      <c r="Z252" s="128"/>
      <c r="AA252" s="128"/>
    </row>
    <row r="253">
      <c r="A253" s="128"/>
      <c r="B253" s="128"/>
      <c r="C253" s="128"/>
      <c r="D253" s="128"/>
      <c r="E253" s="128"/>
      <c r="F253" s="128"/>
      <c r="G253" s="212"/>
      <c r="H253" s="128"/>
      <c r="I253" s="128"/>
      <c r="J253" s="128"/>
      <c r="K253" s="128"/>
      <c r="L253" s="170" t="s">
        <v>1238</v>
      </c>
      <c r="M253" s="128"/>
      <c r="N253" s="128"/>
      <c r="O253" s="128"/>
      <c r="P253" s="128"/>
      <c r="Q253" s="128"/>
      <c r="R253" s="128"/>
      <c r="S253" s="128"/>
      <c r="T253" s="128"/>
      <c r="U253" s="129"/>
      <c r="V253" s="128"/>
      <c r="W253" s="128"/>
      <c r="X253" s="128"/>
      <c r="Y253" s="128"/>
      <c r="Z253" s="128"/>
      <c r="AA253" s="128"/>
    </row>
    <row r="254">
      <c r="A254" s="128"/>
      <c r="B254" s="128"/>
      <c r="C254" s="128"/>
      <c r="D254" s="128"/>
      <c r="E254" s="128"/>
      <c r="F254" s="128"/>
      <c r="G254" s="212"/>
      <c r="H254" s="128"/>
      <c r="I254" s="128"/>
      <c r="J254" s="128"/>
      <c r="K254" s="128"/>
      <c r="L254" s="170" t="s">
        <v>1239</v>
      </c>
      <c r="M254" s="128"/>
      <c r="N254" s="128"/>
      <c r="O254" s="128"/>
      <c r="P254" s="128"/>
      <c r="Q254" s="128"/>
      <c r="R254" s="128"/>
      <c r="S254" s="128"/>
      <c r="T254" s="128"/>
      <c r="U254" s="129"/>
      <c r="V254" s="128"/>
      <c r="W254" s="128"/>
      <c r="X254" s="128"/>
      <c r="Y254" s="128"/>
      <c r="Z254" s="128"/>
      <c r="AA254" s="128"/>
    </row>
    <row r="255">
      <c r="A255" s="128"/>
      <c r="B255" s="128"/>
      <c r="C255" s="128"/>
      <c r="D255" s="128"/>
      <c r="E255" s="128"/>
      <c r="F255" s="128"/>
      <c r="G255" s="212"/>
      <c r="H255" s="128"/>
      <c r="I255" s="128"/>
      <c r="J255" s="128"/>
      <c r="K255" s="128"/>
      <c r="L255" s="170" t="s">
        <v>1240</v>
      </c>
      <c r="M255" s="128"/>
      <c r="N255" s="128"/>
      <c r="O255" s="128"/>
      <c r="P255" s="128"/>
      <c r="Q255" s="128"/>
      <c r="R255" s="128"/>
      <c r="S255" s="128"/>
      <c r="T255" s="128"/>
      <c r="U255" s="129"/>
      <c r="V255" s="128"/>
      <c r="W255" s="128"/>
      <c r="X255" s="128"/>
      <c r="Y255" s="128"/>
      <c r="Z255" s="128"/>
      <c r="AA255" s="128"/>
    </row>
    <row r="256">
      <c r="A256" s="128"/>
      <c r="B256" s="128"/>
      <c r="C256" s="128"/>
      <c r="D256" s="128"/>
      <c r="E256" s="128"/>
      <c r="F256" s="128"/>
      <c r="G256" s="212"/>
      <c r="H256" s="128"/>
      <c r="I256" s="128"/>
      <c r="J256" s="128"/>
      <c r="K256" s="128"/>
      <c r="L256" s="170" t="s">
        <v>1241</v>
      </c>
      <c r="M256" s="128"/>
      <c r="N256" s="128"/>
      <c r="O256" s="128"/>
      <c r="P256" s="128"/>
      <c r="Q256" s="128"/>
      <c r="R256" s="128"/>
      <c r="S256" s="128"/>
      <c r="T256" s="128"/>
      <c r="U256" s="129"/>
      <c r="V256" s="128"/>
      <c r="W256" s="128"/>
      <c r="X256" s="128"/>
      <c r="Y256" s="128"/>
      <c r="Z256" s="128"/>
      <c r="AA256" s="128"/>
    </row>
    <row r="257">
      <c r="A257" s="128"/>
      <c r="B257" s="128"/>
      <c r="C257" s="128"/>
      <c r="D257" s="128"/>
      <c r="E257" s="128"/>
      <c r="F257" s="128"/>
      <c r="G257" s="212"/>
      <c r="H257" s="128"/>
      <c r="I257" s="128"/>
      <c r="J257" s="128"/>
      <c r="K257" s="128"/>
      <c r="L257" s="170" t="s">
        <v>1242</v>
      </c>
      <c r="M257" s="128"/>
      <c r="N257" s="128"/>
      <c r="O257" s="128"/>
      <c r="P257" s="128"/>
      <c r="Q257" s="128"/>
      <c r="R257" s="128"/>
      <c r="S257" s="128"/>
      <c r="T257" s="128"/>
      <c r="U257" s="129"/>
      <c r="V257" s="128"/>
      <c r="W257" s="128"/>
      <c r="X257" s="128"/>
      <c r="Y257" s="128"/>
      <c r="Z257" s="128"/>
      <c r="AA257" s="128"/>
    </row>
    <row r="258">
      <c r="A258" s="128"/>
      <c r="B258" s="128"/>
      <c r="C258" s="128"/>
      <c r="D258" s="128"/>
      <c r="E258" s="128"/>
      <c r="F258" s="128"/>
      <c r="G258" s="212"/>
      <c r="H258" s="128"/>
      <c r="I258" s="128"/>
      <c r="J258" s="128"/>
      <c r="K258" s="128"/>
      <c r="L258" s="170" t="s">
        <v>1243</v>
      </c>
      <c r="M258" s="128"/>
      <c r="N258" s="128"/>
      <c r="O258" s="128"/>
      <c r="P258" s="128"/>
      <c r="Q258" s="128"/>
      <c r="R258" s="128"/>
      <c r="S258" s="128"/>
      <c r="T258" s="128"/>
      <c r="U258" s="129"/>
      <c r="V258" s="128"/>
      <c r="W258" s="128"/>
      <c r="X258" s="128"/>
      <c r="Y258" s="128"/>
      <c r="Z258" s="128"/>
      <c r="AA258" s="128"/>
    </row>
    <row r="259">
      <c r="A259" s="128"/>
      <c r="B259" s="128"/>
      <c r="C259" s="128"/>
      <c r="D259" s="128"/>
      <c r="E259" s="128"/>
      <c r="F259" s="128"/>
      <c r="G259" s="212"/>
      <c r="H259" s="128"/>
      <c r="I259" s="128"/>
      <c r="J259" s="128"/>
      <c r="K259" s="128"/>
      <c r="L259" s="173" t="s">
        <v>1244</v>
      </c>
      <c r="M259" s="128"/>
      <c r="N259" s="128"/>
      <c r="O259" s="128"/>
      <c r="P259" s="128"/>
      <c r="Q259" s="128"/>
      <c r="R259" s="128"/>
      <c r="S259" s="128"/>
      <c r="T259" s="128"/>
      <c r="U259" s="129"/>
      <c r="V259" s="128"/>
      <c r="W259" s="128"/>
      <c r="X259" s="128"/>
      <c r="Y259" s="128"/>
      <c r="Z259" s="128"/>
      <c r="AA259" s="128"/>
    </row>
    <row r="260">
      <c r="A260" s="128"/>
      <c r="B260" s="128"/>
      <c r="C260" s="128"/>
      <c r="D260" s="128"/>
      <c r="E260" s="128"/>
      <c r="F260" s="128"/>
      <c r="G260" s="212"/>
      <c r="H260" s="128"/>
      <c r="I260" s="128"/>
      <c r="J260" s="128"/>
      <c r="K260" s="128"/>
      <c r="L260" s="170" t="s">
        <v>1245</v>
      </c>
      <c r="M260" s="128"/>
      <c r="N260" s="128"/>
      <c r="O260" s="128"/>
      <c r="P260" s="128"/>
      <c r="Q260" s="128"/>
      <c r="R260" s="128"/>
      <c r="S260" s="128"/>
      <c r="T260" s="128"/>
      <c r="U260" s="129"/>
      <c r="V260" s="128"/>
      <c r="W260" s="128"/>
      <c r="X260" s="128"/>
      <c r="Y260" s="128"/>
      <c r="Z260" s="128"/>
      <c r="AA260" s="128"/>
    </row>
    <row r="261">
      <c r="A261" s="128"/>
      <c r="B261" s="128"/>
      <c r="C261" s="128"/>
      <c r="D261" s="128"/>
      <c r="E261" s="128"/>
      <c r="F261" s="128"/>
      <c r="G261" s="212"/>
      <c r="H261" s="128"/>
      <c r="I261" s="128"/>
      <c r="J261" s="128"/>
      <c r="K261" s="128"/>
      <c r="L261" s="170" t="s">
        <v>1246</v>
      </c>
      <c r="M261" s="128"/>
      <c r="N261" s="128"/>
      <c r="O261" s="128"/>
      <c r="P261" s="128"/>
      <c r="Q261" s="128"/>
      <c r="R261" s="128"/>
      <c r="S261" s="128"/>
      <c r="T261" s="128"/>
      <c r="U261" s="129"/>
      <c r="V261" s="128"/>
      <c r="W261" s="128"/>
      <c r="X261" s="128"/>
      <c r="Y261" s="128"/>
      <c r="Z261" s="128"/>
      <c r="AA261" s="128"/>
    </row>
    <row r="262">
      <c r="A262" s="128"/>
      <c r="B262" s="128"/>
      <c r="C262" s="128"/>
      <c r="D262" s="128"/>
      <c r="E262" s="128"/>
      <c r="F262" s="128"/>
      <c r="G262" s="212"/>
      <c r="H262" s="128"/>
      <c r="I262" s="128"/>
      <c r="J262" s="128"/>
      <c r="K262" s="128"/>
      <c r="L262" s="171" t="s">
        <v>1247</v>
      </c>
      <c r="M262" s="128"/>
      <c r="N262" s="128"/>
      <c r="O262" s="128"/>
      <c r="P262" s="128"/>
      <c r="Q262" s="128"/>
      <c r="R262" s="128"/>
      <c r="S262" s="128"/>
      <c r="T262" s="128"/>
      <c r="U262" s="129"/>
      <c r="V262" s="128"/>
      <c r="W262" s="128"/>
      <c r="X262" s="128"/>
      <c r="Y262" s="128"/>
      <c r="Z262" s="128"/>
      <c r="AA262" s="128"/>
    </row>
    <row r="263">
      <c r="A263" s="128"/>
      <c r="B263" s="128"/>
      <c r="C263" s="128"/>
      <c r="D263" s="128"/>
      <c r="E263" s="128"/>
      <c r="F263" s="128"/>
      <c r="G263" s="212"/>
      <c r="H263" s="128"/>
      <c r="I263" s="128"/>
      <c r="J263" s="128"/>
      <c r="K263" s="128"/>
      <c r="L263" s="171" t="s">
        <v>1248</v>
      </c>
      <c r="M263" s="128"/>
      <c r="N263" s="128"/>
      <c r="O263" s="128"/>
      <c r="P263" s="128"/>
      <c r="Q263" s="128"/>
      <c r="R263" s="128"/>
      <c r="S263" s="128"/>
      <c r="T263" s="128"/>
      <c r="U263" s="129"/>
      <c r="V263" s="128"/>
      <c r="W263" s="128"/>
      <c r="X263" s="128"/>
      <c r="Y263" s="128"/>
      <c r="Z263" s="128"/>
      <c r="AA263" s="128"/>
    </row>
    <row r="264">
      <c r="A264" s="128"/>
      <c r="B264" s="128"/>
      <c r="C264" s="128"/>
      <c r="D264" s="128"/>
      <c r="E264" s="128"/>
      <c r="F264" s="128"/>
      <c r="G264" s="212"/>
      <c r="H264" s="128"/>
      <c r="I264" s="128"/>
      <c r="J264" s="128"/>
      <c r="K264" s="128"/>
      <c r="L264" s="170" t="s">
        <v>1249</v>
      </c>
      <c r="M264" s="128"/>
      <c r="N264" s="128"/>
      <c r="O264" s="128"/>
      <c r="P264" s="128"/>
      <c r="Q264" s="128"/>
      <c r="R264" s="128"/>
      <c r="S264" s="128"/>
      <c r="T264" s="128"/>
      <c r="U264" s="129"/>
      <c r="V264" s="128"/>
      <c r="W264" s="128"/>
      <c r="X264" s="128"/>
      <c r="Y264" s="128"/>
      <c r="Z264" s="128"/>
      <c r="AA264" s="128"/>
    </row>
    <row r="265">
      <c r="A265" s="128"/>
      <c r="B265" s="128"/>
      <c r="C265" s="128"/>
      <c r="D265" s="128"/>
      <c r="E265" s="128"/>
      <c r="F265" s="128"/>
      <c r="G265" s="212"/>
      <c r="H265" s="128"/>
      <c r="I265" s="128"/>
      <c r="J265" s="128"/>
      <c r="K265" s="128"/>
      <c r="L265" s="143" t="s">
        <v>1250</v>
      </c>
      <c r="M265" s="128"/>
      <c r="N265" s="128"/>
      <c r="O265" s="128"/>
      <c r="P265" s="128"/>
      <c r="Q265" s="128"/>
      <c r="R265" s="128"/>
      <c r="S265" s="128"/>
      <c r="T265" s="128"/>
      <c r="U265" s="129"/>
      <c r="V265" s="128"/>
      <c r="W265" s="128"/>
      <c r="X265" s="128"/>
      <c r="Y265" s="128"/>
      <c r="Z265" s="128"/>
      <c r="AA265" s="128"/>
    </row>
    <row r="266">
      <c r="A266" s="128"/>
      <c r="B266" s="128"/>
      <c r="C266" s="128"/>
      <c r="D266" s="128"/>
      <c r="E266" s="128"/>
      <c r="F266" s="128"/>
      <c r="G266" s="212"/>
      <c r="H266" s="128"/>
      <c r="I266" s="128"/>
      <c r="J266" s="128"/>
      <c r="K266" s="128"/>
      <c r="L266" s="143" t="s">
        <v>1251</v>
      </c>
      <c r="M266" s="128"/>
      <c r="N266" s="128"/>
      <c r="O266" s="128"/>
      <c r="P266" s="128"/>
      <c r="Q266" s="128"/>
      <c r="R266" s="128"/>
      <c r="S266" s="128"/>
      <c r="T266" s="128"/>
      <c r="U266" s="129"/>
      <c r="V266" s="128"/>
      <c r="W266" s="128"/>
      <c r="X266" s="128"/>
      <c r="Y266" s="128"/>
      <c r="Z266" s="128"/>
      <c r="AA266" s="128"/>
    </row>
    <row r="267">
      <c r="A267" s="128"/>
      <c r="B267" s="128"/>
      <c r="C267" s="128"/>
      <c r="D267" s="128"/>
      <c r="E267" s="128"/>
      <c r="F267" s="128"/>
      <c r="G267" s="212"/>
      <c r="H267" s="128"/>
      <c r="I267" s="128"/>
      <c r="J267" s="128"/>
      <c r="K267" s="128"/>
      <c r="L267" s="143" t="s">
        <v>1252</v>
      </c>
      <c r="M267" s="128"/>
      <c r="N267" s="128"/>
      <c r="O267" s="128"/>
      <c r="P267" s="128"/>
      <c r="Q267" s="128"/>
      <c r="R267" s="128"/>
      <c r="S267" s="128"/>
      <c r="T267" s="128"/>
      <c r="U267" s="129"/>
      <c r="V267" s="128"/>
      <c r="W267" s="128"/>
      <c r="X267" s="128"/>
      <c r="Y267" s="128"/>
      <c r="Z267" s="128"/>
      <c r="AA267" s="128"/>
    </row>
    <row r="268">
      <c r="A268" s="128"/>
      <c r="B268" s="128"/>
      <c r="C268" s="128"/>
      <c r="D268" s="128"/>
      <c r="E268" s="128"/>
      <c r="F268" s="128"/>
      <c r="G268" s="212"/>
      <c r="H268" s="128"/>
      <c r="I268" s="128"/>
      <c r="J268" s="128"/>
      <c r="K268" s="128"/>
      <c r="L268" s="170" t="s">
        <v>1253</v>
      </c>
      <c r="M268" s="128"/>
      <c r="N268" s="128"/>
      <c r="O268" s="128"/>
      <c r="P268" s="128"/>
      <c r="Q268" s="128"/>
      <c r="R268" s="128"/>
      <c r="S268" s="128"/>
      <c r="T268" s="128"/>
      <c r="U268" s="129"/>
      <c r="V268" s="128"/>
      <c r="W268" s="128"/>
      <c r="X268" s="128"/>
      <c r="Y268" s="128"/>
      <c r="Z268" s="128"/>
      <c r="AA268" s="128"/>
    </row>
    <row r="269">
      <c r="A269" s="128"/>
      <c r="B269" s="128"/>
      <c r="C269" s="128"/>
      <c r="D269" s="128"/>
      <c r="E269" s="128"/>
      <c r="F269" s="128"/>
      <c r="G269" s="212"/>
      <c r="H269" s="128"/>
      <c r="I269" s="128"/>
      <c r="J269" s="128"/>
      <c r="K269" s="128"/>
      <c r="L269" s="170" t="s">
        <v>1254</v>
      </c>
      <c r="M269" s="128"/>
      <c r="N269" s="128"/>
      <c r="O269" s="128"/>
      <c r="P269" s="128"/>
      <c r="Q269" s="128"/>
      <c r="R269" s="128"/>
      <c r="S269" s="128"/>
      <c r="T269" s="128"/>
      <c r="U269" s="129"/>
      <c r="V269" s="128"/>
      <c r="W269" s="128"/>
      <c r="X269" s="128"/>
      <c r="Y269" s="128"/>
      <c r="Z269" s="128"/>
      <c r="AA269" s="128"/>
    </row>
    <row r="270">
      <c r="A270" s="128"/>
      <c r="B270" s="128"/>
      <c r="C270" s="128"/>
      <c r="D270" s="128"/>
      <c r="E270" s="128"/>
      <c r="F270" s="128"/>
      <c r="G270" s="212"/>
      <c r="H270" s="128"/>
      <c r="I270" s="128"/>
      <c r="J270" s="128"/>
      <c r="K270" s="128"/>
      <c r="L270" s="170" t="s">
        <v>1255</v>
      </c>
      <c r="M270" s="128"/>
      <c r="N270" s="128"/>
      <c r="O270" s="128"/>
      <c r="P270" s="128"/>
      <c r="Q270" s="128"/>
      <c r="R270" s="128"/>
      <c r="S270" s="128"/>
      <c r="T270" s="128"/>
      <c r="U270" s="129"/>
      <c r="V270" s="128"/>
      <c r="W270" s="128"/>
      <c r="X270" s="128"/>
      <c r="Y270" s="128"/>
      <c r="Z270" s="128"/>
      <c r="AA270" s="128"/>
    </row>
    <row r="271">
      <c r="A271" s="128"/>
      <c r="B271" s="128"/>
      <c r="C271" s="128"/>
      <c r="D271" s="128"/>
      <c r="E271" s="128"/>
      <c r="F271" s="128"/>
      <c r="G271" s="212"/>
      <c r="H271" s="128"/>
      <c r="I271" s="128"/>
      <c r="J271" s="128"/>
      <c r="K271" s="128"/>
      <c r="L271" s="170" t="s">
        <v>1256</v>
      </c>
      <c r="M271" s="128"/>
      <c r="N271" s="128"/>
      <c r="O271" s="128"/>
      <c r="P271" s="128"/>
      <c r="Q271" s="128"/>
      <c r="R271" s="128"/>
      <c r="S271" s="128"/>
      <c r="T271" s="128"/>
      <c r="U271" s="129"/>
      <c r="V271" s="128"/>
      <c r="W271" s="128"/>
      <c r="X271" s="128"/>
      <c r="Y271" s="128"/>
      <c r="Z271" s="128"/>
      <c r="AA271" s="128"/>
    </row>
    <row r="272">
      <c r="A272" s="128"/>
      <c r="B272" s="128"/>
      <c r="C272" s="128"/>
      <c r="D272" s="128"/>
      <c r="E272" s="128"/>
      <c r="F272" s="128"/>
      <c r="G272" s="212"/>
      <c r="H272" s="128"/>
      <c r="I272" s="128"/>
      <c r="J272" s="128"/>
      <c r="K272" s="128"/>
      <c r="L272" s="167" t="s">
        <v>84</v>
      </c>
      <c r="M272" s="128"/>
      <c r="N272" s="128"/>
      <c r="O272" s="128"/>
      <c r="P272" s="128"/>
      <c r="Q272" s="128"/>
      <c r="R272" s="128"/>
      <c r="S272" s="128"/>
      <c r="T272" s="128"/>
      <c r="U272" s="129"/>
      <c r="V272" s="128"/>
      <c r="W272" s="128"/>
      <c r="X272" s="128"/>
      <c r="Y272" s="128"/>
      <c r="Z272" s="128"/>
      <c r="AA272" s="128"/>
    </row>
    <row r="273">
      <c r="A273" s="128"/>
      <c r="B273" s="128"/>
      <c r="C273" s="128"/>
      <c r="D273" s="128"/>
      <c r="E273" s="128"/>
      <c r="F273" s="128"/>
      <c r="G273" s="212"/>
      <c r="H273" s="128"/>
      <c r="I273" s="128"/>
      <c r="J273" s="128"/>
      <c r="K273" s="128"/>
      <c r="L273" s="170" t="s">
        <v>1257</v>
      </c>
      <c r="M273" s="128"/>
      <c r="N273" s="128"/>
      <c r="O273" s="128"/>
      <c r="P273" s="128"/>
      <c r="Q273" s="128"/>
      <c r="R273" s="128"/>
      <c r="S273" s="128"/>
      <c r="T273" s="128"/>
      <c r="U273" s="129"/>
      <c r="V273" s="128"/>
      <c r="W273" s="128"/>
      <c r="X273" s="128"/>
      <c r="Y273" s="128"/>
      <c r="Z273" s="128"/>
      <c r="AA273" s="128"/>
    </row>
    <row r="274">
      <c r="A274" s="128"/>
      <c r="B274" s="128"/>
      <c r="C274" s="128"/>
      <c r="D274" s="128"/>
      <c r="E274" s="128"/>
      <c r="F274" s="128"/>
      <c r="G274" s="212"/>
      <c r="H274" s="128"/>
      <c r="I274" s="128"/>
      <c r="J274" s="128"/>
      <c r="K274" s="128"/>
      <c r="L274" s="170" t="s">
        <v>1258</v>
      </c>
      <c r="M274" s="128"/>
      <c r="N274" s="128"/>
      <c r="O274" s="128"/>
      <c r="P274" s="128"/>
      <c r="Q274" s="128"/>
      <c r="R274" s="128"/>
      <c r="S274" s="128"/>
      <c r="T274" s="128"/>
      <c r="U274" s="129"/>
      <c r="V274" s="128"/>
      <c r="W274" s="128"/>
      <c r="X274" s="128"/>
      <c r="Y274" s="128"/>
      <c r="Z274" s="128"/>
      <c r="AA274" s="128"/>
    </row>
    <row r="275">
      <c r="A275" s="128"/>
      <c r="B275" s="128"/>
      <c r="C275" s="128"/>
      <c r="D275" s="128"/>
      <c r="E275" s="128"/>
      <c r="F275" s="128"/>
      <c r="G275" s="212"/>
      <c r="H275" s="128"/>
      <c r="I275" s="128"/>
      <c r="J275" s="128"/>
      <c r="K275" s="128"/>
      <c r="L275" s="171" t="s">
        <v>1259</v>
      </c>
      <c r="M275" s="128"/>
      <c r="N275" s="128"/>
      <c r="O275" s="128"/>
      <c r="P275" s="128"/>
      <c r="Q275" s="128"/>
      <c r="R275" s="128"/>
      <c r="S275" s="128"/>
      <c r="T275" s="128"/>
      <c r="U275" s="129"/>
      <c r="V275" s="128"/>
      <c r="W275" s="128"/>
      <c r="X275" s="128"/>
      <c r="Y275" s="128"/>
      <c r="Z275" s="128"/>
      <c r="AA275" s="128"/>
    </row>
    <row r="276">
      <c r="A276" s="128"/>
      <c r="B276" s="128"/>
      <c r="C276" s="128"/>
      <c r="D276" s="128"/>
      <c r="E276" s="128"/>
      <c r="F276" s="128"/>
      <c r="G276" s="212"/>
      <c r="H276" s="128"/>
      <c r="I276" s="128"/>
      <c r="J276" s="128"/>
      <c r="K276" s="128"/>
      <c r="L276" s="171" t="s">
        <v>1260</v>
      </c>
      <c r="M276" s="128"/>
      <c r="N276" s="128"/>
      <c r="O276" s="128"/>
      <c r="P276" s="128"/>
      <c r="Q276" s="128"/>
      <c r="R276" s="128"/>
      <c r="S276" s="128"/>
      <c r="T276" s="128"/>
      <c r="U276" s="129"/>
      <c r="V276" s="128"/>
      <c r="W276" s="128"/>
      <c r="X276" s="128"/>
      <c r="Y276" s="128"/>
      <c r="Z276" s="128"/>
      <c r="AA276" s="128"/>
    </row>
    <row r="277">
      <c r="A277" s="128"/>
      <c r="B277" s="128"/>
      <c r="C277" s="128"/>
      <c r="D277" s="128"/>
      <c r="E277" s="128"/>
      <c r="F277" s="128"/>
      <c r="G277" s="212"/>
      <c r="H277" s="128"/>
      <c r="I277" s="128"/>
      <c r="J277" s="128"/>
      <c r="K277" s="128"/>
      <c r="L277" s="171" t="s">
        <v>1261</v>
      </c>
      <c r="M277" s="128"/>
      <c r="N277" s="128"/>
      <c r="O277" s="128"/>
      <c r="P277" s="128"/>
      <c r="Q277" s="128"/>
      <c r="R277" s="128"/>
      <c r="S277" s="128"/>
      <c r="T277" s="128"/>
      <c r="U277" s="129"/>
      <c r="V277" s="128"/>
      <c r="W277" s="128"/>
      <c r="X277" s="128"/>
      <c r="Y277" s="128"/>
      <c r="Z277" s="128"/>
      <c r="AA277" s="128"/>
    </row>
    <row r="278">
      <c r="A278" s="128"/>
      <c r="B278" s="128"/>
      <c r="C278" s="128"/>
      <c r="D278" s="128"/>
      <c r="E278" s="128"/>
      <c r="F278" s="128"/>
      <c r="G278" s="212"/>
      <c r="H278" s="128"/>
      <c r="I278" s="128"/>
      <c r="J278" s="128"/>
      <c r="K278" s="128"/>
      <c r="L278" s="170" t="s">
        <v>1262</v>
      </c>
      <c r="M278" s="128"/>
      <c r="N278" s="128"/>
      <c r="O278" s="128"/>
      <c r="P278" s="128"/>
      <c r="Q278" s="128"/>
      <c r="R278" s="128"/>
      <c r="S278" s="128"/>
      <c r="T278" s="128"/>
      <c r="U278" s="129"/>
      <c r="V278" s="128"/>
      <c r="W278" s="128"/>
      <c r="X278" s="128"/>
      <c r="Y278" s="128"/>
      <c r="Z278" s="128"/>
      <c r="AA278" s="128"/>
    </row>
    <row r="279">
      <c r="A279" s="128"/>
      <c r="B279" s="128"/>
      <c r="C279" s="128"/>
      <c r="D279" s="128"/>
      <c r="E279" s="128"/>
      <c r="F279" s="128"/>
      <c r="G279" s="212"/>
      <c r="H279" s="128"/>
      <c r="I279" s="128"/>
      <c r="J279" s="128"/>
      <c r="K279" s="128"/>
      <c r="L279" s="213" t="s">
        <v>1263</v>
      </c>
      <c r="M279" s="128"/>
      <c r="N279" s="128"/>
      <c r="O279" s="128"/>
      <c r="P279" s="128"/>
      <c r="Q279" s="128"/>
      <c r="R279" s="128"/>
      <c r="S279" s="128"/>
      <c r="T279" s="128"/>
      <c r="U279" s="129"/>
      <c r="V279" s="128"/>
      <c r="W279" s="128"/>
      <c r="X279" s="128"/>
      <c r="Y279" s="128"/>
      <c r="Z279" s="128"/>
      <c r="AA279" s="128"/>
    </row>
    <row r="280">
      <c r="A280" s="128"/>
      <c r="B280" s="128"/>
      <c r="C280" s="128"/>
      <c r="D280" s="128"/>
      <c r="E280" s="128"/>
      <c r="F280" s="128"/>
      <c r="G280" s="212"/>
      <c r="H280" s="128"/>
      <c r="I280" s="128"/>
      <c r="J280" s="128"/>
      <c r="K280" s="128"/>
      <c r="L280" s="213" t="s">
        <v>1264</v>
      </c>
      <c r="M280" s="128"/>
      <c r="N280" s="128"/>
      <c r="O280" s="128"/>
      <c r="P280" s="128"/>
      <c r="Q280" s="128"/>
      <c r="R280" s="128"/>
      <c r="S280" s="128"/>
      <c r="T280" s="128"/>
      <c r="U280" s="129"/>
      <c r="V280" s="128"/>
      <c r="W280" s="128"/>
      <c r="X280" s="128"/>
      <c r="Y280" s="128"/>
      <c r="Z280" s="128"/>
      <c r="AA280" s="128"/>
    </row>
    <row r="281">
      <c r="A281" s="128"/>
      <c r="B281" s="128"/>
      <c r="C281" s="128"/>
      <c r="D281" s="128"/>
      <c r="E281" s="128"/>
      <c r="F281" s="128"/>
      <c r="G281" s="212"/>
      <c r="H281" s="128"/>
      <c r="I281" s="128"/>
      <c r="J281" s="128"/>
      <c r="K281" s="128"/>
      <c r="L281" s="214" t="s">
        <v>1265</v>
      </c>
      <c r="M281" s="128"/>
      <c r="N281" s="128"/>
      <c r="O281" s="128"/>
      <c r="P281" s="128"/>
      <c r="Q281" s="128"/>
      <c r="R281" s="128"/>
      <c r="S281" s="128"/>
      <c r="T281" s="128"/>
      <c r="U281" s="129"/>
      <c r="V281" s="128"/>
      <c r="W281" s="128"/>
      <c r="X281" s="128"/>
      <c r="Y281" s="128"/>
      <c r="Z281" s="128"/>
      <c r="AA281" s="128"/>
    </row>
    <row r="282">
      <c r="A282" s="128"/>
      <c r="B282" s="128"/>
      <c r="C282" s="128"/>
      <c r="D282" s="128"/>
      <c r="E282" s="128"/>
      <c r="F282" s="128"/>
      <c r="G282" s="212"/>
      <c r="H282" s="128"/>
      <c r="I282" s="128"/>
      <c r="J282" s="128"/>
      <c r="K282" s="128"/>
      <c r="L282" s="173" t="s">
        <v>1266</v>
      </c>
      <c r="M282" s="128"/>
      <c r="N282" s="128"/>
      <c r="O282" s="128"/>
      <c r="P282" s="128"/>
      <c r="Q282" s="128"/>
      <c r="R282" s="128"/>
      <c r="S282" s="128"/>
      <c r="T282" s="128"/>
      <c r="U282" s="129"/>
      <c r="V282" s="128"/>
      <c r="W282" s="128"/>
      <c r="X282" s="128"/>
      <c r="Y282" s="128"/>
      <c r="Z282" s="128"/>
      <c r="AA282" s="128"/>
    </row>
    <row r="283">
      <c r="A283" s="128"/>
      <c r="B283" s="128"/>
      <c r="C283" s="128"/>
      <c r="D283" s="128"/>
      <c r="E283" s="128"/>
      <c r="F283" s="128"/>
      <c r="G283" s="212"/>
      <c r="H283" s="128"/>
      <c r="I283" s="128"/>
      <c r="J283" s="128"/>
      <c r="K283" s="128"/>
      <c r="L283" s="168" t="s">
        <v>1267</v>
      </c>
      <c r="M283" s="128"/>
      <c r="N283" s="128"/>
      <c r="O283" s="128"/>
      <c r="P283" s="128"/>
      <c r="Q283" s="128"/>
      <c r="R283" s="128"/>
      <c r="S283" s="128"/>
      <c r="T283" s="128"/>
      <c r="U283" s="129"/>
      <c r="V283" s="128"/>
      <c r="W283" s="128"/>
      <c r="X283" s="128"/>
      <c r="Y283" s="128"/>
      <c r="Z283" s="128"/>
      <c r="AA283" s="128"/>
    </row>
    <row r="284">
      <c r="A284" s="128"/>
      <c r="B284" s="128"/>
      <c r="C284" s="128"/>
      <c r="D284" s="128"/>
      <c r="E284" s="128"/>
      <c r="F284" s="128"/>
      <c r="G284" s="212"/>
      <c r="H284" s="128"/>
      <c r="I284" s="128"/>
      <c r="J284" s="128"/>
      <c r="K284" s="128"/>
      <c r="L284" s="168" t="s">
        <v>1268</v>
      </c>
      <c r="M284" s="128"/>
      <c r="N284" s="128"/>
      <c r="O284" s="128"/>
      <c r="P284" s="128"/>
      <c r="Q284" s="128"/>
      <c r="R284" s="128"/>
      <c r="S284" s="128"/>
      <c r="T284" s="128"/>
      <c r="U284" s="129"/>
      <c r="V284" s="128"/>
      <c r="W284" s="128"/>
      <c r="X284" s="128"/>
      <c r="Y284" s="128"/>
      <c r="Z284" s="128"/>
      <c r="AA284" s="128"/>
    </row>
    <row r="285">
      <c r="A285" s="128"/>
      <c r="B285" s="128"/>
      <c r="C285" s="128"/>
      <c r="D285" s="128"/>
      <c r="E285" s="128"/>
      <c r="F285" s="128"/>
      <c r="G285" s="212"/>
      <c r="H285" s="128"/>
      <c r="I285" s="128"/>
      <c r="J285" s="128"/>
      <c r="K285" s="128"/>
      <c r="L285" s="173" t="s">
        <v>1269</v>
      </c>
      <c r="M285" s="126"/>
      <c r="N285" s="128"/>
      <c r="O285" s="128"/>
      <c r="P285" s="128"/>
      <c r="Q285" s="128"/>
      <c r="R285" s="128"/>
      <c r="S285" s="128"/>
      <c r="T285" s="128"/>
      <c r="U285" s="129"/>
      <c r="V285" s="128"/>
      <c r="W285" s="128"/>
      <c r="X285" s="128"/>
      <c r="Y285" s="128"/>
      <c r="Z285" s="128"/>
      <c r="AA285" s="128"/>
    </row>
    <row r="286">
      <c r="A286" s="128"/>
      <c r="B286" s="128"/>
      <c r="C286" s="128"/>
      <c r="D286" s="128"/>
      <c r="E286" s="128"/>
      <c r="F286" s="128"/>
      <c r="G286" s="212"/>
      <c r="H286" s="128"/>
      <c r="I286" s="128"/>
      <c r="J286" s="128"/>
      <c r="K286" s="128"/>
      <c r="L286" s="170" t="s">
        <v>1270</v>
      </c>
      <c r="M286" s="163"/>
      <c r="N286" s="128"/>
      <c r="O286" s="128"/>
      <c r="P286" s="128"/>
      <c r="Q286" s="128"/>
      <c r="R286" s="128"/>
      <c r="S286" s="128"/>
      <c r="T286" s="128"/>
      <c r="U286" s="129"/>
      <c r="V286" s="128"/>
      <c r="W286" s="128"/>
      <c r="X286" s="128"/>
      <c r="Y286" s="128"/>
      <c r="Z286" s="128"/>
      <c r="AA286" s="128"/>
    </row>
    <row r="287">
      <c r="A287" s="128"/>
      <c r="B287" s="128"/>
      <c r="C287" s="128"/>
      <c r="D287" s="128"/>
      <c r="E287" s="128"/>
      <c r="F287" s="128"/>
      <c r="G287" s="212"/>
      <c r="H287" s="128"/>
      <c r="I287" s="128"/>
      <c r="J287" s="128"/>
      <c r="K287" s="128"/>
      <c r="L287" s="170" t="s">
        <v>1271</v>
      </c>
      <c r="M287" s="128"/>
      <c r="N287" s="128"/>
      <c r="O287" s="128"/>
      <c r="P287" s="128"/>
      <c r="Q287" s="128"/>
      <c r="R287" s="128"/>
      <c r="S287" s="128"/>
      <c r="T287" s="128"/>
      <c r="U287" s="129"/>
      <c r="V287" s="128"/>
      <c r="W287" s="128"/>
      <c r="X287" s="128"/>
      <c r="Y287" s="128"/>
      <c r="Z287" s="128"/>
      <c r="AA287" s="128"/>
    </row>
    <row r="288">
      <c r="A288" s="128"/>
      <c r="B288" s="128"/>
      <c r="C288" s="128"/>
      <c r="D288" s="128"/>
      <c r="E288" s="128"/>
      <c r="F288" s="128"/>
      <c r="G288" s="212"/>
      <c r="H288" s="128"/>
      <c r="I288" s="128"/>
      <c r="J288" s="128"/>
      <c r="K288" s="128"/>
      <c r="L288" s="168" t="s">
        <v>1272</v>
      </c>
      <c r="M288" s="128"/>
      <c r="N288" s="128"/>
      <c r="O288" s="128"/>
      <c r="P288" s="128"/>
      <c r="Q288" s="128"/>
      <c r="R288" s="128"/>
      <c r="S288" s="128"/>
      <c r="T288" s="128"/>
      <c r="U288" s="129"/>
      <c r="V288" s="128"/>
      <c r="W288" s="128"/>
      <c r="X288" s="128"/>
      <c r="Y288" s="128"/>
      <c r="Z288" s="128"/>
      <c r="AA288" s="128"/>
    </row>
    <row r="289">
      <c r="A289" s="128"/>
      <c r="B289" s="128"/>
      <c r="C289" s="128"/>
      <c r="D289" s="128"/>
      <c r="E289" s="128"/>
      <c r="F289" s="128"/>
      <c r="G289" s="212"/>
      <c r="H289" s="128"/>
      <c r="I289" s="128"/>
      <c r="J289" s="128"/>
      <c r="K289" s="128"/>
      <c r="L289" s="143" t="s">
        <v>1273</v>
      </c>
      <c r="M289" s="128"/>
      <c r="N289" s="128"/>
      <c r="O289" s="128"/>
      <c r="P289" s="128"/>
      <c r="Q289" s="128"/>
      <c r="R289" s="128"/>
      <c r="S289" s="128"/>
      <c r="T289" s="128"/>
      <c r="U289" s="129"/>
      <c r="V289" s="128"/>
      <c r="W289" s="128"/>
      <c r="X289" s="128"/>
      <c r="Y289" s="128"/>
      <c r="Z289" s="128"/>
      <c r="AA289" s="128"/>
    </row>
    <row r="290">
      <c r="A290" s="128"/>
      <c r="B290" s="128"/>
      <c r="C290" s="128"/>
      <c r="D290" s="128"/>
      <c r="E290" s="128"/>
      <c r="F290" s="128"/>
      <c r="G290" s="212"/>
      <c r="H290" s="128"/>
      <c r="I290" s="128"/>
      <c r="J290" s="128"/>
      <c r="K290" s="128"/>
      <c r="L290" s="143" t="s">
        <v>1274</v>
      </c>
      <c r="M290" s="128"/>
      <c r="N290" s="128"/>
      <c r="O290" s="128"/>
      <c r="P290" s="128"/>
      <c r="Q290" s="128"/>
      <c r="R290" s="128"/>
      <c r="S290" s="128"/>
      <c r="T290" s="128"/>
      <c r="U290" s="129"/>
      <c r="V290" s="128"/>
      <c r="W290" s="128"/>
      <c r="X290" s="128"/>
      <c r="Y290" s="128"/>
      <c r="Z290" s="128"/>
      <c r="AA290" s="128"/>
    </row>
    <row r="291">
      <c r="A291" s="128"/>
      <c r="B291" s="128"/>
      <c r="C291" s="128"/>
      <c r="D291" s="128"/>
      <c r="E291" s="128"/>
      <c r="F291" s="128"/>
      <c r="G291" s="212"/>
      <c r="H291" s="128"/>
      <c r="I291" s="128"/>
      <c r="J291" s="128"/>
      <c r="K291" s="128"/>
      <c r="L291" s="168" t="s">
        <v>1275</v>
      </c>
      <c r="M291" s="128"/>
      <c r="N291" s="128"/>
      <c r="O291" s="128"/>
      <c r="P291" s="128"/>
      <c r="Q291" s="128"/>
      <c r="R291" s="128"/>
      <c r="S291" s="128"/>
      <c r="T291" s="128"/>
      <c r="U291" s="129"/>
      <c r="V291" s="128"/>
      <c r="W291" s="128"/>
      <c r="X291" s="128"/>
      <c r="Y291" s="128"/>
      <c r="Z291" s="128"/>
      <c r="AA291" s="128"/>
    </row>
    <row r="292">
      <c r="A292" s="128"/>
      <c r="B292" s="128"/>
      <c r="C292" s="128"/>
      <c r="D292" s="128"/>
      <c r="E292" s="128"/>
      <c r="F292" s="128"/>
      <c r="G292" s="212"/>
      <c r="H292" s="128"/>
      <c r="I292" s="128"/>
      <c r="J292" s="128"/>
      <c r="K292" s="128"/>
      <c r="L292" s="143" t="s">
        <v>1276</v>
      </c>
      <c r="M292" s="128"/>
      <c r="N292" s="128"/>
      <c r="O292" s="128"/>
      <c r="P292" s="128"/>
      <c r="Q292" s="128"/>
      <c r="R292" s="128"/>
      <c r="S292" s="128"/>
      <c r="T292" s="128"/>
      <c r="U292" s="129"/>
      <c r="V292" s="128"/>
      <c r="W292" s="128"/>
      <c r="X292" s="128"/>
      <c r="Y292" s="128"/>
      <c r="Z292" s="128"/>
      <c r="AA292" s="128"/>
    </row>
    <row r="293">
      <c r="A293" s="128"/>
      <c r="B293" s="128"/>
      <c r="C293" s="128"/>
      <c r="D293" s="128"/>
      <c r="E293" s="128"/>
      <c r="F293" s="128"/>
      <c r="G293" s="212"/>
      <c r="H293" s="128"/>
      <c r="I293" s="128"/>
      <c r="J293" s="128"/>
      <c r="K293" s="128"/>
      <c r="L293" s="143" t="s">
        <v>1277</v>
      </c>
      <c r="M293" s="128"/>
      <c r="N293" s="128"/>
      <c r="O293" s="128"/>
      <c r="P293" s="128"/>
      <c r="Q293" s="128"/>
      <c r="R293" s="128"/>
      <c r="S293" s="128"/>
      <c r="T293" s="128"/>
      <c r="U293" s="129"/>
      <c r="V293" s="128"/>
      <c r="W293" s="128"/>
      <c r="X293" s="128"/>
      <c r="Y293" s="128"/>
      <c r="Z293" s="128"/>
      <c r="AA293" s="128"/>
    </row>
    <row r="294">
      <c r="A294" s="128"/>
      <c r="B294" s="128"/>
      <c r="C294" s="128"/>
      <c r="D294" s="128"/>
      <c r="E294" s="128"/>
      <c r="F294" s="128"/>
      <c r="G294" s="212"/>
      <c r="H294" s="128"/>
      <c r="I294" s="128"/>
      <c r="J294" s="128"/>
      <c r="K294" s="128"/>
      <c r="L294" s="170" t="s">
        <v>1278</v>
      </c>
      <c r="M294" s="128"/>
      <c r="N294" s="128"/>
      <c r="O294" s="128"/>
      <c r="P294" s="128"/>
      <c r="Q294" s="128"/>
      <c r="R294" s="128"/>
      <c r="S294" s="128"/>
      <c r="T294" s="128"/>
      <c r="U294" s="129"/>
      <c r="V294" s="128"/>
      <c r="W294" s="128"/>
      <c r="X294" s="128"/>
      <c r="Y294" s="128"/>
      <c r="Z294" s="128"/>
      <c r="AA294" s="128"/>
    </row>
    <row r="295">
      <c r="A295" s="128"/>
      <c r="B295" s="128"/>
      <c r="C295" s="128"/>
      <c r="D295" s="128"/>
      <c r="E295" s="128"/>
      <c r="F295" s="128"/>
      <c r="G295" s="212"/>
      <c r="H295" s="128"/>
      <c r="I295" s="128"/>
      <c r="J295" s="128"/>
      <c r="K295" s="128"/>
      <c r="L295" s="170" t="s">
        <v>1279</v>
      </c>
      <c r="M295" s="128"/>
      <c r="N295" s="128"/>
      <c r="O295" s="128"/>
      <c r="P295" s="128"/>
      <c r="Q295" s="128"/>
      <c r="R295" s="128"/>
      <c r="S295" s="128"/>
      <c r="T295" s="128"/>
      <c r="U295" s="129"/>
      <c r="V295" s="128"/>
      <c r="W295" s="128"/>
      <c r="X295" s="128"/>
      <c r="Y295" s="128"/>
      <c r="Z295" s="128"/>
      <c r="AA295" s="128"/>
    </row>
    <row r="296">
      <c r="A296" s="128"/>
      <c r="B296" s="128"/>
      <c r="C296" s="128"/>
      <c r="D296" s="128"/>
      <c r="E296" s="128"/>
      <c r="F296" s="128"/>
      <c r="G296" s="212"/>
      <c r="H296" s="128"/>
      <c r="I296" s="128"/>
      <c r="J296" s="128"/>
      <c r="K296" s="128"/>
      <c r="L296" s="173" t="s">
        <v>1280</v>
      </c>
      <c r="M296" s="128"/>
      <c r="N296" s="128"/>
      <c r="O296" s="128"/>
      <c r="P296" s="128"/>
      <c r="Q296" s="128"/>
      <c r="R296" s="128"/>
      <c r="S296" s="128"/>
      <c r="T296" s="128"/>
      <c r="U296" s="129"/>
      <c r="V296" s="128"/>
      <c r="W296" s="128"/>
      <c r="X296" s="128"/>
      <c r="Y296" s="128"/>
      <c r="Z296" s="128"/>
      <c r="AA296" s="128"/>
    </row>
    <row r="297">
      <c r="A297" s="128"/>
      <c r="B297" s="128"/>
      <c r="C297" s="128"/>
      <c r="D297" s="128"/>
      <c r="E297" s="128"/>
      <c r="F297" s="128"/>
      <c r="G297" s="212"/>
      <c r="H297" s="128"/>
      <c r="I297" s="128"/>
      <c r="J297" s="128"/>
      <c r="K297" s="128"/>
      <c r="L297" s="170" t="s">
        <v>1281</v>
      </c>
      <c r="M297" s="128"/>
      <c r="N297" s="128"/>
      <c r="O297" s="128"/>
      <c r="P297" s="128"/>
      <c r="Q297" s="128"/>
      <c r="R297" s="128"/>
      <c r="S297" s="128"/>
      <c r="T297" s="128"/>
      <c r="U297" s="129"/>
      <c r="V297" s="128"/>
      <c r="W297" s="128"/>
      <c r="X297" s="128"/>
      <c r="Y297" s="128"/>
      <c r="Z297" s="128"/>
      <c r="AA297" s="128"/>
    </row>
    <row r="298">
      <c r="A298" s="128"/>
      <c r="B298" s="128"/>
      <c r="C298" s="128"/>
      <c r="D298" s="128"/>
      <c r="E298" s="128"/>
      <c r="F298" s="128"/>
      <c r="G298" s="212"/>
      <c r="H298" s="128"/>
      <c r="I298" s="128"/>
      <c r="J298" s="128"/>
      <c r="K298" s="128"/>
      <c r="L298" s="170" t="s">
        <v>1282</v>
      </c>
      <c r="M298" s="128"/>
      <c r="N298" s="128"/>
      <c r="O298" s="128"/>
      <c r="P298" s="128"/>
      <c r="Q298" s="128"/>
      <c r="R298" s="128"/>
      <c r="S298" s="128"/>
      <c r="T298" s="128"/>
      <c r="U298" s="129"/>
      <c r="V298" s="128"/>
      <c r="W298" s="128"/>
      <c r="X298" s="128"/>
      <c r="Y298" s="128"/>
      <c r="Z298" s="128"/>
      <c r="AA298" s="128"/>
    </row>
    <row r="299">
      <c r="A299" s="128"/>
      <c r="B299" s="128"/>
      <c r="C299" s="128"/>
      <c r="D299" s="128"/>
      <c r="E299" s="128"/>
      <c r="F299" s="128"/>
      <c r="G299" s="212"/>
      <c r="H299" s="128"/>
      <c r="I299" s="128"/>
      <c r="J299" s="128"/>
      <c r="K299" s="128"/>
      <c r="L299" s="171" t="s">
        <v>1283</v>
      </c>
      <c r="M299" s="128"/>
      <c r="N299" s="128"/>
      <c r="O299" s="128"/>
      <c r="P299" s="128"/>
      <c r="Q299" s="128"/>
      <c r="R299" s="128"/>
      <c r="S299" s="128"/>
      <c r="T299" s="128"/>
      <c r="U299" s="129"/>
      <c r="V299" s="128"/>
      <c r="W299" s="128"/>
      <c r="X299" s="128"/>
      <c r="Y299" s="128"/>
      <c r="Z299" s="128"/>
      <c r="AA299" s="128"/>
    </row>
    <row r="300">
      <c r="A300" s="128"/>
      <c r="B300" s="128"/>
      <c r="C300" s="128"/>
      <c r="D300" s="128"/>
      <c r="E300" s="128"/>
      <c r="F300" s="128"/>
      <c r="G300" s="212"/>
      <c r="H300" s="128"/>
      <c r="I300" s="128"/>
      <c r="J300" s="128"/>
      <c r="K300" s="128"/>
      <c r="L300" s="173" t="s">
        <v>1284</v>
      </c>
      <c r="M300" s="128"/>
      <c r="N300" s="128"/>
      <c r="O300" s="128"/>
      <c r="P300" s="128"/>
      <c r="Q300" s="128"/>
      <c r="R300" s="128"/>
      <c r="S300" s="128"/>
      <c r="T300" s="128"/>
      <c r="U300" s="129"/>
      <c r="V300" s="128"/>
      <c r="W300" s="128"/>
      <c r="X300" s="128"/>
      <c r="Y300" s="128"/>
      <c r="Z300" s="128"/>
      <c r="AA300" s="128"/>
    </row>
    <row r="301">
      <c r="A301" s="128"/>
      <c r="B301" s="128"/>
      <c r="C301" s="128"/>
      <c r="D301" s="128"/>
      <c r="E301" s="128"/>
      <c r="F301" s="128"/>
      <c r="G301" s="212"/>
      <c r="H301" s="128"/>
      <c r="I301" s="128"/>
      <c r="J301" s="128"/>
      <c r="K301" s="128"/>
      <c r="L301" s="171" t="s">
        <v>1285</v>
      </c>
      <c r="M301" s="128"/>
      <c r="N301" s="128"/>
      <c r="O301" s="128"/>
      <c r="P301" s="128"/>
      <c r="Q301" s="128"/>
      <c r="R301" s="128"/>
      <c r="S301" s="128"/>
      <c r="T301" s="128"/>
      <c r="U301" s="129"/>
      <c r="V301" s="128"/>
      <c r="W301" s="128"/>
      <c r="X301" s="128"/>
      <c r="Y301" s="128"/>
      <c r="Z301" s="128"/>
      <c r="AA301" s="128"/>
    </row>
    <row r="302">
      <c r="A302" s="128"/>
      <c r="B302" s="128"/>
      <c r="C302" s="128"/>
      <c r="D302" s="128"/>
      <c r="E302" s="128"/>
      <c r="F302" s="128"/>
      <c r="G302" s="212"/>
      <c r="H302" s="128"/>
      <c r="I302" s="128"/>
      <c r="J302" s="128"/>
      <c r="K302" s="128"/>
      <c r="L302" s="171" t="s">
        <v>1286</v>
      </c>
      <c r="M302" s="128"/>
      <c r="N302" s="128"/>
      <c r="O302" s="128"/>
      <c r="P302" s="128"/>
      <c r="Q302" s="128"/>
      <c r="R302" s="128"/>
      <c r="S302" s="128"/>
      <c r="T302" s="128"/>
      <c r="U302" s="129"/>
      <c r="V302" s="128"/>
      <c r="W302" s="128"/>
      <c r="X302" s="128"/>
      <c r="Y302" s="128"/>
      <c r="Z302" s="128"/>
      <c r="AA302" s="128"/>
    </row>
    <row r="303">
      <c r="A303" s="128"/>
      <c r="B303" s="128"/>
      <c r="C303" s="128"/>
      <c r="D303" s="128"/>
      <c r="E303" s="128"/>
      <c r="F303" s="128"/>
      <c r="G303" s="212"/>
      <c r="H303" s="128"/>
      <c r="I303" s="128"/>
      <c r="J303" s="128"/>
      <c r="K303" s="128"/>
      <c r="L303" s="170" t="s">
        <v>1287</v>
      </c>
      <c r="M303" s="128"/>
      <c r="N303" s="128"/>
      <c r="O303" s="128"/>
      <c r="P303" s="128"/>
      <c r="Q303" s="128"/>
      <c r="R303" s="128"/>
      <c r="S303" s="126"/>
      <c r="T303" s="126"/>
      <c r="U303" s="215"/>
      <c r="V303" s="126"/>
      <c r="W303" s="128"/>
      <c r="X303" s="128"/>
      <c r="Y303" s="128"/>
      <c r="Z303" s="128"/>
      <c r="AA303" s="128"/>
    </row>
    <row r="304">
      <c r="A304" s="128"/>
      <c r="B304" s="128"/>
      <c r="C304" s="128"/>
      <c r="D304" s="128"/>
      <c r="E304" s="128"/>
      <c r="F304" s="128"/>
      <c r="G304" s="212"/>
      <c r="H304" s="128"/>
      <c r="I304" s="128"/>
      <c r="J304" s="128"/>
      <c r="K304" s="128"/>
      <c r="L304" s="170" t="s">
        <v>1288</v>
      </c>
      <c r="M304" s="128"/>
      <c r="N304" s="128"/>
      <c r="O304" s="128"/>
      <c r="P304" s="128"/>
      <c r="Q304" s="128"/>
      <c r="R304" s="128"/>
      <c r="S304" s="136"/>
      <c r="T304" s="136"/>
      <c r="U304" s="215"/>
      <c r="V304" s="136"/>
      <c r="W304" s="128"/>
      <c r="X304" s="128"/>
      <c r="Y304" s="128"/>
      <c r="Z304" s="128"/>
      <c r="AA304" s="128"/>
    </row>
    <row r="305">
      <c r="A305" s="128"/>
      <c r="B305" s="128"/>
      <c r="C305" s="128"/>
      <c r="D305" s="128"/>
      <c r="E305" s="128"/>
      <c r="F305" s="128"/>
      <c r="G305" s="212"/>
      <c r="H305" s="128"/>
      <c r="I305" s="128"/>
      <c r="J305" s="128"/>
      <c r="K305" s="128"/>
      <c r="L305" s="170" t="s">
        <v>1289</v>
      </c>
      <c r="M305" s="128"/>
      <c r="N305" s="128"/>
      <c r="O305" s="128"/>
      <c r="P305" s="128"/>
      <c r="Q305" s="128"/>
      <c r="R305" s="128"/>
      <c r="S305" s="136"/>
      <c r="T305" s="136"/>
      <c r="U305" s="215"/>
      <c r="V305" s="136"/>
      <c r="W305" s="128"/>
      <c r="X305" s="128"/>
      <c r="Y305" s="128"/>
      <c r="Z305" s="128"/>
      <c r="AA305" s="128"/>
    </row>
    <row r="306">
      <c r="A306" s="128"/>
      <c r="B306" s="128"/>
      <c r="C306" s="128"/>
      <c r="D306" s="128"/>
      <c r="E306" s="128"/>
      <c r="F306" s="128"/>
      <c r="G306" s="212"/>
      <c r="H306" s="128"/>
      <c r="I306" s="128"/>
      <c r="J306" s="128"/>
      <c r="K306" s="128"/>
      <c r="L306" s="167" t="s">
        <v>1290</v>
      </c>
      <c r="M306" s="128"/>
      <c r="N306" s="128"/>
      <c r="O306" s="128"/>
      <c r="P306" s="128"/>
      <c r="Q306" s="128"/>
      <c r="R306" s="128"/>
      <c r="S306" s="136"/>
      <c r="T306" s="136"/>
      <c r="U306" s="215"/>
      <c r="V306" s="136"/>
      <c r="W306" s="128"/>
      <c r="X306" s="128"/>
      <c r="Y306" s="128"/>
      <c r="Z306" s="128"/>
      <c r="AA306" s="128"/>
    </row>
    <row r="307">
      <c r="A307" s="128"/>
      <c r="B307" s="128"/>
      <c r="C307" s="128"/>
      <c r="D307" s="128"/>
      <c r="E307" s="128"/>
      <c r="F307" s="128"/>
      <c r="G307" s="212"/>
      <c r="H307" s="128"/>
      <c r="I307" s="128"/>
      <c r="J307" s="128"/>
      <c r="K307" s="128"/>
      <c r="L307" s="170" t="s">
        <v>1291</v>
      </c>
      <c r="M307" s="128"/>
      <c r="N307" s="128"/>
      <c r="O307" s="126"/>
      <c r="P307" s="126"/>
      <c r="Q307" s="126"/>
      <c r="R307" s="128"/>
      <c r="S307" s="136"/>
      <c r="T307" s="136"/>
      <c r="U307" s="215"/>
      <c r="V307" s="136"/>
      <c r="W307" s="128"/>
      <c r="X307" s="128"/>
      <c r="Y307" s="128"/>
      <c r="Z307" s="128"/>
      <c r="AA307" s="128"/>
    </row>
    <row r="308">
      <c r="A308" s="128"/>
      <c r="B308" s="128"/>
      <c r="C308" s="128"/>
      <c r="D308" s="128"/>
      <c r="E308" s="128"/>
      <c r="F308" s="128"/>
      <c r="G308" s="212"/>
      <c r="H308" s="128"/>
      <c r="I308" s="128"/>
      <c r="J308" s="128"/>
      <c r="K308" s="128"/>
      <c r="L308" s="170" t="s">
        <v>1292</v>
      </c>
      <c r="M308" s="128"/>
      <c r="N308" s="128"/>
      <c r="O308" s="136"/>
      <c r="P308" s="136"/>
      <c r="Q308" s="136"/>
      <c r="R308" s="128"/>
      <c r="S308" s="136"/>
      <c r="T308" s="136"/>
      <c r="U308" s="215"/>
      <c r="V308" s="136"/>
      <c r="W308" s="128"/>
      <c r="X308" s="128"/>
      <c r="Y308" s="128"/>
      <c r="Z308" s="128"/>
      <c r="AA308" s="128"/>
    </row>
    <row r="309">
      <c r="A309" s="128"/>
      <c r="B309" s="128"/>
      <c r="C309" s="128"/>
      <c r="D309" s="128"/>
      <c r="E309" s="128"/>
      <c r="F309" s="128"/>
      <c r="G309" s="212"/>
      <c r="H309" s="128"/>
      <c r="I309" s="128"/>
      <c r="J309" s="128"/>
      <c r="K309" s="128"/>
      <c r="L309" s="171" t="s">
        <v>1293</v>
      </c>
      <c r="M309" s="128"/>
      <c r="N309" s="128"/>
      <c r="O309" s="136"/>
      <c r="P309" s="136"/>
      <c r="Q309" s="136"/>
      <c r="R309" s="128"/>
      <c r="S309" s="136"/>
      <c r="T309" s="136"/>
      <c r="U309" s="215"/>
      <c r="V309" s="136"/>
      <c r="W309" s="128"/>
      <c r="X309" s="128"/>
      <c r="Y309" s="128"/>
      <c r="Z309" s="128"/>
      <c r="AA309" s="128"/>
    </row>
    <row r="310">
      <c r="A310" s="128"/>
      <c r="B310" s="128"/>
      <c r="C310" s="128"/>
      <c r="D310" s="128"/>
      <c r="E310" s="128"/>
      <c r="F310" s="128"/>
      <c r="G310" s="212"/>
      <c r="H310" s="128"/>
      <c r="I310" s="128"/>
      <c r="J310" s="128"/>
      <c r="K310" s="128"/>
      <c r="L310" s="171" t="s">
        <v>1294</v>
      </c>
      <c r="M310" s="128"/>
      <c r="N310" s="128"/>
      <c r="O310" s="136"/>
      <c r="P310" s="136"/>
      <c r="Q310" s="136"/>
      <c r="R310" s="128"/>
      <c r="S310" s="136"/>
      <c r="T310" s="136"/>
      <c r="U310" s="215"/>
      <c r="V310" s="136"/>
      <c r="W310" s="128"/>
      <c r="X310" s="128"/>
      <c r="Y310" s="128"/>
      <c r="Z310" s="128"/>
      <c r="AA310" s="128"/>
    </row>
    <row r="311">
      <c r="A311" s="128"/>
      <c r="B311" s="128"/>
      <c r="C311" s="128"/>
      <c r="D311" s="128"/>
      <c r="E311" s="128"/>
      <c r="F311" s="128"/>
      <c r="G311" s="212"/>
      <c r="H311" s="128"/>
      <c r="I311" s="128"/>
      <c r="J311" s="128"/>
      <c r="K311" s="128"/>
      <c r="L311" t="s">
        <v>1295</v>
      </c>
      <c r="M311" s="128"/>
      <c r="N311" s="128"/>
      <c r="O311" s="136"/>
      <c r="P311" s="136"/>
      <c r="Q311" s="136"/>
      <c r="R311" s="128"/>
      <c r="S311" s="136"/>
      <c r="T311" s="136"/>
      <c r="U311" s="215"/>
      <c r="V311" s="136"/>
      <c r="W311" s="128"/>
      <c r="X311" s="128"/>
      <c r="Y311" s="128"/>
      <c r="Z311" s="128"/>
      <c r="AA311" s="128"/>
    </row>
    <row r="312">
      <c r="A312" s="128"/>
      <c r="B312" s="128"/>
      <c r="C312" s="128"/>
      <c r="D312" s="128"/>
      <c r="E312" s="128"/>
      <c r="F312" s="128"/>
      <c r="G312" s="212"/>
      <c r="H312" s="128"/>
      <c r="I312" s="128"/>
      <c r="J312" s="128"/>
      <c r="K312" s="128"/>
      <c r="L312" s="126" t="s">
        <v>1296</v>
      </c>
      <c r="M312" s="128"/>
      <c r="N312" s="128"/>
      <c r="O312" s="136"/>
      <c r="P312" s="136"/>
      <c r="Q312" s="136"/>
      <c r="R312" s="128"/>
      <c r="S312" s="136"/>
      <c r="T312" s="136"/>
      <c r="U312" s="215"/>
      <c r="V312" s="136"/>
      <c r="W312" s="128"/>
      <c r="X312" s="128"/>
      <c r="Y312" s="128"/>
      <c r="Z312" s="128"/>
      <c r="AA312" s="128"/>
    </row>
    <row r="313">
      <c r="A313" s="128"/>
      <c r="B313" s="128"/>
      <c r="C313" s="128"/>
      <c r="D313" s="128"/>
      <c r="E313" s="128"/>
      <c r="F313" s="128"/>
      <c r="G313" s="212"/>
      <c r="H313" s="128"/>
      <c r="I313" s="128"/>
      <c r="J313" s="128"/>
      <c r="K313" s="128"/>
      <c r="L313" s="127" t="s">
        <v>1297</v>
      </c>
      <c r="M313" s="128"/>
      <c r="N313" s="128"/>
      <c r="O313" s="136"/>
      <c r="P313" s="136"/>
      <c r="Q313" s="136"/>
      <c r="R313" s="128"/>
      <c r="S313" s="136"/>
      <c r="T313" s="136"/>
      <c r="U313" s="215"/>
      <c r="V313" s="136"/>
      <c r="W313" s="128"/>
      <c r="X313" s="128"/>
      <c r="Y313" s="128"/>
      <c r="Z313" s="128"/>
      <c r="AA313" s="128"/>
    </row>
    <row r="314">
      <c r="A314" s="128"/>
      <c r="B314" s="128"/>
      <c r="C314" s="128"/>
      <c r="D314" s="128"/>
      <c r="E314" s="128"/>
      <c r="F314" s="128"/>
      <c r="G314" s="212"/>
      <c r="H314" s="128"/>
      <c r="I314" s="128"/>
      <c r="J314" s="128"/>
      <c r="K314" s="128"/>
      <c r="L314" s="127" t="s">
        <v>1298</v>
      </c>
      <c r="M314" s="128"/>
      <c r="N314" s="128"/>
      <c r="O314" s="136"/>
      <c r="P314" s="136"/>
      <c r="Q314" s="136"/>
      <c r="R314" s="128"/>
      <c r="S314" s="136"/>
      <c r="T314" s="136"/>
      <c r="U314" s="215"/>
      <c r="V314" s="136"/>
      <c r="W314" s="128"/>
      <c r="X314" s="128"/>
      <c r="Y314" s="128"/>
      <c r="Z314" s="128"/>
      <c r="AA314" s="128"/>
    </row>
    <row r="315">
      <c r="A315" s="128"/>
      <c r="B315" s="128"/>
      <c r="C315" s="128"/>
      <c r="D315" s="128"/>
      <c r="E315" s="128"/>
      <c r="F315" s="128"/>
      <c r="G315" s="212"/>
      <c r="H315" s="128"/>
      <c r="I315" s="128"/>
      <c r="J315" s="128"/>
      <c r="K315" s="128"/>
      <c r="L315" s="216" t="s">
        <v>1299</v>
      </c>
      <c r="M315" s="128"/>
      <c r="N315" s="128"/>
      <c r="O315" s="136"/>
      <c r="P315" s="136"/>
      <c r="Q315" s="136"/>
      <c r="R315" s="128"/>
      <c r="S315" s="136"/>
      <c r="T315" s="136"/>
      <c r="U315" s="215"/>
      <c r="V315" s="136"/>
      <c r="W315" s="128"/>
      <c r="X315" s="128"/>
      <c r="Y315" s="128"/>
      <c r="Z315" s="128"/>
      <c r="AA315" s="128"/>
    </row>
    <row r="316">
      <c r="A316" s="128"/>
      <c r="B316" s="128"/>
      <c r="C316" s="128"/>
      <c r="D316" s="128"/>
      <c r="E316" s="128"/>
      <c r="F316" s="128"/>
      <c r="G316" s="212"/>
      <c r="H316" s="128"/>
      <c r="I316" s="128"/>
      <c r="J316" s="128"/>
      <c r="K316" s="128"/>
      <c r="L316" s="216" t="s">
        <v>1300</v>
      </c>
      <c r="M316" s="128"/>
      <c r="N316" s="128"/>
      <c r="O316" s="136"/>
      <c r="P316" s="136"/>
      <c r="Q316" s="136"/>
      <c r="R316" s="128"/>
      <c r="S316" s="136"/>
      <c r="T316" s="136"/>
      <c r="U316" s="215"/>
      <c r="V316" s="136"/>
      <c r="W316" s="128"/>
      <c r="X316" s="128"/>
      <c r="Y316" s="128"/>
      <c r="Z316" s="128"/>
      <c r="AA316" s="128"/>
    </row>
    <row r="317">
      <c r="A317" s="128"/>
      <c r="B317" s="128"/>
      <c r="C317" s="128"/>
      <c r="D317" s="128"/>
      <c r="E317" s="128"/>
      <c r="F317" s="128"/>
      <c r="G317" s="212"/>
      <c r="H317" s="128"/>
      <c r="I317" s="128"/>
      <c r="J317" s="128"/>
      <c r="K317" s="128"/>
      <c r="L317" s="216" t="s">
        <v>1301</v>
      </c>
      <c r="M317" s="128"/>
      <c r="N317" s="128"/>
      <c r="O317" s="136"/>
      <c r="P317" s="136"/>
      <c r="Q317" s="136"/>
      <c r="R317" s="128"/>
      <c r="S317" s="136"/>
      <c r="T317" s="136"/>
      <c r="U317" s="215"/>
      <c r="V317" s="136"/>
      <c r="W317" s="128"/>
      <c r="X317" s="128"/>
      <c r="Y317" s="128"/>
      <c r="Z317" s="128"/>
      <c r="AA317" s="128"/>
    </row>
    <row r="318">
      <c r="A318" s="128"/>
      <c r="B318" s="128"/>
      <c r="C318" s="128"/>
      <c r="D318" s="128"/>
      <c r="E318" s="128"/>
      <c r="F318" s="128"/>
      <c r="G318" s="212"/>
      <c r="H318" s="128"/>
      <c r="I318" s="128"/>
      <c r="J318" s="128"/>
      <c r="K318" s="128"/>
      <c r="L318" s="127" t="s">
        <v>1302</v>
      </c>
      <c r="M318" s="128"/>
      <c r="N318" s="128"/>
      <c r="O318" s="136"/>
      <c r="P318" s="136"/>
      <c r="Q318" s="136"/>
      <c r="R318" s="128"/>
      <c r="S318" s="136"/>
      <c r="T318" s="136"/>
      <c r="U318" s="215"/>
      <c r="V318" s="136"/>
      <c r="W318" s="128"/>
      <c r="X318" s="128"/>
      <c r="Y318" s="128"/>
      <c r="Z318" s="128"/>
      <c r="AA318" s="128"/>
    </row>
    <row r="319">
      <c r="A319" s="128"/>
      <c r="B319" s="128"/>
      <c r="C319" s="128"/>
      <c r="D319" s="128"/>
      <c r="E319" s="128"/>
      <c r="F319" s="128"/>
      <c r="G319" s="212"/>
      <c r="H319" s="128"/>
      <c r="I319" s="128"/>
      <c r="J319" s="128"/>
      <c r="K319" s="128"/>
      <c r="L319" s="127" t="s">
        <v>91</v>
      </c>
      <c r="M319" s="128"/>
      <c r="N319" s="128"/>
      <c r="O319" s="136"/>
      <c r="P319" s="136"/>
      <c r="Q319" s="136"/>
      <c r="R319" s="128"/>
      <c r="S319" s="136"/>
      <c r="T319" s="136"/>
      <c r="U319" s="217"/>
      <c r="V319" s="136"/>
      <c r="W319" s="128"/>
      <c r="X319" s="128"/>
      <c r="Y319" s="128"/>
      <c r="Z319" s="128"/>
      <c r="AA319" s="128"/>
    </row>
    <row r="320">
      <c r="A320" s="128"/>
      <c r="B320" s="128"/>
      <c r="C320" s="128"/>
      <c r="D320" s="128"/>
      <c r="E320" s="128"/>
      <c r="F320" s="128"/>
      <c r="G320" s="212"/>
      <c r="H320" s="128"/>
      <c r="I320" s="128"/>
      <c r="J320" s="128"/>
      <c r="K320" s="128"/>
      <c r="L320" s="127" t="s">
        <v>1303</v>
      </c>
      <c r="M320" s="128"/>
      <c r="N320" s="128"/>
      <c r="O320" s="136"/>
      <c r="P320" s="136"/>
      <c r="Q320" s="136"/>
      <c r="R320" s="128"/>
      <c r="S320" s="136"/>
      <c r="T320" s="136"/>
      <c r="U320" s="217"/>
      <c r="V320" s="136"/>
      <c r="W320" s="128"/>
      <c r="X320" s="128"/>
      <c r="Y320" s="128"/>
      <c r="Z320" s="128"/>
      <c r="AA320" s="128"/>
    </row>
    <row r="321">
      <c r="A321" s="128"/>
      <c r="B321" s="128"/>
      <c r="C321" s="128"/>
      <c r="D321" s="128"/>
      <c r="E321" s="128"/>
      <c r="F321" s="128"/>
      <c r="G321" s="212"/>
      <c r="H321" s="128"/>
      <c r="I321" s="128"/>
      <c r="J321" s="128"/>
      <c r="K321" s="128"/>
      <c r="L321" s="127" t="s">
        <v>1304</v>
      </c>
      <c r="M321" s="128"/>
      <c r="N321" s="128"/>
      <c r="O321" s="136"/>
      <c r="P321" s="136"/>
      <c r="Q321" s="136"/>
      <c r="R321" s="128"/>
      <c r="S321" s="136"/>
      <c r="T321" s="136"/>
      <c r="U321" s="215"/>
      <c r="V321" s="136"/>
      <c r="W321" s="128"/>
      <c r="X321" s="128"/>
      <c r="Y321" s="128"/>
      <c r="Z321" s="128"/>
      <c r="AA321" s="128"/>
    </row>
    <row r="322">
      <c r="A322" s="128"/>
      <c r="B322" s="128"/>
      <c r="C322" s="128"/>
      <c r="D322" s="128"/>
      <c r="E322" s="128"/>
      <c r="F322" s="128"/>
      <c r="G322" s="212"/>
      <c r="H322" s="128"/>
      <c r="I322" s="128"/>
      <c r="J322" s="128"/>
      <c r="K322" s="128"/>
      <c r="L322" s="218" t="s">
        <v>1305</v>
      </c>
      <c r="M322" s="128"/>
      <c r="N322" s="128"/>
      <c r="O322" s="136"/>
      <c r="P322" s="136"/>
      <c r="Q322" s="136"/>
      <c r="R322" s="128"/>
      <c r="S322" s="163"/>
      <c r="T322" s="163"/>
      <c r="U322" s="215"/>
      <c r="V322" s="163"/>
      <c r="W322" s="128"/>
      <c r="X322" s="128"/>
      <c r="Y322" s="128"/>
      <c r="Z322" s="128"/>
      <c r="AA322" s="128"/>
    </row>
    <row r="323">
      <c r="A323" s="128"/>
      <c r="B323" s="128"/>
      <c r="C323" s="128"/>
      <c r="D323" s="128"/>
      <c r="E323" s="128"/>
      <c r="F323" s="128"/>
      <c r="G323" s="212"/>
      <c r="H323" s="128"/>
      <c r="I323" s="128"/>
      <c r="J323" s="128"/>
      <c r="K323" s="128"/>
      <c r="L323" s="219" t="s">
        <v>1306</v>
      </c>
      <c r="M323" s="128"/>
      <c r="N323" s="128"/>
      <c r="O323" s="136"/>
      <c r="P323" s="136"/>
      <c r="Q323" s="136"/>
      <c r="R323" s="128"/>
      <c r="S323" s="128"/>
      <c r="T323" s="128"/>
      <c r="U323" s="129"/>
      <c r="V323" s="128"/>
      <c r="W323" s="128"/>
      <c r="X323" s="128"/>
      <c r="Y323" s="128"/>
      <c r="Z323" s="128"/>
      <c r="AA323" s="128"/>
    </row>
    <row r="324">
      <c r="A324" s="128"/>
      <c r="B324" s="128"/>
      <c r="C324" s="128"/>
      <c r="D324" s="128"/>
      <c r="E324" s="128"/>
      <c r="F324" s="128"/>
      <c r="G324" s="212"/>
      <c r="H324" s="128"/>
      <c r="I324" s="128"/>
      <c r="J324" s="128"/>
      <c r="K324" s="128"/>
      <c r="L324" s="127" t="s">
        <v>1307</v>
      </c>
      <c r="M324" s="128"/>
      <c r="N324" s="128"/>
      <c r="O324" s="136"/>
      <c r="P324" s="136"/>
      <c r="Q324" s="136"/>
      <c r="R324" s="128"/>
      <c r="S324" s="128"/>
      <c r="T324" s="128"/>
      <c r="U324" s="129"/>
      <c r="V324" s="128"/>
      <c r="W324" s="128"/>
      <c r="X324" s="128"/>
      <c r="Y324" s="128"/>
      <c r="Z324" s="128"/>
      <c r="AA324" s="128"/>
    </row>
    <row r="325">
      <c r="A325" s="128"/>
      <c r="B325" s="128"/>
      <c r="C325" s="128"/>
      <c r="D325" s="128"/>
      <c r="E325" s="128"/>
      <c r="F325" s="128"/>
      <c r="G325" s="212"/>
      <c r="H325" s="128"/>
      <c r="I325" s="128"/>
      <c r="J325" s="128"/>
      <c r="K325" s="128"/>
      <c r="L325" s="127" t="s">
        <v>1308</v>
      </c>
      <c r="M325" s="128"/>
      <c r="N325" s="128"/>
      <c r="O325" s="136"/>
      <c r="P325" s="136"/>
      <c r="Q325" s="136"/>
      <c r="R325" s="128"/>
      <c r="S325" s="128"/>
      <c r="T325" s="128"/>
      <c r="U325" s="129"/>
      <c r="V325" s="128"/>
      <c r="W325" s="128"/>
      <c r="X325" s="128"/>
      <c r="Y325" s="128"/>
      <c r="Z325" s="128"/>
      <c r="AA325" s="128"/>
    </row>
    <row r="326">
      <c r="A326" s="128"/>
      <c r="B326" s="128"/>
      <c r="C326" s="128"/>
      <c r="D326" s="128"/>
      <c r="E326" s="128"/>
      <c r="F326" s="128"/>
      <c r="G326" s="212"/>
      <c r="H326" s="128"/>
      <c r="I326" s="128"/>
      <c r="J326" s="128"/>
      <c r="K326" s="128"/>
      <c r="L326" s="220" t="s">
        <v>1309</v>
      </c>
      <c r="M326" s="128"/>
      <c r="N326" s="128"/>
      <c r="O326" s="136"/>
      <c r="P326" s="163"/>
      <c r="Q326" s="163"/>
      <c r="R326" s="128"/>
      <c r="S326" s="128"/>
      <c r="T326" s="128"/>
      <c r="U326" s="129"/>
      <c r="V326" s="128"/>
      <c r="W326" s="128"/>
      <c r="X326" s="128"/>
      <c r="Y326" s="128"/>
      <c r="Z326" s="128"/>
      <c r="AA326" s="128"/>
    </row>
    <row r="327">
      <c r="A327" s="128"/>
      <c r="B327" s="128"/>
      <c r="C327" s="128"/>
      <c r="D327" s="128"/>
      <c r="E327" s="128"/>
      <c r="F327" s="128"/>
      <c r="G327" s="212"/>
      <c r="H327" s="128"/>
      <c r="I327" s="128"/>
      <c r="J327" s="128"/>
      <c r="K327" s="128"/>
      <c r="L327" s="220" t="s">
        <v>1310</v>
      </c>
      <c r="M327" s="128"/>
      <c r="N327" s="128"/>
      <c r="O327" s="163"/>
      <c r="P327" s="128"/>
      <c r="Q327" s="128"/>
      <c r="R327" s="128"/>
      <c r="S327" s="128"/>
      <c r="T327" s="128"/>
      <c r="U327" s="129"/>
      <c r="V327" s="128"/>
      <c r="W327" s="128"/>
      <c r="X327" s="128"/>
      <c r="Y327" s="128"/>
      <c r="Z327" s="128"/>
      <c r="AA327" s="128"/>
    </row>
    <row r="328">
      <c r="A328" s="128"/>
      <c r="B328" s="128"/>
      <c r="C328" s="128"/>
      <c r="D328" s="128"/>
      <c r="E328" s="128"/>
      <c r="F328" s="128"/>
      <c r="G328" s="212"/>
      <c r="H328" s="128"/>
      <c r="I328" s="128"/>
      <c r="J328" s="128"/>
      <c r="K328" s="128"/>
      <c r="L328" s="221" t="s">
        <v>1311</v>
      </c>
      <c r="M328" s="128"/>
      <c r="N328" s="128"/>
      <c r="O328" s="128"/>
      <c r="P328" s="128"/>
      <c r="Q328" s="128"/>
      <c r="R328" s="128"/>
      <c r="S328" s="128"/>
      <c r="T328" s="128"/>
      <c r="U328" s="129"/>
      <c r="V328" s="128"/>
      <c r="W328" s="128"/>
      <c r="X328" s="128"/>
      <c r="Y328" s="128"/>
      <c r="Z328" s="128"/>
      <c r="AA328" s="128"/>
    </row>
    <row r="329">
      <c r="A329" s="128"/>
      <c r="B329" s="128"/>
      <c r="C329" s="128"/>
      <c r="D329" s="128"/>
      <c r="E329" s="128"/>
      <c r="F329" s="128"/>
      <c r="G329" s="212"/>
      <c r="H329" s="128"/>
      <c r="I329" s="128"/>
      <c r="J329" s="128"/>
      <c r="K329" s="128"/>
      <c r="L329" s="221" t="s">
        <v>1312</v>
      </c>
      <c r="M329" s="128"/>
      <c r="N329" s="128"/>
      <c r="O329" s="128"/>
      <c r="P329" s="128"/>
      <c r="Q329" s="128"/>
      <c r="R329" s="128"/>
      <c r="S329" s="128"/>
      <c r="T329" s="128"/>
      <c r="U329" s="129"/>
      <c r="V329" s="128"/>
      <c r="W329" s="128"/>
      <c r="X329" s="128"/>
      <c r="Y329" s="128"/>
      <c r="Z329" s="128"/>
      <c r="AA329" s="128"/>
    </row>
    <row r="330">
      <c r="A330" s="128"/>
      <c r="B330" s="128"/>
      <c r="C330" s="128"/>
      <c r="D330" s="128"/>
      <c r="E330" s="128"/>
      <c r="F330" s="128"/>
      <c r="G330" s="212"/>
      <c r="H330" s="128"/>
      <c r="I330" s="128"/>
      <c r="J330" s="128"/>
      <c r="K330" s="128"/>
      <c r="L330" s="127" t="s">
        <v>1313</v>
      </c>
      <c r="M330" s="128"/>
      <c r="N330" s="128"/>
      <c r="O330" s="128"/>
      <c r="P330" s="128"/>
      <c r="Q330" s="128"/>
      <c r="R330" s="128"/>
      <c r="S330" s="128"/>
      <c r="T330" s="128"/>
      <c r="U330" s="129"/>
      <c r="V330" s="128"/>
      <c r="W330" s="128"/>
      <c r="X330" s="128"/>
      <c r="Y330" s="128"/>
      <c r="Z330" s="128"/>
      <c r="AA330" s="128"/>
    </row>
    <row r="331">
      <c r="A331" s="128"/>
      <c r="B331" s="128"/>
      <c r="C331" s="128"/>
      <c r="D331" s="128"/>
      <c r="E331" s="128"/>
      <c r="F331" s="128"/>
      <c r="G331" s="212"/>
      <c r="H331" s="128"/>
      <c r="I331" s="128"/>
      <c r="J331" s="128"/>
      <c r="K331" s="128"/>
      <c r="L331" s="127" t="s">
        <v>1314</v>
      </c>
      <c r="M331" s="128"/>
      <c r="N331" s="128"/>
      <c r="O331" s="128"/>
      <c r="P331" s="128"/>
      <c r="Q331" s="128"/>
      <c r="R331" s="128"/>
      <c r="S331" s="128"/>
      <c r="T331" s="128"/>
      <c r="U331" s="129"/>
      <c r="V331" s="128"/>
      <c r="W331" s="128"/>
      <c r="X331" s="128"/>
      <c r="Y331" s="128"/>
      <c r="Z331" s="128"/>
      <c r="AA331" s="128"/>
    </row>
    <row r="332">
      <c r="A332" s="128"/>
      <c r="B332" s="128"/>
      <c r="C332" s="128"/>
      <c r="D332" s="128"/>
      <c r="E332" s="128"/>
      <c r="F332" s="128"/>
      <c r="G332" s="212"/>
      <c r="H332" s="128"/>
      <c r="I332" s="128"/>
      <c r="J332" s="128"/>
      <c r="K332" s="128"/>
      <c r="L332" s="127" t="s">
        <v>1315</v>
      </c>
      <c r="M332" s="128"/>
      <c r="N332" s="128"/>
      <c r="O332" s="128"/>
      <c r="P332" s="128"/>
      <c r="Q332" s="128"/>
      <c r="R332" s="128"/>
      <c r="S332" s="128"/>
      <c r="T332" s="128"/>
      <c r="U332" s="129"/>
      <c r="V332" s="128"/>
      <c r="W332" s="128"/>
      <c r="X332" s="128"/>
      <c r="Y332" s="128"/>
      <c r="Z332" s="128"/>
      <c r="AA332" s="128"/>
    </row>
    <row r="333">
      <c r="A333" s="128"/>
      <c r="B333" s="128"/>
      <c r="C333" s="128"/>
      <c r="D333" s="128"/>
      <c r="E333" s="128"/>
      <c r="F333" s="128"/>
      <c r="G333" s="212"/>
      <c r="H333" s="128"/>
      <c r="I333" s="128"/>
      <c r="J333" s="128"/>
      <c r="K333" s="128"/>
      <c r="L333" s="127" t="s">
        <v>1316</v>
      </c>
      <c r="M333" s="128"/>
      <c r="N333" s="128"/>
      <c r="O333" s="128"/>
      <c r="P333" s="128"/>
      <c r="Q333" s="128"/>
      <c r="R333" s="128"/>
      <c r="S333" s="128"/>
      <c r="T333" s="128"/>
      <c r="U333" s="129"/>
      <c r="V333" s="128"/>
      <c r="W333" s="128"/>
      <c r="X333" s="128"/>
      <c r="Y333" s="128"/>
      <c r="Z333" s="128"/>
      <c r="AA333" s="128"/>
    </row>
    <row r="334">
      <c r="A334" s="128"/>
      <c r="B334" s="128"/>
      <c r="C334" s="128"/>
      <c r="D334" s="128"/>
      <c r="E334" s="128"/>
      <c r="F334" s="128"/>
      <c r="G334" s="212"/>
      <c r="H334" s="128"/>
      <c r="I334" s="128"/>
      <c r="J334" s="128"/>
      <c r="K334" s="128"/>
      <c r="L334" s="127" t="s">
        <v>1317</v>
      </c>
      <c r="M334" s="128"/>
      <c r="N334" s="128"/>
      <c r="O334" s="128"/>
      <c r="P334" s="128"/>
      <c r="Q334" s="128"/>
      <c r="R334" s="128"/>
      <c r="S334" s="128"/>
      <c r="T334" s="128"/>
      <c r="U334" s="129"/>
      <c r="V334" s="128"/>
      <c r="W334" s="128"/>
      <c r="X334" s="128"/>
      <c r="Y334" s="128"/>
      <c r="Z334" s="128"/>
      <c r="AA334" s="128"/>
    </row>
    <row r="335">
      <c r="A335" s="128"/>
      <c r="B335" s="128"/>
      <c r="C335" s="128"/>
      <c r="D335" s="128"/>
      <c r="E335" s="128"/>
      <c r="F335" s="128"/>
      <c r="G335" s="212"/>
      <c r="H335" s="128"/>
      <c r="I335" s="128"/>
      <c r="J335" s="128"/>
      <c r="K335" s="128"/>
      <c r="L335" s="127" t="s">
        <v>1318</v>
      </c>
      <c r="M335" s="128"/>
      <c r="N335" s="128"/>
      <c r="O335" s="128"/>
      <c r="P335" s="128"/>
      <c r="Q335" s="128"/>
      <c r="R335" s="128"/>
      <c r="S335" s="128"/>
      <c r="T335" s="128"/>
      <c r="U335" s="129"/>
      <c r="V335" s="128"/>
      <c r="W335" s="128"/>
      <c r="X335" s="128"/>
      <c r="Y335" s="128"/>
      <c r="Z335" s="128"/>
      <c r="AA335" s="128"/>
    </row>
    <row r="336">
      <c r="A336" s="128"/>
      <c r="B336" s="128"/>
      <c r="C336" s="128"/>
      <c r="D336" s="128"/>
      <c r="E336" s="128"/>
      <c r="F336" s="128"/>
      <c r="G336" s="212"/>
      <c r="H336" s="128"/>
      <c r="I336" s="128"/>
      <c r="J336" s="128"/>
      <c r="K336" s="128"/>
      <c r="L336" s="127" t="s">
        <v>1319</v>
      </c>
      <c r="M336" s="128"/>
      <c r="N336" s="128"/>
      <c r="O336" s="128"/>
      <c r="P336" s="128"/>
      <c r="Q336" s="128"/>
      <c r="R336" s="128"/>
      <c r="S336" s="128"/>
      <c r="T336" s="128"/>
      <c r="U336" s="129"/>
      <c r="V336" s="128"/>
      <c r="W336" s="128"/>
      <c r="X336" s="128"/>
      <c r="Y336" s="128"/>
      <c r="Z336" s="128"/>
      <c r="AA336" s="128"/>
    </row>
    <row r="337">
      <c r="A337" s="128"/>
      <c r="B337" s="128"/>
      <c r="C337" s="128"/>
      <c r="D337" s="128"/>
      <c r="E337" s="128"/>
      <c r="F337" s="128"/>
      <c r="G337" s="212"/>
      <c r="H337" s="128"/>
      <c r="I337" s="128"/>
      <c r="J337" s="128"/>
      <c r="K337" s="128"/>
      <c r="L337" s="127" t="s">
        <v>1320</v>
      </c>
      <c r="M337" s="128"/>
      <c r="N337" s="128"/>
      <c r="O337" s="128"/>
      <c r="P337" s="128"/>
      <c r="Q337" s="128"/>
      <c r="R337" s="128"/>
      <c r="S337" s="128"/>
      <c r="T337" s="128"/>
      <c r="U337" s="129"/>
      <c r="V337" s="128"/>
      <c r="W337" s="128"/>
      <c r="X337" s="128"/>
      <c r="Y337" s="128"/>
      <c r="Z337" s="128"/>
      <c r="AA337" s="128"/>
    </row>
    <row r="338">
      <c r="A338" s="128"/>
      <c r="B338" s="128"/>
      <c r="C338" s="128"/>
      <c r="D338" s="128"/>
      <c r="E338" s="128"/>
      <c r="F338" s="128"/>
      <c r="G338" s="212"/>
      <c r="H338" s="128"/>
      <c r="I338" s="128"/>
      <c r="J338" s="128"/>
      <c r="K338" s="128"/>
      <c r="L338" s="127" t="s">
        <v>1321</v>
      </c>
      <c r="M338" s="128"/>
      <c r="N338" s="128"/>
      <c r="O338" s="128"/>
      <c r="P338" s="128"/>
      <c r="Q338" s="128"/>
      <c r="R338" s="128"/>
      <c r="S338" s="128"/>
      <c r="T338" s="128"/>
      <c r="U338" s="129"/>
      <c r="V338" s="128"/>
      <c r="W338" s="128"/>
      <c r="X338" s="128"/>
      <c r="Y338" s="128"/>
      <c r="Z338" s="128"/>
      <c r="AA338" s="128"/>
    </row>
    <row r="339">
      <c r="A339" s="128"/>
      <c r="B339" s="128"/>
      <c r="C339" s="128"/>
      <c r="D339" s="128"/>
      <c r="E339" s="128"/>
      <c r="F339" s="128"/>
      <c r="G339" s="212"/>
      <c r="H339" s="128"/>
      <c r="I339" s="128"/>
      <c r="J339" s="128"/>
      <c r="K339" s="128"/>
      <c r="L339" s="127" t="s">
        <v>1322</v>
      </c>
      <c r="M339" s="128"/>
      <c r="N339" s="128"/>
      <c r="O339" s="128"/>
      <c r="P339" s="128"/>
      <c r="Q339" s="128"/>
      <c r="R339" s="128"/>
      <c r="S339" s="128"/>
      <c r="T339" s="128"/>
      <c r="U339" s="129"/>
      <c r="V339" s="128"/>
      <c r="W339" s="128"/>
      <c r="X339" s="128"/>
      <c r="Y339" s="128"/>
      <c r="Z339" s="128"/>
      <c r="AA339" s="128"/>
    </row>
    <row r="340">
      <c r="A340" s="128"/>
      <c r="B340" s="128"/>
      <c r="C340" s="128"/>
      <c r="D340" s="128"/>
      <c r="E340" s="128"/>
      <c r="F340" s="128"/>
      <c r="G340" s="212"/>
      <c r="H340" s="128"/>
      <c r="I340" s="128"/>
      <c r="J340" s="128"/>
      <c r="K340" s="128"/>
      <c r="L340" s="127" t="s">
        <v>1323</v>
      </c>
      <c r="M340" s="128"/>
      <c r="N340" s="128"/>
      <c r="O340" s="128"/>
      <c r="P340" s="128"/>
      <c r="Q340" s="128"/>
      <c r="R340" s="128"/>
      <c r="S340" s="128"/>
      <c r="T340" s="128"/>
      <c r="U340" s="129"/>
      <c r="V340" s="128"/>
      <c r="W340" s="128"/>
      <c r="X340" s="128"/>
      <c r="Y340" s="128"/>
      <c r="Z340" s="128"/>
      <c r="AA340" s="128"/>
    </row>
    <row r="341">
      <c r="A341" s="128"/>
      <c r="B341" s="128"/>
      <c r="C341" s="128"/>
      <c r="D341" s="128"/>
      <c r="E341" s="128"/>
      <c r="F341" s="128"/>
      <c r="G341" s="212"/>
      <c r="H341" s="128"/>
      <c r="I341" s="128"/>
      <c r="J341" s="128"/>
      <c r="K341" s="128"/>
      <c r="L341" s="127" t="s">
        <v>1324</v>
      </c>
      <c r="M341" s="128"/>
      <c r="N341" s="128"/>
      <c r="O341" s="128"/>
      <c r="P341" s="128"/>
      <c r="Q341" s="128"/>
      <c r="R341" s="128"/>
      <c r="S341" s="128"/>
      <c r="T341" s="128"/>
      <c r="U341" s="129"/>
      <c r="V341" s="128"/>
      <c r="W341" s="128"/>
      <c r="X341" s="128"/>
      <c r="Y341" s="128"/>
      <c r="Z341" s="128"/>
      <c r="AA341" s="128"/>
    </row>
    <row r="342">
      <c r="A342" s="128"/>
      <c r="B342" s="128"/>
      <c r="C342" s="128"/>
      <c r="D342" s="128"/>
      <c r="E342" s="128"/>
      <c r="F342" s="128"/>
      <c r="G342" s="212"/>
      <c r="H342" s="128"/>
      <c r="I342" s="128"/>
      <c r="J342" s="128"/>
      <c r="K342" s="128"/>
      <c r="L342" s="127" t="s">
        <v>1325</v>
      </c>
      <c r="M342" s="128"/>
      <c r="N342" s="128"/>
      <c r="O342" s="128"/>
      <c r="P342" s="128"/>
      <c r="Q342" s="128"/>
      <c r="R342" s="128"/>
      <c r="S342" s="128"/>
      <c r="T342" s="128"/>
      <c r="U342" s="129"/>
      <c r="V342" s="128"/>
      <c r="W342" s="128"/>
      <c r="X342" s="128"/>
      <c r="Y342" s="128"/>
      <c r="Z342" s="128"/>
      <c r="AA342" s="128"/>
    </row>
    <row r="343">
      <c r="A343" s="128"/>
      <c r="B343" s="128"/>
      <c r="C343" s="128"/>
      <c r="D343" s="128"/>
      <c r="E343" s="128"/>
      <c r="F343" s="128"/>
      <c r="G343" s="212"/>
      <c r="H343" s="128"/>
      <c r="I343" s="128"/>
      <c r="J343" s="128"/>
      <c r="K343" s="128"/>
      <c r="L343" s="127" t="s">
        <v>1326</v>
      </c>
      <c r="M343" s="128"/>
      <c r="N343" s="128"/>
      <c r="O343" s="128"/>
      <c r="P343" s="128"/>
      <c r="Q343" s="128"/>
      <c r="R343" s="128"/>
      <c r="S343" s="128"/>
      <c r="T343" s="128"/>
      <c r="U343" s="129"/>
      <c r="V343" s="128"/>
      <c r="W343" s="128"/>
      <c r="X343" s="128"/>
      <c r="Y343" s="128"/>
      <c r="Z343" s="128"/>
      <c r="AA343" s="128"/>
    </row>
    <row r="344">
      <c r="A344" s="128"/>
      <c r="B344" s="128"/>
      <c r="C344" s="128"/>
      <c r="D344" s="128"/>
      <c r="E344" s="128"/>
      <c r="F344" s="128"/>
      <c r="G344" s="212"/>
      <c r="H344" s="128"/>
      <c r="I344" s="128"/>
      <c r="J344" s="128"/>
      <c r="K344" s="128"/>
      <c r="L344" s="127" t="s">
        <v>1327</v>
      </c>
      <c r="M344" s="128"/>
      <c r="N344" s="128"/>
      <c r="O344" s="128"/>
      <c r="P344" s="128"/>
      <c r="Q344" s="128"/>
      <c r="R344" s="128"/>
      <c r="S344" s="128"/>
      <c r="T344" s="128"/>
      <c r="U344" s="129"/>
      <c r="V344" s="128"/>
      <c r="W344" s="128"/>
      <c r="X344" s="128"/>
      <c r="Y344" s="128"/>
      <c r="Z344" s="128"/>
      <c r="AA344" s="128"/>
    </row>
    <row r="345">
      <c r="A345" s="128"/>
      <c r="B345" s="128"/>
      <c r="C345" s="128"/>
      <c r="D345" s="128"/>
      <c r="E345" s="128"/>
      <c r="F345" s="128"/>
      <c r="G345" s="212"/>
      <c r="H345" s="128"/>
      <c r="I345" s="128"/>
      <c r="J345" s="128"/>
      <c r="K345" s="128"/>
      <c r="L345" s="127" t="s">
        <v>1328</v>
      </c>
      <c r="M345" s="128"/>
      <c r="N345" s="128"/>
      <c r="O345" s="128"/>
      <c r="P345" s="128"/>
      <c r="Q345" s="128"/>
      <c r="R345" s="128"/>
      <c r="S345" s="128"/>
      <c r="T345" s="128"/>
      <c r="U345" s="129"/>
      <c r="V345" s="128"/>
      <c r="W345" s="128"/>
      <c r="X345" s="128"/>
      <c r="Y345" s="128"/>
      <c r="Z345" s="128"/>
      <c r="AA345" s="128"/>
    </row>
    <row r="346">
      <c r="A346" s="128"/>
      <c r="B346" s="128"/>
      <c r="C346" s="128"/>
      <c r="D346" s="128"/>
      <c r="E346" s="128"/>
      <c r="F346" s="128"/>
      <c r="G346" s="212"/>
      <c r="H346" s="128"/>
      <c r="I346" s="128"/>
      <c r="J346" s="128"/>
      <c r="K346" s="128"/>
      <c r="L346" s="127" t="s">
        <v>1329</v>
      </c>
      <c r="M346" s="128"/>
      <c r="N346" s="128"/>
      <c r="O346" s="128"/>
      <c r="P346" s="128"/>
      <c r="Q346" s="128"/>
      <c r="R346" s="128"/>
      <c r="S346" s="128"/>
      <c r="T346" s="128"/>
      <c r="U346" s="129"/>
      <c r="V346" s="128"/>
      <c r="W346" s="128"/>
      <c r="X346" s="128"/>
      <c r="Y346" s="128"/>
      <c r="Z346" s="128"/>
      <c r="AA346" s="128"/>
    </row>
    <row r="347">
      <c r="A347" s="128"/>
      <c r="B347" s="128"/>
      <c r="C347" s="128"/>
      <c r="D347" s="128"/>
      <c r="E347" s="128"/>
      <c r="F347" s="128"/>
      <c r="G347" s="212"/>
      <c r="H347" s="128"/>
      <c r="I347" s="128"/>
      <c r="J347" s="128"/>
      <c r="K347" s="128"/>
      <c r="L347" s="127" t="s">
        <v>1330</v>
      </c>
      <c r="M347" s="128"/>
      <c r="N347" s="128"/>
      <c r="O347" s="128"/>
      <c r="P347" s="128"/>
      <c r="Q347" s="128"/>
      <c r="R347" s="128"/>
      <c r="S347" s="128"/>
      <c r="T347" s="128"/>
      <c r="U347" s="129"/>
      <c r="V347" s="128"/>
      <c r="W347" s="128"/>
      <c r="X347" s="128"/>
      <c r="Y347" s="128"/>
      <c r="Z347" s="128"/>
      <c r="AA347" s="128"/>
    </row>
    <row r="348">
      <c r="A348" s="128"/>
      <c r="B348" s="128"/>
      <c r="C348" s="128"/>
      <c r="D348" s="128"/>
      <c r="E348" s="128"/>
      <c r="F348" s="128"/>
      <c r="G348" s="212"/>
      <c r="H348" s="128"/>
      <c r="I348" s="128"/>
      <c r="J348" s="128"/>
      <c r="K348" s="128"/>
      <c r="L348" s="127" t="s">
        <v>1331</v>
      </c>
      <c r="M348" s="128"/>
      <c r="N348" s="128"/>
      <c r="O348" s="128"/>
      <c r="P348" s="128"/>
      <c r="Q348" s="128"/>
      <c r="R348" s="128"/>
      <c r="S348" s="128"/>
      <c r="T348" s="128"/>
      <c r="U348" s="129"/>
      <c r="V348" s="128"/>
      <c r="W348" s="128"/>
      <c r="X348" s="128"/>
      <c r="Y348" s="128"/>
      <c r="Z348" s="128"/>
      <c r="AA348" s="128"/>
    </row>
    <row r="349">
      <c r="A349" s="128"/>
      <c r="B349" s="128"/>
      <c r="C349" s="128"/>
      <c r="D349" s="128"/>
      <c r="E349" s="128"/>
      <c r="F349" s="128"/>
      <c r="G349" s="212"/>
      <c r="H349" s="128"/>
      <c r="I349" s="128"/>
      <c r="J349" s="128"/>
      <c r="K349" s="128"/>
      <c r="L349" s="127" t="s">
        <v>1332</v>
      </c>
      <c r="M349" s="128"/>
      <c r="N349" s="128"/>
      <c r="O349" s="128"/>
      <c r="P349" s="128"/>
      <c r="Q349" s="128"/>
      <c r="R349" s="128"/>
      <c r="S349" s="128"/>
      <c r="T349" s="128"/>
      <c r="U349" s="129"/>
      <c r="V349" s="128"/>
      <c r="W349" s="128"/>
      <c r="X349" s="128"/>
      <c r="Y349" s="128"/>
      <c r="Z349" s="128"/>
      <c r="AA349" s="128"/>
    </row>
    <row r="350">
      <c r="A350" s="128"/>
      <c r="B350" s="128"/>
      <c r="C350" s="128"/>
      <c r="D350" s="128"/>
      <c r="E350" s="128"/>
      <c r="F350" s="128"/>
      <c r="G350" s="212"/>
      <c r="H350" s="128"/>
      <c r="I350" s="128"/>
      <c r="J350" s="128"/>
      <c r="K350" s="128"/>
      <c r="L350" s="127" t="s">
        <v>1333</v>
      </c>
      <c r="M350" s="128"/>
      <c r="N350" s="128"/>
      <c r="O350" s="128"/>
      <c r="P350" s="128"/>
      <c r="Q350" s="128"/>
      <c r="R350" s="128"/>
      <c r="S350" s="128"/>
      <c r="T350" s="128"/>
      <c r="U350" s="129"/>
      <c r="V350" s="128"/>
      <c r="W350" s="128"/>
      <c r="X350" s="128"/>
      <c r="Y350" s="128"/>
      <c r="Z350" s="128"/>
      <c r="AA350" s="128"/>
    </row>
    <row r="351">
      <c r="A351" s="128"/>
      <c r="B351" s="128"/>
      <c r="C351" s="128"/>
      <c r="D351" s="128"/>
      <c r="E351" s="128"/>
      <c r="F351" s="128"/>
      <c r="G351" s="212"/>
      <c r="H351" s="128"/>
      <c r="I351" s="128"/>
      <c r="J351" s="128"/>
      <c r="K351" s="128"/>
      <c r="L351" s="127" t="s">
        <v>1334</v>
      </c>
      <c r="M351" s="128"/>
      <c r="N351" s="128"/>
      <c r="O351" s="128"/>
      <c r="P351" s="128"/>
      <c r="Q351" s="128"/>
      <c r="R351" s="128"/>
      <c r="S351" s="128"/>
      <c r="T351" s="128"/>
      <c r="U351" s="129"/>
      <c r="V351" s="128"/>
      <c r="W351" s="128"/>
      <c r="X351" s="128"/>
      <c r="Y351" s="128"/>
      <c r="Z351" s="128"/>
      <c r="AA351" s="128"/>
    </row>
    <row r="352">
      <c r="A352" s="128"/>
      <c r="B352" s="128"/>
      <c r="C352" s="128"/>
      <c r="D352" s="128"/>
      <c r="E352" s="128"/>
      <c r="F352" s="128"/>
      <c r="G352" s="212"/>
      <c r="H352" s="128"/>
      <c r="I352" s="128"/>
      <c r="J352" s="128"/>
      <c r="K352" s="128"/>
      <c r="L352" s="127" t="s">
        <v>1335</v>
      </c>
      <c r="M352" s="128"/>
      <c r="N352" s="128"/>
      <c r="O352" s="128"/>
      <c r="P352" s="128"/>
      <c r="Q352" s="128"/>
      <c r="R352" s="128"/>
      <c r="S352" s="128"/>
      <c r="T352" s="128"/>
      <c r="U352" s="129"/>
      <c r="V352" s="128"/>
      <c r="W352" s="128"/>
      <c r="X352" s="128"/>
      <c r="Y352" s="128"/>
      <c r="Z352" s="128"/>
      <c r="AA352" s="128"/>
    </row>
    <row r="353">
      <c r="A353" s="128"/>
      <c r="B353" s="128"/>
      <c r="C353" s="128"/>
      <c r="D353" s="128"/>
      <c r="E353" s="128"/>
      <c r="F353" s="128"/>
      <c r="G353" s="212"/>
      <c r="H353" s="128"/>
      <c r="I353" s="128"/>
      <c r="J353" s="128"/>
      <c r="K353" s="128"/>
      <c r="L353" s="127" t="s">
        <v>1336</v>
      </c>
      <c r="M353" s="128"/>
      <c r="N353" s="128"/>
      <c r="O353" s="128"/>
      <c r="P353" s="128"/>
      <c r="Q353" s="128"/>
      <c r="R353" s="128"/>
      <c r="S353" s="128"/>
      <c r="T353" s="128"/>
      <c r="U353" s="129"/>
      <c r="V353" s="128"/>
      <c r="W353" s="128"/>
      <c r="X353" s="128"/>
      <c r="Y353" s="128"/>
      <c r="Z353" s="128"/>
      <c r="AA353" s="128"/>
    </row>
    <row r="354">
      <c r="A354" s="128"/>
      <c r="B354" s="128"/>
      <c r="C354" s="128"/>
      <c r="D354" s="128"/>
      <c r="E354" s="128"/>
      <c r="F354" s="128"/>
      <c r="G354" s="212"/>
      <c r="H354" s="128"/>
      <c r="I354" s="128"/>
      <c r="J354" s="128"/>
      <c r="K354" s="128"/>
      <c r="L354" s="128" t="s">
        <v>1337</v>
      </c>
      <c r="M354" s="128"/>
      <c r="N354" s="128"/>
      <c r="O354" s="128"/>
      <c r="P354" s="128"/>
      <c r="Q354" s="128"/>
      <c r="R354" s="128"/>
      <c r="S354" s="128"/>
      <c r="T354" s="128"/>
      <c r="U354" s="129"/>
      <c r="V354" s="128"/>
      <c r="W354" s="128"/>
      <c r="X354" s="128"/>
      <c r="Y354" s="128"/>
      <c r="Z354" s="128"/>
      <c r="AA354" s="128"/>
    </row>
    <row r="355">
      <c r="A355" s="128"/>
      <c r="B355" s="128"/>
      <c r="C355" s="128"/>
      <c r="D355" s="128"/>
      <c r="E355" s="128"/>
      <c r="F355" s="128"/>
      <c r="G355" s="212"/>
      <c r="H355" s="128"/>
      <c r="I355" s="128"/>
      <c r="J355" s="128"/>
      <c r="K355" s="128"/>
      <c r="L355" s="128" t="s">
        <v>1338</v>
      </c>
      <c r="M355" s="128"/>
      <c r="N355" s="128"/>
      <c r="O355" s="128"/>
      <c r="P355" s="128"/>
      <c r="Q355" s="128"/>
      <c r="R355" s="128"/>
      <c r="S355" s="128"/>
      <c r="T355" s="128"/>
      <c r="U355" s="129"/>
      <c r="V355" s="128"/>
      <c r="W355" s="128"/>
      <c r="X355" s="128"/>
      <c r="Y355" s="128"/>
      <c r="Z355" s="128"/>
      <c r="AA355" s="128"/>
    </row>
    <row r="356">
      <c r="A356" s="128"/>
      <c r="B356" s="128"/>
      <c r="C356" s="128"/>
      <c r="D356" s="128"/>
      <c r="E356" s="128"/>
      <c r="F356" s="128"/>
      <c r="G356" s="212"/>
      <c r="H356" s="128"/>
      <c r="I356" s="128"/>
      <c r="J356" s="128"/>
      <c r="K356" s="128"/>
      <c r="L356" s="128" t="s">
        <v>1339</v>
      </c>
      <c r="M356" s="128"/>
      <c r="N356" s="128"/>
      <c r="O356" s="128"/>
      <c r="P356" s="128"/>
      <c r="Q356" s="128"/>
      <c r="R356" s="128"/>
      <c r="S356" s="128"/>
      <c r="T356" s="128"/>
      <c r="U356" s="129"/>
      <c r="V356" s="128"/>
      <c r="W356" s="128"/>
      <c r="X356" s="128"/>
      <c r="Y356" s="128"/>
      <c r="Z356" s="128"/>
      <c r="AA356" s="128"/>
    </row>
    <row r="357">
      <c r="A357" s="128"/>
      <c r="B357" s="128"/>
      <c r="C357" s="128"/>
      <c r="D357" s="128"/>
      <c r="E357" s="128"/>
      <c r="F357" s="128"/>
      <c r="G357" s="212"/>
      <c r="H357" s="128"/>
      <c r="I357" s="128"/>
      <c r="J357" s="128"/>
      <c r="K357" s="128"/>
      <c r="L357" s="128" t="s">
        <v>1340</v>
      </c>
      <c r="M357" s="128"/>
      <c r="N357" s="128"/>
      <c r="O357" s="128"/>
      <c r="P357" s="128"/>
      <c r="Q357" s="128"/>
      <c r="R357" s="128"/>
      <c r="S357" s="128"/>
      <c r="T357" s="128"/>
      <c r="U357" s="129"/>
      <c r="V357" s="128"/>
      <c r="W357" s="128"/>
      <c r="X357" s="128"/>
      <c r="Y357" s="128"/>
      <c r="Z357" s="128"/>
      <c r="AA357" s="128"/>
    </row>
    <row r="358">
      <c r="A358" s="128"/>
      <c r="B358" s="128"/>
      <c r="C358" s="128"/>
      <c r="D358" s="128"/>
      <c r="E358" s="128"/>
      <c r="F358" s="128"/>
      <c r="G358" s="212"/>
      <c r="H358" s="128"/>
      <c r="I358" s="128"/>
      <c r="J358" s="128"/>
      <c r="K358" s="128"/>
      <c r="L358" s="222" t="s">
        <v>1341</v>
      </c>
      <c r="M358" s="128"/>
      <c r="N358" s="128"/>
      <c r="O358" s="128"/>
      <c r="P358" s="128"/>
      <c r="Q358" s="128"/>
      <c r="R358" s="128"/>
      <c r="S358" s="128"/>
      <c r="T358" s="128"/>
      <c r="U358" s="129"/>
      <c r="V358" s="128"/>
      <c r="W358" s="128"/>
      <c r="X358" s="128"/>
      <c r="Y358" s="128"/>
      <c r="Z358" s="128"/>
      <c r="AA358" s="128"/>
    </row>
    <row r="359">
      <c r="A359" s="128"/>
      <c r="B359" s="128"/>
      <c r="C359" s="128"/>
      <c r="D359" s="128"/>
      <c r="E359" s="128"/>
      <c r="F359" s="128"/>
      <c r="G359" s="212"/>
      <c r="H359" s="128"/>
      <c r="I359" s="128"/>
      <c r="J359" s="128"/>
      <c r="K359" s="128"/>
      <c r="L359" s="128" t="s">
        <v>1342</v>
      </c>
      <c r="M359" s="128"/>
      <c r="N359" s="128"/>
      <c r="O359" s="128"/>
      <c r="P359" s="128"/>
      <c r="Q359" s="128"/>
      <c r="R359" s="128"/>
      <c r="S359" s="128"/>
      <c r="T359" s="128"/>
      <c r="U359" s="129"/>
      <c r="V359" s="128"/>
      <c r="W359" s="128"/>
      <c r="X359" s="128"/>
      <c r="Y359" s="128"/>
      <c r="Z359" s="128"/>
      <c r="AA359" s="128"/>
    </row>
    <row r="360">
      <c r="A360" s="128"/>
      <c r="B360" s="128"/>
      <c r="C360" s="128"/>
      <c r="D360" s="128"/>
      <c r="E360" s="128"/>
      <c r="F360" s="128"/>
      <c r="G360" s="212"/>
      <c r="H360" s="128"/>
      <c r="I360" s="128"/>
      <c r="J360" s="128"/>
      <c r="K360" s="128"/>
      <c r="L360" s="127" t="s">
        <v>1343</v>
      </c>
      <c r="M360" s="128"/>
      <c r="N360" s="128"/>
      <c r="O360" s="128"/>
      <c r="P360" s="128"/>
      <c r="Q360" s="128"/>
      <c r="R360" s="128"/>
      <c r="S360" s="128"/>
      <c r="T360" s="128"/>
      <c r="U360" s="129"/>
      <c r="V360" s="128"/>
      <c r="W360" s="128"/>
      <c r="X360" s="128"/>
      <c r="Y360" s="128"/>
      <c r="Z360" s="128"/>
      <c r="AA360" s="128"/>
    </row>
    <row r="361">
      <c r="A361" s="128"/>
      <c r="B361" s="128"/>
      <c r="C361" s="128"/>
      <c r="D361" s="128"/>
      <c r="E361" s="128"/>
      <c r="F361" s="128"/>
      <c r="G361" s="212"/>
      <c r="H361" s="128"/>
      <c r="I361" s="128"/>
      <c r="J361" s="128"/>
      <c r="K361" s="128"/>
      <c r="L361" s="127" t="s">
        <v>1344</v>
      </c>
      <c r="M361" s="128"/>
      <c r="N361" s="128"/>
      <c r="O361" s="128"/>
      <c r="P361" s="128"/>
      <c r="Q361" s="128"/>
      <c r="R361" s="128"/>
      <c r="S361" s="128"/>
      <c r="T361" s="128"/>
      <c r="U361" s="129"/>
      <c r="V361" s="128"/>
      <c r="W361" s="128"/>
      <c r="X361" s="128"/>
      <c r="Y361" s="128"/>
      <c r="Z361" s="128"/>
      <c r="AA361" s="128"/>
    </row>
    <row r="362">
      <c r="A362" s="128"/>
      <c r="B362" s="128"/>
      <c r="C362" s="128"/>
      <c r="D362" s="128"/>
      <c r="E362" s="128"/>
      <c r="F362" s="128"/>
      <c r="G362" s="212"/>
      <c r="H362" s="128"/>
      <c r="I362" s="128"/>
      <c r="J362" s="128"/>
      <c r="K362" s="128"/>
      <c r="L362" s="223" t="s">
        <v>1345</v>
      </c>
      <c r="M362" s="128"/>
      <c r="N362" s="128"/>
      <c r="O362" s="128"/>
      <c r="P362" s="128"/>
      <c r="Q362" s="128"/>
      <c r="R362" s="128"/>
      <c r="S362" s="128"/>
      <c r="T362" s="128"/>
      <c r="U362" s="129"/>
      <c r="V362" s="128"/>
      <c r="W362" s="128"/>
      <c r="X362" s="128"/>
      <c r="Y362" s="128"/>
      <c r="Z362" s="128"/>
      <c r="AA362" s="128"/>
    </row>
    <row r="363">
      <c r="A363" s="128"/>
      <c r="B363" s="128"/>
      <c r="C363" s="128"/>
      <c r="D363" s="128"/>
      <c r="E363" s="128"/>
      <c r="F363" s="128"/>
      <c r="G363" s="212"/>
      <c r="H363" s="128"/>
      <c r="I363" s="128"/>
      <c r="J363" s="128"/>
      <c r="K363" s="128"/>
      <c r="L363" s="223" t="s">
        <v>1346</v>
      </c>
      <c r="M363" s="128"/>
      <c r="N363" s="128"/>
      <c r="O363" s="128"/>
      <c r="P363" s="128"/>
      <c r="Q363" s="128"/>
      <c r="R363" s="128"/>
      <c r="S363" s="128"/>
      <c r="T363" s="128"/>
      <c r="U363" s="129"/>
      <c r="V363" s="128"/>
      <c r="W363" s="128"/>
      <c r="X363" s="128"/>
      <c r="Y363" s="128"/>
      <c r="Z363" s="128"/>
      <c r="AA363" s="128"/>
    </row>
    <row r="364">
      <c r="A364" s="128"/>
      <c r="B364" s="128"/>
      <c r="C364" s="128"/>
      <c r="D364" s="128"/>
      <c r="E364" s="128"/>
      <c r="F364" s="128"/>
      <c r="G364" s="212"/>
      <c r="H364" s="128"/>
      <c r="I364" s="128"/>
      <c r="J364" s="128"/>
      <c r="K364" s="128"/>
      <c r="M364" s="128"/>
      <c r="N364" s="128"/>
      <c r="O364" s="128"/>
      <c r="P364" s="128"/>
      <c r="Q364" s="128"/>
      <c r="R364" s="128"/>
      <c r="S364" s="128"/>
      <c r="T364" s="128"/>
      <c r="U364" s="129"/>
      <c r="V364" s="128"/>
      <c r="W364" s="128"/>
      <c r="X364" s="128"/>
      <c r="Y364" s="128"/>
      <c r="Z364" s="128"/>
      <c r="AA364" s="128"/>
    </row>
    <row r="365">
      <c r="A365" s="128"/>
      <c r="B365" s="128"/>
      <c r="C365" s="128"/>
      <c r="D365" s="128"/>
      <c r="E365" s="128"/>
      <c r="F365" s="128"/>
      <c r="G365" s="212"/>
      <c r="H365" s="128"/>
      <c r="I365" s="128"/>
      <c r="J365" s="128"/>
      <c r="K365" s="128"/>
      <c r="M365" s="128"/>
      <c r="N365" s="128"/>
      <c r="O365" s="128"/>
      <c r="P365" s="128"/>
      <c r="Q365" s="128"/>
      <c r="R365" s="128"/>
      <c r="S365" s="128"/>
      <c r="T365" s="128"/>
      <c r="U365" s="129"/>
      <c r="V365" s="128"/>
      <c r="W365" s="128"/>
      <c r="X365" s="128"/>
      <c r="Y365" s="128"/>
      <c r="Z365" s="128"/>
      <c r="AA365" s="128"/>
    </row>
    <row r="366">
      <c r="A366" s="128"/>
      <c r="B366" s="128"/>
      <c r="C366" s="128"/>
      <c r="D366" s="128"/>
      <c r="E366" s="128"/>
      <c r="F366" s="128"/>
      <c r="G366" s="212"/>
      <c r="H366" s="128"/>
      <c r="I366" s="128"/>
      <c r="J366" s="128"/>
      <c r="K366" s="128"/>
      <c r="L366" s="128"/>
      <c r="M366" s="128"/>
      <c r="N366" s="128"/>
      <c r="O366" s="128"/>
      <c r="P366" s="128"/>
      <c r="Q366" s="128"/>
      <c r="R366" s="128"/>
      <c r="S366" s="128"/>
      <c r="T366" s="128"/>
      <c r="U366" s="129"/>
      <c r="V366" s="128"/>
      <c r="W366" s="128"/>
      <c r="X366" s="128"/>
      <c r="Y366" s="128"/>
      <c r="Z366" s="128"/>
      <c r="AA366" s="128"/>
    </row>
    <row r="367">
      <c r="A367" s="128"/>
      <c r="B367" s="128"/>
      <c r="C367" s="128"/>
      <c r="D367" s="128"/>
      <c r="E367" s="128"/>
      <c r="F367" s="128"/>
      <c r="G367" s="212"/>
      <c r="H367" s="128"/>
      <c r="I367" s="128"/>
      <c r="J367" s="128"/>
      <c r="K367" s="128"/>
      <c r="L367" s="128"/>
      <c r="M367" s="128"/>
      <c r="N367" s="128"/>
      <c r="O367" s="128"/>
      <c r="P367" s="128"/>
      <c r="Q367" s="128"/>
      <c r="R367" s="128"/>
      <c r="S367" s="128"/>
      <c r="T367" s="128"/>
      <c r="U367" s="129"/>
      <c r="V367" s="128"/>
      <c r="W367" s="128"/>
      <c r="X367" s="128"/>
      <c r="Y367" s="128"/>
      <c r="Z367" s="128"/>
      <c r="AA367" s="128"/>
    </row>
    <row r="368">
      <c r="A368" s="128"/>
      <c r="B368" s="128"/>
      <c r="C368" s="128"/>
      <c r="D368" s="128"/>
      <c r="E368" s="128"/>
      <c r="F368" s="128"/>
      <c r="G368" s="212"/>
      <c r="H368" s="128"/>
      <c r="I368" s="128"/>
      <c r="J368" s="128"/>
      <c r="K368" s="128"/>
      <c r="L368" s="128"/>
      <c r="M368" s="128"/>
      <c r="N368" s="128"/>
      <c r="O368" s="128"/>
      <c r="P368" s="128"/>
      <c r="Q368" s="128"/>
      <c r="R368" s="128"/>
      <c r="S368" s="128"/>
      <c r="T368" s="128"/>
      <c r="U368" s="129"/>
      <c r="V368" s="128"/>
      <c r="W368" s="128"/>
      <c r="X368" s="128"/>
      <c r="Y368" s="128"/>
      <c r="Z368" s="128"/>
      <c r="AA368" s="128"/>
    </row>
    <row r="369">
      <c r="A369" s="128"/>
      <c r="B369" s="128"/>
      <c r="C369" s="128"/>
      <c r="D369" s="128"/>
      <c r="E369" s="128"/>
      <c r="F369" s="128"/>
      <c r="G369" s="212"/>
      <c r="H369" s="128"/>
      <c r="I369" s="128"/>
      <c r="J369" s="128"/>
      <c r="K369" s="128"/>
      <c r="L369" s="128"/>
      <c r="M369" s="128"/>
      <c r="N369" s="128"/>
      <c r="O369" s="128"/>
      <c r="P369" s="128"/>
      <c r="Q369" s="128"/>
      <c r="R369" s="128"/>
      <c r="S369" s="128"/>
      <c r="T369" s="128"/>
      <c r="U369" s="129"/>
      <c r="V369" s="128"/>
      <c r="W369" s="128"/>
      <c r="X369" s="128"/>
      <c r="Y369" s="128"/>
      <c r="Z369" s="128"/>
      <c r="AA369" s="128"/>
    </row>
    <row r="370">
      <c r="A370" s="128"/>
      <c r="B370" s="128"/>
      <c r="C370" s="128"/>
      <c r="D370" s="128"/>
      <c r="E370" s="128"/>
      <c r="F370" s="128"/>
      <c r="G370" s="212"/>
      <c r="H370" s="128"/>
      <c r="I370" s="128"/>
      <c r="J370" s="128"/>
      <c r="K370" s="128"/>
      <c r="L370" s="128"/>
      <c r="M370" s="128"/>
      <c r="N370" s="128"/>
      <c r="O370" s="128"/>
      <c r="P370" s="128"/>
      <c r="Q370" s="128"/>
      <c r="R370" s="128"/>
      <c r="S370" s="128"/>
      <c r="T370" s="128"/>
      <c r="U370" s="129"/>
      <c r="V370" s="128"/>
      <c r="W370" s="128"/>
      <c r="X370" s="128"/>
      <c r="Y370" s="128"/>
      <c r="Z370" s="128"/>
      <c r="AA370" s="128"/>
    </row>
    <row r="371">
      <c r="A371" s="128"/>
      <c r="B371" s="128"/>
      <c r="C371" s="128"/>
      <c r="D371" s="128"/>
      <c r="E371" s="128"/>
      <c r="F371" s="128"/>
      <c r="G371" s="212"/>
      <c r="H371" s="128"/>
      <c r="I371" s="128"/>
      <c r="J371" s="128"/>
      <c r="K371" s="128"/>
      <c r="L371" s="128"/>
      <c r="M371" s="128"/>
      <c r="N371" s="128"/>
      <c r="O371" s="128"/>
      <c r="P371" s="128"/>
      <c r="Q371" s="128"/>
      <c r="R371" s="128"/>
      <c r="S371" s="128"/>
      <c r="T371" s="128"/>
      <c r="U371" s="129"/>
      <c r="V371" s="128"/>
      <c r="W371" s="128"/>
      <c r="X371" s="128"/>
      <c r="Y371" s="128"/>
      <c r="Z371" s="128"/>
      <c r="AA371" s="128"/>
    </row>
    <row r="372">
      <c r="A372" s="128"/>
      <c r="B372" s="128"/>
      <c r="C372" s="128"/>
      <c r="D372" s="128"/>
      <c r="E372" s="128"/>
      <c r="F372" s="128"/>
      <c r="G372" s="212"/>
      <c r="H372" s="128"/>
      <c r="I372" s="128"/>
      <c r="J372" s="128"/>
      <c r="K372" s="128"/>
      <c r="L372" s="128"/>
      <c r="M372" s="128"/>
      <c r="N372" s="128"/>
      <c r="O372" s="128"/>
      <c r="P372" s="128"/>
      <c r="Q372" s="128"/>
      <c r="R372" s="128"/>
      <c r="S372" s="128"/>
      <c r="T372" s="128"/>
      <c r="U372" s="129"/>
      <c r="V372" s="128"/>
      <c r="W372" s="128"/>
      <c r="X372" s="128"/>
      <c r="Y372" s="128"/>
      <c r="Z372" s="128"/>
      <c r="AA372" s="128"/>
    </row>
    <row r="373">
      <c r="A373" s="128"/>
      <c r="B373" s="128"/>
      <c r="C373" s="128"/>
      <c r="D373" s="128"/>
      <c r="E373" s="128"/>
      <c r="F373" s="128"/>
      <c r="G373" s="212"/>
      <c r="H373" s="128"/>
      <c r="I373" s="128"/>
      <c r="J373" s="128"/>
      <c r="K373" s="128"/>
      <c r="L373" s="128"/>
      <c r="M373" s="128"/>
      <c r="N373" s="128"/>
      <c r="O373" s="128"/>
      <c r="P373" s="128"/>
      <c r="Q373" s="128"/>
      <c r="R373" s="128"/>
      <c r="S373" s="128"/>
      <c r="T373" s="128"/>
      <c r="U373" s="129"/>
      <c r="V373" s="128"/>
      <c r="W373" s="128"/>
      <c r="X373" s="128"/>
      <c r="Y373" s="128"/>
      <c r="Z373" s="128"/>
      <c r="AA373" s="128"/>
    </row>
    <row r="374">
      <c r="A374" s="128"/>
      <c r="B374" s="128"/>
      <c r="C374" s="128"/>
      <c r="D374" s="128"/>
      <c r="E374" s="128"/>
      <c r="F374" s="128"/>
      <c r="G374" s="212"/>
      <c r="H374" s="128"/>
      <c r="I374" s="128"/>
      <c r="J374" s="128"/>
      <c r="K374" s="128"/>
      <c r="L374" s="128"/>
      <c r="M374" s="128"/>
      <c r="N374" s="128"/>
      <c r="O374" s="128"/>
      <c r="P374" s="128"/>
      <c r="Q374" s="128"/>
      <c r="R374" s="128"/>
      <c r="S374" s="128"/>
      <c r="T374" s="128"/>
      <c r="U374" s="129"/>
      <c r="V374" s="128"/>
      <c r="W374" s="128"/>
      <c r="X374" s="128"/>
      <c r="Y374" s="128"/>
      <c r="Z374" s="128"/>
      <c r="AA374" s="128"/>
    </row>
    <row r="375">
      <c r="A375" s="128"/>
      <c r="B375" s="128"/>
      <c r="C375" s="128"/>
      <c r="D375" s="128"/>
      <c r="E375" s="128"/>
      <c r="F375" s="128"/>
      <c r="G375" s="212"/>
      <c r="H375" s="128"/>
      <c r="I375" s="128"/>
      <c r="J375" s="128"/>
      <c r="K375" s="128"/>
      <c r="L375" s="128"/>
      <c r="M375" s="128"/>
      <c r="N375" s="128"/>
      <c r="O375" s="128"/>
      <c r="P375" s="128"/>
      <c r="Q375" s="128"/>
      <c r="R375" s="128"/>
      <c r="S375" s="128"/>
      <c r="T375" s="128"/>
      <c r="U375" s="129"/>
      <c r="V375" s="128"/>
      <c r="W375" s="128"/>
      <c r="X375" s="128"/>
      <c r="Y375" s="128"/>
      <c r="Z375" s="128"/>
      <c r="AA375" s="128"/>
    </row>
    <row r="376">
      <c r="A376" s="128"/>
      <c r="B376" s="128"/>
      <c r="C376" s="128"/>
      <c r="D376" s="128"/>
      <c r="E376" s="128"/>
      <c r="F376" s="128"/>
      <c r="G376" s="212"/>
      <c r="H376" s="128"/>
      <c r="I376" s="128"/>
      <c r="J376" s="128"/>
      <c r="K376" s="128"/>
      <c r="L376" s="128"/>
      <c r="M376" s="128"/>
      <c r="N376" s="128"/>
      <c r="O376" s="128"/>
      <c r="P376" s="128"/>
      <c r="Q376" s="128"/>
      <c r="R376" s="128"/>
      <c r="S376" s="128"/>
      <c r="T376" s="128"/>
      <c r="U376" s="129"/>
      <c r="V376" s="128"/>
      <c r="W376" s="128"/>
      <c r="X376" s="128"/>
      <c r="Y376" s="128"/>
      <c r="Z376" s="128"/>
      <c r="AA376" s="128"/>
    </row>
    <row r="377">
      <c r="A377" s="128"/>
      <c r="B377" s="128"/>
      <c r="C377" s="128"/>
      <c r="D377" s="128"/>
      <c r="E377" s="128"/>
      <c r="F377" s="128"/>
      <c r="G377" s="212"/>
      <c r="H377" s="128"/>
      <c r="I377" s="128"/>
      <c r="J377" s="128"/>
      <c r="K377" s="128"/>
      <c r="L377" s="128"/>
      <c r="M377" s="128"/>
      <c r="N377" s="128"/>
      <c r="O377" s="128"/>
      <c r="P377" s="128"/>
      <c r="Q377" s="128"/>
      <c r="R377" s="128"/>
      <c r="S377" s="128"/>
      <c r="T377" s="128"/>
      <c r="U377" s="129"/>
      <c r="V377" s="128"/>
      <c r="W377" s="128"/>
      <c r="X377" s="128"/>
      <c r="Y377" s="128"/>
      <c r="Z377" s="128"/>
      <c r="AA377" s="128"/>
    </row>
    <row r="378">
      <c r="A378" s="128"/>
      <c r="B378" s="128"/>
      <c r="C378" s="128"/>
      <c r="D378" s="128"/>
      <c r="E378" s="128"/>
      <c r="F378" s="128"/>
      <c r="G378" s="212"/>
      <c r="H378" s="128"/>
      <c r="I378" s="128"/>
      <c r="J378" s="128"/>
      <c r="K378" s="128"/>
      <c r="L378" s="128"/>
      <c r="M378" s="128"/>
      <c r="N378" s="128"/>
      <c r="O378" s="128"/>
      <c r="P378" s="128"/>
      <c r="Q378" s="128"/>
      <c r="R378" s="128"/>
      <c r="S378" s="128"/>
      <c r="T378" s="128"/>
      <c r="U378" s="129"/>
      <c r="V378" s="128"/>
      <c r="W378" s="128"/>
      <c r="X378" s="128"/>
      <c r="Y378" s="128"/>
      <c r="Z378" s="128"/>
      <c r="AA378" s="128"/>
    </row>
    <row r="379">
      <c r="A379" s="128"/>
      <c r="B379" s="128"/>
      <c r="C379" s="128"/>
      <c r="D379" s="128"/>
      <c r="E379" s="128"/>
      <c r="F379" s="128"/>
      <c r="G379" s="212"/>
      <c r="H379" s="128"/>
      <c r="I379" s="128"/>
      <c r="J379" s="128"/>
      <c r="K379" s="128"/>
      <c r="L379" s="128"/>
      <c r="M379" s="128"/>
      <c r="N379" s="128"/>
      <c r="O379" s="128"/>
      <c r="P379" s="128"/>
      <c r="Q379" s="128"/>
      <c r="R379" s="128"/>
      <c r="S379" s="128"/>
      <c r="T379" s="128"/>
      <c r="U379" s="129"/>
      <c r="V379" s="128"/>
      <c r="W379" s="128"/>
      <c r="X379" s="128"/>
      <c r="Y379" s="128"/>
      <c r="Z379" s="128"/>
      <c r="AA379" s="128"/>
    </row>
    <row r="380">
      <c r="A380" s="128"/>
      <c r="B380" s="128"/>
      <c r="C380" s="128"/>
      <c r="D380" s="128"/>
      <c r="E380" s="128"/>
      <c r="F380" s="128"/>
      <c r="G380" s="212"/>
      <c r="H380" s="128"/>
      <c r="I380" s="128"/>
      <c r="J380" s="128"/>
      <c r="K380" s="128"/>
      <c r="L380" s="128"/>
      <c r="M380" s="128"/>
      <c r="N380" s="128"/>
      <c r="O380" s="128"/>
      <c r="P380" s="128"/>
      <c r="Q380" s="128"/>
      <c r="R380" s="128"/>
      <c r="S380" s="128"/>
      <c r="T380" s="128"/>
      <c r="U380" s="129"/>
      <c r="V380" s="128"/>
      <c r="W380" s="128"/>
      <c r="X380" s="128"/>
      <c r="Y380" s="128"/>
      <c r="Z380" s="128"/>
      <c r="AA380" s="128"/>
    </row>
    <row r="381">
      <c r="A381" s="128"/>
      <c r="B381" s="128"/>
      <c r="C381" s="128"/>
      <c r="D381" s="128"/>
      <c r="E381" s="128"/>
      <c r="F381" s="128"/>
      <c r="G381" s="212"/>
      <c r="H381" s="128"/>
      <c r="I381" s="128"/>
      <c r="J381" s="128"/>
      <c r="K381" s="128"/>
      <c r="L381" s="128"/>
      <c r="M381" s="128"/>
      <c r="N381" s="128"/>
      <c r="O381" s="128"/>
      <c r="P381" s="128"/>
      <c r="Q381" s="128"/>
      <c r="R381" s="128"/>
      <c r="S381" s="128"/>
      <c r="T381" s="128"/>
      <c r="U381" s="129"/>
      <c r="V381" s="128"/>
      <c r="W381" s="128"/>
      <c r="X381" s="128"/>
      <c r="Y381" s="128"/>
      <c r="Z381" s="128"/>
      <c r="AA381" s="128"/>
    </row>
    <row r="382">
      <c r="A382" s="128"/>
      <c r="B382" s="128"/>
      <c r="C382" s="128"/>
      <c r="D382" s="128"/>
      <c r="E382" s="128"/>
      <c r="F382" s="128"/>
      <c r="G382" s="212"/>
      <c r="H382" s="128"/>
      <c r="I382" s="128"/>
      <c r="J382" s="128"/>
      <c r="K382" s="128"/>
      <c r="L382" s="128"/>
      <c r="M382" s="128"/>
      <c r="N382" s="128"/>
      <c r="O382" s="128"/>
      <c r="P382" s="128"/>
      <c r="Q382" s="128"/>
      <c r="R382" s="128"/>
      <c r="S382" s="128"/>
      <c r="T382" s="128"/>
      <c r="U382" s="129"/>
      <c r="V382" s="128"/>
      <c r="W382" s="128"/>
      <c r="X382" s="128"/>
      <c r="Y382" s="128"/>
      <c r="Z382" s="128"/>
      <c r="AA382" s="128"/>
    </row>
    <row r="383">
      <c r="A383" s="128"/>
      <c r="B383" s="128"/>
      <c r="C383" s="128"/>
      <c r="D383" s="128"/>
      <c r="E383" s="128"/>
      <c r="F383" s="128"/>
      <c r="G383" s="212"/>
      <c r="H383" s="128"/>
      <c r="I383" s="128"/>
      <c r="J383" s="128"/>
      <c r="K383" s="128"/>
      <c r="L383" s="128"/>
      <c r="M383" s="128"/>
      <c r="N383" s="128"/>
      <c r="O383" s="128"/>
      <c r="P383" s="128"/>
      <c r="Q383" s="128"/>
      <c r="R383" s="128"/>
      <c r="S383" s="128"/>
      <c r="T383" s="128"/>
      <c r="U383" s="129"/>
      <c r="V383" s="128"/>
      <c r="W383" s="128"/>
      <c r="X383" s="128"/>
      <c r="Y383" s="128"/>
      <c r="Z383" s="128"/>
      <c r="AA383" s="128"/>
    </row>
    <row r="384">
      <c r="A384" s="128"/>
      <c r="B384" s="128"/>
      <c r="C384" s="128"/>
      <c r="D384" s="128"/>
      <c r="E384" s="128"/>
      <c r="F384" s="128"/>
      <c r="G384" s="212"/>
      <c r="H384" s="128"/>
      <c r="I384" s="128"/>
      <c r="J384" s="128"/>
      <c r="K384" s="128"/>
      <c r="L384" s="128"/>
      <c r="M384" s="128"/>
      <c r="N384" s="128"/>
      <c r="O384" s="128"/>
      <c r="P384" s="128"/>
      <c r="Q384" s="128"/>
      <c r="R384" s="128"/>
      <c r="S384" s="128"/>
      <c r="T384" s="128"/>
      <c r="U384" s="129"/>
      <c r="V384" s="128"/>
      <c r="W384" s="128"/>
      <c r="X384" s="128"/>
      <c r="Y384" s="128"/>
      <c r="Z384" s="128"/>
      <c r="AA384" s="128"/>
    </row>
    <row r="385">
      <c r="A385" s="128"/>
      <c r="B385" s="128"/>
      <c r="C385" s="128"/>
      <c r="D385" s="128"/>
      <c r="E385" s="128"/>
      <c r="F385" s="128"/>
      <c r="G385" s="212"/>
      <c r="H385" s="128"/>
      <c r="I385" s="128"/>
      <c r="J385" s="128"/>
      <c r="K385" s="128"/>
      <c r="L385" s="128"/>
      <c r="M385" s="128"/>
      <c r="N385" s="128"/>
      <c r="O385" s="128"/>
      <c r="P385" s="128"/>
      <c r="Q385" s="128"/>
      <c r="R385" s="128"/>
      <c r="S385" s="128"/>
      <c r="T385" s="128"/>
      <c r="U385" s="129"/>
      <c r="V385" s="128"/>
      <c r="W385" s="128"/>
      <c r="X385" s="128"/>
      <c r="Y385" s="128"/>
      <c r="Z385" s="128"/>
      <c r="AA385" s="128"/>
    </row>
    <row r="386">
      <c r="A386" s="128"/>
      <c r="B386" s="128"/>
      <c r="C386" s="128"/>
      <c r="D386" s="128"/>
      <c r="E386" s="128"/>
      <c r="F386" s="128"/>
      <c r="G386" s="212"/>
      <c r="H386" s="128"/>
      <c r="I386" s="128"/>
      <c r="J386" s="128"/>
      <c r="K386" s="128"/>
      <c r="L386" s="128"/>
      <c r="M386" s="128"/>
      <c r="N386" s="128"/>
      <c r="O386" s="128"/>
      <c r="P386" s="128"/>
      <c r="Q386" s="128"/>
      <c r="R386" s="128"/>
      <c r="S386" s="128"/>
      <c r="T386" s="128"/>
      <c r="U386" s="129"/>
      <c r="V386" s="128"/>
      <c r="W386" s="128"/>
      <c r="X386" s="128"/>
      <c r="Y386" s="128"/>
      <c r="Z386" s="128"/>
      <c r="AA386" s="128"/>
    </row>
    <row r="387">
      <c r="A387" s="128"/>
      <c r="B387" s="128"/>
      <c r="C387" s="128"/>
      <c r="D387" s="128"/>
      <c r="E387" s="128"/>
      <c r="F387" s="128"/>
      <c r="G387" s="212"/>
      <c r="H387" s="128"/>
      <c r="I387" s="128"/>
      <c r="J387" s="128"/>
      <c r="K387" s="128"/>
      <c r="L387" s="128"/>
      <c r="M387" s="128"/>
      <c r="N387" s="128"/>
      <c r="O387" s="128"/>
      <c r="P387" s="128"/>
      <c r="Q387" s="128"/>
      <c r="R387" s="128"/>
      <c r="S387" s="128"/>
      <c r="T387" s="128"/>
      <c r="U387" s="129"/>
      <c r="V387" s="128"/>
      <c r="W387" s="128"/>
      <c r="X387" s="128"/>
      <c r="Y387" s="128"/>
      <c r="Z387" s="128"/>
      <c r="AA387" s="128"/>
    </row>
    <row r="388">
      <c r="A388" s="128"/>
      <c r="B388" s="128"/>
      <c r="C388" s="128"/>
      <c r="D388" s="128"/>
      <c r="E388" s="128"/>
      <c r="F388" s="128"/>
      <c r="G388" s="212"/>
      <c r="H388" s="128"/>
      <c r="I388" s="128"/>
      <c r="J388" s="128"/>
      <c r="K388" s="128"/>
      <c r="L388" s="128"/>
      <c r="M388" s="128"/>
      <c r="N388" s="128"/>
      <c r="O388" s="128"/>
      <c r="P388" s="128"/>
      <c r="Q388" s="128"/>
      <c r="R388" s="128"/>
      <c r="S388" s="128"/>
      <c r="T388" s="128"/>
      <c r="U388" s="129"/>
      <c r="V388" s="128"/>
      <c r="W388" s="128"/>
      <c r="X388" s="128"/>
      <c r="Y388" s="128"/>
      <c r="Z388" s="128"/>
      <c r="AA388" s="128"/>
    </row>
    <row r="389">
      <c r="A389" s="128"/>
      <c r="B389" s="128"/>
      <c r="C389" s="128"/>
      <c r="D389" s="128"/>
      <c r="E389" s="128"/>
      <c r="F389" s="128"/>
      <c r="G389" s="212"/>
      <c r="H389" s="128"/>
      <c r="I389" s="128"/>
      <c r="J389" s="128"/>
      <c r="K389" s="128"/>
      <c r="L389" s="128"/>
      <c r="M389" s="128"/>
      <c r="N389" s="128"/>
      <c r="O389" s="128"/>
      <c r="P389" s="128"/>
      <c r="Q389" s="128"/>
      <c r="R389" s="128"/>
      <c r="S389" s="128"/>
      <c r="T389" s="128"/>
      <c r="U389" s="129"/>
      <c r="V389" s="128"/>
      <c r="W389" s="128"/>
      <c r="X389" s="128"/>
      <c r="Y389" s="128"/>
      <c r="Z389" s="128"/>
      <c r="AA389" s="128"/>
    </row>
    <row r="390">
      <c r="A390" s="128"/>
      <c r="B390" s="128"/>
      <c r="C390" s="128"/>
      <c r="D390" s="128"/>
      <c r="E390" s="128"/>
      <c r="F390" s="128"/>
      <c r="G390" s="212"/>
      <c r="H390" s="128"/>
      <c r="I390" s="128"/>
      <c r="J390" s="128"/>
      <c r="K390" s="128"/>
      <c r="L390" s="128"/>
      <c r="M390" s="128"/>
      <c r="N390" s="128"/>
      <c r="O390" s="128"/>
      <c r="P390" s="128"/>
      <c r="Q390" s="128"/>
      <c r="R390" s="128"/>
      <c r="S390" s="128"/>
      <c r="T390" s="128"/>
      <c r="U390" s="129"/>
      <c r="V390" s="128"/>
      <c r="W390" s="128"/>
      <c r="X390" s="128"/>
      <c r="Y390" s="128"/>
      <c r="Z390" s="128"/>
      <c r="AA390" s="128"/>
    </row>
    <row r="391">
      <c r="A391" s="128"/>
      <c r="B391" s="128"/>
      <c r="C391" s="128"/>
      <c r="D391" s="128"/>
      <c r="E391" s="128"/>
      <c r="F391" s="128"/>
      <c r="G391" s="212"/>
      <c r="H391" s="128"/>
      <c r="I391" s="128"/>
      <c r="J391" s="128"/>
      <c r="K391" s="128"/>
      <c r="L391" s="128"/>
      <c r="M391" s="128"/>
      <c r="N391" s="128"/>
      <c r="O391" s="128"/>
      <c r="P391" s="128"/>
      <c r="Q391" s="128"/>
      <c r="R391" s="128"/>
      <c r="S391" s="128"/>
      <c r="T391" s="128"/>
      <c r="U391" s="129"/>
      <c r="V391" s="128"/>
      <c r="W391" s="128"/>
      <c r="X391" s="128"/>
      <c r="Y391" s="128"/>
      <c r="Z391" s="128"/>
      <c r="AA391" s="128"/>
    </row>
    <row r="392">
      <c r="A392" s="128"/>
      <c r="B392" s="128"/>
      <c r="C392" s="128"/>
      <c r="D392" s="128"/>
      <c r="E392" s="128"/>
      <c r="F392" s="128"/>
      <c r="G392" s="212"/>
      <c r="H392" s="128"/>
      <c r="I392" s="128"/>
      <c r="J392" s="128"/>
      <c r="K392" s="128"/>
      <c r="L392" s="128"/>
      <c r="M392" s="128"/>
      <c r="N392" s="128"/>
      <c r="O392" s="128"/>
      <c r="P392" s="128"/>
      <c r="Q392" s="128"/>
      <c r="R392" s="128"/>
      <c r="S392" s="128"/>
      <c r="T392" s="128"/>
      <c r="U392" s="129"/>
      <c r="V392" s="128"/>
      <c r="W392" s="128"/>
      <c r="X392" s="128"/>
      <c r="Y392" s="128"/>
      <c r="Z392" s="128"/>
      <c r="AA392" s="128"/>
    </row>
    <row r="393">
      <c r="A393" s="128"/>
      <c r="B393" s="128"/>
      <c r="C393" s="128"/>
      <c r="D393" s="128"/>
      <c r="E393" s="128"/>
      <c r="F393" s="128"/>
      <c r="G393" s="212"/>
      <c r="H393" s="128"/>
      <c r="I393" s="128"/>
      <c r="J393" s="128"/>
      <c r="K393" s="128"/>
      <c r="L393" s="128"/>
      <c r="M393" s="128"/>
      <c r="N393" s="128"/>
      <c r="O393" s="128"/>
      <c r="P393" s="128"/>
      <c r="Q393" s="128"/>
      <c r="R393" s="128"/>
      <c r="S393" s="128"/>
      <c r="T393" s="128"/>
      <c r="U393" s="129"/>
      <c r="V393" s="128"/>
      <c r="W393" s="128"/>
      <c r="X393" s="128"/>
      <c r="Y393" s="128"/>
      <c r="Z393" s="128"/>
      <c r="AA393" s="128"/>
    </row>
    <row r="394">
      <c r="A394" s="128"/>
      <c r="B394" s="128"/>
      <c r="C394" s="128"/>
      <c r="D394" s="128"/>
      <c r="E394" s="128"/>
      <c r="F394" s="128"/>
      <c r="G394" s="212"/>
      <c r="H394" s="128"/>
      <c r="I394" s="128"/>
      <c r="J394" s="128"/>
      <c r="K394" s="128"/>
      <c r="L394" s="128"/>
      <c r="M394" s="128"/>
      <c r="N394" s="128"/>
      <c r="O394" s="128"/>
      <c r="P394" s="128"/>
      <c r="Q394" s="128"/>
      <c r="R394" s="128"/>
      <c r="S394" s="128"/>
      <c r="T394" s="128"/>
      <c r="U394" s="129"/>
      <c r="V394" s="128"/>
      <c r="W394" s="128"/>
      <c r="X394" s="128"/>
      <c r="Y394" s="128"/>
      <c r="Z394" s="128"/>
      <c r="AA394" s="128"/>
    </row>
    <row r="395">
      <c r="A395" s="128"/>
      <c r="B395" s="128"/>
      <c r="C395" s="128"/>
      <c r="D395" s="128"/>
      <c r="E395" s="128"/>
      <c r="F395" s="128"/>
      <c r="G395" s="212"/>
      <c r="H395" s="128"/>
      <c r="I395" s="128"/>
      <c r="J395" s="128"/>
      <c r="K395" s="128"/>
      <c r="L395" s="128"/>
      <c r="M395" s="128"/>
      <c r="N395" s="128"/>
      <c r="O395" s="128"/>
      <c r="P395" s="128"/>
      <c r="Q395" s="128"/>
      <c r="R395" s="128"/>
      <c r="S395" s="128"/>
      <c r="T395" s="128"/>
      <c r="U395" s="129"/>
      <c r="V395" s="128"/>
      <c r="W395" s="128"/>
      <c r="X395" s="128"/>
      <c r="Y395" s="128"/>
      <c r="Z395" s="128"/>
      <c r="AA395" s="128"/>
    </row>
    <row r="396">
      <c r="A396" s="128"/>
      <c r="B396" s="128"/>
      <c r="C396" s="128"/>
      <c r="D396" s="128"/>
      <c r="E396" s="128"/>
      <c r="F396" s="128"/>
      <c r="G396" s="212"/>
      <c r="H396" s="128"/>
      <c r="I396" s="128"/>
      <c r="J396" s="128"/>
      <c r="K396" s="128"/>
      <c r="L396" s="128"/>
      <c r="M396" s="128"/>
      <c r="N396" s="128"/>
      <c r="O396" s="128"/>
      <c r="P396" s="128"/>
      <c r="Q396" s="128"/>
      <c r="R396" s="128"/>
      <c r="S396" s="128"/>
      <c r="T396" s="128"/>
      <c r="U396" s="129"/>
      <c r="V396" s="128"/>
      <c r="W396" s="128"/>
      <c r="X396" s="128"/>
      <c r="Y396" s="128"/>
      <c r="Z396" s="128"/>
      <c r="AA396" s="128"/>
    </row>
    <row r="397">
      <c r="A397" s="128"/>
      <c r="B397" s="128"/>
      <c r="C397" s="128"/>
      <c r="D397" s="128"/>
      <c r="E397" s="128"/>
      <c r="F397" s="128"/>
      <c r="G397" s="212"/>
      <c r="H397" s="128"/>
      <c r="I397" s="128"/>
      <c r="J397" s="128"/>
      <c r="K397" s="128"/>
      <c r="L397" s="128"/>
      <c r="M397" s="128"/>
      <c r="N397" s="128"/>
      <c r="O397" s="128"/>
      <c r="P397" s="128"/>
      <c r="Q397" s="128"/>
      <c r="R397" s="128"/>
      <c r="S397" s="128"/>
      <c r="T397" s="128"/>
      <c r="U397" s="129"/>
      <c r="V397" s="128"/>
      <c r="W397" s="128"/>
      <c r="X397" s="128"/>
      <c r="Y397" s="128"/>
      <c r="Z397" s="128"/>
      <c r="AA397" s="128"/>
    </row>
    <row r="398">
      <c r="A398" s="128"/>
      <c r="B398" s="128"/>
      <c r="C398" s="128"/>
      <c r="D398" s="128"/>
      <c r="E398" s="128"/>
      <c r="F398" s="128"/>
      <c r="G398" s="212"/>
      <c r="H398" s="128"/>
      <c r="I398" s="128"/>
      <c r="J398" s="128"/>
      <c r="K398" s="128"/>
      <c r="L398" s="128"/>
      <c r="M398" s="128"/>
      <c r="N398" s="128"/>
      <c r="O398" s="128"/>
      <c r="P398" s="128"/>
      <c r="Q398" s="128"/>
      <c r="R398" s="128"/>
      <c r="S398" s="128"/>
      <c r="T398" s="128"/>
      <c r="U398" s="129"/>
      <c r="V398" s="128"/>
      <c r="W398" s="128"/>
      <c r="X398" s="128"/>
      <c r="Y398" s="128"/>
      <c r="Z398" s="128"/>
      <c r="AA398" s="128"/>
    </row>
    <row r="399">
      <c r="A399" s="128"/>
      <c r="B399" s="128"/>
      <c r="C399" s="128"/>
      <c r="D399" s="128"/>
      <c r="E399" s="128"/>
      <c r="F399" s="128"/>
      <c r="G399" s="212"/>
      <c r="H399" s="128"/>
      <c r="I399" s="128"/>
      <c r="J399" s="128"/>
      <c r="K399" s="128"/>
      <c r="L399" s="128"/>
      <c r="M399" s="128"/>
      <c r="N399" s="128"/>
      <c r="O399" s="128"/>
      <c r="P399" s="128"/>
      <c r="Q399" s="128"/>
      <c r="R399" s="128"/>
      <c r="S399" s="128"/>
      <c r="T399" s="128"/>
      <c r="U399" s="129"/>
      <c r="V399" s="128"/>
      <c r="W399" s="128"/>
      <c r="X399" s="128"/>
      <c r="Y399" s="128"/>
      <c r="Z399" s="128"/>
      <c r="AA399" s="128"/>
    </row>
    <row r="400">
      <c r="A400" s="128"/>
      <c r="B400" s="128"/>
      <c r="C400" s="128"/>
      <c r="D400" s="128"/>
      <c r="E400" s="128"/>
      <c r="F400" s="128"/>
      <c r="G400" s="212"/>
      <c r="H400" s="128"/>
      <c r="I400" s="128"/>
      <c r="J400" s="128"/>
      <c r="K400" s="128"/>
      <c r="L400" s="128"/>
      <c r="M400" s="128"/>
      <c r="N400" s="128"/>
      <c r="O400" s="128"/>
      <c r="P400" s="128"/>
      <c r="Q400" s="128"/>
      <c r="R400" s="128"/>
      <c r="S400" s="128"/>
      <c r="T400" s="128"/>
      <c r="U400" s="129"/>
      <c r="V400" s="128"/>
      <c r="W400" s="128"/>
      <c r="X400" s="128"/>
      <c r="Y400" s="128"/>
      <c r="Z400" s="128"/>
      <c r="AA400" s="128"/>
    </row>
    <row r="401">
      <c r="A401" s="128"/>
      <c r="B401" s="128"/>
      <c r="C401" s="128"/>
      <c r="D401" s="128"/>
      <c r="E401" s="128"/>
      <c r="F401" s="128"/>
      <c r="G401" s="212"/>
      <c r="H401" s="128"/>
      <c r="I401" s="128"/>
      <c r="J401" s="128"/>
      <c r="K401" s="128"/>
      <c r="L401" s="128"/>
      <c r="M401" s="128"/>
      <c r="N401" s="128"/>
      <c r="O401" s="128"/>
      <c r="P401" s="128"/>
      <c r="Q401" s="128"/>
      <c r="R401" s="128"/>
      <c r="S401" s="128"/>
      <c r="T401" s="128"/>
      <c r="U401" s="129"/>
      <c r="V401" s="128"/>
      <c r="W401" s="128"/>
      <c r="X401" s="128"/>
      <c r="Y401" s="128"/>
      <c r="Z401" s="128"/>
      <c r="AA401" s="128"/>
    </row>
    <row r="402">
      <c r="A402" s="128"/>
      <c r="B402" s="128"/>
      <c r="C402" s="128"/>
      <c r="D402" s="128"/>
      <c r="E402" s="128"/>
      <c r="F402" s="128"/>
      <c r="G402" s="212"/>
      <c r="H402" s="128"/>
      <c r="I402" s="128"/>
      <c r="J402" s="128"/>
      <c r="K402" s="128"/>
      <c r="L402" s="128"/>
      <c r="M402" s="128"/>
      <c r="N402" s="128"/>
      <c r="O402" s="128"/>
      <c r="P402" s="128"/>
      <c r="Q402" s="128"/>
      <c r="R402" s="128"/>
      <c r="S402" s="128"/>
      <c r="T402" s="128"/>
      <c r="U402" s="129"/>
      <c r="V402" s="128"/>
      <c r="W402" s="128"/>
      <c r="X402" s="128"/>
      <c r="Y402" s="128"/>
      <c r="Z402" s="128"/>
      <c r="AA402" s="128"/>
    </row>
    <row r="403">
      <c r="A403" s="128"/>
      <c r="B403" s="128"/>
      <c r="C403" s="128"/>
      <c r="D403" s="128"/>
      <c r="E403" s="128"/>
      <c r="F403" s="128"/>
      <c r="G403" s="212"/>
      <c r="H403" s="128"/>
      <c r="I403" s="128"/>
      <c r="J403" s="128"/>
      <c r="K403" s="128"/>
      <c r="L403" s="128"/>
      <c r="M403" s="128"/>
      <c r="N403" s="128"/>
      <c r="O403" s="128"/>
      <c r="P403" s="128"/>
      <c r="Q403" s="128"/>
      <c r="R403" s="128"/>
      <c r="S403" s="128"/>
      <c r="T403" s="128"/>
      <c r="U403" s="129"/>
      <c r="V403" s="128"/>
      <c r="W403" s="128"/>
      <c r="X403" s="128"/>
      <c r="Y403" s="128"/>
      <c r="Z403" s="128"/>
      <c r="AA403" s="128"/>
    </row>
    <row r="404">
      <c r="A404" s="128"/>
      <c r="B404" s="128"/>
      <c r="C404" s="128"/>
      <c r="D404" s="128"/>
      <c r="E404" s="128"/>
      <c r="F404" s="128"/>
      <c r="G404" s="212"/>
      <c r="H404" s="128"/>
      <c r="I404" s="128"/>
      <c r="J404" s="128"/>
      <c r="K404" s="128"/>
      <c r="L404" s="128"/>
      <c r="M404" s="128"/>
      <c r="N404" s="128"/>
      <c r="O404" s="128"/>
      <c r="P404" s="128"/>
      <c r="Q404" s="128"/>
      <c r="R404" s="128"/>
      <c r="S404" s="128"/>
      <c r="T404" s="128"/>
      <c r="U404" s="129"/>
      <c r="V404" s="128"/>
      <c r="W404" s="128"/>
      <c r="X404" s="128"/>
      <c r="Y404" s="128"/>
      <c r="Z404" s="128"/>
      <c r="AA404" s="128"/>
    </row>
    <row r="405">
      <c r="A405" s="128"/>
      <c r="B405" s="128"/>
      <c r="C405" s="128"/>
      <c r="D405" s="128"/>
      <c r="E405" s="128"/>
      <c r="F405" s="128"/>
      <c r="G405" s="212"/>
      <c r="H405" s="128"/>
      <c r="I405" s="128"/>
      <c r="J405" s="128"/>
      <c r="K405" s="128"/>
      <c r="L405" s="128"/>
      <c r="M405" s="128"/>
      <c r="N405" s="128"/>
      <c r="O405" s="128"/>
      <c r="P405" s="128"/>
      <c r="Q405" s="128"/>
      <c r="R405" s="128"/>
      <c r="S405" s="128"/>
      <c r="T405" s="128"/>
      <c r="U405" s="129"/>
      <c r="V405" s="128"/>
      <c r="W405" s="128"/>
      <c r="X405" s="128"/>
      <c r="Y405" s="128"/>
      <c r="Z405" s="128"/>
      <c r="AA405" s="128"/>
    </row>
    <row r="406">
      <c r="A406" s="128"/>
      <c r="B406" s="128"/>
      <c r="C406" s="128"/>
      <c r="D406" s="128"/>
      <c r="E406" s="128"/>
      <c r="F406" s="128"/>
      <c r="G406" s="212"/>
      <c r="H406" s="128"/>
      <c r="I406" s="128"/>
      <c r="J406" s="128"/>
      <c r="K406" s="128"/>
      <c r="L406" s="128"/>
      <c r="M406" s="128"/>
      <c r="N406" s="128"/>
      <c r="O406" s="128"/>
      <c r="P406" s="128"/>
      <c r="Q406" s="128"/>
      <c r="R406" s="128"/>
      <c r="S406" s="128"/>
      <c r="T406" s="128"/>
      <c r="U406" s="129"/>
      <c r="V406" s="128"/>
      <c r="W406" s="128"/>
      <c r="X406" s="128"/>
      <c r="Y406" s="128"/>
      <c r="Z406" s="128"/>
      <c r="AA406" s="128"/>
    </row>
    <row r="407">
      <c r="A407" s="128"/>
      <c r="B407" s="128"/>
      <c r="C407" s="128"/>
      <c r="D407" s="128"/>
      <c r="E407" s="128"/>
      <c r="F407" s="128"/>
      <c r="G407" s="212"/>
      <c r="H407" s="128"/>
      <c r="I407" s="128"/>
      <c r="J407" s="128"/>
      <c r="K407" s="128"/>
      <c r="L407" s="128"/>
      <c r="M407" s="128"/>
      <c r="N407" s="128"/>
      <c r="O407" s="128"/>
      <c r="P407" s="128"/>
      <c r="Q407" s="128"/>
      <c r="R407" s="128"/>
      <c r="S407" s="128"/>
      <c r="T407" s="128"/>
      <c r="U407" s="129"/>
      <c r="V407" s="128"/>
      <c r="W407" s="128"/>
      <c r="X407" s="128"/>
      <c r="Y407" s="128"/>
      <c r="Z407" s="128"/>
      <c r="AA407" s="128"/>
    </row>
    <row r="408">
      <c r="A408" s="128"/>
      <c r="B408" s="128"/>
      <c r="C408" s="128"/>
      <c r="D408" s="128"/>
      <c r="E408" s="128"/>
      <c r="F408" s="128"/>
      <c r="G408" s="212"/>
      <c r="H408" s="128"/>
      <c r="I408" s="128"/>
      <c r="J408" s="128"/>
      <c r="K408" s="128"/>
      <c r="L408" s="128"/>
      <c r="M408" s="128"/>
      <c r="N408" s="128"/>
      <c r="O408" s="128"/>
      <c r="P408" s="128"/>
      <c r="Q408" s="128"/>
      <c r="R408" s="128"/>
      <c r="S408" s="128"/>
      <c r="T408" s="128"/>
      <c r="U408" s="129"/>
      <c r="V408" s="128"/>
      <c r="W408" s="128"/>
      <c r="X408" s="128"/>
      <c r="Y408" s="128"/>
      <c r="Z408" s="128"/>
      <c r="AA408" s="128"/>
    </row>
    <row r="409">
      <c r="A409" s="128"/>
      <c r="B409" s="128"/>
      <c r="C409" s="128"/>
      <c r="D409" s="128"/>
      <c r="E409" s="128"/>
      <c r="F409" s="128"/>
      <c r="G409" s="212"/>
      <c r="H409" s="128"/>
      <c r="I409" s="128"/>
      <c r="J409" s="128"/>
      <c r="K409" s="128"/>
      <c r="L409" s="128"/>
      <c r="M409" s="128"/>
      <c r="N409" s="128"/>
      <c r="O409" s="128"/>
      <c r="P409" s="128"/>
      <c r="Q409" s="128"/>
      <c r="R409" s="128"/>
      <c r="S409" s="128"/>
      <c r="T409" s="128"/>
      <c r="U409" s="129"/>
      <c r="V409" s="128"/>
      <c r="W409" s="128"/>
      <c r="X409" s="128"/>
      <c r="Y409" s="128"/>
      <c r="Z409" s="128"/>
      <c r="AA409" s="128"/>
    </row>
    <row r="410">
      <c r="A410" s="128"/>
      <c r="B410" s="128"/>
      <c r="C410" s="128"/>
      <c r="D410" s="128"/>
      <c r="E410" s="128"/>
      <c r="F410" s="128"/>
      <c r="G410" s="212"/>
      <c r="H410" s="128"/>
      <c r="I410" s="128"/>
      <c r="J410" s="128"/>
      <c r="K410" s="128"/>
      <c r="L410" s="128"/>
      <c r="M410" s="128"/>
      <c r="N410" s="128"/>
      <c r="O410" s="128"/>
      <c r="P410" s="128"/>
      <c r="Q410" s="128"/>
      <c r="R410" s="128"/>
      <c r="S410" s="128"/>
      <c r="T410" s="128"/>
      <c r="U410" s="129"/>
      <c r="V410" s="128"/>
      <c r="W410" s="128"/>
      <c r="X410" s="128"/>
      <c r="Y410" s="128"/>
      <c r="Z410" s="128"/>
      <c r="AA410" s="128"/>
    </row>
    <row r="411">
      <c r="A411" s="128"/>
      <c r="B411" s="128"/>
      <c r="C411" s="128"/>
      <c r="D411" s="128"/>
      <c r="E411" s="128"/>
      <c r="F411" s="128"/>
      <c r="G411" s="212"/>
      <c r="H411" s="128"/>
      <c r="I411" s="128"/>
      <c r="J411" s="128"/>
      <c r="K411" s="128"/>
      <c r="L411" s="128"/>
      <c r="M411" s="128"/>
      <c r="N411" s="128"/>
      <c r="O411" s="128"/>
      <c r="P411" s="128"/>
      <c r="Q411" s="128"/>
      <c r="R411" s="128"/>
      <c r="S411" s="128"/>
      <c r="T411" s="128"/>
      <c r="U411" s="129"/>
      <c r="V411" s="128"/>
      <c r="W411" s="128"/>
      <c r="X411" s="128"/>
      <c r="Y411" s="128"/>
      <c r="Z411" s="128"/>
      <c r="AA411" s="128"/>
    </row>
    <row r="412">
      <c r="A412" s="128"/>
      <c r="B412" s="128"/>
      <c r="C412" s="128"/>
      <c r="D412" s="128"/>
      <c r="E412" s="128"/>
      <c r="F412" s="128"/>
      <c r="G412" s="212"/>
      <c r="H412" s="128"/>
      <c r="I412" s="128"/>
      <c r="J412" s="128"/>
      <c r="K412" s="128"/>
      <c r="L412" s="128"/>
      <c r="M412" s="128"/>
      <c r="N412" s="128"/>
      <c r="O412" s="128"/>
      <c r="P412" s="128"/>
      <c r="Q412" s="128"/>
      <c r="R412" s="128"/>
      <c r="S412" s="128"/>
      <c r="T412" s="128"/>
      <c r="U412" s="129"/>
      <c r="V412" s="128"/>
      <c r="W412" s="128"/>
      <c r="X412" s="128"/>
      <c r="Y412" s="128"/>
      <c r="Z412" s="128"/>
      <c r="AA412" s="128"/>
    </row>
    <row r="413">
      <c r="A413" s="128"/>
      <c r="B413" s="128"/>
      <c r="C413" s="128"/>
      <c r="D413" s="128"/>
      <c r="E413" s="128"/>
      <c r="F413" s="128"/>
      <c r="G413" s="212"/>
      <c r="H413" s="128"/>
      <c r="I413" s="128"/>
      <c r="J413" s="128"/>
      <c r="K413" s="128"/>
      <c r="L413" s="128"/>
      <c r="M413" s="128"/>
      <c r="N413" s="128"/>
      <c r="O413" s="128"/>
      <c r="P413" s="128"/>
      <c r="Q413" s="128"/>
      <c r="R413" s="128"/>
      <c r="S413" s="128"/>
      <c r="T413" s="128"/>
      <c r="U413" s="129"/>
      <c r="V413" s="128"/>
      <c r="W413" s="128"/>
      <c r="X413" s="128"/>
      <c r="Y413" s="128"/>
      <c r="Z413" s="128"/>
      <c r="AA413" s="128"/>
    </row>
    <row r="414">
      <c r="A414" s="128"/>
      <c r="B414" s="128"/>
      <c r="C414" s="128"/>
      <c r="D414" s="128"/>
      <c r="E414" s="128"/>
      <c r="F414" s="128"/>
      <c r="G414" s="212"/>
      <c r="H414" s="128"/>
      <c r="I414" s="128"/>
      <c r="J414" s="128"/>
      <c r="K414" s="128"/>
      <c r="L414" s="128"/>
      <c r="M414" s="128"/>
      <c r="N414" s="128"/>
      <c r="O414" s="128"/>
      <c r="P414" s="128"/>
      <c r="Q414" s="128"/>
      <c r="R414" s="128"/>
      <c r="S414" s="128"/>
      <c r="T414" s="128"/>
      <c r="U414" s="129"/>
      <c r="V414" s="128"/>
      <c r="W414" s="128"/>
      <c r="X414" s="128"/>
      <c r="Y414" s="128"/>
      <c r="Z414" s="128"/>
      <c r="AA414" s="128"/>
    </row>
    <row r="415">
      <c r="A415" s="128"/>
      <c r="B415" s="128"/>
      <c r="C415" s="128"/>
      <c r="D415" s="128"/>
      <c r="E415" s="128"/>
      <c r="F415" s="128"/>
      <c r="G415" s="212"/>
      <c r="H415" s="128"/>
      <c r="I415" s="128"/>
      <c r="J415" s="128"/>
      <c r="K415" s="128"/>
      <c r="L415" s="128"/>
      <c r="M415" s="128"/>
      <c r="N415" s="128"/>
      <c r="O415" s="128"/>
      <c r="P415" s="128"/>
      <c r="Q415" s="128"/>
      <c r="R415" s="128"/>
      <c r="S415" s="128"/>
      <c r="T415" s="128"/>
      <c r="U415" s="129"/>
      <c r="V415" s="128"/>
      <c r="W415" s="128"/>
      <c r="X415" s="128"/>
      <c r="Y415" s="128"/>
      <c r="Z415" s="128"/>
      <c r="AA415" s="128"/>
    </row>
    <row r="416">
      <c r="A416" s="128"/>
      <c r="B416" s="128"/>
      <c r="C416" s="128"/>
      <c r="D416" s="128"/>
      <c r="E416" s="128"/>
      <c r="F416" s="128"/>
      <c r="G416" s="212"/>
      <c r="H416" s="128"/>
      <c r="I416" s="128"/>
      <c r="J416" s="128"/>
      <c r="K416" s="128"/>
      <c r="L416" s="128"/>
      <c r="M416" s="128"/>
      <c r="N416" s="128"/>
      <c r="O416" s="128"/>
      <c r="P416" s="128"/>
      <c r="Q416" s="128"/>
      <c r="R416" s="128"/>
      <c r="S416" s="128"/>
      <c r="T416" s="128"/>
      <c r="U416" s="129"/>
      <c r="V416" s="128"/>
      <c r="W416" s="128"/>
      <c r="X416" s="128"/>
      <c r="Y416" s="128"/>
      <c r="Z416" s="128"/>
      <c r="AA416" s="128"/>
    </row>
    <row r="417">
      <c r="A417" s="128"/>
      <c r="B417" s="128"/>
      <c r="C417" s="128"/>
      <c r="D417" s="128"/>
      <c r="E417" s="128"/>
      <c r="F417" s="128"/>
      <c r="G417" s="212"/>
      <c r="H417" s="128"/>
      <c r="I417" s="128"/>
      <c r="J417" s="128"/>
      <c r="K417" s="128"/>
      <c r="L417" s="128"/>
      <c r="M417" s="128"/>
      <c r="N417" s="128"/>
      <c r="O417" s="128"/>
      <c r="P417" s="128"/>
      <c r="Q417" s="128"/>
      <c r="R417" s="128"/>
      <c r="S417" s="128"/>
      <c r="T417" s="128"/>
      <c r="U417" s="129"/>
      <c r="V417" s="128"/>
      <c r="W417" s="128"/>
      <c r="X417" s="128"/>
      <c r="Y417" s="128"/>
      <c r="Z417" s="128"/>
      <c r="AA417" s="128"/>
    </row>
    <row r="418">
      <c r="A418" s="128"/>
      <c r="B418" s="128"/>
      <c r="C418" s="128"/>
      <c r="D418" s="128"/>
      <c r="E418" s="128"/>
      <c r="F418" s="128"/>
      <c r="G418" s="212"/>
      <c r="H418" s="128"/>
      <c r="I418" s="128"/>
      <c r="J418" s="128"/>
      <c r="K418" s="128"/>
      <c r="L418" s="128"/>
      <c r="M418" s="128"/>
      <c r="N418" s="128"/>
      <c r="O418" s="128"/>
      <c r="P418" s="128"/>
      <c r="Q418" s="128"/>
      <c r="R418" s="128"/>
      <c r="S418" s="128"/>
      <c r="T418" s="128"/>
      <c r="U418" s="129"/>
      <c r="V418" s="128"/>
      <c r="W418" s="128"/>
      <c r="X418" s="128"/>
      <c r="Y418" s="128"/>
      <c r="Z418" s="128"/>
      <c r="AA418" s="128"/>
    </row>
    <row r="419">
      <c r="A419" s="128"/>
      <c r="B419" s="128"/>
      <c r="C419" s="128"/>
      <c r="D419" s="128"/>
      <c r="E419" s="128"/>
      <c r="F419" s="128"/>
      <c r="G419" s="212"/>
      <c r="H419" s="128"/>
      <c r="I419" s="128"/>
      <c r="J419" s="128"/>
      <c r="K419" s="128"/>
      <c r="L419" s="128"/>
      <c r="M419" s="128"/>
      <c r="N419" s="128"/>
      <c r="O419" s="128"/>
      <c r="P419" s="128"/>
      <c r="Q419" s="128"/>
      <c r="R419" s="128"/>
      <c r="S419" s="128"/>
      <c r="T419" s="128"/>
      <c r="U419" s="129"/>
      <c r="V419" s="128"/>
      <c r="W419" s="128"/>
      <c r="X419" s="128"/>
      <c r="Y419" s="128"/>
      <c r="Z419" s="128"/>
      <c r="AA419" s="128"/>
    </row>
    <row r="420">
      <c r="A420" s="128"/>
      <c r="B420" s="128"/>
      <c r="C420" s="128"/>
      <c r="D420" s="128"/>
      <c r="E420" s="128"/>
      <c r="F420" s="128"/>
      <c r="G420" s="212"/>
      <c r="H420" s="128"/>
      <c r="I420" s="128"/>
      <c r="J420" s="128"/>
      <c r="K420" s="128"/>
      <c r="L420" s="128"/>
      <c r="M420" s="128"/>
      <c r="N420" s="128"/>
      <c r="O420" s="128"/>
      <c r="P420" s="128"/>
      <c r="Q420" s="128"/>
      <c r="R420" s="128"/>
      <c r="S420" s="128"/>
      <c r="T420" s="128"/>
      <c r="U420" s="129"/>
      <c r="V420" s="128"/>
      <c r="W420" s="128"/>
      <c r="X420" s="128"/>
      <c r="Y420" s="128"/>
      <c r="Z420" s="128"/>
      <c r="AA420" s="128"/>
    </row>
    <row r="421">
      <c r="A421" s="128"/>
      <c r="B421" s="128"/>
      <c r="C421" s="128"/>
      <c r="D421" s="128"/>
      <c r="E421" s="128"/>
      <c r="F421" s="128"/>
      <c r="G421" s="212"/>
      <c r="H421" s="128"/>
      <c r="I421" s="128"/>
      <c r="J421" s="128"/>
      <c r="K421" s="128"/>
      <c r="L421" s="128"/>
      <c r="M421" s="128"/>
      <c r="N421" s="128"/>
      <c r="O421" s="128"/>
      <c r="P421" s="128"/>
      <c r="Q421" s="128"/>
      <c r="R421" s="128"/>
      <c r="S421" s="128"/>
      <c r="T421" s="128"/>
      <c r="U421" s="129"/>
      <c r="V421" s="128"/>
      <c r="W421" s="128"/>
      <c r="X421" s="128"/>
      <c r="Y421" s="128"/>
      <c r="Z421" s="128"/>
      <c r="AA421" s="128"/>
    </row>
    <row r="422">
      <c r="A422" s="128"/>
      <c r="B422" s="128"/>
      <c r="C422" s="128"/>
      <c r="D422" s="128"/>
      <c r="E422" s="128"/>
      <c r="F422" s="128"/>
      <c r="G422" s="212"/>
      <c r="H422" s="128"/>
      <c r="I422" s="128"/>
      <c r="J422" s="128"/>
      <c r="K422" s="128"/>
      <c r="L422" s="128"/>
      <c r="M422" s="128"/>
      <c r="N422" s="128"/>
      <c r="O422" s="128"/>
      <c r="P422" s="128"/>
      <c r="Q422" s="128"/>
      <c r="R422" s="128"/>
      <c r="S422" s="128"/>
      <c r="T422" s="128"/>
      <c r="U422" s="129"/>
      <c r="V422" s="128"/>
      <c r="W422" s="128"/>
      <c r="X422" s="128"/>
      <c r="Y422" s="128"/>
      <c r="Z422" s="128"/>
      <c r="AA422" s="128"/>
    </row>
    <row r="423">
      <c r="A423" s="128"/>
      <c r="B423" s="128"/>
      <c r="C423" s="128"/>
      <c r="D423" s="128"/>
      <c r="E423" s="128"/>
      <c r="F423" s="128"/>
      <c r="G423" s="212"/>
      <c r="H423" s="128"/>
      <c r="I423" s="128"/>
      <c r="J423" s="128"/>
      <c r="K423" s="128"/>
      <c r="L423" s="128"/>
      <c r="M423" s="128"/>
      <c r="N423" s="128"/>
      <c r="O423" s="128"/>
      <c r="P423" s="128"/>
      <c r="Q423" s="128"/>
      <c r="R423" s="128"/>
      <c r="S423" s="128"/>
      <c r="T423" s="128"/>
      <c r="U423" s="129"/>
      <c r="V423" s="128"/>
      <c r="W423" s="128"/>
      <c r="X423" s="128"/>
      <c r="Y423" s="128"/>
      <c r="Z423" s="128"/>
      <c r="AA423" s="128"/>
    </row>
    <row r="424">
      <c r="A424" s="128"/>
      <c r="B424" s="128"/>
      <c r="C424" s="128"/>
      <c r="D424" s="128"/>
      <c r="E424" s="128"/>
      <c r="F424" s="128"/>
      <c r="G424" s="212"/>
      <c r="H424" s="128"/>
      <c r="I424" s="128"/>
      <c r="J424" s="128"/>
      <c r="K424" s="128"/>
      <c r="L424" s="128"/>
      <c r="M424" s="128"/>
      <c r="N424" s="128"/>
      <c r="O424" s="128"/>
      <c r="P424" s="128"/>
      <c r="Q424" s="128"/>
      <c r="R424" s="128"/>
      <c r="S424" s="128"/>
      <c r="T424" s="128"/>
      <c r="U424" s="129"/>
      <c r="V424" s="128"/>
      <c r="W424" s="128"/>
      <c r="X424" s="128"/>
      <c r="Y424" s="128"/>
      <c r="Z424" s="128"/>
      <c r="AA424" s="128"/>
    </row>
    <row r="425">
      <c r="A425" s="128"/>
      <c r="B425" s="128"/>
      <c r="C425" s="128"/>
      <c r="D425" s="128"/>
      <c r="E425" s="128"/>
      <c r="F425" s="128"/>
      <c r="G425" s="212"/>
      <c r="H425" s="128"/>
      <c r="I425" s="128"/>
      <c r="J425" s="128"/>
      <c r="K425" s="128"/>
      <c r="L425" s="128"/>
      <c r="M425" s="128"/>
      <c r="N425" s="128"/>
      <c r="O425" s="128"/>
      <c r="P425" s="128"/>
      <c r="Q425" s="128"/>
      <c r="R425" s="128"/>
      <c r="S425" s="128"/>
      <c r="T425" s="128"/>
      <c r="U425" s="129"/>
      <c r="V425" s="128"/>
      <c r="W425" s="128"/>
      <c r="X425" s="128"/>
      <c r="Y425" s="128"/>
      <c r="Z425" s="128"/>
      <c r="AA425" s="128"/>
    </row>
    <row r="426">
      <c r="A426" s="128"/>
      <c r="B426" s="128"/>
      <c r="C426" s="128"/>
      <c r="D426" s="128"/>
      <c r="E426" s="128"/>
      <c r="F426" s="128"/>
      <c r="G426" s="212"/>
      <c r="H426" s="128"/>
      <c r="I426" s="128"/>
      <c r="J426" s="128"/>
      <c r="K426" s="128"/>
      <c r="L426" s="128"/>
      <c r="M426" s="128"/>
      <c r="N426" s="128"/>
      <c r="O426" s="128"/>
      <c r="P426" s="128"/>
      <c r="Q426" s="128"/>
      <c r="R426" s="128"/>
      <c r="S426" s="128"/>
      <c r="T426" s="128"/>
      <c r="U426" s="129"/>
      <c r="V426" s="128"/>
      <c r="W426" s="128"/>
      <c r="X426" s="128"/>
      <c r="Y426" s="128"/>
      <c r="Z426" s="128"/>
      <c r="AA426" s="128"/>
    </row>
    <row r="427">
      <c r="A427" s="128"/>
      <c r="B427" s="128"/>
      <c r="C427" s="128"/>
      <c r="D427" s="128"/>
      <c r="E427" s="128"/>
      <c r="F427" s="128"/>
      <c r="G427" s="212"/>
      <c r="H427" s="128"/>
      <c r="I427" s="128"/>
      <c r="J427" s="128"/>
      <c r="K427" s="128"/>
      <c r="L427" s="128"/>
      <c r="M427" s="128"/>
      <c r="N427" s="128"/>
      <c r="O427" s="128"/>
      <c r="P427" s="128"/>
      <c r="Q427" s="128"/>
      <c r="R427" s="128"/>
      <c r="S427" s="128"/>
      <c r="T427" s="128"/>
      <c r="U427" s="129"/>
      <c r="V427" s="128"/>
      <c r="W427" s="128"/>
      <c r="X427" s="128"/>
      <c r="Y427" s="128"/>
      <c r="Z427" s="128"/>
      <c r="AA427" s="128"/>
    </row>
    <row r="428">
      <c r="A428" s="128"/>
      <c r="B428" s="128"/>
      <c r="C428" s="128"/>
      <c r="D428" s="128"/>
      <c r="E428" s="128"/>
      <c r="F428" s="128"/>
      <c r="G428" s="212"/>
      <c r="H428" s="128"/>
      <c r="I428" s="128"/>
      <c r="J428" s="128"/>
      <c r="K428" s="128"/>
      <c r="L428" s="128"/>
      <c r="M428" s="128"/>
      <c r="N428" s="128"/>
      <c r="O428" s="128"/>
      <c r="P428" s="128"/>
      <c r="Q428" s="128"/>
      <c r="R428" s="128"/>
      <c r="S428" s="128"/>
      <c r="T428" s="128"/>
      <c r="U428" s="129"/>
      <c r="V428" s="128"/>
      <c r="W428" s="128"/>
      <c r="X428" s="128"/>
      <c r="Y428" s="128"/>
      <c r="Z428" s="128"/>
      <c r="AA428" s="128"/>
    </row>
    <row r="429">
      <c r="A429" s="128"/>
      <c r="B429" s="128"/>
      <c r="C429" s="128"/>
      <c r="D429" s="128"/>
      <c r="E429" s="128"/>
      <c r="F429" s="128"/>
      <c r="G429" s="212"/>
      <c r="H429" s="128"/>
      <c r="I429" s="128"/>
      <c r="J429" s="128"/>
      <c r="K429" s="128"/>
      <c r="L429" s="128"/>
      <c r="M429" s="128"/>
      <c r="N429" s="128"/>
      <c r="O429" s="128"/>
      <c r="P429" s="128"/>
      <c r="Q429" s="128"/>
      <c r="R429" s="128"/>
      <c r="S429" s="128"/>
      <c r="T429" s="128"/>
      <c r="U429" s="129"/>
      <c r="V429" s="128"/>
      <c r="W429" s="128"/>
      <c r="X429" s="128"/>
      <c r="Y429" s="128"/>
      <c r="Z429" s="128"/>
      <c r="AA429" s="128"/>
    </row>
    <row r="430">
      <c r="A430" s="128"/>
      <c r="B430" s="128"/>
      <c r="C430" s="128"/>
      <c r="D430" s="128"/>
      <c r="E430" s="128"/>
      <c r="F430" s="128"/>
      <c r="G430" s="212"/>
      <c r="H430" s="128"/>
      <c r="I430" s="128"/>
      <c r="J430" s="128"/>
      <c r="K430" s="128"/>
      <c r="L430" s="128"/>
      <c r="M430" s="128"/>
      <c r="N430" s="128"/>
      <c r="O430" s="128"/>
      <c r="P430" s="128"/>
      <c r="Q430" s="128"/>
      <c r="R430" s="128"/>
      <c r="S430" s="128"/>
      <c r="T430" s="128"/>
      <c r="U430" s="129"/>
      <c r="V430" s="128"/>
      <c r="W430" s="128"/>
      <c r="X430" s="128"/>
      <c r="Y430" s="128"/>
      <c r="Z430" s="128"/>
      <c r="AA430" s="128"/>
    </row>
    <row r="431">
      <c r="A431" s="128"/>
      <c r="B431" s="128"/>
      <c r="C431" s="128"/>
      <c r="D431" s="128"/>
      <c r="E431" s="128"/>
      <c r="F431" s="128"/>
      <c r="G431" s="212"/>
      <c r="H431" s="128"/>
      <c r="I431" s="128"/>
      <c r="J431" s="128"/>
      <c r="K431" s="128"/>
      <c r="L431" s="128"/>
      <c r="M431" s="128"/>
      <c r="N431" s="128"/>
      <c r="O431" s="128"/>
      <c r="P431" s="128"/>
      <c r="Q431" s="128"/>
      <c r="R431" s="128"/>
      <c r="S431" s="128"/>
      <c r="T431" s="128"/>
      <c r="U431" s="129"/>
      <c r="V431" s="128"/>
      <c r="W431" s="128"/>
      <c r="X431" s="128"/>
      <c r="Y431" s="128"/>
      <c r="Z431" s="128"/>
      <c r="AA431" s="128"/>
    </row>
    <row r="432">
      <c r="A432" s="128"/>
      <c r="B432" s="128"/>
      <c r="C432" s="128"/>
      <c r="D432" s="128"/>
      <c r="E432" s="128"/>
      <c r="F432" s="128"/>
      <c r="G432" s="212"/>
      <c r="H432" s="128"/>
      <c r="I432" s="128"/>
      <c r="J432" s="128"/>
      <c r="K432" s="128"/>
      <c r="L432" s="128"/>
      <c r="M432" s="128"/>
      <c r="N432" s="128"/>
      <c r="O432" s="128"/>
      <c r="P432" s="128"/>
      <c r="Q432" s="128"/>
      <c r="R432" s="128"/>
      <c r="S432" s="128"/>
      <c r="T432" s="128"/>
      <c r="U432" s="129"/>
      <c r="V432" s="128"/>
      <c r="W432" s="128"/>
      <c r="X432" s="128"/>
      <c r="Y432" s="128"/>
      <c r="Z432" s="128"/>
      <c r="AA432" s="128"/>
    </row>
    <row r="433">
      <c r="A433" s="128"/>
      <c r="B433" s="128"/>
      <c r="C433" s="128"/>
      <c r="D433" s="128"/>
      <c r="E433" s="128"/>
      <c r="F433" s="128"/>
      <c r="G433" s="212"/>
      <c r="H433" s="128"/>
      <c r="I433" s="128"/>
      <c r="J433" s="128"/>
      <c r="K433" s="128"/>
      <c r="L433" s="128"/>
      <c r="M433" s="128"/>
      <c r="N433" s="128"/>
      <c r="O433" s="128"/>
      <c r="P433" s="128"/>
      <c r="Q433" s="128"/>
      <c r="R433" s="128"/>
      <c r="S433" s="128"/>
      <c r="T433" s="128"/>
      <c r="U433" s="129"/>
      <c r="V433" s="128"/>
      <c r="W433" s="128"/>
      <c r="X433" s="128"/>
      <c r="Y433" s="128"/>
      <c r="Z433" s="128"/>
      <c r="AA433" s="128"/>
    </row>
    <row r="434">
      <c r="A434" s="128"/>
      <c r="B434" s="128"/>
      <c r="C434" s="128"/>
      <c r="D434" s="128"/>
      <c r="E434" s="128"/>
      <c r="F434" s="128"/>
      <c r="G434" s="212"/>
      <c r="H434" s="128"/>
      <c r="I434" s="128"/>
      <c r="J434" s="128"/>
      <c r="K434" s="128"/>
      <c r="L434" s="128"/>
      <c r="M434" s="128"/>
      <c r="N434" s="128"/>
      <c r="O434" s="128"/>
      <c r="P434" s="128"/>
      <c r="Q434" s="128"/>
      <c r="R434" s="128"/>
      <c r="S434" s="128"/>
      <c r="T434" s="128"/>
      <c r="U434" s="129"/>
      <c r="V434" s="128"/>
      <c r="W434" s="128"/>
      <c r="X434" s="128"/>
      <c r="Y434" s="128"/>
      <c r="Z434" s="128"/>
      <c r="AA434" s="128"/>
    </row>
    <row r="435">
      <c r="A435" s="128"/>
      <c r="B435" s="128"/>
      <c r="C435" s="128"/>
      <c r="D435" s="128"/>
      <c r="E435" s="128"/>
      <c r="F435" s="128"/>
      <c r="G435" s="212"/>
      <c r="H435" s="128"/>
      <c r="I435" s="128"/>
      <c r="J435" s="128"/>
      <c r="K435" s="128"/>
      <c r="L435" s="128"/>
      <c r="M435" s="128"/>
      <c r="N435" s="128"/>
      <c r="O435" s="128"/>
      <c r="P435" s="128"/>
      <c r="Q435" s="128"/>
      <c r="R435" s="128"/>
      <c r="S435" s="128"/>
      <c r="T435" s="128"/>
      <c r="U435" s="129"/>
      <c r="V435" s="128"/>
      <c r="W435" s="128"/>
      <c r="X435" s="128"/>
      <c r="Y435" s="128"/>
      <c r="Z435" s="128"/>
      <c r="AA435" s="128"/>
    </row>
    <row r="436">
      <c r="A436" s="128"/>
      <c r="B436" s="128"/>
      <c r="C436" s="128"/>
      <c r="D436" s="128"/>
      <c r="E436" s="128"/>
      <c r="F436" s="128"/>
      <c r="G436" s="212"/>
      <c r="H436" s="128"/>
      <c r="I436" s="128"/>
      <c r="J436" s="128"/>
      <c r="K436" s="128"/>
      <c r="L436" s="128"/>
      <c r="M436" s="128"/>
      <c r="N436" s="128"/>
      <c r="O436" s="128"/>
      <c r="P436" s="128"/>
      <c r="Q436" s="128"/>
      <c r="R436" s="128"/>
      <c r="S436" s="128"/>
      <c r="T436" s="128"/>
      <c r="U436" s="129"/>
      <c r="V436" s="128"/>
      <c r="W436" s="128"/>
      <c r="X436" s="128"/>
      <c r="Y436" s="128"/>
      <c r="Z436" s="128"/>
      <c r="AA436" s="128"/>
    </row>
    <row r="437">
      <c r="A437" s="128"/>
      <c r="B437" s="128"/>
      <c r="C437" s="128"/>
      <c r="D437" s="128"/>
      <c r="E437" s="128"/>
      <c r="F437" s="128"/>
      <c r="G437" s="212"/>
      <c r="H437" s="128"/>
      <c r="I437" s="128"/>
      <c r="J437" s="128"/>
      <c r="K437" s="128"/>
      <c r="L437" s="128"/>
      <c r="M437" s="128"/>
      <c r="N437" s="128"/>
      <c r="O437" s="128"/>
      <c r="P437" s="128"/>
      <c r="Q437" s="128"/>
      <c r="R437" s="128"/>
      <c r="S437" s="128"/>
      <c r="T437" s="128"/>
      <c r="U437" s="129"/>
      <c r="V437" s="128"/>
      <c r="W437" s="128"/>
      <c r="X437" s="128"/>
      <c r="Y437" s="128"/>
      <c r="Z437" s="128"/>
      <c r="AA437" s="128"/>
    </row>
    <row r="438">
      <c r="A438" s="128"/>
      <c r="B438" s="128"/>
      <c r="C438" s="128"/>
      <c r="D438" s="128"/>
      <c r="E438" s="128"/>
      <c r="F438" s="128"/>
      <c r="G438" s="212"/>
      <c r="H438" s="128"/>
      <c r="I438" s="128"/>
      <c r="J438" s="128"/>
      <c r="K438" s="128"/>
      <c r="L438" s="128"/>
      <c r="M438" s="128"/>
      <c r="N438" s="128"/>
      <c r="O438" s="128"/>
      <c r="P438" s="128"/>
      <c r="Q438" s="128"/>
      <c r="R438" s="128"/>
      <c r="S438" s="128"/>
      <c r="T438" s="128"/>
      <c r="U438" s="129"/>
      <c r="V438" s="128"/>
      <c r="W438" s="128"/>
      <c r="X438" s="128"/>
      <c r="Y438" s="128"/>
      <c r="Z438" s="128"/>
      <c r="AA438" s="128"/>
    </row>
    <row r="439">
      <c r="A439" s="128"/>
      <c r="B439" s="128"/>
      <c r="C439" s="128"/>
      <c r="D439" s="128"/>
      <c r="E439" s="128"/>
      <c r="F439" s="128"/>
      <c r="G439" s="212"/>
      <c r="H439" s="128"/>
      <c r="I439" s="128"/>
      <c r="J439" s="128"/>
      <c r="K439" s="128"/>
      <c r="L439" s="128"/>
      <c r="M439" s="128"/>
      <c r="N439" s="128"/>
      <c r="O439" s="128"/>
      <c r="P439" s="128"/>
      <c r="Q439" s="128"/>
      <c r="R439" s="128"/>
      <c r="S439" s="128"/>
      <c r="T439" s="128"/>
      <c r="U439" s="129"/>
      <c r="V439" s="128"/>
      <c r="W439" s="128"/>
      <c r="X439" s="128"/>
      <c r="Y439" s="128"/>
      <c r="Z439" s="128"/>
      <c r="AA439" s="128"/>
    </row>
    <row r="440">
      <c r="A440" s="128"/>
      <c r="B440" s="128"/>
      <c r="C440" s="128"/>
      <c r="D440" s="128"/>
      <c r="E440" s="128"/>
      <c r="F440" s="128"/>
      <c r="G440" s="212"/>
      <c r="H440" s="128"/>
      <c r="I440" s="128"/>
      <c r="J440" s="128"/>
      <c r="K440" s="128"/>
      <c r="L440" s="128"/>
      <c r="M440" s="128"/>
      <c r="N440" s="128"/>
      <c r="O440" s="128"/>
      <c r="P440" s="128"/>
      <c r="Q440" s="128"/>
      <c r="R440" s="128"/>
      <c r="S440" s="128"/>
      <c r="T440" s="128"/>
      <c r="U440" s="129"/>
      <c r="V440" s="128"/>
      <c r="W440" s="128"/>
      <c r="X440" s="128"/>
      <c r="Y440" s="128"/>
      <c r="Z440" s="128"/>
      <c r="AA440" s="128"/>
    </row>
    <row r="441">
      <c r="A441" s="128"/>
      <c r="B441" s="128"/>
      <c r="C441" s="128"/>
      <c r="D441" s="128"/>
      <c r="E441" s="128"/>
      <c r="F441" s="128"/>
      <c r="G441" s="212"/>
      <c r="H441" s="128"/>
      <c r="I441" s="128"/>
      <c r="J441" s="128"/>
      <c r="K441" s="128"/>
      <c r="L441" s="128"/>
      <c r="M441" s="128"/>
      <c r="N441" s="128"/>
      <c r="O441" s="128"/>
      <c r="P441" s="128"/>
      <c r="Q441" s="128"/>
      <c r="R441" s="128"/>
      <c r="S441" s="128"/>
      <c r="T441" s="128"/>
      <c r="U441" s="129"/>
      <c r="V441" s="128"/>
      <c r="W441" s="128"/>
      <c r="X441" s="128"/>
      <c r="Y441" s="128"/>
      <c r="Z441" s="128"/>
      <c r="AA441" s="128"/>
    </row>
    <row r="442">
      <c r="A442" s="128"/>
      <c r="B442" s="128"/>
      <c r="C442" s="128"/>
      <c r="D442" s="128"/>
      <c r="E442" s="128"/>
      <c r="F442" s="128"/>
      <c r="G442" s="212"/>
      <c r="H442" s="128"/>
      <c r="I442" s="128"/>
      <c r="J442" s="128"/>
      <c r="K442" s="128"/>
      <c r="L442" s="128"/>
      <c r="M442" s="128"/>
      <c r="N442" s="128"/>
      <c r="O442" s="128"/>
      <c r="P442" s="128"/>
      <c r="Q442" s="128"/>
      <c r="R442" s="128"/>
      <c r="S442" s="128"/>
      <c r="T442" s="128"/>
      <c r="U442" s="129"/>
      <c r="V442" s="128"/>
      <c r="W442" s="128"/>
      <c r="X442" s="128"/>
      <c r="Y442" s="128"/>
      <c r="Z442" s="128"/>
      <c r="AA442" s="128"/>
    </row>
    <row r="443">
      <c r="A443" s="128"/>
      <c r="B443" s="128"/>
      <c r="C443" s="128"/>
      <c r="D443" s="128"/>
      <c r="E443" s="128"/>
      <c r="F443" s="128"/>
      <c r="G443" s="212"/>
      <c r="H443" s="128"/>
      <c r="I443" s="128"/>
      <c r="J443" s="128"/>
      <c r="K443" s="128"/>
      <c r="L443" s="128"/>
      <c r="M443" s="128"/>
      <c r="N443" s="128"/>
      <c r="O443" s="128"/>
      <c r="P443" s="128"/>
      <c r="Q443" s="128"/>
      <c r="R443" s="128"/>
      <c r="S443" s="128"/>
      <c r="T443" s="128"/>
      <c r="U443" s="129"/>
      <c r="V443" s="128"/>
      <c r="W443" s="128"/>
      <c r="X443" s="128"/>
      <c r="Y443" s="128"/>
      <c r="Z443" s="128"/>
      <c r="AA443" s="128"/>
    </row>
    <row r="444">
      <c r="A444" s="128"/>
      <c r="B444" s="128"/>
      <c r="C444" s="128"/>
      <c r="D444" s="128"/>
      <c r="E444" s="128"/>
      <c r="F444" s="128"/>
      <c r="G444" s="212"/>
      <c r="H444" s="128"/>
      <c r="I444" s="128"/>
      <c r="J444" s="128"/>
      <c r="K444" s="128"/>
      <c r="L444" s="128"/>
      <c r="M444" s="128"/>
      <c r="N444" s="128"/>
      <c r="O444" s="128"/>
      <c r="P444" s="128"/>
      <c r="Q444" s="128"/>
      <c r="R444" s="128"/>
      <c r="S444" s="128"/>
      <c r="T444" s="128"/>
      <c r="U444" s="129"/>
      <c r="V444" s="128"/>
      <c r="W444" s="128"/>
      <c r="X444" s="128"/>
      <c r="Y444" s="128"/>
      <c r="Z444" s="128"/>
      <c r="AA444" s="128"/>
    </row>
    <row r="445">
      <c r="A445" s="128"/>
      <c r="B445" s="128"/>
      <c r="C445" s="128"/>
      <c r="D445" s="128"/>
      <c r="E445" s="128"/>
      <c r="F445" s="128"/>
      <c r="G445" s="212"/>
      <c r="H445" s="128"/>
      <c r="I445" s="128"/>
      <c r="J445" s="128"/>
      <c r="K445" s="128"/>
      <c r="L445" s="128"/>
      <c r="M445" s="128"/>
      <c r="N445" s="128"/>
      <c r="O445" s="128"/>
      <c r="P445" s="128"/>
      <c r="Q445" s="128"/>
      <c r="R445" s="128"/>
      <c r="S445" s="128"/>
      <c r="T445" s="128"/>
      <c r="U445" s="129"/>
      <c r="V445" s="128"/>
      <c r="W445" s="128"/>
      <c r="X445" s="128"/>
      <c r="Y445" s="128"/>
      <c r="Z445" s="128"/>
      <c r="AA445" s="128"/>
    </row>
    <row r="446">
      <c r="A446" s="128"/>
      <c r="B446" s="128"/>
      <c r="C446" s="128"/>
      <c r="D446" s="128"/>
      <c r="E446" s="128"/>
      <c r="F446" s="128"/>
      <c r="G446" s="212"/>
      <c r="H446" s="128"/>
      <c r="I446" s="128"/>
      <c r="J446" s="128"/>
      <c r="K446" s="128"/>
      <c r="L446" s="128"/>
      <c r="M446" s="128"/>
      <c r="N446" s="128"/>
      <c r="O446" s="128"/>
      <c r="P446" s="128"/>
      <c r="Q446" s="128"/>
      <c r="R446" s="128"/>
      <c r="S446" s="128"/>
      <c r="T446" s="128"/>
      <c r="U446" s="129"/>
      <c r="V446" s="128"/>
      <c r="W446" s="128"/>
      <c r="X446" s="128"/>
      <c r="Y446" s="128"/>
      <c r="Z446" s="128"/>
      <c r="AA446" s="128"/>
    </row>
    <row r="447">
      <c r="A447" s="128"/>
      <c r="B447" s="128"/>
      <c r="C447" s="128"/>
      <c r="D447" s="128"/>
      <c r="E447" s="128"/>
      <c r="F447" s="128"/>
      <c r="G447" s="212"/>
      <c r="H447" s="128"/>
      <c r="I447" s="128"/>
      <c r="J447" s="128"/>
      <c r="K447" s="128"/>
      <c r="L447" s="128"/>
      <c r="M447" s="128"/>
      <c r="N447" s="128"/>
      <c r="O447" s="128"/>
      <c r="P447" s="128"/>
      <c r="Q447" s="128"/>
      <c r="R447" s="128"/>
      <c r="S447" s="128"/>
      <c r="T447" s="128"/>
      <c r="U447" s="129"/>
      <c r="V447" s="128"/>
      <c r="W447" s="128"/>
      <c r="X447" s="128"/>
      <c r="Y447" s="128"/>
      <c r="Z447" s="128"/>
      <c r="AA447" s="128"/>
    </row>
    <row r="448">
      <c r="A448" s="128"/>
      <c r="B448" s="128"/>
      <c r="C448" s="128"/>
      <c r="D448" s="128"/>
      <c r="E448" s="128"/>
      <c r="F448" s="128"/>
      <c r="G448" s="212"/>
      <c r="H448" s="128"/>
      <c r="I448" s="128"/>
      <c r="J448" s="128"/>
      <c r="K448" s="128"/>
      <c r="L448" s="128"/>
      <c r="M448" s="128"/>
      <c r="N448" s="128"/>
      <c r="O448" s="128"/>
      <c r="P448" s="128"/>
      <c r="Q448" s="128"/>
      <c r="R448" s="128"/>
      <c r="S448" s="128"/>
      <c r="T448" s="128"/>
      <c r="U448" s="129"/>
      <c r="V448" s="128"/>
      <c r="W448" s="128"/>
      <c r="X448" s="128"/>
      <c r="Y448" s="128"/>
      <c r="Z448" s="128"/>
      <c r="AA448" s="128"/>
    </row>
    <row r="449">
      <c r="A449" s="128"/>
      <c r="B449" s="128"/>
      <c r="C449" s="128"/>
      <c r="D449" s="128"/>
      <c r="E449" s="128"/>
      <c r="F449" s="128"/>
      <c r="G449" s="212"/>
      <c r="H449" s="128"/>
      <c r="I449" s="128"/>
      <c r="J449" s="128"/>
      <c r="K449" s="128"/>
      <c r="L449" s="128"/>
      <c r="M449" s="128"/>
      <c r="N449" s="128"/>
      <c r="O449" s="128"/>
      <c r="P449" s="128"/>
      <c r="Q449" s="128"/>
      <c r="R449" s="128"/>
      <c r="S449" s="128"/>
      <c r="T449" s="128"/>
      <c r="U449" s="129"/>
      <c r="V449" s="128"/>
      <c r="W449" s="128"/>
      <c r="X449" s="128"/>
      <c r="Y449" s="128"/>
      <c r="Z449" s="128"/>
      <c r="AA449" s="128"/>
    </row>
    <row r="450">
      <c r="A450" s="128"/>
      <c r="B450" s="128"/>
      <c r="C450" s="128"/>
      <c r="D450" s="128"/>
      <c r="E450" s="128"/>
      <c r="F450" s="128"/>
      <c r="G450" s="212"/>
      <c r="H450" s="128"/>
      <c r="I450" s="128"/>
      <c r="J450" s="128"/>
      <c r="K450" s="128"/>
      <c r="L450" s="128"/>
      <c r="M450" s="128"/>
      <c r="N450" s="128"/>
      <c r="O450" s="128"/>
      <c r="P450" s="128"/>
      <c r="Q450" s="128"/>
      <c r="R450" s="128"/>
      <c r="S450" s="128"/>
      <c r="T450" s="128"/>
      <c r="U450" s="129"/>
      <c r="V450" s="128"/>
      <c r="W450" s="128"/>
      <c r="X450" s="128"/>
      <c r="Y450" s="128"/>
      <c r="Z450" s="128"/>
      <c r="AA450" s="128"/>
    </row>
    <row r="451">
      <c r="A451" s="128"/>
      <c r="B451" s="128"/>
      <c r="C451" s="128"/>
      <c r="D451" s="128"/>
      <c r="E451" s="128"/>
      <c r="F451" s="128"/>
      <c r="G451" s="212"/>
      <c r="H451" s="128"/>
      <c r="I451" s="128"/>
      <c r="J451" s="128"/>
      <c r="K451" s="128"/>
      <c r="L451" s="128"/>
      <c r="M451" s="128"/>
      <c r="N451" s="128"/>
      <c r="O451" s="128"/>
      <c r="P451" s="128"/>
      <c r="Q451" s="128"/>
      <c r="R451" s="128"/>
      <c r="S451" s="128"/>
      <c r="T451" s="128"/>
      <c r="U451" s="129"/>
      <c r="V451" s="128"/>
      <c r="W451" s="128"/>
      <c r="X451" s="128"/>
      <c r="Y451" s="128"/>
      <c r="Z451" s="128"/>
      <c r="AA451" s="128"/>
    </row>
    <row r="452">
      <c r="A452" s="128"/>
      <c r="B452" s="128"/>
      <c r="C452" s="128"/>
      <c r="D452" s="128"/>
      <c r="E452" s="128"/>
      <c r="F452" s="128"/>
      <c r="G452" s="212"/>
      <c r="H452" s="128"/>
      <c r="I452" s="128"/>
      <c r="J452" s="128"/>
      <c r="K452" s="128"/>
      <c r="L452" s="128"/>
      <c r="M452" s="128"/>
      <c r="N452" s="128"/>
      <c r="O452" s="128"/>
      <c r="P452" s="128"/>
      <c r="Q452" s="128"/>
      <c r="R452" s="128"/>
      <c r="S452" s="128"/>
      <c r="T452" s="128"/>
      <c r="U452" s="129"/>
      <c r="V452" s="128"/>
      <c r="W452" s="128"/>
      <c r="X452" s="128"/>
      <c r="Y452" s="128"/>
      <c r="Z452" s="128"/>
      <c r="AA452" s="128"/>
    </row>
    <row r="453">
      <c r="A453" s="128"/>
      <c r="B453" s="128"/>
      <c r="C453" s="128"/>
      <c r="D453" s="128"/>
      <c r="E453" s="128"/>
      <c r="F453" s="128"/>
      <c r="G453" s="212"/>
      <c r="H453" s="128"/>
      <c r="I453" s="128"/>
      <c r="J453" s="128"/>
      <c r="K453" s="128"/>
      <c r="L453" s="128"/>
      <c r="M453" s="128"/>
      <c r="N453" s="128"/>
      <c r="O453" s="128"/>
      <c r="P453" s="128"/>
      <c r="Q453" s="128"/>
      <c r="R453" s="128"/>
      <c r="S453" s="128"/>
      <c r="T453" s="128"/>
      <c r="U453" s="129"/>
      <c r="V453" s="128"/>
      <c r="W453" s="128"/>
      <c r="X453" s="128"/>
      <c r="Y453" s="128"/>
      <c r="Z453" s="128"/>
      <c r="AA453" s="128"/>
    </row>
    <row r="454">
      <c r="A454" s="128"/>
      <c r="B454" s="128"/>
      <c r="C454" s="128"/>
      <c r="D454" s="128"/>
      <c r="E454" s="128"/>
      <c r="F454" s="128"/>
      <c r="G454" s="212"/>
      <c r="H454" s="128"/>
      <c r="I454" s="128"/>
      <c r="J454" s="128"/>
      <c r="K454" s="128"/>
      <c r="L454" s="128"/>
      <c r="M454" s="128"/>
      <c r="N454" s="128"/>
      <c r="O454" s="128"/>
      <c r="P454" s="128"/>
      <c r="Q454" s="128"/>
      <c r="R454" s="128"/>
      <c r="S454" s="128"/>
      <c r="T454" s="128"/>
      <c r="U454" s="129"/>
      <c r="V454" s="128"/>
      <c r="W454" s="128"/>
      <c r="X454" s="128"/>
      <c r="Y454" s="128"/>
      <c r="Z454" s="128"/>
      <c r="AA454" s="128"/>
    </row>
    <row r="455">
      <c r="A455" s="128"/>
      <c r="B455" s="128"/>
      <c r="C455" s="128"/>
      <c r="D455" s="128"/>
      <c r="E455" s="128"/>
      <c r="F455" s="128"/>
      <c r="G455" s="212"/>
      <c r="H455" s="128"/>
      <c r="I455" s="128"/>
      <c r="J455" s="128"/>
      <c r="K455" s="128"/>
      <c r="L455" s="128"/>
      <c r="M455" s="128"/>
      <c r="N455" s="128"/>
      <c r="O455" s="128"/>
      <c r="P455" s="128"/>
      <c r="Q455" s="128"/>
      <c r="R455" s="128"/>
      <c r="S455" s="128"/>
      <c r="T455" s="128"/>
      <c r="U455" s="129"/>
      <c r="V455" s="128"/>
      <c r="W455" s="128"/>
      <c r="X455" s="128"/>
      <c r="Y455" s="128"/>
      <c r="Z455" s="128"/>
      <c r="AA455" s="128"/>
    </row>
    <row r="456">
      <c r="A456" s="128"/>
      <c r="B456" s="128"/>
      <c r="C456" s="128"/>
      <c r="D456" s="128"/>
      <c r="E456" s="128"/>
      <c r="F456" s="128"/>
      <c r="G456" s="212"/>
      <c r="H456" s="128"/>
      <c r="I456" s="128"/>
      <c r="J456" s="128"/>
      <c r="K456" s="128"/>
      <c r="L456" s="128"/>
      <c r="M456" s="128"/>
      <c r="N456" s="128"/>
      <c r="O456" s="128"/>
      <c r="P456" s="128"/>
      <c r="Q456" s="128"/>
      <c r="R456" s="128"/>
      <c r="S456" s="128"/>
      <c r="T456" s="128"/>
      <c r="U456" s="129"/>
      <c r="V456" s="128"/>
      <c r="W456" s="128"/>
      <c r="X456" s="128"/>
      <c r="Y456" s="128"/>
      <c r="Z456" s="128"/>
      <c r="AA456" s="128"/>
    </row>
    <row r="457">
      <c r="A457" s="128"/>
      <c r="B457" s="128"/>
      <c r="C457" s="128"/>
      <c r="D457" s="128"/>
      <c r="E457" s="128"/>
      <c r="F457" s="128"/>
      <c r="G457" s="212"/>
      <c r="H457" s="128"/>
      <c r="I457" s="128"/>
      <c r="J457" s="128"/>
      <c r="K457" s="128"/>
      <c r="L457" s="128"/>
      <c r="M457" s="128"/>
      <c r="N457" s="128"/>
      <c r="O457" s="128"/>
      <c r="P457" s="128"/>
      <c r="Q457" s="128"/>
      <c r="R457" s="128"/>
      <c r="S457" s="128"/>
      <c r="T457" s="128"/>
      <c r="U457" s="129"/>
      <c r="V457" s="128"/>
      <c r="W457" s="128"/>
      <c r="X457" s="128"/>
      <c r="Y457" s="128"/>
      <c r="Z457" s="128"/>
      <c r="AA457" s="128"/>
    </row>
    <row r="458">
      <c r="A458" s="128"/>
      <c r="B458" s="128"/>
      <c r="C458" s="128"/>
      <c r="D458" s="128"/>
      <c r="E458" s="128"/>
      <c r="F458" s="128"/>
      <c r="G458" s="212"/>
      <c r="H458" s="128"/>
      <c r="I458" s="128"/>
      <c r="J458" s="128"/>
      <c r="K458" s="128"/>
      <c r="L458" s="128"/>
      <c r="M458" s="128"/>
      <c r="N458" s="128"/>
      <c r="O458" s="128"/>
      <c r="P458" s="128"/>
      <c r="Q458" s="128"/>
      <c r="R458" s="128"/>
      <c r="S458" s="128"/>
      <c r="T458" s="128"/>
      <c r="U458" s="129"/>
      <c r="V458" s="128"/>
      <c r="W458" s="128"/>
      <c r="X458" s="128"/>
      <c r="Y458" s="128"/>
      <c r="Z458" s="128"/>
      <c r="AA458" s="128"/>
    </row>
    <row r="459">
      <c r="A459" s="128"/>
      <c r="B459" s="128"/>
      <c r="C459" s="128"/>
      <c r="D459" s="128"/>
      <c r="E459" s="128"/>
      <c r="F459" s="128"/>
      <c r="G459" s="212"/>
      <c r="H459" s="128"/>
      <c r="I459" s="128"/>
      <c r="J459" s="128"/>
      <c r="K459" s="128"/>
      <c r="L459" s="128"/>
      <c r="M459" s="128"/>
      <c r="N459" s="128"/>
      <c r="O459" s="128"/>
      <c r="P459" s="128"/>
      <c r="Q459" s="128"/>
      <c r="R459" s="128"/>
      <c r="S459" s="128"/>
      <c r="T459" s="128"/>
      <c r="U459" s="129"/>
      <c r="V459" s="128"/>
      <c r="W459" s="128"/>
      <c r="X459" s="128"/>
      <c r="Y459" s="128"/>
      <c r="Z459" s="128"/>
      <c r="AA459" s="128"/>
    </row>
    <row r="460">
      <c r="A460" s="128"/>
      <c r="B460" s="128"/>
      <c r="C460" s="128"/>
      <c r="D460" s="128"/>
      <c r="E460" s="128"/>
      <c r="F460" s="128"/>
      <c r="G460" s="212"/>
      <c r="H460" s="128"/>
      <c r="I460" s="128"/>
      <c r="J460" s="128"/>
      <c r="K460" s="128"/>
      <c r="L460" s="128"/>
      <c r="M460" s="128"/>
      <c r="N460" s="128"/>
      <c r="O460" s="128"/>
      <c r="P460" s="128"/>
      <c r="Q460" s="128"/>
      <c r="R460" s="128"/>
      <c r="S460" s="128"/>
      <c r="T460" s="128"/>
      <c r="U460" s="129"/>
      <c r="V460" s="128"/>
      <c r="W460" s="128"/>
      <c r="X460" s="128"/>
      <c r="Y460" s="128"/>
      <c r="Z460" s="128"/>
      <c r="AA460" s="128"/>
    </row>
    <row r="461">
      <c r="A461" s="128"/>
      <c r="B461" s="128"/>
      <c r="C461" s="128"/>
      <c r="D461" s="128"/>
      <c r="E461" s="128"/>
      <c r="F461" s="128"/>
      <c r="G461" s="212"/>
      <c r="H461" s="128"/>
      <c r="I461" s="128"/>
      <c r="J461" s="128"/>
      <c r="K461" s="128"/>
      <c r="L461" s="128"/>
      <c r="M461" s="128"/>
      <c r="N461" s="128"/>
      <c r="O461" s="128"/>
      <c r="P461" s="128"/>
      <c r="Q461" s="128"/>
      <c r="R461" s="128"/>
      <c r="S461" s="128"/>
      <c r="T461" s="128"/>
      <c r="U461" s="129"/>
      <c r="V461" s="128"/>
      <c r="W461" s="128"/>
      <c r="X461" s="128"/>
      <c r="Y461" s="128"/>
      <c r="Z461" s="128"/>
      <c r="AA461" s="128"/>
    </row>
    <row r="462">
      <c r="A462" s="128"/>
      <c r="B462" s="128"/>
      <c r="C462" s="128"/>
      <c r="D462" s="128"/>
      <c r="E462" s="128"/>
      <c r="F462" s="128"/>
      <c r="G462" s="212"/>
      <c r="H462" s="128"/>
      <c r="I462" s="128"/>
      <c r="J462" s="128"/>
      <c r="K462" s="128"/>
      <c r="L462" s="128"/>
      <c r="M462" s="128"/>
      <c r="N462" s="128"/>
      <c r="O462" s="128"/>
      <c r="P462" s="128"/>
      <c r="Q462" s="128"/>
      <c r="R462" s="128"/>
      <c r="S462" s="128"/>
      <c r="T462" s="128"/>
      <c r="U462" s="129"/>
      <c r="V462" s="128"/>
      <c r="W462" s="128"/>
      <c r="X462" s="128"/>
      <c r="Y462" s="128"/>
      <c r="Z462" s="128"/>
      <c r="AA462" s="128"/>
    </row>
    <row r="463">
      <c r="A463" s="128"/>
      <c r="B463" s="128"/>
      <c r="C463" s="128"/>
      <c r="D463" s="128"/>
      <c r="E463" s="128"/>
      <c r="F463" s="128"/>
      <c r="G463" s="212"/>
      <c r="H463" s="128"/>
      <c r="I463" s="128"/>
      <c r="J463" s="128"/>
      <c r="K463" s="128"/>
      <c r="L463" s="128"/>
      <c r="M463" s="128"/>
      <c r="N463" s="128"/>
      <c r="O463" s="128"/>
      <c r="P463" s="128"/>
      <c r="Q463" s="128"/>
      <c r="R463" s="128"/>
      <c r="S463" s="128"/>
      <c r="T463" s="128"/>
      <c r="U463" s="129"/>
      <c r="V463" s="128"/>
      <c r="W463" s="128"/>
      <c r="X463" s="128"/>
      <c r="Y463" s="128"/>
      <c r="Z463" s="128"/>
      <c r="AA463" s="128"/>
    </row>
    <row r="464">
      <c r="A464" s="128"/>
      <c r="B464" s="128"/>
      <c r="C464" s="128"/>
      <c r="D464" s="128"/>
      <c r="E464" s="128"/>
      <c r="F464" s="128"/>
      <c r="G464" s="212"/>
      <c r="H464" s="128"/>
      <c r="I464" s="128"/>
      <c r="J464" s="128"/>
      <c r="K464" s="128"/>
      <c r="L464" s="128"/>
      <c r="M464" s="128"/>
      <c r="N464" s="128"/>
      <c r="O464" s="128"/>
      <c r="P464" s="128"/>
      <c r="Q464" s="128"/>
      <c r="R464" s="128"/>
      <c r="S464" s="128"/>
      <c r="T464" s="128"/>
      <c r="U464" s="129"/>
      <c r="V464" s="128"/>
      <c r="W464" s="128"/>
      <c r="X464" s="128"/>
      <c r="Y464" s="128"/>
      <c r="Z464" s="128"/>
      <c r="AA464" s="128"/>
    </row>
    <row r="465">
      <c r="A465" s="128"/>
      <c r="B465" s="128"/>
      <c r="C465" s="128"/>
      <c r="D465" s="128"/>
      <c r="E465" s="128"/>
      <c r="F465" s="128"/>
      <c r="G465" s="212"/>
      <c r="H465" s="128"/>
      <c r="I465" s="128"/>
      <c r="J465" s="128"/>
      <c r="K465" s="128"/>
      <c r="L465" s="128"/>
      <c r="M465" s="128"/>
      <c r="N465" s="128"/>
      <c r="O465" s="128"/>
      <c r="P465" s="128"/>
      <c r="Q465" s="128"/>
      <c r="R465" s="128"/>
      <c r="S465" s="128"/>
      <c r="T465" s="128"/>
      <c r="U465" s="129"/>
      <c r="V465" s="128"/>
      <c r="W465" s="128"/>
      <c r="X465" s="128"/>
      <c r="Y465" s="128"/>
      <c r="Z465" s="128"/>
      <c r="AA465" s="128"/>
    </row>
    <row r="466">
      <c r="A466" s="128"/>
      <c r="B466" s="128"/>
      <c r="C466" s="128"/>
      <c r="D466" s="128"/>
      <c r="E466" s="128"/>
      <c r="F466" s="128"/>
      <c r="G466" s="212"/>
      <c r="H466" s="128"/>
      <c r="I466" s="128"/>
      <c r="J466" s="128"/>
      <c r="K466" s="128"/>
      <c r="L466" s="128"/>
      <c r="M466" s="128"/>
      <c r="N466" s="128"/>
      <c r="O466" s="128"/>
      <c r="P466" s="128"/>
      <c r="Q466" s="128"/>
      <c r="R466" s="128"/>
      <c r="S466" s="128"/>
      <c r="T466" s="128"/>
      <c r="U466" s="129"/>
      <c r="V466" s="128"/>
      <c r="W466" s="128"/>
      <c r="X466" s="128"/>
      <c r="Y466" s="128"/>
      <c r="Z466" s="128"/>
      <c r="AA466" s="128"/>
    </row>
    <row r="467">
      <c r="A467" s="128"/>
      <c r="B467" s="128"/>
      <c r="C467" s="128"/>
      <c r="D467" s="128"/>
      <c r="E467" s="128"/>
      <c r="F467" s="128"/>
      <c r="G467" s="212"/>
      <c r="H467" s="128"/>
      <c r="I467" s="128"/>
      <c r="J467" s="128"/>
      <c r="K467" s="128"/>
      <c r="L467" s="128"/>
      <c r="M467" s="128"/>
      <c r="N467" s="128"/>
      <c r="O467" s="128"/>
      <c r="P467" s="128"/>
      <c r="Q467" s="128"/>
      <c r="R467" s="128"/>
      <c r="S467" s="128"/>
      <c r="T467" s="128"/>
      <c r="U467" s="129"/>
      <c r="V467" s="128"/>
      <c r="W467" s="128"/>
      <c r="X467" s="128"/>
      <c r="Y467" s="128"/>
      <c r="Z467" s="128"/>
      <c r="AA467" s="128"/>
    </row>
    <row r="468">
      <c r="A468" s="128"/>
      <c r="B468" s="128"/>
      <c r="C468" s="128"/>
      <c r="D468" s="128"/>
      <c r="E468" s="128"/>
      <c r="F468" s="128"/>
      <c r="G468" s="212"/>
      <c r="H468" s="128"/>
      <c r="I468" s="128"/>
      <c r="J468" s="128"/>
      <c r="K468" s="128"/>
      <c r="L468" s="128"/>
      <c r="M468" s="128"/>
      <c r="N468" s="128"/>
      <c r="O468" s="128"/>
      <c r="P468" s="128"/>
      <c r="Q468" s="128"/>
      <c r="R468" s="128"/>
      <c r="S468" s="128"/>
      <c r="T468" s="128"/>
      <c r="U468" s="129"/>
      <c r="V468" s="128"/>
      <c r="W468" s="128"/>
      <c r="X468" s="128"/>
      <c r="Y468" s="128"/>
      <c r="Z468" s="128"/>
      <c r="AA468" s="128"/>
    </row>
    <row r="469">
      <c r="A469" s="128"/>
      <c r="B469" s="128"/>
      <c r="C469" s="128"/>
      <c r="D469" s="128"/>
      <c r="E469" s="128"/>
      <c r="F469" s="128"/>
      <c r="G469" s="212"/>
      <c r="H469" s="128"/>
      <c r="I469" s="128"/>
      <c r="J469" s="128"/>
      <c r="K469" s="128"/>
      <c r="L469" s="128"/>
      <c r="M469" s="128"/>
      <c r="N469" s="128"/>
      <c r="O469" s="128"/>
      <c r="P469" s="128"/>
      <c r="Q469" s="128"/>
      <c r="R469" s="128"/>
      <c r="S469" s="128"/>
      <c r="T469" s="128"/>
      <c r="U469" s="129"/>
      <c r="V469" s="128"/>
      <c r="W469" s="128"/>
      <c r="X469" s="128"/>
      <c r="Y469" s="128"/>
      <c r="Z469" s="128"/>
      <c r="AA469" s="128"/>
    </row>
    <row r="470">
      <c r="A470" s="128"/>
      <c r="B470" s="128"/>
      <c r="C470" s="128"/>
      <c r="D470" s="128"/>
      <c r="E470" s="128"/>
      <c r="F470" s="128"/>
      <c r="G470" s="212"/>
      <c r="H470" s="128"/>
      <c r="I470" s="128"/>
      <c r="J470" s="128"/>
      <c r="K470" s="128"/>
      <c r="L470" s="128"/>
      <c r="M470" s="128"/>
      <c r="N470" s="128"/>
      <c r="O470" s="128"/>
      <c r="P470" s="128"/>
      <c r="Q470" s="128"/>
      <c r="R470" s="128"/>
      <c r="S470" s="128"/>
      <c r="T470" s="128"/>
      <c r="U470" s="129"/>
      <c r="V470" s="128"/>
      <c r="W470" s="128"/>
      <c r="X470" s="128"/>
      <c r="Y470" s="128"/>
      <c r="Z470" s="128"/>
      <c r="AA470" s="128"/>
    </row>
    <row r="471">
      <c r="A471" s="128"/>
      <c r="B471" s="128"/>
      <c r="C471" s="128"/>
      <c r="D471" s="128"/>
      <c r="E471" s="128"/>
      <c r="F471" s="128"/>
      <c r="G471" s="212"/>
      <c r="H471" s="128"/>
      <c r="I471" s="128"/>
      <c r="J471" s="128"/>
      <c r="K471" s="128"/>
      <c r="L471" s="128"/>
      <c r="M471" s="128"/>
      <c r="N471" s="128"/>
      <c r="O471" s="128"/>
      <c r="P471" s="128"/>
      <c r="Q471" s="128"/>
      <c r="R471" s="128"/>
      <c r="S471" s="128"/>
      <c r="T471" s="128"/>
      <c r="U471" s="129"/>
      <c r="V471" s="128"/>
      <c r="W471" s="128"/>
      <c r="X471" s="128"/>
      <c r="Y471" s="128"/>
      <c r="Z471" s="128"/>
      <c r="AA471" s="128"/>
    </row>
    <row r="472">
      <c r="A472" s="128"/>
      <c r="B472" s="128"/>
      <c r="C472" s="128"/>
      <c r="D472" s="128"/>
      <c r="E472" s="128"/>
      <c r="F472" s="128"/>
      <c r="G472" s="212"/>
      <c r="H472" s="128"/>
      <c r="I472" s="128"/>
      <c r="J472" s="128"/>
      <c r="K472" s="128"/>
      <c r="L472" s="128"/>
      <c r="M472" s="128"/>
      <c r="N472" s="128"/>
      <c r="O472" s="128"/>
      <c r="P472" s="128"/>
      <c r="Q472" s="128"/>
      <c r="R472" s="128"/>
      <c r="S472" s="128"/>
      <c r="T472" s="128"/>
      <c r="U472" s="129"/>
      <c r="V472" s="128"/>
      <c r="W472" s="128"/>
      <c r="X472" s="128"/>
      <c r="Y472" s="128"/>
      <c r="Z472" s="128"/>
      <c r="AA472" s="128"/>
    </row>
    <row r="473">
      <c r="A473" s="128"/>
      <c r="B473" s="128"/>
      <c r="C473" s="128"/>
      <c r="D473" s="128"/>
      <c r="E473" s="128"/>
      <c r="F473" s="128"/>
      <c r="G473" s="212"/>
      <c r="H473" s="128"/>
      <c r="I473" s="128"/>
      <c r="J473" s="128"/>
      <c r="K473" s="128"/>
      <c r="L473" s="128"/>
      <c r="M473" s="128"/>
      <c r="N473" s="128"/>
      <c r="O473" s="128"/>
      <c r="P473" s="128"/>
      <c r="Q473" s="128"/>
      <c r="R473" s="128"/>
      <c r="S473" s="128"/>
      <c r="T473" s="128"/>
      <c r="U473" s="129"/>
      <c r="V473" s="128"/>
      <c r="W473" s="128"/>
      <c r="X473" s="128"/>
      <c r="Y473" s="128"/>
      <c r="Z473" s="128"/>
      <c r="AA473" s="128"/>
    </row>
    <row r="474">
      <c r="A474" s="128"/>
      <c r="B474" s="128"/>
      <c r="C474" s="128"/>
      <c r="D474" s="128"/>
      <c r="E474" s="128"/>
      <c r="F474" s="128"/>
      <c r="G474" s="212"/>
      <c r="H474" s="128"/>
      <c r="I474" s="128"/>
      <c r="J474" s="128"/>
      <c r="K474" s="128"/>
      <c r="L474" s="128"/>
      <c r="M474" s="128"/>
      <c r="N474" s="128"/>
      <c r="O474" s="128"/>
      <c r="P474" s="128"/>
      <c r="Q474" s="128"/>
      <c r="R474" s="128"/>
      <c r="S474" s="128"/>
      <c r="T474" s="128"/>
      <c r="U474" s="129"/>
      <c r="V474" s="128"/>
      <c r="W474" s="128"/>
      <c r="X474" s="128"/>
      <c r="Y474" s="128"/>
      <c r="Z474" s="128"/>
      <c r="AA474" s="128"/>
    </row>
    <row r="475">
      <c r="A475" s="128"/>
      <c r="B475" s="128"/>
      <c r="C475" s="128"/>
      <c r="D475" s="128"/>
      <c r="E475" s="128"/>
      <c r="F475" s="128"/>
      <c r="G475" s="212"/>
      <c r="H475" s="128"/>
      <c r="I475" s="128"/>
      <c r="J475" s="128"/>
      <c r="K475" s="128"/>
      <c r="L475" s="128"/>
      <c r="M475" s="128"/>
      <c r="N475" s="128"/>
      <c r="O475" s="128"/>
      <c r="P475" s="128"/>
      <c r="Q475" s="128"/>
      <c r="R475" s="128"/>
      <c r="S475" s="128"/>
      <c r="T475" s="128"/>
      <c r="U475" s="129"/>
      <c r="V475" s="128"/>
      <c r="W475" s="128"/>
      <c r="X475" s="128"/>
      <c r="Y475" s="128"/>
      <c r="Z475" s="128"/>
      <c r="AA475" s="128"/>
    </row>
    <row r="476">
      <c r="A476" s="128"/>
      <c r="B476" s="128"/>
      <c r="C476" s="128"/>
      <c r="D476" s="128"/>
      <c r="E476" s="128"/>
      <c r="F476" s="128"/>
      <c r="G476" s="212"/>
      <c r="H476" s="128"/>
      <c r="I476" s="128"/>
      <c r="J476" s="128"/>
      <c r="K476" s="128"/>
      <c r="L476" s="128"/>
      <c r="M476" s="128"/>
      <c r="N476" s="128"/>
      <c r="O476" s="128"/>
      <c r="P476" s="128"/>
      <c r="Q476" s="128"/>
      <c r="R476" s="128"/>
      <c r="S476" s="128"/>
      <c r="T476" s="128"/>
      <c r="U476" s="129"/>
      <c r="V476" s="128"/>
      <c r="W476" s="128"/>
      <c r="X476" s="128"/>
      <c r="Y476" s="128"/>
      <c r="Z476" s="128"/>
      <c r="AA476" s="128"/>
    </row>
    <row r="477">
      <c r="A477" s="128"/>
      <c r="B477" s="128"/>
      <c r="C477" s="128"/>
      <c r="D477" s="128"/>
      <c r="E477" s="128"/>
      <c r="F477" s="128"/>
      <c r="G477" s="212"/>
      <c r="H477" s="128"/>
      <c r="I477" s="128"/>
      <c r="J477" s="128"/>
      <c r="K477" s="128"/>
      <c r="L477" s="128"/>
      <c r="M477" s="128"/>
      <c r="N477" s="128"/>
      <c r="O477" s="128"/>
      <c r="P477" s="128"/>
      <c r="Q477" s="128"/>
      <c r="R477" s="128"/>
      <c r="S477" s="128"/>
      <c r="T477" s="128"/>
      <c r="U477" s="129"/>
      <c r="V477" s="128"/>
      <c r="W477" s="128"/>
      <c r="X477" s="128"/>
      <c r="Y477" s="128"/>
      <c r="Z477" s="128"/>
      <c r="AA477" s="128"/>
    </row>
    <row r="478">
      <c r="A478" s="128"/>
      <c r="B478" s="128"/>
      <c r="C478" s="128"/>
      <c r="D478" s="128"/>
      <c r="E478" s="128"/>
      <c r="F478" s="128"/>
      <c r="G478" s="212"/>
      <c r="H478" s="128"/>
      <c r="I478" s="128"/>
      <c r="J478" s="128"/>
      <c r="K478" s="128"/>
      <c r="L478" s="128"/>
      <c r="M478" s="128"/>
      <c r="N478" s="128"/>
      <c r="O478" s="128"/>
      <c r="P478" s="128"/>
      <c r="Q478" s="128"/>
      <c r="R478" s="128"/>
      <c r="S478" s="128"/>
      <c r="T478" s="128"/>
      <c r="U478" s="129"/>
      <c r="V478" s="128"/>
      <c r="W478" s="128"/>
      <c r="X478" s="128"/>
      <c r="Y478" s="128"/>
      <c r="Z478" s="128"/>
      <c r="AA478" s="128"/>
    </row>
    <row r="479">
      <c r="A479" s="128"/>
      <c r="B479" s="128"/>
      <c r="C479" s="128"/>
      <c r="D479" s="128"/>
      <c r="E479" s="128"/>
      <c r="F479" s="128"/>
      <c r="G479" s="212"/>
      <c r="H479" s="128"/>
      <c r="I479" s="128"/>
      <c r="J479" s="128"/>
      <c r="K479" s="128"/>
      <c r="L479" s="128"/>
      <c r="M479" s="128"/>
      <c r="N479" s="128"/>
      <c r="O479" s="128"/>
      <c r="P479" s="128"/>
      <c r="Q479" s="128"/>
      <c r="R479" s="128"/>
      <c r="S479" s="128"/>
      <c r="T479" s="128"/>
      <c r="U479" s="129"/>
      <c r="V479" s="128"/>
      <c r="W479" s="128"/>
      <c r="X479" s="128"/>
      <c r="Y479" s="128"/>
      <c r="Z479" s="128"/>
      <c r="AA479" s="128"/>
    </row>
    <row r="480">
      <c r="A480" s="128"/>
      <c r="B480" s="128"/>
      <c r="C480" s="128"/>
      <c r="D480" s="128"/>
      <c r="E480" s="128"/>
      <c r="F480" s="128"/>
      <c r="G480" s="212"/>
      <c r="H480" s="128"/>
      <c r="I480" s="128"/>
      <c r="J480" s="128"/>
      <c r="K480" s="128"/>
      <c r="L480" s="128"/>
      <c r="M480" s="128"/>
      <c r="N480" s="128"/>
      <c r="O480" s="128"/>
      <c r="P480" s="128"/>
      <c r="Q480" s="128"/>
      <c r="R480" s="128"/>
      <c r="S480" s="128"/>
      <c r="T480" s="128"/>
      <c r="U480" s="129"/>
      <c r="V480" s="128"/>
      <c r="W480" s="128"/>
      <c r="X480" s="128"/>
      <c r="Y480" s="128"/>
      <c r="Z480" s="128"/>
      <c r="AA480" s="128"/>
    </row>
    <row r="481">
      <c r="A481" s="128"/>
      <c r="B481" s="128"/>
      <c r="C481" s="128"/>
      <c r="D481" s="128"/>
      <c r="E481" s="128"/>
      <c r="F481" s="128"/>
      <c r="G481" s="212"/>
      <c r="H481" s="128"/>
      <c r="I481" s="128"/>
      <c r="J481" s="128"/>
      <c r="K481" s="128"/>
      <c r="L481" s="128"/>
      <c r="M481" s="128"/>
      <c r="N481" s="128"/>
      <c r="O481" s="128"/>
      <c r="P481" s="128"/>
      <c r="Q481" s="128"/>
      <c r="R481" s="128"/>
      <c r="S481" s="128"/>
      <c r="T481" s="128"/>
      <c r="U481" s="129"/>
      <c r="V481" s="128"/>
      <c r="W481" s="128"/>
      <c r="X481" s="128"/>
      <c r="Y481" s="128"/>
      <c r="Z481" s="128"/>
      <c r="AA481" s="128"/>
    </row>
    <row r="482">
      <c r="A482" s="128"/>
      <c r="B482" s="128"/>
      <c r="C482" s="128"/>
      <c r="D482" s="128"/>
      <c r="E482" s="128"/>
      <c r="F482" s="128"/>
      <c r="G482" s="212"/>
      <c r="H482" s="128"/>
      <c r="I482" s="128"/>
      <c r="J482" s="128"/>
      <c r="K482" s="128"/>
      <c r="L482" s="128"/>
      <c r="M482" s="128"/>
      <c r="N482" s="128"/>
      <c r="O482" s="128"/>
      <c r="P482" s="128"/>
      <c r="Q482" s="128"/>
      <c r="R482" s="128"/>
      <c r="S482" s="128"/>
      <c r="T482" s="128"/>
      <c r="U482" s="129"/>
      <c r="V482" s="128"/>
      <c r="W482" s="128"/>
      <c r="X482" s="128"/>
      <c r="Y482" s="128"/>
      <c r="Z482" s="128"/>
      <c r="AA482" s="128"/>
    </row>
    <row r="483">
      <c r="A483" s="128"/>
      <c r="B483" s="128"/>
      <c r="C483" s="128"/>
      <c r="D483" s="128"/>
      <c r="E483" s="128"/>
      <c r="F483" s="128"/>
      <c r="G483" s="212"/>
      <c r="H483" s="128"/>
      <c r="I483" s="128"/>
      <c r="J483" s="128"/>
      <c r="K483" s="128"/>
      <c r="L483" s="128"/>
      <c r="M483" s="128"/>
      <c r="N483" s="128"/>
      <c r="O483" s="128"/>
      <c r="P483" s="128"/>
      <c r="Q483" s="128"/>
      <c r="R483" s="128"/>
      <c r="S483" s="128"/>
      <c r="T483" s="128"/>
      <c r="U483" s="129"/>
      <c r="V483" s="128"/>
      <c r="W483" s="128"/>
      <c r="X483" s="128"/>
      <c r="Y483" s="128"/>
      <c r="Z483" s="128"/>
      <c r="AA483" s="128"/>
    </row>
    <row r="484">
      <c r="A484" s="128"/>
      <c r="B484" s="128"/>
      <c r="C484" s="128"/>
      <c r="D484" s="128"/>
      <c r="E484" s="128"/>
      <c r="F484" s="128"/>
      <c r="G484" s="212"/>
      <c r="H484" s="128"/>
      <c r="I484" s="128"/>
      <c r="J484" s="128"/>
      <c r="K484" s="128"/>
      <c r="L484" s="128"/>
      <c r="M484" s="128"/>
      <c r="N484" s="128"/>
      <c r="O484" s="128"/>
      <c r="P484" s="128"/>
      <c r="Q484" s="128"/>
      <c r="R484" s="128"/>
      <c r="S484" s="128"/>
      <c r="T484" s="128"/>
      <c r="U484" s="129"/>
      <c r="V484" s="128"/>
      <c r="W484" s="128"/>
      <c r="X484" s="128"/>
      <c r="Y484" s="128"/>
      <c r="Z484" s="128"/>
      <c r="AA484" s="128"/>
    </row>
    <row r="485">
      <c r="A485" s="128"/>
      <c r="B485" s="128"/>
      <c r="C485" s="128"/>
      <c r="D485" s="128"/>
      <c r="E485" s="128"/>
      <c r="F485" s="128"/>
      <c r="G485" s="212"/>
      <c r="H485" s="128"/>
      <c r="I485" s="128"/>
      <c r="J485" s="128"/>
      <c r="K485" s="128"/>
      <c r="L485" s="128"/>
      <c r="M485" s="128"/>
      <c r="N485" s="128"/>
      <c r="O485" s="128"/>
      <c r="P485" s="128"/>
      <c r="Q485" s="128"/>
      <c r="R485" s="128"/>
      <c r="S485" s="128"/>
      <c r="T485" s="128"/>
      <c r="U485" s="129"/>
      <c r="V485" s="128"/>
      <c r="W485" s="128"/>
      <c r="X485" s="128"/>
      <c r="Y485" s="128"/>
      <c r="Z485" s="128"/>
      <c r="AA485" s="128"/>
    </row>
    <row r="486">
      <c r="A486" s="128"/>
      <c r="B486" s="128"/>
      <c r="C486" s="128"/>
      <c r="D486" s="128"/>
      <c r="E486" s="128"/>
      <c r="F486" s="128"/>
      <c r="G486" s="212"/>
      <c r="H486" s="128"/>
      <c r="I486" s="128"/>
      <c r="J486" s="128"/>
      <c r="K486" s="128"/>
      <c r="L486" s="128"/>
      <c r="M486" s="128"/>
      <c r="N486" s="128"/>
      <c r="O486" s="128"/>
      <c r="P486" s="128"/>
      <c r="Q486" s="128"/>
      <c r="R486" s="128"/>
      <c r="S486" s="128"/>
      <c r="T486" s="128"/>
      <c r="U486" s="129"/>
      <c r="V486" s="128"/>
      <c r="W486" s="128"/>
      <c r="X486" s="128"/>
      <c r="Y486" s="128"/>
      <c r="Z486" s="128"/>
      <c r="AA486" s="128"/>
    </row>
    <row r="487">
      <c r="A487" s="128"/>
      <c r="B487" s="128"/>
      <c r="C487" s="128"/>
      <c r="D487" s="128"/>
      <c r="E487" s="128"/>
      <c r="F487" s="128"/>
      <c r="G487" s="212"/>
      <c r="H487" s="128"/>
      <c r="I487" s="128"/>
      <c r="J487" s="128"/>
      <c r="K487" s="128"/>
      <c r="L487" s="128"/>
      <c r="M487" s="128"/>
      <c r="N487" s="128"/>
      <c r="O487" s="128"/>
      <c r="P487" s="128"/>
      <c r="Q487" s="128"/>
      <c r="R487" s="128"/>
      <c r="S487" s="128"/>
      <c r="T487" s="128"/>
      <c r="U487" s="129"/>
      <c r="V487" s="128"/>
      <c r="W487" s="128"/>
      <c r="X487" s="128"/>
      <c r="Y487" s="128"/>
      <c r="Z487" s="128"/>
      <c r="AA487" s="128"/>
    </row>
    <row r="488">
      <c r="A488" s="128"/>
      <c r="B488" s="128"/>
      <c r="C488" s="128"/>
      <c r="D488" s="128"/>
      <c r="E488" s="128"/>
      <c r="F488" s="128"/>
      <c r="G488" s="212"/>
      <c r="H488" s="128"/>
      <c r="I488" s="128"/>
      <c r="J488" s="128"/>
      <c r="K488" s="128"/>
      <c r="L488" s="128"/>
      <c r="M488" s="128"/>
      <c r="N488" s="128"/>
      <c r="O488" s="128"/>
      <c r="P488" s="128"/>
      <c r="Q488" s="128"/>
      <c r="R488" s="128"/>
      <c r="S488" s="128"/>
      <c r="T488" s="128"/>
      <c r="U488" s="129"/>
      <c r="V488" s="128"/>
      <c r="W488" s="128"/>
      <c r="X488" s="128"/>
      <c r="Y488" s="128"/>
      <c r="Z488" s="128"/>
      <c r="AA488" s="128"/>
    </row>
    <row r="489">
      <c r="A489" s="128"/>
      <c r="B489" s="128"/>
      <c r="C489" s="128"/>
      <c r="D489" s="128"/>
      <c r="E489" s="128"/>
      <c r="F489" s="128"/>
      <c r="G489" s="212"/>
      <c r="H489" s="128"/>
      <c r="I489" s="128"/>
      <c r="J489" s="128"/>
      <c r="K489" s="128"/>
      <c r="L489" s="128"/>
      <c r="M489" s="128"/>
      <c r="N489" s="128"/>
      <c r="O489" s="128"/>
      <c r="P489" s="128"/>
      <c r="Q489" s="128"/>
      <c r="R489" s="128"/>
      <c r="S489" s="128"/>
      <c r="T489" s="128"/>
      <c r="U489" s="129"/>
      <c r="V489" s="128"/>
      <c r="W489" s="128"/>
      <c r="X489" s="128"/>
      <c r="Y489" s="128"/>
      <c r="Z489" s="128"/>
      <c r="AA489" s="128"/>
    </row>
    <row r="490">
      <c r="A490" s="128"/>
      <c r="B490" s="128"/>
      <c r="C490" s="128"/>
      <c r="D490" s="128"/>
      <c r="E490" s="128"/>
      <c r="F490" s="128"/>
      <c r="G490" s="212"/>
      <c r="H490" s="128"/>
      <c r="I490" s="128"/>
      <c r="J490" s="128"/>
      <c r="K490" s="128"/>
      <c r="L490" s="128"/>
      <c r="M490" s="128"/>
      <c r="N490" s="128"/>
      <c r="O490" s="128"/>
      <c r="P490" s="128"/>
      <c r="Q490" s="128"/>
      <c r="R490" s="128"/>
      <c r="S490" s="128"/>
      <c r="T490" s="128"/>
      <c r="U490" s="129"/>
      <c r="V490" s="128"/>
      <c r="W490" s="128"/>
      <c r="X490" s="128"/>
      <c r="Y490" s="128"/>
      <c r="Z490" s="128"/>
      <c r="AA490" s="128"/>
    </row>
    <row r="491">
      <c r="A491" s="128"/>
      <c r="B491" s="128"/>
      <c r="C491" s="128"/>
      <c r="D491" s="128"/>
      <c r="E491" s="128"/>
      <c r="F491" s="128"/>
      <c r="G491" s="212"/>
      <c r="H491" s="128"/>
      <c r="I491" s="128"/>
      <c r="J491" s="128"/>
      <c r="K491" s="128"/>
      <c r="L491" s="128"/>
      <c r="M491" s="128"/>
      <c r="N491" s="128"/>
      <c r="O491" s="128"/>
      <c r="P491" s="128"/>
      <c r="Q491" s="128"/>
      <c r="R491" s="128"/>
      <c r="S491" s="128"/>
      <c r="T491" s="128"/>
      <c r="U491" s="129"/>
      <c r="V491" s="128"/>
      <c r="W491" s="128"/>
      <c r="X491" s="128"/>
      <c r="Y491" s="128"/>
      <c r="Z491" s="128"/>
      <c r="AA491" s="128"/>
    </row>
    <row r="492">
      <c r="A492" s="128"/>
      <c r="B492" s="128"/>
      <c r="C492" s="128"/>
      <c r="D492" s="128"/>
      <c r="E492" s="128"/>
      <c r="F492" s="128"/>
      <c r="G492" s="212"/>
      <c r="H492" s="128"/>
      <c r="I492" s="128"/>
      <c r="J492" s="128"/>
      <c r="K492" s="128"/>
      <c r="L492" s="128"/>
      <c r="M492" s="128"/>
      <c r="N492" s="128"/>
      <c r="O492" s="128"/>
      <c r="P492" s="128"/>
      <c r="Q492" s="128"/>
      <c r="R492" s="128"/>
      <c r="S492" s="128"/>
      <c r="T492" s="128"/>
      <c r="U492" s="129"/>
      <c r="V492" s="128"/>
      <c r="W492" s="128"/>
      <c r="X492" s="128"/>
      <c r="Y492" s="128"/>
      <c r="Z492" s="128"/>
      <c r="AA492" s="128"/>
    </row>
    <row r="493">
      <c r="A493" s="128"/>
      <c r="B493" s="128"/>
      <c r="C493" s="128"/>
      <c r="D493" s="128"/>
      <c r="E493" s="128"/>
      <c r="F493" s="128"/>
      <c r="G493" s="212"/>
      <c r="H493" s="128"/>
      <c r="I493" s="128"/>
      <c r="J493" s="128"/>
      <c r="K493" s="128"/>
      <c r="L493" s="128"/>
      <c r="M493" s="128"/>
      <c r="N493" s="128"/>
      <c r="O493" s="128"/>
      <c r="P493" s="128"/>
      <c r="Q493" s="128"/>
      <c r="R493" s="128"/>
      <c r="S493" s="128"/>
      <c r="T493" s="128"/>
      <c r="U493" s="129"/>
      <c r="V493" s="128"/>
      <c r="W493" s="128"/>
      <c r="X493" s="128"/>
      <c r="Y493" s="128"/>
      <c r="Z493" s="128"/>
      <c r="AA493" s="128"/>
    </row>
    <row r="494">
      <c r="A494" s="128"/>
      <c r="B494" s="128"/>
      <c r="C494" s="128"/>
      <c r="D494" s="128"/>
      <c r="E494" s="128"/>
      <c r="F494" s="128"/>
      <c r="G494" s="212"/>
      <c r="H494" s="128"/>
      <c r="I494" s="128"/>
      <c r="J494" s="128"/>
      <c r="K494" s="128"/>
      <c r="L494" s="128"/>
      <c r="M494" s="128"/>
      <c r="N494" s="128"/>
      <c r="O494" s="128"/>
      <c r="P494" s="128"/>
      <c r="Q494" s="128"/>
      <c r="R494" s="128"/>
      <c r="S494" s="128"/>
      <c r="T494" s="128"/>
      <c r="U494" s="129"/>
      <c r="V494" s="128"/>
      <c r="W494" s="128"/>
      <c r="X494" s="128"/>
      <c r="Y494" s="128"/>
      <c r="Z494" s="128"/>
      <c r="AA494" s="128"/>
    </row>
    <row r="495">
      <c r="A495" s="128"/>
      <c r="B495" s="128"/>
      <c r="C495" s="128"/>
      <c r="D495" s="128"/>
      <c r="E495" s="128"/>
      <c r="F495" s="128"/>
      <c r="G495" s="212"/>
      <c r="H495" s="128"/>
      <c r="I495" s="128"/>
      <c r="J495" s="128"/>
      <c r="K495" s="128"/>
      <c r="L495" s="128"/>
      <c r="M495" s="128"/>
      <c r="N495" s="128"/>
      <c r="O495" s="128"/>
      <c r="P495" s="128"/>
      <c r="Q495" s="128"/>
      <c r="R495" s="128"/>
      <c r="S495" s="128"/>
      <c r="T495" s="128"/>
      <c r="U495" s="129"/>
      <c r="V495" s="128"/>
      <c r="W495" s="128"/>
      <c r="X495" s="128"/>
      <c r="Y495" s="128"/>
      <c r="Z495" s="128"/>
      <c r="AA495" s="128"/>
    </row>
    <row r="496">
      <c r="A496" s="128"/>
      <c r="B496" s="128"/>
      <c r="C496" s="128"/>
      <c r="D496" s="128"/>
      <c r="E496" s="128"/>
      <c r="F496" s="128"/>
      <c r="G496" s="212"/>
      <c r="H496" s="128"/>
      <c r="I496" s="128"/>
      <c r="J496" s="128"/>
      <c r="K496" s="128"/>
      <c r="L496" s="128"/>
      <c r="M496" s="128"/>
      <c r="N496" s="128"/>
      <c r="O496" s="128"/>
      <c r="P496" s="128"/>
      <c r="Q496" s="128"/>
      <c r="R496" s="128"/>
      <c r="S496" s="128"/>
      <c r="T496" s="128"/>
      <c r="U496" s="129"/>
      <c r="V496" s="128"/>
      <c r="W496" s="128"/>
      <c r="X496" s="128"/>
      <c r="Y496" s="128"/>
      <c r="Z496" s="128"/>
      <c r="AA496" s="128"/>
    </row>
    <row r="497">
      <c r="A497" s="128"/>
      <c r="B497" s="128"/>
      <c r="C497" s="128"/>
      <c r="D497" s="128"/>
      <c r="E497" s="128"/>
      <c r="F497" s="128"/>
      <c r="G497" s="212"/>
      <c r="H497" s="128"/>
      <c r="I497" s="128"/>
      <c r="J497" s="128"/>
      <c r="K497" s="128"/>
      <c r="L497" s="128"/>
      <c r="M497" s="128"/>
      <c r="N497" s="128"/>
      <c r="O497" s="128"/>
      <c r="P497" s="128"/>
      <c r="Q497" s="128"/>
      <c r="R497" s="128"/>
      <c r="S497" s="128"/>
      <c r="T497" s="128"/>
      <c r="U497" s="129"/>
      <c r="V497" s="128"/>
      <c r="W497" s="128"/>
      <c r="X497" s="128"/>
      <c r="Y497" s="128"/>
      <c r="Z497" s="128"/>
      <c r="AA497" s="128"/>
    </row>
    <row r="498">
      <c r="A498" s="128"/>
      <c r="B498" s="128"/>
      <c r="C498" s="128"/>
      <c r="D498" s="128"/>
      <c r="E498" s="128"/>
      <c r="F498" s="128"/>
      <c r="G498" s="212"/>
      <c r="H498" s="128"/>
      <c r="I498" s="128"/>
      <c r="J498" s="128"/>
      <c r="K498" s="128"/>
      <c r="L498" s="128"/>
      <c r="M498" s="128"/>
      <c r="N498" s="128"/>
      <c r="O498" s="128"/>
      <c r="P498" s="128"/>
      <c r="Q498" s="128"/>
      <c r="R498" s="128"/>
      <c r="S498" s="128"/>
      <c r="T498" s="128"/>
      <c r="U498" s="129"/>
      <c r="V498" s="128"/>
      <c r="W498" s="128"/>
      <c r="X498" s="128"/>
      <c r="Y498" s="128"/>
      <c r="Z498" s="128"/>
      <c r="AA498" s="128"/>
    </row>
    <row r="499">
      <c r="A499" s="128"/>
      <c r="B499" s="128"/>
      <c r="C499" s="128"/>
      <c r="D499" s="128"/>
      <c r="E499" s="128"/>
      <c r="F499" s="128"/>
      <c r="G499" s="212"/>
      <c r="H499" s="128"/>
      <c r="I499" s="128"/>
      <c r="J499" s="128"/>
      <c r="K499" s="128"/>
      <c r="L499" s="128"/>
      <c r="M499" s="128"/>
      <c r="N499" s="128"/>
      <c r="O499" s="128"/>
      <c r="P499" s="128"/>
      <c r="Q499" s="128"/>
      <c r="R499" s="128"/>
      <c r="S499" s="128"/>
      <c r="T499" s="128"/>
      <c r="U499" s="129"/>
      <c r="V499" s="128"/>
      <c r="W499" s="128"/>
      <c r="X499" s="128"/>
      <c r="Y499" s="128"/>
      <c r="Z499" s="128"/>
      <c r="AA499" s="128"/>
    </row>
    <row r="500">
      <c r="A500" s="128"/>
      <c r="B500" s="128"/>
      <c r="C500" s="128"/>
      <c r="D500" s="128"/>
      <c r="E500" s="128"/>
      <c r="F500" s="128"/>
      <c r="G500" s="212"/>
      <c r="H500" s="128"/>
      <c r="I500" s="128"/>
      <c r="J500" s="128"/>
      <c r="K500" s="128"/>
      <c r="L500" s="128"/>
      <c r="M500" s="128"/>
      <c r="N500" s="128"/>
      <c r="O500" s="128"/>
      <c r="P500" s="128"/>
      <c r="Q500" s="128"/>
      <c r="R500" s="128"/>
      <c r="S500" s="128"/>
      <c r="T500" s="128"/>
      <c r="U500" s="129"/>
      <c r="V500" s="128"/>
      <c r="W500" s="128"/>
      <c r="X500" s="128"/>
      <c r="Y500" s="128"/>
      <c r="Z500" s="128"/>
      <c r="AA500" s="128"/>
    </row>
    <row r="501">
      <c r="A501" s="128"/>
      <c r="B501" s="128"/>
      <c r="C501" s="128"/>
      <c r="D501" s="128"/>
      <c r="E501" s="128"/>
      <c r="F501" s="128"/>
      <c r="G501" s="212"/>
      <c r="H501" s="128"/>
      <c r="I501" s="128"/>
      <c r="J501" s="128"/>
      <c r="K501" s="128"/>
      <c r="L501" s="128"/>
      <c r="M501" s="128"/>
      <c r="N501" s="128"/>
      <c r="O501" s="128"/>
      <c r="P501" s="128"/>
      <c r="Q501" s="128"/>
      <c r="R501" s="128"/>
      <c r="S501" s="128"/>
      <c r="T501" s="128"/>
      <c r="U501" s="129"/>
      <c r="V501" s="128"/>
      <c r="W501" s="128"/>
      <c r="X501" s="128"/>
      <c r="Y501" s="128"/>
      <c r="Z501" s="128"/>
      <c r="AA501" s="128"/>
    </row>
    <row r="502">
      <c r="A502" s="128"/>
      <c r="B502" s="128"/>
      <c r="C502" s="128"/>
      <c r="D502" s="128"/>
      <c r="E502" s="128"/>
      <c r="F502" s="128"/>
      <c r="G502" s="212"/>
      <c r="H502" s="128"/>
      <c r="I502" s="128"/>
      <c r="J502" s="128"/>
      <c r="K502" s="128"/>
      <c r="L502" s="128"/>
      <c r="M502" s="128"/>
      <c r="N502" s="128"/>
      <c r="O502" s="128"/>
      <c r="P502" s="128"/>
      <c r="Q502" s="128"/>
      <c r="R502" s="128"/>
      <c r="S502" s="128"/>
      <c r="T502" s="128"/>
      <c r="U502" s="129"/>
      <c r="V502" s="128"/>
      <c r="W502" s="128"/>
      <c r="X502" s="128"/>
      <c r="Y502" s="128"/>
      <c r="Z502" s="128"/>
      <c r="AA502" s="128"/>
    </row>
    <row r="503">
      <c r="A503" s="128"/>
      <c r="B503" s="128"/>
      <c r="C503" s="128"/>
      <c r="D503" s="128"/>
      <c r="E503" s="128"/>
      <c r="F503" s="128"/>
      <c r="G503" s="212"/>
      <c r="H503" s="128"/>
      <c r="I503" s="128"/>
      <c r="J503" s="128"/>
      <c r="K503" s="128"/>
      <c r="L503" s="128"/>
      <c r="M503" s="128"/>
      <c r="N503" s="128"/>
      <c r="O503" s="128"/>
      <c r="P503" s="128"/>
      <c r="Q503" s="128"/>
      <c r="R503" s="128"/>
      <c r="S503" s="128"/>
      <c r="T503" s="128"/>
      <c r="U503" s="129"/>
      <c r="V503" s="128"/>
      <c r="W503" s="128"/>
      <c r="X503" s="128"/>
      <c r="Y503" s="128"/>
      <c r="Z503" s="128"/>
      <c r="AA503" s="128"/>
    </row>
    <row r="504">
      <c r="A504" s="128"/>
      <c r="B504" s="128"/>
      <c r="C504" s="128"/>
      <c r="D504" s="128"/>
      <c r="E504" s="128"/>
      <c r="F504" s="128"/>
      <c r="G504" s="212"/>
      <c r="H504" s="128"/>
      <c r="I504" s="128"/>
      <c r="J504" s="128"/>
      <c r="K504" s="128"/>
      <c r="L504" s="128"/>
      <c r="M504" s="128"/>
      <c r="N504" s="128"/>
      <c r="O504" s="128"/>
      <c r="P504" s="128"/>
      <c r="Q504" s="128"/>
      <c r="R504" s="128"/>
      <c r="S504" s="128"/>
      <c r="T504" s="128"/>
      <c r="U504" s="129"/>
      <c r="V504" s="128"/>
      <c r="W504" s="128"/>
      <c r="X504" s="128"/>
      <c r="Y504" s="128"/>
      <c r="Z504" s="128"/>
      <c r="AA504" s="128"/>
    </row>
    <row r="505">
      <c r="A505" s="128"/>
      <c r="B505" s="128"/>
      <c r="C505" s="128"/>
      <c r="D505" s="128"/>
      <c r="E505" s="128"/>
      <c r="F505" s="128"/>
      <c r="G505" s="212"/>
      <c r="H505" s="128"/>
      <c r="I505" s="128"/>
      <c r="J505" s="128"/>
      <c r="K505" s="128"/>
      <c r="L505" s="128"/>
      <c r="M505" s="128"/>
      <c r="N505" s="128"/>
      <c r="O505" s="128"/>
      <c r="P505" s="128"/>
      <c r="Q505" s="128"/>
      <c r="R505" s="128"/>
      <c r="S505" s="128"/>
      <c r="T505" s="128"/>
      <c r="U505" s="129"/>
      <c r="V505" s="128"/>
      <c r="W505" s="128"/>
      <c r="X505" s="128"/>
      <c r="Y505" s="128"/>
      <c r="Z505" s="128"/>
      <c r="AA505" s="128"/>
    </row>
    <row r="506">
      <c r="A506" s="128"/>
      <c r="B506" s="128"/>
      <c r="C506" s="128"/>
      <c r="D506" s="128"/>
      <c r="E506" s="128"/>
      <c r="F506" s="128"/>
      <c r="G506" s="212"/>
      <c r="H506" s="128"/>
      <c r="I506" s="128"/>
      <c r="J506" s="128"/>
      <c r="K506" s="128"/>
      <c r="L506" s="128"/>
      <c r="M506" s="128"/>
      <c r="N506" s="128"/>
      <c r="O506" s="128"/>
      <c r="P506" s="128"/>
      <c r="Q506" s="128"/>
      <c r="R506" s="128"/>
      <c r="S506" s="128"/>
      <c r="T506" s="128"/>
      <c r="U506" s="129"/>
      <c r="V506" s="128"/>
      <c r="W506" s="128"/>
      <c r="X506" s="128"/>
      <c r="Y506" s="128"/>
      <c r="Z506" s="128"/>
      <c r="AA506" s="128"/>
    </row>
    <row r="507">
      <c r="A507" s="128"/>
      <c r="B507" s="128"/>
      <c r="C507" s="128"/>
      <c r="D507" s="128"/>
      <c r="E507" s="128"/>
      <c r="F507" s="128"/>
      <c r="G507" s="212"/>
      <c r="H507" s="128"/>
      <c r="I507" s="128"/>
      <c r="J507" s="128"/>
      <c r="K507" s="128"/>
      <c r="L507" s="128"/>
      <c r="M507" s="128"/>
      <c r="N507" s="128"/>
      <c r="O507" s="128"/>
      <c r="P507" s="128"/>
      <c r="Q507" s="128"/>
      <c r="R507" s="128"/>
      <c r="S507" s="128"/>
      <c r="T507" s="128"/>
      <c r="U507" s="129"/>
      <c r="V507" s="128"/>
      <c r="W507" s="128"/>
      <c r="X507" s="128"/>
      <c r="Y507" s="128"/>
      <c r="Z507" s="128"/>
      <c r="AA507" s="128"/>
    </row>
    <row r="508">
      <c r="A508" s="128"/>
      <c r="B508" s="128"/>
      <c r="C508" s="128"/>
      <c r="D508" s="128"/>
      <c r="E508" s="128"/>
      <c r="F508" s="128"/>
      <c r="G508" s="212"/>
      <c r="H508" s="128"/>
      <c r="I508" s="128"/>
      <c r="J508" s="128"/>
      <c r="K508" s="128"/>
      <c r="L508" s="128"/>
      <c r="M508" s="128"/>
      <c r="N508" s="128"/>
      <c r="O508" s="128"/>
      <c r="P508" s="128"/>
      <c r="Q508" s="128"/>
      <c r="R508" s="128"/>
      <c r="S508" s="128"/>
      <c r="T508" s="128"/>
      <c r="U508" s="129"/>
      <c r="V508" s="128"/>
      <c r="W508" s="128"/>
      <c r="X508" s="128"/>
      <c r="Y508" s="128"/>
      <c r="Z508" s="128"/>
      <c r="AA508" s="128"/>
    </row>
    <row r="509">
      <c r="A509" s="128"/>
      <c r="B509" s="128"/>
      <c r="C509" s="128"/>
      <c r="D509" s="128"/>
      <c r="E509" s="128"/>
      <c r="F509" s="128"/>
      <c r="G509" s="212"/>
      <c r="H509" s="128"/>
      <c r="I509" s="128"/>
      <c r="J509" s="128"/>
      <c r="K509" s="128"/>
      <c r="L509" s="128"/>
      <c r="M509" s="128"/>
      <c r="N509" s="128"/>
      <c r="O509" s="128"/>
      <c r="P509" s="128"/>
      <c r="Q509" s="128"/>
      <c r="R509" s="128"/>
      <c r="S509" s="128"/>
      <c r="T509" s="128"/>
      <c r="U509" s="129"/>
      <c r="V509" s="128"/>
      <c r="W509" s="128"/>
      <c r="X509" s="128"/>
      <c r="Y509" s="128"/>
      <c r="Z509" s="128"/>
      <c r="AA509" s="128"/>
    </row>
    <row r="510">
      <c r="A510" s="128"/>
      <c r="B510" s="128"/>
      <c r="C510" s="128"/>
      <c r="D510" s="128"/>
      <c r="E510" s="128"/>
      <c r="F510" s="128"/>
      <c r="G510" s="212"/>
      <c r="H510" s="128"/>
      <c r="I510" s="128"/>
      <c r="J510" s="128"/>
      <c r="K510" s="128"/>
      <c r="L510" s="128"/>
      <c r="M510" s="128"/>
      <c r="N510" s="128"/>
      <c r="O510" s="128"/>
      <c r="P510" s="128"/>
      <c r="Q510" s="128"/>
      <c r="R510" s="128"/>
      <c r="S510" s="128"/>
      <c r="T510" s="128"/>
      <c r="U510" s="129"/>
      <c r="V510" s="128"/>
      <c r="W510" s="128"/>
      <c r="X510" s="128"/>
      <c r="Y510" s="128"/>
      <c r="Z510" s="128"/>
      <c r="AA510" s="128"/>
    </row>
    <row r="511">
      <c r="A511" s="128"/>
      <c r="B511" s="128"/>
      <c r="C511" s="128"/>
      <c r="D511" s="128"/>
      <c r="E511" s="128"/>
      <c r="F511" s="128"/>
      <c r="G511" s="212"/>
      <c r="H511" s="128"/>
      <c r="I511" s="128"/>
      <c r="J511" s="128"/>
      <c r="K511" s="128"/>
      <c r="L511" s="128"/>
      <c r="M511" s="128"/>
      <c r="N511" s="128"/>
      <c r="O511" s="128"/>
      <c r="P511" s="128"/>
      <c r="Q511" s="128"/>
      <c r="R511" s="128"/>
      <c r="S511" s="128"/>
      <c r="T511" s="128"/>
      <c r="U511" s="129"/>
      <c r="V511" s="128"/>
      <c r="W511" s="128"/>
      <c r="X511" s="128"/>
      <c r="Y511" s="128"/>
      <c r="Z511" s="128"/>
      <c r="AA511" s="128"/>
    </row>
    <row r="512">
      <c r="A512" s="128"/>
      <c r="B512" s="128"/>
      <c r="C512" s="128"/>
      <c r="D512" s="128"/>
      <c r="E512" s="128"/>
      <c r="F512" s="128"/>
      <c r="G512" s="212"/>
      <c r="H512" s="128"/>
      <c r="I512" s="128"/>
      <c r="J512" s="128"/>
      <c r="K512" s="128"/>
      <c r="L512" s="128"/>
      <c r="M512" s="128"/>
      <c r="N512" s="128"/>
      <c r="O512" s="128"/>
      <c r="P512" s="128"/>
      <c r="Q512" s="128"/>
      <c r="R512" s="128"/>
      <c r="S512" s="128"/>
      <c r="T512" s="128"/>
      <c r="U512" s="129"/>
      <c r="V512" s="128"/>
      <c r="W512" s="128"/>
      <c r="X512" s="128"/>
      <c r="Y512" s="128"/>
      <c r="Z512" s="128"/>
      <c r="AA512" s="128"/>
    </row>
    <row r="513">
      <c r="A513" s="128"/>
      <c r="B513" s="128"/>
      <c r="C513" s="128"/>
      <c r="D513" s="128"/>
      <c r="E513" s="128"/>
      <c r="F513" s="128"/>
      <c r="G513" s="212"/>
      <c r="H513" s="128"/>
      <c r="I513" s="128"/>
      <c r="J513" s="128"/>
      <c r="K513" s="128"/>
      <c r="L513" s="128"/>
      <c r="M513" s="128"/>
      <c r="N513" s="128"/>
      <c r="O513" s="128"/>
      <c r="P513" s="128"/>
      <c r="Q513" s="128"/>
      <c r="R513" s="128"/>
      <c r="S513" s="128"/>
      <c r="T513" s="128"/>
      <c r="U513" s="129"/>
      <c r="V513" s="128"/>
      <c r="W513" s="128"/>
      <c r="X513" s="128"/>
      <c r="Y513" s="128"/>
      <c r="Z513" s="128"/>
      <c r="AA513" s="128"/>
    </row>
    <row r="514">
      <c r="A514" s="128"/>
      <c r="B514" s="128"/>
      <c r="C514" s="128"/>
      <c r="D514" s="128"/>
      <c r="E514" s="128"/>
      <c r="F514" s="128"/>
      <c r="G514" s="212"/>
      <c r="H514" s="128"/>
      <c r="I514" s="128"/>
      <c r="J514" s="128"/>
      <c r="K514" s="128"/>
      <c r="L514" s="128"/>
      <c r="M514" s="128"/>
      <c r="N514" s="128"/>
      <c r="O514" s="128"/>
      <c r="P514" s="128"/>
      <c r="Q514" s="128"/>
      <c r="R514" s="128"/>
      <c r="S514" s="128"/>
      <c r="T514" s="128"/>
      <c r="U514" s="129"/>
      <c r="V514" s="128"/>
      <c r="W514" s="128"/>
      <c r="X514" s="128"/>
      <c r="Y514" s="128"/>
      <c r="Z514" s="128"/>
      <c r="AA514" s="128"/>
    </row>
    <row r="515">
      <c r="A515" s="128"/>
      <c r="B515" s="128"/>
      <c r="C515" s="128"/>
      <c r="D515" s="128"/>
      <c r="E515" s="128"/>
      <c r="F515" s="128"/>
      <c r="G515" s="212"/>
      <c r="H515" s="128"/>
      <c r="I515" s="128"/>
      <c r="J515" s="128"/>
      <c r="K515" s="128"/>
      <c r="L515" s="128"/>
      <c r="M515" s="128"/>
      <c r="N515" s="128"/>
      <c r="O515" s="128"/>
      <c r="P515" s="128"/>
      <c r="Q515" s="128"/>
      <c r="R515" s="128"/>
      <c r="S515" s="128"/>
      <c r="T515" s="128"/>
      <c r="U515" s="129"/>
      <c r="V515" s="128"/>
      <c r="W515" s="128"/>
      <c r="X515" s="128"/>
      <c r="Y515" s="128"/>
      <c r="Z515" s="128"/>
      <c r="AA515" s="128"/>
    </row>
    <row r="516">
      <c r="A516" s="128"/>
      <c r="B516" s="128"/>
      <c r="C516" s="128"/>
      <c r="D516" s="128"/>
      <c r="E516" s="128"/>
      <c r="F516" s="128"/>
      <c r="G516" s="212"/>
      <c r="H516" s="128"/>
      <c r="I516" s="128"/>
      <c r="J516" s="128"/>
      <c r="K516" s="128"/>
      <c r="L516" s="128"/>
      <c r="M516" s="128"/>
      <c r="N516" s="128"/>
      <c r="O516" s="128"/>
      <c r="P516" s="128"/>
      <c r="Q516" s="128"/>
      <c r="R516" s="128"/>
      <c r="S516" s="128"/>
      <c r="T516" s="128"/>
      <c r="U516" s="129"/>
      <c r="V516" s="128"/>
      <c r="W516" s="128"/>
      <c r="X516" s="128"/>
      <c r="Y516" s="128"/>
      <c r="Z516" s="128"/>
      <c r="AA516" s="128"/>
    </row>
    <row r="517">
      <c r="A517" s="128"/>
      <c r="B517" s="128"/>
      <c r="C517" s="128"/>
      <c r="D517" s="128"/>
      <c r="E517" s="128"/>
      <c r="F517" s="128"/>
      <c r="G517" s="212"/>
      <c r="H517" s="128"/>
      <c r="I517" s="128"/>
      <c r="J517" s="128"/>
      <c r="K517" s="128"/>
      <c r="L517" s="128"/>
      <c r="M517" s="128"/>
      <c r="N517" s="128"/>
      <c r="O517" s="128"/>
      <c r="P517" s="128"/>
      <c r="Q517" s="128"/>
      <c r="R517" s="128"/>
      <c r="S517" s="128"/>
      <c r="T517" s="128"/>
      <c r="U517" s="129"/>
      <c r="V517" s="128"/>
      <c r="W517" s="128"/>
      <c r="X517" s="128"/>
      <c r="Y517" s="128"/>
      <c r="Z517" s="128"/>
      <c r="AA517" s="128"/>
    </row>
    <row r="518">
      <c r="A518" s="128"/>
      <c r="B518" s="128"/>
      <c r="C518" s="128"/>
      <c r="D518" s="128"/>
      <c r="E518" s="128"/>
      <c r="F518" s="128"/>
      <c r="G518" s="212"/>
      <c r="H518" s="128"/>
      <c r="I518" s="128"/>
      <c r="J518" s="128"/>
      <c r="K518" s="128"/>
      <c r="L518" s="128"/>
      <c r="M518" s="128"/>
      <c r="N518" s="128"/>
      <c r="O518" s="128"/>
      <c r="P518" s="128"/>
      <c r="Q518" s="128"/>
      <c r="R518" s="128"/>
      <c r="S518" s="128"/>
      <c r="T518" s="128"/>
      <c r="U518" s="129"/>
      <c r="V518" s="128"/>
      <c r="W518" s="128"/>
      <c r="X518" s="128"/>
      <c r="Y518" s="128"/>
      <c r="Z518" s="128"/>
      <c r="AA518" s="128"/>
    </row>
    <row r="519">
      <c r="A519" s="128"/>
      <c r="B519" s="128"/>
      <c r="C519" s="128"/>
      <c r="D519" s="128"/>
      <c r="E519" s="128"/>
      <c r="F519" s="128"/>
      <c r="G519" s="212"/>
      <c r="H519" s="128"/>
      <c r="I519" s="128"/>
      <c r="J519" s="128"/>
      <c r="K519" s="128"/>
      <c r="L519" s="128"/>
      <c r="M519" s="128"/>
      <c r="N519" s="128"/>
      <c r="O519" s="128"/>
      <c r="P519" s="128"/>
      <c r="Q519" s="128"/>
      <c r="R519" s="128"/>
      <c r="S519" s="128"/>
      <c r="T519" s="128"/>
      <c r="U519" s="129"/>
      <c r="V519" s="128"/>
      <c r="W519" s="128"/>
      <c r="X519" s="128"/>
      <c r="Y519" s="128"/>
      <c r="Z519" s="128"/>
      <c r="AA519" s="128"/>
    </row>
    <row r="520">
      <c r="A520" s="128"/>
      <c r="B520" s="128"/>
      <c r="C520" s="128"/>
      <c r="D520" s="128"/>
      <c r="E520" s="128"/>
      <c r="F520" s="128"/>
      <c r="G520" s="212"/>
      <c r="H520" s="128"/>
      <c r="I520" s="128"/>
      <c r="J520" s="128"/>
      <c r="K520" s="128"/>
      <c r="L520" s="128"/>
      <c r="M520" s="128"/>
      <c r="N520" s="128"/>
      <c r="O520" s="128"/>
      <c r="P520" s="128"/>
      <c r="Q520" s="128"/>
      <c r="R520" s="128"/>
      <c r="S520" s="128"/>
      <c r="T520" s="128"/>
      <c r="U520" s="129"/>
      <c r="V520" s="128"/>
      <c r="W520" s="128"/>
      <c r="X520" s="128"/>
      <c r="Y520" s="128"/>
      <c r="Z520" s="128"/>
      <c r="AA520" s="128"/>
    </row>
    <row r="521">
      <c r="A521" s="128"/>
      <c r="B521" s="128"/>
      <c r="C521" s="128"/>
      <c r="D521" s="128"/>
      <c r="E521" s="128"/>
      <c r="F521" s="128"/>
      <c r="G521" s="212"/>
      <c r="H521" s="128"/>
      <c r="I521" s="128"/>
      <c r="J521" s="128"/>
      <c r="K521" s="128"/>
      <c r="L521" s="128"/>
      <c r="M521" s="128"/>
      <c r="N521" s="128"/>
      <c r="O521" s="128"/>
      <c r="P521" s="128"/>
      <c r="Q521" s="128"/>
      <c r="R521" s="128"/>
      <c r="S521" s="128"/>
      <c r="T521" s="128"/>
      <c r="U521" s="129"/>
      <c r="V521" s="128"/>
      <c r="W521" s="128"/>
      <c r="X521" s="128"/>
      <c r="Y521" s="128"/>
      <c r="Z521" s="128"/>
      <c r="AA521" s="128"/>
    </row>
    <row r="522">
      <c r="A522" s="128"/>
      <c r="B522" s="128"/>
      <c r="C522" s="128"/>
      <c r="D522" s="128"/>
      <c r="E522" s="128"/>
      <c r="F522" s="128"/>
      <c r="G522" s="212"/>
      <c r="H522" s="128"/>
      <c r="I522" s="128"/>
      <c r="J522" s="128"/>
      <c r="K522" s="128"/>
      <c r="L522" s="128"/>
      <c r="M522" s="128"/>
      <c r="N522" s="128"/>
      <c r="O522" s="128"/>
      <c r="P522" s="128"/>
      <c r="Q522" s="128"/>
      <c r="R522" s="128"/>
      <c r="S522" s="128"/>
      <c r="T522" s="128"/>
      <c r="U522" s="129"/>
      <c r="V522" s="128"/>
      <c r="W522" s="128"/>
      <c r="X522" s="128"/>
      <c r="Y522" s="128"/>
      <c r="Z522" s="128"/>
      <c r="AA522" s="128"/>
    </row>
    <row r="523">
      <c r="A523" s="128"/>
      <c r="B523" s="128"/>
      <c r="C523" s="128"/>
      <c r="D523" s="128"/>
      <c r="E523" s="128"/>
      <c r="F523" s="128"/>
      <c r="G523" s="212"/>
      <c r="H523" s="128"/>
      <c r="I523" s="128"/>
      <c r="J523" s="128"/>
      <c r="K523" s="128"/>
      <c r="L523" s="128"/>
      <c r="M523" s="128"/>
      <c r="N523" s="128"/>
      <c r="O523" s="128"/>
      <c r="P523" s="128"/>
      <c r="Q523" s="128"/>
      <c r="R523" s="128"/>
      <c r="S523" s="128"/>
      <c r="T523" s="128"/>
      <c r="U523" s="129"/>
      <c r="V523" s="128"/>
      <c r="W523" s="128"/>
      <c r="X523" s="128"/>
      <c r="Y523" s="128"/>
      <c r="Z523" s="128"/>
      <c r="AA523" s="128"/>
    </row>
    <row r="524">
      <c r="A524" s="128"/>
      <c r="B524" s="128"/>
      <c r="C524" s="128"/>
      <c r="D524" s="128"/>
      <c r="E524" s="128"/>
      <c r="F524" s="128"/>
      <c r="G524" s="212"/>
      <c r="H524" s="128"/>
      <c r="I524" s="128"/>
      <c r="J524" s="128"/>
      <c r="K524" s="128"/>
      <c r="L524" s="128"/>
      <c r="M524" s="128"/>
      <c r="N524" s="128"/>
      <c r="O524" s="128"/>
      <c r="P524" s="128"/>
      <c r="Q524" s="128"/>
      <c r="R524" s="128"/>
      <c r="S524" s="128"/>
      <c r="T524" s="128"/>
      <c r="U524" s="129"/>
      <c r="V524" s="128"/>
      <c r="W524" s="128"/>
      <c r="X524" s="128"/>
      <c r="Y524" s="128"/>
      <c r="Z524" s="128"/>
      <c r="AA524" s="128"/>
    </row>
    <row r="525">
      <c r="A525" s="128"/>
      <c r="B525" s="128"/>
      <c r="C525" s="128"/>
      <c r="D525" s="128"/>
      <c r="E525" s="128"/>
      <c r="F525" s="128"/>
      <c r="G525" s="212"/>
      <c r="H525" s="128"/>
      <c r="I525" s="128"/>
      <c r="J525" s="128"/>
      <c r="K525" s="128"/>
      <c r="L525" s="128"/>
      <c r="M525" s="128"/>
      <c r="N525" s="128"/>
      <c r="O525" s="128"/>
      <c r="P525" s="128"/>
      <c r="Q525" s="128"/>
      <c r="R525" s="128"/>
      <c r="S525" s="128"/>
      <c r="T525" s="128"/>
      <c r="U525" s="129"/>
      <c r="V525" s="128"/>
      <c r="W525" s="128"/>
      <c r="X525" s="128"/>
      <c r="Y525" s="128"/>
      <c r="Z525" s="128"/>
      <c r="AA525" s="128"/>
    </row>
    <row r="526">
      <c r="A526" s="128"/>
      <c r="B526" s="128"/>
      <c r="C526" s="128"/>
      <c r="D526" s="128"/>
      <c r="E526" s="128"/>
      <c r="F526" s="128"/>
      <c r="G526" s="212"/>
      <c r="H526" s="128"/>
      <c r="I526" s="128"/>
      <c r="J526" s="128"/>
      <c r="K526" s="128"/>
      <c r="L526" s="128"/>
      <c r="M526" s="128"/>
      <c r="N526" s="128"/>
      <c r="O526" s="128"/>
      <c r="P526" s="128"/>
      <c r="Q526" s="128"/>
      <c r="R526" s="128"/>
      <c r="S526" s="128"/>
      <c r="T526" s="128"/>
      <c r="U526" s="129"/>
      <c r="V526" s="128"/>
      <c r="W526" s="128"/>
      <c r="X526" s="128"/>
      <c r="Y526" s="128"/>
      <c r="Z526" s="128"/>
      <c r="AA526" s="128"/>
    </row>
    <row r="527">
      <c r="A527" s="128"/>
      <c r="B527" s="128"/>
      <c r="C527" s="128"/>
      <c r="D527" s="128"/>
      <c r="E527" s="128"/>
      <c r="F527" s="128"/>
      <c r="G527" s="212"/>
      <c r="H527" s="128"/>
      <c r="I527" s="128"/>
      <c r="J527" s="128"/>
      <c r="K527" s="128"/>
      <c r="L527" s="128"/>
      <c r="M527" s="128"/>
      <c r="N527" s="128"/>
      <c r="O527" s="128"/>
      <c r="P527" s="128"/>
      <c r="Q527" s="128"/>
      <c r="R527" s="128"/>
      <c r="S527" s="128"/>
      <c r="T527" s="128"/>
      <c r="U527" s="129"/>
      <c r="V527" s="128"/>
      <c r="W527" s="128"/>
      <c r="X527" s="128"/>
      <c r="Y527" s="128"/>
      <c r="Z527" s="128"/>
      <c r="AA527" s="128"/>
    </row>
    <row r="528">
      <c r="A528" s="128"/>
      <c r="B528" s="128"/>
      <c r="C528" s="128"/>
      <c r="D528" s="128"/>
      <c r="E528" s="128"/>
      <c r="F528" s="128"/>
      <c r="G528" s="212"/>
      <c r="H528" s="128"/>
      <c r="I528" s="128"/>
      <c r="J528" s="128"/>
      <c r="K528" s="128"/>
      <c r="L528" s="128"/>
      <c r="M528" s="128"/>
      <c r="N528" s="128"/>
      <c r="O528" s="128"/>
      <c r="P528" s="128"/>
      <c r="Q528" s="128"/>
      <c r="R528" s="128"/>
      <c r="S528" s="128"/>
      <c r="T528" s="128"/>
      <c r="U528" s="129"/>
      <c r="V528" s="128"/>
      <c r="W528" s="128"/>
      <c r="X528" s="128"/>
      <c r="Y528" s="128"/>
      <c r="Z528" s="128"/>
      <c r="AA528" s="128"/>
    </row>
    <row r="529">
      <c r="A529" s="128"/>
      <c r="B529" s="128"/>
      <c r="C529" s="128"/>
      <c r="D529" s="128"/>
      <c r="E529" s="128"/>
      <c r="F529" s="128"/>
      <c r="G529" s="212"/>
      <c r="H529" s="128"/>
      <c r="I529" s="128"/>
      <c r="J529" s="128"/>
      <c r="K529" s="128"/>
      <c r="L529" s="128"/>
      <c r="M529" s="128"/>
      <c r="N529" s="128"/>
      <c r="O529" s="128"/>
      <c r="P529" s="128"/>
      <c r="Q529" s="128"/>
      <c r="R529" s="128"/>
      <c r="S529" s="128"/>
      <c r="T529" s="128"/>
      <c r="U529" s="129"/>
      <c r="V529" s="128"/>
      <c r="W529" s="128"/>
      <c r="X529" s="128"/>
      <c r="Y529" s="128"/>
      <c r="Z529" s="128"/>
      <c r="AA529" s="128"/>
    </row>
    <row r="530">
      <c r="A530" s="128"/>
      <c r="B530" s="128"/>
      <c r="C530" s="128"/>
      <c r="D530" s="128"/>
      <c r="E530" s="128"/>
      <c r="F530" s="128"/>
      <c r="G530" s="212"/>
      <c r="H530" s="128"/>
      <c r="I530" s="128"/>
      <c r="J530" s="128"/>
      <c r="K530" s="128"/>
      <c r="L530" s="128"/>
      <c r="M530" s="128"/>
      <c r="N530" s="128"/>
      <c r="O530" s="128"/>
      <c r="P530" s="128"/>
      <c r="Q530" s="128"/>
      <c r="R530" s="128"/>
      <c r="S530" s="128"/>
      <c r="T530" s="128"/>
      <c r="U530" s="129"/>
      <c r="V530" s="128"/>
      <c r="W530" s="128"/>
      <c r="X530" s="128"/>
      <c r="Y530" s="128"/>
      <c r="Z530" s="128"/>
      <c r="AA530" s="128"/>
    </row>
    <row r="531">
      <c r="A531" s="128"/>
      <c r="B531" s="128"/>
      <c r="C531" s="128"/>
      <c r="D531" s="128"/>
      <c r="E531" s="128"/>
      <c r="F531" s="128"/>
      <c r="G531" s="212"/>
      <c r="H531" s="128"/>
      <c r="I531" s="128"/>
      <c r="J531" s="128"/>
      <c r="K531" s="128"/>
      <c r="L531" s="128"/>
      <c r="M531" s="128"/>
      <c r="N531" s="128"/>
      <c r="O531" s="128"/>
      <c r="P531" s="128"/>
      <c r="Q531" s="128"/>
      <c r="R531" s="128"/>
      <c r="S531" s="128"/>
      <c r="T531" s="128"/>
      <c r="U531" s="129"/>
      <c r="V531" s="128"/>
      <c r="W531" s="128"/>
      <c r="X531" s="128"/>
      <c r="Y531" s="128"/>
      <c r="Z531" s="128"/>
      <c r="AA531" s="128"/>
    </row>
    <row r="532">
      <c r="A532" s="128"/>
      <c r="B532" s="128"/>
      <c r="C532" s="128"/>
      <c r="D532" s="128"/>
      <c r="E532" s="128"/>
      <c r="F532" s="128"/>
      <c r="G532" s="212"/>
      <c r="H532" s="128"/>
      <c r="I532" s="128"/>
      <c r="J532" s="128"/>
      <c r="K532" s="128"/>
      <c r="L532" s="128"/>
      <c r="M532" s="128"/>
      <c r="N532" s="128"/>
      <c r="O532" s="128"/>
      <c r="P532" s="128"/>
      <c r="Q532" s="128"/>
      <c r="R532" s="128"/>
      <c r="S532" s="128"/>
      <c r="T532" s="128"/>
      <c r="U532" s="129"/>
      <c r="V532" s="128"/>
      <c r="W532" s="128"/>
      <c r="X532" s="128"/>
      <c r="Y532" s="128"/>
      <c r="Z532" s="128"/>
      <c r="AA532" s="128"/>
    </row>
    <row r="533">
      <c r="A533" s="128"/>
      <c r="B533" s="128"/>
      <c r="C533" s="128"/>
      <c r="D533" s="128"/>
      <c r="E533" s="128"/>
      <c r="F533" s="128"/>
      <c r="G533" s="212"/>
      <c r="H533" s="128"/>
      <c r="I533" s="128"/>
      <c r="J533" s="128"/>
      <c r="K533" s="128"/>
      <c r="L533" s="128"/>
      <c r="M533" s="128"/>
      <c r="N533" s="128"/>
      <c r="O533" s="128"/>
      <c r="P533" s="128"/>
      <c r="Q533" s="128"/>
      <c r="R533" s="128"/>
      <c r="S533" s="128"/>
      <c r="T533" s="128"/>
      <c r="U533" s="129"/>
      <c r="V533" s="128"/>
      <c r="W533" s="128"/>
      <c r="X533" s="128"/>
      <c r="Y533" s="128"/>
      <c r="Z533" s="128"/>
      <c r="AA533" s="128"/>
    </row>
    <row r="534">
      <c r="A534" s="128"/>
      <c r="B534" s="128"/>
      <c r="C534" s="128"/>
      <c r="D534" s="128"/>
      <c r="E534" s="128"/>
      <c r="F534" s="128"/>
      <c r="G534" s="212"/>
      <c r="H534" s="128"/>
      <c r="I534" s="128"/>
      <c r="J534" s="128"/>
      <c r="K534" s="128"/>
      <c r="L534" s="128"/>
      <c r="M534" s="128"/>
      <c r="N534" s="128"/>
      <c r="O534" s="128"/>
      <c r="P534" s="128"/>
      <c r="Q534" s="128"/>
      <c r="R534" s="128"/>
      <c r="S534" s="128"/>
      <c r="T534" s="128"/>
      <c r="U534" s="129"/>
      <c r="V534" s="128"/>
      <c r="W534" s="128"/>
      <c r="X534" s="128"/>
      <c r="Y534" s="128"/>
      <c r="Z534" s="128"/>
      <c r="AA534" s="128"/>
    </row>
    <row r="535">
      <c r="A535" s="128"/>
      <c r="B535" s="128"/>
      <c r="C535" s="128"/>
      <c r="D535" s="128"/>
      <c r="E535" s="128"/>
      <c r="F535" s="128"/>
      <c r="G535" s="212"/>
      <c r="H535" s="128"/>
      <c r="I535" s="128"/>
      <c r="J535" s="128"/>
      <c r="K535" s="128"/>
      <c r="L535" s="128"/>
      <c r="M535" s="128"/>
      <c r="N535" s="128"/>
      <c r="O535" s="128"/>
      <c r="P535" s="128"/>
      <c r="Q535" s="128"/>
      <c r="R535" s="128"/>
      <c r="S535" s="128"/>
      <c r="T535" s="128"/>
      <c r="U535" s="129"/>
      <c r="V535" s="128"/>
      <c r="W535" s="128"/>
      <c r="X535" s="128"/>
      <c r="Y535" s="128"/>
      <c r="Z535" s="128"/>
      <c r="AA535" s="128"/>
    </row>
    <row r="536">
      <c r="A536" s="128"/>
      <c r="B536" s="128"/>
      <c r="C536" s="128"/>
      <c r="D536" s="128"/>
      <c r="E536" s="128"/>
      <c r="F536" s="128"/>
      <c r="G536" s="212"/>
      <c r="H536" s="128"/>
      <c r="I536" s="128"/>
      <c r="J536" s="128"/>
      <c r="K536" s="128"/>
      <c r="L536" s="128"/>
      <c r="M536" s="128"/>
      <c r="N536" s="128"/>
      <c r="O536" s="128"/>
      <c r="P536" s="128"/>
      <c r="Q536" s="128"/>
      <c r="R536" s="128"/>
      <c r="S536" s="128"/>
      <c r="T536" s="128"/>
      <c r="U536" s="129"/>
      <c r="V536" s="128"/>
      <c r="W536" s="128"/>
      <c r="X536" s="128"/>
      <c r="Y536" s="128"/>
      <c r="Z536" s="128"/>
      <c r="AA536" s="128"/>
    </row>
    <row r="537">
      <c r="A537" s="128"/>
      <c r="B537" s="128"/>
      <c r="C537" s="128"/>
      <c r="D537" s="128"/>
      <c r="E537" s="128"/>
      <c r="F537" s="128"/>
      <c r="G537" s="212"/>
      <c r="H537" s="128"/>
      <c r="I537" s="128"/>
      <c r="J537" s="128"/>
      <c r="K537" s="128"/>
      <c r="L537" s="128"/>
      <c r="M537" s="128"/>
      <c r="N537" s="128"/>
      <c r="O537" s="128"/>
      <c r="P537" s="128"/>
      <c r="Q537" s="128"/>
      <c r="R537" s="128"/>
      <c r="S537" s="128"/>
      <c r="T537" s="128"/>
      <c r="U537" s="129"/>
      <c r="V537" s="128"/>
      <c r="W537" s="128"/>
      <c r="X537" s="128"/>
      <c r="Y537" s="128"/>
      <c r="Z537" s="128"/>
      <c r="AA537" s="128"/>
    </row>
    <row r="538">
      <c r="A538" s="128"/>
      <c r="B538" s="128"/>
      <c r="C538" s="128"/>
      <c r="D538" s="128"/>
      <c r="E538" s="128"/>
      <c r="F538" s="128"/>
      <c r="G538" s="212"/>
      <c r="H538" s="128"/>
      <c r="I538" s="128"/>
      <c r="J538" s="128"/>
      <c r="K538" s="128"/>
      <c r="L538" s="128"/>
      <c r="M538" s="128"/>
      <c r="N538" s="128"/>
      <c r="O538" s="128"/>
      <c r="P538" s="128"/>
      <c r="Q538" s="128"/>
      <c r="R538" s="128"/>
      <c r="S538" s="128"/>
      <c r="T538" s="128"/>
      <c r="U538" s="129"/>
      <c r="V538" s="128"/>
      <c r="W538" s="128"/>
      <c r="X538" s="128"/>
      <c r="Y538" s="128"/>
      <c r="Z538" s="128"/>
      <c r="AA538" s="128"/>
    </row>
    <row r="539">
      <c r="A539" s="128"/>
      <c r="B539" s="128"/>
      <c r="C539" s="128"/>
      <c r="D539" s="128"/>
      <c r="E539" s="128"/>
      <c r="F539" s="128"/>
      <c r="G539" s="212"/>
      <c r="H539" s="128"/>
      <c r="I539" s="128"/>
      <c r="J539" s="128"/>
      <c r="K539" s="128"/>
      <c r="L539" s="128"/>
      <c r="M539" s="128"/>
      <c r="N539" s="128"/>
      <c r="O539" s="128"/>
      <c r="P539" s="128"/>
      <c r="Q539" s="128"/>
      <c r="R539" s="128"/>
      <c r="S539" s="128"/>
      <c r="T539" s="128"/>
      <c r="U539" s="129"/>
      <c r="V539" s="128"/>
      <c r="W539" s="128"/>
      <c r="X539" s="128"/>
      <c r="Y539" s="128"/>
      <c r="Z539" s="128"/>
      <c r="AA539" s="128"/>
    </row>
    <row r="540">
      <c r="A540" s="128"/>
      <c r="B540" s="128"/>
      <c r="C540" s="128"/>
      <c r="D540" s="128"/>
      <c r="E540" s="128"/>
      <c r="F540" s="128"/>
      <c r="G540" s="212"/>
      <c r="H540" s="128"/>
      <c r="I540" s="128"/>
      <c r="J540" s="128"/>
      <c r="K540" s="128"/>
      <c r="L540" s="128"/>
      <c r="M540" s="128"/>
      <c r="N540" s="128"/>
      <c r="O540" s="128"/>
      <c r="P540" s="128"/>
      <c r="Q540" s="128"/>
      <c r="R540" s="128"/>
      <c r="S540" s="128"/>
      <c r="T540" s="128"/>
      <c r="U540" s="129"/>
      <c r="V540" s="128"/>
      <c r="W540" s="128"/>
      <c r="X540" s="128"/>
      <c r="Y540" s="128"/>
      <c r="Z540" s="128"/>
      <c r="AA540" s="128"/>
    </row>
    <row r="541">
      <c r="A541" s="128"/>
      <c r="B541" s="128"/>
      <c r="C541" s="128"/>
      <c r="D541" s="128"/>
      <c r="E541" s="128"/>
      <c r="F541" s="128"/>
      <c r="G541" s="212"/>
      <c r="H541" s="128"/>
      <c r="I541" s="128"/>
      <c r="J541" s="128"/>
      <c r="K541" s="128"/>
      <c r="L541" s="128"/>
      <c r="M541" s="128"/>
      <c r="N541" s="128"/>
      <c r="O541" s="128"/>
      <c r="P541" s="128"/>
      <c r="Q541" s="128"/>
      <c r="R541" s="128"/>
      <c r="S541" s="128"/>
      <c r="T541" s="128"/>
      <c r="U541" s="129"/>
      <c r="V541" s="128"/>
      <c r="W541" s="128"/>
      <c r="X541" s="128"/>
      <c r="Y541" s="128"/>
      <c r="Z541" s="128"/>
      <c r="AA541" s="128"/>
    </row>
    <row r="542">
      <c r="A542" s="128"/>
      <c r="B542" s="128"/>
      <c r="C542" s="128"/>
      <c r="D542" s="128"/>
      <c r="E542" s="128"/>
      <c r="F542" s="128"/>
      <c r="G542" s="212"/>
      <c r="H542" s="128"/>
      <c r="I542" s="128"/>
      <c r="J542" s="128"/>
      <c r="K542" s="128"/>
      <c r="L542" s="128"/>
      <c r="M542" s="128"/>
      <c r="N542" s="128"/>
      <c r="O542" s="128"/>
      <c r="P542" s="128"/>
      <c r="Q542" s="128"/>
      <c r="R542" s="128"/>
      <c r="S542" s="128"/>
      <c r="T542" s="128"/>
      <c r="U542" s="129"/>
      <c r="V542" s="128"/>
      <c r="W542" s="128"/>
      <c r="X542" s="128"/>
      <c r="Y542" s="128"/>
      <c r="Z542" s="128"/>
      <c r="AA542" s="128"/>
    </row>
    <row r="543">
      <c r="A543" s="128"/>
      <c r="B543" s="128"/>
      <c r="C543" s="128"/>
      <c r="D543" s="128"/>
      <c r="E543" s="128"/>
      <c r="F543" s="128"/>
      <c r="G543" s="212"/>
      <c r="H543" s="128"/>
      <c r="I543" s="128"/>
      <c r="J543" s="128"/>
      <c r="K543" s="128"/>
      <c r="L543" s="128"/>
      <c r="M543" s="128"/>
      <c r="N543" s="128"/>
      <c r="O543" s="128"/>
      <c r="P543" s="128"/>
      <c r="Q543" s="128"/>
      <c r="R543" s="128"/>
      <c r="S543" s="128"/>
      <c r="T543" s="128"/>
      <c r="U543" s="129"/>
      <c r="V543" s="128"/>
      <c r="W543" s="128"/>
      <c r="X543" s="128"/>
      <c r="Y543" s="128"/>
      <c r="Z543" s="128"/>
      <c r="AA543" s="128"/>
    </row>
    <row r="544">
      <c r="A544" s="128"/>
      <c r="B544" s="128"/>
      <c r="C544" s="128"/>
      <c r="D544" s="128"/>
      <c r="E544" s="128"/>
      <c r="F544" s="128"/>
      <c r="G544" s="212"/>
      <c r="H544" s="128"/>
      <c r="I544" s="128"/>
      <c r="J544" s="128"/>
      <c r="K544" s="128"/>
      <c r="L544" s="128"/>
      <c r="M544" s="128"/>
      <c r="N544" s="128"/>
      <c r="O544" s="128"/>
      <c r="P544" s="128"/>
      <c r="Q544" s="128"/>
      <c r="R544" s="128"/>
      <c r="S544" s="128"/>
      <c r="T544" s="128"/>
      <c r="U544" s="129"/>
      <c r="V544" s="128"/>
      <c r="W544" s="128"/>
      <c r="X544" s="128"/>
      <c r="Y544" s="128"/>
      <c r="Z544" s="128"/>
      <c r="AA544" s="128"/>
    </row>
    <row r="545">
      <c r="A545" s="128"/>
      <c r="B545" s="128"/>
      <c r="C545" s="128"/>
      <c r="D545" s="128"/>
      <c r="E545" s="128"/>
      <c r="F545" s="128"/>
      <c r="G545" s="212"/>
      <c r="H545" s="128"/>
      <c r="I545" s="128"/>
      <c r="J545" s="128"/>
      <c r="K545" s="128"/>
      <c r="L545" s="128"/>
      <c r="M545" s="128"/>
      <c r="N545" s="128"/>
      <c r="O545" s="128"/>
      <c r="P545" s="128"/>
      <c r="Q545" s="128"/>
      <c r="R545" s="128"/>
      <c r="S545" s="128"/>
      <c r="T545" s="128"/>
      <c r="U545" s="129"/>
      <c r="V545" s="128"/>
      <c r="W545" s="128"/>
      <c r="X545" s="128"/>
      <c r="Y545" s="128"/>
      <c r="Z545" s="128"/>
      <c r="AA545" s="128"/>
    </row>
    <row r="546">
      <c r="A546" s="128"/>
      <c r="B546" s="128"/>
      <c r="C546" s="128"/>
      <c r="D546" s="128"/>
      <c r="E546" s="128"/>
      <c r="F546" s="128"/>
      <c r="G546" s="212"/>
      <c r="H546" s="128"/>
      <c r="I546" s="128"/>
      <c r="J546" s="128"/>
      <c r="K546" s="128"/>
      <c r="L546" s="128"/>
      <c r="M546" s="128"/>
      <c r="N546" s="128"/>
      <c r="O546" s="128"/>
      <c r="P546" s="128"/>
      <c r="Q546" s="128"/>
      <c r="R546" s="128"/>
      <c r="S546" s="128"/>
      <c r="T546" s="128"/>
      <c r="U546" s="129"/>
      <c r="V546" s="128"/>
      <c r="W546" s="128"/>
      <c r="X546" s="128"/>
      <c r="Y546" s="128"/>
      <c r="Z546" s="128"/>
      <c r="AA546" s="128"/>
    </row>
    <row r="547">
      <c r="A547" s="128"/>
      <c r="B547" s="128"/>
      <c r="C547" s="128"/>
      <c r="D547" s="128"/>
      <c r="E547" s="128"/>
      <c r="F547" s="128"/>
      <c r="G547" s="212"/>
      <c r="H547" s="128"/>
      <c r="I547" s="128"/>
      <c r="J547" s="128"/>
      <c r="K547" s="128"/>
      <c r="L547" s="128"/>
      <c r="M547" s="128"/>
      <c r="N547" s="128"/>
      <c r="O547" s="128"/>
      <c r="P547" s="128"/>
      <c r="Q547" s="128"/>
      <c r="R547" s="128"/>
      <c r="S547" s="128"/>
      <c r="T547" s="128"/>
      <c r="U547" s="129"/>
      <c r="V547" s="128"/>
      <c r="W547" s="128"/>
      <c r="X547" s="128"/>
      <c r="Y547" s="128"/>
      <c r="Z547" s="128"/>
      <c r="AA547" s="128"/>
    </row>
    <row r="548">
      <c r="A548" s="128"/>
      <c r="B548" s="128"/>
      <c r="C548" s="128"/>
      <c r="D548" s="128"/>
      <c r="E548" s="128"/>
      <c r="F548" s="128"/>
      <c r="G548" s="212"/>
      <c r="H548" s="128"/>
      <c r="I548" s="128"/>
      <c r="J548" s="128"/>
      <c r="K548" s="128"/>
      <c r="L548" s="128"/>
      <c r="M548" s="128"/>
      <c r="N548" s="128"/>
      <c r="O548" s="128"/>
      <c r="P548" s="128"/>
      <c r="Q548" s="128"/>
      <c r="R548" s="128"/>
      <c r="S548" s="128"/>
      <c r="T548" s="128"/>
      <c r="U548" s="129"/>
      <c r="V548" s="128"/>
      <c r="W548" s="128"/>
      <c r="X548" s="128"/>
      <c r="Y548" s="128"/>
      <c r="Z548" s="128"/>
      <c r="AA548" s="128"/>
    </row>
    <row r="549">
      <c r="A549" s="128"/>
      <c r="B549" s="128"/>
      <c r="C549" s="128"/>
      <c r="D549" s="128"/>
      <c r="E549" s="128"/>
      <c r="F549" s="128"/>
      <c r="G549" s="212"/>
      <c r="H549" s="128"/>
      <c r="I549" s="128"/>
      <c r="J549" s="128"/>
      <c r="K549" s="128"/>
      <c r="L549" s="128"/>
      <c r="M549" s="128"/>
      <c r="N549" s="128"/>
      <c r="O549" s="128"/>
      <c r="P549" s="128"/>
      <c r="Q549" s="128"/>
      <c r="R549" s="128"/>
      <c r="S549" s="128"/>
      <c r="T549" s="128"/>
      <c r="U549" s="129"/>
      <c r="V549" s="128"/>
      <c r="W549" s="128"/>
      <c r="X549" s="128"/>
      <c r="Y549" s="128"/>
      <c r="Z549" s="128"/>
      <c r="AA549" s="128"/>
    </row>
    <row r="550">
      <c r="A550" s="128"/>
      <c r="B550" s="128"/>
      <c r="C550" s="128"/>
      <c r="D550" s="128"/>
      <c r="E550" s="128"/>
      <c r="F550" s="128"/>
      <c r="G550" s="212"/>
      <c r="H550" s="128"/>
      <c r="I550" s="128"/>
      <c r="J550" s="128"/>
      <c r="K550" s="128"/>
      <c r="L550" s="128"/>
      <c r="M550" s="128"/>
      <c r="N550" s="128"/>
      <c r="O550" s="128"/>
      <c r="P550" s="128"/>
      <c r="Q550" s="128"/>
      <c r="R550" s="128"/>
      <c r="S550" s="128"/>
      <c r="T550" s="128"/>
      <c r="U550" s="129"/>
      <c r="V550" s="128"/>
      <c r="W550" s="128"/>
      <c r="X550" s="128"/>
      <c r="Y550" s="128"/>
      <c r="Z550" s="128"/>
      <c r="AA550" s="128"/>
    </row>
    <row r="551">
      <c r="A551" s="128"/>
      <c r="B551" s="128"/>
      <c r="C551" s="128"/>
      <c r="D551" s="128"/>
      <c r="E551" s="128"/>
      <c r="F551" s="128"/>
      <c r="G551" s="212"/>
      <c r="H551" s="128"/>
      <c r="I551" s="128"/>
      <c r="J551" s="128"/>
      <c r="K551" s="128"/>
      <c r="L551" s="128"/>
      <c r="M551" s="128"/>
      <c r="N551" s="128"/>
      <c r="O551" s="128"/>
      <c r="P551" s="128"/>
      <c r="Q551" s="128"/>
      <c r="R551" s="128"/>
      <c r="S551" s="128"/>
      <c r="T551" s="128"/>
      <c r="U551" s="129"/>
      <c r="V551" s="128"/>
      <c r="W551" s="128"/>
      <c r="X551" s="128"/>
      <c r="Y551" s="128"/>
      <c r="Z551" s="128"/>
      <c r="AA551" s="128"/>
    </row>
    <row r="552">
      <c r="A552" s="128"/>
      <c r="B552" s="128"/>
      <c r="C552" s="128"/>
      <c r="D552" s="128"/>
      <c r="E552" s="128"/>
      <c r="F552" s="128"/>
      <c r="G552" s="212"/>
      <c r="H552" s="128"/>
      <c r="I552" s="128"/>
      <c r="J552" s="128"/>
      <c r="K552" s="128"/>
      <c r="L552" s="128"/>
      <c r="M552" s="128"/>
      <c r="N552" s="128"/>
      <c r="O552" s="128"/>
      <c r="P552" s="128"/>
      <c r="Q552" s="128"/>
      <c r="R552" s="128"/>
      <c r="S552" s="128"/>
      <c r="T552" s="128"/>
      <c r="U552" s="129"/>
      <c r="V552" s="128"/>
      <c r="W552" s="128"/>
      <c r="X552" s="128"/>
      <c r="Y552" s="128"/>
      <c r="Z552" s="128"/>
      <c r="AA552" s="128"/>
    </row>
    <row r="553">
      <c r="A553" s="128"/>
      <c r="B553" s="128"/>
      <c r="C553" s="128"/>
      <c r="D553" s="128"/>
      <c r="E553" s="128"/>
      <c r="F553" s="128"/>
      <c r="G553" s="212"/>
      <c r="H553" s="128"/>
      <c r="I553" s="128"/>
      <c r="J553" s="128"/>
      <c r="K553" s="128"/>
      <c r="L553" s="128"/>
      <c r="M553" s="128"/>
      <c r="N553" s="128"/>
      <c r="O553" s="128"/>
      <c r="P553" s="128"/>
      <c r="Q553" s="128"/>
      <c r="R553" s="128"/>
      <c r="S553" s="128"/>
      <c r="T553" s="128"/>
      <c r="U553" s="129"/>
      <c r="V553" s="128"/>
      <c r="W553" s="128"/>
      <c r="X553" s="128"/>
      <c r="Y553" s="128"/>
      <c r="Z553" s="128"/>
      <c r="AA553" s="128"/>
    </row>
    <row r="554">
      <c r="A554" s="128"/>
      <c r="B554" s="128"/>
      <c r="C554" s="128"/>
      <c r="D554" s="128"/>
      <c r="E554" s="128"/>
      <c r="F554" s="128"/>
      <c r="G554" s="212"/>
      <c r="H554" s="128"/>
      <c r="I554" s="128"/>
      <c r="J554" s="128"/>
      <c r="K554" s="128"/>
      <c r="L554" s="128"/>
      <c r="M554" s="128"/>
      <c r="N554" s="128"/>
      <c r="O554" s="128"/>
      <c r="P554" s="128"/>
      <c r="Q554" s="128"/>
      <c r="R554" s="128"/>
      <c r="S554" s="128"/>
      <c r="T554" s="128"/>
      <c r="U554" s="129"/>
      <c r="V554" s="128"/>
      <c r="W554" s="128"/>
      <c r="X554" s="128"/>
      <c r="Y554" s="128"/>
      <c r="Z554" s="128"/>
      <c r="AA554" s="128"/>
    </row>
    <row r="555">
      <c r="A555" s="128"/>
      <c r="B555" s="128"/>
      <c r="C555" s="128"/>
      <c r="D555" s="128"/>
      <c r="E555" s="128"/>
      <c r="F555" s="128"/>
      <c r="G555" s="212"/>
      <c r="H555" s="128"/>
      <c r="I555" s="128"/>
      <c r="J555" s="128"/>
      <c r="K555" s="128"/>
      <c r="L555" s="128"/>
      <c r="M555" s="128"/>
      <c r="N555" s="128"/>
      <c r="O555" s="128"/>
      <c r="P555" s="128"/>
      <c r="Q555" s="128"/>
      <c r="R555" s="128"/>
      <c r="S555" s="128"/>
      <c r="T555" s="128"/>
      <c r="U555" s="129"/>
      <c r="V555" s="128"/>
      <c r="W555" s="128"/>
      <c r="X555" s="128"/>
      <c r="Y555" s="128"/>
      <c r="Z555" s="128"/>
      <c r="AA555" s="128"/>
    </row>
    <row r="556">
      <c r="A556" s="128"/>
      <c r="B556" s="128"/>
      <c r="C556" s="128"/>
      <c r="D556" s="128"/>
      <c r="E556" s="128"/>
      <c r="F556" s="128"/>
      <c r="G556" s="212"/>
      <c r="H556" s="128"/>
      <c r="I556" s="128"/>
      <c r="J556" s="128"/>
      <c r="K556" s="128"/>
      <c r="L556" s="128"/>
      <c r="M556" s="128"/>
      <c r="N556" s="128"/>
      <c r="O556" s="128"/>
      <c r="P556" s="128"/>
      <c r="Q556" s="128"/>
      <c r="R556" s="128"/>
      <c r="S556" s="128"/>
      <c r="T556" s="128"/>
      <c r="U556" s="129"/>
      <c r="V556" s="128"/>
      <c r="W556" s="128"/>
      <c r="X556" s="128"/>
      <c r="Y556" s="128"/>
      <c r="Z556" s="128"/>
      <c r="AA556" s="128"/>
    </row>
    <row r="557">
      <c r="A557" s="128"/>
      <c r="B557" s="128"/>
      <c r="C557" s="128"/>
      <c r="D557" s="128"/>
      <c r="E557" s="128"/>
      <c r="F557" s="128"/>
      <c r="G557" s="212"/>
      <c r="H557" s="128"/>
      <c r="I557" s="128"/>
      <c r="J557" s="128"/>
      <c r="K557" s="128"/>
      <c r="L557" s="128"/>
      <c r="M557" s="128"/>
      <c r="N557" s="128"/>
      <c r="O557" s="128"/>
      <c r="P557" s="128"/>
      <c r="Q557" s="128"/>
      <c r="R557" s="128"/>
      <c r="S557" s="128"/>
      <c r="T557" s="128"/>
      <c r="U557" s="129"/>
      <c r="V557" s="128"/>
      <c r="W557" s="128"/>
      <c r="X557" s="128"/>
      <c r="Y557" s="128"/>
      <c r="Z557" s="128"/>
      <c r="AA557" s="128"/>
    </row>
    <row r="558">
      <c r="A558" s="128"/>
      <c r="B558" s="128"/>
      <c r="C558" s="128"/>
      <c r="D558" s="128"/>
      <c r="E558" s="128"/>
      <c r="F558" s="128"/>
      <c r="G558" s="212"/>
      <c r="H558" s="128"/>
      <c r="I558" s="128"/>
      <c r="J558" s="128"/>
      <c r="K558" s="128"/>
      <c r="L558" s="128"/>
      <c r="M558" s="128"/>
      <c r="N558" s="128"/>
      <c r="O558" s="128"/>
      <c r="P558" s="128"/>
      <c r="Q558" s="128"/>
      <c r="R558" s="128"/>
      <c r="S558" s="128"/>
      <c r="T558" s="128"/>
      <c r="U558" s="129"/>
      <c r="V558" s="128"/>
      <c r="W558" s="128"/>
      <c r="X558" s="128"/>
      <c r="Y558" s="128"/>
      <c r="Z558" s="128"/>
      <c r="AA558" s="128"/>
    </row>
    <row r="559">
      <c r="A559" s="128"/>
      <c r="B559" s="128"/>
      <c r="C559" s="128"/>
      <c r="D559" s="128"/>
      <c r="E559" s="128"/>
      <c r="F559" s="128"/>
      <c r="G559" s="212"/>
      <c r="H559" s="128"/>
      <c r="I559" s="128"/>
      <c r="J559" s="128"/>
      <c r="K559" s="128"/>
      <c r="L559" s="128"/>
      <c r="M559" s="128"/>
      <c r="N559" s="128"/>
      <c r="O559" s="128"/>
      <c r="P559" s="128"/>
      <c r="Q559" s="128"/>
      <c r="R559" s="128"/>
      <c r="S559" s="128"/>
      <c r="T559" s="128"/>
      <c r="U559" s="129"/>
      <c r="V559" s="128"/>
      <c r="W559" s="128"/>
      <c r="X559" s="128"/>
      <c r="Y559" s="128"/>
      <c r="Z559" s="128"/>
      <c r="AA559" s="128"/>
    </row>
    <row r="560">
      <c r="A560" s="128"/>
      <c r="B560" s="128"/>
      <c r="C560" s="128"/>
      <c r="D560" s="128"/>
      <c r="E560" s="128"/>
      <c r="F560" s="128"/>
      <c r="G560" s="212"/>
      <c r="H560" s="128"/>
      <c r="I560" s="128"/>
      <c r="J560" s="128"/>
      <c r="K560" s="128"/>
      <c r="L560" s="128"/>
      <c r="M560" s="128"/>
      <c r="N560" s="128"/>
      <c r="O560" s="128"/>
      <c r="P560" s="128"/>
      <c r="Q560" s="128"/>
      <c r="R560" s="128"/>
      <c r="S560" s="128"/>
      <c r="T560" s="128"/>
      <c r="U560" s="129"/>
      <c r="V560" s="128"/>
      <c r="W560" s="128"/>
      <c r="X560" s="128"/>
      <c r="Y560" s="128"/>
      <c r="Z560" s="128"/>
      <c r="AA560" s="128"/>
    </row>
    <row r="561">
      <c r="A561" s="128"/>
      <c r="B561" s="128"/>
      <c r="C561" s="128"/>
      <c r="D561" s="128"/>
      <c r="E561" s="128"/>
      <c r="F561" s="128"/>
      <c r="G561" s="212"/>
      <c r="H561" s="128"/>
      <c r="I561" s="128"/>
      <c r="J561" s="128"/>
      <c r="K561" s="128"/>
      <c r="L561" s="128"/>
      <c r="M561" s="128"/>
      <c r="N561" s="128"/>
      <c r="O561" s="128"/>
      <c r="P561" s="128"/>
      <c r="Q561" s="128"/>
      <c r="R561" s="128"/>
      <c r="S561" s="128"/>
      <c r="T561" s="128"/>
      <c r="U561" s="129"/>
      <c r="V561" s="128"/>
      <c r="W561" s="128"/>
      <c r="X561" s="128"/>
      <c r="Y561" s="128"/>
      <c r="Z561" s="128"/>
      <c r="AA561" s="128"/>
    </row>
    <row r="562">
      <c r="A562" s="128"/>
      <c r="B562" s="128"/>
      <c r="C562" s="128"/>
      <c r="D562" s="128"/>
      <c r="E562" s="128"/>
      <c r="F562" s="128"/>
      <c r="G562" s="212"/>
      <c r="H562" s="128"/>
      <c r="I562" s="128"/>
      <c r="J562" s="128"/>
      <c r="K562" s="128"/>
      <c r="L562" s="128"/>
      <c r="M562" s="128"/>
      <c r="N562" s="128"/>
      <c r="O562" s="128"/>
      <c r="P562" s="128"/>
      <c r="Q562" s="128"/>
      <c r="R562" s="128"/>
      <c r="S562" s="128"/>
      <c r="T562" s="128"/>
      <c r="U562" s="129"/>
      <c r="V562" s="128"/>
      <c r="W562" s="128"/>
      <c r="X562" s="128"/>
      <c r="Y562" s="128"/>
      <c r="Z562" s="128"/>
      <c r="AA562" s="128"/>
    </row>
    <row r="563">
      <c r="A563" s="128"/>
      <c r="B563" s="128"/>
      <c r="C563" s="128"/>
      <c r="D563" s="128"/>
      <c r="E563" s="128"/>
      <c r="F563" s="128"/>
      <c r="G563" s="212"/>
      <c r="H563" s="128"/>
      <c r="I563" s="128"/>
      <c r="J563" s="128"/>
      <c r="K563" s="128"/>
      <c r="L563" s="128"/>
      <c r="M563" s="128"/>
      <c r="N563" s="128"/>
      <c r="O563" s="128"/>
      <c r="P563" s="128"/>
      <c r="Q563" s="128"/>
      <c r="R563" s="128"/>
      <c r="S563" s="128"/>
      <c r="T563" s="128"/>
      <c r="U563" s="129"/>
      <c r="V563" s="128"/>
      <c r="W563" s="128"/>
      <c r="X563" s="128"/>
      <c r="Y563" s="128"/>
      <c r="Z563" s="128"/>
      <c r="AA563" s="128"/>
    </row>
    <row r="564">
      <c r="A564" s="128"/>
      <c r="B564" s="128"/>
      <c r="C564" s="128"/>
      <c r="D564" s="128"/>
      <c r="E564" s="128"/>
      <c r="F564" s="128"/>
      <c r="G564" s="212"/>
      <c r="H564" s="128"/>
      <c r="I564" s="128"/>
      <c r="J564" s="128"/>
      <c r="K564" s="128"/>
      <c r="L564" s="128"/>
      <c r="M564" s="128"/>
      <c r="N564" s="128"/>
      <c r="O564" s="128"/>
      <c r="P564" s="128"/>
      <c r="Q564" s="128"/>
      <c r="R564" s="128"/>
      <c r="S564" s="128"/>
      <c r="T564" s="128"/>
      <c r="U564" s="129"/>
      <c r="V564" s="128"/>
      <c r="W564" s="128"/>
      <c r="X564" s="128"/>
      <c r="Y564" s="128"/>
      <c r="Z564" s="128"/>
      <c r="AA564" s="128"/>
    </row>
    <row r="565">
      <c r="A565" s="128"/>
      <c r="B565" s="128"/>
      <c r="C565" s="128"/>
      <c r="D565" s="128"/>
      <c r="E565" s="128"/>
      <c r="F565" s="128"/>
      <c r="G565" s="212"/>
      <c r="H565" s="128"/>
      <c r="I565" s="128"/>
      <c r="J565" s="128"/>
      <c r="K565" s="128"/>
      <c r="L565" s="128"/>
      <c r="M565" s="128"/>
      <c r="N565" s="128"/>
      <c r="O565" s="128"/>
      <c r="P565" s="128"/>
      <c r="Q565" s="128"/>
      <c r="R565" s="128"/>
      <c r="S565" s="128"/>
      <c r="T565" s="128"/>
      <c r="U565" s="129"/>
      <c r="V565" s="128"/>
      <c r="W565" s="128"/>
      <c r="X565" s="128"/>
      <c r="Y565" s="128"/>
      <c r="Z565" s="128"/>
      <c r="AA565" s="128"/>
    </row>
    <row r="566">
      <c r="A566" s="128"/>
      <c r="B566" s="128"/>
      <c r="C566" s="128"/>
      <c r="D566" s="128"/>
      <c r="E566" s="128"/>
      <c r="F566" s="128"/>
      <c r="G566" s="212"/>
      <c r="H566" s="128"/>
      <c r="I566" s="128"/>
      <c r="J566" s="128"/>
      <c r="K566" s="128"/>
      <c r="L566" s="128"/>
      <c r="M566" s="128"/>
      <c r="N566" s="128"/>
      <c r="O566" s="128"/>
      <c r="P566" s="128"/>
      <c r="Q566" s="128"/>
      <c r="R566" s="128"/>
      <c r="S566" s="128"/>
      <c r="T566" s="128"/>
      <c r="U566" s="129"/>
      <c r="V566" s="128"/>
      <c r="W566" s="128"/>
      <c r="X566" s="128"/>
      <c r="Y566" s="128"/>
      <c r="Z566" s="128"/>
      <c r="AA566" s="128"/>
    </row>
    <row r="567">
      <c r="A567" s="128"/>
      <c r="B567" s="128"/>
      <c r="C567" s="128"/>
      <c r="D567" s="128"/>
      <c r="E567" s="128"/>
      <c r="F567" s="128"/>
      <c r="G567" s="212"/>
      <c r="H567" s="128"/>
      <c r="I567" s="128"/>
      <c r="J567" s="128"/>
      <c r="K567" s="128"/>
      <c r="L567" s="128"/>
      <c r="M567" s="128"/>
      <c r="N567" s="128"/>
      <c r="O567" s="128"/>
      <c r="P567" s="128"/>
      <c r="Q567" s="128"/>
      <c r="R567" s="128"/>
      <c r="S567" s="128"/>
      <c r="T567" s="128"/>
      <c r="U567" s="129"/>
      <c r="V567" s="128"/>
      <c r="W567" s="128"/>
      <c r="X567" s="128"/>
      <c r="Y567" s="128"/>
      <c r="Z567" s="128"/>
      <c r="AA567" s="128"/>
    </row>
    <row r="568">
      <c r="A568" s="128"/>
      <c r="B568" s="128"/>
      <c r="C568" s="128"/>
      <c r="D568" s="128"/>
      <c r="E568" s="128"/>
      <c r="F568" s="128"/>
      <c r="G568" s="212"/>
      <c r="H568" s="128"/>
      <c r="I568" s="128"/>
      <c r="J568" s="128"/>
      <c r="K568" s="128"/>
      <c r="L568" s="128"/>
      <c r="M568" s="128"/>
      <c r="N568" s="128"/>
      <c r="O568" s="128"/>
      <c r="P568" s="128"/>
      <c r="Q568" s="128"/>
      <c r="R568" s="128"/>
      <c r="S568" s="128"/>
      <c r="T568" s="128"/>
      <c r="U568" s="129"/>
      <c r="V568" s="128"/>
      <c r="W568" s="128"/>
      <c r="X568" s="128"/>
      <c r="Y568" s="128"/>
      <c r="Z568" s="128"/>
      <c r="AA568" s="128"/>
    </row>
    <row r="569">
      <c r="A569" s="128"/>
      <c r="B569" s="128"/>
      <c r="C569" s="128"/>
      <c r="D569" s="128"/>
      <c r="E569" s="128"/>
      <c r="F569" s="128"/>
      <c r="G569" s="212"/>
      <c r="H569" s="128"/>
      <c r="I569" s="128"/>
      <c r="J569" s="128"/>
      <c r="K569" s="128"/>
      <c r="L569" s="128"/>
      <c r="M569" s="128"/>
      <c r="N569" s="128"/>
      <c r="O569" s="128"/>
      <c r="P569" s="128"/>
      <c r="Q569" s="128"/>
      <c r="R569" s="128"/>
      <c r="S569" s="128"/>
      <c r="T569" s="128"/>
      <c r="U569" s="129"/>
      <c r="V569" s="128"/>
      <c r="W569" s="128"/>
      <c r="X569" s="128"/>
      <c r="Y569" s="128"/>
      <c r="Z569" s="128"/>
      <c r="AA569" s="128"/>
    </row>
    <row r="570">
      <c r="A570" s="128"/>
      <c r="B570" s="128"/>
      <c r="C570" s="128"/>
      <c r="D570" s="128"/>
      <c r="E570" s="128"/>
      <c r="F570" s="128"/>
      <c r="G570" s="212"/>
      <c r="H570" s="128"/>
      <c r="I570" s="128"/>
      <c r="J570" s="128"/>
      <c r="K570" s="128"/>
      <c r="L570" s="128"/>
      <c r="M570" s="128"/>
      <c r="N570" s="128"/>
      <c r="O570" s="128"/>
      <c r="P570" s="128"/>
      <c r="Q570" s="128"/>
      <c r="R570" s="128"/>
      <c r="S570" s="128"/>
      <c r="T570" s="128"/>
      <c r="U570" s="129"/>
      <c r="V570" s="128"/>
      <c r="W570" s="128"/>
      <c r="X570" s="128"/>
      <c r="Y570" s="128"/>
      <c r="Z570" s="128"/>
      <c r="AA570" s="128"/>
    </row>
    <row r="571">
      <c r="A571" s="128"/>
      <c r="B571" s="128"/>
      <c r="C571" s="128"/>
      <c r="D571" s="128"/>
      <c r="E571" s="128"/>
      <c r="F571" s="128"/>
      <c r="G571" s="212"/>
      <c r="H571" s="128"/>
      <c r="I571" s="128"/>
      <c r="J571" s="128"/>
      <c r="K571" s="128"/>
      <c r="L571" s="128"/>
      <c r="M571" s="128"/>
      <c r="N571" s="128"/>
      <c r="O571" s="128"/>
      <c r="P571" s="128"/>
      <c r="Q571" s="128"/>
      <c r="R571" s="128"/>
      <c r="S571" s="128"/>
      <c r="T571" s="128"/>
      <c r="U571" s="129"/>
      <c r="V571" s="128"/>
      <c r="W571" s="128"/>
      <c r="X571" s="128"/>
      <c r="Y571" s="128"/>
      <c r="Z571" s="128"/>
      <c r="AA571" s="128"/>
    </row>
    <row r="572">
      <c r="A572" s="128"/>
      <c r="B572" s="128"/>
      <c r="C572" s="128"/>
      <c r="D572" s="128"/>
      <c r="E572" s="128"/>
      <c r="F572" s="128"/>
      <c r="G572" s="212"/>
      <c r="H572" s="128"/>
      <c r="I572" s="128"/>
      <c r="J572" s="128"/>
      <c r="K572" s="128"/>
      <c r="L572" s="128"/>
      <c r="M572" s="128"/>
      <c r="N572" s="128"/>
      <c r="O572" s="128"/>
      <c r="P572" s="128"/>
      <c r="Q572" s="128"/>
      <c r="R572" s="128"/>
      <c r="S572" s="128"/>
      <c r="T572" s="128"/>
      <c r="U572" s="129"/>
      <c r="V572" s="128"/>
      <c r="W572" s="128"/>
      <c r="X572" s="128"/>
      <c r="Y572" s="128"/>
      <c r="Z572" s="128"/>
      <c r="AA572" s="128"/>
    </row>
    <row r="573">
      <c r="A573" s="128"/>
      <c r="B573" s="128"/>
      <c r="C573" s="128"/>
      <c r="D573" s="128"/>
      <c r="E573" s="128"/>
      <c r="F573" s="128"/>
      <c r="G573" s="212"/>
      <c r="H573" s="128"/>
      <c r="I573" s="128"/>
      <c r="J573" s="128"/>
      <c r="K573" s="128"/>
      <c r="L573" s="128"/>
      <c r="M573" s="128"/>
      <c r="N573" s="128"/>
      <c r="O573" s="128"/>
      <c r="P573" s="128"/>
      <c r="Q573" s="128"/>
      <c r="R573" s="128"/>
      <c r="S573" s="128"/>
      <c r="T573" s="128"/>
      <c r="U573" s="129"/>
      <c r="V573" s="128"/>
      <c r="W573" s="128"/>
      <c r="X573" s="128"/>
      <c r="Y573" s="128"/>
      <c r="Z573" s="128"/>
      <c r="AA573" s="128"/>
    </row>
    <row r="574">
      <c r="A574" s="128"/>
      <c r="B574" s="128"/>
      <c r="C574" s="128"/>
      <c r="D574" s="128"/>
      <c r="E574" s="128"/>
      <c r="F574" s="128"/>
      <c r="G574" s="212"/>
      <c r="H574" s="128"/>
      <c r="I574" s="128"/>
      <c r="J574" s="128"/>
      <c r="K574" s="128"/>
      <c r="L574" s="128"/>
      <c r="M574" s="128"/>
      <c r="N574" s="128"/>
      <c r="O574" s="128"/>
      <c r="P574" s="128"/>
      <c r="Q574" s="128"/>
      <c r="R574" s="128"/>
      <c r="S574" s="128"/>
      <c r="T574" s="128"/>
      <c r="U574" s="129"/>
      <c r="V574" s="128"/>
      <c r="W574" s="128"/>
      <c r="X574" s="128"/>
      <c r="Y574" s="128"/>
      <c r="Z574" s="128"/>
      <c r="AA574" s="128"/>
    </row>
    <row r="575">
      <c r="A575" s="128"/>
      <c r="B575" s="128"/>
      <c r="C575" s="128"/>
      <c r="D575" s="128"/>
      <c r="E575" s="128"/>
      <c r="F575" s="128"/>
      <c r="G575" s="212"/>
      <c r="H575" s="128"/>
      <c r="I575" s="128"/>
      <c r="J575" s="128"/>
      <c r="K575" s="128"/>
      <c r="L575" s="128"/>
      <c r="M575" s="128"/>
      <c r="N575" s="128"/>
      <c r="O575" s="128"/>
      <c r="P575" s="128"/>
      <c r="Q575" s="128"/>
      <c r="R575" s="128"/>
      <c r="S575" s="128"/>
      <c r="T575" s="128"/>
      <c r="U575" s="129"/>
      <c r="V575" s="128"/>
      <c r="W575" s="128"/>
      <c r="X575" s="128"/>
      <c r="Y575" s="128"/>
      <c r="Z575" s="128"/>
      <c r="AA575" s="128"/>
    </row>
    <row r="576">
      <c r="A576" s="128"/>
      <c r="B576" s="128"/>
      <c r="C576" s="128"/>
      <c r="D576" s="128"/>
      <c r="E576" s="128"/>
      <c r="F576" s="128"/>
      <c r="G576" s="212"/>
      <c r="H576" s="128"/>
      <c r="I576" s="128"/>
      <c r="J576" s="128"/>
      <c r="K576" s="128"/>
      <c r="L576" s="128"/>
      <c r="M576" s="128"/>
      <c r="N576" s="128"/>
      <c r="O576" s="128"/>
      <c r="P576" s="128"/>
      <c r="Q576" s="128"/>
      <c r="R576" s="128"/>
      <c r="S576" s="128"/>
      <c r="T576" s="128"/>
      <c r="U576" s="129"/>
      <c r="V576" s="128"/>
      <c r="W576" s="128"/>
      <c r="X576" s="128"/>
      <c r="Y576" s="128"/>
      <c r="Z576" s="128"/>
      <c r="AA576" s="128"/>
    </row>
    <row r="577">
      <c r="A577" s="128"/>
      <c r="B577" s="128"/>
      <c r="C577" s="128"/>
      <c r="D577" s="128"/>
      <c r="E577" s="128"/>
      <c r="F577" s="128"/>
      <c r="G577" s="212"/>
      <c r="H577" s="128"/>
      <c r="I577" s="128"/>
      <c r="J577" s="128"/>
      <c r="K577" s="128"/>
      <c r="L577" s="128"/>
      <c r="M577" s="128"/>
      <c r="N577" s="128"/>
      <c r="O577" s="128"/>
      <c r="P577" s="128"/>
      <c r="Q577" s="128"/>
      <c r="R577" s="128"/>
      <c r="S577" s="128"/>
      <c r="T577" s="128"/>
      <c r="U577" s="129"/>
      <c r="V577" s="128"/>
      <c r="W577" s="128"/>
      <c r="X577" s="128"/>
      <c r="Y577" s="128"/>
      <c r="Z577" s="128"/>
      <c r="AA577" s="128"/>
    </row>
    <row r="578">
      <c r="A578" s="128"/>
      <c r="B578" s="128"/>
      <c r="C578" s="128"/>
      <c r="D578" s="128"/>
      <c r="E578" s="128"/>
      <c r="F578" s="128"/>
      <c r="G578" s="212"/>
      <c r="H578" s="128"/>
      <c r="I578" s="128"/>
      <c r="J578" s="128"/>
      <c r="K578" s="128"/>
      <c r="L578" s="128"/>
      <c r="M578" s="128"/>
      <c r="N578" s="128"/>
      <c r="O578" s="128"/>
      <c r="P578" s="128"/>
      <c r="Q578" s="128"/>
      <c r="R578" s="128"/>
      <c r="S578" s="128"/>
      <c r="T578" s="128"/>
      <c r="U578" s="129"/>
      <c r="V578" s="128"/>
      <c r="W578" s="128"/>
      <c r="X578" s="128"/>
      <c r="Y578" s="128"/>
      <c r="Z578" s="128"/>
      <c r="AA578" s="128"/>
    </row>
    <row r="579">
      <c r="A579" s="128"/>
      <c r="B579" s="128"/>
      <c r="C579" s="128"/>
      <c r="D579" s="128"/>
      <c r="E579" s="128"/>
      <c r="F579" s="128"/>
      <c r="G579" s="212"/>
      <c r="H579" s="128"/>
      <c r="I579" s="128"/>
      <c r="J579" s="128"/>
      <c r="K579" s="128"/>
      <c r="L579" s="128"/>
      <c r="M579" s="128"/>
      <c r="N579" s="128"/>
      <c r="O579" s="128"/>
      <c r="P579" s="128"/>
      <c r="Q579" s="128"/>
      <c r="R579" s="128"/>
      <c r="S579" s="128"/>
      <c r="T579" s="128"/>
      <c r="U579" s="129"/>
      <c r="V579" s="128"/>
      <c r="W579" s="128"/>
      <c r="X579" s="128"/>
      <c r="Y579" s="128"/>
      <c r="Z579" s="128"/>
      <c r="AA579" s="128"/>
    </row>
    <row r="580">
      <c r="A580" s="128"/>
      <c r="B580" s="128"/>
      <c r="C580" s="128"/>
      <c r="D580" s="128"/>
      <c r="E580" s="128"/>
      <c r="F580" s="128"/>
      <c r="G580" s="212"/>
      <c r="H580" s="128"/>
      <c r="I580" s="128"/>
      <c r="J580" s="128"/>
      <c r="K580" s="128"/>
      <c r="L580" s="128"/>
      <c r="M580" s="128"/>
      <c r="N580" s="128"/>
      <c r="O580" s="128"/>
      <c r="P580" s="128"/>
      <c r="Q580" s="128"/>
      <c r="R580" s="128"/>
      <c r="S580" s="128"/>
      <c r="T580" s="128"/>
      <c r="U580" s="129"/>
      <c r="V580" s="128"/>
      <c r="W580" s="128"/>
      <c r="X580" s="128"/>
      <c r="Y580" s="128"/>
      <c r="Z580" s="128"/>
      <c r="AA580" s="128"/>
    </row>
    <row r="581">
      <c r="A581" s="128"/>
      <c r="B581" s="128"/>
      <c r="C581" s="128"/>
      <c r="D581" s="128"/>
      <c r="E581" s="128"/>
      <c r="F581" s="128"/>
      <c r="G581" s="212"/>
      <c r="H581" s="128"/>
      <c r="I581" s="128"/>
      <c r="J581" s="128"/>
      <c r="K581" s="128"/>
      <c r="L581" s="128"/>
      <c r="M581" s="128"/>
      <c r="N581" s="128"/>
      <c r="O581" s="128"/>
      <c r="P581" s="128"/>
      <c r="Q581" s="128"/>
      <c r="R581" s="128"/>
      <c r="S581" s="128"/>
      <c r="T581" s="128"/>
      <c r="U581" s="129"/>
      <c r="V581" s="128"/>
      <c r="W581" s="128"/>
      <c r="X581" s="128"/>
      <c r="Y581" s="128"/>
      <c r="Z581" s="128"/>
      <c r="AA581" s="128"/>
    </row>
    <row r="582">
      <c r="A582" s="128"/>
      <c r="B582" s="128"/>
      <c r="C582" s="128"/>
      <c r="D582" s="128"/>
      <c r="E582" s="128"/>
      <c r="F582" s="128"/>
      <c r="G582" s="212"/>
      <c r="H582" s="128"/>
      <c r="I582" s="128"/>
      <c r="J582" s="128"/>
      <c r="K582" s="128"/>
      <c r="L582" s="128"/>
      <c r="M582" s="128"/>
      <c r="N582" s="128"/>
      <c r="O582" s="128"/>
      <c r="P582" s="128"/>
      <c r="Q582" s="128"/>
      <c r="R582" s="128"/>
      <c r="S582" s="128"/>
      <c r="T582" s="128"/>
      <c r="U582" s="129"/>
      <c r="V582" s="128"/>
      <c r="W582" s="128"/>
      <c r="X582" s="128"/>
      <c r="Y582" s="128"/>
      <c r="Z582" s="128"/>
      <c r="AA582" s="128"/>
    </row>
    <row r="583">
      <c r="A583" s="128"/>
      <c r="B583" s="128"/>
      <c r="C583" s="128"/>
      <c r="D583" s="128"/>
      <c r="E583" s="128"/>
      <c r="F583" s="128"/>
      <c r="G583" s="212"/>
      <c r="H583" s="128"/>
      <c r="I583" s="128"/>
      <c r="J583" s="128"/>
      <c r="K583" s="128"/>
      <c r="L583" s="128"/>
      <c r="M583" s="128"/>
      <c r="N583" s="128"/>
      <c r="O583" s="128"/>
      <c r="P583" s="128"/>
      <c r="Q583" s="128"/>
      <c r="R583" s="128"/>
      <c r="S583" s="128"/>
      <c r="T583" s="128"/>
      <c r="U583" s="129"/>
      <c r="V583" s="128"/>
      <c r="W583" s="128"/>
      <c r="X583" s="128"/>
      <c r="Y583" s="128"/>
      <c r="Z583" s="128"/>
      <c r="AA583" s="128"/>
    </row>
    <row r="584">
      <c r="A584" s="128"/>
      <c r="B584" s="128"/>
      <c r="C584" s="128"/>
      <c r="D584" s="128"/>
      <c r="E584" s="128"/>
      <c r="F584" s="128"/>
      <c r="G584" s="212"/>
      <c r="H584" s="128"/>
      <c r="I584" s="128"/>
      <c r="J584" s="128"/>
      <c r="K584" s="128"/>
      <c r="L584" s="128"/>
      <c r="M584" s="128"/>
      <c r="N584" s="128"/>
      <c r="O584" s="128"/>
      <c r="P584" s="128"/>
      <c r="Q584" s="128"/>
      <c r="R584" s="128"/>
      <c r="S584" s="128"/>
      <c r="T584" s="128"/>
      <c r="U584" s="129"/>
      <c r="V584" s="128"/>
      <c r="W584" s="128"/>
      <c r="X584" s="128"/>
      <c r="Y584" s="128"/>
      <c r="Z584" s="128"/>
      <c r="AA584" s="128"/>
    </row>
    <row r="585">
      <c r="A585" s="128"/>
      <c r="B585" s="128"/>
      <c r="C585" s="128"/>
      <c r="D585" s="128"/>
      <c r="E585" s="128"/>
      <c r="F585" s="128"/>
      <c r="G585" s="212"/>
      <c r="H585" s="128"/>
      <c r="I585" s="128"/>
      <c r="J585" s="128"/>
      <c r="K585" s="128"/>
      <c r="L585" s="128"/>
      <c r="M585" s="128"/>
      <c r="N585" s="128"/>
      <c r="O585" s="128"/>
      <c r="P585" s="128"/>
      <c r="Q585" s="128"/>
      <c r="R585" s="128"/>
      <c r="S585" s="128"/>
      <c r="T585" s="128"/>
      <c r="U585" s="129"/>
      <c r="V585" s="128"/>
      <c r="W585" s="128"/>
      <c r="X585" s="128"/>
      <c r="Y585" s="128"/>
      <c r="Z585" s="128"/>
      <c r="AA585" s="128"/>
    </row>
    <row r="586">
      <c r="A586" s="128"/>
      <c r="B586" s="128"/>
      <c r="C586" s="128"/>
      <c r="D586" s="128"/>
      <c r="E586" s="128"/>
      <c r="F586" s="128"/>
      <c r="G586" s="212"/>
      <c r="H586" s="128"/>
      <c r="I586" s="128"/>
      <c r="J586" s="128"/>
      <c r="K586" s="128"/>
      <c r="L586" s="128"/>
      <c r="M586" s="128"/>
      <c r="N586" s="128"/>
      <c r="O586" s="128"/>
      <c r="P586" s="128"/>
      <c r="Q586" s="128"/>
      <c r="R586" s="128"/>
      <c r="S586" s="128"/>
      <c r="T586" s="128"/>
      <c r="U586" s="129"/>
      <c r="V586" s="128"/>
      <c r="W586" s="128"/>
      <c r="X586" s="128"/>
      <c r="Y586" s="128"/>
      <c r="Z586" s="128"/>
      <c r="AA586" s="128"/>
    </row>
    <row r="587">
      <c r="A587" s="128"/>
      <c r="B587" s="128"/>
      <c r="C587" s="128"/>
      <c r="D587" s="128"/>
      <c r="E587" s="128"/>
      <c r="F587" s="128"/>
      <c r="G587" s="212"/>
      <c r="H587" s="128"/>
      <c r="I587" s="128"/>
      <c r="J587" s="128"/>
      <c r="K587" s="128"/>
      <c r="L587" s="128"/>
      <c r="M587" s="128"/>
      <c r="N587" s="128"/>
      <c r="O587" s="128"/>
      <c r="P587" s="128"/>
      <c r="Q587" s="128"/>
      <c r="R587" s="128"/>
      <c r="S587" s="128"/>
      <c r="T587" s="128"/>
      <c r="U587" s="129"/>
      <c r="V587" s="128"/>
      <c r="W587" s="128"/>
      <c r="X587" s="128"/>
      <c r="Y587" s="128"/>
      <c r="Z587" s="128"/>
      <c r="AA587" s="128"/>
    </row>
    <row r="588">
      <c r="A588" s="128"/>
      <c r="B588" s="128"/>
      <c r="C588" s="128"/>
      <c r="D588" s="128"/>
      <c r="E588" s="128"/>
      <c r="F588" s="128"/>
      <c r="G588" s="212"/>
      <c r="H588" s="128"/>
      <c r="I588" s="128"/>
      <c r="J588" s="128"/>
      <c r="K588" s="128"/>
      <c r="L588" s="128"/>
      <c r="M588" s="128"/>
      <c r="N588" s="128"/>
      <c r="O588" s="128"/>
      <c r="P588" s="128"/>
      <c r="Q588" s="128"/>
      <c r="R588" s="128"/>
      <c r="S588" s="128"/>
      <c r="T588" s="128"/>
      <c r="U588" s="129"/>
      <c r="V588" s="128"/>
      <c r="W588" s="128"/>
      <c r="X588" s="128"/>
      <c r="Y588" s="128"/>
      <c r="Z588" s="128"/>
      <c r="AA588" s="128"/>
    </row>
    <row r="589">
      <c r="A589" s="128"/>
      <c r="B589" s="128"/>
      <c r="C589" s="128"/>
      <c r="D589" s="128"/>
      <c r="E589" s="128"/>
      <c r="F589" s="128"/>
      <c r="G589" s="212"/>
      <c r="H589" s="128"/>
      <c r="I589" s="128"/>
      <c r="J589" s="128"/>
      <c r="K589" s="128"/>
      <c r="L589" s="128"/>
      <c r="M589" s="128"/>
      <c r="N589" s="128"/>
      <c r="O589" s="128"/>
      <c r="P589" s="128"/>
      <c r="Q589" s="128"/>
      <c r="R589" s="128"/>
      <c r="S589" s="128"/>
      <c r="T589" s="128"/>
      <c r="U589" s="129"/>
      <c r="V589" s="128"/>
      <c r="W589" s="128"/>
      <c r="X589" s="128"/>
      <c r="Y589" s="128"/>
      <c r="Z589" s="128"/>
      <c r="AA589" s="128"/>
    </row>
    <row r="590">
      <c r="A590" s="128"/>
      <c r="B590" s="128"/>
      <c r="C590" s="128"/>
      <c r="D590" s="128"/>
      <c r="E590" s="128"/>
      <c r="F590" s="128"/>
      <c r="G590" s="212"/>
      <c r="H590" s="128"/>
      <c r="I590" s="128"/>
      <c r="J590" s="128"/>
      <c r="K590" s="128"/>
      <c r="L590" s="128"/>
      <c r="M590" s="128"/>
      <c r="N590" s="128"/>
      <c r="O590" s="128"/>
      <c r="P590" s="128"/>
      <c r="Q590" s="128"/>
      <c r="R590" s="128"/>
      <c r="S590" s="128"/>
      <c r="T590" s="128"/>
      <c r="U590" s="129"/>
      <c r="V590" s="128"/>
      <c r="W590" s="128"/>
      <c r="X590" s="128"/>
      <c r="Y590" s="128"/>
      <c r="Z590" s="128"/>
      <c r="AA590" s="128"/>
    </row>
    <row r="591">
      <c r="A591" s="128"/>
      <c r="B591" s="128"/>
      <c r="C591" s="128"/>
      <c r="D591" s="128"/>
      <c r="E591" s="128"/>
      <c r="F591" s="128"/>
      <c r="G591" s="212"/>
      <c r="H591" s="128"/>
      <c r="I591" s="128"/>
      <c r="J591" s="128"/>
      <c r="K591" s="128"/>
      <c r="L591" s="128"/>
      <c r="M591" s="128"/>
      <c r="N591" s="128"/>
      <c r="O591" s="128"/>
      <c r="P591" s="128"/>
      <c r="Q591" s="128"/>
      <c r="R591" s="128"/>
      <c r="S591" s="128"/>
      <c r="T591" s="128"/>
      <c r="U591" s="129"/>
      <c r="V591" s="128"/>
      <c r="W591" s="128"/>
      <c r="X591" s="128"/>
      <c r="Y591" s="128"/>
      <c r="Z591" s="128"/>
      <c r="AA591" s="128"/>
    </row>
    <row r="592">
      <c r="A592" s="128"/>
      <c r="B592" s="128"/>
      <c r="C592" s="128"/>
      <c r="D592" s="128"/>
      <c r="E592" s="128"/>
      <c r="F592" s="128"/>
      <c r="G592" s="212"/>
      <c r="H592" s="128"/>
      <c r="I592" s="128"/>
      <c r="J592" s="128"/>
      <c r="K592" s="128"/>
      <c r="L592" s="128"/>
      <c r="M592" s="128"/>
      <c r="N592" s="128"/>
      <c r="O592" s="128"/>
      <c r="P592" s="128"/>
      <c r="Q592" s="128"/>
      <c r="R592" s="128"/>
      <c r="S592" s="128"/>
      <c r="T592" s="128"/>
      <c r="U592" s="129"/>
      <c r="V592" s="128"/>
      <c r="W592" s="128"/>
      <c r="X592" s="128"/>
      <c r="Y592" s="128"/>
      <c r="Z592" s="128"/>
      <c r="AA592" s="128"/>
    </row>
    <row r="593">
      <c r="A593" s="128"/>
      <c r="B593" s="128"/>
      <c r="C593" s="128"/>
      <c r="D593" s="128"/>
      <c r="E593" s="128"/>
      <c r="F593" s="128"/>
      <c r="G593" s="212"/>
      <c r="H593" s="128"/>
      <c r="I593" s="128"/>
      <c r="J593" s="128"/>
      <c r="K593" s="128"/>
      <c r="L593" s="128"/>
      <c r="M593" s="128"/>
      <c r="N593" s="128"/>
      <c r="O593" s="128"/>
      <c r="P593" s="128"/>
      <c r="Q593" s="128"/>
      <c r="R593" s="128"/>
      <c r="S593" s="128"/>
      <c r="T593" s="128"/>
      <c r="U593" s="129"/>
      <c r="V593" s="128"/>
      <c r="W593" s="128"/>
      <c r="X593" s="128"/>
      <c r="Y593" s="128"/>
      <c r="Z593" s="128"/>
      <c r="AA593" s="128"/>
    </row>
    <row r="594">
      <c r="A594" s="128"/>
      <c r="B594" s="128"/>
      <c r="C594" s="128"/>
      <c r="D594" s="128"/>
      <c r="E594" s="128"/>
      <c r="F594" s="128"/>
      <c r="G594" s="212"/>
      <c r="H594" s="128"/>
      <c r="I594" s="128"/>
      <c r="J594" s="128"/>
      <c r="K594" s="128"/>
      <c r="L594" s="128"/>
      <c r="M594" s="128"/>
      <c r="N594" s="128"/>
      <c r="O594" s="128"/>
      <c r="P594" s="128"/>
      <c r="Q594" s="128"/>
      <c r="R594" s="128"/>
      <c r="S594" s="128"/>
      <c r="T594" s="128"/>
      <c r="U594" s="129"/>
      <c r="V594" s="128"/>
      <c r="W594" s="128"/>
      <c r="X594" s="128"/>
      <c r="Y594" s="128"/>
      <c r="Z594" s="128"/>
      <c r="AA594" s="128"/>
    </row>
    <row r="595">
      <c r="A595" s="128"/>
      <c r="B595" s="128"/>
      <c r="C595" s="128"/>
      <c r="D595" s="128"/>
      <c r="E595" s="128"/>
      <c r="F595" s="128"/>
      <c r="G595" s="212"/>
      <c r="H595" s="128"/>
      <c r="I595" s="128"/>
      <c r="J595" s="128"/>
      <c r="K595" s="128"/>
      <c r="L595" s="128"/>
      <c r="M595" s="128"/>
      <c r="N595" s="128"/>
      <c r="O595" s="128"/>
      <c r="P595" s="128"/>
      <c r="Q595" s="128"/>
      <c r="R595" s="128"/>
      <c r="S595" s="128"/>
      <c r="T595" s="128"/>
      <c r="U595" s="129"/>
      <c r="V595" s="128"/>
      <c r="W595" s="128"/>
      <c r="X595" s="128"/>
      <c r="Y595" s="128"/>
      <c r="Z595" s="128"/>
      <c r="AA595" s="128"/>
    </row>
    <row r="596">
      <c r="A596" s="128"/>
      <c r="B596" s="128"/>
      <c r="C596" s="128"/>
      <c r="D596" s="128"/>
      <c r="E596" s="128"/>
      <c r="F596" s="128"/>
      <c r="G596" s="212"/>
      <c r="H596" s="128"/>
      <c r="I596" s="128"/>
      <c r="J596" s="128"/>
      <c r="K596" s="128"/>
      <c r="L596" s="128"/>
      <c r="M596" s="128"/>
      <c r="N596" s="128"/>
      <c r="O596" s="128"/>
      <c r="P596" s="128"/>
      <c r="Q596" s="128"/>
      <c r="R596" s="128"/>
      <c r="S596" s="128"/>
      <c r="T596" s="128"/>
      <c r="U596" s="129"/>
      <c r="V596" s="128"/>
      <c r="W596" s="128"/>
      <c r="X596" s="128"/>
      <c r="Y596" s="128"/>
      <c r="Z596" s="128"/>
      <c r="AA596" s="128"/>
    </row>
    <row r="597">
      <c r="A597" s="128"/>
      <c r="B597" s="128"/>
      <c r="C597" s="128"/>
      <c r="D597" s="128"/>
      <c r="E597" s="128"/>
      <c r="F597" s="128"/>
      <c r="G597" s="212"/>
      <c r="H597" s="128"/>
      <c r="I597" s="128"/>
      <c r="J597" s="128"/>
      <c r="K597" s="128"/>
      <c r="L597" s="128"/>
      <c r="M597" s="128"/>
      <c r="N597" s="128"/>
      <c r="O597" s="128"/>
      <c r="P597" s="128"/>
      <c r="Q597" s="128"/>
      <c r="R597" s="128"/>
      <c r="S597" s="128"/>
      <c r="T597" s="128"/>
      <c r="U597" s="129"/>
      <c r="V597" s="128"/>
      <c r="W597" s="128"/>
      <c r="X597" s="128"/>
      <c r="Y597" s="128"/>
      <c r="Z597" s="128"/>
      <c r="AA597" s="128"/>
    </row>
    <row r="598">
      <c r="A598" s="128"/>
      <c r="B598" s="128"/>
      <c r="C598" s="128"/>
      <c r="D598" s="128"/>
      <c r="E598" s="128"/>
      <c r="F598" s="128"/>
      <c r="G598" s="212"/>
      <c r="H598" s="128"/>
      <c r="I598" s="128"/>
      <c r="J598" s="128"/>
      <c r="K598" s="128"/>
      <c r="L598" s="128"/>
      <c r="M598" s="128"/>
      <c r="N598" s="128"/>
      <c r="O598" s="128"/>
      <c r="P598" s="128"/>
      <c r="Q598" s="128"/>
      <c r="R598" s="128"/>
      <c r="S598" s="128"/>
      <c r="T598" s="128"/>
      <c r="U598" s="129"/>
      <c r="V598" s="128"/>
      <c r="W598" s="128"/>
      <c r="X598" s="128"/>
      <c r="Y598" s="128"/>
      <c r="Z598" s="128"/>
      <c r="AA598" s="128"/>
    </row>
    <row r="599">
      <c r="A599" s="128"/>
      <c r="B599" s="128"/>
      <c r="C599" s="128"/>
      <c r="D599" s="128"/>
      <c r="E599" s="128"/>
      <c r="F599" s="128"/>
      <c r="G599" s="212"/>
      <c r="H599" s="128"/>
      <c r="I599" s="128"/>
      <c r="J599" s="128"/>
      <c r="K599" s="128"/>
      <c r="L599" s="128"/>
      <c r="M599" s="128"/>
      <c r="N599" s="128"/>
      <c r="O599" s="128"/>
      <c r="P599" s="128"/>
      <c r="Q599" s="128"/>
      <c r="R599" s="128"/>
      <c r="S599" s="128"/>
      <c r="T599" s="128"/>
      <c r="U599" s="129"/>
      <c r="V599" s="128"/>
      <c r="W599" s="128"/>
      <c r="X599" s="128"/>
      <c r="Y599" s="128"/>
      <c r="Z599" s="128"/>
      <c r="AA599" s="128"/>
    </row>
    <row r="600">
      <c r="A600" s="128"/>
      <c r="B600" s="128"/>
      <c r="C600" s="128"/>
      <c r="D600" s="128"/>
      <c r="E600" s="128"/>
      <c r="F600" s="128"/>
      <c r="G600" s="212"/>
      <c r="H600" s="128"/>
      <c r="I600" s="128"/>
      <c r="J600" s="128"/>
      <c r="K600" s="128"/>
      <c r="L600" s="128"/>
      <c r="M600" s="128"/>
      <c r="N600" s="128"/>
      <c r="O600" s="128"/>
      <c r="P600" s="128"/>
      <c r="Q600" s="128"/>
      <c r="R600" s="128"/>
      <c r="S600" s="128"/>
      <c r="T600" s="128"/>
      <c r="U600" s="129"/>
      <c r="V600" s="128"/>
      <c r="W600" s="128"/>
      <c r="X600" s="128"/>
      <c r="Y600" s="128"/>
      <c r="Z600" s="128"/>
      <c r="AA600" s="128"/>
    </row>
    <row r="601">
      <c r="A601" s="128"/>
      <c r="B601" s="128"/>
      <c r="C601" s="128"/>
      <c r="D601" s="128"/>
      <c r="E601" s="128"/>
      <c r="F601" s="128"/>
      <c r="G601" s="212"/>
      <c r="H601" s="128"/>
      <c r="I601" s="128"/>
      <c r="J601" s="128"/>
      <c r="K601" s="128"/>
      <c r="L601" s="128"/>
      <c r="M601" s="128"/>
      <c r="N601" s="128"/>
      <c r="O601" s="128"/>
      <c r="P601" s="128"/>
      <c r="Q601" s="128"/>
      <c r="R601" s="128"/>
      <c r="S601" s="128"/>
      <c r="T601" s="128"/>
      <c r="U601" s="129"/>
      <c r="V601" s="128"/>
      <c r="W601" s="128"/>
      <c r="X601" s="128"/>
      <c r="Y601" s="128"/>
      <c r="Z601" s="128"/>
      <c r="AA601" s="128"/>
    </row>
    <row r="602">
      <c r="A602" s="128"/>
      <c r="B602" s="128"/>
      <c r="C602" s="128"/>
      <c r="D602" s="128"/>
      <c r="E602" s="128"/>
      <c r="F602" s="128"/>
      <c r="G602" s="212"/>
      <c r="H602" s="128"/>
      <c r="I602" s="128"/>
      <c r="J602" s="128"/>
      <c r="K602" s="128"/>
      <c r="L602" s="128"/>
      <c r="M602" s="128"/>
      <c r="N602" s="128"/>
      <c r="O602" s="128"/>
      <c r="P602" s="128"/>
      <c r="Q602" s="128"/>
      <c r="R602" s="128"/>
      <c r="S602" s="128"/>
      <c r="T602" s="128"/>
      <c r="U602" s="129"/>
      <c r="V602" s="128"/>
      <c r="W602" s="128"/>
      <c r="X602" s="128"/>
      <c r="Y602" s="128"/>
      <c r="Z602" s="128"/>
      <c r="AA602" s="128"/>
    </row>
    <row r="603">
      <c r="A603" s="128"/>
      <c r="B603" s="128"/>
      <c r="C603" s="128"/>
      <c r="D603" s="128"/>
      <c r="E603" s="128"/>
      <c r="F603" s="128"/>
      <c r="G603" s="212"/>
      <c r="H603" s="128"/>
      <c r="I603" s="128"/>
      <c r="J603" s="128"/>
      <c r="K603" s="128"/>
      <c r="L603" s="128"/>
      <c r="M603" s="128"/>
      <c r="N603" s="128"/>
      <c r="O603" s="128"/>
      <c r="P603" s="128"/>
      <c r="Q603" s="128"/>
      <c r="R603" s="128"/>
      <c r="S603" s="128"/>
      <c r="T603" s="128"/>
      <c r="U603" s="129"/>
      <c r="V603" s="128"/>
      <c r="W603" s="128"/>
      <c r="X603" s="128"/>
      <c r="Y603" s="128"/>
      <c r="Z603" s="128"/>
      <c r="AA603" s="128"/>
    </row>
    <row r="604">
      <c r="A604" s="128"/>
      <c r="B604" s="128"/>
      <c r="C604" s="128"/>
      <c r="D604" s="128"/>
      <c r="E604" s="128"/>
      <c r="F604" s="128"/>
      <c r="G604" s="212"/>
      <c r="H604" s="128"/>
      <c r="I604" s="128"/>
      <c r="J604" s="128"/>
      <c r="K604" s="128"/>
      <c r="L604" s="128"/>
      <c r="M604" s="128"/>
      <c r="N604" s="128"/>
      <c r="O604" s="128"/>
      <c r="P604" s="128"/>
      <c r="Q604" s="128"/>
      <c r="R604" s="128"/>
      <c r="S604" s="128"/>
      <c r="T604" s="128"/>
      <c r="U604" s="129"/>
      <c r="V604" s="128"/>
      <c r="W604" s="128"/>
      <c r="X604" s="128"/>
      <c r="Y604" s="128"/>
      <c r="Z604" s="128"/>
      <c r="AA604" s="128"/>
    </row>
    <row r="605">
      <c r="A605" s="128"/>
      <c r="B605" s="128"/>
      <c r="C605" s="128"/>
      <c r="D605" s="128"/>
      <c r="E605" s="128"/>
      <c r="F605" s="128"/>
      <c r="G605" s="212"/>
      <c r="H605" s="128"/>
      <c r="I605" s="128"/>
      <c r="J605" s="128"/>
      <c r="K605" s="128"/>
      <c r="L605" s="128"/>
      <c r="M605" s="128"/>
      <c r="N605" s="128"/>
      <c r="O605" s="128"/>
      <c r="P605" s="128"/>
      <c r="Q605" s="128"/>
      <c r="R605" s="128"/>
      <c r="S605" s="128"/>
      <c r="T605" s="128"/>
      <c r="U605" s="129"/>
      <c r="V605" s="128"/>
      <c r="W605" s="128"/>
      <c r="X605" s="128"/>
      <c r="Y605" s="128"/>
      <c r="Z605" s="128"/>
      <c r="AA605" s="128"/>
    </row>
    <row r="606">
      <c r="A606" s="128"/>
      <c r="B606" s="128"/>
      <c r="C606" s="128"/>
      <c r="D606" s="128"/>
      <c r="E606" s="128"/>
      <c r="F606" s="128"/>
      <c r="G606" s="212"/>
      <c r="H606" s="128"/>
      <c r="I606" s="128"/>
      <c r="J606" s="128"/>
      <c r="K606" s="128"/>
      <c r="L606" s="128"/>
      <c r="M606" s="128"/>
      <c r="N606" s="128"/>
      <c r="O606" s="128"/>
      <c r="P606" s="128"/>
      <c r="Q606" s="128"/>
      <c r="R606" s="128"/>
      <c r="S606" s="128"/>
      <c r="T606" s="128"/>
      <c r="U606" s="129"/>
      <c r="V606" s="128"/>
      <c r="W606" s="128"/>
      <c r="X606" s="128"/>
      <c r="Y606" s="128"/>
      <c r="Z606" s="128"/>
      <c r="AA606" s="128"/>
    </row>
    <row r="607">
      <c r="A607" s="128"/>
      <c r="B607" s="128"/>
      <c r="C607" s="128"/>
      <c r="D607" s="128"/>
      <c r="E607" s="128"/>
      <c r="F607" s="128"/>
      <c r="G607" s="212"/>
      <c r="H607" s="128"/>
      <c r="I607" s="128"/>
      <c r="J607" s="128"/>
      <c r="K607" s="128"/>
      <c r="L607" s="128"/>
      <c r="M607" s="128"/>
      <c r="N607" s="128"/>
      <c r="O607" s="128"/>
      <c r="P607" s="128"/>
      <c r="Q607" s="128"/>
      <c r="R607" s="128"/>
      <c r="S607" s="128"/>
      <c r="T607" s="128"/>
      <c r="U607" s="129"/>
      <c r="V607" s="128"/>
      <c r="W607" s="128"/>
      <c r="X607" s="128"/>
      <c r="Y607" s="128"/>
      <c r="Z607" s="128"/>
      <c r="AA607" s="128"/>
    </row>
    <row r="608">
      <c r="A608" s="128"/>
      <c r="B608" s="128"/>
      <c r="C608" s="128"/>
      <c r="D608" s="128"/>
      <c r="E608" s="128"/>
      <c r="F608" s="128"/>
      <c r="G608" s="212"/>
      <c r="H608" s="128"/>
      <c r="I608" s="128"/>
      <c r="J608" s="128"/>
      <c r="K608" s="128"/>
      <c r="L608" s="128"/>
      <c r="M608" s="128"/>
      <c r="N608" s="128"/>
      <c r="O608" s="128"/>
      <c r="P608" s="128"/>
      <c r="Q608" s="128"/>
      <c r="R608" s="128"/>
      <c r="S608" s="128"/>
      <c r="T608" s="128"/>
      <c r="U608" s="129"/>
      <c r="V608" s="128"/>
      <c r="W608" s="128"/>
      <c r="X608" s="128"/>
      <c r="Y608" s="128"/>
      <c r="Z608" s="128"/>
      <c r="AA608" s="128"/>
    </row>
    <row r="609">
      <c r="A609" s="128"/>
      <c r="B609" s="128"/>
      <c r="C609" s="128"/>
      <c r="D609" s="128"/>
      <c r="E609" s="128"/>
      <c r="F609" s="128"/>
      <c r="G609" s="212"/>
      <c r="H609" s="128"/>
      <c r="I609" s="128"/>
      <c r="J609" s="128"/>
      <c r="K609" s="128"/>
      <c r="L609" s="128"/>
      <c r="M609" s="128"/>
      <c r="N609" s="128"/>
      <c r="O609" s="128"/>
      <c r="P609" s="128"/>
      <c r="Q609" s="128"/>
      <c r="R609" s="128"/>
      <c r="S609" s="128"/>
      <c r="T609" s="128"/>
      <c r="U609" s="129"/>
      <c r="V609" s="128"/>
      <c r="W609" s="128"/>
      <c r="X609" s="128"/>
      <c r="Y609" s="128"/>
      <c r="Z609" s="128"/>
      <c r="AA609" s="128"/>
    </row>
    <row r="610">
      <c r="A610" s="128"/>
      <c r="B610" s="128"/>
      <c r="C610" s="128"/>
      <c r="D610" s="128"/>
      <c r="E610" s="128"/>
      <c r="F610" s="128"/>
      <c r="G610" s="212"/>
      <c r="H610" s="128"/>
      <c r="I610" s="128"/>
      <c r="J610" s="128"/>
      <c r="K610" s="128"/>
      <c r="L610" s="128"/>
      <c r="M610" s="128"/>
      <c r="N610" s="128"/>
      <c r="O610" s="128"/>
      <c r="P610" s="128"/>
      <c r="Q610" s="128"/>
      <c r="R610" s="128"/>
      <c r="S610" s="128"/>
      <c r="T610" s="128"/>
      <c r="U610" s="129"/>
      <c r="V610" s="128"/>
      <c r="W610" s="128"/>
      <c r="X610" s="128"/>
      <c r="Y610" s="128"/>
      <c r="Z610" s="128"/>
      <c r="AA610" s="128"/>
    </row>
    <row r="611">
      <c r="A611" s="128"/>
      <c r="B611" s="128"/>
      <c r="C611" s="128"/>
      <c r="D611" s="128"/>
      <c r="E611" s="128"/>
      <c r="F611" s="128"/>
      <c r="G611" s="212"/>
      <c r="H611" s="128"/>
      <c r="I611" s="128"/>
      <c r="J611" s="128"/>
      <c r="K611" s="128"/>
      <c r="L611" s="128"/>
      <c r="M611" s="128"/>
      <c r="N611" s="128"/>
      <c r="O611" s="128"/>
      <c r="P611" s="128"/>
      <c r="Q611" s="128"/>
      <c r="R611" s="128"/>
      <c r="S611" s="128"/>
      <c r="T611" s="128"/>
      <c r="U611" s="129"/>
      <c r="V611" s="128"/>
      <c r="W611" s="128"/>
      <c r="X611" s="128"/>
      <c r="Y611" s="128"/>
      <c r="Z611" s="128"/>
      <c r="AA611" s="128"/>
    </row>
    <row r="612">
      <c r="A612" s="128"/>
      <c r="B612" s="128"/>
      <c r="C612" s="128"/>
      <c r="D612" s="128"/>
      <c r="E612" s="128"/>
      <c r="F612" s="128"/>
      <c r="G612" s="212"/>
      <c r="H612" s="128"/>
      <c r="I612" s="128"/>
      <c r="J612" s="128"/>
      <c r="K612" s="128"/>
      <c r="L612" s="128"/>
      <c r="M612" s="128"/>
      <c r="N612" s="128"/>
      <c r="O612" s="128"/>
      <c r="P612" s="128"/>
      <c r="Q612" s="128"/>
      <c r="R612" s="128"/>
      <c r="S612" s="128"/>
      <c r="T612" s="128"/>
      <c r="U612" s="129"/>
      <c r="V612" s="128"/>
      <c r="W612" s="128"/>
      <c r="X612" s="128"/>
      <c r="Y612" s="128"/>
      <c r="Z612" s="128"/>
      <c r="AA612" s="128"/>
    </row>
    <row r="613">
      <c r="A613" s="128"/>
      <c r="B613" s="128"/>
      <c r="C613" s="128"/>
      <c r="D613" s="128"/>
      <c r="E613" s="128"/>
      <c r="F613" s="128"/>
      <c r="G613" s="212"/>
      <c r="H613" s="128"/>
      <c r="I613" s="128"/>
      <c r="J613" s="128"/>
      <c r="K613" s="128"/>
      <c r="L613" s="128"/>
      <c r="M613" s="128"/>
      <c r="N613" s="128"/>
      <c r="O613" s="128"/>
      <c r="P613" s="128"/>
      <c r="Q613" s="128"/>
      <c r="R613" s="128"/>
      <c r="S613" s="128"/>
      <c r="T613" s="128"/>
      <c r="U613" s="129"/>
      <c r="V613" s="128"/>
      <c r="W613" s="128"/>
      <c r="X613" s="128"/>
      <c r="Y613" s="128"/>
      <c r="Z613" s="128"/>
      <c r="AA613" s="128"/>
    </row>
    <row r="614">
      <c r="A614" s="128"/>
      <c r="B614" s="128"/>
      <c r="C614" s="128"/>
      <c r="D614" s="128"/>
      <c r="E614" s="128"/>
      <c r="F614" s="128"/>
      <c r="G614" s="212"/>
      <c r="H614" s="128"/>
      <c r="I614" s="128"/>
      <c r="J614" s="128"/>
      <c r="K614" s="128"/>
      <c r="L614" s="128"/>
      <c r="M614" s="128"/>
      <c r="N614" s="128"/>
      <c r="O614" s="128"/>
      <c r="P614" s="128"/>
      <c r="Q614" s="128"/>
      <c r="R614" s="128"/>
      <c r="S614" s="128"/>
      <c r="T614" s="128"/>
      <c r="U614" s="129"/>
      <c r="V614" s="128"/>
      <c r="W614" s="128"/>
      <c r="X614" s="128"/>
      <c r="Y614" s="128"/>
      <c r="Z614" s="128"/>
      <c r="AA614" s="128"/>
    </row>
    <row r="615">
      <c r="A615" s="128"/>
      <c r="B615" s="128"/>
      <c r="C615" s="128"/>
      <c r="D615" s="128"/>
      <c r="E615" s="128"/>
      <c r="F615" s="128"/>
      <c r="G615" s="212"/>
      <c r="H615" s="128"/>
      <c r="I615" s="128"/>
      <c r="J615" s="128"/>
      <c r="K615" s="128"/>
      <c r="L615" s="128"/>
      <c r="M615" s="128"/>
      <c r="N615" s="128"/>
      <c r="O615" s="128"/>
      <c r="P615" s="128"/>
      <c r="Q615" s="128"/>
      <c r="R615" s="128"/>
      <c r="S615" s="128"/>
      <c r="T615" s="128"/>
      <c r="U615" s="129"/>
      <c r="V615" s="128"/>
      <c r="W615" s="128"/>
      <c r="X615" s="128"/>
      <c r="Y615" s="128"/>
      <c r="Z615" s="128"/>
      <c r="AA615" s="128"/>
    </row>
    <row r="616">
      <c r="A616" s="128"/>
      <c r="B616" s="128"/>
      <c r="C616" s="128"/>
      <c r="D616" s="128"/>
      <c r="E616" s="128"/>
      <c r="F616" s="128"/>
      <c r="G616" s="212"/>
      <c r="H616" s="128"/>
      <c r="I616" s="128"/>
      <c r="J616" s="128"/>
      <c r="K616" s="128"/>
      <c r="L616" s="128"/>
      <c r="M616" s="128"/>
      <c r="N616" s="128"/>
      <c r="O616" s="128"/>
      <c r="P616" s="128"/>
      <c r="Q616" s="128"/>
      <c r="R616" s="128"/>
      <c r="S616" s="128"/>
      <c r="T616" s="128"/>
      <c r="U616" s="129"/>
      <c r="V616" s="128"/>
      <c r="W616" s="128"/>
      <c r="X616" s="128"/>
      <c r="Y616" s="128"/>
      <c r="Z616" s="128"/>
      <c r="AA616" s="128"/>
    </row>
    <row r="617">
      <c r="A617" s="128"/>
      <c r="B617" s="128"/>
      <c r="C617" s="128"/>
      <c r="D617" s="128"/>
      <c r="E617" s="128"/>
      <c r="F617" s="128"/>
      <c r="G617" s="212"/>
      <c r="H617" s="128"/>
      <c r="I617" s="128"/>
      <c r="J617" s="128"/>
      <c r="K617" s="128"/>
      <c r="L617" s="128"/>
      <c r="M617" s="128"/>
      <c r="N617" s="128"/>
      <c r="O617" s="128"/>
      <c r="P617" s="128"/>
      <c r="Q617" s="128"/>
      <c r="R617" s="128"/>
      <c r="S617" s="128"/>
      <c r="T617" s="128"/>
      <c r="U617" s="129"/>
      <c r="V617" s="128"/>
      <c r="W617" s="128"/>
      <c r="X617" s="128"/>
      <c r="Y617" s="128"/>
      <c r="Z617" s="128"/>
      <c r="AA617" s="128"/>
    </row>
    <row r="618">
      <c r="A618" s="128"/>
      <c r="B618" s="128"/>
      <c r="C618" s="128"/>
      <c r="D618" s="128"/>
      <c r="E618" s="128"/>
      <c r="F618" s="128"/>
      <c r="G618" s="212"/>
      <c r="H618" s="128"/>
      <c r="I618" s="128"/>
      <c r="J618" s="128"/>
      <c r="K618" s="128"/>
      <c r="L618" s="128"/>
      <c r="M618" s="128"/>
      <c r="N618" s="128"/>
      <c r="O618" s="128"/>
      <c r="P618" s="128"/>
      <c r="Q618" s="128"/>
      <c r="R618" s="128"/>
      <c r="S618" s="128"/>
      <c r="T618" s="128"/>
      <c r="U618" s="129"/>
      <c r="V618" s="128"/>
      <c r="W618" s="128"/>
      <c r="X618" s="128"/>
      <c r="Y618" s="128"/>
      <c r="Z618" s="128"/>
      <c r="AA618" s="128"/>
    </row>
    <row r="619">
      <c r="A619" s="128"/>
      <c r="B619" s="128"/>
      <c r="C619" s="128"/>
      <c r="D619" s="128"/>
      <c r="E619" s="128"/>
      <c r="F619" s="128"/>
      <c r="G619" s="212"/>
      <c r="H619" s="128"/>
      <c r="I619" s="128"/>
      <c r="J619" s="128"/>
      <c r="K619" s="128"/>
      <c r="L619" s="128"/>
      <c r="M619" s="128"/>
      <c r="N619" s="128"/>
      <c r="O619" s="128"/>
      <c r="P619" s="128"/>
      <c r="Q619" s="128"/>
      <c r="R619" s="128"/>
      <c r="S619" s="128"/>
      <c r="T619" s="128"/>
      <c r="U619" s="129"/>
      <c r="V619" s="128"/>
      <c r="W619" s="128"/>
      <c r="X619" s="128"/>
      <c r="Y619" s="128"/>
      <c r="Z619" s="128"/>
      <c r="AA619" s="128"/>
    </row>
    <row r="620">
      <c r="A620" s="128"/>
      <c r="B620" s="128"/>
      <c r="C620" s="128"/>
      <c r="D620" s="128"/>
      <c r="E620" s="128"/>
      <c r="F620" s="128"/>
      <c r="G620" s="212"/>
      <c r="H620" s="128"/>
      <c r="I620" s="128"/>
      <c r="J620" s="128"/>
      <c r="K620" s="128"/>
      <c r="L620" s="128"/>
      <c r="M620" s="128"/>
      <c r="N620" s="128"/>
      <c r="O620" s="128"/>
      <c r="P620" s="128"/>
      <c r="Q620" s="128"/>
      <c r="R620" s="128"/>
      <c r="S620" s="128"/>
      <c r="T620" s="128"/>
      <c r="U620" s="129"/>
      <c r="V620" s="128"/>
      <c r="W620" s="128"/>
      <c r="X620" s="128"/>
      <c r="Y620" s="128"/>
      <c r="Z620" s="128"/>
      <c r="AA620" s="128"/>
    </row>
    <row r="621">
      <c r="A621" s="128"/>
      <c r="B621" s="128"/>
      <c r="C621" s="128"/>
      <c r="D621" s="128"/>
      <c r="E621" s="128"/>
      <c r="F621" s="128"/>
      <c r="G621" s="212"/>
      <c r="H621" s="128"/>
      <c r="I621" s="128"/>
      <c r="J621" s="128"/>
      <c r="K621" s="128"/>
      <c r="L621" s="128"/>
      <c r="M621" s="128"/>
      <c r="N621" s="128"/>
      <c r="O621" s="128"/>
      <c r="P621" s="128"/>
      <c r="Q621" s="128"/>
      <c r="R621" s="128"/>
      <c r="S621" s="128"/>
      <c r="T621" s="128"/>
      <c r="U621" s="129"/>
      <c r="V621" s="128"/>
      <c r="W621" s="128"/>
      <c r="X621" s="128"/>
      <c r="Y621" s="128"/>
      <c r="Z621" s="128"/>
      <c r="AA621" s="128"/>
    </row>
    <row r="622">
      <c r="A622" s="128"/>
      <c r="B622" s="128"/>
      <c r="C622" s="128"/>
      <c r="D622" s="128"/>
      <c r="E622" s="128"/>
      <c r="F622" s="128"/>
      <c r="G622" s="212"/>
      <c r="H622" s="128"/>
      <c r="I622" s="128"/>
      <c r="J622" s="128"/>
      <c r="K622" s="128"/>
      <c r="L622" s="128"/>
      <c r="M622" s="128"/>
      <c r="N622" s="128"/>
      <c r="O622" s="128"/>
      <c r="P622" s="128"/>
      <c r="Q622" s="128"/>
      <c r="R622" s="128"/>
      <c r="S622" s="128"/>
      <c r="T622" s="128"/>
      <c r="U622" s="129"/>
      <c r="V622" s="128"/>
      <c r="W622" s="128"/>
      <c r="X622" s="128"/>
      <c r="Y622" s="128"/>
      <c r="Z622" s="128"/>
      <c r="AA622" s="128"/>
    </row>
    <row r="623">
      <c r="A623" s="128"/>
      <c r="B623" s="128"/>
      <c r="C623" s="128"/>
      <c r="D623" s="128"/>
      <c r="E623" s="128"/>
      <c r="F623" s="128"/>
      <c r="G623" s="212"/>
      <c r="H623" s="128"/>
      <c r="I623" s="128"/>
      <c r="J623" s="128"/>
      <c r="K623" s="128"/>
      <c r="L623" s="128"/>
      <c r="M623" s="128"/>
      <c r="N623" s="128"/>
      <c r="O623" s="128"/>
      <c r="P623" s="128"/>
      <c r="Q623" s="128"/>
      <c r="R623" s="128"/>
      <c r="S623" s="128"/>
      <c r="T623" s="128"/>
      <c r="U623" s="129"/>
      <c r="V623" s="128"/>
      <c r="W623" s="128"/>
      <c r="X623" s="128"/>
      <c r="Y623" s="128"/>
      <c r="Z623" s="128"/>
      <c r="AA623" s="128"/>
    </row>
    <row r="624">
      <c r="A624" s="128"/>
      <c r="B624" s="128"/>
      <c r="C624" s="128"/>
      <c r="D624" s="128"/>
      <c r="E624" s="128"/>
      <c r="F624" s="128"/>
      <c r="G624" s="212"/>
      <c r="H624" s="128"/>
      <c r="I624" s="128"/>
      <c r="J624" s="128"/>
      <c r="K624" s="128"/>
      <c r="L624" s="128"/>
      <c r="M624" s="128"/>
      <c r="N624" s="128"/>
      <c r="O624" s="128"/>
      <c r="P624" s="128"/>
      <c r="Q624" s="128"/>
      <c r="R624" s="128"/>
      <c r="S624" s="128"/>
      <c r="T624" s="128"/>
      <c r="U624" s="129"/>
      <c r="V624" s="128"/>
      <c r="W624" s="128"/>
      <c r="X624" s="128"/>
      <c r="Y624" s="128"/>
      <c r="Z624" s="128"/>
      <c r="AA624" s="128"/>
    </row>
    <row r="625">
      <c r="A625" s="128"/>
      <c r="B625" s="128"/>
      <c r="C625" s="128"/>
      <c r="D625" s="128"/>
      <c r="E625" s="128"/>
      <c r="F625" s="128"/>
      <c r="G625" s="212"/>
      <c r="H625" s="128"/>
      <c r="I625" s="128"/>
      <c r="J625" s="128"/>
      <c r="K625" s="128"/>
      <c r="L625" s="128"/>
      <c r="M625" s="128"/>
      <c r="N625" s="128"/>
      <c r="O625" s="128"/>
      <c r="P625" s="128"/>
      <c r="Q625" s="128"/>
      <c r="R625" s="128"/>
      <c r="S625" s="128"/>
      <c r="T625" s="128"/>
      <c r="U625" s="129"/>
      <c r="V625" s="128"/>
      <c r="W625" s="128"/>
      <c r="X625" s="128"/>
      <c r="Y625" s="128"/>
      <c r="Z625" s="128"/>
      <c r="AA625" s="128"/>
    </row>
    <row r="626">
      <c r="A626" s="128"/>
      <c r="B626" s="128"/>
      <c r="C626" s="128"/>
      <c r="D626" s="128"/>
      <c r="E626" s="128"/>
      <c r="F626" s="128"/>
      <c r="G626" s="212"/>
      <c r="H626" s="128"/>
      <c r="I626" s="128"/>
      <c r="J626" s="128"/>
      <c r="K626" s="128"/>
      <c r="L626" s="128"/>
      <c r="M626" s="128"/>
      <c r="N626" s="128"/>
      <c r="O626" s="128"/>
      <c r="P626" s="128"/>
      <c r="Q626" s="128"/>
      <c r="R626" s="128"/>
      <c r="S626" s="128"/>
      <c r="T626" s="128"/>
      <c r="U626" s="129"/>
      <c r="V626" s="128"/>
      <c r="W626" s="128"/>
      <c r="X626" s="128"/>
      <c r="Y626" s="128"/>
      <c r="Z626" s="128"/>
      <c r="AA626" s="128"/>
    </row>
    <row r="627">
      <c r="A627" s="128"/>
      <c r="B627" s="128"/>
      <c r="C627" s="128"/>
      <c r="D627" s="128"/>
      <c r="E627" s="128"/>
      <c r="F627" s="128"/>
      <c r="G627" s="212"/>
      <c r="H627" s="128"/>
      <c r="I627" s="128"/>
      <c r="J627" s="128"/>
      <c r="K627" s="128"/>
      <c r="L627" s="128"/>
      <c r="M627" s="128"/>
      <c r="N627" s="128"/>
      <c r="O627" s="128"/>
      <c r="P627" s="128"/>
      <c r="Q627" s="128"/>
      <c r="R627" s="128"/>
      <c r="S627" s="128"/>
      <c r="T627" s="128"/>
      <c r="U627" s="129"/>
      <c r="V627" s="128"/>
      <c r="W627" s="128"/>
      <c r="X627" s="128"/>
      <c r="Y627" s="128"/>
      <c r="Z627" s="128"/>
      <c r="AA627" s="128"/>
    </row>
    <row r="628">
      <c r="A628" s="128"/>
      <c r="B628" s="128"/>
      <c r="C628" s="128"/>
      <c r="D628" s="128"/>
      <c r="E628" s="128"/>
      <c r="F628" s="128"/>
      <c r="G628" s="212"/>
      <c r="H628" s="128"/>
      <c r="I628" s="128"/>
      <c r="J628" s="128"/>
      <c r="K628" s="128"/>
      <c r="L628" s="128"/>
      <c r="M628" s="128"/>
      <c r="N628" s="128"/>
      <c r="O628" s="128"/>
      <c r="P628" s="128"/>
      <c r="Q628" s="128"/>
      <c r="R628" s="128"/>
      <c r="S628" s="128"/>
      <c r="T628" s="128"/>
      <c r="U628" s="129"/>
      <c r="V628" s="128"/>
      <c r="W628" s="128"/>
      <c r="X628" s="128"/>
      <c r="Y628" s="128"/>
      <c r="Z628" s="128"/>
      <c r="AA628" s="128"/>
    </row>
    <row r="629">
      <c r="A629" s="128"/>
      <c r="B629" s="128"/>
      <c r="C629" s="128"/>
      <c r="D629" s="128"/>
      <c r="E629" s="128"/>
      <c r="F629" s="128"/>
      <c r="G629" s="212"/>
      <c r="H629" s="128"/>
      <c r="I629" s="128"/>
      <c r="J629" s="128"/>
      <c r="K629" s="128"/>
      <c r="L629" s="128"/>
      <c r="M629" s="128"/>
      <c r="N629" s="128"/>
      <c r="O629" s="128"/>
      <c r="P629" s="128"/>
      <c r="Q629" s="128"/>
      <c r="R629" s="128"/>
      <c r="S629" s="128"/>
      <c r="T629" s="128"/>
      <c r="U629" s="129"/>
      <c r="V629" s="128"/>
      <c r="W629" s="128"/>
      <c r="X629" s="128"/>
      <c r="Y629" s="128"/>
      <c r="Z629" s="128"/>
      <c r="AA629" s="128"/>
    </row>
    <row r="630">
      <c r="A630" s="128"/>
      <c r="B630" s="128"/>
      <c r="C630" s="128"/>
      <c r="D630" s="128"/>
      <c r="E630" s="128"/>
      <c r="F630" s="128"/>
      <c r="G630" s="212"/>
      <c r="H630" s="128"/>
      <c r="I630" s="128"/>
      <c r="J630" s="128"/>
      <c r="K630" s="128"/>
      <c r="L630" s="128"/>
      <c r="M630" s="128"/>
      <c r="N630" s="128"/>
      <c r="O630" s="128"/>
      <c r="P630" s="128"/>
      <c r="Q630" s="128"/>
      <c r="R630" s="128"/>
      <c r="S630" s="128"/>
      <c r="T630" s="128"/>
      <c r="U630" s="129"/>
      <c r="V630" s="128"/>
      <c r="W630" s="128"/>
      <c r="X630" s="128"/>
      <c r="Y630" s="128"/>
      <c r="Z630" s="128"/>
      <c r="AA630" s="128"/>
    </row>
    <row r="631">
      <c r="A631" s="128"/>
      <c r="B631" s="128"/>
      <c r="C631" s="128"/>
      <c r="D631" s="128"/>
      <c r="E631" s="128"/>
      <c r="F631" s="128"/>
      <c r="G631" s="212"/>
      <c r="H631" s="128"/>
      <c r="I631" s="128"/>
      <c r="J631" s="128"/>
      <c r="K631" s="128"/>
      <c r="L631" s="128"/>
      <c r="M631" s="128"/>
      <c r="N631" s="128"/>
      <c r="O631" s="128"/>
      <c r="P631" s="128"/>
      <c r="Q631" s="128"/>
      <c r="R631" s="128"/>
      <c r="S631" s="128"/>
      <c r="T631" s="128"/>
      <c r="U631" s="129"/>
      <c r="V631" s="128"/>
      <c r="W631" s="128"/>
      <c r="X631" s="128"/>
      <c r="Y631" s="128"/>
      <c r="Z631" s="128"/>
      <c r="AA631" s="128"/>
    </row>
    <row r="632">
      <c r="A632" s="128"/>
      <c r="B632" s="128"/>
      <c r="C632" s="128"/>
      <c r="D632" s="128"/>
      <c r="E632" s="128"/>
      <c r="F632" s="128"/>
      <c r="G632" s="212"/>
      <c r="H632" s="128"/>
      <c r="I632" s="128"/>
      <c r="J632" s="128"/>
      <c r="K632" s="128"/>
      <c r="L632" s="128"/>
      <c r="M632" s="128"/>
      <c r="N632" s="128"/>
      <c r="O632" s="128"/>
      <c r="P632" s="128"/>
      <c r="Q632" s="128"/>
      <c r="R632" s="128"/>
      <c r="S632" s="128"/>
      <c r="T632" s="128"/>
      <c r="U632" s="129"/>
      <c r="V632" s="128"/>
      <c r="W632" s="128"/>
      <c r="X632" s="128"/>
      <c r="Y632" s="128"/>
      <c r="Z632" s="128"/>
      <c r="AA632" s="128"/>
    </row>
    <row r="633">
      <c r="A633" s="128"/>
      <c r="B633" s="128"/>
      <c r="C633" s="128"/>
      <c r="D633" s="128"/>
      <c r="E633" s="128"/>
      <c r="F633" s="128"/>
      <c r="G633" s="212"/>
      <c r="H633" s="128"/>
      <c r="I633" s="128"/>
      <c r="J633" s="128"/>
      <c r="K633" s="128"/>
      <c r="L633" s="128"/>
      <c r="M633" s="128"/>
      <c r="N633" s="128"/>
      <c r="O633" s="128"/>
      <c r="P633" s="128"/>
      <c r="Q633" s="128"/>
      <c r="R633" s="128"/>
      <c r="S633" s="128"/>
      <c r="T633" s="128"/>
      <c r="U633" s="129"/>
      <c r="V633" s="128"/>
      <c r="W633" s="128"/>
      <c r="X633" s="128"/>
      <c r="Y633" s="128"/>
      <c r="Z633" s="128"/>
      <c r="AA633" s="128"/>
    </row>
    <row r="634">
      <c r="A634" s="128"/>
      <c r="B634" s="128"/>
      <c r="C634" s="128"/>
      <c r="D634" s="128"/>
      <c r="E634" s="128"/>
      <c r="F634" s="128"/>
      <c r="G634" s="212"/>
      <c r="H634" s="128"/>
      <c r="I634" s="128"/>
      <c r="J634" s="128"/>
      <c r="K634" s="128"/>
      <c r="L634" s="128"/>
      <c r="M634" s="128"/>
      <c r="N634" s="128"/>
      <c r="O634" s="128"/>
      <c r="P634" s="128"/>
      <c r="Q634" s="128"/>
      <c r="R634" s="128"/>
      <c r="S634" s="128"/>
      <c r="T634" s="128"/>
      <c r="U634" s="129"/>
      <c r="V634" s="128"/>
      <c r="W634" s="128"/>
      <c r="X634" s="128"/>
      <c r="Y634" s="128"/>
      <c r="Z634" s="128"/>
      <c r="AA634" s="128"/>
    </row>
    <row r="635">
      <c r="A635" s="128"/>
      <c r="B635" s="128"/>
      <c r="C635" s="128"/>
      <c r="D635" s="128"/>
      <c r="E635" s="128"/>
      <c r="F635" s="128"/>
      <c r="G635" s="212"/>
      <c r="H635" s="128"/>
      <c r="I635" s="128"/>
      <c r="J635" s="128"/>
      <c r="K635" s="128"/>
      <c r="L635" s="128"/>
      <c r="M635" s="128"/>
      <c r="N635" s="128"/>
      <c r="O635" s="128"/>
      <c r="P635" s="128"/>
      <c r="Q635" s="128"/>
      <c r="R635" s="128"/>
      <c r="S635" s="128"/>
      <c r="T635" s="128"/>
      <c r="U635" s="129"/>
      <c r="V635" s="128"/>
      <c r="W635" s="128"/>
      <c r="X635" s="128"/>
      <c r="Y635" s="128"/>
      <c r="Z635" s="128"/>
      <c r="AA635" s="128"/>
    </row>
    <row r="636">
      <c r="A636" s="128"/>
      <c r="B636" s="128"/>
      <c r="C636" s="128"/>
      <c r="D636" s="128"/>
      <c r="E636" s="128"/>
      <c r="F636" s="128"/>
      <c r="G636" s="212"/>
      <c r="H636" s="128"/>
      <c r="I636" s="128"/>
      <c r="J636" s="128"/>
      <c r="K636" s="128"/>
      <c r="L636" s="128"/>
      <c r="M636" s="128"/>
      <c r="N636" s="128"/>
      <c r="O636" s="128"/>
      <c r="P636" s="128"/>
      <c r="Q636" s="128"/>
      <c r="R636" s="128"/>
      <c r="S636" s="128"/>
      <c r="T636" s="128"/>
      <c r="U636" s="129"/>
      <c r="V636" s="128"/>
      <c r="W636" s="128"/>
      <c r="X636" s="128"/>
      <c r="Y636" s="128"/>
      <c r="Z636" s="128"/>
      <c r="AA636" s="128"/>
    </row>
    <row r="637">
      <c r="A637" s="128"/>
      <c r="B637" s="128"/>
      <c r="C637" s="128"/>
      <c r="D637" s="128"/>
      <c r="E637" s="128"/>
      <c r="F637" s="128"/>
      <c r="G637" s="212"/>
      <c r="H637" s="128"/>
      <c r="I637" s="128"/>
      <c r="J637" s="128"/>
      <c r="K637" s="128"/>
      <c r="L637" s="128"/>
      <c r="M637" s="128"/>
      <c r="N637" s="128"/>
      <c r="O637" s="128"/>
      <c r="P637" s="128"/>
      <c r="Q637" s="128"/>
      <c r="R637" s="128"/>
      <c r="S637" s="128"/>
      <c r="T637" s="128"/>
      <c r="U637" s="129"/>
      <c r="V637" s="128"/>
      <c r="W637" s="128"/>
      <c r="X637" s="128"/>
      <c r="Y637" s="128"/>
      <c r="Z637" s="128"/>
      <c r="AA637" s="128"/>
    </row>
    <row r="638">
      <c r="A638" s="128"/>
      <c r="B638" s="128"/>
      <c r="C638" s="128"/>
      <c r="D638" s="128"/>
      <c r="E638" s="128"/>
      <c r="F638" s="128"/>
      <c r="G638" s="212"/>
      <c r="H638" s="128"/>
      <c r="I638" s="128"/>
      <c r="J638" s="128"/>
      <c r="K638" s="128"/>
      <c r="L638" s="128"/>
      <c r="M638" s="128"/>
      <c r="N638" s="128"/>
      <c r="O638" s="128"/>
      <c r="P638" s="128"/>
      <c r="Q638" s="128"/>
      <c r="R638" s="128"/>
      <c r="S638" s="128"/>
      <c r="T638" s="128"/>
      <c r="U638" s="129"/>
      <c r="V638" s="128"/>
      <c r="W638" s="128"/>
      <c r="X638" s="128"/>
      <c r="Y638" s="128"/>
      <c r="Z638" s="128"/>
      <c r="AA638" s="128"/>
    </row>
    <row r="639">
      <c r="A639" s="128"/>
      <c r="B639" s="128"/>
      <c r="C639" s="128"/>
      <c r="D639" s="128"/>
      <c r="E639" s="128"/>
      <c r="F639" s="128"/>
      <c r="G639" s="212"/>
      <c r="H639" s="128"/>
      <c r="I639" s="128"/>
      <c r="J639" s="128"/>
      <c r="K639" s="128"/>
      <c r="L639" s="128"/>
      <c r="M639" s="128"/>
      <c r="N639" s="128"/>
      <c r="O639" s="128"/>
      <c r="P639" s="128"/>
      <c r="Q639" s="128"/>
      <c r="R639" s="128"/>
      <c r="S639" s="128"/>
      <c r="T639" s="128"/>
      <c r="U639" s="129"/>
      <c r="V639" s="128"/>
      <c r="W639" s="128"/>
      <c r="X639" s="128"/>
      <c r="Y639" s="128"/>
      <c r="Z639" s="128"/>
      <c r="AA639" s="128"/>
    </row>
    <row r="640">
      <c r="A640" s="128"/>
      <c r="B640" s="128"/>
      <c r="C640" s="128"/>
      <c r="D640" s="128"/>
      <c r="E640" s="128"/>
      <c r="F640" s="128"/>
      <c r="G640" s="212"/>
      <c r="H640" s="128"/>
      <c r="I640" s="128"/>
      <c r="J640" s="128"/>
      <c r="K640" s="128"/>
      <c r="L640" s="128"/>
      <c r="M640" s="128"/>
      <c r="N640" s="128"/>
      <c r="O640" s="128"/>
      <c r="P640" s="128"/>
      <c r="Q640" s="128"/>
      <c r="R640" s="128"/>
      <c r="S640" s="128"/>
      <c r="T640" s="128"/>
      <c r="U640" s="129"/>
      <c r="V640" s="128"/>
      <c r="W640" s="128"/>
      <c r="X640" s="128"/>
      <c r="Y640" s="128"/>
      <c r="Z640" s="128"/>
      <c r="AA640" s="128"/>
    </row>
    <row r="641">
      <c r="A641" s="128"/>
      <c r="B641" s="128"/>
      <c r="C641" s="128"/>
      <c r="D641" s="128"/>
      <c r="E641" s="128"/>
      <c r="F641" s="128"/>
      <c r="G641" s="212"/>
      <c r="H641" s="128"/>
      <c r="I641" s="128"/>
      <c r="J641" s="128"/>
      <c r="K641" s="128"/>
      <c r="L641" s="128"/>
      <c r="M641" s="128"/>
      <c r="N641" s="128"/>
      <c r="O641" s="128"/>
      <c r="P641" s="128"/>
      <c r="Q641" s="128"/>
      <c r="R641" s="128"/>
      <c r="S641" s="128"/>
      <c r="T641" s="128"/>
      <c r="U641" s="129"/>
      <c r="V641" s="128"/>
      <c r="W641" s="128"/>
      <c r="X641" s="128"/>
      <c r="Y641" s="128"/>
      <c r="Z641" s="128"/>
      <c r="AA641" s="128"/>
    </row>
    <row r="642">
      <c r="A642" s="128"/>
      <c r="B642" s="128"/>
      <c r="C642" s="128"/>
      <c r="D642" s="128"/>
      <c r="E642" s="128"/>
      <c r="F642" s="128"/>
      <c r="G642" s="212"/>
      <c r="H642" s="128"/>
      <c r="I642" s="128"/>
      <c r="J642" s="128"/>
      <c r="K642" s="128"/>
      <c r="L642" s="128"/>
      <c r="M642" s="128"/>
      <c r="N642" s="128"/>
      <c r="O642" s="128"/>
      <c r="P642" s="128"/>
      <c r="Q642" s="128"/>
      <c r="R642" s="128"/>
      <c r="S642" s="128"/>
      <c r="T642" s="128"/>
      <c r="U642" s="129"/>
      <c r="V642" s="128"/>
      <c r="W642" s="128"/>
      <c r="X642" s="128"/>
      <c r="Y642" s="128"/>
      <c r="Z642" s="128"/>
      <c r="AA642" s="128"/>
    </row>
    <row r="643">
      <c r="A643" s="128"/>
      <c r="B643" s="128"/>
      <c r="C643" s="128"/>
      <c r="D643" s="128"/>
      <c r="E643" s="128"/>
      <c r="F643" s="128"/>
      <c r="G643" s="212"/>
      <c r="H643" s="128"/>
      <c r="I643" s="128"/>
      <c r="J643" s="128"/>
      <c r="K643" s="128"/>
      <c r="L643" s="128"/>
      <c r="M643" s="128"/>
      <c r="N643" s="128"/>
      <c r="O643" s="128"/>
      <c r="P643" s="128"/>
      <c r="Q643" s="128"/>
      <c r="R643" s="128"/>
      <c r="S643" s="128"/>
      <c r="T643" s="128"/>
      <c r="U643" s="129"/>
      <c r="V643" s="128"/>
      <c r="W643" s="128"/>
      <c r="X643" s="128"/>
      <c r="Y643" s="128"/>
      <c r="Z643" s="128"/>
      <c r="AA643" s="128"/>
    </row>
    <row r="644">
      <c r="A644" s="128"/>
      <c r="B644" s="128"/>
      <c r="C644" s="128"/>
      <c r="D644" s="128"/>
      <c r="E644" s="128"/>
      <c r="F644" s="128"/>
      <c r="G644" s="212"/>
      <c r="H644" s="128"/>
      <c r="I644" s="128"/>
      <c r="J644" s="128"/>
      <c r="K644" s="128"/>
      <c r="L644" s="128"/>
      <c r="M644" s="128"/>
      <c r="N644" s="128"/>
      <c r="O644" s="128"/>
      <c r="P644" s="128"/>
      <c r="Q644" s="128"/>
      <c r="R644" s="128"/>
      <c r="S644" s="128"/>
      <c r="T644" s="128"/>
      <c r="U644" s="129"/>
      <c r="V644" s="128"/>
      <c r="W644" s="128"/>
      <c r="X644" s="128"/>
      <c r="Y644" s="128"/>
      <c r="Z644" s="128"/>
      <c r="AA644" s="128"/>
    </row>
    <row r="645">
      <c r="A645" s="128"/>
      <c r="B645" s="128"/>
      <c r="C645" s="128"/>
      <c r="D645" s="128"/>
      <c r="E645" s="128"/>
      <c r="F645" s="128"/>
      <c r="G645" s="212"/>
      <c r="H645" s="128"/>
      <c r="I645" s="128"/>
      <c r="J645" s="128"/>
      <c r="K645" s="128"/>
      <c r="L645" s="128"/>
      <c r="M645" s="128"/>
      <c r="N645" s="128"/>
      <c r="O645" s="128"/>
      <c r="P645" s="128"/>
      <c r="Q645" s="128"/>
      <c r="R645" s="128"/>
      <c r="S645" s="128"/>
      <c r="T645" s="128"/>
      <c r="U645" s="129"/>
      <c r="V645" s="128"/>
      <c r="W645" s="128"/>
      <c r="X645" s="128"/>
      <c r="Y645" s="128"/>
      <c r="Z645" s="128"/>
      <c r="AA645" s="128"/>
    </row>
    <row r="646">
      <c r="A646" s="128"/>
      <c r="B646" s="128"/>
      <c r="C646" s="128"/>
      <c r="D646" s="128"/>
      <c r="E646" s="128"/>
      <c r="F646" s="128"/>
      <c r="G646" s="212"/>
      <c r="H646" s="128"/>
      <c r="I646" s="128"/>
      <c r="J646" s="128"/>
      <c r="K646" s="128"/>
      <c r="L646" s="128"/>
      <c r="M646" s="128"/>
      <c r="N646" s="128"/>
      <c r="O646" s="128"/>
      <c r="P646" s="128"/>
      <c r="Q646" s="128"/>
      <c r="R646" s="128"/>
      <c r="S646" s="128"/>
      <c r="T646" s="128"/>
      <c r="U646" s="129"/>
      <c r="V646" s="128"/>
      <c r="W646" s="128"/>
      <c r="X646" s="128"/>
      <c r="Y646" s="128"/>
      <c r="Z646" s="128"/>
      <c r="AA646" s="128"/>
    </row>
    <row r="647">
      <c r="A647" s="128"/>
      <c r="B647" s="128"/>
      <c r="C647" s="128"/>
      <c r="D647" s="128"/>
      <c r="E647" s="128"/>
      <c r="F647" s="128"/>
      <c r="G647" s="212"/>
      <c r="H647" s="128"/>
      <c r="I647" s="128"/>
      <c r="J647" s="128"/>
      <c r="K647" s="128"/>
      <c r="L647" s="128"/>
      <c r="M647" s="128"/>
      <c r="N647" s="128"/>
      <c r="O647" s="128"/>
      <c r="P647" s="128"/>
      <c r="Q647" s="128"/>
      <c r="R647" s="128"/>
      <c r="S647" s="128"/>
      <c r="T647" s="128"/>
      <c r="U647" s="129"/>
      <c r="V647" s="128"/>
      <c r="W647" s="128"/>
      <c r="X647" s="128"/>
      <c r="Y647" s="128"/>
      <c r="Z647" s="128"/>
      <c r="AA647" s="128"/>
    </row>
    <row r="648">
      <c r="A648" s="128"/>
      <c r="B648" s="128"/>
      <c r="C648" s="128"/>
      <c r="D648" s="128"/>
      <c r="E648" s="128"/>
      <c r="F648" s="128"/>
      <c r="G648" s="212"/>
      <c r="H648" s="128"/>
      <c r="I648" s="128"/>
      <c r="J648" s="128"/>
      <c r="K648" s="128"/>
      <c r="L648" s="128"/>
      <c r="M648" s="128"/>
      <c r="N648" s="128"/>
      <c r="O648" s="128"/>
      <c r="P648" s="128"/>
      <c r="Q648" s="128"/>
      <c r="R648" s="128"/>
      <c r="S648" s="128"/>
      <c r="T648" s="128"/>
      <c r="U648" s="129"/>
      <c r="V648" s="128"/>
      <c r="W648" s="128"/>
      <c r="X648" s="128"/>
      <c r="Y648" s="128"/>
      <c r="Z648" s="128"/>
      <c r="AA648" s="128"/>
    </row>
    <row r="649">
      <c r="A649" s="128"/>
      <c r="B649" s="128"/>
      <c r="C649" s="128"/>
      <c r="D649" s="128"/>
      <c r="E649" s="128"/>
      <c r="F649" s="128"/>
      <c r="G649" s="212"/>
      <c r="H649" s="128"/>
      <c r="I649" s="128"/>
      <c r="J649" s="128"/>
      <c r="K649" s="128"/>
      <c r="L649" s="128"/>
      <c r="M649" s="128"/>
      <c r="N649" s="128"/>
      <c r="O649" s="128"/>
      <c r="P649" s="128"/>
      <c r="Q649" s="128"/>
      <c r="R649" s="128"/>
      <c r="S649" s="128"/>
      <c r="T649" s="128"/>
      <c r="U649" s="129"/>
      <c r="V649" s="128"/>
      <c r="W649" s="128"/>
      <c r="X649" s="128"/>
      <c r="Y649" s="128"/>
      <c r="Z649" s="128"/>
      <c r="AA649" s="128"/>
    </row>
    <row r="650">
      <c r="A650" s="128"/>
      <c r="B650" s="128"/>
      <c r="C650" s="128"/>
      <c r="D650" s="128"/>
      <c r="E650" s="128"/>
      <c r="F650" s="128"/>
      <c r="G650" s="212"/>
      <c r="H650" s="128"/>
      <c r="I650" s="128"/>
      <c r="J650" s="128"/>
      <c r="K650" s="128"/>
      <c r="L650" s="128"/>
      <c r="M650" s="128"/>
      <c r="N650" s="128"/>
      <c r="O650" s="128"/>
      <c r="P650" s="128"/>
      <c r="Q650" s="128"/>
      <c r="R650" s="128"/>
      <c r="S650" s="128"/>
      <c r="T650" s="128"/>
      <c r="U650" s="129"/>
      <c r="V650" s="128"/>
      <c r="W650" s="128"/>
      <c r="X650" s="128"/>
      <c r="Y650" s="128"/>
      <c r="Z650" s="128"/>
      <c r="AA650" s="128"/>
    </row>
    <row r="651">
      <c r="A651" s="128"/>
      <c r="B651" s="128"/>
      <c r="C651" s="128"/>
      <c r="D651" s="128"/>
      <c r="E651" s="128"/>
      <c r="F651" s="128"/>
      <c r="G651" s="212"/>
      <c r="H651" s="128"/>
      <c r="I651" s="128"/>
      <c r="J651" s="128"/>
      <c r="K651" s="128"/>
      <c r="L651" s="128"/>
      <c r="M651" s="128"/>
      <c r="N651" s="128"/>
      <c r="O651" s="128"/>
      <c r="P651" s="128"/>
      <c r="Q651" s="128"/>
      <c r="R651" s="128"/>
      <c r="S651" s="128"/>
      <c r="T651" s="128"/>
      <c r="U651" s="129"/>
      <c r="V651" s="128"/>
      <c r="W651" s="128"/>
      <c r="X651" s="128"/>
      <c r="Y651" s="128"/>
      <c r="Z651" s="128"/>
      <c r="AA651" s="128"/>
    </row>
    <row r="652">
      <c r="A652" s="128"/>
      <c r="B652" s="128"/>
      <c r="C652" s="128"/>
      <c r="D652" s="128"/>
      <c r="E652" s="128"/>
      <c r="F652" s="128"/>
      <c r="G652" s="212"/>
      <c r="H652" s="128"/>
      <c r="I652" s="128"/>
      <c r="J652" s="128"/>
      <c r="K652" s="128"/>
      <c r="L652" s="128"/>
      <c r="M652" s="128"/>
      <c r="N652" s="128"/>
      <c r="O652" s="128"/>
      <c r="P652" s="128"/>
      <c r="Q652" s="128"/>
      <c r="R652" s="128"/>
      <c r="S652" s="128"/>
      <c r="T652" s="128"/>
      <c r="U652" s="129"/>
      <c r="V652" s="128"/>
      <c r="W652" s="128"/>
      <c r="X652" s="128"/>
      <c r="Y652" s="128"/>
      <c r="Z652" s="128"/>
      <c r="AA652" s="128"/>
    </row>
    <row r="653">
      <c r="A653" s="128"/>
      <c r="B653" s="128"/>
      <c r="C653" s="128"/>
      <c r="D653" s="128"/>
      <c r="E653" s="128"/>
      <c r="F653" s="128"/>
      <c r="G653" s="212"/>
      <c r="H653" s="128"/>
      <c r="I653" s="128"/>
      <c r="J653" s="128"/>
      <c r="K653" s="128"/>
      <c r="L653" s="128"/>
      <c r="M653" s="128"/>
      <c r="N653" s="128"/>
      <c r="O653" s="128"/>
      <c r="P653" s="128"/>
      <c r="Q653" s="128"/>
      <c r="R653" s="128"/>
      <c r="S653" s="128"/>
      <c r="T653" s="128"/>
      <c r="U653" s="129"/>
      <c r="V653" s="128"/>
      <c r="W653" s="128"/>
      <c r="X653" s="128"/>
      <c r="Y653" s="128"/>
      <c r="Z653" s="128"/>
      <c r="AA653" s="128"/>
    </row>
    <row r="654">
      <c r="A654" s="128"/>
      <c r="B654" s="128"/>
      <c r="C654" s="128"/>
      <c r="D654" s="128"/>
      <c r="E654" s="128"/>
      <c r="F654" s="128"/>
      <c r="G654" s="212"/>
      <c r="H654" s="128"/>
      <c r="I654" s="128"/>
      <c r="J654" s="128"/>
      <c r="K654" s="128"/>
      <c r="L654" s="128"/>
      <c r="M654" s="128"/>
      <c r="N654" s="128"/>
      <c r="O654" s="128"/>
      <c r="P654" s="128"/>
      <c r="Q654" s="128"/>
      <c r="R654" s="128"/>
      <c r="S654" s="128"/>
      <c r="T654" s="128"/>
      <c r="U654" s="129"/>
      <c r="V654" s="128"/>
      <c r="W654" s="128"/>
      <c r="X654" s="128"/>
      <c r="Y654" s="128"/>
      <c r="Z654" s="128"/>
      <c r="AA654" s="128"/>
    </row>
    <row r="655">
      <c r="A655" s="128"/>
      <c r="B655" s="128"/>
      <c r="C655" s="128"/>
      <c r="D655" s="128"/>
      <c r="E655" s="128"/>
      <c r="F655" s="128"/>
      <c r="G655" s="212"/>
      <c r="H655" s="128"/>
      <c r="I655" s="128"/>
      <c r="J655" s="128"/>
      <c r="K655" s="128"/>
      <c r="L655" s="128"/>
      <c r="M655" s="128"/>
      <c r="N655" s="128"/>
      <c r="O655" s="128"/>
      <c r="P655" s="128"/>
      <c r="Q655" s="128"/>
      <c r="R655" s="128"/>
      <c r="S655" s="128"/>
      <c r="T655" s="128"/>
      <c r="U655" s="129"/>
      <c r="V655" s="128"/>
      <c r="W655" s="128"/>
      <c r="X655" s="128"/>
      <c r="Y655" s="128"/>
      <c r="Z655" s="128"/>
      <c r="AA655" s="128"/>
    </row>
    <row r="656">
      <c r="A656" s="128"/>
      <c r="B656" s="128"/>
      <c r="C656" s="128"/>
      <c r="D656" s="128"/>
      <c r="E656" s="128"/>
      <c r="F656" s="128"/>
      <c r="G656" s="212"/>
      <c r="H656" s="128"/>
      <c r="I656" s="128"/>
      <c r="J656" s="128"/>
      <c r="K656" s="128"/>
      <c r="L656" s="128"/>
      <c r="M656" s="128"/>
      <c r="N656" s="128"/>
      <c r="O656" s="128"/>
      <c r="P656" s="128"/>
      <c r="Q656" s="128"/>
      <c r="R656" s="128"/>
      <c r="S656" s="128"/>
      <c r="T656" s="128"/>
      <c r="U656" s="129"/>
      <c r="V656" s="128"/>
      <c r="W656" s="128"/>
      <c r="X656" s="128"/>
      <c r="Y656" s="128"/>
      <c r="Z656" s="128"/>
      <c r="AA656" s="128"/>
    </row>
    <row r="657">
      <c r="A657" s="128"/>
      <c r="B657" s="128"/>
      <c r="C657" s="128"/>
      <c r="D657" s="128"/>
      <c r="E657" s="128"/>
      <c r="F657" s="128"/>
      <c r="G657" s="212"/>
      <c r="H657" s="128"/>
      <c r="I657" s="128"/>
      <c r="J657" s="128"/>
      <c r="K657" s="128"/>
      <c r="L657" s="128"/>
      <c r="M657" s="128"/>
      <c r="N657" s="128"/>
      <c r="O657" s="128"/>
      <c r="P657" s="128"/>
      <c r="Q657" s="128"/>
      <c r="R657" s="128"/>
      <c r="S657" s="128"/>
      <c r="T657" s="128"/>
      <c r="U657" s="129"/>
      <c r="V657" s="128"/>
      <c r="W657" s="128"/>
      <c r="X657" s="128"/>
      <c r="Y657" s="128"/>
      <c r="Z657" s="128"/>
      <c r="AA657" s="128"/>
    </row>
    <row r="658">
      <c r="A658" s="128"/>
      <c r="B658" s="128"/>
      <c r="C658" s="128"/>
      <c r="D658" s="128"/>
      <c r="E658" s="128"/>
      <c r="F658" s="128"/>
      <c r="G658" s="212"/>
      <c r="H658" s="128"/>
      <c r="I658" s="128"/>
      <c r="J658" s="128"/>
      <c r="K658" s="128"/>
      <c r="L658" s="128"/>
      <c r="M658" s="128"/>
      <c r="N658" s="128"/>
      <c r="O658" s="128"/>
      <c r="P658" s="128"/>
      <c r="Q658" s="128"/>
      <c r="R658" s="128"/>
      <c r="S658" s="128"/>
      <c r="T658" s="128"/>
      <c r="U658" s="129"/>
      <c r="V658" s="128"/>
      <c r="W658" s="128"/>
      <c r="X658" s="128"/>
      <c r="Y658" s="128"/>
      <c r="Z658" s="128"/>
      <c r="AA658" s="128"/>
    </row>
    <row r="659">
      <c r="A659" s="128"/>
      <c r="B659" s="128"/>
      <c r="C659" s="128"/>
      <c r="D659" s="128"/>
      <c r="E659" s="128"/>
      <c r="F659" s="128"/>
      <c r="G659" s="212"/>
      <c r="H659" s="128"/>
      <c r="I659" s="128"/>
      <c r="J659" s="128"/>
      <c r="K659" s="128"/>
      <c r="L659" s="128"/>
      <c r="M659" s="128"/>
      <c r="N659" s="128"/>
      <c r="O659" s="128"/>
      <c r="P659" s="128"/>
      <c r="Q659" s="128"/>
      <c r="R659" s="128"/>
      <c r="S659" s="128"/>
      <c r="T659" s="128"/>
      <c r="U659" s="129"/>
      <c r="V659" s="128"/>
      <c r="W659" s="128"/>
      <c r="X659" s="128"/>
      <c r="Y659" s="128"/>
      <c r="Z659" s="128"/>
      <c r="AA659" s="128"/>
    </row>
    <row r="660">
      <c r="A660" s="128"/>
      <c r="B660" s="128"/>
      <c r="C660" s="128"/>
      <c r="D660" s="128"/>
      <c r="E660" s="128"/>
      <c r="F660" s="128"/>
      <c r="G660" s="212"/>
      <c r="H660" s="128"/>
      <c r="I660" s="128"/>
      <c r="J660" s="128"/>
      <c r="K660" s="128"/>
      <c r="L660" s="128"/>
      <c r="M660" s="128"/>
      <c r="N660" s="128"/>
      <c r="O660" s="128"/>
      <c r="P660" s="128"/>
      <c r="Q660" s="128"/>
      <c r="R660" s="128"/>
      <c r="S660" s="128"/>
      <c r="T660" s="128"/>
      <c r="U660" s="129"/>
      <c r="V660" s="128"/>
      <c r="W660" s="128"/>
      <c r="X660" s="128"/>
      <c r="Y660" s="128"/>
      <c r="Z660" s="128"/>
      <c r="AA660" s="128"/>
    </row>
    <row r="661">
      <c r="A661" s="128"/>
      <c r="B661" s="128"/>
      <c r="C661" s="128"/>
      <c r="D661" s="128"/>
      <c r="E661" s="128"/>
      <c r="F661" s="128"/>
      <c r="G661" s="212"/>
      <c r="H661" s="128"/>
      <c r="I661" s="128"/>
      <c r="J661" s="128"/>
      <c r="K661" s="128"/>
      <c r="L661" s="128"/>
      <c r="M661" s="128"/>
      <c r="N661" s="128"/>
      <c r="O661" s="128"/>
      <c r="P661" s="128"/>
      <c r="Q661" s="128"/>
      <c r="R661" s="128"/>
      <c r="S661" s="128"/>
      <c r="T661" s="128"/>
      <c r="U661" s="129"/>
      <c r="V661" s="128"/>
      <c r="W661" s="128"/>
      <c r="X661" s="128"/>
      <c r="Y661" s="128"/>
      <c r="Z661" s="128"/>
      <c r="AA661" s="128"/>
    </row>
    <row r="662">
      <c r="A662" s="128"/>
      <c r="B662" s="128"/>
      <c r="C662" s="128"/>
      <c r="D662" s="128"/>
      <c r="E662" s="128"/>
      <c r="F662" s="128"/>
      <c r="G662" s="212"/>
      <c r="H662" s="128"/>
      <c r="I662" s="128"/>
      <c r="J662" s="128"/>
      <c r="K662" s="128"/>
      <c r="L662" s="128"/>
      <c r="M662" s="128"/>
      <c r="N662" s="128"/>
      <c r="O662" s="128"/>
      <c r="P662" s="128"/>
      <c r="Q662" s="128"/>
      <c r="R662" s="128"/>
      <c r="S662" s="128"/>
      <c r="T662" s="128"/>
      <c r="U662" s="129"/>
      <c r="V662" s="128"/>
      <c r="W662" s="128"/>
      <c r="X662" s="128"/>
      <c r="Y662" s="128"/>
      <c r="Z662" s="128"/>
      <c r="AA662" s="128"/>
    </row>
    <row r="663">
      <c r="A663" s="128"/>
      <c r="B663" s="128"/>
      <c r="C663" s="128"/>
      <c r="D663" s="128"/>
      <c r="E663" s="128"/>
      <c r="F663" s="128"/>
      <c r="G663" s="212"/>
      <c r="H663" s="128"/>
      <c r="I663" s="128"/>
      <c r="J663" s="128"/>
      <c r="K663" s="128"/>
      <c r="L663" s="128"/>
      <c r="M663" s="128"/>
      <c r="N663" s="128"/>
      <c r="O663" s="128"/>
      <c r="P663" s="128"/>
      <c r="Q663" s="128"/>
      <c r="R663" s="128"/>
      <c r="S663" s="128"/>
      <c r="T663" s="128"/>
      <c r="U663" s="129"/>
      <c r="V663" s="128"/>
      <c r="W663" s="128"/>
      <c r="X663" s="128"/>
      <c r="Y663" s="128"/>
      <c r="Z663" s="128"/>
      <c r="AA663" s="128"/>
    </row>
    <row r="664">
      <c r="A664" s="128"/>
      <c r="B664" s="128"/>
      <c r="C664" s="128"/>
      <c r="D664" s="128"/>
      <c r="E664" s="128"/>
      <c r="F664" s="128"/>
      <c r="G664" s="212"/>
      <c r="H664" s="128"/>
      <c r="I664" s="128"/>
      <c r="J664" s="128"/>
      <c r="K664" s="128"/>
      <c r="L664" s="128"/>
      <c r="M664" s="128"/>
      <c r="N664" s="128"/>
      <c r="O664" s="128"/>
      <c r="P664" s="128"/>
      <c r="Q664" s="128"/>
      <c r="R664" s="128"/>
      <c r="S664" s="128"/>
      <c r="T664" s="128"/>
      <c r="U664" s="129"/>
      <c r="V664" s="128"/>
      <c r="W664" s="128"/>
      <c r="X664" s="128"/>
      <c r="Y664" s="128"/>
      <c r="Z664" s="128"/>
      <c r="AA664" s="128"/>
    </row>
    <row r="665">
      <c r="A665" s="128"/>
      <c r="B665" s="128"/>
      <c r="C665" s="128"/>
      <c r="D665" s="128"/>
      <c r="E665" s="128"/>
      <c r="F665" s="128"/>
      <c r="G665" s="212"/>
      <c r="H665" s="128"/>
      <c r="I665" s="128"/>
      <c r="J665" s="128"/>
      <c r="K665" s="128"/>
      <c r="L665" s="128"/>
      <c r="M665" s="128"/>
      <c r="N665" s="128"/>
      <c r="O665" s="128"/>
      <c r="P665" s="128"/>
      <c r="Q665" s="128"/>
      <c r="R665" s="128"/>
      <c r="S665" s="128"/>
      <c r="T665" s="128"/>
      <c r="U665" s="129"/>
      <c r="V665" s="128"/>
      <c r="W665" s="128"/>
      <c r="X665" s="128"/>
      <c r="Y665" s="128"/>
      <c r="Z665" s="128"/>
      <c r="AA665" s="128"/>
    </row>
    <row r="666">
      <c r="A666" s="128"/>
      <c r="B666" s="128"/>
      <c r="C666" s="128"/>
      <c r="D666" s="128"/>
      <c r="E666" s="128"/>
      <c r="F666" s="128"/>
      <c r="G666" s="212"/>
      <c r="H666" s="128"/>
      <c r="I666" s="128"/>
      <c r="J666" s="128"/>
      <c r="K666" s="128"/>
      <c r="L666" s="128"/>
      <c r="M666" s="128"/>
      <c r="N666" s="128"/>
      <c r="O666" s="128"/>
      <c r="P666" s="128"/>
      <c r="Q666" s="128"/>
      <c r="R666" s="128"/>
      <c r="S666" s="128"/>
      <c r="T666" s="128"/>
      <c r="U666" s="129"/>
      <c r="V666" s="128"/>
      <c r="W666" s="128"/>
      <c r="X666" s="128"/>
      <c r="Y666" s="128"/>
      <c r="Z666" s="128"/>
      <c r="AA666" s="128"/>
    </row>
    <row r="667">
      <c r="A667" s="128"/>
      <c r="B667" s="128"/>
      <c r="C667" s="128"/>
      <c r="D667" s="128"/>
      <c r="E667" s="128"/>
      <c r="F667" s="128"/>
      <c r="G667" s="212"/>
      <c r="H667" s="128"/>
      <c r="I667" s="128"/>
      <c r="J667" s="128"/>
      <c r="K667" s="128"/>
      <c r="L667" s="128"/>
      <c r="M667" s="128"/>
      <c r="N667" s="128"/>
      <c r="O667" s="128"/>
      <c r="P667" s="128"/>
      <c r="Q667" s="128"/>
      <c r="R667" s="128"/>
      <c r="S667" s="128"/>
      <c r="T667" s="128"/>
      <c r="U667" s="129"/>
      <c r="V667" s="128"/>
      <c r="W667" s="128"/>
      <c r="X667" s="128"/>
      <c r="Y667" s="128"/>
      <c r="Z667" s="128"/>
      <c r="AA667" s="128"/>
    </row>
    <row r="668">
      <c r="A668" s="128"/>
      <c r="B668" s="128"/>
      <c r="C668" s="128"/>
      <c r="D668" s="128"/>
      <c r="E668" s="128"/>
      <c r="F668" s="128"/>
      <c r="G668" s="212"/>
      <c r="H668" s="128"/>
      <c r="I668" s="128"/>
      <c r="J668" s="128"/>
      <c r="K668" s="128"/>
      <c r="L668" s="128"/>
      <c r="M668" s="128"/>
      <c r="N668" s="128"/>
      <c r="O668" s="128"/>
      <c r="P668" s="128"/>
      <c r="Q668" s="128"/>
      <c r="R668" s="128"/>
      <c r="S668" s="128"/>
      <c r="T668" s="128"/>
      <c r="U668" s="129"/>
      <c r="V668" s="128"/>
      <c r="W668" s="128"/>
      <c r="X668" s="128"/>
      <c r="Y668" s="128"/>
      <c r="Z668" s="128"/>
      <c r="AA668" s="128"/>
    </row>
    <row r="669">
      <c r="A669" s="128"/>
      <c r="B669" s="128"/>
      <c r="C669" s="128"/>
      <c r="D669" s="128"/>
      <c r="E669" s="128"/>
      <c r="F669" s="128"/>
      <c r="G669" s="212"/>
      <c r="H669" s="128"/>
      <c r="I669" s="128"/>
      <c r="J669" s="128"/>
      <c r="K669" s="128"/>
      <c r="L669" s="128"/>
      <c r="M669" s="128"/>
      <c r="N669" s="128"/>
      <c r="O669" s="128"/>
      <c r="P669" s="128"/>
      <c r="Q669" s="128"/>
      <c r="R669" s="128"/>
      <c r="S669" s="128"/>
      <c r="T669" s="128"/>
      <c r="U669" s="129"/>
      <c r="V669" s="128"/>
      <c r="W669" s="128"/>
      <c r="X669" s="128"/>
      <c r="Y669" s="128"/>
      <c r="Z669" s="128"/>
      <c r="AA669" s="128"/>
    </row>
    <row r="670">
      <c r="A670" s="128"/>
      <c r="B670" s="128"/>
      <c r="C670" s="128"/>
      <c r="D670" s="128"/>
      <c r="E670" s="128"/>
      <c r="F670" s="128"/>
      <c r="G670" s="212"/>
      <c r="H670" s="128"/>
      <c r="I670" s="128"/>
      <c r="J670" s="128"/>
      <c r="K670" s="128"/>
      <c r="L670" s="128"/>
      <c r="M670" s="128"/>
      <c r="N670" s="128"/>
      <c r="O670" s="128"/>
      <c r="P670" s="128"/>
      <c r="Q670" s="128"/>
      <c r="R670" s="128"/>
      <c r="S670" s="128"/>
      <c r="T670" s="128"/>
      <c r="U670" s="129"/>
      <c r="V670" s="128"/>
      <c r="W670" s="128"/>
      <c r="X670" s="128"/>
      <c r="Y670" s="128"/>
      <c r="Z670" s="128"/>
      <c r="AA670" s="128"/>
    </row>
    <row r="671">
      <c r="A671" s="128"/>
      <c r="B671" s="128"/>
      <c r="C671" s="128"/>
      <c r="D671" s="128"/>
      <c r="E671" s="128"/>
      <c r="F671" s="128"/>
      <c r="G671" s="212"/>
      <c r="H671" s="128"/>
      <c r="I671" s="128"/>
      <c r="J671" s="128"/>
      <c r="K671" s="128"/>
      <c r="L671" s="128"/>
      <c r="M671" s="128"/>
      <c r="N671" s="128"/>
      <c r="O671" s="128"/>
      <c r="P671" s="128"/>
      <c r="Q671" s="128"/>
      <c r="R671" s="128"/>
      <c r="S671" s="128"/>
      <c r="T671" s="128"/>
      <c r="U671" s="129"/>
      <c r="V671" s="128"/>
      <c r="W671" s="128"/>
      <c r="X671" s="128"/>
      <c r="Y671" s="128"/>
      <c r="Z671" s="128"/>
      <c r="AA671" s="128"/>
    </row>
    <row r="672">
      <c r="A672" s="128"/>
      <c r="B672" s="128"/>
      <c r="C672" s="128"/>
      <c r="D672" s="128"/>
      <c r="E672" s="128"/>
      <c r="F672" s="128"/>
      <c r="G672" s="212"/>
      <c r="H672" s="128"/>
      <c r="I672" s="128"/>
      <c r="J672" s="128"/>
      <c r="K672" s="128"/>
      <c r="L672" s="128"/>
      <c r="M672" s="128"/>
      <c r="N672" s="128"/>
      <c r="O672" s="128"/>
      <c r="P672" s="128"/>
      <c r="Q672" s="128"/>
      <c r="R672" s="128"/>
      <c r="S672" s="128"/>
      <c r="T672" s="128"/>
      <c r="U672" s="129"/>
      <c r="V672" s="128"/>
      <c r="W672" s="128"/>
      <c r="X672" s="128"/>
      <c r="Y672" s="128"/>
      <c r="Z672" s="128"/>
      <c r="AA672" s="128"/>
    </row>
    <row r="673">
      <c r="A673" s="128"/>
      <c r="B673" s="128"/>
      <c r="C673" s="128"/>
      <c r="D673" s="128"/>
      <c r="E673" s="128"/>
      <c r="F673" s="128"/>
      <c r="G673" s="212"/>
      <c r="H673" s="128"/>
      <c r="I673" s="128"/>
      <c r="J673" s="128"/>
      <c r="K673" s="128"/>
      <c r="L673" s="128"/>
      <c r="M673" s="128"/>
      <c r="N673" s="128"/>
      <c r="O673" s="128"/>
      <c r="P673" s="128"/>
      <c r="Q673" s="128"/>
      <c r="R673" s="128"/>
      <c r="S673" s="128"/>
      <c r="T673" s="128"/>
      <c r="U673" s="129"/>
      <c r="V673" s="128"/>
      <c r="W673" s="128"/>
      <c r="X673" s="128"/>
      <c r="Y673" s="128"/>
      <c r="Z673" s="128"/>
      <c r="AA673" s="128"/>
    </row>
    <row r="674">
      <c r="A674" s="128"/>
      <c r="B674" s="128"/>
      <c r="C674" s="128"/>
      <c r="D674" s="128"/>
      <c r="E674" s="128"/>
      <c r="F674" s="128"/>
      <c r="G674" s="212"/>
      <c r="H674" s="128"/>
      <c r="I674" s="128"/>
      <c r="J674" s="128"/>
      <c r="K674" s="128"/>
      <c r="L674" s="128"/>
      <c r="M674" s="128"/>
      <c r="N674" s="128"/>
      <c r="O674" s="128"/>
      <c r="P674" s="128"/>
      <c r="Q674" s="128"/>
      <c r="R674" s="128"/>
      <c r="S674" s="128"/>
      <c r="T674" s="128"/>
      <c r="U674" s="129"/>
      <c r="V674" s="128"/>
      <c r="W674" s="128"/>
      <c r="X674" s="128"/>
      <c r="Y674" s="128"/>
      <c r="Z674" s="128"/>
      <c r="AA674" s="128"/>
    </row>
    <row r="675">
      <c r="A675" s="128"/>
      <c r="B675" s="128"/>
      <c r="C675" s="128"/>
      <c r="D675" s="128"/>
      <c r="E675" s="128"/>
      <c r="F675" s="128"/>
      <c r="G675" s="212"/>
      <c r="H675" s="128"/>
      <c r="I675" s="128"/>
      <c r="J675" s="128"/>
      <c r="K675" s="128"/>
      <c r="L675" s="128"/>
      <c r="M675" s="128"/>
      <c r="N675" s="128"/>
      <c r="O675" s="128"/>
      <c r="P675" s="128"/>
      <c r="Q675" s="128"/>
      <c r="R675" s="128"/>
      <c r="S675" s="128"/>
      <c r="T675" s="128"/>
      <c r="U675" s="129"/>
      <c r="V675" s="128"/>
      <c r="W675" s="128"/>
      <c r="X675" s="128"/>
      <c r="Y675" s="128"/>
      <c r="Z675" s="128"/>
      <c r="AA675" s="128"/>
    </row>
    <row r="676">
      <c r="A676" s="128"/>
      <c r="B676" s="128"/>
      <c r="C676" s="128"/>
      <c r="D676" s="128"/>
      <c r="E676" s="128"/>
      <c r="F676" s="128"/>
      <c r="G676" s="212"/>
      <c r="H676" s="128"/>
      <c r="I676" s="128"/>
      <c r="J676" s="128"/>
      <c r="K676" s="128"/>
      <c r="L676" s="128"/>
      <c r="M676" s="128"/>
      <c r="N676" s="128"/>
      <c r="O676" s="128"/>
      <c r="P676" s="128"/>
      <c r="Q676" s="128"/>
      <c r="R676" s="128"/>
      <c r="S676" s="128"/>
      <c r="T676" s="128"/>
      <c r="U676" s="129"/>
      <c r="V676" s="128"/>
      <c r="W676" s="128"/>
      <c r="X676" s="128"/>
      <c r="Y676" s="128"/>
      <c r="Z676" s="128"/>
      <c r="AA676" s="128"/>
    </row>
    <row r="677">
      <c r="A677" s="128"/>
      <c r="B677" s="128"/>
      <c r="C677" s="128"/>
      <c r="D677" s="128"/>
      <c r="E677" s="128"/>
      <c r="F677" s="128"/>
      <c r="G677" s="212"/>
      <c r="H677" s="128"/>
      <c r="I677" s="128"/>
      <c r="J677" s="128"/>
      <c r="K677" s="128"/>
      <c r="L677" s="128"/>
      <c r="M677" s="128"/>
      <c r="N677" s="128"/>
      <c r="O677" s="128"/>
      <c r="P677" s="128"/>
      <c r="Q677" s="128"/>
      <c r="R677" s="128"/>
      <c r="S677" s="128"/>
      <c r="T677" s="128"/>
      <c r="U677" s="129"/>
      <c r="V677" s="128"/>
      <c r="W677" s="128"/>
      <c r="X677" s="128"/>
      <c r="Y677" s="128"/>
      <c r="Z677" s="128"/>
      <c r="AA677" s="128"/>
    </row>
    <row r="678">
      <c r="A678" s="128"/>
      <c r="B678" s="128"/>
      <c r="C678" s="128"/>
      <c r="D678" s="128"/>
      <c r="E678" s="128"/>
      <c r="F678" s="128"/>
      <c r="G678" s="212"/>
      <c r="H678" s="128"/>
      <c r="I678" s="128"/>
      <c r="J678" s="128"/>
      <c r="K678" s="128"/>
      <c r="L678" s="128"/>
      <c r="M678" s="128"/>
      <c r="N678" s="128"/>
      <c r="O678" s="128"/>
      <c r="P678" s="128"/>
      <c r="Q678" s="128"/>
      <c r="R678" s="128"/>
      <c r="S678" s="128"/>
      <c r="T678" s="128"/>
      <c r="U678" s="129"/>
      <c r="V678" s="128"/>
      <c r="W678" s="128"/>
      <c r="X678" s="128"/>
      <c r="Y678" s="128"/>
      <c r="Z678" s="128"/>
      <c r="AA678" s="128"/>
    </row>
    <row r="679">
      <c r="A679" s="128"/>
      <c r="B679" s="128"/>
      <c r="C679" s="128"/>
      <c r="D679" s="128"/>
      <c r="E679" s="128"/>
      <c r="F679" s="128"/>
      <c r="G679" s="212"/>
      <c r="H679" s="128"/>
      <c r="I679" s="128"/>
      <c r="J679" s="128"/>
      <c r="K679" s="128"/>
      <c r="L679" s="128"/>
      <c r="M679" s="128"/>
      <c r="N679" s="128"/>
      <c r="O679" s="128"/>
      <c r="P679" s="128"/>
      <c r="Q679" s="128"/>
      <c r="R679" s="128"/>
      <c r="S679" s="128"/>
      <c r="T679" s="128"/>
      <c r="U679" s="129"/>
      <c r="V679" s="128"/>
      <c r="W679" s="128"/>
      <c r="X679" s="128"/>
      <c r="Y679" s="128"/>
      <c r="Z679" s="128"/>
      <c r="AA679" s="128"/>
    </row>
    <row r="680">
      <c r="A680" s="128"/>
      <c r="B680" s="128"/>
      <c r="C680" s="128"/>
      <c r="D680" s="128"/>
      <c r="E680" s="128"/>
      <c r="F680" s="128"/>
      <c r="G680" s="212"/>
      <c r="H680" s="128"/>
      <c r="I680" s="128"/>
      <c r="J680" s="128"/>
      <c r="K680" s="128"/>
      <c r="L680" s="128"/>
      <c r="M680" s="128"/>
      <c r="N680" s="128"/>
      <c r="O680" s="128"/>
      <c r="P680" s="128"/>
      <c r="Q680" s="128"/>
      <c r="R680" s="128"/>
      <c r="S680" s="128"/>
      <c r="T680" s="128"/>
      <c r="U680" s="129"/>
      <c r="V680" s="128"/>
      <c r="W680" s="128"/>
      <c r="X680" s="128"/>
      <c r="Y680" s="128"/>
      <c r="Z680" s="128"/>
      <c r="AA680" s="128"/>
    </row>
    <row r="681">
      <c r="A681" s="128"/>
      <c r="B681" s="128"/>
      <c r="C681" s="128"/>
      <c r="D681" s="128"/>
      <c r="E681" s="128"/>
      <c r="F681" s="128"/>
      <c r="G681" s="212"/>
      <c r="H681" s="128"/>
      <c r="I681" s="128"/>
      <c r="J681" s="128"/>
      <c r="K681" s="128"/>
      <c r="L681" s="128"/>
      <c r="M681" s="128"/>
      <c r="N681" s="128"/>
      <c r="O681" s="128"/>
      <c r="P681" s="128"/>
      <c r="Q681" s="128"/>
      <c r="R681" s="128"/>
      <c r="S681" s="128"/>
      <c r="T681" s="128"/>
      <c r="U681" s="129"/>
      <c r="V681" s="128"/>
      <c r="W681" s="128"/>
      <c r="X681" s="128"/>
      <c r="Y681" s="128"/>
      <c r="Z681" s="128"/>
      <c r="AA681" s="128"/>
    </row>
    <row r="682">
      <c r="A682" s="128"/>
      <c r="B682" s="128"/>
      <c r="C682" s="128"/>
      <c r="D682" s="128"/>
      <c r="E682" s="128"/>
      <c r="F682" s="128"/>
      <c r="G682" s="212"/>
      <c r="H682" s="128"/>
      <c r="I682" s="128"/>
      <c r="J682" s="128"/>
      <c r="K682" s="128"/>
      <c r="L682" s="128"/>
      <c r="M682" s="128"/>
      <c r="N682" s="128"/>
      <c r="O682" s="128"/>
      <c r="P682" s="128"/>
      <c r="Q682" s="128"/>
      <c r="R682" s="128"/>
      <c r="S682" s="128"/>
      <c r="T682" s="128"/>
      <c r="U682" s="129"/>
      <c r="V682" s="128"/>
      <c r="W682" s="128"/>
      <c r="X682" s="128"/>
      <c r="Y682" s="128"/>
      <c r="Z682" s="128"/>
      <c r="AA682" s="128"/>
    </row>
    <row r="683">
      <c r="A683" s="128"/>
      <c r="B683" s="128"/>
      <c r="C683" s="128"/>
      <c r="D683" s="128"/>
      <c r="E683" s="128"/>
      <c r="F683" s="128"/>
      <c r="G683" s="212"/>
      <c r="H683" s="128"/>
      <c r="I683" s="128"/>
      <c r="J683" s="128"/>
      <c r="K683" s="128"/>
      <c r="L683" s="128"/>
      <c r="M683" s="128"/>
      <c r="N683" s="128"/>
      <c r="O683" s="128"/>
      <c r="P683" s="128"/>
      <c r="Q683" s="128"/>
      <c r="R683" s="128"/>
      <c r="S683" s="128"/>
      <c r="T683" s="128"/>
      <c r="U683" s="129"/>
      <c r="V683" s="128"/>
      <c r="W683" s="128"/>
      <c r="X683" s="128"/>
      <c r="Y683" s="128"/>
      <c r="Z683" s="128"/>
      <c r="AA683" s="128"/>
    </row>
    <row r="684">
      <c r="A684" s="128"/>
      <c r="B684" s="128"/>
      <c r="C684" s="128"/>
      <c r="D684" s="128"/>
      <c r="E684" s="128"/>
      <c r="F684" s="128"/>
      <c r="G684" s="212"/>
      <c r="H684" s="128"/>
      <c r="I684" s="128"/>
      <c r="J684" s="128"/>
      <c r="K684" s="128"/>
      <c r="L684" s="128"/>
      <c r="M684" s="128"/>
      <c r="N684" s="128"/>
      <c r="O684" s="128"/>
      <c r="P684" s="128"/>
      <c r="Q684" s="128"/>
      <c r="R684" s="128"/>
      <c r="S684" s="128"/>
      <c r="T684" s="128"/>
      <c r="U684" s="129"/>
      <c r="V684" s="128"/>
      <c r="W684" s="128"/>
      <c r="X684" s="128"/>
      <c r="Y684" s="128"/>
      <c r="Z684" s="128"/>
      <c r="AA684" s="128"/>
    </row>
    <row r="685">
      <c r="A685" s="128"/>
      <c r="B685" s="128"/>
      <c r="C685" s="128"/>
      <c r="D685" s="128"/>
      <c r="E685" s="128"/>
      <c r="F685" s="128"/>
      <c r="G685" s="212"/>
      <c r="H685" s="128"/>
      <c r="I685" s="128"/>
      <c r="J685" s="128"/>
      <c r="K685" s="128"/>
      <c r="L685" s="128"/>
      <c r="M685" s="128"/>
      <c r="N685" s="128"/>
      <c r="O685" s="128"/>
      <c r="P685" s="128"/>
      <c r="Q685" s="128"/>
      <c r="R685" s="128"/>
      <c r="S685" s="128"/>
      <c r="T685" s="128"/>
      <c r="U685" s="129"/>
      <c r="V685" s="128"/>
      <c r="W685" s="128"/>
      <c r="X685" s="128"/>
      <c r="Y685" s="128"/>
      <c r="Z685" s="128"/>
      <c r="AA685" s="128"/>
    </row>
    <row r="686">
      <c r="A686" s="128"/>
      <c r="B686" s="128"/>
      <c r="C686" s="128"/>
      <c r="D686" s="128"/>
      <c r="E686" s="128"/>
      <c r="F686" s="128"/>
      <c r="G686" s="212"/>
      <c r="H686" s="128"/>
      <c r="I686" s="128"/>
      <c r="J686" s="128"/>
      <c r="K686" s="128"/>
      <c r="L686" s="128"/>
      <c r="M686" s="128"/>
      <c r="N686" s="128"/>
      <c r="O686" s="128"/>
      <c r="P686" s="128"/>
      <c r="Q686" s="128"/>
      <c r="R686" s="128"/>
      <c r="S686" s="128"/>
      <c r="T686" s="128"/>
      <c r="U686" s="129"/>
      <c r="V686" s="128"/>
      <c r="W686" s="128"/>
      <c r="X686" s="128"/>
      <c r="Y686" s="128"/>
      <c r="Z686" s="128"/>
      <c r="AA686" s="128"/>
    </row>
    <row r="687">
      <c r="A687" s="128"/>
      <c r="B687" s="128"/>
      <c r="C687" s="128"/>
      <c r="D687" s="128"/>
      <c r="E687" s="128"/>
      <c r="F687" s="128"/>
      <c r="G687" s="212"/>
      <c r="H687" s="128"/>
      <c r="I687" s="128"/>
      <c r="J687" s="128"/>
      <c r="K687" s="128"/>
      <c r="L687" s="128"/>
      <c r="M687" s="128"/>
      <c r="N687" s="128"/>
      <c r="O687" s="128"/>
      <c r="P687" s="128"/>
      <c r="Q687" s="128"/>
      <c r="R687" s="128"/>
      <c r="S687" s="128"/>
      <c r="T687" s="128"/>
      <c r="U687" s="129"/>
      <c r="V687" s="128"/>
      <c r="W687" s="128"/>
      <c r="X687" s="128"/>
      <c r="Y687" s="128"/>
      <c r="Z687" s="128"/>
      <c r="AA687" s="128"/>
    </row>
    <row r="688">
      <c r="A688" s="128"/>
      <c r="B688" s="128"/>
      <c r="C688" s="128"/>
      <c r="D688" s="128"/>
      <c r="E688" s="128"/>
      <c r="F688" s="128"/>
      <c r="G688" s="212"/>
      <c r="H688" s="128"/>
      <c r="I688" s="128"/>
      <c r="J688" s="128"/>
      <c r="K688" s="128"/>
      <c r="L688" s="128"/>
      <c r="M688" s="128"/>
      <c r="N688" s="128"/>
      <c r="O688" s="128"/>
      <c r="P688" s="128"/>
      <c r="Q688" s="128"/>
      <c r="R688" s="128"/>
      <c r="S688" s="128"/>
      <c r="T688" s="128"/>
      <c r="U688" s="129"/>
      <c r="V688" s="128"/>
      <c r="W688" s="128"/>
      <c r="X688" s="128"/>
      <c r="Y688" s="128"/>
      <c r="Z688" s="128"/>
      <c r="AA688" s="128"/>
    </row>
    <row r="689">
      <c r="A689" s="128"/>
      <c r="B689" s="128"/>
      <c r="C689" s="128"/>
      <c r="D689" s="128"/>
      <c r="E689" s="128"/>
      <c r="F689" s="128"/>
      <c r="G689" s="212"/>
      <c r="H689" s="128"/>
      <c r="I689" s="128"/>
      <c r="J689" s="128"/>
      <c r="K689" s="128"/>
      <c r="L689" s="128"/>
      <c r="M689" s="128"/>
      <c r="N689" s="128"/>
      <c r="O689" s="128"/>
      <c r="P689" s="128"/>
      <c r="Q689" s="128"/>
      <c r="R689" s="128"/>
      <c r="S689" s="128"/>
      <c r="T689" s="128"/>
      <c r="U689" s="129"/>
      <c r="V689" s="128"/>
      <c r="W689" s="128"/>
      <c r="X689" s="128"/>
      <c r="Y689" s="128"/>
      <c r="Z689" s="128"/>
      <c r="AA689" s="128"/>
    </row>
    <row r="690">
      <c r="A690" s="128"/>
      <c r="B690" s="128"/>
      <c r="C690" s="128"/>
      <c r="D690" s="128"/>
      <c r="E690" s="128"/>
      <c r="F690" s="128"/>
      <c r="G690" s="212"/>
      <c r="H690" s="128"/>
      <c r="I690" s="128"/>
      <c r="J690" s="128"/>
      <c r="K690" s="128"/>
      <c r="L690" s="128"/>
      <c r="M690" s="128"/>
      <c r="N690" s="128"/>
      <c r="O690" s="128"/>
      <c r="P690" s="128"/>
      <c r="Q690" s="128"/>
      <c r="R690" s="128"/>
      <c r="S690" s="128"/>
      <c r="T690" s="128"/>
      <c r="U690" s="129"/>
      <c r="V690" s="128"/>
      <c r="W690" s="128"/>
      <c r="X690" s="128"/>
      <c r="Y690" s="128"/>
      <c r="Z690" s="128"/>
      <c r="AA690" s="128"/>
    </row>
    <row r="691">
      <c r="A691" s="128"/>
      <c r="B691" s="128"/>
      <c r="C691" s="128"/>
      <c r="D691" s="128"/>
      <c r="E691" s="128"/>
      <c r="F691" s="128"/>
      <c r="G691" s="212"/>
      <c r="H691" s="128"/>
      <c r="I691" s="128"/>
      <c r="J691" s="128"/>
      <c r="K691" s="128"/>
      <c r="L691" s="128"/>
      <c r="M691" s="128"/>
      <c r="N691" s="128"/>
      <c r="O691" s="128"/>
      <c r="P691" s="128"/>
      <c r="Q691" s="128"/>
      <c r="R691" s="128"/>
      <c r="S691" s="128"/>
      <c r="T691" s="128"/>
      <c r="U691" s="129"/>
      <c r="V691" s="128"/>
      <c r="W691" s="128"/>
      <c r="X691" s="128"/>
      <c r="Y691" s="128"/>
      <c r="Z691" s="128"/>
      <c r="AA691" s="128"/>
    </row>
    <row r="692">
      <c r="A692" s="128"/>
      <c r="B692" s="128"/>
      <c r="C692" s="128"/>
      <c r="D692" s="128"/>
      <c r="E692" s="128"/>
      <c r="F692" s="128"/>
      <c r="G692" s="212"/>
      <c r="H692" s="128"/>
      <c r="I692" s="128"/>
      <c r="J692" s="128"/>
      <c r="K692" s="128"/>
      <c r="L692" s="128"/>
      <c r="M692" s="128"/>
      <c r="N692" s="128"/>
      <c r="O692" s="128"/>
      <c r="P692" s="128"/>
      <c r="Q692" s="128"/>
      <c r="R692" s="128"/>
      <c r="S692" s="128"/>
      <c r="T692" s="128"/>
      <c r="U692" s="129"/>
      <c r="V692" s="128"/>
      <c r="W692" s="128"/>
      <c r="X692" s="128"/>
      <c r="Y692" s="128"/>
      <c r="Z692" s="128"/>
      <c r="AA692" s="128"/>
    </row>
    <row r="693">
      <c r="A693" s="128"/>
      <c r="B693" s="128"/>
      <c r="C693" s="128"/>
      <c r="D693" s="128"/>
      <c r="E693" s="128"/>
      <c r="F693" s="128"/>
      <c r="G693" s="212"/>
      <c r="H693" s="128"/>
      <c r="I693" s="128"/>
      <c r="J693" s="128"/>
      <c r="K693" s="128"/>
      <c r="L693" s="128"/>
      <c r="M693" s="128"/>
      <c r="N693" s="128"/>
      <c r="O693" s="128"/>
      <c r="P693" s="128"/>
      <c r="Q693" s="128"/>
      <c r="R693" s="128"/>
      <c r="S693" s="128"/>
      <c r="T693" s="128"/>
      <c r="U693" s="129"/>
      <c r="V693" s="128"/>
      <c r="W693" s="128"/>
      <c r="X693" s="128"/>
      <c r="Y693" s="128"/>
      <c r="Z693" s="128"/>
      <c r="AA693" s="128"/>
    </row>
    <row r="694">
      <c r="A694" s="128"/>
      <c r="B694" s="128"/>
      <c r="C694" s="128"/>
      <c r="D694" s="128"/>
      <c r="E694" s="128"/>
      <c r="F694" s="128"/>
      <c r="G694" s="212"/>
      <c r="H694" s="128"/>
      <c r="I694" s="128"/>
      <c r="J694" s="128"/>
      <c r="K694" s="128"/>
      <c r="L694" s="128"/>
      <c r="M694" s="128"/>
      <c r="N694" s="128"/>
      <c r="O694" s="128"/>
      <c r="P694" s="128"/>
      <c r="Q694" s="128"/>
      <c r="R694" s="128"/>
      <c r="S694" s="128"/>
      <c r="T694" s="128"/>
      <c r="U694" s="129"/>
      <c r="V694" s="128"/>
      <c r="W694" s="128"/>
      <c r="X694" s="128"/>
      <c r="Y694" s="128"/>
      <c r="Z694" s="128"/>
      <c r="AA694" s="128"/>
    </row>
    <row r="695">
      <c r="A695" s="128"/>
      <c r="B695" s="128"/>
      <c r="C695" s="128"/>
      <c r="D695" s="128"/>
      <c r="E695" s="128"/>
      <c r="F695" s="128"/>
      <c r="G695" s="212"/>
      <c r="H695" s="128"/>
      <c r="I695" s="128"/>
      <c r="J695" s="128"/>
      <c r="K695" s="128"/>
      <c r="L695" s="128"/>
      <c r="M695" s="128"/>
      <c r="N695" s="128"/>
      <c r="O695" s="128"/>
      <c r="P695" s="128"/>
      <c r="Q695" s="128"/>
      <c r="R695" s="128"/>
      <c r="S695" s="128"/>
      <c r="T695" s="128"/>
      <c r="U695" s="129"/>
      <c r="V695" s="128"/>
      <c r="W695" s="128"/>
      <c r="X695" s="128"/>
      <c r="Y695" s="128"/>
      <c r="Z695" s="128"/>
      <c r="AA695" s="128"/>
    </row>
    <row r="696">
      <c r="A696" s="128"/>
      <c r="B696" s="128"/>
      <c r="C696" s="128"/>
      <c r="D696" s="128"/>
      <c r="E696" s="128"/>
      <c r="F696" s="128"/>
      <c r="G696" s="212"/>
      <c r="H696" s="128"/>
      <c r="I696" s="128"/>
      <c r="J696" s="128"/>
      <c r="K696" s="128"/>
      <c r="L696" s="128"/>
      <c r="M696" s="128"/>
      <c r="N696" s="128"/>
      <c r="O696" s="128"/>
      <c r="P696" s="128"/>
      <c r="Q696" s="128"/>
      <c r="R696" s="128"/>
      <c r="S696" s="128"/>
      <c r="T696" s="128"/>
      <c r="U696" s="129"/>
      <c r="V696" s="128"/>
      <c r="W696" s="128"/>
      <c r="X696" s="128"/>
      <c r="Y696" s="128"/>
      <c r="Z696" s="128"/>
      <c r="AA696" s="128"/>
    </row>
    <row r="697">
      <c r="A697" s="128"/>
      <c r="B697" s="128"/>
      <c r="C697" s="128"/>
      <c r="D697" s="128"/>
      <c r="E697" s="128"/>
      <c r="F697" s="128"/>
      <c r="G697" s="212"/>
      <c r="H697" s="128"/>
      <c r="I697" s="128"/>
      <c r="J697" s="128"/>
      <c r="K697" s="128"/>
      <c r="L697" s="128"/>
      <c r="M697" s="128"/>
      <c r="N697" s="128"/>
      <c r="O697" s="128"/>
      <c r="P697" s="128"/>
      <c r="Q697" s="128"/>
      <c r="R697" s="128"/>
      <c r="S697" s="128"/>
      <c r="T697" s="128"/>
      <c r="U697" s="129"/>
      <c r="V697" s="128"/>
      <c r="W697" s="128"/>
      <c r="X697" s="128"/>
      <c r="Y697" s="128"/>
      <c r="Z697" s="128"/>
      <c r="AA697" s="128"/>
    </row>
    <row r="698">
      <c r="A698" s="128"/>
      <c r="B698" s="128"/>
      <c r="C698" s="128"/>
      <c r="D698" s="128"/>
      <c r="E698" s="128"/>
      <c r="F698" s="128"/>
      <c r="G698" s="212"/>
      <c r="H698" s="128"/>
      <c r="I698" s="128"/>
      <c r="J698" s="128"/>
      <c r="K698" s="128"/>
      <c r="L698" s="128"/>
      <c r="M698" s="128"/>
      <c r="N698" s="128"/>
      <c r="O698" s="128"/>
      <c r="P698" s="128"/>
      <c r="Q698" s="128"/>
      <c r="R698" s="128"/>
      <c r="S698" s="128"/>
      <c r="T698" s="128"/>
      <c r="U698" s="129"/>
      <c r="V698" s="128"/>
      <c r="W698" s="128"/>
      <c r="X698" s="128"/>
      <c r="Y698" s="128"/>
      <c r="Z698" s="128"/>
      <c r="AA698" s="128"/>
    </row>
    <row r="699">
      <c r="A699" s="128"/>
      <c r="B699" s="128"/>
      <c r="C699" s="128"/>
      <c r="D699" s="128"/>
      <c r="E699" s="128"/>
      <c r="F699" s="128"/>
      <c r="G699" s="212"/>
      <c r="H699" s="128"/>
      <c r="I699" s="128"/>
      <c r="J699" s="128"/>
      <c r="K699" s="128"/>
      <c r="L699" s="128"/>
      <c r="M699" s="128"/>
      <c r="N699" s="128"/>
      <c r="O699" s="128"/>
      <c r="P699" s="128"/>
      <c r="Q699" s="128"/>
      <c r="R699" s="128"/>
      <c r="S699" s="128"/>
      <c r="T699" s="128"/>
      <c r="U699" s="129"/>
      <c r="V699" s="128"/>
      <c r="W699" s="128"/>
      <c r="X699" s="128"/>
      <c r="Y699" s="128"/>
      <c r="Z699" s="128"/>
      <c r="AA699" s="128"/>
    </row>
    <row r="700">
      <c r="A700" s="128"/>
      <c r="B700" s="128"/>
      <c r="C700" s="128"/>
      <c r="D700" s="128"/>
      <c r="E700" s="128"/>
      <c r="F700" s="128"/>
      <c r="G700" s="212"/>
      <c r="H700" s="128"/>
      <c r="I700" s="128"/>
      <c r="J700" s="128"/>
      <c r="K700" s="128"/>
      <c r="L700" s="128"/>
      <c r="M700" s="128"/>
      <c r="N700" s="128"/>
      <c r="O700" s="128"/>
      <c r="P700" s="128"/>
      <c r="Q700" s="128"/>
      <c r="R700" s="128"/>
      <c r="S700" s="128"/>
      <c r="T700" s="128"/>
      <c r="U700" s="129"/>
      <c r="V700" s="128"/>
      <c r="W700" s="128"/>
      <c r="X700" s="128"/>
      <c r="Y700" s="128"/>
      <c r="Z700" s="128"/>
      <c r="AA700" s="128"/>
    </row>
    <row r="701">
      <c r="A701" s="128"/>
      <c r="B701" s="128"/>
      <c r="C701" s="128"/>
      <c r="D701" s="128"/>
      <c r="E701" s="128"/>
      <c r="F701" s="128"/>
      <c r="G701" s="212"/>
      <c r="H701" s="128"/>
      <c r="I701" s="128"/>
      <c r="J701" s="128"/>
      <c r="K701" s="128"/>
      <c r="L701" s="128"/>
      <c r="M701" s="128"/>
      <c r="N701" s="128"/>
      <c r="O701" s="128"/>
      <c r="P701" s="128"/>
      <c r="Q701" s="128"/>
      <c r="R701" s="128"/>
      <c r="S701" s="128"/>
      <c r="T701" s="128"/>
      <c r="U701" s="129"/>
      <c r="V701" s="128"/>
      <c r="W701" s="128"/>
      <c r="X701" s="128"/>
      <c r="Y701" s="128"/>
      <c r="Z701" s="128"/>
      <c r="AA701" s="128"/>
    </row>
    <row r="702">
      <c r="A702" s="128"/>
      <c r="B702" s="128"/>
      <c r="C702" s="128"/>
      <c r="D702" s="128"/>
      <c r="E702" s="128"/>
      <c r="F702" s="128"/>
      <c r="G702" s="212"/>
      <c r="H702" s="128"/>
      <c r="I702" s="128"/>
      <c r="J702" s="128"/>
      <c r="K702" s="128"/>
      <c r="L702" s="128"/>
      <c r="M702" s="128"/>
      <c r="N702" s="128"/>
      <c r="O702" s="128"/>
      <c r="P702" s="128"/>
      <c r="Q702" s="128"/>
      <c r="R702" s="128"/>
      <c r="S702" s="128"/>
      <c r="T702" s="128"/>
      <c r="U702" s="129"/>
      <c r="V702" s="128"/>
      <c r="W702" s="128"/>
      <c r="X702" s="128"/>
      <c r="Y702" s="128"/>
      <c r="Z702" s="128"/>
      <c r="AA702" s="128"/>
    </row>
    <row r="703">
      <c r="A703" s="128"/>
      <c r="B703" s="128"/>
      <c r="C703" s="128"/>
      <c r="D703" s="128"/>
      <c r="E703" s="128"/>
      <c r="F703" s="128"/>
      <c r="G703" s="212"/>
      <c r="H703" s="128"/>
      <c r="I703" s="128"/>
      <c r="J703" s="128"/>
      <c r="K703" s="128"/>
      <c r="L703" s="128"/>
      <c r="M703" s="128"/>
      <c r="N703" s="128"/>
      <c r="O703" s="128"/>
      <c r="P703" s="128"/>
      <c r="Q703" s="128"/>
      <c r="R703" s="128"/>
      <c r="S703" s="128"/>
      <c r="T703" s="128"/>
      <c r="U703" s="129"/>
      <c r="V703" s="128"/>
      <c r="W703" s="128"/>
      <c r="X703" s="128"/>
      <c r="Y703" s="128"/>
      <c r="Z703" s="128"/>
      <c r="AA703" s="128"/>
    </row>
    <row r="704">
      <c r="A704" s="128"/>
      <c r="B704" s="128"/>
      <c r="C704" s="128"/>
      <c r="D704" s="128"/>
      <c r="E704" s="128"/>
      <c r="F704" s="128"/>
      <c r="G704" s="212"/>
      <c r="H704" s="128"/>
      <c r="I704" s="128"/>
      <c r="J704" s="128"/>
      <c r="K704" s="128"/>
      <c r="L704" s="128"/>
      <c r="M704" s="128"/>
      <c r="N704" s="128"/>
      <c r="O704" s="128"/>
      <c r="P704" s="128"/>
      <c r="Q704" s="128"/>
      <c r="R704" s="128"/>
      <c r="S704" s="128"/>
      <c r="T704" s="128"/>
      <c r="U704" s="129"/>
      <c r="V704" s="128"/>
      <c r="W704" s="128"/>
      <c r="X704" s="128"/>
      <c r="Y704" s="128"/>
      <c r="Z704" s="128"/>
      <c r="AA704" s="128"/>
    </row>
    <row r="705">
      <c r="A705" s="128"/>
      <c r="B705" s="128"/>
      <c r="C705" s="128"/>
      <c r="D705" s="128"/>
      <c r="E705" s="128"/>
      <c r="F705" s="128"/>
      <c r="G705" s="212"/>
      <c r="H705" s="128"/>
      <c r="I705" s="128"/>
      <c r="J705" s="128"/>
      <c r="K705" s="128"/>
      <c r="L705" s="128"/>
      <c r="M705" s="128"/>
      <c r="N705" s="128"/>
      <c r="O705" s="128"/>
      <c r="P705" s="128"/>
      <c r="Q705" s="128"/>
      <c r="R705" s="128"/>
      <c r="S705" s="128"/>
      <c r="T705" s="128"/>
      <c r="U705" s="129"/>
      <c r="V705" s="128"/>
      <c r="W705" s="128"/>
      <c r="X705" s="128"/>
      <c r="Y705" s="128"/>
      <c r="Z705" s="128"/>
      <c r="AA705" s="128"/>
    </row>
    <row r="706">
      <c r="A706" s="128"/>
      <c r="B706" s="128"/>
      <c r="C706" s="128"/>
      <c r="D706" s="128"/>
      <c r="E706" s="128"/>
      <c r="F706" s="128"/>
      <c r="G706" s="212"/>
      <c r="H706" s="128"/>
      <c r="I706" s="128"/>
      <c r="J706" s="128"/>
      <c r="K706" s="128"/>
      <c r="L706" s="128"/>
      <c r="M706" s="128"/>
      <c r="N706" s="128"/>
      <c r="O706" s="128"/>
      <c r="P706" s="128"/>
      <c r="Q706" s="128"/>
      <c r="R706" s="128"/>
      <c r="S706" s="128"/>
      <c r="T706" s="128"/>
      <c r="U706" s="129"/>
      <c r="V706" s="128"/>
      <c r="W706" s="128"/>
      <c r="X706" s="128"/>
      <c r="Y706" s="128"/>
      <c r="Z706" s="128"/>
      <c r="AA706" s="128"/>
    </row>
    <row r="707">
      <c r="A707" s="128"/>
      <c r="B707" s="128"/>
      <c r="C707" s="128"/>
      <c r="D707" s="128"/>
      <c r="E707" s="128"/>
      <c r="F707" s="128"/>
      <c r="G707" s="212"/>
      <c r="H707" s="128"/>
      <c r="I707" s="128"/>
      <c r="J707" s="128"/>
      <c r="K707" s="128"/>
      <c r="L707" s="128"/>
      <c r="M707" s="128"/>
      <c r="N707" s="128"/>
      <c r="O707" s="128"/>
      <c r="P707" s="128"/>
      <c r="Q707" s="128"/>
      <c r="R707" s="128"/>
      <c r="S707" s="128"/>
      <c r="T707" s="128"/>
      <c r="U707" s="129"/>
      <c r="V707" s="128"/>
      <c r="W707" s="128"/>
      <c r="X707" s="128"/>
      <c r="Y707" s="128"/>
      <c r="Z707" s="128"/>
      <c r="AA707" s="128"/>
    </row>
    <row r="708">
      <c r="A708" s="128"/>
      <c r="B708" s="128"/>
      <c r="C708" s="128"/>
      <c r="D708" s="128"/>
      <c r="E708" s="128"/>
      <c r="F708" s="128"/>
      <c r="G708" s="212"/>
      <c r="H708" s="128"/>
      <c r="I708" s="128"/>
      <c r="J708" s="128"/>
      <c r="K708" s="128"/>
      <c r="L708" s="128"/>
      <c r="M708" s="128"/>
      <c r="N708" s="128"/>
      <c r="O708" s="128"/>
      <c r="P708" s="128"/>
      <c r="Q708" s="128"/>
      <c r="R708" s="128"/>
      <c r="S708" s="128"/>
      <c r="T708" s="128"/>
      <c r="U708" s="129"/>
      <c r="V708" s="128"/>
      <c r="W708" s="128"/>
      <c r="X708" s="128"/>
      <c r="Y708" s="128"/>
      <c r="Z708" s="128"/>
      <c r="AA708" s="128"/>
    </row>
    <row r="709">
      <c r="A709" s="128"/>
      <c r="B709" s="128"/>
      <c r="C709" s="128"/>
      <c r="D709" s="128"/>
      <c r="E709" s="128"/>
      <c r="F709" s="128"/>
      <c r="G709" s="212"/>
      <c r="H709" s="128"/>
      <c r="I709" s="128"/>
      <c r="J709" s="128"/>
      <c r="K709" s="128"/>
      <c r="L709" s="128"/>
      <c r="M709" s="128"/>
      <c r="N709" s="128"/>
      <c r="O709" s="128"/>
      <c r="P709" s="128"/>
      <c r="Q709" s="128"/>
      <c r="R709" s="128"/>
      <c r="S709" s="128"/>
      <c r="T709" s="128"/>
      <c r="U709" s="129"/>
      <c r="V709" s="128"/>
      <c r="W709" s="128"/>
      <c r="X709" s="128"/>
      <c r="Y709" s="128"/>
      <c r="Z709" s="128"/>
      <c r="AA709" s="128"/>
    </row>
    <row r="710">
      <c r="A710" s="128"/>
      <c r="B710" s="128"/>
      <c r="C710" s="128"/>
      <c r="D710" s="128"/>
      <c r="E710" s="128"/>
      <c r="F710" s="128"/>
      <c r="G710" s="212"/>
      <c r="H710" s="128"/>
      <c r="I710" s="128"/>
      <c r="J710" s="128"/>
      <c r="K710" s="128"/>
      <c r="L710" s="128"/>
      <c r="M710" s="128"/>
      <c r="N710" s="128"/>
      <c r="O710" s="128"/>
      <c r="P710" s="128"/>
      <c r="Q710" s="128"/>
      <c r="R710" s="128"/>
      <c r="S710" s="128"/>
      <c r="T710" s="128"/>
      <c r="U710" s="129"/>
      <c r="V710" s="128"/>
      <c r="W710" s="128"/>
      <c r="X710" s="128"/>
      <c r="Y710" s="128"/>
      <c r="Z710" s="128"/>
      <c r="AA710" s="128"/>
    </row>
    <row r="711">
      <c r="A711" s="128"/>
      <c r="B711" s="128"/>
      <c r="C711" s="128"/>
      <c r="D711" s="128"/>
      <c r="E711" s="128"/>
      <c r="F711" s="128"/>
      <c r="G711" s="212"/>
      <c r="H711" s="128"/>
      <c r="I711" s="128"/>
      <c r="J711" s="128"/>
      <c r="K711" s="128"/>
      <c r="L711" s="128"/>
      <c r="M711" s="128"/>
      <c r="N711" s="128"/>
      <c r="O711" s="128"/>
      <c r="P711" s="128"/>
      <c r="Q711" s="128"/>
      <c r="R711" s="128"/>
      <c r="S711" s="128"/>
      <c r="T711" s="128"/>
      <c r="U711" s="129"/>
      <c r="V711" s="128"/>
      <c r="W711" s="128"/>
      <c r="X711" s="128"/>
      <c r="Y711" s="128"/>
      <c r="Z711" s="128"/>
      <c r="AA711" s="128"/>
    </row>
    <row r="712">
      <c r="A712" s="128"/>
      <c r="B712" s="128"/>
      <c r="C712" s="128"/>
      <c r="D712" s="128"/>
      <c r="E712" s="128"/>
      <c r="F712" s="128"/>
      <c r="G712" s="212"/>
      <c r="H712" s="128"/>
      <c r="I712" s="128"/>
      <c r="J712" s="128"/>
      <c r="K712" s="128"/>
      <c r="L712" s="128"/>
      <c r="M712" s="128"/>
      <c r="N712" s="128"/>
      <c r="O712" s="128"/>
      <c r="P712" s="128"/>
      <c r="Q712" s="128"/>
      <c r="R712" s="128"/>
      <c r="S712" s="128"/>
      <c r="T712" s="128"/>
      <c r="U712" s="129"/>
      <c r="V712" s="128"/>
      <c r="W712" s="128"/>
      <c r="X712" s="128"/>
      <c r="Y712" s="128"/>
      <c r="Z712" s="128"/>
      <c r="AA712" s="128"/>
    </row>
    <row r="713">
      <c r="A713" s="128"/>
      <c r="B713" s="128"/>
      <c r="C713" s="128"/>
      <c r="D713" s="128"/>
      <c r="E713" s="128"/>
      <c r="F713" s="128"/>
      <c r="G713" s="212"/>
      <c r="H713" s="128"/>
      <c r="I713" s="128"/>
      <c r="J713" s="128"/>
      <c r="K713" s="128"/>
      <c r="L713" s="128"/>
      <c r="M713" s="128"/>
      <c r="N713" s="128"/>
      <c r="O713" s="128"/>
      <c r="P713" s="128"/>
      <c r="Q713" s="128"/>
      <c r="R713" s="128"/>
      <c r="S713" s="128"/>
      <c r="T713" s="128"/>
      <c r="U713" s="129"/>
      <c r="V713" s="128"/>
      <c r="W713" s="128"/>
      <c r="X713" s="128"/>
      <c r="Y713" s="128"/>
      <c r="Z713" s="128"/>
      <c r="AA713" s="128"/>
    </row>
    <row r="714">
      <c r="A714" s="128"/>
      <c r="B714" s="128"/>
      <c r="C714" s="128"/>
      <c r="D714" s="128"/>
      <c r="E714" s="128"/>
      <c r="F714" s="128"/>
      <c r="G714" s="212"/>
      <c r="H714" s="128"/>
      <c r="I714" s="128"/>
      <c r="J714" s="128"/>
      <c r="K714" s="128"/>
      <c r="L714" s="128"/>
      <c r="M714" s="128"/>
      <c r="N714" s="128"/>
      <c r="O714" s="128"/>
      <c r="P714" s="128"/>
      <c r="Q714" s="128"/>
      <c r="R714" s="128"/>
      <c r="S714" s="128"/>
      <c r="T714" s="128"/>
      <c r="U714" s="129"/>
      <c r="V714" s="128"/>
      <c r="W714" s="128"/>
      <c r="X714" s="128"/>
      <c r="Y714" s="128"/>
      <c r="Z714" s="128"/>
      <c r="AA714" s="128"/>
    </row>
    <row r="715">
      <c r="A715" s="128"/>
      <c r="B715" s="128"/>
      <c r="C715" s="128"/>
      <c r="D715" s="128"/>
      <c r="E715" s="128"/>
      <c r="F715" s="128"/>
      <c r="G715" s="212"/>
      <c r="H715" s="128"/>
      <c r="I715" s="128"/>
      <c r="J715" s="128"/>
      <c r="K715" s="128"/>
      <c r="L715" s="128"/>
      <c r="M715" s="128"/>
      <c r="N715" s="128"/>
      <c r="O715" s="128"/>
      <c r="P715" s="128"/>
      <c r="Q715" s="128"/>
      <c r="R715" s="128"/>
      <c r="S715" s="128"/>
      <c r="T715" s="128"/>
      <c r="U715" s="129"/>
      <c r="V715" s="128"/>
      <c r="W715" s="128"/>
      <c r="X715" s="128"/>
      <c r="Y715" s="128"/>
      <c r="Z715" s="128"/>
      <c r="AA715" s="128"/>
    </row>
    <row r="716">
      <c r="A716" s="128"/>
      <c r="B716" s="128"/>
      <c r="C716" s="128"/>
      <c r="D716" s="128"/>
      <c r="E716" s="128"/>
      <c r="F716" s="128"/>
      <c r="G716" s="212"/>
      <c r="H716" s="128"/>
      <c r="I716" s="128"/>
      <c r="J716" s="128"/>
      <c r="K716" s="128"/>
      <c r="L716" s="128"/>
      <c r="M716" s="128"/>
      <c r="N716" s="128"/>
      <c r="O716" s="128"/>
      <c r="P716" s="128"/>
      <c r="Q716" s="128"/>
      <c r="R716" s="128"/>
      <c r="S716" s="128"/>
      <c r="T716" s="128"/>
      <c r="U716" s="129"/>
      <c r="V716" s="128"/>
      <c r="W716" s="128"/>
      <c r="X716" s="128"/>
      <c r="Y716" s="128"/>
      <c r="Z716" s="128"/>
      <c r="AA716" s="128"/>
    </row>
    <row r="717">
      <c r="A717" s="128"/>
      <c r="B717" s="128"/>
      <c r="C717" s="128"/>
      <c r="D717" s="128"/>
      <c r="E717" s="128"/>
      <c r="F717" s="128"/>
      <c r="G717" s="212"/>
      <c r="H717" s="128"/>
      <c r="I717" s="128"/>
      <c r="J717" s="128"/>
      <c r="K717" s="128"/>
      <c r="L717" s="128"/>
      <c r="M717" s="128"/>
      <c r="N717" s="128"/>
      <c r="O717" s="128"/>
      <c r="P717" s="128"/>
      <c r="Q717" s="128"/>
      <c r="R717" s="128"/>
      <c r="S717" s="128"/>
      <c r="T717" s="128"/>
      <c r="U717" s="129"/>
      <c r="V717" s="128"/>
      <c r="W717" s="128"/>
      <c r="X717" s="128"/>
      <c r="Y717" s="128"/>
      <c r="Z717" s="128"/>
      <c r="AA717" s="128"/>
    </row>
    <row r="718">
      <c r="A718" s="128"/>
      <c r="B718" s="128"/>
      <c r="C718" s="128"/>
      <c r="D718" s="128"/>
      <c r="E718" s="128"/>
      <c r="F718" s="128"/>
      <c r="G718" s="212"/>
      <c r="H718" s="128"/>
      <c r="I718" s="128"/>
      <c r="J718" s="128"/>
      <c r="K718" s="128"/>
      <c r="L718" s="128"/>
      <c r="M718" s="128"/>
      <c r="N718" s="128"/>
      <c r="O718" s="128"/>
      <c r="P718" s="128"/>
      <c r="Q718" s="128"/>
      <c r="R718" s="128"/>
      <c r="S718" s="128"/>
      <c r="T718" s="128"/>
      <c r="U718" s="129"/>
      <c r="V718" s="128"/>
      <c r="W718" s="128"/>
      <c r="X718" s="128"/>
      <c r="Y718" s="128"/>
      <c r="Z718" s="128"/>
      <c r="AA718" s="128"/>
    </row>
    <row r="719">
      <c r="A719" s="128"/>
      <c r="B719" s="128"/>
      <c r="C719" s="128"/>
      <c r="D719" s="128"/>
      <c r="E719" s="128"/>
      <c r="F719" s="128"/>
      <c r="G719" s="212"/>
      <c r="H719" s="128"/>
      <c r="I719" s="128"/>
      <c r="J719" s="128"/>
      <c r="K719" s="128"/>
      <c r="L719" s="128"/>
      <c r="M719" s="128"/>
      <c r="N719" s="128"/>
      <c r="O719" s="128"/>
      <c r="P719" s="128"/>
      <c r="Q719" s="128"/>
      <c r="R719" s="128"/>
      <c r="S719" s="128"/>
      <c r="T719" s="128"/>
      <c r="U719" s="129"/>
      <c r="V719" s="128"/>
      <c r="W719" s="128"/>
      <c r="X719" s="128"/>
      <c r="Y719" s="128"/>
      <c r="Z719" s="128"/>
      <c r="AA719" s="128"/>
    </row>
    <row r="720">
      <c r="A720" s="128"/>
      <c r="B720" s="128"/>
      <c r="C720" s="128"/>
      <c r="D720" s="128"/>
      <c r="E720" s="128"/>
      <c r="F720" s="128"/>
      <c r="G720" s="212"/>
      <c r="H720" s="128"/>
      <c r="I720" s="128"/>
      <c r="J720" s="128"/>
      <c r="K720" s="128"/>
      <c r="L720" s="128"/>
      <c r="M720" s="128"/>
      <c r="N720" s="128"/>
      <c r="O720" s="128"/>
      <c r="P720" s="128"/>
      <c r="Q720" s="128"/>
      <c r="R720" s="128"/>
      <c r="S720" s="128"/>
      <c r="T720" s="128"/>
      <c r="U720" s="129"/>
      <c r="V720" s="128"/>
      <c r="W720" s="128"/>
      <c r="X720" s="128"/>
      <c r="Y720" s="128"/>
      <c r="Z720" s="128"/>
      <c r="AA720" s="128"/>
    </row>
    <row r="721">
      <c r="A721" s="128"/>
      <c r="B721" s="128"/>
      <c r="C721" s="128"/>
      <c r="D721" s="128"/>
      <c r="E721" s="128"/>
      <c r="F721" s="128"/>
      <c r="G721" s="212"/>
      <c r="H721" s="128"/>
      <c r="I721" s="128"/>
      <c r="J721" s="128"/>
      <c r="K721" s="128"/>
      <c r="L721" s="128"/>
      <c r="M721" s="128"/>
      <c r="N721" s="128"/>
      <c r="O721" s="128"/>
      <c r="P721" s="128"/>
      <c r="Q721" s="128"/>
      <c r="R721" s="128"/>
      <c r="S721" s="128"/>
      <c r="T721" s="128"/>
      <c r="U721" s="129"/>
      <c r="V721" s="128"/>
      <c r="W721" s="128"/>
      <c r="X721" s="128"/>
      <c r="Y721" s="128"/>
      <c r="Z721" s="128"/>
      <c r="AA721" s="128"/>
    </row>
    <row r="722">
      <c r="A722" s="128"/>
      <c r="B722" s="128"/>
      <c r="C722" s="128"/>
      <c r="D722" s="128"/>
      <c r="E722" s="128"/>
      <c r="F722" s="128"/>
      <c r="G722" s="212"/>
      <c r="H722" s="128"/>
      <c r="I722" s="128"/>
      <c r="J722" s="128"/>
      <c r="K722" s="128"/>
      <c r="L722" s="128"/>
      <c r="M722" s="128"/>
      <c r="N722" s="128"/>
      <c r="O722" s="128"/>
      <c r="P722" s="128"/>
      <c r="Q722" s="128"/>
      <c r="R722" s="128"/>
      <c r="S722" s="128"/>
      <c r="T722" s="128"/>
      <c r="U722" s="129"/>
      <c r="V722" s="128"/>
      <c r="W722" s="128"/>
      <c r="X722" s="128"/>
      <c r="Y722" s="128"/>
      <c r="Z722" s="128"/>
      <c r="AA722" s="128"/>
    </row>
    <row r="723">
      <c r="A723" s="128"/>
      <c r="B723" s="128"/>
      <c r="C723" s="128"/>
      <c r="D723" s="128"/>
      <c r="E723" s="128"/>
      <c r="F723" s="128"/>
      <c r="G723" s="212"/>
      <c r="H723" s="128"/>
      <c r="I723" s="128"/>
      <c r="J723" s="128"/>
      <c r="K723" s="128"/>
      <c r="L723" s="128"/>
      <c r="M723" s="128"/>
      <c r="N723" s="128"/>
      <c r="O723" s="128"/>
      <c r="P723" s="128"/>
      <c r="Q723" s="128"/>
      <c r="R723" s="128"/>
      <c r="S723" s="128"/>
      <c r="T723" s="128"/>
      <c r="U723" s="129"/>
      <c r="V723" s="128"/>
      <c r="W723" s="128"/>
      <c r="X723" s="128"/>
      <c r="Y723" s="128"/>
      <c r="Z723" s="128"/>
      <c r="AA723" s="128"/>
    </row>
    <row r="724">
      <c r="A724" s="128"/>
      <c r="B724" s="128"/>
      <c r="C724" s="128"/>
      <c r="D724" s="128"/>
      <c r="E724" s="128"/>
      <c r="F724" s="128"/>
      <c r="G724" s="212"/>
      <c r="H724" s="128"/>
      <c r="I724" s="128"/>
      <c r="J724" s="128"/>
      <c r="K724" s="128"/>
      <c r="L724" s="128"/>
      <c r="M724" s="128"/>
      <c r="N724" s="128"/>
      <c r="O724" s="128"/>
      <c r="P724" s="128"/>
      <c r="Q724" s="128"/>
      <c r="R724" s="128"/>
      <c r="S724" s="128"/>
      <c r="T724" s="128"/>
      <c r="U724" s="129"/>
      <c r="V724" s="128"/>
      <c r="W724" s="128"/>
      <c r="X724" s="128"/>
      <c r="Y724" s="128"/>
      <c r="Z724" s="128"/>
      <c r="AA724" s="128"/>
    </row>
    <row r="725">
      <c r="A725" s="128"/>
      <c r="B725" s="128"/>
      <c r="C725" s="128"/>
      <c r="D725" s="128"/>
      <c r="E725" s="128"/>
      <c r="F725" s="128"/>
      <c r="G725" s="212"/>
      <c r="H725" s="128"/>
      <c r="I725" s="128"/>
      <c r="J725" s="128"/>
      <c r="K725" s="128"/>
      <c r="L725" s="128"/>
      <c r="M725" s="128"/>
      <c r="N725" s="128"/>
      <c r="O725" s="128"/>
      <c r="P725" s="128"/>
      <c r="Q725" s="128"/>
      <c r="R725" s="128"/>
      <c r="S725" s="128"/>
      <c r="T725" s="128"/>
      <c r="U725" s="129"/>
      <c r="V725" s="128"/>
      <c r="W725" s="128"/>
      <c r="X725" s="128"/>
      <c r="Y725" s="128"/>
      <c r="Z725" s="128"/>
      <c r="AA725" s="128"/>
    </row>
    <row r="726">
      <c r="A726" s="128"/>
      <c r="B726" s="128"/>
      <c r="C726" s="128"/>
      <c r="D726" s="128"/>
      <c r="E726" s="128"/>
      <c r="F726" s="128"/>
      <c r="G726" s="212"/>
      <c r="H726" s="128"/>
      <c r="I726" s="128"/>
      <c r="J726" s="128"/>
      <c r="K726" s="128"/>
      <c r="L726" s="128"/>
      <c r="M726" s="128"/>
      <c r="N726" s="128"/>
      <c r="O726" s="128"/>
      <c r="P726" s="128"/>
      <c r="Q726" s="128"/>
      <c r="R726" s="128"/>
      <c r="S726" s="128"/>
      <c r="T726" s="128"/>
      <c r="U726" s="129"/>
      <c r="V726" s="128"/>
      <c r="W726" s="128"/>
      <c r="X726" s="128"/>
      <c r="Y726" s="128"/>
      <c r="Z726" s="128"/>
      <c r="AA726" s="128"/>
    </row>
    <row r="727">
      <c r="A727" s="128"/>
      <c r="B727" s="128"/>
      <c r="C727" s="128"/>
      <c r="D727" s="128"/>
      <c r="E727" s="128"/>
      <c r="F727" s="128"/>
      <c r="G727" s="212"/>
      <c r="H727" s="128"/>
      <c r="I727" s="128"/>
      <c r="J727" s="128"/>
      <c r="K727" s="128"/>
      <c r="L727" s="128"/>
      <c r="M727" s="128"/>
      <c r="N727" s="128"/>
      <c r="O727" s="128"/>
      <c r="P727" s="128"/>
      <c r="Q727" s="128"/>
      <c r="R727" s="128"/>
      <c r="S727" s="128"/>
      <c r="T727" s="128"/>
      <c r="U727" s="129"/>
      <c r="V727" s="128"/>
      <c r="W727" s="128"/>
      <c r="X727" s="128"/>
      <c r="Y727" s="128"/>
      <c r="Z727" s="128"/>
      <c r="AA727" s="128"/>
    </row>
    <row r="728">
      <c r="A728" s="128"/>
      <c r="B728" s="128"/>
      <c r="C728" s="128"/>
      <c r="D728" s="128"/>
      <c r="E728" s="128"/>
      <c r="F728" s="128"/>
      <c r="G728" s="212"/>
      <c r="H728" s="128"/>
      <c r="I728" s="128"/>
      <c r="J728" s="128"/>
      <c r="K728" s="128"/>
      <c r="L728" s="128"/>
      <c r="M728" s="128"/>
      <c r="N728" s="128"/>
      <c r="O728" s="128"/>
      <c r="P728" s="128"/>
      <c r="Q728" s="128"/>
      <c r="R728" s="128"/>
      <c r="S728" s="128"/>
      <c r="T728" s="128"/>
      <c r="U728" s="129"/>
      <c r="V728" s="128"/>
      <c r="W728" s="128"/>
      <c r="X728" s="128"/>
      <c r="Y728" s="128"/>
      <c r="Z728" s="128"/>
      <c r="AA728" s="128"/>
    </row>
    <row r="729">
      <c r="A729" s="128"/>
      <c r="B729" s="128"/>
      <c r="C729" s="128"/>
      <c r="D729" s="128"/>
      <c r="E729" s="128"/>
      <c r="F729" s="128"/>
      <c r="G729" s="212"/>
      <c r="H729" s="128"/>
      <c r="I729" s="128"/>
      <c r="J729" s="128"/>
      <c r="K729" s="128"/>
      <c r="L729" s="128"/>
      <c r="M729" s="128"/>
      <c r="N729" s="128"/>
      <c r="O729" s="128"/>
      <c r="P729" s="128"/>
      <c r="Q729" s="128"/>
      <c r="R729" s="128"/>
      <c r="S729" s="128"/>
      <c r="T729" s="128"/>
      <c r="U729" s="129"/>
      <c r="V729" s="128"/>
      <c r="W729" s="128"/>
      <c r="X729" s="128"/>
      <c r="Y729" s="128"/>
      <c r="Z729" s="128"/>
      <c r="AA729" s="128"/>
    </row>
    <row r="730">
      <c r="A730" s="128"/>
      <c r="B730" s="128"/>
      <c r="C730" s="128"/>
      <c r="D730" s="128"/>
      <c r="E730" s="128"/>
      <c r="F730" s="128"/>
      <c r="G730" s="212"/>
      <c r="H730" s="128"/>
      <c r="I730" s="128"/>
      <c r="J730" s="128"/>
      <c r="K730" s="128"/>
      <c r="L730" s="128"/>
      <c r="M730" s="128"/>
      <c r="N730" s="128"/>
      <c r="O730" s="128"/>
      <c r="P730" s="128"/>
      <c r="Q730" s="128"/>
      <c r="R730" s="128"/>
      <c r="S730" s="128"/>
      <c r="T730" s="128"/>
      <c r="U730" s="129"/>
      <c r="V730" s="128"/>
      <c r="W730" s="128"/>
      <c r="X730" s="128"/>
      <c r="Y730" s="128"/>
      <c r="Z730" s="128"/>
      <c r="AA730" s="128"/>
    </row>
    <row r="731">
      <c r="A731" s="128"/>
      <c r="B731" s="128"/>
      <c r="C731" s="128"/>
      <c r="D731" s="128"/>
      <c r="E731" s="128"/>
      <c r="F731" s="128"/>
      <c r="G731" s="212"/>
      <c r="H731" s="128"/>
      <c r="I731" s="128"/>
      <c r="J731" s="128"/>
      <c r="K731" s="128"/>
      <c r="L731" s="128"/>
      <c r="M731" s="128"/>
      <c r="N731" s="128"/>
      <c r="O731" s="128"/>
      <c r="P731" s="128"/>
      <c r="Q731" s="128"/>
      <c r="R731" s="128"/>
      <c r="S731" s="128"/>
      <c r="T731" s="128"/>
      <c r="U731" s="129"/>
      <c r="V731" s="128"/>
      <c r="W731" s="128"/>
      <c r="X731" s="128"/>
      <c r="Y731" s="128"/>
      <c r="Z731" s="128"/>
      <c r="AA731" s="128"/>
    </row>
    <row r="732">
      <c r="A732" s="128"/>
      <c r="B732" s="128"/>
      <c r="C732" s="128"/>
      <c r="D732" s="128"/>
      <c r="E732" s="128"/>
      <c r="F732" s="128"/>
      <c r="G732" s="212"/>
      <c r="H732" s="128"/>
      <c r="I732" s="128"/>
      <c r="J732" s="128"/>
      <c r="K732" s="128"/>
      <c r="L732" s="128"/>
      <c r="M732" s="128"/>
      <c r="N732" s="128"/>
      <c r="O732" s="128"/>
      <c r="P732" s="128"/>
      <c r="Q732" s="128"/>
      <c r="R732" s="128"/>
      <c r="S732" s="128"/>
      <c r="T732" s="128"/>
      <c r="U732" s="129"/>
      <c r="V732" s="128"/>
      <c r="W732" s="128"/>
      <c r="X732" s="128"/>
      <c r="Y732" s="128"/>
      <c r="Z732" s="128"/>
      <c r="AA732" s="128"/>
    </row>
    <row r="733">
      <c r="A733" s="128"/>
      <c r="B733" s="128"/>
      <c r="C733" s="128"/>
      <c r="D733" s="128"/>
      <c r="E733" s="128"/>
      <c r="F733" s="128"/>
      <c r="G733" s="212"/>
      <c r="H733" s="128"/>
      <c r="I733" s="128"/>
      <c r="J733" s="128"/>
      <c r="K733" s="128"/>
      <c r="L733" s="128"/>
      <c r="M733" s="128"/>
      <c r="N733" s="128"/>
      <c r="O733" s="128"/>
      <c r="P733" s="128"/>
      <c r="Q733" s="128"/>
      <c r="R733" s="128"/>
      <c r="S733" s="128"/>
      <c r="T733" s="128"/>
      <c r="U733" s="129"/>
      <c r="V733" s="128"/>
      <c r="W733" s="128"/>
      <c r="X733" s="128"/>
      <c r="Y733" s="128"/>
      <c r="Z733" s="128"/>
      <c r="AA733" s="128"/>
    </row>
    <row r="734">
      <c r="A734" s="128"/>
      <c r="B734" s="128"/>
      <c r="C734" s="128"/>
      <c r="D734" s="128"/>
      <c r="E734" s="128"/>
      <c r="F734" s="128"/>
      <c r="G734" s="212"/>
      <c r="H734" s="128"/>
      <c r="I734" s="128"/>
      <c r="J734" s="128"/>
      <c r="K734" s="128"/>
      <c r="L734" s="128"/>
      <c r="M734" s="128"/>
      <c r="N734" s="128"/>
      <c r="O734" s="128"/>
      <c r="P734" s="128"/>
      <c r="Q734" s="128"/>
      <c r="R734" s="128"/>
      <c r="S734" s="128"/>
      <c r="T734" s="128"/>
      <c r="U734" s="129"/>
      <c r="V734" s="128"/>
      <c r="W734" s="128"/>
      <c r="X734" s="128"/>
      <c r="Y734" s="128"/>
      <c r="Z734" s="128"/>
      <c r="AA734" s="128"/>
    </row>
    <row r="735">
      <c r="A735" s="128"/>
      <c r="B735" s="128"/>
      <c r="C735" s="128"/>
      <c r="D735" s="128"/>
      <c r="E735" s="128"/>
      <c r="F735" s="128"/>
      <c r="G735" s="212"/>
      <c r="H735" s="128"/>
      <c r="I735" s="128"/>
      <c r="J735" s="128"/>
      <c r="K735" s="128"/>
      <c r="L735" s="128"/>
      <c r="M735" s="128"/>
      <c r="N735" s="128"/>
      <c r="O735" s="128"/>
      <c r="P735" s="128"/>
      <c r="Q735" s="128"/>
      <c r="R735" s="128"/>
      <c r="S735" s="128"/>
      <c r="T735" s="128"/>
      <c r="U735" s="129"/>
      <c r="V735" s="128"/>
      <c r="W735" s="128"/>
      <c r="X735" s="128"/>
      <c r="Y735" s="128"/>
      <c r="Z735" s="128"/>
      <c r="AA735" s="128"/>
    </row>
    <row r="736">
      <c r="A736" s="128"/>
      <c r="B736" s="128"/>
      <c r="C736" s="128"/>
      <c r="D736" s="128"/>
      <c r="E736" s="128"/>
      <c r="F736" s="128"/>
      <c r="G736" s="212"/>
      <c r="H736" s="128"/>
      <c r="I736" s="128"/>
      <c r="J736" s="128"/>
      <c r="K736" s="128"/>
      <c r="L736" s="128"/>
      <c r="M736" s="128"/>
      <c r="N736" s="128"/>
      <c r="O736" s="128"/>
      <c r="P736" s="128"/>
      <c r="Q736" s="128"/>
      <c r="R736" s="128"/>
      <c r="S736" s="128"/>
      <c r="T736" s="128"/>
      <c r="U736" s="129"/>
      <c r="V736" s="128"/>
      <c r="W736" s="128"/>
      <c r="X736" s="128"/>
      <c r="Y736" s="128"/>
      <c r="Z736" s="128"/>
      <c r="AA736" s="128"/>
    </row>
    <row r="737">
      <c r="A737" s="128"/>
      <c r="B737" s="128"/>
      <c r="C737" s="128"/>
      <c r="D737" s="128"/>
      <c r="E737" s="128"/>
      <c r="F737" s="128"/>
      <c r="G737" s="212"/>
      <c r="H737" s="128"/>
      <c r="I737" s="128"/>
      <c r="J737" s="128"/>
      <c r="K737" s="128"/>
      <c r="L737" s="128"/>
      <c r="M737" s="128"/>
      <c r="N737" s="128"/>
      <c r="O737" s="128"/>
      <c r="P737" s="128"/>
      <c r="Q737" s="128"/>
      <c r="R737" s="128"/>
      <c r="S737" s="128"/>
      <c r="T737" s="128"/>
      <c r="U737" s="129"/>
      <c r="V737" s="128"/>
      <c r="W737" s="128"/>
      <c r="X737" s="128"/>
      <c r="Y737" s="128"/>
      <c r="Z737" s="128"/>
      <c r="AA737" s="128"/>
    </row>
    <row r="738">
      <c r="A738" s="128"/>
      <c r="B738" s="128"/>
      <c r="C738" s="128"/>
      <c r="D738" s="128"/>
      <c r="E738" s="128"/>
      <c r="F738" s="128"/>
      <c r="G738" s="212"/>
      <c r="H738" s="128"/>
      <c r="I738" s="128"/>
      <c r="J738" s="128"/>
      <c r="K738" s="128"/>
      <c r="L738" s="128"/>
      <c r="M738" s="128"/>
      <c r="N738" s="128"/>
      <c r="O738" s="128"/>
      <c r="P738" s="128"/>
      <c r="Q738" s="128"/>
      <c r="R738" s="128"/>
      <c r="S738" s="128"/>
      <c r="T738" s="128"/>
      <c r="U738" s="129"/>
      <c r="V738" s="128"/>
      <c r="W738" s="128"/>
      <c r="X738" s="128"/>
      <c r="Y738" s="128"/>
      <c r="Z738" s="128"/>
      <c r="AA738" s="128"/>
    </row>
    <row r="739">
      <c r="A739" s="128"/>
      <c r="B739" s="128"/>
      <c r="C739" s="128"/>
      <c r="D739" s="128"/>
      <c r="E739" s="128"/>
      <c r="F739" s="128"/>
      <c r="G739" s="212"/>
      <c r="H739" s="128"/>
      <c r="I739" s="128"/>
      <c r="J739" s="128"/>
      <c r="K739" s="128"/>
      <c r="L739" s="128"/>
      <c r="M739" s="128"/>
      <c r="N739" s="128"/>
      <c r="O739" s="128"/>
      <c r="P739" s="128"/>
      <c r="Q739" s="128"/>
      <c r="R739" s="128"/>
      <c r="S739" s="128"/>
      <c r="T739" s="128"/>
      <c r="U739" s="129"/>
      <c r="V739" s="128"/>
      <c r="W739" s="128"/>
      <c r="X739" s="128"/>
      <c r="Y739" s="128"/>
      <c r="Z739" s="128"/>
      <c r="AA739" s="128"/>
    </row>
    <row r="740">
      <c r="A740" s="128"/>
      <c r="B740" s="128"/>
      <c r="C740" s="128"/>
      <c r="D740" s="128"/>
      <c r="E740" s="128"/>
      <c r="F740" s="128"/>
      <c r="G740" s="212"/>
      <c r="H740" s="128"/>
      <c r="I740" s="128"/>
      <c r="J740" s="128"/>
      <c r="K740" s="128"/>
      <c r="L740" s="128"/>
      <c r="M740" s="128"/>
      <c r="N740" s="128"/>
      <c r="O740" s="128"/>
      <c r="P740" s="128"/>
      <c r="Q740" s="128"/>
      <c r="R740" s="128"/>
      <c r="S740" s="128"/>
      <c r="T740" s="128"/>
      <c r="U740" s="129"/>
      <c r="V740" s="128"/>
      <c r="W740" s="128"/>
      <c r="X740" s="128"/>
      <c r="Y740" s="128"/>
      <c r="Z740" s="128"/>
      <c r="AA740" s="128"/>
    </row>
    <row r="741">
      <c r="A741" s="128"/>
      <c r="B741" s="128"/>
      <c r="C741" s="128"/>
      <c r="D741" s="128"/>
      <c r="E741" s="128"/>
      <c r="F741" s="128"/>
      <c r="G741" s="212"/>
      <c r="H741" s="128"/>
      <c r="I741" s="128"/>
      <c r="J741" s="128"/>
      <c r="K741" s="128"/>
      <c r="L741" s="128"/>
      <c r="M741" s="128"/>
      <c r="N741" s="128"/>
      <c r="O741" s="128"/>
      <c r="P741" s="128"/>
      <c r="Q741" s="128"/>
      <c r="R741" s="128"/>
      <c r="S741" s="128"/>
      <c r="T741" s="128"/>
      <c r="U741" s="129"/>
      <c r="V741" s="128"/>
      <c r="W741" s="128"/>
      <c r="X741" s="128"/>
      <c r="Y741" s="128"/>
      <c r="Z741" s="128"/>
      <c r="AA741" s="128"/>
    </row>
    <row r="742">
      <c r="A742" s="128"/>
      <c r="B742" s="128"/>
      <c r="C742" s="128"/>
      <c r="D742" s="128"/>
      <c r="E742" s="128"/>
      <c r="F742" s="128"/>
      <c r="G742" s="212"/>
      <c r="H742" s="128"/>
      <c r="I742" s="128"/>
      <c r="J742" s="128"/>
      <c r="K742" s="128"/>
      <c r="L742" s="128"/>
      <c r="M742" s="128"/>
      <c r="N742" s="128"/>
      <c r="O742" s="128"/>
      <c r="P742" s="128"/>
      <c r="Q742" s="128"/>
      <c r="R742" s="128"/>
      <c r="S742" s="128"/>
      <c r="T742" s="128"/>
      <c r="U742" s="129"/>
      <c r="V742" s="128"/>
      <c r="W742" s="128"/>
      <c r="X742" s="128"/>
      <c r="Y742" s="128"/>
      <c r="Z742" s="128"/>
      <c r="AA742" s="128"/>
    </row>
    <row r="743">
      <c r="A743" s="128"/>
      <c r="B743" s="128"/>
      <c r="C743" s="128"/>
      <c r="D743" s="128"/>
      <c r="E743" s="128"/>
      <c r="F743" s="128"/>
      <c r="G743" s="212"/>
      <c r="H743" s="128"/>
      <c r="I743" s="128"/>
      <c r="J743" s="128"/>
      <c r="K743" s="128"/>
      <c r="L743" s="128"/>
      <c r="M743" s="128"/>
      <c r="N743" s="128"/>
      <c r="O743" s="128"/>
      <c r="P743" s="128"/>
      <c r="Q743" s="128"/>
      <c r="R743" s="128"/>
      <c r="S743" s="128"/>
      <c r="T743" s="128"/>
      <c r="U743" s="129"/>
      <c r="V743" s="128"/>
      <c r="W743" s="128"/>
      <c r="X743" s="128"/>
      <c r="Y743" s="128"/>
      <c r="Z743" s="128"/>
      <c r="AA743" s="128"/>
    </row>
    <row r="744">
      <c r="A744" s="128"/>
      <c r="B744" s="128"/>
      <c r="C744" s="128"/>
      <c r="D744" s="128"/>
      <c r="E744" s="128"/>
      <c r="F744" s="128"/>
      <c r="G744" s="212"/>
      <c r="H744" s="128"/>
      <c r="I744" s="128"/>
      <c r="J744" s="128"/>
      <c r="K744" s="128"/>
      <c r="L744" s="128"/>
      <c r="M744" s="128"/>
      <c r="N744" s="128"/>
      <c r="O744" s="128"/>
      <c r="P744" s="128"/>
      <c r="Q744" s="128"/>
      <c r="R744" s="128"/>
      <c r="S744" s="128"/>
      <c r="T744" s="128"/>
      <c r="U744" s="129"/>
      <c r="V744" s="128"/>
      <c r="W744" s="128"/>
      <c r="X744" s="128"/>
      <c r="Y744" s="128"/>
      <c r="Z744" s="128"/>
      <c r="AA744" s="128"/>
    </row>
    <row r="745">
      <c r="A745" s="128"/>
      <c r="B745" s="128"/>
      <c r="C745" s="128"/>
      <c r="D745" s="128"/>
      <c r="E745" s="128"/>
      <c r="F745" s="128"/>
      <c r="G745" s="212"/>
      <c r="H745" s="128"/>
      <c r="I745" s="128"/>
      <c r="J745" s="128"/>
      <c r="K745" s="128"/>
      <c r="L745" s="128"/>
      <c r="M745" s="128"/>
      <c r="N745" s="128"/>
      <c r="O745" s="128"/>
      <c r="P745" s="128"/>
      <c r="Q745" s="128"/>
      <c r="R745" s="128"/>
      <c r="S745" s="128"/>
      <c r="T745" s="128"/>
      <c r="U745" s="129"/>
      <c r="V745" s="128"/>
      <c r="W745" s="128"/>
      <c r="X745" s="128"/>
      <c r="Y745" s="128"/>
      <c r="Z745" s="128"/>
      <c r="AA745" s="128"/>
    </row>
    <row r="746">
      <c r="A746" s="128"/>
      <c r="B746" s="128"/>
      <c r="C746" s="128"/>
      <c r="D746" s="128"/>
      <c r="E746" s="128"/>
      <c r="F746" s="128"/>
      <c r="G746" s="212"/>
      <c r="H746" s="128"/>
      <c r="I746" s="128"/>
      <c r="J746" s="128"/>
      <c r="K746" s="128"/>
      <c r="L746" s="128"/>
      <c r="M746" s="128"/>
      <c r="N746" s="128"/>
      <c r="O746" s="128"/>
      <c r="P746" s="128"/>
      <c r="Q746" s="128"/>
      <c r="R746" s="128"/>
      <c r="S746" s="128"/>
      <c r="T746" s="128"/>
      <c r="U746" s="129"/>
      <c r="V746" s="128"/>
      <c r="W746" s="128"/>
      <c r="X746" s="128"/>
      <c r="Y746" s="128"/>
      <c r="Z746" s="128"/>
      <c r="AA746" s="128"/>
    </row>
    <row r="747">
      <c r="A747" s="128"/>
      <c r="B747" s="128"/>
      <c r="C747" s="128"/>
      <c r="D747" s="128"/>
      <c r="E747" s="128"/>
      <c r="F747" s="128"/>
      <c r="G747" s="212"/>
      <c r="H747" s="128"/>
      <c r="I747" s="128"/>
      <c r="J747" s="128"/>
      <c r="K747" s="128"/>
      <c r="L747" s="128"/>
      <c r="M747" s="128"/>
      <c r="N747" s="128"/>
      <c r="O747" s="128"/>
      <c r="P747" s="128"/>
      <c r="Q747" s="128"/>
      <c r="R747" s="128"/>
      <c r="S747" s="128"/>
      <c r="T747" s="128"/>
      <c r="U747" s="129"/>
      <c r="V747" s="128"/>
      <c r="W747" s="128"/>
      <c r="X747" s="128"/>
      <c r="Y747" s="128"/>
      <c r="Z747" s="128"/>
      <c r="AA747" s="128"/>
    </row>
    <row r="748">
      <c r="A748" s="128"/>
      <c r="B748" s="128"/>
      <c r="C748" s="128"/>
      <c r="D748" s="128"/>
      <c r="E748" s="128"/>
      <c r="F748" s="128"/>
      <c r="G748" s="212"/>
      <c r="H748" s="128"/>
      <c r="I748" s="128"/>
      <c r="J748" s="128"/>
      <c r="K748" s="128"/>
      <c r="L748" s="128"/>
      <c r="M748" s="128"/>
      <c r="N748" s="128"/>
      <c r="O748" s="128"/>
      <c r="P748" s="128"/>
      <c r="Q748" s="128"/>
      <c r="R748" s="128"/>
      <c r="S748" s="128"/>
      <c r="T748" s="128"/>
      <c r="U748" s="129"/>
      <c r="V748" s="128"/>
      <c r="W748" s="128"/>
      <c r="X748" s="128"/>
      <c r="Y748" s="128"/>
      <c r="Z748" s="128"/>
      <c r="AA748" s="128"/>
    </row>
    <row r="749">
      <c r="A749" s="128"/>
      <c r="B749" s="128"/>
      <c r="C749" s="128"/>
      <c r="D749" s="128"/>
      <c r="E749" s="128"/>
      <c r="F749" s="128"/>
      <c r="G749" s="212"/>
      <c r="H749" s="128"/>
      <c r="I749" s="128"/>
      <c r="J749" s="128"/>
      <c r="K749" s="128"/>
      <c r="L749" s="128"/>
      <c r="M749" s="128"/>
      <c r="N749" s="128"/>
      <c r="O749" s="128"/>
      <c r="P749" s="128"/>
      <c r="Q749" s="128"/>
      <c r="R749" s="128"/>
      <c r="S749" s="128"/>
      <c r="T749" s="128"/>
      <c r="U749" s="129"/>
      <c r="V749" s="128"/>
      <c r="W749" s="128"/>
      <c r="X749" s="128"/>
      <c r="Y749" s="128"/>
      <c r="Z749" s="128"/>
      <c r="AA749" s="128"/>
    </row>
    <row r="750">
      <c r="A750" s="128"/>
      <c r="B750" s="128"/>
      <c r="C750" s="128"/>
      <c r="D750" s="128"/>
      <c r="E750" s="128"/>
      <c r="F750" s="128"/>
      <c r="G750" s="212"/>
      <c r="H750" s="128"/>
      <c r="I750" s="128"/>
      <c r="J750" s="128"/>
      <c r="K750" s="128"/>
      <c r="L750" s="128"/>
      <c r="M750" s="128"/>
      <c r="N750" s="128"/>
      <c r="O750" s="128"/>
      <c r="P750" s="128"/>
      <c r="Q750" s="128"/>
      <c r="R750" s="128"/>
      <c r="S750" s="128"/>
      <c r="T750" s="128"/>
      <c r="U750" s="129"/>
      <c r="V750" s="128"/>
      <c r="W750" s="128"/>
      <c r="X750" s="128"/>
      <c r="Y750" s="128"/>
      <c r="Z750" s="128"/>
      <c r="AA750" s="128"/>
    </row>
    <row r="751">
      <c r="A751" s="128"/>
      <c r="B751" s="128"/>
      <c r="C751" s="128"/>
      <c r="D751" s="128"/>
      <c r="E751" s="128"/>
      <c r="F751" s="128"/>
      <c r="G751" s="212"/>
      <c r="H751" s="128"/>
      <c r="I751" s="128"/>
      <c r="J751" s="128"/>
      <c r="K751" s="128"/>
      <c r="L751" s="128"/>
      <c r="M751" s="128"/>
      <c r="N751" s="128"/>
      <c r="O751" s="128"/>
      <c r="P751" s="128"/>
      <c r="Q751" s="128"/>
      <c r="R751" s="128"/>
      <c r="S751" s="128"/>
      <c r="T751" s="128"/>
      <c r="U751" s="129"/>
      <c r="V751" s="128"/>
      <c r="W751" s="128"/>
      <c r="X751" s="128"/>
      <c r="Y751" s="128"/>
      <c r="Z751" s="128"/>
      <c r="AA751" s="128"/>
    </row>
    <row r="752">
      <c r="A752" s="128"/>
      <c r="B752" s="128"/>
      <c r="C752" s="128"/>
      <c r="D752" s="128"/>
      <c r="E752" s="128"/>
      <c r="F752" s="128"/>
      <c r="G752" s="212"/>
      <c r="H752" s="128"/>
      <c r="I752" s="128"/>
      <c r="J752" s="128"/>
      <c r="K752" s="128"/>
      <c r="L752" s="128"/>
      <c r="M752" s="128"/>
      <c r="N752" s="128"/>
      <c r="O752" s="128"/>
      <c r="P752" s="128"/>
      <c r="Q752" s="128"/>
      <c r="R752" s="128"/>
      <c r="S752" s="128"/>
      <c r="T752" s="128"/>
      <c r="U752" s="129"/>
      <c r="V752" s="128"/>
      <c r="W752" s="128"/>
      <c r="X752" s="128"/>
      <c r="Y752" s="128"/>
      <c r="Z752" s="128"/>
      <c r="AA752" s="128"/>
    </row>
    <row r="753">
      <c r="A753" s="128"/>
      <c r="B753" s="128"/>
      <c r="C753" s="128"/>
      <c r="D753" s="128"/>
      <c r="E753" s="128"/>
      <c r="F753" s="128"/>
      <c r="G753" s="212"/>
      <c r="H753" s="128"/>
      <c r="I753" s="128"/>
      <c r="J753" s="128"/>
      <c r="K753" s="128"/>
      <c r="L753" s="128"/>
      <c r="M753" s="128"/>
      <c r="N753" s="128"/>
      <c r="O753" s="128"/>
      <c r="P753" s="128"/>
      <c r="Q753" s="128"/>
      <c r="R753" s="128"/>
      <c r="S753" s="128"/>
      <c r="T753" s="128"/>
      <c r="U753" s="129"/>
      <c r="V753" s="128"/>
      <c r="W753" s="128"/>
      <c r="X753" s="128"/>
      <c r="Y753" s="128"/>
      <c r="Z753" s="128"/>
      <c r="AA753" s="128"/>
    </row>
    <row r="754">
      <c r="A754" s="128"/>
      <c r="B754" s="128"/>
      <c r="C754" s="128"/>
      <c r="D754" s="128"/>
      <c r="E754" s="128"/>
      <c r="F754" s="128"/>
      <c r="G754" s="212"/>
      <c r="H754" s="128"/>
      <c r="I754" s="128"/>
      <c r="J754" s="128"/>
      <c r="K754" s="128"/>
      <c r="L754" s="128"/>
      <c r="M754" s="128"/>
      <c r="N754" s="128"/>
      <c r="O754" s="128"/>
      <c r="P754" s="128"/>
      <c r="Q754" s="128"/>
      <c r="R754" s="128"/>
      <c r="S754" s="128"/>
      <c r="T754" s="128"/>
      <c r="U754" s="129"/>
      <c r="V754" s="128"/>
      <c r="W754" s="128"/>
      <c r="X754" s="128"/>
      <c r="Y754" s="128"/>
      <c r="Z754" s="128"/>
      <c r="AA754" s="128"/>
    </row>
    <row r="755">
      <c r="A755" s="128"/>
      <c r="B755" s="128"/>
      <c r="C755" s="128"/>
      <c r="D755" s="128"/>
      <c r="E755" s="128"/>
      <c r="F755" s="128"/>
      <c r="G755" s="212"/>
      <c r="H755" s="128"/>
      <c r="I755" s="128"/>
      <c r="J755" s="128"/>
      <c r="K755" s="128"/>
      <c r="L755" s="128"/>
      <c r="M755" s="128"/>
      <c r="N755" s="128"/>
      <c r="O755" s="128"/>
      <c r="P755" s="128"/>
      <c r="Q755" s="128"/>
      <c r="R755" s="128"/>
      <c r="S755" s="128"/>
      <c r="T755" s="128"/>
      <c r="U755" s="129"/>
      <c r="V755" s="128"/>
      <c r="W755" s="128"/>
      <c r="X755" s="128"/>
      <c r="Y755" s="128"/>
      <c r="Z755" s="128"/>
      <c r="AA755" s="128"/>
    </row>
    <row r="756">
      <c r="A756" s="128"/>
      <c r="B756" s="128"/>
      <c r="C756" s="128"/>
      <c r="D756" s="128"/>
      <c r="E756" s="128"/>
      <c r="F756" s="128"/>
      <c r="G756" s="212"/>
      <c r="H756" s="128"/>
      <c r="I756" s="128"/>
      <c r="J756" s="128"/>
      <c r="K756" s="128"/>
      <c r="L756" s="128"/>
      <c r="M756" s="128"/>
      <c r="N756" s="128"/>
      <c r="O756" s="128"/>
      <c r="P756" s="128"/>
      <c r="Q756" s="128"/>
      <c r="R756" s="128"/>
      <c r="S756" s="128"/>
      <c r="T756" s="128"/>
      <c r="U756" s="129"/>
      <c r="V756" s="128"/>
      <c r="W756" s="128"/>
      <c r="X756" s="128"/>
      <c r="Y756" s="128"/>
      <c r="Z756" s="128"/>
      <c r="AA756" s="128"/>
    </row>
    <row r="757">
      <c r="A757" s="128"/>
      <c r="B757" s="128"/>
      <c r="C757" s="128"/>
      <c r="D757" s="128"/>
      <c r="E757" s="128"/>
      <c r="F757" s="128"/>
      <c r="G757" s="212"/>
      <c r="H757" s="128"/>
      <c r="I757" s="128"/>
      <c r="J757" s="128"/>
      <c r="K757" s="128"/>
      <c r="L757" s="128"/>
      <c r="M757" s="128"/>
      <c r="N757" s="128"/>
      <c r="O757" s="128"/>
      <c r="P757" s="128"/>
      <c r="Q757" s="128"/>
      <c r="R757" s="128"/>
      <c r="S757" s="128"/>
      <c r="T757" s="128"/>
      <c r="U757" s="129"/>
      <c r="V757" s="128"/>
      <c r="W757" s="128"/>
      <c r="X757" s="128"/>
      <c r="Y757" s="128"/>
      <c r="Z757" s="128"/>
      <c r="AA757" s="128"/>
    </row>
    <row r="758">
      <c r="A758" s="128"/>
      <c r="B758" s="128"/>
      <c r="C758" s="128"/>
      <c r="D758" s="128"/>
      <c r="E758" s="128"/>
      <c r="F758" s="128"/>
      <c r="G758" s="212"/>
      <c r="H758" s="128"/>
      <c r="I758" s="128"/>
      <c r="J758" s="128"/>
      <c r="K758" s="128"/>
      <c r="L758" s="128"/>
      <c r="M758" s="128"/>
      <c r="N758" s="128"/>
      <c r="O758" s="128"/>
      <c r="P758" s="128"/>
      <c r="Q758" s="128"/>
      <c r="R758" s="128"/>
      <c r="S758" s="128"/>
      <c r="T758" s="128"/>
      <c r="U758" s="129"/>
      <c r="V758" s="128"/>
      <c r="W758" s="128"/>
      <c r="X758" s="128"/>
      <c r="Y758" s="128"/>
      <c r="Z758" s="128"/>
      <c r="AA758" s="128"/>
    </row>
    <row r="759">
      <c r="A759" s="128"/>
      <c r="B759" s="128"/>
      <c r="C759" s="128"/>
      <c r="D759" s="128"/>
      <c r="E759" s="128"/>
      <c r="F759" s="128"/>
      <c r="G759" s="212"/>
      <c r="H759" s="128"/>
      <c r="I759" s="128"/>
      <c r="J759" s="128"/>
      <c r="K759" s="128"/>
      <c r="L759" s="128"/>
      <c r="M759" s="128"/>
      <c r="N759" s="128"/>
      <c r="O759" s="128"/>
      <c r="P759" s="128"/>
      <c r="Q759" s="128"/>
      <c r="R759" s="128"/>
      <c r="S759" s="128"/>
      <c r="T759" s="128"/>
      <c r="U759" s="129"/>
      <c r="V759" s="128"/>
      <c r="W759" s="128"/>
      <c r="X759" s="128"/>
      <c r="Y759" s="128"/>
      <c r="Z759" s="128"/>
      <c r="AA759" s="128"/>
    </row>
    <row r="760">
      <c r="A760" s="128"/>
      <c r="B760" s="128"/>
      <c r="C760" s="128"/>
      <c r="D760" s="128"/>
      <c r="E760" s="128"/>
      <c r="F760" s="128"/>
      <c r="G760" s="212"/>
      <c r="H760" s="128"/>
      <c r="I760" s="128"/>
      <c r="J760" s="128"/>
      <c r="K760" s="128"/>
      <c r="L760" s="128"/>
      <c r="M760" s="128"/>
      <c r="N760" s="128"/>
      <c r="O760" s="128"/>
      <c r="P760" s="128"/>
      <c r="Q760" s="128"/>
      <c r="R760" s="128"/>
      <c r="S760" s="128"/>
      <c r="T760" s="128"/>
      <c r="U760" s="129"/>
      <c r="V760" s="128"/>
      <c r="W760" s="128"/>
      <c r="X760" s="128"/>
      <c r="Y760" s="128"/>
      <c r="Z760" s="128"/>
      <c r="AA760" s="128"/>
    </row>
    <row r="761">
      <c r="A761" s="128"/>
      <c r="B761" s="128"/>
      <c r="C761" s="128"/>
      <c r="D761" s="128"/>
      <c r="E761" s="128"/>
      <c r="F761" s="128"/>
      <c r="G761" s="212"/>
      <c r="H761" s="128"/>
      <c r="I761" s="128"/>
      <c r="J761" s="128"/>
      <c r="K761" s="128"/>
      <c r="L761" s="128"/>
      <c r="M761" s="128"/>
      <c r="N761" s="128"/>
      <c r="O761" s="128"/>
      <c r="P761" s="128"/>
      <c r="Q761" s="128"/>
      <c r="R761" s="128"/>
      <c r="S761" s="128"/>
      <c r="T761" s="128"/>
      <c r="U761" s="129"/>
      <c r="V761" s="128"/>
      <c r="W761" s="128"/>
      <c r="X761" s="128"/>
      <c r="Y761" s="128"/>
      <c r="Z761" s="128"/>
      <c r="AA761" s="128"/>
    </row>
    <row r="762">
      <c r="A762" s="128"/>
      <c r="B762" s="128"/>
      <c r="C762" s="128"/>
      <c r="D762" s="128"/>
      <c r="E762" s="128"/>
      <c r="F762" s="128"/>
      <c r="G762" s="212"/>
      <c r="H762" s="128"/>
      <c r="I762" s="128"/>
      <c r="J762" s="128"/>
      <c r="K762" s="128"/>
      <c r="L762" s="128"/>
      <c r="M762" s="128"/>
      <c r="N762" s="128"/>
      <c r="O762" s="128"/>
      <c r="P762" s="128"/>
      <c r="Q762" s="128"/>
      <c r="R762" s="128"/>
      <c r="S762" s="128"/>
      <c r="T762" s="128"/>
      <c r="U762" s="129"/>
      <c r="V762" s="128"/>
      <c r="W762" s="128"/>
      <c r="X762" s="128"/>
      <c r="Y762" s="128"/>
      <c r="Z762" s="128"/>
      <c r="AA762" s="128"/>
    </row>
    <row r="763">
      <c r="A763" s="128"/>
      <c r="B763" s="128"/>
      <c r="C763" s="128"/>
      <c r="D763" s="128"/>
      <c r="E763" s="128"/>
      <c r="F763" s="128"/>
      <c r="G763" s="212"/>
      <c r="H763" s="128"/>
      <c r="I763" s="128"/>
      <c r="J763" s="128"/>
      <c r="K763" s="128"/>
      <c r="L763" s="128"/>
      <c r="M763" s="128"/>
      <c r="N763" s="128"/>
      <c r="O763" s="128"/>
      <c r="P763" s="128"/>
      <c r="Q763" s="128"/>
      <c r="R763" s="128"/>
      <c r="S763" s="128"/>
      <c r="T763" s="128"/>
      <c r="U763" s="129"/>
      <c r="V763" s="128"/>
      <c r="W763" s="128"/>
      <c r="X763" s="128"/>
      <c r="Y763" s="128"/>
      <c r="Z763" s="128"/>
      <c r="AA763" s="128"/>
    </row>
    <row r="764">
      <c r="A764" s="128"/>
      <c r="B764" s="128"/>
      <c r="C764" s="128"/>
      <c r="D764" s="128"/>
      <c r="E764" s="128"/>
      <c r="F764" s="128"/>
      <c r="G764" s="212"/>
      <c r="H764" s="128"/>
      <c r="I764" s="128"/>
      <c r="J764" s="128"/>
      <c r="K764" s="128"/>
      <c r="L764" s="128"/>
      <c r="M764" s="128"/>
      <c r="N764" s="128"/>
      <c r="O764" s="128"/>
      <c r="P764" s="128"/>
      <c r="Q764" s="128"/>
      <c r="R764" s="128"/>
      <c r="S764" s="128"/>
      <c r="T764" s="128"/>
      <c r="U764" s="129"/>
      <c r="V764" s="128"/>
      <c r="W764" s="128"/>
      <c r="X764" s="128"/>
      <c r="Y764" s="128"/>
      <c r="Z764" s="128"/>
      <c r="AA764" s="128"/>
    </row>
    <row r="765">
      <c r="A765" s="128"/>
      <c r="B765" s="128"/>
      <c r="C765" s="128"/>
      <c r="D765" s="128"/>
      <c r="E765" s="128"/>
      <c r="F765" s="128"/>
      <c r="G765" s="212"/>
      <c r="H765" s="128"/>
      <c r="I765" s="128"/>
      <c r="J765" s="128"/>
      <c r="K765" s="128"/>
      <c r="L765" s="128"/>
      <c r="M765" s="128"/>
      <c r="N765" s="128"/>
      <c r="O765" s="128"/>
      <c r="P765" s="128"/>
      <c r="Q765" s="128"/>
      <c r="R765" s="128"/>
      <c r="S765" s="128"/>
      <c r="T765" s="128"/>
      <c r="U765" s="129"/>
      <c r="V765" s="128"/>
      <c r="W765" s="128"/>
      <c r="X765" s="128"/>
      <c r="Y765" s="128"/>
      <c r="Z765" s="128"/>
      <c r="AA765" s="128"/>
    </row>
    <row r="766">
      <c r="A766" s="128"/>
      <c r="B766" s="128"/>
      <c r="C766" s="128"/>
      <c r="D766" s="128"/>
      <c r="E766" s="128"/>
      <c r="F766" s="128"/>
      <c r="G766" s="212"/>
      <c r="H766" s="128"/>
      <c r="I766" s="128"/>
      <c r="J766" s="128"/>
      <c r="K766" s="128"/>
      <c r="L766" s="128"/>
      <c r="M766" s="128"/>
      <c r="N766" s="128"/>
      <c r="O766" s="128"/>
      <c r="P766" s="128"/>
      <c r="Q766" s="128"/>
      <c r="R766" s="128"/>
      <c r="S766" s="128"/>
      <c r="T766" s="128"/>
      <c r="U766" s="129"/>
      <c r="V766" s="128"/>
      <c r="W766" s="128"/>
      <c r="X766" s="128"/>
      <c r="Y766" s="128"/>
      <c r="Z766" s="128"/>
      <c r="AA766" s="128"/>
    </row>
    <row r="767">
      <c r="A767" s="128"/>
      <c r="B767" s="128"/>
      <c r="C767" s="128"/>
      <c r="D767" s="128"/>
      <c r="E767" s="128"/>
      <c r="F767" s="128"/>
      <c r="G767" s="212"/>
      <c r="H767" s="128"/>
      <c r="I767" s="128"/>
      <c r="J767" s="128"/>
      <c r="K767" s="128"/>
      <c r="L767" s="128"/>
      <c r="M767" s="128"/>
      <c r="N767" s="128"/>
      <c r="O767" s="128"/>
      <c r="P767" s="128"/>
      <c r="Q767" s="128"/>
      <c r="R767" s="128"/>
      <c r="S767" s="128"/>
      <c r="T767" s="128"/>
      <c r="U767" s="129"/>
      <c r="V767" s="128"/>
      <c r="W767" s="128"/>
      <c r="X767" s="128"/>
      <c r="Y767" s="128"/>
      <c r="Z767" s="128"/>
      <c r="AA767" s="128"/>
    </row>
    <row r="768">
      <c r="A768" s="128"/>
      <c r="B768" s="128"/>
      <c r="C768" s="128"/>
      <c r="D768" s="128"/>
      <c r="E768" s="128"/>
      <c r="F768" s="128"/>
      <c r="G768" s="212"/>
      <c r="H768" s="128"/>
      <c r="I768" s="128"/>
      <c r="J768" s="128"/>
      <c r="K768" s="128"/>
      <c r="L768" s="128"/>
      <c r="M768" s="128"/>
      <c r="N768" s="128"/>
      <c r="O768" s="128"/>
      <c r="P768" s="128"/>
      <c r="Q768" s="128"/>
      <c r="R768" s="128"/>
      <c r="S768" s="128"/>
      <c r="T768" s="128"/>
      <c r="U768" s="129"/>
      <c r="V768" s="128"/>
      <c r="W768" s="128"/>
      <c r="X768" s="128"/>
      <c r="Y768" s="128"/>
      <c r="Z768" s="128"/>
      <c r="AA768" s="128"/>
    </row>
    <row r="769">
      <c r="A769" s="128"/>
      <c r="B769" s="128"/>
      <c r="C769" s="128"/>
      <c r="D769" s="128"/>
      <c r="E769" s="128"/>
      <c r="F769" s="128"/>
      <c r="G769" s="212"/>
      <c r="H769" s="128"/>
      <c r="I769" s="128"/>
      <c r="J769" s="128"/>
      <c r="K769" s="128"/>
      <c r="L769" s="128"/>
      <c r="M769" s="128"/>
      <c r="N769" s="128"/>
      <c r="O769" s="128"/>
      <c r="P769" s="128"/>
      <c r="Q769" s="128"/>
      <c r="R769" s="128"/>
      <c r="S769" s="128"/>
      <c r="T769" s="128"/>
      <c r="U769" s="129"/>
      <c r="V769" s="128"/>
      <c r="W769" s="128"/>
      <c r="X769" s="128"/>
      <c r="Y769" s="128"/>
      <c r="Z769" s="128"/>
      <c r="AA769" s="128"/>
    </row>
    <row r="770">
      <c r="A770" s="128"/>
      <c r="B770" s="128"/>
      <c r="C770" s="128"/>
      <c r="D770" s="128"/>
      <c r="E770" s="128"/>
      <c r="F770" s="128"/>
      <c r="G770" s="212"/>
      <c r="H770" s="128"/>
      <c r="I770" s="128"/>
      <c r="J770" s="128"/>
      <c r="K770" s="128"/>
      <c r="L770" s="128"/>
      <c r="M770" s="128"/>
      <c r="N770" s="128"/>
      <c r="O770" s="128"/>
      <c r="P770" s="128"/>
      <c r="Q770" s="128"/>
      <c r="R770" s="128"/>
      <c r="S770" s="128"/>
      <c r="T770" s="128"/>
      <c r="U770" s="129"/>
      <c r="V770" s="128"/>
      <c r="W770" s="128"/>
      <c r="X770" s="128"/>
      <c r="Y770" s="128"/>
      <c r="Z770" s="128"/>
      <c r="AA770" s="128"/>
    </row>
    <row r="771">
      <c r="A771" s="128"/>
      <c r="B771" s="128"/>
      <c r="C771" s="128"/>
      <c r="D771" s="128"/>
      <c r="E771" s="128"/>
      <c r="F771" s="128"/>
      <c r="G771" s="212"/>
      <c r="H771" s="128"/>
      <c r="I771" s="128"/>
      <c r="J771" s="128"/>
      <c r="K771" s="128"/>
      <c r="L771" s="128"/>
      <c r="M771" s="128"/>
      <c r="N771" s="128"/>
      <c r="O771" s="128"/>
      <c r="P771" s="128"/>
      <c r="Q771" s="128"/>
      <c r="R771" s="128"/>
      <c r="S771" s="128"/>
      <c r="T771" s="128"/>
      <c r="U771" s="129"/>
      <c r="V771" s="128"/>
      <c r="W771" s="128"/>
      <c r="X771" s="128"/>
      <c r="Y771" s="128"/>
      <c r="Z771" s="128"/>
      <c r="AA771" s="128"/>
    </row>
    <row r="772">
      <c r="A772" s="128"/>
      <c r="B772" s="128"/>
      <c r="C772" s="128"/>
      <c r="D772" s="128"/>
      <c r="E772" s="128"/>
      <c r="F772" s="128"/>
      <c r="G772" s="212"/>
      <c r="H772" s="128"/>
      <c r="I772" s="128"/>
      <c r="J772" s="128"/>
      <c r="K772" s="128"/>
      <c r="L772" s="128"/>
      <c r="M772" s="128"/>
      <c r="N772" s="128"/>
      <c r="O772" s="128"/>
      <c r="P772" s="128"/>
      <c r="Q772" s="128"/>
      <c r="R772" s="128"/>
      <c r="S772" s="128"/>
      <c r="T772" s="128"/>
      <c r="U772" s="129"/>
      <c r="V772" s="128"/>
      <c r="W772" s="128"/>
      <c r="X772" s="128"/>
      <c r="Y772" s="128"/>
      <c r="Z772" s="128"/>
      <c r="AA772" s="128"/>
    </row>
    <row r="773">
      <c r="A773" s="128"/>
      <c r="B773" s="128"/>
      <c r="C773" s="128"/>
      <c r="D773" s="128"/>
      <c r="E773" s="128"/>
      <c r="F773" s="128"/>
      <c r="G773" s="212"/>
      <c r="H773" s="128"/>
      <c r="I773" s="128"/>
      <c r="J773" s="128"/>
      <c r="K773" s="128"/>
      <c r="L773" s="128"/>
      <c r="M773" s="128"/>
      <c r="N773" s="128"/>
      <c r="O773" s="128"/>
      <c r="P773" s="128"/>
      <c r="Q773" s="128"/>
      <c r="R773" s="128"/>
      <c r="S773" s="128"/>
      <c r="T773" s="128"/>
      <c r="U773" s="129"/>
      <c r="V773" s="128"/>
      <c r="W773" s="128"/>
      <c r="X773" s="128"/>
      <c r="Y773" s="128"/>
      <c r="Z773" s="128"/>
      <c r="AA773" s="128"/>
    </row>
    <row r="774">
      <c r="A774" s="128"/>
      <c r="B774" s="128"/>
      <c r="C774" s="128"/>
      <c r="D774" s="128"/>
      <c r="E774" s="128"/>
      <c r="F774" s="128"/>
      <c r="G774" s="212"/>
      <c r="H774" s="128"/>
      <c r="I774" s="128"/>
      <c r="J774" s="128"/>
      <c r="K774" s="128"/>
      <c r="L774" s="128"/>
      <c r="M774" s="128"/>
      <c r="N774" s="128"/>
      <c r="O774" s="128"/>
      <c r="P774" s="128"/>
      <c r="Q774" s="128"/>
      <c r="R774" s="128"/>
      <c r="S774" s="128"/>
      <c r="T774" s="128"/>
      <c r="U774" s="129"/>
      <c r="V774" s="128"/>
      <c r="W774" s="128"/>
      <c r="X774" s="128"/>
      <c r="Y774" s="128"/>
      <c r="Z774" s="128"/>
      <c r="AA774" s="128"/>
    </row>
    <row r="775">
      <c r="A775" s="128"/>
      <c r="B775" s="128"/>
      <c r="C775" s="128"/>
      <c r="D775" s="128"/>
      <c r="E775" s="128"/>
      <c r="F775" s="128"/>
      <c r="G775" s="212"/>
      <c r="H775" s="128"/>
      <c r="I775" s="128"/>
      <c r="J775" s="128"/>
      <c r="K775" s="128"/>
      <c r="L775" s="128"/>
      <c r="M775" s="128"/>
      <c r="N775" s="128"/>
      <c r="O775" s="128"/>
      <c r="P775" s="128"/>
      <c r="Q775" s="128"/>
      <c r="R775" s="128"/>
      <c r="S775" s="128"/>
      <c r="T775" s="128"/>
      <c r="U775" s="129"/>
      <c r="V775" s="128"/>
      <c r="W775" s="128"/>
      <c r="X775" s="128"/>
      <c r="Y775" s="128"/>
      <c r="Z775" s="128"/>
      <c r="AA775" s="128"/>
    </row>
    <row r="776">
      <c r="A776" s="128"/>
      <c r="B776" s="128"/>
      <c r="C776" s="128"/>
      <c r="D776" s="128"/>
      <c r="E776" s="128"/>
      <c r="F776" s="128"/>
      <c r="G776" s="212"/>
      <c r="H776" s="128"/>
      <c r="I776" s="128"/>
      <c r="J776" s="128"/>
      <c r="K776" s="128"/>
      <c r="L776" s="128"/>
      <c r="M776" s="128"/>
      <c r="N776" s="128"/>
      <c r="O776" s="128"/>
      <c r="P776" s="128"/>
      <c r="Q776" s="128"/>
      <c r="R776" s="128"/>
      <c r="S776" s="128"/>
      <c r="T776" s="128"/>
      <c r="U776" s="129"/>
      <c r="V776" s="128"/>
      <c r="W776" s="128"/>
      <c r="X776" s="128"/>
      <c r="Y776" s="128"/>
      <c r="Z776" s="128"/>
      <c r="AA776" s="128"/>
    </row>
    <row r="777">
      <c r="A777" s="128"/>
      <c r="B777" s="128"/>
      <c r="C777" s="128"/>
      <c r="D777" s="128"/>
      <c r="E777" s="128"/>
      <c r="F777" s="128"/>
      <c r="G777" s="212"/>
      <c r="H777" s="128"/>
      <c r="I777" s="128"/>
      <c r="J777" s="128"/>
      <c r="K777" s="128"/>
      <c r="L777" s="128"/>
      <c r="M777" s="128"/>
      <c r="N777" s="128"/>
      <c r="O777" s="128"/>
      <c r="P777" s="128"/>
      <c r="Q777" s="128"/>
      <c r="R777" s="128"/>
      <c r="S777" s="128"/>
      <c r="T777" s="128"/>
      <c r="U777" s="129"/>
      <c r="V777" s="128"/>
      <c r="W777" s="128"/>
      <c r="X777" s="128"/>
      <c r="Y777" s="128"/>
      <c r="Z777" s="128"/>
      <c r="AA777" s="128"/>
    </row>
    <row r="778">
      <c r="A778" s="128"/>
      <c r="B778" s="128"/>
      <c r="C778" s="128"/>
      <c r="D778" s="128"/>
      <c r="E778" s="128"/>
      <c r="F778" s="128"/>
      <c r="G778" s="212"/>
      <c r="H778" s="128"/>
      <c r="I778" s="128"/>
      <c r="J778" s="128"/>
      <c r="K778" s="128"/>
      <c r="L778" s="128"/>
      <c r="M778" s="128"/>
      <c r="N778" s="128"/>
      <c r="O778" s="128"/>
      <c r="P778" s="128"/>
      <c r="Q778" s="128"/>
      <c r="R778" s="128"/>
      <c r="S778" s="128"/>
      <c r="T778" s="128"/>
      <c r="U778" s="129"/>
      <c r="V778" s="128"/>
      <c r="W778" s="128"/>
      <c r="X778" s="128"/>
      <c r="Y778" s="128"/>
      <c r="Z778" s="128"/>
      <c r="AA778" s="128"/>
    </row>
    <row r="779">
      <c r="A779" s="128"/>
      <c r="B779" s="128"/>
      <c r="C779" s="128"/>
      <c r="D779" s="128"/>
      <c r="E779" s="128"/>
      <c r="F779" s="128"/>
      <c r="G779" s="212"/>
      <c r="H779" s="128"/>
      <c r="I779" s="128"/>
      <c r="J779" s="128"/>
      <c r="K779" s="128"/>
      <c r="L779" s="128"/>
      <c r="M779" s="128"/>
      <c r="N779" s="128"/>
      <c r="O779" s="128"/>
      <c r="P779" s="128"/>
      <c r="Q779" s="128"/>
      <c r="R779" s="128"/>
      <c r="S779" s="128"/>
      <c r="T779" s="128"/>
      <c r="U779" s="129"/>
      <c r="V779" s="128"/>
      <c r="W779" s="128"/>
      <c r="X779" s="128"/>
      <c r="Y779" s="128"/>
      <c r="Z779" s="128"/>
      <c r="AA779" s="128"/>
    </row>
    <row r="780">
      <c r="A780" s="128"/>
      <c r="B780" s="128"/>
      <c r="C780" s="128"/>
      <c r="D780" s="128"/>
      <c r="E780" s="128"/>
      <c r="F780" s="128"/>
      <c r="G780" s="212"/>
      <c r="H780" s="128"/>
      <c r="I780" s="128"/>
      <c r="J780" s="128"/>
      <c r="K780" s="128"/>
      <c r="L780" s="128"/>
      <c r="M780" s="128"/>
      <c r="N780" s="128"/>
      <c r="O780" s="128"/>
      <c r="P780" s="128"/>
      <c r="Q780" s="128"/>
      <c r="R780" s="128"/>
      <c r="S780" s="128"/>
      <c r="T780" s="128"/>
      <c r="U780" s="129"/>
      <c r="V780" s="128"/>
      <c r="W780" s="128"/>
      <c r="X780" s="128"/>
      <c r="Y780" s="128"/>
      <c r="Z780" s="128"/>
      <c r="AA780" s="128"/>
    </row>
    <row r="781">
      <c r="A781" s="128"/>
      <c r="B781" s="128"/>
      <c r="C781" s="128"/>
      <c r="D781" s="128"/>
      <c r="E781" s="128"/>
      <c r="F781" s="128"/>
      <c r="G781" s="212"/>
      <c r="H781" s="128"/>
      <c r="I781" s="128"/>
      <c r="J781" s="128"/>
      <c r="K781" s="128"/>
      <c r="L781" s="128"/>
      <c r="M781" s="128"/>
      <c r="N781" s="128"/>
      <c r="O781" s="128"/>
      <c r="P781" s="128"/>
      <c r="Q781" s="128"/>
      <c r="R781" s="128"/>
      <c r="S781" s="128"/>
      <c r="T781" s="128"/>
      <c r="U781" s="129"/>
      <c r="V781" s="128"/>
      <c r="W781" s="128"/>
      <c r="X781" s="128"/>
      <c r="Y781" s="128"/>
      <c r="Z781" s="128"/>
      <c r="AA781" s="128"/>
    </row>
    <row r="782">
      <c r="A782" s="128"/>
      <c r="B782" s="128"/>
      <c r="C782" s="128"/>
      <c r="D782" s="128"/>
      <c r="E782" s="128"/>
      <c r="F782" s="128"/>
      <c r="G782" s="212"/>
      <c r="H782" s="128"/>
      <c r="I782" s="128"/>
      <c r="J782" s="128"/>
      <c r="K782" s="128"/>
      <c r="L782" s="128"/>
      <c r="M782" s="128"/>
      <c r="N782" s="128"/>
      <c r="O782" s="128"/>
      <c r="P782" s="128"/>
      <c r="Q782" s="128"/>
      <c r="R782" s="128"/>
      <c r="S782" s="128"/>
      <c r="T782" s="128"/>
      <c r="U782" s="129"/>
      <c r="V782" s="128"/>
      <c r="W782" s="128"/>
      <c r="X782" s="128"/>
      <c r="Y782" s="128"/>
      <c r="Z782" s="128"/>
      <c r="AA782" s="128"/>
    </row>
    <row r="783">
      <c r="A783" s="128"/>
      <c r="B783" s="128"/>
      <c r="C783" s="128"/>
      <c r="D783" s="128"/>
      <c r="E783" s="128"/>
      <c r="F783" s="128"/>
      <c r="G783" s="212"/>
      <c r="H783" s="128"/>
      <c r="I783" s="128"/>
      <c r="J783" s="128"/>
      <c r="K783" s="128"/>
      <c r="L783" s="128"/>
      <c r="M783" s="128"/>
      <c r="N783" s="128"/>
      <c r="O783" s="128"/>
      <c r="P783" s="128"/>
      <c r="Q783" s="128"/>
      <c r="R783" s="128"/>
      <c r="S783" s="128"/>
      <c r="T783" s="128"/>
      <c r="U783" s="129"/>
      <c r="V783" s="128"/>
      <c r="W783" s="128"/>
      <c r="X783" s="128"/>
      <c r="Y783" s="128"/>
      <c r="Z783" s="128"/>
      <c r="AA783" s="128"/>
    </row>
    <row r="784">
      <c r="A784" s="128"/>
      <c r="B784" s="128"/>
      <c r="C784" s="128"/>
      <c r="D784" s="128"/>
      <c r="E784" s="128"/>
      <c r="F784" s="128"/>
      <c r="G784" s="212"/>
      <c r="H784" s="128"/>
      <c r="I784" s="128"/>
      <c r="J784" s="128"/>
      <c r="K784" s="128"/>
      <c r="L784" s="128"/>
      <c r="M784" s="128"/>
      <c r="N784" s="128"/>
      <c r="O784" s="128"/>
      <c r="P784" s="128"/>
      <c r="Q784" s="128"/>
      <c r="R784" s="128"/>
      <c r="S784" s="128"/>
      <c r="T784" s="128"/>
      <c r="U784" s="129"/>
      <c r="V784" s="128"/>
      <c r="W784" s="128"/>
      <c r="X784" s="128"/>
      <c r="Y784" s="128"/>
      <c r="Z784" s="128"/>
      <c r="AA784" s="128"/>
    </row>
    <row r="785">
      <c r="A785" s="128"/>
      <c r="B785" s="128"/>
      <c r="C785" s="128"/>
      <c r="D785" s="128"/>
      <c r="E785" s="128"/>
      <c r="F785" s="128"/>
      <c r="G785" s="212"/>
      <c r="H785" s="128"/>
      <c r="I785" s="128"/>
      <c r="J785" s="128"/>
      <c r="K785" s="128"/>
      <c r="L785" s="128"/>
      <c r="M785" s="128"/>
      <c r="N785" s="128"/>
      <c r="O785" s="128"/>
      <c r="P785" s="128"/>
      <c r="Q785" s="128"/>
      <c r="R785" s="128"/>
      <c r="S785" s="128"/>
      <c r="T785" s="128"/>
      <c r="U785" s="129"/>
      <c r="V785" s="128"/>
      <c r="W785" s="128"/>
      <c r="X785" s="128"/>
      <c r="Y785" s="128"/>
      <c r="Z785" s="128"/>
      <c r="AA785" s="128"/>
    </row>
    <row r="786">
      <c r="A786" s="128"/>
      <c r="B786" s="128"/>
      <c r="C786" s="128"/>
      <c r="D786" s="128"/>
      <c r="E786" s="128"/>
      <c r="F786" s="128"/>
      <c r="G786" s="212"/>
      <c r="H786" s="128"/>
      <c r="I786" s="128"/>
      <c r="J786" s="128"/>
      <c r="K786" s="128"/>
      <c r="L786" s="128"/>
      <c r="M786" s="128"/>
      <c r="N786" s="128"/>
      <c r="O786" s="128"/>
      <c r="P786" s="128"/>
      <c r="Q786" s="128"/>
      <c r="R786" s="128"/>
      <c r="S786" s="128"/>
      <c r="T786" s="128"/>
      <c r="U786" s="129"/>
      <c r="V786" s="128"/>
      <c r="W786" s="128"/>
      <c r="X786" s="128"/>
      <c r="Y786" s="128"/>
      <c r="Z786" s="128"/>
      <c r="AA786" s="128"/>
    </row>
    <row r="787">
      <c r="A787" s="128"/>
      <c r="B787" s="128"/>
      <c r="C787" s="128"/>
      <c r="D787" s="128"/>
      <c r="E787" s="128"/>
      <c r="F787" s="128"/>
      <c r="G787" s="212"/>
      <c r="H787" s="128"/>
      <c r="I787" s="128"/>
      <c r="J787" s="128"/>
      <c r="K787" s="128"/>
      <c r="L787" s="128"/>
      <c r="M787" s="128"/>
      <c r="N787" s="128"/>
      <c r="O787" s="128"/>
      <c r="P787" s="128"/>
      <c r="Q787" s="128"/>
      <c r="R787" s="128"/>
      <c r="S787" s="128"/>
      <c r="T787" s="128"/>
      <c r="U787" s="129"/>
      <c r="V787" s="128"/>
      <c r="W787" s="128"/>
      <c r="X787" s="128"/>
      <c r="Y787" s="128"/>
      <c r="Z787" s="128"/>
      <c r="AA787" s="128"/>
    </row>
    <row r="788">
      <c r="A788" s="128"/>
      <c r="B788" s="128"/>
      <c r="C788" s="128"/>
      <c r="D788" s="128"/>
      <c r="E788" s="128"/>
      <c r="F788" s="128"/>
      <c r="G788" s="212"/>
      <c r="H788" s="128"/>
      <c r="I788" s="128"/>
      <c r="J788" s="128"/>
      <c r="K788" s="128"/>
      <c r="L788" s="128"/>
      <c r="M788" s="128"/>
      <c r="N788" s="128"/>
      <c r="O788" s="128"/>
      <c r="P788" s="128"/>
      <c r="Q788" s="128"/>
      <c r="R788" s="128"/>
      <c r="S788" s="128"/>
      <c r="T788" s="128"/>
      <c r="U788" s="129"/>
      <c r="V788" s="128"/>
      <c r="W788" s="128"/>
      <c r="X788" s="128"/>
      <c r="Y788" s="128"/>
      <c r="Z788" s="128"/>
      <c r="AA788" s="128"/>
    </row>
    <row r="789">
      <c r="A789" s="128"/>
      <c r="B789" s="128"/>
      <c r="C789" s="128"/>
      <c r="D789" s="128"/>
      <c r="E789" s="128"/>
      <c r="F789" s="128"/>
      <c r="G789" s="212"/>
      <c r="H789" s="128"/>
      <c r="I789" s="128"/>
      <c r="J789" s="128"/>
      <c r="K789" s="128"/>
      <c r="L789" s="128"/>
      <c r="M789" s="128"/>
      <c r="N789" s="128"/>
      <c r="O789" s="128"/>
      <c r="P789" s="128"/>
      <c r="Q789" s="128"/>
      <c r="R789" s="128"/>
      <c r="S789" s="128"/>
      <c r="T789" s="128"/>
      <c r="U789" s="129"/>
      <c r="V789" s="128"/>
      <c r="W789" s="128"/>
      <c r="X789" s="128"/>
      <c r="Y789" s="128"/>
      <c r="Z789" s="128"/>
      <c r="AA789" s="128"/>
    </row>
    <row r="790">
      <c r="A790" s="128"/>
      <c r="B790" s="128"/>
      <c r="C790" s="128"/>
      <c r="D790" s="128"/>
      <c r="E790" s="128"/>
      <c r="F790" s="128"/>
      <c r="G790" s="212"/>
      <c r="H790" s="128"/>
      <c r="I790" s="128"/>
      <c r="J790" s="128"/>
      <c r="K790" s="128"/>
      <c r="L790" s="128"/>
      <c r="M790" s="128"/>
      <c r="N790" s="128"/>
      <c r="O790" s="128"/>
      <c r="P790" s="128"/>
      <c r="Q790" s="128"/>
      <c r="R790" s="128"/>
      <c r="S790" s="128"/>
      <c r="T790" s="128"/>
      <c r="U790" s="129"/>
      <c r="V790" s="128"/>
      <c r="W790" s="128"/>
      <c r="X790" s="128"/>
      <c r="Y790" s="128"/>
      <c r="Z790" s="128"/>
      <c r="AA790" s="128"/>
    </row>
    <row r="791">
      <c r="A791" s="128"/>
      <c r="B791" s="128"/>
      <c r="C791" s="128"/>
      <c r="D791" s="128"/>
      <c r="E791" s="128"/>
      <c r="F791" s="128"/>
      <c r="G791" s="212"/>
      <c r="H791" s="128"/>
      <c r="I791" s="128"/>
      <c r="J791" s="128"/>
      <c r="K791" s="128"/>
      <c r="L791" s="128"/>
      <c r="M791" s="128"/>
      <c r="N791" s="128"/>
      <c r="O791" s="128"/>
      <c r="P791" s="128"/>
      <c r="Q791" s="128"/>
      <c r="R791" s="128"/>
      <c r="S791" s="128"/>
      <c r="T791" s="128"/>
      <c r="U791" s="129"/>
      <c r="V791" s="128"/>
      <c r="W791" s="128"/>
      <c r="X791" s="128"/>
      <c r="Y791" s="128"/>
      <c r="Z791" s="128"/>
      <c r="AA791" s="128"/>
    </row>
    <row r="792">
      <c r="A792" s="128"/>
      <c r="B792" s="128"/>
      <c r="C792" s="128"/>
      <c r="D792" s="128"/>
      <c r="E792" s="128"/>
      <c r="F792" s="128"/>
      <c r="G792" s="212"/>
      <c r="H792" s="128"/>
      <c r="I792" s="128"/>
      <c r="J792" s="128"/>
      <c r="K792" s="128"/>
      <c r="L792" s="128"/>
      <c r="M792" s="128"/>
      <c r="N792" s="128"/>
      <c r="O792" s="128"/>
      <c r="P792" s="128"/>
      <c r="Q792" s="128"/>
      <c r="R792" s="128"/>
      <c r="S792" s="128"/>
      <c r="T792" s="128"/>
      <c r="U792" s="129"/>
      <c r="V792" s="128"/>
      <c r="W792" s="128"/>
      <c r="X792" s="128"/>
      <c r="Y792" s="128"/>
      <c r="Z792" s="128"/>
      <c r="AA792" s="128"/>
    </row>
    <row r="793">
      <c r="A793" s="128"/>
      <c r="B793" s="128"/>
      <c r="C793" s="128"/>
      <c r="D793" s="128"/>
      <c r="E793" s="128"/>
      <c r="F793" s="128"/>
      <c r="G793" s="212"/>
      <c r="H793" s="128"/>
      <c r="I793" s="128"/>
      <c r="J793" s="128"/>
      <c r="K793" s="128"/>
      <c r="L793" s="128"/>
      <c r="M793" s="128"/>
      <c r="N793" s="128"/>
      <c r="O793" s="128"/>
      <c r="P793" s="128"/>
      <c r="Q793" s="128"/>
      <c r="R793" s="128"/>
      <c r="S793" s="128"/>
      <c r="T793" s="128"/>
      <c r="U793" s="129"/>
      <c r="V793" s="128"/>
      <c r="W793" s="128"/>
      <c r="X793" s="128"/>
      <c r="Y793" s="128"/>
      <c r="Z793" s="128"/>
      <c r="AA793" s="128"/>
    </row>
    <row r="794">
      <c r="A794" s="128"/>
      <c r="B794" s="128"/>
      <c r="C794" s="128"/>
      <c r="D794" s="128"/>
      <c r="E794" s="128"/>
      <c r="F794" s="128"/>
      <c r="G794" s="212"/>
      <c r="H794" s="128"/>
      <c r="I794" s="128"/>
      <c r="J794" s="128"/>
      <c r="K794" s="128"/>
      <c r="L794" s="128"/>
      <c r="M794" s="128"/>
      <c r="N794" s="128"/>
      <c r="O794" s="128"/>
      <c r="P794" s="128"/>
      <c r="Q794" s="128"/>
      <c r="R794" s="128"/>
      <c r="S794" s="128"/>
      <c r="T794" s="128"/>
      <c r="U794" s="129"/>
      <c r="V794" s="128"/>
      <c r="W794" s="128"/>
      <c r="X794" s="128"/>
      <c r="Y794" s="128"/>
      <c r="Z794" s="128"/>
      <c r="AA794" s="128"/>
    </row>
    <row r="795">
      <c r="A795" s="128"/>
      <c r="B795" s="128"/>
      <c r="C795" s="128"/>
      <c r="D795" s="128"/>
      <c r="E795" s="128"/>
      <c r="F795" s="128"/>
      <c r="G795" s="212"/>
      <c r="H795" s="128"/>
      <c r="I795" s="128"/>
      <c r="J795" s="128"/>
      <c r="K795" s="128"/>
      <c r="L795" s="128"/>
      <c r="M795" s="128"/>
      <c r="N795" s="128"/>
      <c r="O795" s="128"/>
      <c r="P795" s="128"/>
      <c r="Q795" s="128"/>
      <c r="R795" s="128"/>
      <c r="S795" s="128"/>
      <c r="T795" s="128"/>
      <c r="U795" s="129"/>
      <c r="V795" s="128"/>
      <c r="W795" s="128"/>
      <c r="X795" s="128"/>
      <c r="Y795" s="128"/>
      <c r="Z795" s="128"/>
      <c r="AA795" s="128"/>
    </row>
    <row r="796">
      <c r="A796" s="128"/>
      <c r="B796" s="128"/>
      <c r="C796" s="128"/>
      <c r="D796" s="128"/>
      <c r="E796" s="128"/>
      <c r="F796" s="128"/>
      <c r="G796" s="212"/>
      <c r="H796" s="128"/>
      <c r="I796" s="128"/>
      <c r="J796" s="128"/>
      <c r="K796" s="128"/>
      <c r="L796" s="128"/>
      <c r="M796" s="128"/>
      <c r="N796" s="128"/>
      <c r="O796" s="128"/>
      <c r="P796" s="128"/>
      <c r="Q796" s="128"/>
      <c r="R796" s="128"/>
      <c r="S796" s="128"/>
      <c r="T796" s="128"/>
      <c r="U796" s="129"/>
      <c r="V796" s="128"/>
      <c r="W796" s="128"/>
      <c r="X796" s="128"/>
      <c r="Y796" s="128"/>
      <c r="Z796" s="128"/>
      <c r="AA796" s="128"/>
    </row>
    <row r="797">
      <c r="A797" s="128"/>
      <c r="B797" s="128"/>
      <c r="C797" s="128"/>
      <c r="D797" s="128"/>
      <c r="E797" s="128"/>
      <c r="F797" s="128"/>
      <c r="G797" s="212"/>
      <c r="H797" s="128"/>
      <c r="I797" s="128"/>
      <c r="J797" s="128"/>
      <c r="K797" s="128"/>
      <c r="L797" s="128"/>
      <c r="M797" s="128"/>
      <c r="N797" s="128"/>
      <c r="O797" s="128"/>
      <c r="P797" s="128"/>
      <c r="Q797" s="128"/>
      <c r="R797" s="128"/>
      <c r="S797" s="128"/>
      <c r="T797" s="128"/>
      <c r="U797" s="129"/>
      <c r="V797" s="128"/>
      <c r="W797" s="128"/>
      <c r="X797" s="128"/>
      <c r="Y797" s="128"/>
      <c r="Z797" s="128"/>
      <c r="AA797" s="128"/>
    </row>
    <row r="798">
      <c r="A798" s="128"/>
      <c r="B798" s="128"/>
      <c r="C798" s="128"/>
      <c r="D798" s="128"/>
      <c r="E798" s="128"/>
      <c r="F798" s="128"/>
      <c r="G798" s="212"/>
      <c r="H798" s="128"/>
      <c r="I798" s="128"/>
      <c r="J798" s="128"/>
      <c r="K798" s="128"/>
      <c r="L798" s="128"/>
      <c r="M798" s="128"/>
      <c r="N798" s="128"/>
      <c r="O798" s="128"/>
      <c r="P798" s="128"/>
      <c r="Q798" s="128"/>
      <c r="R798" s="128"/>
      <c r="S798" s="128"/>
      <c r="T798" s="128"/>
      <c r="U798" s="129"/>
      <c r="V798" s="128"/>
      <c r="W798" s="128"/>
      <c r="X798" s="128"/>
      <c r="Y798" s="128"/>
      <c r="Z798" s="128"/>
      <c r="AA798" s="128"/>
    </row>
    <row r="799">
      <c r="A799" s="128"/>
      <c r="B799" s="128"/>
      <c r="C799" s="128"/>
      <c r="D799" s="128"/>
      <c r="E799" s="128"/>
      <c r="F799" s="128"/>
      <c r="G799" s="212"/>
      <c r="H799" s="128"/>
      <c r="I799" s="128"/>
      <c r="J799" s="128"/>
      <c r="K799" s="128"/>
      <c r="L799" s="128"/>
      <c r="M799" s="128"/>
      <c r="N799" s="128"/>
      <c r="O799" s="128"/>
      <c r="P799" s="128"/>
      <c r="Q799" s="128"/>
      <c r="R799" s="128"/>
      <c r="S799" s="128"/>
      <c r="T799" s="128"/>
      <c r="U799" s="129"/>
      <c r="V799" s="128"/>
      <c r="W799" s="128"/>
      <c r="X799" s="128"/>
      <c r="Y799" s="128"/>
      <c r="Z799" s="128"/>
      <c r="AA799" s="128"/>
    </row>
    <row r="800">
      <c r="A800" s="128"/>
      <c r="B800" s="128"/>
      <c r="C800" s="128"/>
      <c r="D800" s="128"/>
      <c r="E800" s="128"/>
      <c r="F800" s="128"/>
      <c r="G800" s="212"/>
      <c r="H800" s="128"/>
      <c r="I800" s="128"/>
      <c r="J800" s="128"/>
      <c r="K800" s="128"/>
      <c r="L800" s="128"/>
      <c r="M800" s="128"/>
      <c r="N800" s="128"/>
      <c r="O800" s="128"/>
      <c r="P800" s="128"/>
      <c r="Q800" s="128"/>
      <c r="R800" s="128"/>
      <c r="S800" s="128"/>
      <c r="T800" s="128"/>
      <c r="U800" s="129"/>
      <c r="V800" s="128"/>
      <c r="W800" s="128"/>
      <c r="X800" s="128"/>
      <c r="Y800" s="128"/>
      <c r="Z800" s="128"/>
      <c r="AA800" s="128"/>
    </row>
    <row r="801">
      <c r="A801" s="128"/>
      <c r="B801" s="128"/>
      <c r="C801" s="128"/>
      <c r="D801" s="128"/>
      <c r="E801" s="128"/>
      <c r="F801" s="128"/>
      <c r="G801" s="212"/>
      <c r="H801" s="128"/>
      <c r="I801" s="128"/>
      <c r="J801" s="128"/>
      <c r="K801" s="128"/>
      <c r="L801" s="128"/>
      <c r="M801" s="128"/>
      <c r="N801" s="128"/>
      <c r="O801" s="128"/>
      <c r="P801" s="128"/>
      <c r="Q801" s="128"/>
      <c r="R801" s="128"/>
      <c r="S801" s="128"/>
      <c r="T801" s="128"/>
      <c r="U801" s="129"/>
      <c r="V801" s="128"/>
      <c r="W801" s="128"/>
      <c r="X801" s="128"/>
      <c r="Y801" s="128"/>
      <c r="Z801" s="128"/>
      <c r="AA801" s="128"/>
    </row>
    <row r="802">
      <c r="A802" s="128"/>
      <c r="B802" s="128"/>
      <c r="C802" s="128"/>
      <c r="D802" s="128"/>
      <c r="E802" s="128"/>
      <c r="F802" s="128"/>
      <c r="G802" s="212"/>
      <c r="H802" s="128"/>
      <c r="I802" s="128"/>
      <c r="J802" s="128"/>
      <c r="K802" s="128"/>
      <c r="L802" s="128"/>
      <c r="M802" s="128"/>
      <c r="N802" s="128"/>
      <c r="O802" s="128"/>
      <c r="P802" s="128"/>
      <c r="Q802" s="128"/>
      <c r="R802" s="128"/>
      <c r="S802" s="128"/>
      <c r="T802" s="128"/>
      <c r="U802" s="129"/>
      <c r="V802" s="128"/>
      <c r="W802" s="128"/>
      <c r="X802" s="128"/>
      <c r="Y802" s="128"/>
      <c r="Z802" s="128"/>
      <c r="AA802" s="128"/>
    </row>
    <row r="803">
      <c r="A803" s="128"/>
      <c r="B803" s="128"/>
      <c r="C803" s="128"/>
      <c r="D803" s="128"/>
      <c r="E803" s="128"/>
      <c r="F803" s="128"/>
      <c r="G803" s="212"/>
      <c r="H803" s="128"/>
      <c r="I803" s="128"/>
      <c r="J803" s="128"/>
      <c r="K803" s="128"/>
      <c r="L803" s="128"/>
      <c r="M803" s="128"/>
      <c r="N803" s="128"/>
      <c r="O803" s="128"/>
      <c r="P803" s="128"/>
      <c r="Q803" s="128"/>
      <c r="R803" s="128"/>
      <c r="S803" s="128"/>
      <c r="T803" s="128"/>
      <c r="U803" s="129"/>
      <c r="V803" s="128"/>
      <c r="W803" s="128"/>
      <c r="X803" s="128"/>
      <c r="Y803" s="128"/>
      <c r="Z803" s="128"/>
      <c r="AA803" s="128"/>
    </row>
    <row r="804">
      <c r="A804" s="128"/>
      <c r="B804" s="128"/>
      <c r="C804" s="128"/>
      <c r="D804" s="128"/>
      <c r="E804" s="128"/>
      <c r="F804" s="128"/>
      <c r="G804" s="212"/>
      <c r="H804" s="128"/>
      <c r="I804" s="128"/>
      <c r="J804" s="128"/>
      <c r="K804" s="128"/>
      <c r="L804" s="128"/>
      <c r="M804" s="128"/>
      <c r="N804" s="128"/>
      <c r="O804" s="128"/>
      <c r="P804" s="128"/>
      <c r="Q804" s="128"/>
      <c r="R804" s="128"/>
      <c r="S804" s="128"/>
      <c r="T804" s="128"/>
      <c r="U804" s="129"/>
      <c r="V804" s="128"/>
      <c r="W804" s="128"/>
      <c r="X804" s="128"/>
      <c r="Y804" s="128"/>
      <c r="Z804" s="128"/>
      <c r="AA804" s="128"/>
    </row>
    <row r="805">
      <c r="A805" s="128"/>
      <c r="B805" s="128"/>
      <c r="C805" s="128"/>
      <c r="D805" s="128"/>
      <c r="E805" s="128"/>
      <c r="F805" s="128"/>
      <c r="G805" s="212"/>
      <c r="H805" s="128"/>
      <c r="I805" s="128"/>
      <c r="J805" s="128"/>
      <c r="K805" s="128"/>
      <c r="L805" s="128"/>
      <c r="M805" s="128"/>
      <c r="N805" s="128"/>
      <c r="O805" s="128"/>
      <c r="P805" s="128"/>
      <c r="Q805" s="128"/>
      <c r="R805" s="128"/>
      <c r="S805" s="128"/>
      <c r="T805" s="128"/>
      <c r="U805" s="129"/>
      <c r="V805" s="128"/>
      <c r="W805" s="128"/>
      <c r="X805" s="128"/>
      <c r="Y805" s="128"/>
      <c r="Z805" s="128"/>
      <c r="AA805" s="128"/>
    </row>
    <row r="806">
      <c r="A806" s="128"/>
      <c r="B806" s="128"/>
      <c r="C806" s="128"/>
      <c r="D806" s="128"/>
      <c r="E806" s="128"/>
      <c r="F806" s="128"/>
      <c r="G806" s="212"/>
      <c r="H806" s="128"/>
      <c r="I806" s="128"/>
      <c r="J806" s="128"/>
      <c r="K806" s="128"/>
      <c r="L806" s="128"/>
      <c r="M806" s="128"/>
      <c r="N806" s="128"/>
      <c r="O806" s="128"/>
      <c r="P806" s="128"/>
      <c r="Q806" s="128"/>
      <c r="R806" s="128"/>
      <c r="S806" s="128"/>
      <c r="T806" s="128"/>
      <c r="U806" s="129"/>
      <c r="V806" s="128"/>
      <c r="W806" s="128"/>
      <c r="X806" s="128"/>
      <c r="Y806" s="128"/>
      <c r="Z806" s="128"/>
      <c r="AA806" s="128"/>
    </row>
    <row r="807">
      <c r="A807" s="128"/>
      <c r="B807" s="128"/>
      <c r="C807" s="128"/>
      <c r="D807" s="128"/>
      <c r="E807" s="128"/>
      <c r="F807" s="128"/>
      <c r="G807" s="212"/>
      <c r="H807" s="128"/>
      <c r="I807" s="128"/>
      <c r="J807" s="128"/>
      <c r="K807" s="128"/>
      <c r="L807" s="128"/>
      <c r="M807" s="128"/>
      <c r="N807" s="128"/>
      <c r="O807" s="128"/>
      <c r="P807" s="128"/>
      <c r="Q807" s="128"/>
      <c r="R807" s="128"/>
      <c r="S807" s="128"/>
      <c r="T807" s="128"/>
      <c r="U807" s="129"/>
      <c r="V807" s="128"/>
      <c r="W807" s="128"/>
      <c r="X807" s="128"/>
      <c r="Y807" s="128"/>
      <c r="Z807" s="128"/>
      <c r="AA807" s="128"/>
    </row>
    <row r="808">
      <c r="A808" s="128"/>
      <c r="B808" s="128"/>
      <c r="C808" s="128"/>
      <c r="D808" s="128"/>
      <c r="E808" s="128"/>
      <c r="F808" s="128"/>
      <c r="G808" s="212"/>
      <c r="H808" s="128"/>
      <c r="I808" s="128"/>
      <c r="J808" s="128"/>
      <c r="K808" s="128"/>
      <c r="L808" s="128"/>
      <c r="M808" s="128"/>
      <c r="N808" s="128"/>
      <c r="O808" s="128"/>
      <c r="P808" s="128"/>
      <c r="Q808" s="128"/>
      <c r="R808" s="128"/>
      <c r="S808" s="128"/>
      <c r="T808" s="128"/>
      <c r="U808" s="129"/>
      <c r="V808" s="128"/>
      <c r="W808" s="128"/>
      <c r="X808" s="128"/>
      <c r="Y808" s="128"/>
      <c r="Z808" s="128"/>
      <c r="AA808" s="128"/>
    </row>
    <row r="809">
      <c r="A809" s="128"/>
      <c r="B809" s="128"/>
      <c r="C809" s="128"/>
      <c r="D809" s="128"/>
      <c r="E809" s="128"/>
      <c r="F809" s="128"/>
      <c r="G809" s="212"/>
      <c r="H809" s="128"/>
      <c r="I809" s="128"/>
      <c r="J809" s="128"/>
      <c r="K809" s="128"/>
      <c r="L809" s="128"/>
      <c r="M809" s="128"/>
      <c r="N809" s="128"/>
      <c r="O809" s="128"/>
      <c r="P809" s="128"/>
      <c r="Q809" s="128"/>
      <c r="R809" s="128"/>
      <c r="S809" s="128"/>
      <c r="T809" s="128"/>
      <c r="U809" s="129"/>
      <c r="V809" s="128"/>
      <c r="W809" s="128"/>
      <c r="X809" s="128"/>
      <c r="Y809" s="128"/>
      <c r="Z809" s="128"/>
      <c r="AA809" s="128"/>
    </row>
    <row r="810">
      <c r="A810" s="128"/>
      <c r="B810" s="128"/>
      <c r="C810" s="128"/>
      <c r="D810" s="128"/>
      <c r="E810" s="128"/>
      <c r="F810" s="128"/>
      <c r="G810" s="212"/>
      <c r="H810" s="128"/>
      <c r="I810" s="128"/>
      <c r="J810" s="128"/>
      <c r="K810" s="128"/>
      <c r="L810" s="128"/>
      <c r="M810" s="128"/>
      <c r="N810" s="128"/>
      <c r="O810" s="128"/>
      <c r="P810" s="128"/>
      <c r="Q810" s="128"/>
      <c r="R810" s="128"/>
      <c r="S810" s="128"/>
      <c r="T810" s="128"/>
      <c r="U810" s="129"/>
      <c r="V810" s="128"/>
      <c r="W810" s="128"/>
      <c r="X810" s="128"/>
      <c r="Y810" s="128"/>
      <c r="Z810" s="128"/>
      <c r="AA810" s="128"/>
    </row>
    <row r="811">
      <c r="A811" s="128"/>
      <c r="B811" s="128"/>
      <c r="C811" s="128"/>
      <c r="D811" s="128"/>
      <c r="E811" s="128"/>
      <c r="F811" s="128"/>
      <c r="G811" s="212"/>
      <c r="H811" s="128"/>
      <c r="I811" s="128"/>
      <c r="J811" s="128"/>
      <c r="K811" s="128"/>
      <c r="L811" s="128"/>
      <c r="M811" s="128"/>
      <c r="N811" s="128"/>
      <c r="O811" s="128"/>
      <c r="P811" s="128"/>
      <c r="Q811" s="128"/>
      <c r="R811" s="128"/>
      <c r="S811" s="128"/>
      <c r="T811" s="128"/>
      <c r="U811" s="129"/>
      <c r="V811" s="128"/>
      <c r="W811" s="128"/>
      <c r="X811" s="128"/>
      <c r="Y811" s="128"/>
      <c r="Z811" s="128"/>
      <c r="AA811" s="128"/>
    </row>
    <row r="812">
      <c r="A812" s="128"/>
      <c r="B812" s="128"/>
      <c r="C812" s="128"/>
      <c r="D812" s="128"/>
      <c r="E812" s="128"/>
      <c r="F812" s="128"/>
      <c r="G812" s="212"/>
      <c r="H812" s="128"/>
      <c r="I812" s="128"/>
      <c r="J812" s="128"/>
      <c r="K812" s="128"/>
      <c r="L812" s="128"/>
      <c r="M812" s="128"/>
      <c r="N812" s="128"/>
      <c r="O812" s="128"/>
      <c r="P812" s="128"/>
      <c r="Q812" s="128"/>
      <c r="R812" s="128"/>
      <c r="S812" s="128"/>
      <c r="T812" s="128"/>
      <c r="U812" s="129"/>
      <c r="V812" s="128"/>
      <c r="W812" s="128"/>
      <c r="X812" s="128"/>
      <c r="Y812" s="128"/>
      <c r="Z812" s="128"/>
      <c r="AA812" s="128"/>
    </row>
    <row r="813">
      <c r="A813" s="128"/>
      <c r="B813" s="128"/>
      <c r="C813" s="128"/>
      <c r="D813" s="128"/>
      <c r="E813" s="128"/>
      <c r="F813" s="128"/>
      <c r="G813" s="212"/>
      <c r="H813" s="128"/>
      <c r="I813" s="128"/>
      <c r="J813" s="128"/>
      <c r="K813" s="128"/>
      <c r="L813" s="128"/>
      <c r="M813" s="128"/>
      <c r="N813" s="128"/>
      <c r="O813" s="128"/>
      <c r="P813" s="128"/>
      <c r="Q813" s="128"/>
      <c r="R813" s="128"/>
      <c r="S813" s="128"/>
      <c r="T813" s="128"/>
      <c r="U813" s="129"/>
      <c r="V813" s="128"/>
      <c r="W813" s="128"/>
      <c r="X813" s="128"/>
      <c r="Y813" s="128"/>
      <c r="Z813" s="128"/>
      <c r="AA813" s="128"/>
    </row>
    <row r="814">
      <c r="A814" s="128"/>
      <c r="B814" s="128"/>
      <c r="C814" s="128"/>
      <c r="D814" s="128"/>
      <c r="E814" s="128"/>
      <c r="F814" s="128"/>
      <c r="G814" s="212"/>
      <c r="H814" s="128"/>
      <c r="I814" s="128"/>
      <c r="J814" s="128"/>
      <c r="K814" s="128"/>
      <c r="L814" s="128"/>
      <c r="M814" s="128"/>
      <c r="N814" s="128"/>
      <c r="O814" s="128"/>
      <c r="P814" s="128"/>
      <c r="Q814" s="128"/>
      <c r="R814" s="128"/>
      <c r="S814" s="128"/>
      <c r="T814" s="128"/>
      <c r="U814" s="129"/>
      <c r="V814" s="128"/>
      <c r="W814" s="128"/>
      <c r="X814" s="128"/>
      <c r="Y814" s="128"/>
      <c r="Z814" s="128"/>
      <c r="AA814" s="128"/>
    </row>
    <row r="815">
      <c r="A815" s="128"/>
      <c r="B815" s="128"/>
      <c r="C815" s="128"/>
      <c r="D815" s="128"/>
      <c r="E815" s="128"/>
      <c r="F815" s="128"/>
      <c r="G815" s="212"/>
      <c r="H815" s="128"/>
      <c r="I815" s="128"/>
      <c r="J815" s="128"/>
      <c r="K815" s="128"/>
      <c r="L815" s="128"/>
      <c r="M815" s="128"/>
      <c r="N815" s="128"/>
      <c r="O815" s="128"/>
      <c r="P815" s="128"/>
      <c r="Q815" s="128"/>
      <c r="R815" s="128"/>
      <c r="S815" s="128"/>
      <c r="T815" s="128"/>
      <c r="U815" s="129"/>
      <c r="V815" s="128"/>
      <c r="W815" s="128"/>
      <c r="X815" s="128"/>
      <c r="Y815" s="128"/>
      <c r="Z815" s="128"/>
      <c r="AA815" s="128"/>
    </row>
    <row r="816">
      <c r="A816" s="128"/>
      <c r="B816" s="128"/>
      <c r="C816" s="128"/>
      <c r="D816" s="128"/>
      <c r="E816" s="128"/>
      <c r="F816" s="128"/>
      <c r="G816" s="212"/>
      <c r="H816" s="128"/>
      <c r="I816" s="128"/>
      <c r="J816" s="128"/>
      <c r="K816" s="128"/>
      <c r="L816" s="128"/>
      <c r="M816" s="128"/>
      <c r="N816" s="128"/>
      <c r="O816" s="128"/>
      <c r="P816" s="128"/>
      <c r="Q816" s="128"/>
      <c r="R816" s="128"/>
      <c r="S816" s="128"/>
      <c r="T816" s="128"/>
      <c r="U816" s="129"/>
      <c r="V816" s="128"/>
      <c r="W816" s="128"/>
      <c r="X816" s="128"/>
      <c r="Y816" s="128"/>
      <c r="Z816" s="128"/>
      <c r="AA816" s="128"/>
    </row>
    <row r="817">
      <c r="A817" s="128"/>
      <c r="B817" s="128"/>
      <c r="C817" s="128"/>
      <c r="D817" s="128"/>
      <c r="E817" s="128"/>
      <c r="F817" s="128"/>
      <c r="G817" s="212"/>
      <c r="H817" s="128"/>
      <c r="I817" s="128"/>
      <c r="J817" s="128"/>
      <c r="K817" s="128"/>
      <c r="L817" s="128"/>
      <c r="M817" s="128"/>
      <c r="N817" s="128"/>
      <c r="O817" s="128"/>
      <c r="P817" s="128"/>
      <c r="Q817" s="128"/>
      <c r="R817" s="128"/>
      <c r="S817" s="128"/>
      <c r="T817" s="128"/>
      <c r="U817" s="129"/>
      <c r="V817" s="128"/>
      <c r="W817" s="128"/>
      <c r="X817" s="128"/>
      <c r="Y817" s="128"/>
      <c r="Z817" s="128"/>
      <c r="AA817" s="128"/>
    </row>
    <row r="818">
      <c r="A818" s="128"/>
      <c r="B818" s="128"/>
      <c r="C818" s="128"/>
      <c r="D818" s="128"/>
      <c r="E818" s="128"/>
      <c r="F818" s="128"/>
      <c r="G818" s="212"/>
      <c r="H818" s="128"/>
      <c r="I818" s="128"/>
      <c r="J818" s="128"/>
      <c r="K818" s="128"/>
      <c r="L818" s="128"/>
      <c r="M818" s="128"/>
      <c r="N818" s="128"/>
      <c r="O818" s="128"/>
      <c r="P818" s="128"/>
      <c r="Q818" s="128"/>
      <c r="R818" s="128"/>
      <c r="S818" s="128"/>
      <c r="T818" s="128"/>
      <c r="U818" s="129"/>
      <c r="V818" s="128"/>
      <c r="W818" s="128"/>
      <c r="X818" s="128"/>
      <c r="Y818" s="128"/>
      <c r="Z818" s="128"/>
      <c r="AA818" s="128"/>
    </row>
    <row r="819">
      <c r="A819" s="128"/>
      <c r="B819" s="128"/>
      <c r="C819" s="128"/>
      <c r="D819" s="128"/>
      <c r="E819" s="128"/>
      <c r="F819" s="128"/>
      <c r="G819" s="212"/>
      <c r="H819" s="128"/>
      <c r="I819" s="128"/>
      <c r="J819" s="128"/>
      <c r="K819" s="128"/>
      <c r="L819" s="128"/>
      <c r="M819" s="128"/>
      <c r="N819" s="128"/>
      <c r="O819" s="128"/>
      <c r="P819" s="128"/>
      <c r="Q819" s="128"/>
      <c r="R819" s="128"/>
      <c r="S819" s="128"/>
      <c r="T819" s="128"/>
      <c r="U819" s="129"/>
      <c r="V819" s="128"/>
      <c r="W819" s="128"/>
      <c r="X819" s="128"/>
      <c r="Y819" s="128"/>
      <c r="Z819" s="128"/>
      <c r="AA819" s="128"/>
    </row>
    <row r="820">
      <c r="A820" s="128"/>
      <c r="B820" s="128"/>
      <c r="C820" s="128"/>
      <c r="D820" s="128"/>
      <c r="E820" s="128"/>
      <c r="F820" s="128"/>
      <c r="G820" s="212"/>
      <c r="H820" s="128"/>
      <c r="I820" s="128"/>
      <c r="J820" s="128"/>
      <c r="K820" s="128"/>
      <c r="L820" s="128"/>
      <c r="M820" s="128"/>
      <c r="N820" s="128"/>
      <c r="O820" s="128"/>
      <c r="P820" s="128"/>
      <c r="Q820" s="128"/>
      <c r="R820" s="128"/>
      <c r="S820" s="128"/>
      <c r="T820" s="128"/>
      <c r="U820" s="129"/>
      <c r="V820" s="128"/>
      <c r="W820" s="128"/>
      <c r="X820" s="128"/>
      <c r="Y820" s="128"/>
      <c r="Z820" s="128"/>
      <c r="AA820" s="128"/>
    </row>
    <row r="821">
      <c r="A821" s="128"/>
      <c r="B821" s="128"/>
      <c r="C821" s="128"/>
      <c r="D821" s="128"/>
      <c r="E821" s="128"/>
      <c r="F821" s="128"/>
      <c r="G821" s="212"/>
      <c r="H821" s="128"/>
      <c r="I821" s="128"/>
      <c r="J821" s="128"/>
      <c r="K821" s="128"/>
      <c r="L821" s="128"/>
      <c r="M821" s="128"/>
      <c r="N821" s="128"/>
      <c r="O821" s="128"/>
      <c r="P821" s="128"/>
      <c r="Q821" s="128"/>
      <c r="R821" s="128"/>
      <c r="S821" s="128"/>
      <c r="T821" s="128"/>
      <c r="U821" s="129"/>
      <c r="V821" s="128"/>
      <c r="W821" s="128"/>
      <c r="X821" s="128"/>
      <c r="Y821" s="128"/>
      <c r="Z821" s="128"/>
      <c r="AA821" s="128"/>
    </row>
    <row r="822">
      <c r="A822" s="128"/>
      <c r="B822" s="128"/>
      <c r="C822" s="128"/>
      <c r="D822" s="128"/>
      <c r="E822" s="128"/>
      <c r="F822" s="128"/>
      <c r="G822" s="212"/>
      <c r="H822" s="128"/>
      <c r="I822" s="128"/>
      <c r="J822" s="128"/>
      <c r="K822" s="128"/>
      <c r="L822" s="128"/>
      <c r="M822" s="128"/>
      <c r="N822" s="128"/>
      <c r="O822" s="128"/>
      <c r="P822" s="128"/>
      <c r="Q822" s="128"/>
      <c r="R822" s="128"/>
      <c r="S822" s="128"/>
      <c r="T822" s="128"/>
      <c r="U822" s="129"/>
      <c r="V822" s="128"/>
      <c r="W822" s="128"/>
      <c r="X822" s="128"/>
      <c r="Y822" s="128"/>
      <c r="Z822" s="128"/>
      <c r="AA822" s="128"/>
    </row>
    <row r="823">
      <c r="A823" s="128"/>
      <c r="B823" s="128"/>
      <c r="C823" s="128"/>
      <c r="D823" s="128"/>
      <c r="E823" s="128"/>
      <c r="F823" s="128"/>
      <c r="G823" s="212"/>
      <c r="H823" s="128"/>
      <c r="I823" s="128"/>
      <c r="J823" s="128"/>
      <c r="K823" s="128"/>
      <c r="L823" s="128"/>
      <c r="M823" s="128"/>
      <c r="N823" s="128"/>
      <c r="O823" s="128"/>
      <c r="P823" s="128"/>
      <c r="Q823" s="128"/>
      <c r="R823" s="128"/>
      <c r="S823" s="128"/>
      <c r="T823" s="128"/>
      <c r="U823" s="129"/>
      <c r="V823" s="128"/>
      <c r="W823" s="128"/>
      <c r="X823" s="128"/>
      <c r="Y823" s="128"/>
      <c r="Z823" s="128"/>
      <c r="AA823" s="128"/>
    </row>
    <row r="824">
      <c r="A824" s="128"/>
      <c r="B824" s="128"/>
      <c r="C824" s="128"/>
      <c r="D824" s="128"/>
      <c r="E824" s="128"/>
      <c r="F824" s="128"/>
      <c r="G824" s="212"/>
      <c r="H824" s="128"/>
      <c r="I824" s="128"/>
      <c r="J824" s="128"/>
      <c r="K824" s="128"/>
      <c r="L824" s="128"/>
      <c r="M824" s="128"/>
      <c r="N824" s="128"/>
      <c r="O824" s="128"/>
      <c r="P824" s="128"/>
      <c r="Q824" s="128"/>
      <c r="R824" s="128"/>
      <c r="S824" s="128"/>
      <c r="T824" s="128"/>
      <c r="U824" s="129"/>
      <c r="V824" s="128"/>
      <c r="W824" s="128"/>
      <c r="X824" s="128"/>
      <c r="Y824" s="128"/>
      <c r="Z824" s="128"/>
      <c r="AA824" s="128"/>
    </row>
    <row r="825">
      <c r="A825" s="128"/>
      <c r="B825" s="128"/>
      <c r="C825" s="128"/>
      <c r="D825" s="128"/>
      <c r="E825" s="128"/>
      <c r="F825" s="128"/>
      <c r="G825" s="212"/>
      <c r="H825" s="128"/>
      <c r="I825" s="128"/>
      <c r="J825" s="128"/>
      <c r="K825" s="128"/>
      <c r="L825" s="128"/>
      <c r="M825" s="128"/>
      <c r="N825" s="128"/>
      <c r="O825" s="128"/>
      <c r="P825" s="128"/>
      <c r="Q825" s="128"/>
      <c r="R825" s="128"/>
      <c r="S825" s="128"/>
      <c r="T825" s="128"/>
      <c r="U825" s="129"/>
      <c r="V825" s="128"/>
      <c r="W825" s="128"/>
      <c r="X825" s="128"/>
      <c r="Y825" s="128"/>
      <c r="Z825" s="128"/>
      <c r="AA825" s="128"/>
    </row>
    <row r="826">
      <c r="A826" s="128"/>
      <c r="B826" s="128"/>
      <c r="C826" s="128"/>
      <c r="D826" s="128"/>
      <c r="E826" s="128"/>
      <c r="F826" s="128"/>
      <c r="G826" s="212"/>
      <c r="H826" s="128"/>
      <c r="I826" s="128"/>
      <c r="J826" s="128"/>
      <c r="K826" s="128"/>
      <c r="L826" s="128"/>
      <c r="M826" s="128"/>
      <c r="N826" s="128"/>
      <c r="O826" s="128"/>
      <c r="P826" s="128"/>
      <c r="Q826" s="128"/>
      <c r="R826" s="128"/>
      <c r="S826" s="128"/>
      <c r="T826" s="128"/>
      <c r="U826" s="129"/>
      <c r="V826" s="128"/>
      <c r="W826" s="128"/>
      <c r="X826" s="128"/>
      <c r="Y826" s="128"/>
      <c r="Z826" s="128"/>
      <c r="AA826" s="128"/>
    </row>
    <row r="827">
      <c r="A827" s="128"/>
      <c r="B827" s="128"/>
      <c r="C827" s="128"/>
      <c r="D827" s="128"/>
      <c r="E827" s="128"/>
      <c r="F827" s="128"/>
      <c r="G827" s="212"/>
      <c r="H827" s="128"/>
      <c r="I827" s="128"/>
      <c r="J827" s="128"/>
      <c r="K827" s="128"/>
      <c r="L827" s="128"/>
      <c r="M827" s="128"/>
      <c r="N827" s="128"/>
      <c r="O827" s="128"/>
      <c r="P827" s="128"/>
      <c r="Q827" s="128"/>
      <c r="R827" s="128"/>
      <c r="S827" s="128"/>
      <c r="T827" s="128"/>
      <c r="U827" s="129"/>
      <c r="V827" s="128"/>
      <c r="W827" s="128"/>
      <c r="X827" s="128"/>
      <c r="Y827" s="128"/>
      <c r="Z827" s="128"/>
      <c r="AA827" s="128"/>
    </row>
    <row r="828">
      <c r="A828" s="128"/>
      <c r="B828" s="128"/>
      <c r="C828" s="128"/>
      <c r="D828" s="128"/>
      <c r="E828" s="128"/>
      <c r="F828" s="128"/>
      <c r="G828" s="212"/>
      <c r="H828" s="128"/>
      <c r="I828" s="128"/>
      <c r="J828" s="128"/>
      <c r="K828" s="128"/>
      <c r="L828" s="128"/>
      <c r="M828" s="128"/>
      <c r="N828" s="128"/>
      <c r="O828" s="128"/>
      <c r="P828" s="128"/>
      <c r="Q828" s="128"/>
      <c r="R828" s="128"/>
      <c r="S828" s="128"/>
      <c r="T828" s="128"/>
      <c r="U828" s="129"/>
      <c r="V828" s="128"/>
      <c r="W828" s="128"/>
      <c r="X828" s="128"/>
      <c r="Y828" s="128"/>
      <c r="Z828" s="128"/>
      <c r="AA828" s="128"/>
    </row>
    <row r="829">
      <c r="A829" s="128"/>
      <c r="B829" s="128"/>
      <c r="C829" s="128"/>
      <c r="D829" s="128"/>
      <c r="E829" s="128"/>
      <c r="F829" s="128"/>
      <c r="G829" s="212"/>
      <c r="H829" s="128"/>
      <c r="I829" s="128"/>
      <c r="J829" s="128"/>
      <c r="K829" s="128"/>
      <c r="L829" s="128"/>
      <c r="M829" s="128"/>
      <c r="N829" s="128"/>
      <c r="O829" s="128"/>
      <c r="P829" s="128"/>
      <c r="Q829" s="128"/>
      <c r="R829" s="128"/>
      <c r="S829" s="128"/>
      <c r="T829" s="128"/>
      <c r="U829" s="129"/>
      <c r="V829" s="128"/>
      <c r="W829" s="128"/>
      <c r="X829" s="128"/>
      <c r="Y829" s="128"/>
      <c r="Z829" s="128"/>
      <c r="AA829" s="128"/>
    </row>
    <row r="830">
      <c r="A830" s="128"/>
      <c r="B830" s="128"/>
      <c r="C830" s="128"/>
      <c r="D830" s="128"/>
      <c r="E830" s="128"/>
      <c r="F830" s="128"/>
      <c r="G830" s="212"/>
      <c r="H830" s="128"/>
      <c r="I830" s="128"/>
      <c r="J830" s="128"/>
      <c r="K830" s="128"/>
      <c r="L830" s="128"/>
      <c r="M830" s="128"/>
      <c r="N830" s="128"/>
      <c r="O830" s="128"/>
      <c r="P830" s="128"/>
      <c r="Q830" s="128"/>
      <c r="R830" s="128"/>
      <c r="S830" s="128"/>
      <c r="T830" s="128"/>
      <c r="U830" s="129"/>
      <c r="V830" s="128"/>
      <c r="W830" s="128"/>
      <c r="X830" s="128"/>
      <c r="Y830" s="128"/>
      <c r="Z830" s="128"/>
      <c r="AA830" s="128"/>
    </row>
    <row r="831">
      <c r="A831" s="128"/>
      <c r="B831" s="128"/>
      <c r="C831" s="128"/>
      <c r="D831" s="128"/>
      <c r="E831" s="128"/>
      <c r="F831" s="128"/>
      <c r="G831" s="212"/>
      <c r="H831" s="128"/>
      <c r="I831" s="128"/>
      <c r="J831" s="128"/>
      <c r="K831" s="128"/>
      <c r="L831" s="128"/>
      <c r="M831" s="128"/>
      <c r="N831" s="128"/>
      <c r="O831" s="128"/>
      <c r="P831" s="128"/>
      <c r="Q831" s="128"/>
      <c r="R831" s="128"/>
      <c r="S831" s="128"/>
      <c r="T831" s="128"/>
      <c r="U831" s="129"/>
      <c r="V831" s="128"/>
      <c r="W831" s="128"/>
      <c r="X831" s="128"/>
      <c r="Y831" s="128"/>
      <c r="Z831" s="128"/>
      <c r="AA831" s="128"/>
    </row>
    <row r="832">
      <c r="A832" s="128"/>
      <c r="B832" s="128"/>
      <c r="C832" s="128"/>
      <c r="D832" s="128"/>
      <c r="E832" s="128"/>
      <c r="F832" s="128"/>
      <c r="G832" s="212"/>
      <c r="H832" s="128"/>
      <c r="I832" s="128"/>
      <c r="J832" s="128"/>
      <c r="K832" s="128"/>
      <c r="L832" s="128"/>
      <c r="M832" s="128"/>
      <c r="N832" s="128"/>
      <c r="O832" s="128"/>
      <c r="P832" s="128"/>
      <c r="Q832" s="128"/>
      <c r="R832" s="128"/>
      <c r="S832" s="128"/>
      <c r="T832" s="128"/>
      <c r="U832" s="129"/>
      <c r="V832" s="128"/>
      <c r="W832" s="128"/>
      <c r="X832" s="128"/>
      <c r="Y832" s="128"/>
      <c r="Z832" s="128"/>
      <c r="AA832" s="128"/>
    </row>
    <row r="833">
      <c r="A833" s="128"/>
      <c r="B833" s="128"/>
      <c r="C833" s="128"/>
      <c r="D833" s="128"/>
      <c r="E833" s="128"/>
      <c r="F833" s="128"/>
      <c r="G833" s="212"/>
      <c r="H833" s="128"/>
      <c r="I833" s="128"/>
      <c r="J833" s="128"/>
      <c r="K833" s="128"/>
      <c r="L833" s="128"/>
      <c r="M833" s="128"/>
      <c r="N833" s="128"/>
      <c r="O833" s="128"/>
      <c r="P833" s="128"/>
      <c r="Q833" s="128"/>
      <c r="R833" s="128"/>
      <c r="S833" s="128"/>
      <c r="T833" s="128"/>
      <c r="U833" s="129"/>
      <c r="V833" s="128"/>
      <c r="W833" s="128"/>
      <c r="X833" s="128"/>
      <c r="Y833" s="128"/>
      <c r="Z833" s="128"/>
      <c r="AA833" s="128"/>
    </row>
    <row r="834">
      <c r="A834" s="128"/>
      <c r="B834" s="128"/>
      <c r="C834" s="128"/>
      <c r="D834" s="128"/>
      <c r="E834" s="128"/>
      <c r="F834" s="128"/>
      <c r="G834" s="212"/>
      <c r="H834" s="128"/>
      <c r="I834" s="128"/>
      <c r="J834" s="128"/>
      <c r="K834" s="128"/>
      <c r="L834" s="128"/>
      <c r="M834" s="128"/>
      <c r="N834" s="128"/>
      <c r="O834" s="128"/>
      <c r="P834" s="128"/>
      <c r="Q834" s="128"/>
      <c r="R834" s="128"/>
      <c r="S834" s="128"/>
      <c r="T834" s="128"/>
      <c r="U834" s="129"/>
      <c r="V834" s="128"/>
      <c r="W834" s="128"/>
      <c r="X834" s="128"/>
      <c r="Y834" s="128"/>
      <c r="Z834" s="128"/>
      <c r="AA834" s="128"/>
    </row>
    <row r="835">
      <c r="A835" s="128"/>
      <c r="B835" s="128"/>
      <c r="C835" s="128"/>
      <c r="D835" s="128"/>
      <c r="E835" s="128"/>
      <c r="F835" s="128"/>
      <c r="G835" s="212"/>
      <c r="H835" s="128"/>
      <c r="I835" s="128"/>
      <c r="J835" s="128"/>
      <c r="K835" s="128"/>
      <c r="L835" s="128"/>
      <c r="M835" s="128"/>
      <c r="N835" s="128"/>
      <c r="O835" s="128"/>
      <c r="P835" s="128"/>
      <c r="Q835" s="128"/>
      <c r="R835" s="128"/>
      <c r="S835" s="128"/>
      <c r="T835" s="128"/>
      <c r="U835" s="129"/>
      <c r="V835" s="128"/>
      <c r="W835" s="128"/>
      <c r="X835" s="128"/>
      <c r="Y835" s="128"/>
      <c r="Z835" s="128"/>
      <c r="AA835" s="128"/>
    </row>
    <row r="836">
      <c r="A836" s="128"/>
      <c r="B836" s="128"/>
      <c r="C836" s="128"/>
      <c r="D836" s="128"/>
      <c r="E836" s="128"/>
      <c r="F836" s="128"/>
      <c r="G836" s="212"/>
      <c r="H836" s="128"/>
      <c r="I836" s="128"/>
      <c r="J836" s="128"/>
      <c r="K836" s="128"/>
      <c r="L836" s="128"/>
      <c r="M836" s="128"/>
      <c r="N836" s="128"/>
      <c r="O836" s="128"/>
      <c r="P836" s="128"/>
      <c r="Q836" s="128"/>
      <c r="R836" s="128"/>
      <c r="S836" s="128"/>
      <c r="T836" s="128"/>
      <c r="U836" s="129"/>
      <c r="V836" s="128"/>
      <c r="W836" s="128"/>
      <c r="X836" s="128"/>
      <c r="Y836" s="128"/>
      <c r="Z836" s="128"/>
      <c r="AA836" s="128"/>
    </row>
    <row r="837">
      <c r="A837" s="128"/>
      <c r="B837" s="128"/>
      <c r="C837" s="128"/>
      <c r="D837" s="128"/>
      <c r="E837" s="128"/>
      <c r="F837" s="128"/>
      <c r="G837" s="212"/>
      <c r="H837" s="128"/>
      <c r="I837" s="128"/>
      <c r="J837" s="128"/>
      <c r="K837" s="128"/>
      <c r="L837" s="128"/>
      <c r="M837" s="128"/>
      <c r="N837" s="128"/>
      <c r="O837" s="128"/>
      <c r="P837" s="128"/>
      <c r="Q837" s="128"/>
      <c r="R837" s="128"/>
      <c r="S837" s="128"/>
      <c r="T837" s="128"/>
      <c r="U837" s="129"/>
      <c r="V837" s="128"/>
      <c r="W837" s="128"/>
      <c r="X837" s="128"/>
      <c r="Y837" s="128"/>
      <c r="Z837" s="128"/>
      <c r="AA837" s="128"/>
    </row>
    <row r="838">
      <c r="A838" s="128"/>
      <c r="B838" s="128"/>
      <c r="C838" s="128"/>
      <c r="D838" s="128"/>
      <c r="E838" s="128"/>
      <c r="F838" s="128"/>
      <c r="G838" s="212"/>
      <c r="H838" s="128"/>
      <c r="I838" s="128"/>
      <c r="J838" s="128"/>
      <c r="K838" s="128"/>
      <c r="L838" s="128"/>
      <c r="M838" s="128"/>
      <c r="N838" s="128"/>
      <c r="O838" s="128"/>
      <c r="P838" s="128"/>
      <c r="Q838" s="128"/>
      <c r="R838" s="128"/>
      <c r="S838" s="128"/>
      <c r="T838" s="128"/>
      <c r="U838" s="129"/>
      <c r="V838" s="128"/>
      <c r="W838" s="128"/>
      <c r="X838" s="128"/>
      <c r="Y838" s="128"/>
      <c r="Z838" s="128"/>
      <c r="AA838" s="128"/>
    </row>
    <row r="839">
      <c r="A839" s="128"/>
      <c r="B839" s="128"/>
      <c r="C839" s="128"/>
      <c r="D839" s="128"/>
      <c r="E839" s="128"/>
      <c r="F839" s="128"/>
      <c r="G839" s="212"/>
      <c r="H839" s="128"/>
      <c r="I839" s="128"/>
      <c r="J839" s="128"/>
      <c r="K839" s="128"/>
      <c r="L839" s="128"/>
      <c r="M839" s="128"/>
      <c r="N839" s="128"/>
      <c r="O839" s="128"/>
      <c r="P839" s="128"/>
      <c r="Q839" s="128"/>
      <c r="R839" s="128"/>
      <c r="S839" s="128"/>
      <c r="T839" s="128"/>
      <c r="U839" s="129"/>
      <c r="V839" s="128"/>
      <c r="W839" s="128"/>
      <c r="X839" s="128"/>
      <c r="Y839" s="128"/>
      <c r="Z839" s="128"/>
      <c r="AA839" s="128"/>
    </row>
    <row r="840">
      <c r="A840" s="128"/>
      <c r="B840" s="128"/>
      <c r="C840" s="128"/>
      <c r="D840" s="128"/>
      <c r="E840" s="128"/>
      <c r="F840" s="128"/>
      <c r="G840" s="212"/>
      <c r="H840" s="128"/>
      <c r="I840" s="128"/>
      <c r="J840" s="128"/>
      <c r="K840" s="128"/>
      <c r="L840" s="128"/>
      <c r="M840" s="128"/>
      <c r="N840" s="128"/>
      <c r="O840" s="128"/>
      <c r="P840" s="128"/>
      <c r="Q840" s="128"/>
      <c r="R840" s="128"/>
      <c r="S840" s="128"/>
      <c r="T840" s="128"/>
      <c r="U840" s="129"/>
      <c r="V840" s="128"/>
      <c r="W840" s="128"/>
      <c r="X840" s="128"/>
      <c r="Y840" s="128"/>
      <c r="Z840" s="128"/>
      <c r="AA840" s="128"/>
    </row>
    <row r="841">
      <c r="A841" s="128"/>
      <c r="B841" s="128"/>
      <c r="C841" s="128"/>
      <c r="D841" s="128"/>
      <c r="E841" s="128"/>
      <c r="F841" s="128"/>
      <c r="G841" s="212"/>
      <c r="H841" s="128"/>
      <c r="I841" s="128"/>
      <c r="J841" s="128"/>
      <c r="K841" s="128"/>
      <c r="L841" s="128"/>
      <c r="M841" s="128"/>
      <c r="N841" s="128"/>
      <c r="O841" s="128"/>
      <c r="P841" s="128"/>
      <c r="Q841" s="128"/>
      <c r="R841" s="128"/>
      <c r="S841" s="128"/>
      <c r="T841" s="128"/>
      <c r="U841" s="129"/>
      <c r="V841" s="128"/>
      <c r="W841" s="128"/>
      <c r="X841" s="128"/>
      <c r="Y841" s="128"/>
      <c r="Z841" s="128"/>
      <c r="AA841" s="128"/>
    </row>
    <row r="842">
      <c r="A842" s="128"/>
      <c r="B842" s="128"/>
      <c r="C842" s="128"/>
      <c r="D842" s="128"/>
      <c r="E842" s="128"/>
      <c r="F842" s="128"/>
      <c r="G842" s="212"/>
      <c r="H842" s="128"/>
      <c r="I842" s="128"/>
      <c r="J842" s="128"/>
      <c r="K842" s="128"/>
      <c r="L842" s="128"/>
      <c r="M842" s="128"/>
      <c r="N842" s="128"/>
      <c r="O842" s="128"/>
      <c r="P842" s="128"/>
      <c r="Q842" s="128"/>
      <c r="R842" s="128"/>
      <c r="S842" s="128"/>
      <c r="T842" s="128"/>
      <c r="U842" s="129"/>
      <c r="V842" s="128"/>
      <c r="W842" s="128"/>
      <c r="X842" s="128"/>
      <c r="Y842" s="128"/>
      <c r="Z842" s="128"/>
      <c r="AA842" s="128"/>
    </row>
    <row r="843">
      <c r="A843" s="128"/>
      <c r="B843" s="128"/>
      <c r="C843" s="128"/>
      <c r="D843" s="128"/>
      <c r="E843" s="128"/>
      <c r="F843" s="128"/>
      <c r="G843" s="212"/>
      <c r="H843" s="128"/>
      <c r="I843" s="128"/>
      <c r="J843" s="128"/>
      <c r="K843" s="128"/>
      <c r="L843" s="128"/>
      <c r="M843" s="128"/>
      <c r="N843" s="128"/>
      <c r="O843" s="128"/>
      <c r="P843" s="128"/>
      <c r="Q843" s="128"/>
      <c r="R843" s="128"/>
      <c r="S843" s="128"/>
      <c r="T843" s="128"/>
      <c r="U843" s="129"/>
      <c r="V843" s="128"/>
      <c r="W843" s="128"/>
      <c r="X843" s="128"/>
      <c r="Y843" s="128"/>
      <c r="Z843" s="128"/>
      <c r="AA843" s="128"/>
    </row>
    <row r="844">
      <c r="A844" s="128"/>
      <c r="B844" s="128"/>
      <c r="C844" s="128"/>
      <c r="D844" s="128"/>
      <c r="E844" s="128"/>
      <c r="F844" s="128"/>
      <c r="G844" s="212"/>
      <c r="H844" s="128"/>
      <c r="I844" s="128"/>
      <c r="J844" s="128"/>
      <c r="K844" s="128"/>
      <c r="L844" s="128"/>
      <c r="M844" s="128"/>
      <c r="N844" s="128"/>
      <c r="O844" s="128"/>
      <c r="P844" s="128"/>
      <c r="Q844" s="128"/>
      <c r="R844" s="128"/>
      <c r="S844" s="128"/>
      <c r="T844" s="128"/>
      <c r="U844" s="129"/>
      <c r="V844" s="128"/>
      <c r="W844" s="128"/>
      <c r="X844" s="128"/>
      <c r="Y844" s="128"/>
      <c r="Z844" s="128"/>
      <c r="AA844" s="128"/>
    </row>
    <row r="845">
      <c r="A845" s="128"/>
      <c r="B845" s="128"/>
      <c r="C845" s="128"/>
      <c r="D845" s="128"/>
      <c r="E845" s="128"/>
      <c r="F845" s="128"/>
      <c r="G845" s="212"/>
      <c r="H845" s="128"/>
      <c r="I845" s="128"/>
      <c r="J845" s="128"/>
      <c r="K845" s="128"/>
      <c r="L845" s="128"/>
      <c r="M845" s="128"/>
      <c r="N845" s="128"/>
      <c r="O845" s="128"/>
      <c r="P845" s="128"/>
      <c r="Q845" s="128"/>
      <c r="R845" s="128"/>
      <c r="S845" s="128"/>
      <c r="T845" s="128"/>
      <c r="U845" s="129"/>
      <c r="V845" s="128"/>
      <c r="W845" s="128"/>
      <c r="X845" s="128"/>
      <c r="Y845" s="128"/>
      <c r="Z845" s="128"/>
      <c r="AA845" s="128"/>
    </row>
    <row r="846">
      <c r="A846" s="128"/>
      <c r="B846" s="128"/>
      <c r="C846" s="128"/>
      <c r="D846" s="128"/>
      <c r="E846" s="128"/>
      <c r="F846" s="128"/>
      <c r="G846" s="212"/>
      <c r="H846" s="128"/>
      <c r="I846" s="128"/>
      <c r="J846" s="128"/>
      <c r="K846" s="128"/>
      <c r="L846" s="128"/>
      <c r="M846" s="128"/>
      <c r="N846" s="128"/>
      <c r="O846" s="128"/>
      <c r="P846" s="128"/>
      <c r="Q846" s="128"/>
      <c r="R846" s="128"/>
      <c r="S846" s="128"/>
      <c r="T846" s="128"/>
      <c r="U846" s="129"/>
      <c r="V846" s="128"/>
      <c r="W846" s="128"/>
      <c r="X846" s="128"/>
      <c r="Y846" s="128"/>
      <c r="Z846" s="128"/>
      <c r="AA846" s="128"/>
    </row>
    <row r="847">
      <c r="A847" s="128"/>
      <c r="B847" s="128"/>
      <c r="C847" s="128"/>
      <c r="D847" s="128"/>
      <c r="E847" s="128"/>
      <c r="F847" s="128"/>
      <c r="G847" s="212"/>
      <c r="H847" s="128"/>
      <c r="I847" s="128"/>
      <c r="J847" s="128"/>
      <c r="K847" s="128"/>
      <c r="L847" s="128"/>
      <c r="M847" s="128"/>
      <c r="N847" s="128"/>
      <c r="O847" s="128"/>
      <c r="P847" s="128"/>
      <c r="Q847" s="128"/>
      <c r="R847" s="128"/>
      <c r="S847" s="128"/>
      <c r="T847" s="128"/>
      <c r="U847" s="129"/>
      <c r="V847" s="128"/>
      <c r="W847" s="128"/>
      <c r="X847" s="128"/>
      <c r="Y847" s="128"/>
      <c r="Z847" s="128"/>
      <c r="AA847" s="128"/>
    </row>
    <row r="848">
      <c r="A848" s="128"/>
      <c r="B848" s="128"/>
      <c r="C848" s="128"/>
      <c r="D848" s="128"/>
      <c r="E848" s="128"/>
      <c r="F848" s="128"/>
      <c r="G848" s="212"/>
      <c r="H848" s="128"/>
      <c r="I848" s="128"/>
      <c r="J848" s="128"/>
      <c r="K848" s="128"/>
      <c r="L848" s="128"/>
      <c r="M848" s="128"/>
      <c r="N848" s="128"/>
      <c r="O848" s="128"/>
      <c r="P848" s="128"/>
      <c r="Q848" s="128"/>
      <c r="R848" s="128"/>
      <c r="S848" s="128"/>
      <c r="T848" s="128"/>
      <c r="U848" s="129"/>
      <c r="V848" s="128"/>
      <c r="W848" s="128"/>
      <c r="X848" s="128"/>
      <c r="Y848" s="128"/>
      <c r="Z848" s="128"/>
      <c r="AA848" s="128"/>
    </row>
    <row r="849">
      <c r="A849" s="128"/>
      <c r="B849" s="128"/>
      <c r="C849" s="128"/>
      <c r="D849" s="128"/>
      <c r="E849" s="128"/>
      <c r="F849" s="128"/>
      <c r="G849" s="212"/>
      <c r="H849" s="128"/>
      <c r="I849" s="128"/>
      <c r="J849" s="128"/>
      <c r="K849" s="128"/>
      <c r="L849" s="128"/>
      <c r="M849" s="128"/>
      <c r="N849" s="128"/>
      <c r="O849" s="128"/>
      <c r="P849" s="128"/>
      <c r="Q849" s="128"/>
      <c r="R849" s="128"/>
      <c r="S849" s="128"/>
      <c r="T849" s="128"/>
      <c r="U849" s="129"/>
      <c r="V849" s="128"/>
      <c r="W849" s="128"/>
      <c r="X849" s="128"/>
      <c r="Y849" s="128"/>
      <c r="Z849" s="128"/>
      <c r="AA849" s="128"/>
    </row>
    <row r="850">
      <c r="A850" s="128"/>
      <c r="B850" s="128"/>
      <c r="C850" s="128"/>
      <c r="D850" s="128"/>
      <c r="E850" s="128"/>
      <c r="F850" s="128"/>
      <c r="G850" s="212"/>
      <c r="H850" s="128"/>
      <c r="I850" s="128"/>
      <c r="J850" s="128"/>
      <c r="K850" s="128"/>
      <c r="L850" s="128"/>
      <c r="M850" s="128"/>
      <c r="N850" s="128"/>
      <c r="O850" s="128"/>
      <c r="P850" s="128"/>
      <c r="Q850" s="128"/>
      <c r="R850" s="128"/>
      <c r="S850" s="128"/>
      <c r="T850" s="128"/>
      <c r="U850" s="129"/>
      <c r="V850" s="128"/>
      <c r="W850" s="128"/>
      <c r="X850" s="128"/>
      <c r="Y850" s="128"/>
      <c r="Z850" s="128"/>
      <c r="AA850" s="128"/>
    </row>
    <row r="851">
      <c r="A851" s="128"/>
      <c r="B851" s="128"/>
      <c r="C851" s="128"/>
      <c r="D851" s="128"/>
      <c r="E851" s="128"/>
      <c r="F851" s="128"/>
      <c r="G851" s="212"/>
      <c r="H851" s="128"/>
      <c r="I851" s="128"/>
      <c r="J851" s="128"/>
      <c r="K851" s="128"/>
      <c r="L851" s="128"/>
      <c r="M851" s="128"/>
      <c r="N851" s="128"/>
      <c r="O851" s="128"/>
      <c r="P851" s="128"/>
      <c r="Q851" s="128"/>
      <c r="R851" s="128"/>
      <c r="S851" s="128"/>
      <c r="T851" s="128"/>
      <c r="U851" s="129"/>
      <c r="V851" s="128"/>
      <c r="W851" s="128"/>
      <c r="X851" s="128"/>
      <c r="Y851" s="128"/>
      <c r="Z851" s="128"/>
      <c r="AA851" s="128"/>
    </row>
    <row r="852">
      <c r="A852" s="128"/>
      <c r="B852" s="128"/>
      <c r="C852" s="128"/>
      <c r="D852" s="128"/>
      <c r="E852" s="128"/>
      <c r="F852" s="128"/>
      <c r="G852" s="212"/>
      <c r="H852" s="128"/>
      <c r="I852" s="128"/>
      <c r="J852" s="128"/>
      <c r="K852" s="128"/>
      <c r="L852" s="128"/>
      <c r="M852" s="128"/>
      <c r="N852" s="128"/>
      <c r="O852" s="128"/>
      <c r="P852" s="128"/>
      <c r="Q852" s="128"/>
      <c r="R852" s="128"/>
      <c r="S852" s="128"/>
      <c r="T852" s="128"/>
      <c r="U852" s="129"/>
      <c r="V852" s="128"/>
      <c r="W852" s="128"/>
      <c r="X852" s="128"/>
      <c r="Y852" s="128"/>
      <c r="Z852" s="128"/>
      <c r="AA852" s="128"/>
    </row>
    <row r="853">
      <c r="A853" s="128"/>
      <c r="B853" s="128"/>
      <c r="C853" s="128"/>
      <c r="D853" s="128"/>
      <c r="E853" s="128"/>
      <c r="F853" s="128"/>
      <c r="G853" s="212"/>
      <c r="H853" s="128"/>
      <c r="I853" s="128"/>
      <c r="J853" s="128"/>
      <c r="K853" s="128"/>
      <c r="L853" s="128"/>
      <c r="M853" s="128"/>
      <c r="N853" s="128"/>
      <c r="O853" s="128"/>
      <c r="P853" s="128"/>
      <c r="Q853" s="128"/>
      <c r="R853" s="128"/>
      <c r="S853" s="128"/>
      <c r="T853" s="128"/>
      <c r="U853" s="129"/>
      <c r="V853" s="128"/>
      <c r="W853" s="128"/>
      <c r="X853" s="128"/>
      <c r="Y853" s="128"/>
      <c r="Z853" s="128"/>
      <c r="AA853" s="128"/>
    </row>
    <row r="854">
      <c r="A854" s="128"/>
      <c r="B854" s="128"/>
      <c r="C854" s="128"/>
      <c r="D854" s="128"/>
      <c r="E854" s="128"/>
      <c r="F854" s="128"/>
      <c r="G854" s="212"/>
      <c r="H854" s="128"/>
      <c r="I854" s="128"/>
      <c r="J854" s="128"/>
      <c r="K854" s="128"/>
      <c r="L854" s="128"/>
      <c r="M854" s="128"/>
      <c r="N854" s="128"/>
      <c r="O854" s="128"/>
      <c r="P854" s="128"/>
      <c r="Q854" s="128"/>
      <c r="R854" s="128"/>
      <c r="S854" s="128"/>
      <c r="T854" s="128"/>
      <c r="U854" s="129"/>
      <c r="V854" s="128"/>
      <c r="W854" s="128"/>
      <c r="X854" s="128"/>
      <c r="Y854" s="128"/>
      <c r="Z854" s="128"/>
      <c r="AA854" s="128"/>
    </row>
    <row r="855">
      <c r="A855" s="128"/>
      <c r="B855" s="128"/>
      <c r="C855" s="128"/>
      <c r="D855" s="128"/>
      <c r="E855" s="128"/>
      <c r="F855" s="128"/>
      <c r="G855" s="212"/>
      <c r="H855" s="128"/>
      <c r="I855" s="128"/>
      <c r="J855" s="128"/>
      <c r="K855" s="128"/>
      <c r="L855" s="128"/>
      <c r="M855" s="128"/>
      <c r="N855" s="128"/>
      <c r="O855" s="128"/>
      <c r="P855" s="128"/>
      <c r="Q855" s="128"/>
      <c r="R855" s="128"/>
      <c r="S855" s="128"/>
      <c r="T855" s="128"/>
      <c r="U855" s="129"/>
      <c r="V855" s="128"/>
      <c r="W855" s="128"/>
      <c r="X855" s="128"/>
      <c r="Y855" s="128"/>
      <c r="Z855" s="128"/>
      <c r="AA855" s="128"/>
    </row>
    <row r="856">
      <c r="A856" s="128"/>
      <c r="B856" s="128"/>
      <c r="C856" s="128"/>
      <c r="D856" s="128"/>
      <c r="E856" s="128"/>
      <c r="F856" s="128"/>
      <c r="G856" s="212"/>
      <c r="H856" s="128"/>
      <c r="I856" s="128"/>
      <c r="J856" s="128"/>
      <c r="K856" s="128"/>
      <c r="L856" s="128"/>
      <c r="M856" s="128"/>
      <c r="N856" s="128"/>
      <c r="O856" s="128"/>
      <c r="P856" s="128"/>
      <c r="Q856" s="128"/>
      <c r="R856" s="128"/>
      <c r="S856" s="128"/>
      <c r="T856" s="128"/>
      <c r="U856" s="129"/>
      <c r="V856" s="128"/>
      <c r="W856" s="128"/>
      <c r="X856" s="128"/>
      <c r="Y856" s="128"/>
      <c r="Z856" s="128"/>
      <c r="AA856" s="128"/>
    </row>
    <row r="857">
      <c r="A857" s="128"/>
      <c r="B857" s="128"/>
      <c r="C857" s="128"/>
      <c r="D857" s="128"/>
      <c r="E857" s="128"/>
      <c r="F857" s="128"/>
      <c r="G857" s="212"/>
      <c r="H857" s="128"/>
      <c r="I857" s="128"/>
      <c r="J857" s="128"/>
      <c r="K857" s="128"/>
      <c r="L857" s="128"/>
      <c r="M857" s="128"/>
      <c r="N857" s="128"/>
      <c r="O857" s="128"/>
      <c r="P857" s="128"/>
      <c r="Q857" s="128"/>
      <c r="R857" s="128"/>
      <c r="S857" s="128"/>
      <c r="T857" s="128"/>
      <c r="U857" s="129"/>
      <c r="V857" s="128"/>
      <c r="W857" s="128"/>
      <c r="X857" s="128"/>
      <c r="Y857" s="128"/>
      <c r="Z857" s="128"/>
      <c r="AA857" s="128"/>
    </row>
    <row r="858">
      <c r="A858" s="128"/>
      <c r="B858" s="128"/>
      <c r="C858" s="128"/>
      <c r="D858" s="128"/>
      <c r="E858" s="128"/>
      <c r="F858" s="128"/>
      <c r="G858" s="212"/>
      <c r="H858" s="128"/>
      <c r="I858" s="128"/>
      <c r="J858" s="128"/>
      <c r="K858" s="128"/>
      <c r="L858" s="128"/>
      <c r="M858" s="128"/>
      <c r="N858" s="128"/>
      <c r="O858" s="128"/>
      <c r="P858" s="128"/>
      <c r="Q858" s="128"/>
      <c r="R858" s="128"/>
      <c r="S858" s="128"/>
      <c r="T858" s="128"/>
      <c r="U858" s="129"/>
      <c r="V858" s="128"/>
      <c r="W858" s="128"/>
      <c r="X858" s="128"/>
      <c r="Y858" s="128"/>
      <c r="Z858" s="128"/>
      <c r="AA858" s="128"/>
    </row>
    <row r="859">
      <c r="A859" s="128"/>
      <c r="B859" s="128"/>
      <c r="C859" s="128"/>
      <c r="D859" s="128"/>
      <c r="E859" s="128"/>
      <c r="F859" s="128"/>
      <c r="G859" s="212"/>
      <c r="H859" s="128"/>
      <c r="I859" s="128"/>
      <c r="J859" s="128"/>
      <c r="K859" s="128"/>
      <c r="L859" s="128"/>
      <c r="M859" s="128"/>
      <c r="N859" s="128"/>
      <c r="O859" s="128"/>
      <c r="P859" s="128"/>
      <c r="Q859" s="128"/>
      <c r="R859" s="128"/>
      <c r="S859" s="128"/>
      <c r="T859" s="128"/>
      <c r="U859" s="129"/>
      <c r="V859" s="128"/>
      <c r="W859" s="128"/>
      <c r="X859" s="128"/>
      <c r="Y859" s="128"/>
      <c r="Z859" s="128"/>
      <c r="AA859" s="128"/>
    </row>
    <row r="860">
      <c r="A860" s="128"/>
      <c r="B860" s="128"/>
      <c r="C860" s="128"/>
      <c r="D860" s="128"/>
      <c r="E860" s="128"/>
      <c r="F860" s="128"/>
      <c r="G860" s="212"/>
      <c r="H860" s="128"/>
      <c r="I860" s="128"/>
      <c r="J860" s="128"/>
      <c r="K860" s="128"/>
      <c r="L860" s="128"/>
      <c r="M860" s="128"/>
      <c r="N860" s="128"/>
      <c r="O860" s="128"/>
      <c r="P860" s="128"/>
      <c r="Q860" s="128"/>
      <c r="R860" s="128"/>
      <c r="S860" s="128"/>
      <c r="T860" s="128"/>
      <c r="U860" s="129"/>
      <c r="V860" s="128"/>
      <c r="W860" s="128"/>
      <c r="X860" s="128"/>
      <c r="Y860" s="128"/>
      <c r="Z860" s="128"/>
      <c r="AA860" s="128"/>
    </row>
    <row r="861">
      <c r="A861" s="128"/>
      <c r="B861" s="128"/>
      <c r="C861" s="128"/>
      <c r="D861" s="128"/>
      <c r="E861" s="128"/>
      <c r="F861" s="128"/>
      <c r="G861" s="212"/>
      <c r="H861" s="128"/>
      <c r="I861" s="128"/>
      <c r="J861" s="128"/>
      <c r="K861" s="128"/>
      <c r="L861" s="128"/>
      <c r="M861" s="128"/>
      <c r="N861" s="128"/>
      <c r="O861" s="128"/>
      <c r="P861" s="128"/>
      <c r="Q861" s="128"/>
      <c r="R861" s="128"/>
      <c r="S861" s="128"/>
      <c r="T861" s="128"/>
      <c r="U861" s="129"/>
      <c r="V861" s="128"/>
      <c r="W861" s="128"/>
      <c r="X861" s="128"/>
      <c r="Y861" s="128"/>
      <c r="Z861" s="128"/>
      <c r="AA861" s="128"/>
    </row>
    <row r="862">
      <c r="A862" s="128"/>
      <c r="B862" s="128"/>
      <c r="C862" s="128"/>
      <c r="D862" s="128"/>
      <c r="E862" s="128"/>
      <c r="F862" s="128"/>
      <c r="G862" s="212"/>
      <c r="H862" s="128"/>
      <c r="I862" s="128"/>
      <c r="J862" s="128"/>
      <c r="K862" s="128"/>
      <c r="L862" s="128"/>
      <c r="M862" s="128"/>
      <c r="N862" s="128"/>
      <c r="O862" s="128"/>
      <c r="P862" s="128"/>
      <c r="Q862" s="128"/>
      <c r="R862" s="128"/>
      <c r="S862" s="128"/>
      <c r="T862" s="128"/>
      <c r="U862" s="129"/>
      <c r="V862" s="128"/>
      <c r="W862" s="128"/>
      <c r="X862" s="128"/>
      <c r="Y862" s="128"/>
      <c r="Z862" s="128"/>
      <c r="AA862" s="128"/>
    </row>
    <row r="863">
      <c r="A863" s="128"/>
      <c r="B863" s="128"/>
      <c r="C863" s="128"/>
      <c r="D863" s="128"/>
      <c r="E863" s="128"/>
      <c r="F863" s="128"/>
      <c r="G863" s="212"/>
      <c r="H863" s="128"/>
      <c r="I863" s="128"/>
      <c r="J863" s="128"/>
      <c r="K863" s="128"/>
      <c r="L863" s="128"/>
      <c r="M863" s="128"/>
      <c r="N863" s="128"/>
      <c r="O863" s="128"/>
      <c r="P863" s="128"/>
      <c r="Q863" s="128"/>
      <c r="R863" s="128"/>
      <c r="S863" s="128"/>
      <c r="T863" s="128"/>
      <c r="U863" s="129"/>
      <c r="V863" s="128"/>
      <c r="W863" s="128"/>
      <c r="X863" s="128"/>
      <c r="Y863" s="128"/>
      <c r="Z863" s="128"/>
      <c r="AA863" s="128"/>
    </row>
    <row r="864">
      <c r="A864" s="128"/>
      <c r="B864" s="128"/>
      <c r="C864" s="128"/>
      <c r="D864" s="128"/>
      <c r="E864" s="128"/>
      <c r="F864" s="128"/>
      <c r="G864" s="212"/>
      <c r="H864" s="128"/>
      <c r="I864" s="128"/>
      <c r="J864" s="128"/>
      <c r="K864" s="128"/>
      <c r="L864" s="128"/>
      <c r="M864" s="128"/>
      <c r="N864" s="128"/>
      <c r="O864" s="128"/>
      <c r="P864" s="128"/>
      <c r="Q864" s="128"/>
      <c r="R864" s="128"/>
      <c r="S864" s="128"/>
      <c r="T864" s="128"/>
      <c r="U864" s="129"/>
      <c r="V864" s="128"/>
      <c r="W864" s="128"/>
      <c r="X864" s="128"/>
      <c r="Y864" s="128"/>
      <c r="Z864" s="128"/>
      <c r="AA864" s="128"/>
    </row>
    <row r="865">
      <c r="A865" s="128"/>
      <c r="B865" s="128"/>
      <c r="C865" s="128"/>
      <c r="D865" s="128"/>
      <c r="E865" s="128"/>
      <c r="F865" s="128"/>
      <c r="G865" s="212"/>
      <c r="H865" s="128"/>
      <c r="I865" s="128"/>
      <c r="J865" s="128"/>
      <c r="K865" s="128"/>
      <c r="L865" s="128"/>
      <c r="M865" s="128"/>
      <c r="N865" s="128"/>
      <c r="O865" s="128"/>
      <c r="P865" s="128"/>
      <c r="Q865" s="128"/>
      <c r="R865" s="128"/>
      <c r="S865" s="128"/>
      <c r="T865" s="128"/>
      <c r="U865" s="129"/>
      <c r="V865" s="128"/>
      <c r="W865" s="128"/>
      <c r="X865" s="128"/>
      <c r="Y865" s="128"/>
      <c r="Z865" s="128"/>
      <c r="AA865" s="128"/>
    </row>
    <row r="866">
      <c r="A866" s="128"/>
      <c r="B866" s="128"/>
      <c r="C866" s="128"/>
      <c r="D866" s="128"/>
      <c r="E866" s="128"/>
      <c r="F866" s="128"/>
      <c r="G866" s="212"/>
      <c r="H866" s="128"/>
      <c r="I866" s="128"/>
      <c r="J866" s="128"/>
      <c r="K866" s="128"/>
      <c r="L866" s="128"/>
      <c r="M866" s="128"/>
      <c r="N866" s="128"/>
      <c r="O866" s="128"/>
      <c r="P866" s="128"/>
      <c r="Q866" s="128"/>
      <c r="R866" s="128"/>
      <c r="S866" s="128"/>
      <c r="T866" s="128"/>
      <c r="U866" s="129"/>
      <c r="V866" s="128"/>
      <c r="W866" s="128"/>
      <c r="X866" s="128"/>
      <c r="Y866" s="128"/>
      <c r="Z866" s="128"/>
      <c r="AA866" s="128"/>
    </row>
    <row r="867">
      <c r="A867" s="128"/>
      <c r="B867" s="128"/>
      <c r="C867" s="128"/>
      <c r="D867" s="128"/>
      <c r="E867" s="128"/>
      <c r="F867" s="128"/>
      <c r="G867" s="212"/>
      <c r="H867" s="128"/>
      <c r="I867" s="128"/>
      <c r="J867" s="128"/>
      <c r="K867" s="128"/>
      <c r="L867" s="128"/>
      <c r="M867" s="128"/>
      <c r="N867" s="128"/>
      <c r="O867" s="128"/>
      <c r="P867" s="128"/>
      <c r="Q867" s="128"/>
      <c r="R867" s="128"/>
      <c r="S867" s="128"/>
      <c r="T867" s="128"/>
      <c r="U867" s="129"/>
      <c r="V867" s="128"/>
      <c r="W867" s="128"/>
      <c r="X867" s="128"/>
      <c r="Y867" s="128"/>
      <c r="Z867" s="128"/>
      <c r="AA867" s="128"/>
    </row>
    <row r="868">
      <c r="A868" s="128"/>
      <c r="B868" s="128"/>
      <c r="C868" s="128"/>
      <c r="D868" s="128"/>
      <c r="E868" s="128"/>
      <c r="F868" s="128"/>
      <c r="G868" s="212"/>
      <c r="H868" s="128"/>
      <c r="I868" s="128"/>
      <c r="J868" s="128"/>
      <c r="K868" s="128"/>
      <c r="L868" s="128"/>
      <c r="M868" s="128"/>
      <c r="N868" s="128"/>
      <c r="O868" s="128"/>
      <c r="P868" s="128"/>
      <c r="Q868" s="128"/>
      <c r="R868" s="128"/>
      <c r="S868" s="128"/>
      <c r="T868" s="128"/>
      <c r="U868" s="129"/>
      <c r="V868" s="128"/>
      <c r="W868" s="128"/>
      <c r="X868" s="128"/>
      <c r="Y868" s="128"/>
      <c r="Z868" s="128"/>
      <c r="AA868" s="128"/>
    </row>
    <row r="869">
      <c r="A869" s="128"/>
      <c r="B869" s="128"/>
      <c r="C869" s="128"/>
      <c r="D869" s="128"/>
      <c r="E869" s="128"/>
      <c r="F869" s="128"/>
      <c r="G869" s="212"/>
      <c r="H869" s="128"/>
      <c r="I869" s="128"/>
      <c r="J869" s="128"/>
      <c r="K869" s="128"/>
      <c r="L869" s="128"/>
      <c r="M869" s="128"/>
      <c r="N869" s="128"/>
      <c r="O869" s="128"/>
      <c r="P869" s="128"/>
      <c r="Q869" s="128"/>
      <c r="R869" s="128"/>
      <c r="S869" s="128"/>
      <c r="T869" s="128"/>
      <c r="U869" s="129"/>
      <c r="V869" s="128"/>
      <c r="W869" s="128"/>
      <c r="X869" s="128"/>
      <c r="Y869" s="128"/>
      <c r="Z869" s="128"/>
      <c r="AA869" s="128"/>
    </row>
    <row r="870">
      <c r="A870" s="128"/>
      <c r="B870" s="128"/>
      <c r="C870" s="128"/>
      <c r="D870" s="128"/>
      <c r="E870" s="128"/>
      <c r="F870" s="128"/>
      <c r="G870" s="212"/>
      <c r="H870" s="128"/>
      <c r="I870" s="128"/>
      <c r="J870" s="128"/>
      <c r="K870" s="128"/>
      <c r="L870" s="128"/>
      <c r="M870" s="128"/>
      <c r="N870" s="128"/>
      <c r="O870" s="128"/>
      <c r="P870" s="128"/>
      <c r="Q870" s="128"/>
      <c r="R870" s="128"/>
      <c r="S870" s="128"/>
      <c r="T870" s="128"/>
      <c r="U870" s="129"/>
      <c r="V870" s="128"/>
      <c r="W870" s="128"/>
      <c r="X870" s="128"/>
      <c r="Y870" s="128"/>
      <c r="Z870" s="128"/>
      <c r="AA870" s="128"/>
    </row>
    <row r="871">
      <c r="A871" s="128"/>
      <c r="B871" s="128"/>
      <c r="C871" s="128"/>
      <c r="D871" s="128"/>
      <c r="E871" s="128"/>
      <c r="F871" s="128"/>
      <c r="G871" s="212"/>
      <c r="H871" s="128"/>
      <c r="I871" s="128"/>
      <c r="J871" s="128"/>
      <c r="K871" s="128"/>
      <c r="L871" s="128"/>
      <c r="M871" s="128"/>
      <c r="N871" s="128"/>
      <c r="O871" s="128"/>
      <c r="P871" s="128"/>
      <c r="Q871" s="128"/>
      <c r="R871" s="128"/>
      <c r="S871" s="128"/>
      <c r="T871" s="128"/>
      <c r="U871" s="129"/>
      <c r="V871" s="128"/>
      <c r="W871" s="128"/>
      <c r="X871" s="128"/>
      <c r="Y871" s="128"/>
      <c r="Z871" s="128"/>
      <c r="AA871" s="128"/>
    </row>
    <row r="872">
      <c r="A872" s="128"/>
      <c r="B872" s="128"/>
      <c r="C872" s="128"/>
      <c r="D872" s="128"/>
      <c r="E872" s="128"/>
      <c r="F872" s="128"/>
      <c r="G872" s="212"/>
      <c r="H872" s="128"/>
      <c r="I872" s="128"/>
      <c r="J872" s="128"/>
      <c r="K872" s="128"/>
      <c r="L872" s="128"/>
      <c r="M872" s="128"/>
      <c r="N872" s="128"/>
      <c r="O872" s="128"/>
      <c r="P872" s="128"/>
      <c r="Q872" s="128"/>
      <c r="R872" s="128"/>
      <c r="S872" s="128"/>
      <c r="T872" s="128"/>
      <c r="U872" s="129"/>
      <c r="V872" s="128"/>
      <c r="W872" s="128"/>
      <c r="X872" s="128"/>
      <c r="Y872" s="128"/>
      <c r="Z872" s="128"/>
      <c r="AA872" s="128"/>
    </row>
    <row r="873">
      <c r="A873" s="128"/>
      <c r="B873" s="128"/>
      <c r="C873" s="128"/>
      <c r="D873" s="128"/>
      <c r="E873" s="128"/>
      <c r="F873" s="128"/>
      <c r="G873" s="212"/>
      <c r="H873" s="128"/>
      <c r="I873" s="128"/>
      <c r="J873" s="128"/>
      <c r="K873" s="128"/>
      <c r="L873" s="128"/>
      <c r="M873" s="128"/>
      <c r="N873" s="128"/>
      <c r="O873" s="128"/>
      <c r="P873" s="128"/>
      <c r="Q873" s="128"/>
      <c r="R873" s="128"/>
      <c r="S873" s="128"/>
      <c r="T873" s="128"/>
      <c r="U873" s="129"/>
      <c r="V873" s="128"/>
      <c r="W873" s="128"/>
      <c r="X873" s="128"/>
      <c r="Y873" s="128"/>
      <c r="Z873" s="128"/>
      <c r="AA873" s="128"/>
    </row>
    <row r="874">
      <c r="A874" s="128"/>
      <c r="B874" s="128"/>
      <c r="C874" s="128"/>
      <c r="D874" s="128"/>
      <c r="E874" s="128"/>
      <c r="F874" s="128"/>
      <c r="G874" s="212"/>
      <c r="H874" s="128"/>
      <c r="I874" s="128"/>
      <c r="J874" s="128"/>
      <c r="K874" s="128"/>
      <c r="L874" s="128"/>
      <c r="M874" s="128"/>
      <c r="N874" s="128"/>
      <c r="O874" s="128"/>
      <c r="P874" s="128"/>
      <c r="Q874" s="128"/>
      <c r="R874" s="128"/>
      <c r="S874" s="128"/>
      <c r="T874" s="128"/>
      <c r="U874" s="129"/>
      <c r="V874" s="128"/>
      <c r="W874" s="128"/>
      <c r="X874" s="128"/>
      <c r="Y874" s="128"/>
      <c r="Z874" s="128"/>
      <c r="AA874" s="128"/>
    </row>
    <row r="875">
      <c r="A875" s="128"/>
      <c r="B875" s="128"/>
      <c r="C875" s="128"/>
      <c r="D875" s="128"/>
      <c r="E875" s="128"/>
      <c r="F875" s="128"/>
      <c r="G875" s="212"/>
      <c r="H875" s="128"/>
      <c r="I875" s="128"/>
      <c r="J875" s="128"/>
      <c r="K875" s="128"/>
      <c r="L875" s="128"/>
      <c r="M875" s="128"/>
      <c r="N875" s="128"/>
      <c r="O875" s="128"/>
      <c r="P875" s="128"/>
      <c r="Q875" s="128"/>
      <c r="R875" s="128"/>
      <c r="S875" s="128"/>
      <c r="T875" s="128"/>
      <c r="U875" s="129"/>
      <c r="V875" s="128"/>
      <c r="W875" s="128"/>
      <c r="X875" s="128"/>
      <c r="Y875" s="128"/>
      <c r="Z875" s="128"/>
      <c r="AA875" s="128"/>
    </row>
    <row r="876">
      <c r="A876" s="128"/>
      <c r="B876" s="128"/>
      <c r="C876" s="128"/>
      <c r="D876" s="128"/>
      <c r="E876" s="128"/>
      <c r="F876" s="128"/>
      <c r="G876" s="212"/>
      <c r="H876" s="128"/>
      <c r="I876" s="128"/>
      <c r="J876" s="128"/>
      <c r="K876" s="128"/>
      <c r="L876" s="128"/>
      <c r="M876" s="128"/>
      <c r="N876" s="128"/>
      <c r="O876" s="128"/>
      <c r="P876" s="128"/>
      <c r="Q876" s="128"/>
      <c r="R876" s="128"/>
      <c r="S876" s="128"/>
      <c r="T876" s="128"/>
      <c r="U876" s="129"/>
      <c r="V876" s="128"/>
      <c r="W876" s="128"/>
      <c r="X876" s="128"/>
      <c r="Y876" s="128"/>
      <c r="Z876" s="128"/>
      <c r="AA876" s="128"/>
    </row>
    <row r="877">
      <c r="A877" s="128"/>
      <c r="B877" s="128"/>
      <c r="C877" s="128"/>
      <c r="D877" s="128"/>
      <c r="E877" s="128"/>
      <c r="F877" s="128"/>
      <c r="G877" s="212"/>
      <c r="H877" s="128"/>
      <c r="I877" s="128"/>
      <c r="J877" s="128"/>
      <c r="K877" s="128"/>
      <c r="L877" s="128"/>
      <c r="M877" s="128"/>
      <c r="N877" s="128"/>
      <c r="O877" s="128"/>
      <c r="P877" s="128"/>
      <c r="Q877" s="128"/>
      <c r="R877" s="128"/>
      <c r="S877" s="128"/>
      <c r="T877" s="128"/>
      <c r="U877" s="129"/>
      <c r="V877" s="128"/>
      <c r="W877" s="128"/>
      <c r="X877" s="128"/>
      <c r="Y877" s="128"/>
      <c r="Z877" s="128"/>
      <c r="AA877" s="128"/>
    </row>
    <row r="878">
      <c r="A878" s="128"/>
      <c r="B878" s="128"/>
      <c r="C878" s="128"/>
      <c r="D878" s="128"/>
      <c r="E878" s="128"/>
      <c r="F878" s="128"/>
      <c r="G878" s="212"/>
      <c r="H878" s="128"/>
      <c r="I878" s="128"/>
      <c r="J878" s="128"/>
      <c r="K878" s="128"/>
      <c r="L878" s="128"/>
      <c r="M878" s="128"/>
      <c r="N878" s="128"/>
      <c r="O878" s="128"/>
      <c r="P878" s="128"/>
      <c r="Q878" s="128"/>
      <c r="R878" s="128"/>
      <c r="S878" s="128"/>
      <c r="T878" s="128"/>
      <c r="U878" s="129"/>
      <c r="V878" s="128"/>
      <c r="W878" s="128"/>
      <c r="X878" s="128"/>
      <c r="Y878" s="128"/>
      <c r="Z878" s="128"/>
      <c r="AA878" s="128"/>
    </row>
    <row r="879">
      <c r="A879" s="128"/>
      <c r="B879" s="128"/>
      <c r="C879" s="128"/>
      <c r="D879" s="128"/>
      <c r="E879" s="128"/>
      <c r="F879" s="128"/>
      <c r="G879" s="212"/>
      <c r="H879" s="128"/>
      <c r="I879" s="128"/>
      <c r="J879" s="128"/>
      <c r="K879" s="128"/>
      <c r="L879" s="128"/>
      <c r="M879" s="128"/>
      <c r="N879" s="128"/>
      <c r="O879" s="128"/>
      <c r="P879" s="128"/>
      <c r="Q879" s="128"/>
      <c r="R879" s="128"/>
      <c r="S879" s="128"/>
      <c r="T879" s="128"/>
      <c r="U879" s="129"/>
      <c r="V879" s="128"/>
      <c r="W879" s="128"/>
      <c r="X879" s="128"/>
      <c r="Y879" s="128"/>
      <c r="Z879" s="128"/>
      <c r="AA879" s="128"/>
    </row>
    <row r="880">
      <c r="A880" s="128"/>
      <c r="B880" s="128"/>
      <c r="C880" s="128"/>
      <c r="D880" s="128"/>
      <c r="E880" s="128"/>
      <c r="F880" s="128"/>
      <c r="G880" s="212"/>
      <c r="H880" s="128"/>
      <c r="I880" s="128"/>
      <c r="J880" s="128"/>
      <c r="K880" s="128"/>
      <c r="L880" s="128"/>
      <c r="M880" s="128"/>
      <c r="N880" s="128"/>
      <c r="O880" s="128"/>
      <c r="P880" s="128"/>
      <c r="Q880" s="128"/>
      <c r="R880" s="128"/>
      <c r="S880" s="128"/>
      <c r="T880" s="128"/>
      <c r="U880" s="129"/>
      <c r="V880" s="128"/>
      <c r="W880" s="128"/>
      <c r="X880" s="128"/>
      <c r="Y880" s="128"/>
      <c r="Z880" s="128"/>
      <c r="AA880" s="128"/>
    </row>
    <row r="881">
      <c r="A881" s="128"/>
      <c r="B881" s="128"/>
      <c r="C881" s="128"/>
      <c r="D881" s="128"/>
      <c r="E881" s="128"/>
      <c r="F881" s="128"/>
      <c r="G881" s="212"/>
      <c r="H881" s="128"/>
      <c r="I881" s="128"/>
      <c r="J881" s="128"/>
      <c r="K881" s="128"/>
      <c r="L881" s="128"/>
      <c r="M881" s="128"/>
      <c r="N881" s="128"/>
      <c r="O881" s="128"/>
      <c r="P881" s="128"/>
      <c r="Q881" s="128"/>
      <c r="R881" s="128"/>
      <c r="S881" s="128"/>
      <c r="T881" s="128"/>
      <c r="U881" s="129"/>
      <c r="V881" s="128"/>
      <c r="W881" s="128"/>
      <c r="X881" s="128"/>
      <c r="Y881" s="128"/>
      <c r="Z881" s="128"/>
      <c r="AA881" s="128"/>
    </row>
    <row r="882">
      <c r="A882" s="128"/>
      <c r="B882" s="128"/>
      <c r="C882" s="128"/>
      <c r="D882" s="128"/>
      <c r="E882" s="128"/>
      <c r="F882" s="128"/>
      <c r="G882" s="212"/>
      <c r="H882" s="128"/>
      <c r="I882" s="128"/>
      <c r="J882" s="128"/>
      <c r="K882" s="128"/>
      <c r="L882" s="128"/>
      <c r="M882" s="128"/>
      <c r="N882" s="128"/>
      <c r="O882" s="128"/>
      <c r="P882" s="128"/>
      <c r="Q882" s="128"/>
      <c r="R882" s="128"/>
      <c r="S882" s="128"/>
      <c r="T882" s="128"/>
      <c r="U882" s="129"/>
      <c r="V882" s="128"/>
      <c r="W882" s="128"/>
      <c r="X882" s="128"/>
      <c r="Y882" s="128"/>
      <c r="Z882" s="128"/>
      <c r="AA882" s="128"/>
    </row>
    <row r="883">
      <c r="A883" s="128"/>
      <c r="B883" s="128"/>
      <c r="C883" s="128"/>
      <c r="D883" s="128"/>
      <c r="E883" s="128"/>
      <c r="F883" s="128"/>
      <c r="G883" s="212"/>
      <c r="H883" s="128"/>
      <c r="I883" s="128"/>
      <c r="J883" s="128"/>
      <c r="K883" s="128"/>
      <c r="L883" s="128"/>
      <c r="M883" s="128"/>
      <c r="N883" s="128"/>
      <c r="O883" s="128"/>
      <c r="P883" s="128"/>
      <c r="Q883" s="128"/>
      <c r="R883" s="128"/>
      <c r="S883" s="128"/>
      <c r="T883" s="128"/>
      <c r="U883" s="129"/>
      <c r="V883" s="128"/>
      <c r="W883" s="128"/>
      <c r="X883" s="128"/>
      <c r="Y883" s="128"/>
      <c r="Z883" s="128"/>
      <c r="AA883" s="128"/>
    </row>
    <row r="884">
      <c r="A884" s="128"/>
      <c r="B884" s="128"/>
      <c r="C884" s="128"/>
      <c r="D884" s="128"/>
      <c r="E884" s="128"/>
      <c r="F884" s="128"/>
      <c r="G884" s="212"/>
      <c r="H884" s="128"/>
      <c r="I884" s="128"/>
      <c r="J884" s="128"/>
      <c r="K884" s="128"/>
      <c r="L884" s="128"/>
      <c r="M884" s="128"/>
      <c r="N884" s="128"/>
      <c r="O884" s="128"/>
      <c r="P884" s="128"/>
      <c r="Q884" s="128"/>
      <c r="R884" s="128"/>
      <c r="S884" s="128"/>
      <c r="T884" s="128"/>
      <c r="U884" s="129"/>
      <c r="V884" s="128"/>
      <c r="W884" s="128"/>
      <c r="X884" s="128"/>
      <c r="Y884" s="128"/>
      <c r="Z884" s="128"/>
      <c r="AA884" s="128"/>
    </row>
    <row r="885">
      <c r="A885" s="128"/>
      <c r="B885" s="128"/>
      <c r="C885" s="128"/>
      <c r="D885" s="128"/>
      <c r="E885" s="128"/>
      <c r="F885" s="128"/>
      <c r="G885" s="212"/>
      <c r="H885" s="128"/>
      <c r="I885" s="128"/>
      <c r="J885" s="128"/>
      <c r="K885" s="128"/>
      <c r="L885" s="128"/>
      <c r="M885" s="128"/>
      <c r="N885" s="128"/>
      <c r="O885" s="128"/>
      <c r="P885" s="128"/>
      <c r="Q885" s="128"/>
      <c r="R885" s="128"/>
      <c r="S885" s="128"/>
      <c r="T885" s="128"/>
      <c r="U885" s="129"/>
      <c r="V885" s="128"/>
      <c r="W885" s="128"/>
      <c r="X885" s="128"/>
      <c r="Y885" s="128"/>
      <c r="Z885" s="128"/>
      <c r="AA885" s="128"/>
    </row>
    <row r="886">
      <c r="A886" s="128"/>
      <c r="B886" s="128"/>
      <c r="C886" s="128"/>
      <c r="D886" s="128"/>
      <c r="E886" s="128"/>
      <c r="F886" s="128"/>
      <c r="G886" s="212"/>
      <c r="H886" s="128"/>
      <c r="I886" s="128"/>
      <c r="J886" s="128"/>
      <c r="K886" s="128"/>
      <c r="L886" s="128"/>
      <c r="M886" s="128"/>
      <c r="N886" s="128"/>
      <c r="O886" s="128"/>
      <c r="P886" s="128"/>
      <c r="Q886" s="128"/>
      <c r="R886" s="128"/>
      <c r="S886" s="128"/>
      <c r="T886" s="128"/>
      <c r="U886" s="129"/>
      <c r="V886" s="128"/>
      <c r="W886" s="128"/>
      <c r="X886" s="128"/>
      <c r="Y886" s="128"/>
      <c r="Z886" s="128"/>
      <c r="AA886" s="128"/>
    </row>
    <row r="887">
      <c r="A887" s="128"/>
      <c r="B887" s="128"/>
      <c r="C887" s="128"/>
      <c r="D887" s="128"/>
      <c r="E887" s="128"/>
      <c r="F887" s="128"/>
      <c r="G887" s="212"/>
      <c r="H887" s="128"/>
      <c r="I887" s="128"/>
      <c r="J887" s="128"/>
      <c r="K887" s="128"/>
      <c r="L887" s="128"/>
      <c r="M887" s="128"/>
      <c r="N887" s="128"/>
      <c r="O887" s="128"/>
      <c r="P887" s="128"/>
      <c r="Q887" s="128"/>
      <c r="R887" s="128"/>
      <c r="S887" s="128"/>
      <c r="T887" s="128"/>
      <c r="U887" s="129"/>
      <c r="V887" s="128"/>
      <c r="W887" s="128"/>
      <c r="X887" s="128"/>
      <c r="Y887" s="128"/>
      <c r="Z887" s="128"/>
      <c r="AA887" s="128"/>
    </row>
    <row r="888">
      <c r="A888" s="128"/>
      <c r="B888" s="128"/>
      <c r="C888" s="128"/>
      <c r="D888" s="128"/>
      <c r="E888" s="128"/>
      <c r="F888" s="128"/>
      <c r="G888" s="212"/>
      <c r="H888" s="128"/>
      <c r="I888" s="128"/>
      <c r="J888" s="128"/>
      <c r="K888" s="128"/>
      <c r="L888" s="128"/>
      <c r="M888" s="128"/>
      <c r="N888" s="128"/>
      <c r="O888" s="128"/>
      <c r="P888" s="128"/>
      <c r="Q888" s="128"/>
      <c r="R888" s="128"/>
      <c r="S888" s="128"/>
      <c r="T888" s="128"/>
      <c r="U888" s="129"/>
      <c r="V888" s="128"/>
      <c r="W888" s="128"/>
      <c r="X888" s="128"/>
      <c r="Y888" s="128"/>
      <c r="Z888" s="128"/>
      <c r="AA888" s="128"/>
    </row>
    <row r="889">
      <c r="A889" s="128"/>
      <c r="B889" s="128"/>
      <c r="C889" s="128"/>
      <c r="D889" s="128"/>
      <c r="E889" s="128"/>
      <c r="F889" s="128"/>
      <c r="G889" s="212"/>
      <c r="H889" s="128"/>
      <c r="I889" s="128"/>
      <c r="J889" s="128"/>
      <c r="K889" s="128"/>
      <c r="L889" s="128"/>
      <c r="M889" s="128"/>
      <c r="N889" s="128"/>
      <c r="O889" s="128"/>
      <c r="P889" s="128"/>
      <c r="Q889" s="128"/>
      <c r="R889" s="128"/>
      <c r="S889" s="128"/>
      <c r="T889" s="128"/>
      <c r="U889" s="129"/>
      <c r="V889" s="128"/>
      <c r="W889" s="128"/>
      <c r="X889" s="128"/>
      <c r="Y889" s="128"/>
      <c r="Z889" s="128"/>
      <c r="AA889" s="128"/>
    </row>
    <row r="890">
      <c r="A890" s="128"/>
      <c r="B890" s="128"/>
      <c r="C890" s="128"/>
      <c r="D890" s="128"/>
      <c r="E890" s="128"/>
      <c r="F890" s="128"/>
      <c r="G890" s="212"/>
      <c r="H890" s="128"/>
      <c r="I890" s="128"/>
      <c r="J890" s="128"/>
      <c r="K890" s="128"/>
      <c r="L890" s="128"/>
      <c r="M890" s="128"/>
      <c r="N890" s="128"/>
      <c r="O890" s="128"/>
      <c r="P890" s="128"/>
      <c r="Q890" s="128"/>
      <c r="R890" s="128"/>
      <c r="S890" s="128"/>
      <c r="T890" s="128"/>
      <c r="U890" s="129"/>
      <c r="V890" s="128"/>
      <c r="W890" s="128"/>
      <c r="X890" s="128"/>
      <c r="Y890" s="128"/>
      <c r="Z890" s="128"/>
      <c r="AA890" s="128"/>
    </row>
    <row r="891">
      <c r="A891" s="128"/>
      <c r="B891" s="128"/>
      <c r="C891" s="128"/>
      <c r="D891" s="128"/>
      <c r="E891" s="128"/>
      <c r="F891" s="128"/>
      <c r="G891" s="212"/>
      <c r="H891" s="128"/>
      <c r="I891" s="128"/>
      <c r="J891" s="128"/>
      <c r="K891" s="128"/>
      <c r="L891" s="128"/>
      <c r="M891" s="128"/>
      <c r="N891" s="128"/>
      <c r="O891" s="128"/>
      <c r="P891" s="128"/>
      <c r="Q891" s="128"/>
      <c r="R891" s="128"/>
      <c r="S891" s="128"/>
      <c r="T891" s="128"/>
      <c r="U891" s="129"/>
      <c r="V891" s="128"/>
      <c r="W891" s="128"/>
      <c r="X891" s="128"/>
      <c r="Y891" s="128"/>
      <c r="Z891" s="128"/>
      <c r="AA891" s="128"/>
    </row>
    <row r="892">
      <c r="A892" s="128"/>
      <c r="B892" s="128"/>
      <c r="C892" s="128"/>
      <c r="D892" s="128"/>
      <c r="E892" s="128"/>
      <c r="F892" s="128"/>
      <c r="G892" s="212"/>
      <c r="H892" s="128"/>
      <c r="I892" s="128"/>
      <c r="J892" s="128"/>
      <c r="K892" s="128"/>
      <c r="L892" s="128"/>
      <c r="M892" s="128"/>
      <c r="N892" s="128"/>
      <c r="O892" s="128"/>
      <c r="P892" s="128"/>
      <c r="Q892" s="128"/>
      <c r="R892" s="128"/>
      <c r="S892" s="128"/>
      <c r="T892" s="128"/>
      <c r="U892" s="129"/>
      <c r="V892" s="128"/>
      <c r="W892" s="128"/>
      <c r="X892" s="128"/>
      <c r="Y892" s="128"/>
      <c r="Z892" s="128"/>
      <c r="AA892" s="128"/>
    </row>
    <row r="893">
      <c r="A893" s="128"/>
      <c r="B893" s="128"/>
      <c r="C893" s="128"/>
      <c r="D893" s="128"/>
      <c r="E893" s="128"/>
      <c r="F893" s="128"/>
      <c r="G893" s="212"/>
      <c r="H893" s="128"/>
      <c r="I893" s="128"/>
      <c r="J893" s="128"/>
      <c r="K893" s="128"/>
      <c r="L893" s="128"/>
      <c r="M893" s="128"/>
      <c r="N893" s="128"/>
      <c r="O893" s="128"/>
      <c r="P893" s="128"/>
      <c r="Q893" s="128"/>
      <c r="R893" s="128"/>
      <c r="S893" s="128"/>
      <c r="T893" s="128"/>
      <c r="U893" s="129"/>
      <c r="V893" s="128"/>
      <c r="W893" s="128"/>
      <c r="X893" s="128"/>
      <c r="Y893" s="128"/>
      <c r="Z893" s="128"/>
      <c r="AA893" s="128"/>
    </row>
    <row r="894">
      <c r="A894" s="128"/>
      <c r="B894" s="128"/>
      <c r="C894" s="128"/>
      <c r="D894" s="128"/>
      <c r="E894" s="128"/>
      <c r="F894" s="128"/>
      <c r="G894" s="212"/>
      <c r="H894" s="128"/>
      <c r="I894" s="128"/>
      <c r="J894" s="128"/>
      <c r="K894" s="128"/>
      <c r="L894" s="128"/>
      <c r="M894" s="128"/>
      <c r="N894" s="128"/>
      <c r="O894" s="128"/>
      <c r="P894" s="128"/>
      <c r="Q894" s="128"/>
      <c r="R894" s="128"/>
      <c r="S894" s="128"/>
      <c r="T894" s="128"/>
      <c r="U894" s="129"/>
      <c r="V894" s="128"/>
      <c r="W894" s="128"/>
      <c r="X894" s="128"/>
      <c r="Y894" s="128"/>
      <c r="Z894" s="128"/>
      <c r="AA894" s="128"/>
    </row>
    <row r="895">
      <c r="A895" s="128"/>
      <c r="B895" s="128"/>
      <c r="C895" s="128"/>
      <c r="D895" s="128"/>
      <c r="E895" s="128"/>
      <c r="F895" s="128"/>
      <c r="G895" s="212"/>
      <c r="H895" s="128"/>
      <c r="I895" s="128"/>
      <c r="J895" s="128"/>
      <c r="K895" s="128"/>
      <c r="L895" s="128"/>
      <c r="M895" s="128"/>
      <c r="N895" s="128"/>
      <c r="O895" s="128"/>
      <c r="P895" s="128"/>
      <c r="Q895" s="128"/>
      <c r="R895" s="128"/>
      <c r="S895" s="128"/>
      <c r="T895" s="128"/>
      <c r="U895" s="129"/>
      <c r="V895" s="128"/>
      <c r="W895" s="128"/>
      <c r="X895" s="128"/>
      <c r="Y895" s="128"/>
      <c r="Z895" s="128"/>
      <c r="AA895" s="128"/>
    </row>
    <row r="896">
      <c r="A896" s="128"/>
      <c r="B896" s="128"/>
      <c r="C896" s="128"/>
      <c r="D896" s="128"/>
      <c r="E896" s="128"/>
      <c r="F896" s="128"/>
      <c r="G896" s="212"/>
      <c r="H896" s="128"/>
      <c r="I896" s="128"/>
      <c r="J896" s="128"/>
      <c r="K896" s="128"/>
      <c r="L896" s="128"/>
      <c r="M896" s="128"/>
      <c r="N896" s="128"/>
      <c r="O896" s="128"/>
      <c r="P896" s="128"/>
      <c r="Q896" s="128"/>
      <c r="R896" s="128"/>
      <c r="S896" s="128"/>
      <c r="T896" s="128"/>
      <c r="U896" s="129"/>
      <c r="V896" s="128"/>
      <c r="W896" s="128"/>
      <c r="X896" s="128"/>
      <c r="Y896" s="128"/>
      <c r="Z896" s="128"/>
      <c r="AA896" s="128"/>
    </row>
    <row r="897">
      <c r="A897" s="128"/>
      <c r="B897" s="128"/>
      <c r="C897" s="128"/>
      <c r="D897" s="128"/>
      <c r="E897" s="128"/>
      <c r="F897" s="128"/>
      <c r="G897" s="212"/>
      <c r="H897" s="128"/>
      <c r="I897" s="128"/>
      <c r="J897" s="128"/>
      <c r="K897" s="128"/>
      <c r="L897" s="128"/>
      <c r="M897" s="128"/>
      <c r="N897" s="128"/>
      <c r="O897" s="128"/>
      <c r="P897" s="128"/>
      <c r="Q897" s="128"/>
      <c r="R897" s="128"/>
      <c r="S897" s="128"/>
      <c r="T897" s="128"/>
      <c r="U897" s="129"/>
      <c r="V897" s="128"/>
      <c r="W897" s="128"/>
      <c r="X897" s="128"/>
      <c r="Y897" s="128"/>
      <c r="Z897" s="128"/>
      <c r="AA897" s="128"/>
    </row>
    <row r="898">
      <c r="A898" s="128"/>
      <c r="B898" s="128"/>
      <c r="C898" s="128"/>
      <c r="D898" s="128"/>
      <c r="E898" s="128"/>
      <c r="F898" s="128"/>
      <c r="G898" s="212"/>
      <c r="H898" s="128"/>
      <c r="I898" s="128"/>
      <c r="J898" s="128"/>
      <c r="K898" s="128"/>
      <c r="L898" s="128"/>
      <c r="M898" s="128"/>
      <c r="N898" s="128"/>
      <c r="O898" s="128"/>
      <c r="P898" s="128"/>
      <c r="Q898" s="128"/>
      <c r="R898" s="128"/>
      <c r="S898" s="128"/>
      <c r="T898" s="128"/>
      <c r="U898" s="129"/>
      <c r="V898" s="128"/>
      <c r="W898" s="128"/>
      <c r="X898" s="128"/>
      <c r="Y898" s="128"/>
      <c r="Z898" s="128"/>
      <c r="AA898" s="128"/>
    </row>
    <row r="899">
      <c r="A899" s="128"/>
      <c r="B899" s="128"/>
      <c r="C899" s="128"/>
      <c r="D899" s="128"/>
      <c r="E899" s="128"/>
      <c r="F899" s="128"/>
      <c r="G899" s="212"/>
      <c r="H899" s="128"/>
      <c r="I899" s="128"/>
      <c r="J899" s="128"/>
      <c r="K899" s="128"/>
      <c r="L899" s="128"/>
      <c r="M899" s="128"/>
      <c r="N899" s="128"/>
      <c r="O899" s="128"/>
      <c r="P899" s="128"/>
      <c r="Q899" s="128"/>
      <c r="R899" s="128"/>
      <c r="S899" s="128"/>
      <c r="T899" s="128"/>
      <c r="U899" s="129"/>
      <c r="V899" s="128"/>
      <c r="W899" s="128"/>
      <c r="X899" s="128"/>
      <c r="Y899" s="128"/>
      <c r="Z899" s="128"/>
      <c r="AA899" s="128"/>
    </row>
    <row r="900">
      <c r="A900" s="128"/>
      <c r="B900" s="128"/>
      <c r="C900" s="128"/>
      <c r="D900" s="128"/>
      <c r="E900" s="128"/>
      <c r="F900" s="128"/>
      <c r="G900" s="212"/>
      <c r="H900" s="128"/>
      <c r="I900" s="128"/>
      <c r="J900" s="128"/>
      <c r="K900" s="128"/>
      <c r="L900" s="128"/>
      <c r="M900" s="128"/>
      <c r="N900" s="128"/>
      <c r="O900" s="128"/>
      <c r="P900" s="128"/>
      <c r="Q900" s="128"/>
      <c r="R900" s="128"/>
      <c r="S900" s="128"/>
      <c r="T900" s="128"/>
      <c r="U900" s="129"/>
      <c r="V900" s="128"/>
      <c r="W900" s="128"/>
      <c r="X900" s="128"/>
      <c r="Y900" s="128"/>
      <c r="Z900" s="128"/>
      <c r="AA900" s="128"/>
    </row>
    <row r="901">
      <c r="A901" s="128"/>
      <c r="B901" s="128"/>
      <c r="C901" s="128"/>
      <c r="D901" s="128"/>
      <c r="E901" s="128"/>
      <c r="F901" s="128"/>
      <c r="G901" s="212"/>
      <c r="H901" s="128"/>
      <c r="I901" s="128"/>
      <c r="J901" s="128"/>
      <c r="K901" s="128"/>
      <c r="L901" s="128"/>
      <c r="M901" s="128"/>
      <c r="N901" s="128"/>
      <c r="O901" s="128"/>
      <c r="P901" s="128"/>
      <c r="Q901" s="128"/>
      <c r="R901" s="128"/>
      <c r="S901" s="128"/>
      <c r="T901" s="128"/>
      <c r="U901" s="129"/>
      <c r="V901" s="128"/>
      <c r="W901" s="128"/>
      <c r="X901" s="128"/>
      <c r="Y901" s="128"/>
      <c r="Z901" s="128"/>
      <c r="AA901" s="128"/>
    </row>
    <row r="902">
      <c r="A902" s="128"/>
      <c r="B902" s="128"/>
      <c r="C902" s="128"/>
      <c r="D902" s="128"/>
      <c r="E902" s="128"/>
      <c r="F902" s="128"/>
      <c r="G902" s="212"/>
      <c r="H902" s="128"/>
      <c r="I902" s="128"/>
      <c r="J902" s="128"/>
      <c r="K902" s="128"/>
      <c r="L902" s="128"/>
      <c r="M902" s="128"/>
      <c r="N902" s="128"/>
      <c r="O902" s="128"/>
      <c r="P902" s="128"/>
      <c r="Q902" s="128"/>
      <c r="R902" s="128"/>
      <c r="S902" s="128"/>
      <c r="T902" s="128"/>
      <c r="U902" s="129"/>
      <c r="V902" s="128"/>
      <c r="W902" s="128"/>
      <c r="X902" s="128"/>
      <c r="Y902" s="128"/>
      <c r="Z902" s="128"/>
      <c r="AA902" s="128"/>
    </row>
    <row r="903">
      <c r="A903" s="128"/>
      <c r="B903" s="128"/>
      <c r="C903" s="128"/>
      <c r="D903" s="128"/>
      <c r="E903" s="128"/>
      <c r="F903" s="128"/>
      <c r="G903" s="212"/>
      <c r="H903" s="128"/>
      <c r="I903" s="128"/>
      <c r="J903" s="128"/>
      <c r="K903" s="128"/>
      <c r="L903" s="128"/>
      <c r="M903" s="128"/>
      <c r="N903" s="128"/>
      <c r="O903" s="128"/>
      <c r="P903" s="128"/>
      <c r="Q903" s="128"/>
      <c r="R903" s="128"/>
      <c r="S903" s="128"/>
      <c r="T903" s="128"/>
      <c r="U903" s="129"/>
      <c r="V903" s="128"/>
      <c r="W903" s="128"/>
      <c r="X903" s="128"/>
      <c r="Y903" s="128"/>
      <c r="Z903" s="128"/>
      <c r="AA903" s="128"/>
    </row>
    <row r="904">
      <c r="A904" s="128"/>
      <c r="B904" s="128"/>
      <c r="C904" s="128"/>
      <c r="D904" s="128"/>
      <c r="E904" s="128"/>
      <c r="F904" s="128"/>
      <c r="G904" s="212"/>
      <c r="H904" s="128"/>
      <c r="I904" s="128"/>
      <c r="J904" s="128"/>
      <c r="K904" s="128"/>
      <c r="L904" s="128"/>
      <c r="M904" s="128"/>
      <c r="N904" s="128"/>
      <c r="O904" s="128"/>
      <c r="P904" s="128"/>
      <c r="Q904" s="128"/>
      <c r="R904" s="128"/>
      <c r="S904" s="128"/>
      <c r="T904" s="128"/>
      <c r="U904" s="129"/>
      <c r="V904" s="128"/>
      <c r="W904" s="128"/>
      <c r="X904" s="128"/>
      <c r="Y904" s="128"/>
      <c r="Z904" s="128"/>
      <c r="AA904" s="128"/>
    </row>
    <row r="905">
      <c r="A905" s="128"/>
      <c r="B905" s="128"/>
      <c r="C905" s="128"/>
      <c r="D905" s="128"/>
      <c r="E905" s="128"/>
      <c r="F905" s="128"/>
      <c r="G905" s="212"/>
      <c r="H905" s="128"/>
      <c r="I905" s="128"/>
      <c r="J905" s="128"/>
      <c r="K905" s="128"/>
      <c r="L905" s="128"/>
      <c r="M905" s="128"/>
      <c r="N905" s="128"/>
      <c r="O905" s="128"/>
      <c r="P905" s="128"/>
      <c r="Q905" s="128"/>
      <c r="R905" s="128"/>
      <c r="S905" s="128"/>
      <c r="T905" s="128"/>
      <c r="U905" s="129"/>
      <c r="V905" s="128"/>
      <c r="W905" s="128"/>
      <c r="X905" s="128"/>
      <c r="Y905" s="128"/>
      <c r="Z905" s="128"/>
      <c r="AA905" s="128"/>
    </row>
    <row r="906">
      <c r="A906" s="128"/>
      <c r="B906" s="128"/>
      <c r="C906" s="128"/>
      <c r="D906" s="128"/>
      <c r="E906" s="128"/>
      <c r="F906" s="128"/>
      <c r="G906" s="212"/>
      <c r="H906" s="128"/>
      <c r="I906" s="128"/>
      <c r="J906" s="128"/>
      <c r="K906" s="128"/>
      <c r="L906" s="128"/>
      <c r="M906" s="128"/>
      <c r="N906" s="128"/>
      <c r="O906" s="128"/>
      <c r="P906" s="128"/>
      <c r="Q906" s="128"/>
      <c r="R906" s="128"/>
      <c r="S906" s="128"/>
      <c r="T906" s="128"/>
      <c r="U906" s="129"/>
      <c r="V906" s="128"/>
      <c r="W906" s="128"/>
      <c r="X906" s="128"/>
      <c r="Y906" s="128"/>
      <c r="Z906" s="128"/>
      <c r="AA906" s="128"/>
    </row>
    <row r="907">
      <c r="A907" s="128"/>
      <c r="B907" s="128"/>
      <c r="C907" s="128"/>
      <c r="D907" s="128"/>
      <c r="E907" s="128"/>
      <c r="F907" s="128"/>
      <c r="G907" s="212"/>
      <c r="H907" s="128"/>
      <c r="I907" s="128"/>
      <c r="J907" s="128"/>
      <c r="K907" s="128"/>
      <c r="L907" s="128"/>
      <c r="M907" s="128"/>
      <c r="N907" s="128"/>
      <c r="O907" s="128"/>
      <c r="P907" s="128"/>
      <c r="Q907" s="128"/>
      <c r="R907" s="128"/>
      <c r="S907" s="128"/>
      <c r="T907" s="128"/>
      <c r="U907" s="129"/>
      <c r="V907" s="128"/>
      <c r="W907" s="128"/>
      <c r="X907" s="128"/>
      <c r="Y907" s="128"/>
      <c r="Z907" s="128"/>
      <c r="AA907" s="128"/>
    </row>
    <row r="908">
      <c r="A908" s="128"/>
      <c r="B908" s="128"/>
      <c r="C908" s="128"/>
      <c r="D908" s="128"/>
      <c r="E908" s="128"/>
      <c r="F908" s="128"/>
      <c r="G908" s="212"/>
      <c r="H908" s="128"/>
      <c r="I908" s="128"/>
      <c r="J908" s="128"/>
      <c r="K908" s="128"/>
      <c r="L908" s="128"/>
      <c r="M908" s="128"/>
      <c r="N908" s="128"/>
      <c r="O908" s="128"/>
      <c r="P908" s="128"/>
      <c r="Q908" s="128"/>
      <c r="R908" s="128"/>
      <c r="S908" s="128"/>
      <c r="T908" s="128"/>
      <c r="U908" s="129"/>
      <c r="V908" s="128"/>
      <c r="W908" s="128"/>
      <c r="X908" s="128"/>
      <c r="Y908" s="128"/>
      <c r="Z908" s="128"/>
      <c r="AA908" s="128"/>
    </row>
    <row r="909">
      <c r="A909" s="128"/>
      <c r="B909" s="128"/>
      <c r="C909" s="128"/>
      <c r="D909" s="128"/>
      <c r="E909" s="128"/>
      <c r="F909" s="128"/>
      <c r="G909" s="212"/>
      <c r="H909" s="128"/>
      <c r="I909" s="128"/>
      <c r="J909" s="128"/>
      <c r="K909" s="128"/>
      <c r="L909" s="128"/>
      <c r="M909" s="128"/>
      <c r="N909" s="128"/>
      <c r="O909" s="128"/>
      <c r="P909" s="128"/>
      <c r="Q909" s="128"/>
      <c r="R909" s="128"/>
      <c r="S909" s="128"/>
      <c r="T909" s="128"/>
      <c r="U909" s="129"/>
      <c r="V909" s="128"/>
      <c r="W909" s="128"/>
      <c r="X909" s="128"/>
      <c r="Y909" s="128"/>
      <c r="Z909" s="128"/>
      <c r="AA909" s="128"/>
    </row>
    <row r="910">
      <c r="A910" s="128"/>
      <c r="B910" s="128"/>
      <c r="C910" s="128"/>
      <c r="D910" s="128"/>
      <c r="E910" s="128"/>
      <c r="F910" s="128"/>
      <c r="G910" s="212"/>
      <c r="H910" s="128"/>
      <c r="I910" s="128"/>
      <c r="J910" s="128"/>
      <c r="K910" s="128"/>
      <c r="L910" s="128"/>
      <c r="M910" s="128"/>
      <c r="N910" s="128"/>
      <c r="O910" s="128"/>
      <c r="P910" s="128"/>
      <c r="Q910" s="128"/>
      <c r="R910" s="128"/>
      <c r="S910" s="128"/>
      <c r="T910" s="128"/>
      <c r="U910" s="129"/>
      <c r="V910" s="128"/>
      <c r="W910" s="128"/>
      <c r="X910" s="128"/>
      <c r="Y910" s="128"/>
      <c r="Z910" s="128"/>
      <c r="AA910" s="128"/>
    </row>
    <row r="911">
      <c r="A911" s="128"/>
      <c r="B911" s="128"/>
      <c r="C911" s="128"/>
      <c r="D911" s="128"/>
      <c r="E911" s="128"/>
      <c r="F911" s="128"/>
      <c r="G911" s="212"/>
      <c r="H911" s="128"/>
      <c r="I911" s="128"/>
      <c r="J911" s="128"/>
      <c r="K911" s="128"/>
      <c r="L911" s="128"/>
      <c r="M911" s="128"/>
      <c r="N911" s="128"/>
      <c r="O911" s="128"/>
      <c r="P911" s="128"/>
      <c r="Q911" s="128"/>
      <c r="R911" s="128"/>
      <c r="S911" s="128"/>
      <c r="T911" s="128"/>
      <c r="U911" s="129"/>
      <c r="V911" s="128"/>
      <c r="W911" s="128"/>
      <c r="X911" s="128"/>
      <c r="Y911" s="128"/>
      <c r="Z911" s="128"/>
      <c r="AA911" s="128"/>
    </row>
    <row r="912">
      <c r="A912" s="128"/>
      <c r="B912" s="128"/>
      <c r="C912" s="128"/>
      <c r="D912" s="128"/>
      <c r="E912" s="128"/>
      <c r="F912" s="128"/>
      <c r="G912" s="212"/>
      <c r="H912" s="128"/>
      <c r="I912" s="128"/>
      <c r="J912" s="128"/>
      <c r="K912" s="128"/>
      <c r="L912" s="128"/>
      <c r="M912" s="128"/>
      <c r="N912" s="128"/>
      <c r="O912" s="128"/>
      <c r="P912" s="128"/>
      <c r="Q912" s="128"/>
      <c r="R912" s="128"/>
      <c r="S912" s="128"/>
      <c r="T912" s="128"/>
      <c r="U912" s="129"/>
      <c r="V912" s="128"/>
      <c r="W912" s="128"/>
      <c r="X912" s="128"/>
      <c r="Y912" s="128"/>
      <c r="Z912" s="128"/>
      <c r="AA912" s="128"/>
    </row>
    <row r="913">
      <c r="A913" s="128"/>
      <c r="B913" s="128"/>
      <c r="C913" s="128"/>
      <c r="D913" s="128"/>
      <c r="E913" s="128"/>
      <c r="F913" s="128"/>
      <c r="G913" s="212"/>
      <c r="H913" s="128"/>
      <c r="I913" s="128"/>
      <c r="J913" s="128"/>
      <c r="K913" s="128"/>
      <c r="L913" s="128"/>
      <c r="M913" s="128"/>
      <c r="N913" s="128"/>
      <c r="O913" s="128"/>
      <c r="P913" s="128"/>
      <c r="Q913" s="128"/>
      <c r="R913" s="128"/>
      <c r="S913" s="128"/>
      <c r="T913" s="128"/>
      <c r="U913" s="129"/>
      <c r="V913" s="128"/>
      <c r="W913" s="128"/>
      <c r="X913" s="128"/>
      <c r="Y913" s="128"/>
      <c r="Z913" s="128"/>
      <c r="AA913" s="128"/>
    </row>
    <row r="914">
      <c r="A914" s="128"/>
      <c r="B914" s="128"/>
      <c r="C914" s="128"/>
      <c r="D914" s="128"/>
      <c r="E914" s="128"/>
      <c r="F914" s="128"/>
      <c r="G914" s="212"/>
      <c r="H914" s="128"/>
      <c r="I914" s="128"/>
      <c r="J914" s="128"/>
      <c r="K914" s="128"/>
      <c r="L914" s="128"/>
      <c r="M914" s="128"/>
      <c r="N914" s="128"/>
      <c r="O914" s="128"/>
      <c r="P914" s="128"/>
      <c r="Q914" s="128"/>
      <c r="R914" s="128"/>
      <c r="S914" s="128"/>
      <c r="T914" s="128"/>
      <c r="U914" s="129"/>
      <c r="V914" s="128"/>
      <c r="W914" s="128"/>
      <c r="X914" s="128"/>
      <c r="Y914" s="128"/>
      <c r="Z914" s="128"/>
      <c r="AA914" s="128"/>
    </row>
    <row r="915">
      <c r="A915" s="128"/>
      <c r="B915" s="128"/>
      <c r="C915" s="128"/>
      <c r="D915" s="128"/>
      <c r="E915" s="128"/>
      <c r="F915" s="128"/>
      <c r="G915" s="212"/>
      <c r="H915" s="128"/>
      <c r="I915" s="128"/>
      <c r="J915" s="128"/>
      <c r="K915" s="128"/>
      <c r="L915" s="128"/>
      <c r="M915" s="128"/>
      <c r="N915" s="128"/>
      <c r="O915" s="128"/>
      <c r="P915" s="128"/>
      <c r="Q915" s="128"/>
      <c r="R915" s="128"/>
      <c r="S915" s="128"/>
      <c r="T915" s="128"/>
      <c r="U915" s="129"/>
      <c r="V915" s="128"/>
      <c r="W915" s="128"/>
      <c r="X915" s="128"/>
      <c r="Y915" s="128"/>
      <c r="Z915" s="128"/>
      <c r="AA915" s="128"/>
    </row>
    <row r="916">
      <c r="A916" s="128"/>
      <c r="B916" s="128"/>
      <c r="C916" s="128"/>
      <c r="D916" s="128"/>
      <c r="E916" s="128"/>
      <c r="F916" s="128"/>
      <c r="G916" s="212"/>
      <c r="H916" s="128"/>
      <c r="I916" s="128"/>
      <c r="J916" s="128"/>
      <c r="K916" s="128"/>
      <c r="L916" s="128"/>
      <c r="M916" s="128"/>
      <c r="N916" s="128"/>
      <c r="O916" s="128"/>
      <c r="P916" s="128"/>
      <c r="Q916" s="128"/>
      <c r="R916" s="128"/>
      <c r="S916" s="128"/>
      <c r="T916" s="128"/>
      <c r="U916" s="129"/>
      <c r="V916" s="128"/>
      <c r="W916" s="128"/>
      <c r="X916" s="128"/>
      <c r="Y916" s="128"/>
      <c r="Z916" s="128"/>
      <c r="AA916" s="128"/>
    </row>
    <row r="917">
      <c r="A917" s="128"/>
      <c r="B917" s="128"/>
      <c r="C917" s="128"/>
      <c r="D917" s="128"/>
      <c r="E917" s="128"/>
      <c r="F917" s="128"/>
      <c r="G917" s="212"/>
      <c r="H917" s="128"/>
      <c r="I917" s="128"/>
      <c r="J917" s="128"/>
      <c r="K917" s="128"/>
      <c r="L917" s="128"/>
      <c r="M917" s="128"/>
      <c r="N917" s="128"/>
      <c r="O917" s="128"/>
      <c r="P917" s="128"/>
      <c r="Q917" s="128"/>
      <c r="R917" s="128"/>
      <c r="S917" s="128"/>
      <c r="T917" s="128"/>
      <c r="U917" s="129"/>
      <c r="V917" s="128"/>
      <c r="W917" s="128"/>
      <c r="X917" s="128"/>
      <c r="Y917" s="128"/>
      <c r="Z917" s="128"/>
      <c r="AA917" s="128"/>
    </row>
    <row r="918">
      <c r="A918" s="128"/>
      <c r="B918" s="128"/>
      <c r="C918" s="128"/>
      <c r="D918" s="128"/>
      <c r="E918" s="128"/>
      <c r="F918" s="128"/>
      <c r="G918" s="212"/>
      <c r="H918" s="128"/>
      <c r="I918" s="128"/>
      <c r="J918" s="128"/>
      <c r="K918" s="128"/>
      <c r="L918" s="128"/>
      <c r="M918" s="128"/>
      <c r="N918" s="128"/>
      <c r="O918" s="128"/>
      <c r="P918" s="128"/>
      <c r="Q918" s="128"/>
      <c r="R918" s="128"/>
      <c r="S918" s="128"/>
      <c r="T918" s="128"/>
      <c r="U918" s="129"/>
      <c r="V918" s="128"/>
      <c r="W918" s="128"/>
      <c r="X918" s="128"/>
      <c r="Y918" s="128"/>
      <c r="Z918" s="128"/>
      <c r="AA918" s="128"/>
    </row>
    <row r="919">
      <c r="A919" s="128"/>
      <c r="B919" s="128"/>
      <c r="C919" s="128"/>
      <c r="D919" s="128"/>
      <c r="E919" s="128"/>
      <c r="F919" s="128"/>
      <c r="G919" s="212"/>
      <c r="H919" s="128"/>
      <c r="I919" s="128"/>
      <c r="J919" s="128"/>
      <c r="K919" s="128"/>
      <c r="L919" s="128"/>
      <c r="M919" s="128"/>
      <c r="N919" s="128"/>
      <c r="O919" s="128"/>
      <c r="P919" s="128"/>
      <c r="Q919" s="128"/>
      <c r="R919" s="128"/>
      <c r="S919" s="128"/>
      <c r="T919" s="128"/>
      <c r="U919" s="129"/>
      <c r="V919" s="128"/>
      <c r="W919" s="128"/>
      <c r="X919" s="128"/>
      <c r="Y919" s="128"/>
      <c r="Z919" s="128"/>
      <c r="AA919" s="128"/>
    </row>
    <row r="920">
      <c r="A920" s="128"/>
      <c r="B920" s="128"/>
      <c r="C920" s="128"/>
      <c r="D920" s="128"/>
      <c r="E920" s="128"/>
      <c r="F920" s="128"/>
      <c r="G920" s="212"/>
      <c r="H920" s="128"/>
      <c r="I920" s="128"/>
      <c r="J920" s="128"/>
      <c r="K920" s="128"/>
      <c r="L920" s="128"/>
      <c r="M920" s="128"/>
      <c r="N920" s="128"/>
      <c r="O920" s="128"/>
      <c r="P920" s="128"/>
      <c r="Q920" s="128"/>
      <c r="R920" s="128"/>
      <c r="S920" s="128"/>
      <c r="T920" s="128"/>
      <c r="U920" s="129"/>
      <c r="V920" s="128"/>
      <c r="W920" s="128"/>
      <c r="X920" s="128"/>
      <c r="Y920" s="128"/>
      <c r="Z920" s="128"/>
      <c r="AA920" s="128"/>
    </row>
    <row r="921">
      <c r="A921" s="128"/>
      <c r="B921" s="128"/>
      <c r="C921" s="128"/>
      <c r="D921" s="128"/>
      <c r="E921" s="128"/>
      <c r="F921" s="128"/>
      <c r="G921" s="212"/>
      <c r="H921" s="128"/>
      <c r="I921" s="128"/>
      <c r="J921" s="128"/>
      <c r="K921" s="128"/>
      <c r="L921" s="128"/>
      <c r="M921" s="128"/>
      <c r="N921" s="128"/>
      <c r="O921" s="128"/>
      <c r="P921" s="128"/>
      <c r="Q921" s="128"/>
      <c r="R921" s="128"/>
      <c r="S921" s="128"/>
      <c r="T921" s="128"/>
      <c r="U921" s="129"/>
      <c r="V921" s="128"/>
      <c r="W921" s="128"/>
      <c r="X921" s="128"/>
      <c r="Y921" s="128"/>
      <c r="Z921" s="128"/>
      <c r="AA921" s="128"/>
    </row>
    <row r="922">
      <c r="A922" s="128"/>
      <c r="B922" s="128"/>
      <c r="C922" s="128"/>
      <c r="D922" s="128"/>
      <c r="E922" s="128"/>
      <c r="F922" s="128"/>
      <c r="G922" s="212"/>
      <c r="H922" s="128"/>
      <c r="I922" s="128"/>
      <c r="J922" s="128"/>
      <c r="K922" s="128"/>
      <c r="L922" s="128"/>
      <c r="M922" s="128"/>
      <c r="N922" s="128"/>
      <c r="O922" s="128"/>
      <c r="P922" s="128"/>
      <c r="Q922" s="128"/>
      <c r="R922" s="128"/>
      <c r="S922" s="128"/>
      <c r="T922" s="128"/>
      <c r="U922" s="129"/>
      <c r="V922" s="128"/>
      <c r="W922" s="128"/>
      <c r="X922" s="128"/>
      <c r="Y922" s="128"/>
      <c r="Z922" s="128"/>
      <c r="AA922" s="128"/>
    </row>
    <row r="923">
      <c r="A923" s="128"/>
      <c r="B923" s="128"/>
      <c r="C923" s="128"/>
      <c r="D923" s="128"/>
      <c r="E923" s="128"/>
      <c r="F923" s="128"/>
      <c r="G923" s="212"/>
      <c r="H923" s="128"/>
      <c r="I923" s="128"/>
      <c r="J923" s="128"/>
      <c r="K923" s="128"/>
      <c r="L923" s="128"/>
      <c r="M923" s="128"/>
      <c r="N923" s="128"/>
      <c r="O923" s="128"/>
      <c r="P923" s="128"/>
      <c r="Q923" s="128"/>
      <c r="R923" s="128"/>
      <c r="S923" s="128"/>
      <c r="T923" s="128"/>
      <c r="U923" s="129"/>
      <c r="V923" s="128"/>
      <c r="W923" s="128"/>
      <c r="X923" s="128"/>
      <c r="Y923" s="128"/>
      <c r="Z923" s="128"/>
      <c r="AA923" s="128"/>
    </row>
    <row r="924">
      <c r="A924" s="128"/>
      <c r="B924" s="128"/>
      <c r="C924" s="128"/>
      <c r="D924" s="128"/>
      <c r="E924" s="128"/>
      <c r="F924" s="128"/>
      <c r="G924" s="212"/>
      <c r="H924" s="128"/>
      <c r="I924" s="128"/>
      <c r="J924" s="128"/>
      <c r="K924" s="128"/>
      <c r="L924" s="128"/>
      <c r="M924" s="128"/>
      <c r="N924" s="128"/>
      <c r="O924" s="128"/>
      <c r="P924" s="128"/>
      <c r="Q924" s="128"/>
      <c r="R924" s="128"/>
      <c r="S924" s="128"/>
      <c r="T924" s="128"/>
      <c r="U924" s="129"/>
      <c r="V924" s="128"/>
      <c r="W924" s="128"/>
      <c r="X924" s="128"/>
      <c r="Y924" s="128"/>
      <c r="Z924" s="128"/>
      <c r="AA924" s="128"/>
    </row>
    <row r="925">
      <c r="A925" s="128"/>
      <c r="B925" s="128"/>
      <c r="C925" s="128"/>
      <c r="D925" s="128"/>
      <c r="E925" s="128"/>
      <c r="F925" s="128"/>
      <c r="G925" s="212"/>
      <c r="H925" s="128"/>
      <c r="I925" s="128"/>
      <c r="J925" s="128"/>
      <c r="K925" s="128"/>
      <c r="L925" s="128"/>
      <c r="M925" s="128"/>
      <c r="N925" s="128"/>
      <c r="O925" s="128"/>
      <c r="P925" s="128"/>
      <c r="Q925" s="128"/>
      <c r="R925" s="128"/>
      <c r="S925" s="128"/>
      <c r="T925" s="128"/>
      <c r="U925" s="129"/>
      <c r="V925" s="128"/>
      <c r="W925" s="128"/>
      <c r="X925" s="128"/>
      <c r="Y925" s="128"/>
      <c r="Z925" s="128"/>
      <c r="AA925" s="128"/>
    </row>
    <row r="926">
      <c r="A926" s="128"/>
      <c r="B926" s="128"/>
      <c r="C926" s="128"/>
      <c r="D926" s="128"/>
      <c r="E926" s="128"/>
      <c r="F926" s="128"/>
      <c r="G926" s="212"/>
      <c r="H926" s="128"/>
      <c r="I926" s="128"/>
      <c r="J926" s="128"/>
      <c r="K926" s="128"/>
      <c r="L926" s="128"/>
      <c r="M926" s="128"/>
      <c r="N926" s="128"/>
      <c r="O926" s="128"/>
      <c r="P926" s="128"/>
      <c r="Q926" s="128"/>
      <c r="R926" s="128"/>
      <c r="S926" s="128"/>
      <c r="T926" s="128"/>
      <c r="U926" s="129"/>
      <c r="V926" s="128"/>
      <c r="W926" s="128"/>
      <c r="X926" s="128"/>
      <c r="Y926" s="128"/>
      <c r="Z926" s="128"/>
      <c r="AA926" s="128"/>
    </row>
    <row r="927">
      <c r="A927" s="128"/>
      <c r="B927" s="128"/>
      <c r="C927" s="128"/>
      <c r="D927" s="128"/>
      <c r="E927" s="128"/>
      <c r="F927" s="128"/>
      <c r="G927" s="212"/>
      <c r="H927" s="128"/>
      <c r="I927" s="128"/>
      <c r="J927" s="128"/>
      <c r="K927" s="128"/>
      <c r="L927" s="128"/>
      <c r="M927" s="128"/>
      <c r="N927" s="128"/>
      <c r="O927" s="128"/>
      <c r="P927" s="128"/>
      <c r="Q927" s="128"/>
      <c r="R927" s="128"/>
      <c r="S927" s="128"/>
      <c r="T927" s="128"/>
      <c r="U927" s="129"/>
      <c r="V927" s="128"/>
      <c r="W927" s="128"/>
      <c r="X927" s="128"/>
      <c r="Y927" s="128"/>
      <c r="Z927" s="128"/>
      <c r="AA927" s="128"/>
    </row>
    <row r="928">
      <c r="A928" s="128"/>
      <c r="B928" s="128"/>
      <c r="C928" s="128"/>
      <c r="D928" s="128"/>
      <c r="E928" s="128"/>
      <c r="F928" s="128"/>
      <c r="G928" s="212"/>
      <c r="H928" s="128"/>
      <c r="I928" s="128"/>
      <c r="J928" s="128"/>
      <c r="K928" s="128"/>
      <c r="L928" s="128"/>
      <c r="M928" s="128"/>
      <c r="N928" s="128"/>
      <c r="O928" s="128"/>
      <c r="P928" s="128"/>
      <c r="Q928" s="128"/>
      <c r="R928" s="128"/>
      <c r="S928" s="128"/>
      <c r="T928" s="128"/>
      <c r="U928" s="129"/>
      <c r="V928" s="128"/>
      <c r="W928" s="128"/>
      <c r="X928" s="128"/>
      <c r="Y928" s="128"/>
      <c r="Z928" s="128"/>
      <c r="AA928" s="128"/>
    </row>
    <row r="929">
      <c r="A929" s="128"/>
      <c r="B929" s="128"/>
      <c r="C929" s="128"/>
      <c r="D929" s="128"/>
      <c r="E929" s="128"/>
      <c r="F929" s="128"/>
      <c r="G929" s="212"/>
      <c r="H929" s="128"/>
      <c r="I929" s="128"/>
      <c r="J929" s="128"/>
      <c r="K929" s="128"/>
      <c r="L929" s="128"/>
      <c r="M929" s="128"/>
      <c r="N929" s="128"/>
      <c r="O929" s="128"/>
      <c r="P929" s="128"/>
      <c r="Q929" s="128"/>
      <c r="R929" s="128"/>
      <c r="S929" s="128"/>
      <c r="T929" s="128"/>
      <c r="U929" s="129"/>
      <c r="V929" s="128"/>
      <c r="W929" s="128"/>
      <c r="X929" s="128"/>
      <c r="Y929" s="128"/>
      <c r="Z929" s="128"/>
      <c r="AA929" s="128"/>
    </row>
    <row r="930">
      <c r="A930" s="128"/>
      <c r="B930" s="128"/>
      <c r="C930" s="128"/>
      <c r="D930" s="128"/>
      <c r="E930" s="128"/>
      <c r="F930" s="128"/>
      <c r="G930" s="212"/>
      <c r="H930" s="128"/>
      <c r="I930" s="128"/>
      <c r="J930" s="128"/>
      <c r="K930" s="128"/>
      <c r="L930" s="128"/>
      <c r="M930" s="128"/>
      <c r="N930" s="128"/>
      <c r="O930" s="128"/>
      <c r="P930" s="128"/>
      <c r="Q930" s="128"/>
      <c r="R930" s="128"/>
      <c r="S930" s="128"/>
      <c r="T930" s="128"/>
      <c r="U930" s="129"/>
      <c r="V930" s="128"/>
      <c r="W930" s="128"/>
      <c r="X930" s="128"/>
      <c r="Y930" s="128"/>
      <c r="Z930" s="128"/>
      <c r="AA930" s="128"/>
    </row>
    <row r="931">
      <c r="A931" s="128"/>
      <c r="B931" s="128"/>
      <c r="C931" s="128"/>
      <c r="D931" s="128"/>
      <c r="E931" s="128"/>
      <c r="F931" s="128"/>
      <c r="G931" s="212"/>
      <c r="H931" s="128"/>
      <c r="I931" s="128"/>
      <c r="J931" s="128"/>
      <c r="K931" s="128"/>
      <c r="L931" s="128"/>
      <c r="M931" s="128"/>
      <c r="N931" s="128"/>
      <c r="O931" s="128"/>
      <c r="P931" s="128"/>
      <c r="Q931" s="128"/>
      <c r="R931" s="128"/>
      <c r="S931" s="128"/>
      <c r="T931" s="128"/>
      <c r="U931" s="129"/>
      <c r="V931" s="128"/>
      <c r="W931" s="128"/>
      <c r="X931" s="128"/>
      <c r="Y931" s="128"/>
      <c r="Z931" s="128"/>
      <c r="AA931" s="128"/>
    </row>
    <row r="932">
      <c r="A932" s="128"/>
      <c r="B932" s="128"/>
      <c r="C932" s="128"/>
      <c r="D932" s="128"/>
      <c r="E932" s="128"/>
      <c r="F932" s="128"/>
      <c r="G932" s="212"/>
      <c r="H932" s="128"/>
      <c r="I932" s="128"/>
      <c r="J932" s="128"/>
      <c r="K932" s="128"/>
      <c r="L932" s="128"/>
      <c r="M932" s="128"/>
      <c r="N932" s="128"/>
      <c r="O932" s="128"/>
      <c r="P932" s="128"/>
      <c r="Q932" s="128"/>
      <c r="R932" s="128"/>
      <c r="S932" s="128"/>
      <c r="T932" s="128"/>
      <c r="U932" s="129"/>
      <c r="V932" s="128"/>
      <c r="W932" s="128"/>
      <c r="X932" s="128"/>
      <c r="Y932" s="128"/>
      <c r="Z932" s="128"/>
      <c r="AA932" s="128"/>
    </row>
    <row r="933">
      <c r="A933" s="128"/>
      <c r="B933" s="128"/>
      <c r="C933" s="128"/>
      <c r="D933" s="128"/>
      <c r="E933" s="128"/>
      <c r="F933" s="128"/>
      <c r="G933" s="212"/>
      <c r="H933" s="128"/>
      <c r="I933" s="128"/>
      <c r="J933" s="128"/>
      <c r="K933" s="128"/>
      <c r="L933" s="128"/>
      <c r="M933" s="128"/>
      <c r="N933" s="128"/>
      <c r="O933" s="128"/>
      <c r="P933" s="128"/>
      <c r="Q933" s="128"/>
      <c r="R933" s="128"/>
      <c r="S933" s="128"/>
      <c r="T933" s="128"/>
      <c r="U933" s="129"/>
      <c r="V933" s="128"/>
      <c r="W933" s="128"/>
      <c r="X933" s="128"/>
      <c r="Y933" s="128"/>
      <c r="Z933" s="128"/>
      <c r="AA933" s="128"/>
    </row>
    <row r="934">
      <c r="A934" s="128"/>
      <c r="B934" s="128"/>
      <c r="C934" s="128"/>
      <c r="D934" s="128"/>
      <c r="E934" s="128"/>
      <c r="F934" s="128"/>
      <c r="G934" s="212"/>
      <c r="H934" s="128"/>
      <c r="I934" s="128"/>
      <c r="J934" s="128"/>
      <c r="K934" s="128"/>
      <c r="L934" s="128"/>
      <c r="M934" s="128"/>
      <c r="N934" s="128"/>
      <c r="O934" s="128"/>
      <c r="P934" s="128"/>
      <c r="Q934" s="128"/>
      <c r="R934" s="128"/>
      <c r="S934" s="128"/>
      <c r="T934" s="128"/>
      <c r="U934" s="129"/>
      <c r="V934" s="128"/>
      <c r="W934" s="128"/>
      <c r="X934" s="128"/>
      <c r="Y934" s="128"/>
      <c r="Z934" s="128"/>
      <c r="AA934" s="128"/>
    </row>
    <row r="935">
      <c r="A935" s="128"/>
      <c r="B935" s="128"/>
      <c r="C935" s="128"/>
      <c r="D935" s="128"/>
      <c r="E935" s="128"/>
      <c r="F935" s="128"/>
      <c r="G935" s="212"/>
      <c r="H935" s="128"/>
      <c r="I935" s="128"/>
      <c r="J935" s="128"/>
      <c r="K935" s="128"/>
      <c r="L935" s="128"/>
      <c r="M935" s="128"/>
      <c r="N935" s="128"/>
      <c r="O935" s="128"/>
      <c r="P935" s="128"/>
      <c r="Q935" s="128"/>
      <c r="R935" s="128"/>
      <c r="S935" s="128"/>
      <c r="T935" s="128"/>
      <c r="U935" s="129"/>
      <c r="V935" s="128"/>
      <c r="W935" s="128"/>
      <c r="X935" s="128"/>
      <c r="Y935" s="128"/>
      <c r="Z935" s="128"/>
      <c r="AA935" s="128"/>
    </row>
    <row r="936">
      <c r="A936" s="128"/>
      <c r="B936" s="128"/>
      <c r="C936" s="128"/>
      <c r="D936" s="128"/>
      <c r="E936" s="128"/>
      <c r="F936" s="128"/>
      <c r="G936" s="212"/>
      <c r="H936" s="128"/>
      <c r="I936" s="128"/>
      <c r="J936" s="128"/>
      <c r="K936" s="128"/>
      <c r="L936" s="128"/>
      <c r="M936" s="128"/>
      <c r="N936" s="128"/>
      <c r="O936" s="128"/>
      <c r="P936" s="128"/>
      <c r="Q936" s="128"/>
      <c r="R936" s="128"/>
      <c r="S936" s="128"/>
      <c r="T936" s="128"/>
      <c r="U936" s="129"/>
      <c r="V936" s="128"/>
      <c r="W936" s="128"/>
      <c r="X936" s="128"/>
      <c r="Y936" s="128"/>
      <c r="Z936" s="128"/>
      <c r="AA936" s="128"/>
    </row>
    <row r="937">
      <c r="A937" s="128"/>
      <c r="B937" s="128"/>
      <c r="C937" s="128"/>
      <c r="D937" s="128"/>
      <c r="E937" s="128"/>
      <c r="F937" s="128"/>
      <c r="G937" s="212"/>
      <c r="H937" s="128"/>
      <c r="I937" s="128"/>
      <c r="J937" s="128"/>
      <c r="K937" s="128"/>
      <c r="L937" s="128"/>
      <c r="M937" s="128"/>
      <c r="N937" s="128"/>
      <c r="O937" s="128"/>
      <c r="P937" s="128"/>
      <c r="Q937" s="128"/>
      <c r="R937" s="128"/>
      <c r="S937" s="128"/>
      <c r="T937" s="128"/>
      <c r="U937" s="129"/>
      <c r="V937" s="128"/>
      <c r="W937" s="128"/>
      <c r="X937" s="128"/>
      <c r="Y937" s="128"/>
      <c r="Z937" s="128"/>
      <c r="AA937" s="128"/>
    </row>
    <row r="938">
      <c r="A938" s="128"/>
      <c r="B938" s="128"/>
      <c r="C938" s="128"/>
      <c r="D938" s="128"/>
      <c r="E938" s="128"/>
      <c r="F938" s="128"/>
      <c r="G938" s="212"/>
      <c r="H938" s="128"/>
      <c r="I938" s="128"/>
      <c r="J938" s="128"/>
      <c r="K938" s="128"/>
      <c r="L938" s="128"/>
      <c r="M938" s="128"/>
      <c r="N938" s="128"/>
      <c r="O938" s="128"/>
      <c r="P938" s="128"/>
      <c r="Q938" s="128"/>
      <c r="R938" s="128"/>
      <c r="S938" s="128"/>
      <c r="T938" s="128"/>
      <c r="U938" s="129"/>
      <c r="V938" s="128"/>
      <c r="W938" s="128"/>
      <c r="X938" s="128"/>
      <c r="Y938" s="128"/>
      <c r="Z938" s="128"/>
      <c r="AA938" s="128"/>
    </row>
    <row r="939">
      <c r="A939" s="128"/>
      <c r="B939" s="128"/>
      <c r="C939" s="128"/>
      <c r="D939" s="128"/>
      <c r="E939" s="128"/>
      <c r="F939" s="128"/>
      <c r="G939" s="212"/>
      <c r="H939" s="128"/>
      <c r="I939" s="128"/>
      <c r="J939" s="128"/>
      <c r="K939" s="128"/>
      <c r="L939" s="128"/>
      <c r="M939" s="128"/>
      <c r="N939" s="128"/>
      <c r="O939" s="128"/>
      <c r="P939" s="128"/>
      <c r="Q939" s="128"/>
      <c r="R939" s="128"/>
      <c r="S939" s="128"/>
      <c r="T939" s="128"/>
      <c r="U939" s="129"/>
      <c r="V939" s="128"/>
      <c r="W939" s="128"/>
      <c r="X939" s="128"/>
      <c r="Y939" s="128"/>
      <c r="Z939" s="128"/>
      <c r="AA939" s="128"/>
    </row>
    <row r="940">
      <c r="A940" s="128"/>
      <c r="B940" s="128"/>
      <c r="C940" s="128"/>
      <c r="D940" s="128"/>
      <c r="E940" s="128"/>
      <c r="F940" s="128"/>
      <c r="G940" s="212"/>
      <c r="H940" s="128"/>
      <c r="I940" s="128"/>
      <c r="J940" s="128"/>
      <c r="K940" s="128"/>
      <c r="L940" s="128"/>
      <c r="M940" s="128"/>
      <c r="N940" s="128"/>
      <c r="O940" s="128"/>
      <c r="P940" s="128"/>
      <c r="Q940" s="128"/>
      <c r="R940" s="128"/>
      <c r="S940" s="128"/>
      <c r="T940" s="128"/>
      <c r="U940" s="129"/>
      <c r="V940" s="128"/>
      <c r="W940" s="128"/>
      <c r="X940" s="128"/>
      <c r="Y940" s="128"/>
      <c r="Z940" s="128"/>
      <c r="AA940" s="128"/>
    </row>
    <row r="941">
      <c r="A941" s="128"/>
      <c r="B941" s="128"/>
      <c r="C941" s="128"/>
      <c r="D941" s="128"/>
      <c r="E941" s="128"/>
      <c r="F941" s="128"/>
      <c r="G941" s="212"/>
      <c r="H941" s="128"/>
      <c r="I941" s="128"/>
      <c r="J941" s="128"/>
      <c r="K941" s="128"/>
      <c r="L941" s="128"/>
      <c r="M941" s="128"/>
      <c r="N941" s="128"/>
      <c r="O941" s="128"/>
      <c r="P941" s="128"/>
      <c r="Q941" s="128"/>
      <c r="R941" s="128"/>
      <c r="S941" s="128"/>
      <c r="T941" s="128"/>
      <c r="U941" s="129"/>
      <c r="V941" s="128"/>
      <c r="W941" s="128"/>
      <c r="X941" s="128"/>
      <c r="Y941" s="128"/>
      <c r="Z941" s="128"/>
      <c r="AA941" s="128"/>
    </row>
    <row r="942">
      <c r="A942" s="128"/>
      <c r="B942" s="128"/>
      <c r="C942" s="128"/>
      <c r="D942" s="128"/>
      <c r="E942" s="128"/>
      <c r="F942" s="128"/>
      <c r="G942" s="212"/>
      <c r="H942" s="128"/>
      <c r="I942" s="128"/>
      <c r="J942" s="128"/>
      <c r="K942" s="128"/>
      <c r="L942" s="128"/>
      <c r="M942" s="128"/>
      <c r="N942" s="128"/>
      <c r="O942" s="128"/>
      <c r="P942" s="128"/>
      <c r="Q942" s="128"/>
      <c r="R942" s="128"/>
      <c r="S942" s="128"/>
      <c r="T942" s="128"/>
      <c r="U942" s="129"/>
      <c r="V942" s="128"/>
      <c r="W942" s="128"/>
      <c r="X942" s="128"/>
      <c r="Y942" s="128"/>
      <c r="Z942" s="128"/>
      <c r="AA942" s="128"/>
    </row>
    <row r="943">
      <c r="A943" s="128"/>
      <c r="B943" s="128"/>
      <c r="C943" s="128"/>
      <c r="D943" s="128"/>
      <c r="E943" s="128"/>
      <c r="F943" s="128"/>
      <c r="G943" s="212"/>
      <c r="H943" s="128"/>
      <c r="I943" s="128"/>
      <c r="J943" s="128"/>
      <c r="K943" s="128"/>
      <c r="L943" s="128"/>
      <c r="M943" s="128"/>
      <c r="N943" s="128"/>
      <c r="O943" s="128"/>
      <c r="P943" s="128"/>
      <c r="Q943" s="128"/>
      <c r="R943" s="128"/>
      <c r="S943" s="128"/>
      <c r="T943" s="128"/>
      <c r="U943" s="129"/>
      <c r="V943" s="128"/>
      <c r="W943" s="128"/>
      <c r="X943" s="128"/>
      <c r="Y943" s="128"/>
      <c r="Z943" s="128"/>
      <c r="AA943" s="128"/>
    </row>
    <row r="944">
      <c r="A944" s="128"/>
      <c r="B944" s="128"/>
      <c r="C944" s="128"/>
      <c r="D944" s="128"/>
      <c r="E944" s="128"/>
      <c r="F944" s="128"/>
      <c r="G944" s="212"/>
      <c r="H944" s="128"/>
      <c r="I944" s="128"/>
      <c r="J944" s="128"/>
      <c r="K944" s="128"/>
      <c r="L944" s="128"/>
      <c r="M944" s="128"/>
      <c r="N944" s="128"/>
      <c r="O944" s="128"/>
      <c r="P944" s="128"/>
      <c r="Q944" s="128"/>
      <c r="R944" s="128"/>
      <c r="S944" s="128"/>
      <c r="T944" s="128"/>
      <c r="U944" s="129"/>
      <c r="V944" s="128"/>
      <c r="W944" s="128"/>
      <c r="X944" s="128"/>
      <c r="Y944" s="128"/>
      <c r="Z944" s="128"/>
      <c r="AA944" s="128"/>
    </row>
    <row r="945">
      <c r="A945" s="128"/>
      <c r="B945" s="128"/>
      <c r="C945" s="128"/>
      <c r="D945" s="128"/>
      <c r="E945" s="128"/>
      <c r="F945" s="128"/>
      <c r="G945" s="212"/>
      <c r="H945" s="128"/>
      <c r="I945" s="128"/>
      <c r="J945" s="128"/>
      <c r="K945" s="128"/>
      <c r="L945" s="128"/>
      <c r="M945" s="128"/>
      <c r="N945" s="128"/>
      <c r="O945" s="128"/>
      <c r="P945" s="128"/>
      <c r="Q945" s="128"/>
      <c r="R945" s="128"/>
      <c r="S945" s="128"/>
      <c r="T945" s="128"/>
      <c r="U945" s="129"/>
      <c r="V945" s="128"/>
      <c r="W945" s="128"/>
      <c r="X945" s="128"/>
      <c r="Y945" s="128"/>
      <c r="Z945" s="128"/>
      <c r="AA945" s="128"/>
    </row>
    <row r="946">
      <c r="A946" s="128"/>
      <c r="B946" s="128"/>
      <c r="C946" s="128"/>
      <c r="D946" s="128"/>
      <c r="E946" s="128"/>
      <c r="F946" s="128"/>
      <c r="G946" s="212"/>
      <c r="H946" s="128"/>
      <c r="I946" s="128"/>
      <c r="J946" s="128"/>
      <c r="K946" s="128"/>
      <c r="L946" s="128"/>
      <c r="M946" s="128"/>
      <c r="N946" s="128"/>
      <c r="O946" s="128"/>
      <c r="P946" s="128"/>
      <c r="Q946" s="128"/>
      <c r="R946" s="128"/>
      <c r="S946" s="128"/>
      <c r="T946" s="128"/>
      <c r="U946" s="129"/>
      <c r="V946" s="128"/>
      <c r="W946" s="128"/>
      <c r="X946" s="128"/>
      <c r="Y946" s="128"/>
      <c r="Z946" s="128"/>
      <c r="AA946" s="128"/>
    </row>
    <row r="947">
      <c r="A947" s="128"/>
      <c r="B947" s="128"/>
      <c r="C947" s="128"/>
      <c r="D947" s="128"/>
      <c r="E947" s="128"/>
      <c r="F947" s="128"/>
      <c r="G947" s="212"/>
      <c r="H947" s="128"/>
      <c r="I947" s="128"/>
      <c r="J947" s="128"/>
      <c r="K947" s="128"/>
      <c r="L947" s="128"/>
      <c r="M947" s="128"/>
      <c r="N947" s="128"/>
      <c r="O947" s="128"/>
      <c r="P947" s="128"/>
      <c r="Q947" s="128"/>
      <c r="R947" s="128"/>
      <c r="S947" s="128"/>
      <c r="T947" s="128"/>
      <c r="U947" s="129"/>
      <c r="V947" s="128"/>
      <c r="W947" s="128"/>
      <c r="X947" s="128"/>
      <c r="Y947" s="128"/>
      <c r="Z947" s="128"/>
      <c r="AA947" s="128"/>
    </row>
    <row r="948">
      <c r="A948" s="128"/>
      <c r="B948" s="128"/>
      <c r="C948" s="128"/>
      <c r="D948" s="128"/>
      <c r="E948" s="128"/>
      <c r="F948" s="128"/>
      <c r="G948" s="212"/>
      <c r="H948" s="128"/>
      <c r="I948" s="128"/>
      <c r="J948" s="128"/>
      <c r="K948" s="128"/>
      <c r="L948" s="128"/>
      <c r="M948" s="128"/>
      <c r="N948" s="128"/>
      <c r="O948" s="128"/>
      <c r="P948" s="128"/>
      <c r="Q948" s="128"/>
      <c r="R948" s="128"/>
      <c r="S948" s="128"/>
      <c r="T948" s="128"/>
      <c r="U948" s="129"/>
      <c r="V948" s="128"/>
      <c r="W948" s="128"/>
      <c r="X948" s="128"/>
      <c r="Y948" s="128"/>
      <c r="Z948" s="128"/>
      <c r="AA948" s="128"/>
    </row>
    <row r="949">
      <c r="A949" s="128"/>
      <c r="B949" s="128"/>
      <c r="C949" s="128"/>
      <c r="D949" s="128"/>
      <c r="E949" s="128"/>
      <c r="F949" s="128"/>
      <c r="G949" s="212"/>
      <c r="H949" s="128"/>
      <c r="I949" s="128"/>
      <c r="J949" s="128"/>
      <c r="K949" s="128"/>
      <c r="L949" s="128"/>
      <c r="M949" s="128"/>
      <c r="N949" s="128"/>
      <c r="O949" s="128"/>
      <c r="P949" s="128"/>
      <c r="Q949" s="128"/>
      <c r="R949" s="128"/>
      <c r="S949" s="128"/>
      <c r="T949" s="128"/>
      <c r="U949" s="129"/>
      <c r="V949" s="128"/>
      <c r="W949" s="128"/>
      <c r="X949" s="128"/>
      <c r="Y949" s="128"/>
      <c r="Z949" s="128"/>
      <c r="AA949" s="128"/>
    </row>
    <row r="950">
      <c r="A950" s="128"/>
      <c r="B950" s="128"/>
      <c r="C950" s="128"/>
      <c r="D950" s="128"/>
      <c r="E950" s="128"/>
      <c r="F950" s="128"/>
      <c r="G950" s="212"/>
      <c r="H950" s="128"/>
      <c r="I950" s="128"/>
      <c r="J950" s="128"/>
      <c r="K950" s="128"/>
      <c r="L950" s="128"/>
      <c r="M950" s="128"/>
      <c r="N950" s="128"/>
      <c r="O950" s="128"/>
      <c r="P950" s="128"/>
      <c r="Q950" s="128"/>
      <c r="R950" s="128"/>
      <c r="S950" s="128"/>
      <c r="T950" s="128"/>
      <c r="U950" s="129"/>
      <c r="V950" s="128"/>
      <c r="W950" s="128"/>
      <c r="X950" s="128"/>
      <c r="Y950" s="128"/>
      <c r="Z950" s="128"/>
      <c r="AA950" s="128"/>
    </row>
    <row r="951">
      <c r="A951" s="128"/>
      <c r="B951" s="128"/>
      <c r="C951" s="128"/>
      <c r="D951" s="128"/>
      <c r="E951" s="128"/>
      <c r="F951" s="128"/>
      <c r="G951" s="212"/>
      <c r="H951" s="128"/>
      <c r="I951" s="128"/>
      <c r="J951" s="128"/>
      <c r="K951" s="128"/>
      <c r="L951" s="128"/>
      <c r="M951" s="128"/>
      <c r="N951" s="128"/>
      <c r="O951" s="128"/>
      <c r="P951" s="128"/>
      <c r="Q951" s="128"/>
      <c r="R951" s="128"/>
      <c r="S951" s="128"/>
      <c r="T951" s="128"/>
      <c r="U951" s="129"/>
      <c r="V951" s="128"/>
      <c r="W951" s="128"/>
      <c r="X951" s="128"/>
      <c r="Y951" s="128"/>
      <c r="Z951" s="128"/>
      <c r="AA951" s="128"/>
    </row>
    <row r="952">
      <c r="A952" s="128"/>
      <c r="B952" s="128"/>
      <c r="C952" s="128"/>
      <c r="D952" s="128"/>
      <c r="E952" s="128"/>
      <c r="F952" s="128"/>
      <c r="G952" s="212"/>
      <c r="H952" s="128"/>
      <c r="I952" s="128"/>
      <c r="J952" s="128"/>
      <c r="K952" s="128"/>
      <c r="L952" s="128"/>
      <c r="M952" s="128"/>
      <c r="N952" s="128"/>
      <c r="O952" s="128"/>
      <c r="P952" s="128"/>
      <c r="Q952" s="128"/>
      <c r="R952" s="128"/>
      <c r="S952" s="128"/>
      <c r="T952" s="128"/>
      <c r="U952" s="129"/>
      <c r="V952" s="128"/>
      <c r="W952" s="128"/>
      <c r="X952" s="128"/>
      <c r="Y952" s="128"/>
      <c r="Z952" s="128"/>
      <c r="AA952" s="128"/>
    </row>
    <row r="953">
      <c r="A953" s="128"/>
      <c r="B953" s="128"/>
      <c r="C953" s="128"/>
      <c r="D953" s="128"/>
      <c r="E953" s="128"/>
      <c r="F953" s="128"/>
      <c r="G953" s="212"/>
      <c r="H953" s="128"/>
      <c r="I953" s="128"/>
      <c r="J953" s="128"/>
      <c r="K953" s="128"/>
      <c r="L953" s="128"/>
      <c r="M953" s="128"/>
      <c r="N953" s="128"/>
      <c r="O953" s="128"/>
      <c r="P953" s="128"/>
      <c r="Q953" s="128"/>
      <c r="R953" s="128"/>
      <c r="S953" s="128"/>
      <c r="T953" s="128"/>
      <c r="U953" s="129"/>
      <c r="V953" s="128"/>
      <c r="W953" s="128"/>
      <c r="X953" s="128"/>
      <c r="Y953" s="128"/>
      <c r="Z953" s="128"/>
      <c r="AA953" s="128"/>
    </row>
    <row r="954">
      <c r="A954" s="128"/>
      <c r="B954" s="128"/>
      <c r="C954" s="128"/>
      <c r="D954" s="128"/>
      <c r="E954" s="128"/>
      <c r="F954" s="128"/>
      <c r="G954" s="212"/>
      <c r="H954" s="128"/>
      <c r="I954" s="128"/>
      <c r="J954" s="128"/>
      <c r="K954" s="128"/>
      <c r="L954" s="128"/>
      <c r="M954" s="128"/>
      <c r="N954" s="128"/>
      <c r="O954" s="128"/>
      <c r="P954" s="128"/>
      <c r="Q954" s="128"/>
      <c r="R954" s="128"/>
      <c r="S954" s="128"/>
      <c r="T954" s="128"/>
      <c r="U954" s="129"/>
      <c r="V954" s="128"/>
      <c r="W954" s="128"/>
      <c r="X954" s="128"/>
      <c r="Y954" s="128"/>
      <c r="Z954" s="128"/>
      <c r="AA954" s="128"/>
    </row>
    <row r="955">
      <c r="A955" s="128"/>
      <c r="B955" s="128"/>
      <c r="C955" s="128"/>
      <c r="D955" s="128"/>
      <c r="E955" s="128"/>
      <c r="F955" s="128"/>
      <c r="G955" s="212"/>
      <c r="H955" s="128"/>
      <c r="I955" s="128"/>
      <c r="J955" s="128"/>
      <c r="K955" s="128"/>
      <c r="L955" s="128"/>
      <c r="M955" s="128"/>
      <c r="N955" s="128"/>
      <c r="O955" s="128"/>
      <c r="P955" s="128"/>
      <c r="Q955" s="128"/>
      <c r="R955" s="128"/>
      <c r="S955" s="128"/>
      <c r="T955" s="128"/>
      <c r="U955" s="129"/>
      <c r="V955" s="128"/>
      <c r="W955" s="128"/>
      <c r="X955" s="128"/>
      <c r="Y955" s="128"/>
      <c r="Z955" s="128"/>
      <c r="AA955" s="128"/>
    </row>
    <row r="956">
      <c r="A956" s="128"/>
      <c r="B956" s="128"/>
      <c r="C956" s="128"/>
      <c r="D956" s="128"/>
      <c r="E956" s="128"/>
      <c r="F956" s="128"/>
      <c r="G956" s="212"/>
      <c r="H956" s="128"/>
      <c r="I956" s="128"/>
      <c r="J956" s="128"/>
      <c r="K956" s="128"/>
      <c r="L956" s="128"/>
      <c r="M956" s="128"/>
      <c r="N956" s="128"/>
      <c r="O956" s="128"/>
      <c r="P956" s="128"/>
      <c r="Q956" s="128"/>
      <c r="R956" s="128"/>
      <c r="S956" s="128"/>
      <c r="T956" s="128"/>
      <c r="U956" s="129"/>
      <c r="V956" s="128"/>
      <c r="W956" s="128"/>
      <c r="X956" s="128"/>
      <c r="Y956" s="128"/>
      <c r="Z956" s="128"/>
      <c r="AA956" s="128"/>
    </row>
    <row r="957">
      <c r="A957" s="128"/>
      <c r="B957" s="128"/>
      <c r="C957" s="128"/>
      <c r="D957" s="128"/>
      <c r="E957" s="128"/>
      <c r="F957" s="128"/>
      <c r="G957" s="212"/>
      <c r="H957" s="128"/>
      <c r="I957" s="128"/>
      <c r="J957" s="128"/>
      <c r="K957" s="128"/>
      <c r="L957" s="128"/>
      <c r="M957" s="128"/>
      <c r="N957" s="128"/>
      <c r="O957" s="128"/>
      <c r="P957" s="128"/>
      <c r="Q957" s="128"/>
      <c r="R957" s="128"/>
      <c r="S957" s="128"/>
      <c r="T957" s="128"/>
      <c r="U957" s="129"/>
      <c r="V957" s="128"/>
      <c r="W957" s="128"/>
      <c r="X957" s="128"/>
      <c r="Y957" s="128"/>
      <c r="Z957" s="128"/>
      <c r="AA957" s="128"/>
    </row>
    <row r="958">
      <c r="A958" s="128"/>
      <c r="B958" s="128"/>
      <c r="C958" s="128"/>
      <c r="D958" s="128"/>
      <c r="E958" s="128"/>
      <c r="F958" s="128"/>
      <c r="G958" s="212"/>
      <c r="H958" s="128"/>
      <c r="I958" s="128"/>
      <c r="J958" s="128"/>
      <c r="K958" s="128"/>
      <c r="L958" s="128"/>
      <c r="M958" s="128"/>
      <c r="N958" s="128"/>
      <c r="O958" s="128"/>
      <c r="P958" s="128"/>
      <c r="Q958" s="128"/>
      <c r="R958" s="128"/>
      <c r="S958" s="128"/>
      <c r="T958" s="128"/>
      <c r="U958" s="129"/>
      <c r="V958" s="128"/>
      <c r="W958" s="128"/>
      <c r="X958" s="128"/>
      <c r="Y958" s="128"/>
      <c r="Z958" s="128"/>
      <c r="AA958" s="128"/>
    </row>
    <row r="959">
      <c r="A959" s="128"/>
      <c r="B959" s="128"/>
      <c r="C959" s="128"/>
      <c r="D959" s="128"/>
      <c r="E959" s="128"/>
      <c r="F959" s="128"/>
      <c r="G959" s="212"/>
      <c r="H959" s="128"/>
      <c r="I959" s="128"/>
      <c r="J959" s="128"/>
      <c r="K959" s="128"/>
      <c r="L959" s="128"/>
      <c r="M959" s="128"/>
      <c r="N959" s="128"/>
      <c r="O959" s="128"/>
      <c r="P959" s="128"/>
      <c r="Q959" s="128"/>
      <c r="R959" s="128"/>
      <c r="S959" s="128"/>
      <c r="T959" s="128"/>
      <c r="U959" s="129"/>
      <c r="V959" s="128"/>
      <c r="W959" s="128"/>
      <c r="X959" s="128"/>
      <c r="Y959" s="128"/>
      <c r="Z959" s="128"/>
      <c r="AA959" s="128"/>
    </row>
    <row r="960">
      <c r="A960" s="128"/>
      <c r="B960" s="128"/>
      <c r="C960" s="128"/>
      <c r="D960" s="128"/>
      <c r="E960" s="128"/>
      <c r="F960" s="128"/>
      <c r="G960" s="212"/>
      <c r="H960" s="128"/>
      <c r="I960" s="128"/>
      <c r="J960" s="128"/>
      <c r="K960" s="128"/>
      <c r="L960" s="128"/>
      <c r="M960" s="128"/>
      <c r="N960" s="128"/>
      <c r="O960" s="128"/>
      <c r="P960" s="128"/>
      <c r="Q960" s="128"/>
      <c r="R960" s="128"/>
      <c r="S960" s="128"/>
      <c r="T960" s="128"/>
      <c r="U960" s="129"/>
      <c r="V960" s="128"/>
      <c r="W960" s="128"/>
      <c r="X960" s="128"/>
      <c r="Y960" s="128"/>
      <c r="Z960" s="128"/>
      <c r="AA960" s="128"/>
    </row>
    <row r="961">
      <c r="A961" s="128"/>
      <c r="B961" s="128"/>
      <c r="C961" s="128"/>
      <c r="D961" s="128"/>
      <c r="E961" s="128"/>
      <c r="F961" s="128"/>
      <c r="G961" s="212"/>
      <c r="H961" s="128"/>
      <c r="I961" s="128"/>
      <c r="J961" s="128"/>
      <c r="K961" s="128"/>
      <c r="L961" s="128"/>
      <c r="M961" s="128"/>
      <c r="N961" s="128"/>
      <c r="O961" s="128"/>
      <c r="P961" s="128"/>
      <c r="Q961" s="128"/>
      <c r="R961" s="128"/>
      <c r="S961" s="128"/>
      <c r="T961" s="128"/>
      <c r="U961" s="129"/>
      <c r="V961" s="128"/>
      <c r="W961" s="128"/>
      <c r="X961" s="128"/>
      <c r="Y961" s="128"/>
      <c r="Z961" s="128"/>
      <c r="AA961" s="128"/>
    </row>
    <row r="962">
      <c r="A962" s="128"/>
      <c r="B962" s="128"/>
      <c r="C962" s="128"/>
      <c r="D962" s="128"/>
      <c r="E962" s="128"/>
      <c r="F962" s="128"/>
      <c r="G962" s="212"/>
      <c r="H962" s="128"/>
      <c r="I962" s="128"/>
      <c r="J962" s="128"/>
      <c r="K962" s="128"/>
      <c r="L962" s="128"/>
      <c r="M962" s="128"/>
      <c r="N962" s="128"/>
      <c r="O962" s="128"/>
      <c r="P962" s="128"/>
      <c r="Q962" s="128"/>
      <c r="R962" s="128"/>
      <c r="S962" s="128"/>
      <c r="T962" s="128"/>
      <c r="U962" s="129"/>
      <c r="V962" s="128"/>
      <c r="W962" s="128"/>
      <c r="X962" s="128"/>
      <c r="Y962" s="128"/>
      <c r="Z962" s="128"/>
      <c r="AA962" s="128"/>
    </row>
    <row r="963">
      <c r="A963" s="128"/>
      <c r="B963" s="128"/>
      <c r="C963" s="128"/>
      <c r="D963" s="128"/>
      <c r="E963" s="128"/>
      <c r="F963" s="128"/>
      <c r="G963" s="212"/>
      <c r="H963" s="128"/>
      <c r="I963" s="128"/>
      <c r="J963" s="128"/>
      <c r="K963" s="128"/>
      <c r="L963" s="128"/>
      <c r="M963" s="128"/>
      <c r="N963" s="128"/>
      <c r="O963" s="128"/>
      <c r="P963" s="128"/>
      <c r="Q963" s="128"/>
      <c r="R963" s="128"/>
      <c r="S963" s="128"/>
      <c r="T963" s="128"/>
      <c r="U963" s="129"/>
      <c r="V963" s="128"/>
      <c r="W963" s="128"/>
      <c r="X963" s="128"/>
      <c r="Y963" s="128"/>
      <c r="Z963" s="128"/>
      <c r="AA963" s="128"/>
    </row>
    <row r="964">
      <c r="A964" s="128"/>
      <c r="B964" s="128"/>
      <c r="C964" s="128"/>
      <c r="D964" s="128"/>
      <c r="E964" s="128"/>
      <c r="F964" s="128"/>
      <c r="G964" s="212"/>
      <c r="H964" s="128"/>
      <c r="I964" s="128"/>
      <c r="J964" s="128"/>
      <c r="K964" s="128"/>
      <c r="L964" s="128"/>
      <c r="M964" s="128"/>
      <c r="N964" s="128"/>
      <c r="O964" s="128"/>
      <c r="P964" s="128"/>
      <c r="Q964" s="128"/>
      <c r="R964" s="128"/>
      <c r="S964" s="128"/>
      <c r="T964" s="128"/>
      <c r="U964" s="129"/>
      <c r="V964" s="128"/>
      <c r="W964" s="128"/>
      <c r="X964" s="128"/>
      <c r="Y964" s="128"/>
      <c r="Z964" s="128"/>
      <c r="AA964" s="128"/>
    </row>
    <row r="965">
      <c r="A965" s="128"/>
      <c r="B965" s="128"/>
      <c r="C965" s="128"/>
      <c r="D965" s="128"/>
      <c r="E965" s="128"/>
      <c r="F965" s="128"/>
      <c r="G965" s="212"/>
      <c r="H965" s="128"/>
      <c r="I965" s="128"/>
      <c r="J965" s="128"/>
      <c r="K965" s="128"/>
      <c r="L965" s="128"/>
      <c r="M965" s="128"/>
      <c r="N965" s="128"/>
      <c r="O965" s="128"/>
      <c r="P965" s="128"/>
      <c r="Q965" s="128"/>
      <c r="R965" s="128"/>
      <c r="S965" s="128"/>
      <c r="T965" s="128"/>
      <c r="U965" s="129"/>
      <c r="V965" s="128"/>
      <c r="W965" s="128"/>
      <c r="X965" s="128"/>
      <c r="Y965" s="128"/>
      <c r="Z965" s="128"/>
      <c r="AA965" s="128"/>
    </row>
    <row r="966">
      <c r="A966" s="128"/>
      <c r="B966" s="128"/>
      <c r="C966" s="128"/>
      <c r="D966" s="128"/>
      <c r="E966" s="128"/>
      <c r="F966" s="128"/>
      <c r="G966" s="212"/>
      <c r="H966" s="128"/>
      <c r="I966" s="128"/>
      <c r="J966" s="128"/>
      <c r="K966" s="128"/>
      <c r="L966" s="128"/>
      <c r="M966" s="128"/>
      <c r="N966" s="128"/>
      <c r="O966" s="128"/>
      <c r="P966" s="128"/>
      <c r="Q966" s="128"/>
      <c r="R966" s="128"/>
      <c r="S966" s="128"/>
      <c r="T966" s="128"/>
      <c r="U966" s="129"/>
      <c r="V966" s="128"/>
      <c r="W966" s="128"/>
      <c r="X966" s="128"/>
      <c r="Y966" s="128"/>
      <c r="Z966" s="128"/>
      <c r="AA966" s="128"/>
    </row>
    <row r="967">
      <c r="A967" s="128"/>
      <c r="B967" s="128"/>
      <c r="C967" s="128"/>
      <c r="D967" s="128"/>
      <c r="E967" s="128"/>
      <c r="F967" s="128"/>
      <c r="G967" s="212"/>
      <c r="H967" s="128"/>
      <c r="I967" s="128"/>
      <c r="J967" s="128"/>
      <c r="K967" s="128"/>
      <c r="L967" s="128"/>
      <c r="M967" s="128"/>
      <c r="N967" s="128"/>
      <c r="O967" s="128"/>
      <c r="P967" s="128"/>
      <c r="Q967" s="128"/>
      <c r="R967" s="128"/>
      <c r="S967" s="128"/>
      <c r="T967" s="128"/>
      <c r="U967" s="129"/>
      <c r="V967" s="128"/>
      <c r="W967" s="128"/>
      <c r="X967" s="128"/>
      <c r="Y967" s="128"/>
      <c r="Z967" s="128"/>
      <c r="AA967" s="128"/>
    </row>
    <row r="968">
      <c r="A968" s="128"/>
      <c r="B968" s="128"/>
      <c r="C968" s="128"/>
      <c r="D968" s="128"/>
      <c r="E968" s="128"/>
      <c r="F968" s="128"/>
      <c r="G968" s="212"/>
      <c r="H968" s="128"/>
      <c r="I968" s="128"/>
      <c r="J968" s="128"/>
      <c r="K968" s="128"/>
      <c r="L968" s="128"/>
      <c r="M968" s="128"/>
      <c r="N968" s="128"/>
      <c r="O968" s="128"/>
      <c r="P968" s="128"/>
      <c r="Q968" s="128"/>
      <c r="R968" s="128"/>
      <c r="S968" s="128"/>
      <c r="T968" s="128"/>
      <c r="U968" s="129"/>
      <c r="V968" s="128"/>
      <c r="W968" s="128"/>
      <c r="X968" s="128"/>
      <c r="Y968" s="128"/>
      <c r="Z968" s="128"/>
      <c r="AA968" s="128"/>
    </row>
    <row r="969">
      <c r="A969" s="128"/>
      <c r="B969" s="128"/>
      <c r="C969" s="128"/>
      <c r="D969" s="128"/>
      <c r="E969" s="128"/>
      <c r="F969" s="128"/>
      <c r="G969" s="212"/>
      <c r="H969" s="128"/>
      <c r="I969" s="128"/>
      <c r="J969" s="128"/>
      <c r="K969" s="128"/>
      <c r="L969" s="128"/>
      <c r="M969" s="128"/>
      <c r="N969" s="128"/>
      <c r="O969" s="128"/>
      <c r="P969" s="128"/>
      <c r="Q969" s="128"/>
      <c r="R969" s="128"/>
      <c r="S969" s="128"/>
      <c r="T969" s="128"/>
      <c r="U969" s="129"/>
      <c r="V969" s="128"/>
      <c r="W969" s="128"/>
      <c r="X969" s="128"/>
      <c r="Y969" s="128"/>
      <c r="Z969" s="128"/>
      <c r="AA969" s="128"/>
    </row>
    <row r="970">
      <c r="A970" s="128"/>
      <c r="B970" s="128"/>
      <c r="C970" s="128"/>
      <c r="D970" s="128"/>
      <c r="E970" s="128"/>
      <c r="F970" s="128"/>
      <c r="G970" s="212"/>
      <c r="H970" s="128"/>
      <c r="I970" s="128"/>
      <c r="J970" s="128"/>
      <c r="K970" s="128"/>
      <c r="L970" s="128"/>
      <c r="M970" s="128"/>
      <c r="N970" s="128"/>
      <c r="O970" s="128"/>
      <c r="P970" s="128"/>
      <c r="Q970" s="128"/>
      <c r="R970" s="128"/>
      <c r="S970" s="128"/>
      <c r="T970" s="128"/>
      <c r="U970" s="129"/>
      <c r="V970" s="128"/>
      <c r="W970" s="128"/>
      <c r="X970" s="128"/>
      <c r="Y970" s="128"/>
      <c r="Z970" s="128"/>
      <c r="AA970" s="128"/>
    </row>
    <row r="971">
      <c r="A971" s="128"/>
      <c r="B971" s="128"/>
      <c r="C971" s="128"/>
      <c r="D971" s="128"/>
      <c r="E971" s="128"/>
      <c r="F971" s="128"/>
      <c r="G971" s="212"/>
      <c r="H971" s="128"/>
      <c r="I971" s="128"/>
      <c r="J971" s="128"/>
      <c r="K971" s="128"/>
      <c r="L971" s="128"/>
      <c r="M971" s="128"/>
      <c r="N971" s="128"/>
      <c r="O971" s="128"/>
      <c r="P971" s="128"/>
      <c r="Q971" s="128"/>
      <c r="R971" s="128"/>
      <c r="S971" s="128"/>
      <c r="T971" s="128"/>
      <c r="U971" s="129"/>
      <c r="V971" s="128"/>
      <c r="W971" s="128"/>
      <c r="X971" s="128"/>
      <c r="Y971" s="128"/>
      <c r="Z971" s="128"/>
      <c r="AA971" s="128"/>
    </row>
    <row r="972">
      <c r="A972" s="128"/>
      <c r="B972" s="128"/>
      <c r="C972" s="128"/>
      <c r="D972" s="128"/>
      <c r="E972" s="128"/>
      <c r="F972" s="128"/>
      <c r="G972" s="212"/>
      <c r="H972" s="128"/>
      <c r="I972" s="128"/>
      <c r="J972" s="128"/>
      <c r="K972" s="128"/>
      <c r="L972" s="128"/>
      <c r="M972" s="128"/>
      <c r="N972" s="128"/>
      <c r="O972" s="128"/>
      <c r="P972" s="128"/>
      <c r="Q972" s="128"/>
      <c r="R972" s="128"/>
      <c r="S972" s="128"/>
      <c r="T972" s="128"/>
      <c r="U972" s="129"/>
      <c r="V972" s="128"/>
      <c r="W972" s="128"/>
      <c r="X972" s="128"/>
      <c r="Y972" s="128"/>
      <c r="Z972" s="128"/>
      <c r="AA972" s="128"/>
    </row>
    <row r="973">
      <c r="A973" s="128"/>
      <c r="B973" s="128"/>
      <c r="C973" s="128"/>
      <c r="D973" s="128"/>
      <c r="E973" s="128"/>
      <c r="F973" s="128"/>
      <c r="G973" s="212"/>
      <c r="H973" s="128"/>
      <c r="I973" s="128"/>
      <c r="J973" s="128"/>
      <c r="K973" s="128"/>
      <c r="L973" s="128"/>
      <c r="M973" s="128"/>
      <c r="N973" s="128"/>
      <c r="O973" s="128"/>
      <c r="P973" s="128"/>
      <c r="Q973" s="128"/>
      <c r="R973" s="128"/>
      <c r="S973" s="128"/>
      <c r="T973" s="128"/>
      <c r="U973" s="129"/>
      <c r="V973" s="128"/>
      <c r="W973" s="128"/>
      <c r="X973" s="128"/>
      <c r="Y973" s="128"/>
      <c r="Z973" s="128"/>
      <c r="AA973" s="128"/>
    </row>
    <row r="974">
      <c r="A974" s="128"/>
      <c r="B974" s="128"/>
      <c r="C974" s="128"/>
      <c r="D974" s="128"/>
      <c r="E974" s="128"/>
      <c r="F974" s="128"/>
      <c r="G974" s="212"/>
      <c r="H974" s="128"/>
      <c r="I974" s="128"/>
      <c r="J974" s="128"/>
      <c r="K974" s="128"/>
      <c r="L974" s="128"/>
      <c r="M974" s="128"/>
      <c r="N974" s="128"/>
      <c r="O974" s="128"/>
      <c r="P974" s="128"/>
      <c r="Q974" s="128"/>
      <c r="R974" s="128"/>
      <c r="S974" s="128"/>
      <c r="T974" s="128"/>
      <c r="U974" s="129"/>
      <c r="V974" s="128"/>
      <c r="W974" s="128"/>
      <c r="X974" s="128"/>
      <c r="Y974" s="128"/>
      <c r="Z974" s="128"/>
      <c r="AA974" s="128"/>
    </row>
    <row r="975">
      <c r="A975" s="128"/>
      <c r="B975" s="128"/>
      <c r="C975" s="128"/>
      <c r="D975" s="128"/>
      <c r="E975" s="128"/>
      <c r="F975" s="128"/>
      <c r="G975" s="212"/>
      <c r="H975" s="128"/>
      <c r="I975" s="128"/>
      <c r="J975" s="128"/>
      <c r="K975" s="128"/>
      <c r="L975" s="128"/>
      <c r="M975" s="128"/>
      <c r="N975" s="128"/>
      <c r="O975" s="128"/>
      <c r="P975" s="128"/>
      <c r="Q975" s="128"/>
      <c r="R975" s="128"/>
      <c r="S975" s="128"/>
      <c r="T975" s="128"/>
      <c r="U975" s="129"/>
      <c r="V975" s="128"/>
      <c r="W975" s="128"/>
      <c r="X975" s="128"/>
      <c r="Y975" s="128"/>
      <c r="Z975" s="128"/>
      <c r="AA975" s="128"/>
    </row>
    <row r="976">
      <c r="A976" s="128"/>
      <c r="B976" s="128"/>
      <c r="C976" s="128"/>
      <c r="D976" s="128"/>
      <c r="E976" s="128"/>
      <c r="F976" s="128"/>
      <c r="G976" s="212"/>
      <c r="H976" s="128"/>
      <c r="I976" s="128"/>
      <c r="J976" s="128"/>
      <c r="K976" s="128"/>
      <c r="L976" s="128"/>
      <c r="M976" s="128"/>
      <c r="N976" s="128"/>
      <c r="O976" s="128"/>
      <c r="P976" s="128"/>
      <c r="Q976" s="128"/>
      <c r="R976" s="128"/>
      <c r="S976" s="128"/>
      <c r="T976" s="128"/>
      <c r="U976" s="129"/>
      <c r="V976" s="128"/>
      <c r="W976" s="128"/>
      <c r="X976" s="128"/>
      <c r="Y976" s="128"/>
      <c r="Z976" s="128"/>
      <c r="AA976" s="128"/>
    </row>
    <row r="977">
      <c r="A977" s="128"/>
      <c r="B977" s="128"/>
      <c r="C977" s="128"/>
      <c r="D977" s="128"/>
      <c r="E977" s="128"/>
      <c r="F977" s="128"/>
      <c r="G977" s="212"/>
      <c r="H977" s="128"/>
      <c r="I977" s="128"/>
      <c r="J977" s="128"/>
      <c r="K977" s="128"/>
      <c r="L977" s="128"/>
      <c r="M977" s="128"/>
      <c r="N977" s="128"/>
      <c r="O977" s="128"/>
      <c r="P977" s="128"/>
      <c r="Q977" s="128"/>
      <c r="R977" s="128"/>
      <c r="S977" s="128"/>
      <c r="T977" s="128"/>
      <c r="U977" s="129"/>
      <c r="V977" s="128"/>
      <c r="W977" s="128"/>
      <c r="X977" s="128"/>
      <c r="Y977" s="128"/>
      <c r="Z977" s="128"/>
      <c r="AA977" s="128"/>
    </row>
    <row r="978">
      <c r="A978" s="128"/>
      <c r="B978" s="128"/>
      <c r="C978" s="128"/>
      <c r="D978" s="128"/>
      <c r="E978" s="128"/>
      <c r="F978" s="128"/>
      <c r="G978" s="212"/>
      <c r="H978" s="128"/>
      <c r="I978" s="128"/>
      <c r="J978" s="128"/>
      <c r="K978" s="128"/>
      <c r="L978" s="128"/>
      <c r="M978" s="128"/>
      <c r="N978" s="128"/>
      <c r="O978" s="128"/>
      <c r="P978" s="128"/>
      <c r="Q978" s="128"/>
      <c r="R978" s="128"/>
      <c r="S978" s="128"/>
      <c r="T978" s="128"/>
      <c r="U978" s="129"/>
      <c r="V978" s="128"/>
      <c r="W978" s="128"/>
      <c r="X978" s="128"/>
      <c r="Y978" s="128"/>
      <c r="Z978" s="128"/>
      <c r="AA978" s="128"/>
    </row>
    <row r="979">
      <c r="A979" s="128"/>
      <c r="B979" s="128"/>
      <c r="C979" s="128"/>
      <c r="D979" s="128"/>
      <c r="E979" s="128"/>
      <c r="F979" s="128"/>
      <c r="G979" s="212"/>
      <c r="H979" s="128"/>
      <c r="I979" s="128"/>
      <c r="J979" s="128"/>
      <c r="K979" s="128"/>
      <c r="L979" s="128"/>
      <c r="M979" s="128"/>
      <c r="N979" s="128"/>
      <c r="O979" s="128"/>
      <c r="P979" s="128"/>
      <c r="Q979" s="128"/>
      <c r="R979" s="128"/>
      <c r="S979" s="128"/>
      <c r="T979" s="128"/>
      <c r="U979" s="129"/>
      <c r="V979" s="128"/>
      <c r="W979" s="128"/>
      <c r="X979" s="128"/>
      <c r="Y979" s="128"/>
      <c r="Z979" s="128"/>
      <c r="AA979" s="128"/>
    </row>
    <row r="980">
      <c r="A980" s="128"/>
      <c r="B980" s="128"/>
      <c r="C980" s="128"/>
      <c r="D980" s="128"/>
      <c r="E980" s="128"/>
      <c r="F980" s="128"/>
      <c r="G980" s="212"/>
      <c r="H980" s="128"/>
      <c r="I980" s="128"/>
      <c r="J980" s="128"/>
      <c r="K980" s="128"/>
      <c r="L980" s="128"/>
      <c r="M980" s="128"/>
      <c r="N980" s="128"/>
      <c r="O980" s="128"/>
      <c r="P980" s="128"/>
      <c r="Q980" s="128"/>
      <c r="R980" s="128"/>
      <c r="S980" s="128"/>
      <c r="T980" s="128"/>
      <c r="U980" s="129"/>
      <c r="V980" s="128"/>
      <c r="W980" s="128"/>
      <c r="X980" s="128"/>
      <c r="Y980" s="128"/>
      <c r="Z980" s="128"/>
      <c r="AA980" s="128"/>
    </row>
    <row r="981">
      <c r="A981" s="128"/>
      <c r="B981" s="128"/>
      <c r="C981" s="128"/>
      <c r="D981" s="128"/>
      <c r="E981" s="128"/>
      <c r="F981" s="128"/>
      <c r="G981" s="212"/>
      <c r="H981" s="128"/>
      <c r="I981" s="128"/>
      <c r="J981" s="128"/>
      <c r="K981" s="128"/>
      <c r="L981" s="128"/>
      <c r="M981" s="128"/>
      <c r="N981" s="128"/>
      <c r="O981" s="128"/>
      <c r="P981" s="128"/>
      <c r="Q981" s="128"/>
      <c r="R981" s="128"/>
      <c r="S981" s="128"/>
      <c r="T981" s="128"/>
      <c r="U981" s="129"/>
      <c r="V981" s="128"/>
      <c r="W981" s="128"/>
      <c r="X981" s="128"/>
      <c r="Y981" s="128"/>
      <c r="Z981" s="128"/>
      <c r="AA981" s="128"/>
    </row>
    <row r="982">
      <c r="A982" s="128"/>
      <c r="B982" s="128"/>
      <c r="C982" s="128"/>
      <c r="D982" s="128"/>
      <c r="E982" s="128"/>
      <c r="F982" s="128"/>
      <c r="G982" s="212"/>
      <c r="H982" s="128"/>
      <c r="I982" s="128"/>
      <c r="J982" s="128"/>
      <c r="K982" s="128"/>
      <c r="L982" s="128"/>
      <c r="M982" s="128"/>
      <c r="N982" s="128"/>
      <c r="O982" s="128"/>
      <c r="P982" s="128"/>
      <c r="Q982" s="128"/>
      <c r="R982" s="128"/>
      <c r="S982" s="128"/>
      <c r="T982" s="128"/>
      <c r="U982" s="129"/>
      <c r="V982" s="128"/>
      <c r="W982" s="128"/>
      <c r="X982" s="128"/>
      <c r="Y982" s="128"/>
      <c r="Z982" s="128"/>
      <c r="AA982" s="128"/>
    </row>
    <row r="983">
      <c r="A983" s="128"/>
      <c r="B983" s="128"/>
      <c r="C983" s="128"/>
      <c r="D983" s="128"/>
      <c r="E983" s="128"/>
      <c r="F983" s="128"/>
      <c r="G983" s="212"/>
      <c r="H983" s="128"/>
      <c r="I983" s="128"/>
      <c r="J983" s="128"/>
      <c r="K983" s="128"/>
      <c r="L983" s="128"/>
      <c r="M983" s="128"/>
      <c r="N983" s="128"/>
      <c r="O983" s="128"/>
      <c r="P983" s="128"/>
      <c r="Q983" s="128"/>
      <c r="R983" s="128"/>
      <c r="S983" s="128"/>
      <c r="T983" s="128"/>
      <c r="U983" s="129"/>
      <c r="V983" s="128"/>
      <c r="W983" s="128"/>
      <c r="X983" s="128"/>
      <c r="Y983" s="128"/>
      <c r="Z983" s="128"/>
      <c r="AA983" s="128"/>
    </row>
    <row r="984">
      <c r="A984" s="128"/>
      <c r="B984" s="128"/>
      <c r="C984" s="128"/>
      <c r="D984" s="128"/>
      <c r="E984" s="128"/>
      <c r="F984" s="128"/>
      <c r="G984" s="212"/>
      <c r="H984" s="128"/>
      <c r="I984" s="128"/>
      <c r="J984" s="128"/>
      <c r="K984" s="128"/>
      <c r="L984" s="128"/>
      <c r="M984" s="128"/>
      <c r="N984" s="128"/>
      <c r="O984" s="128"/>
      <c r="P984" s="128"/>
      <c r="Q984" s="128"/>
      <c r="R984" s="128"/>
      <c r="S984" s="128"/>
      <c r="T984" s="128"/>
      <c r="U984" s="129"/>
      <c r="V984" s="128"/>
      <c r="W984" s="128"/>
      <c r="X984" s="128"/>
      <c r="Y984" s="128"/>
      <c r="Z984" s="128"/>
      <c r="AA984" s="128"/>
    </row>
    <row r="985">
      <c r="A985" s="128"/>
      <c r="B985" s="128"/>
      <c r="C985" s="128"/>
      <c r="D985" s="128"/>
      <c r="E985" s="128"/>
      <c r="F985" s="128"/>
      <c r="G985" s="212"/>
      <c r="H985" s="128"/>
      <c r="I985" s="128"/>
      <c r="J985" s="128"/>
      <c r="K985" s="128"/>
      <c r="L985" s="128"/>
      <c r="M985" s="128"/>
      <c r="N985" s="128"/>
      <c r="O985" s="128"/>
      <c r="P985" s="128"/>
      <c r="Q985" s="128"/>
      <c r="R985" s="128"/>
      <c r="S985" s="128"/>
      <c r="T985" s="128"/>
      <c r="U985" s="129"/>
      <c r="V985" s="128"/>
      <c r="W985" s="128"/>
      <c r="X985" s="128"/>
      <c r="Y985" s="128"/>
      <c r="Z985" s="128"/>
      <c r="AA985" s="128"/>
    </row>
    <row r="986">
      <c r="A986" s="128"/>
      <c r="B986" s="128"/>
      <c r="C986" s="128"/>
      <c r="D986" s="128"/>
      <c r="E986" s="128"/>
      <c r="F986" s="128"/>
      <c r="G986" s="212"/>
      <c r="H986" s="128"/>
      <c r="I986" s="128"/>
      <c r="J986" s="128"/>
      <c r="K986" s="128"/>
      <c r="L986" s="128"/>
      <c r="M986" s="128"/>
      <c r="N986" s="128"/>
      <c r="O986" s="128"/>
      <c r="P986" s="128"/>
      <c r="Q986" s="128"/>
      <c r="R986" s="128"/>
      <c r="S986" s="128"/>
      <c r="T986" s="128"/>
      <c r="U986" s="129"/>
      <c r="V986" s="128"/>
      <c r="W986" s="128"/>
      <c r="X986" s="128"/>
      <c r="Y986" s="128"/>
      <c r="Z986" s="128"/>
      <c r="AA986" s="128"/>
    </row>
    <row r="987">
      <c r="A987" s="128"/>
      <c r="B987" s="128"/>
      <c r="C987" s="128"/>
      <c r="D987" s="128"/>
      <c r="E987" s="128"/>
      <c r="F987" s="128"/>
      <c r="G987" s="212"/>
      <c r="H987" s="128"/>
      <c r="I987" s="128"/>
      <c r="J987" s="128"/>
      <c r="K987" s="128"/>
      <c r="L987" s="128"/>
      <c r="M987" s="128"/>
      <c r="N987" s="128"/>
      <c r="O987" s="128"/>
      <c r="P987" s="128"/>
      <c r="Q987" s="128"/>
      <c r="R987" s="128"/>
      <c r="S987" s="128"/>
      <c r="T987" s="128"/>
      <c r="U987" s="129"/>
      <c r="V987" s="128"/>
      <c r="W987" s="128"/>
      <c r="X987" s="128"/>
      <c r="Y987" s="128"/>
      <c r="Z987" s="128"/>
      <c r="AA987" s="128"/>
    </row>
    <row r="988">
      <c r="A988" s="128"/>
      <c r="B988" s="128"/>
      <c r="C988" s="128"/>
      <c r="D988" s="128"/>
      <c r="E988" s="128"/>
      <c r="F988" s="128"/>
      <c r="G988" s="212"/>
      <c r="H988" s="128"/>
      <c r="I988" s="128"/>
      <c r="J988" s="128"/>
      <c r="K988" s="128"/>
      <c r="L988" s="128"/>
      <c r="M988" s="128"/>
      <c r="N988" s="128"/>
      <c r="O988" s="128"/>
      <c r="P988" s="128"/>
      <c r="Q988" s="128"/>
      <c r="R988" s="128"/>
      <c r="S988" s="128"/>
      <c r="T988" s="128"/>
      <c r="U988" s="129"/>
      <c r="V988" s="128"/>
      <c r="W988" s="128"/>
      <c r="X988" s="128"/>
      <c r="Y988" s="128"/>
      <c r="Z988" s="128"/>
      <c r="AA988" s="128"/>
    </row>
    <row r="989">
      <c r="A989" s="128"/>
      <c r="B989" s="128"/>
      <c r="C989" s="128"/>
      <c r="D989" s="128"/>
      <c r="E989" s="128"/>
      <c r="F989" s="128"/>
      <c r="G989" s="212"/>
      <c r="H989" s="128"/>
      <c r="I989" s="128"/>
      <c r="J989" s="128"/>
      <c r="K989" s="128"/>
      <c r="L989" s="128"/>
      <c r="M989" s="128"/>
      <c r="N989" s="128"/>
      <c r="O989" s="128"/>
      <c r="P989" s="128"/>
      <c r="Q989" s="128"/>
      <c r="R989" s="128"/>
      <c r="S989" s="128"/>
      <c r="T989" s="128"/>
      <c r="U989" s="129"/>
      <c r="V989" s="128"/>
      <c r="W989" s="128"/>
      <c r="X989" s="128"/>
      <c r="Y989" s="128"/>
      <c r="Z989" s="128"/>
      <c r="AA989" s="128"/>
    </row>
    <row r="990">
      <c r="A990" s="128"/>
      <c r="B990" s="128"/>
      <c r="C990" s="128"/>
      <c r="D990" s="128"/>
      <c r="E990" s="128"/>
      <c r="F990" s="128"/>
      <c r="G990" s="212"/>
      <c r="H990" s="128"/>
      <c r="I990" s="128"/>
      <c r="J990" s="128"/>
      <c r="K990" s="128"/>
      <c r="L990" s="128"/>
      <c r="M990" s="128"/>
      <c r="N990" s="128"/>
      <c r="O990" s="128"/>
      <c r="P990" s="128"/>
      <c r="Q990" s="128"/>
      <c r="R990" s="128"/>
      <c r="S990" s="128"/>
      <c r="T990" s="128"/>
      <c r="U990" s="129"/>
      <c r="V990" s="128"/>
      <c r="W990" s="128"/>
      <c r="X990" s="128"/>
      <c r="Y990" s="128"/>
      <c r="Z990" s="128"/>
      <c r="AA990" s="128"/>
    </row>
    <row r="991">
      <c r="A991" s="128"/>
      <c r="B991" s="128"/>
      <c r="C991" s="128"/>
      <c r="D991" s="128"/>
      <c r="E991" s="128"/>
      <c r="F991" s="128"/>
      <c r="G991" s="212"/>
      <c r="H991" s="128"/>
      <c r="I991" s="128"/>
      <c r="J991" s="128"/>
      <c r="K991" s="128"/>
      <c r="L991" s="128"/>
      <c r="M991" s="128"/>
      <c r="N991" s="128"/>
      <c r="O991" s="128"/>
      <c r="P991" s="128"/>
      <c r="Q991" s="128"/>
      <c r="R991" s="128"/>
      <c r="S991" s="128"/>
      <c r="T991" s="128"/>
      <c r="U991" s="129"/>
      <c r="V991" s="128"/>
      <c r="W991" s="128"/>
      <c r="X991" s="128"/>
      <c r="Y991" s="128"/>
      <c r="Z991" s="128"/>
      <c r="AA991" s="128"/>
    </row>
    <row r="992">
      <c r="A992" s="128"/>
      <c r="B992" s="128"/>
      <c r="C992" s="128"/>
      <c r="D992" s="128"/>
      <c r="E992" s="128"/>
      <c r="F992" s="128"/>
      <c r="G992" s="212"/>
      <c r="H992" s="128"/>
      <c r="I992" s="128"/>
      <c r="J992" s="128"/>
      <c r="K992" s="128"/>
      <c r="L992" s="128"/>
      <c r="M992" s="128"/>
      <c r="N992" s="128"/>
      <c r="O992" s="128"/>
      <c r="P992" s="128"/>
      <c r="Q992" s="128"/>
      <c r="R992" s="128"/>
      <c r="S992" s="128"/>
      <c r="T992" s="128"/>
      <c r="U992" s="129"/>
      <c r="V992" s="128"/>
      <c r="W992" s="128"/>
      <c r="X992" s="128"/>
      <c r="Y992" s="128"/>
      <c r="Z992" s="128"/>
      <c r="AA992" s="128"/>
    </row>
    <row r="993">
      <c r="A993" s="128"/>
      <c r="B993" s="128"/>
      <c r="C993" s="128"/>
      <c r="D993" s="128"/>
      <c r="E993" s="128"/>
      <c r="F993" s="128"/>
      <c r="G993" s="212"/>
      <c r="H993" s="128"/>
      <c r="I993" s="128"/>
      <c r="J993" s="128"/>
      <c r="K993" s="128"/>
      <c r="L993" s="128"/>
      <c r="M993" s="128"/>
      <c r="N993" s="128"/>
      <c r="O993" s="128"/>
      <c r="P993" s="128"/>
      <c r="Q993" s="128"/>
      <c r="R993" s="128"/>
      <c r="S993" s="128"/>
      <c r="T993" s="128"/>
      <c r="U993" s="129"/>
      <c r="V993" s="128"/>
      <c r="W993" s="128"/>
      <c r="X993" s="128"/>
      <c r="Y993" s="128"/>
      <c r="Z993" s="128"/>
      <c r="AA993" s="128"/>
    </row>
    <row r="994">
      <c r="A994" s="128"/>
      <c r="B994" s="128"/>
      <c r="C994" s="128"/>
      <c r="D994" s="128"/>
      <c r="E994" s="128"/>
      <c r="F994" s="128"/>
      <c r="G994" s="212"/>
      <c r="H994" s="128"/>
      <c r="I994" s="128"/>
      <c r="J994" s="128"/>
      <c r="K994" s="128"/>
      <c r="L994" s="128"/>
      <c r="M994" s="128"/>
      <c r="N994" s="128"/>
      <c r="O994" s="128"/>
      <c r="P994" s="128"/>
      <c r="Q994" s="128"/>
      <c r="R994" s="128"/>
      <c r="S994" s="128"/>
      <c r="T994" s="128"/>
      <c r="U994" s="129"/>
      <c r="V994" s="128"/>
      <c r="W994" s="128"/>
      <c r="X994" s="128"/>
      <c r="Y994" s="128"/>
      <c r="Z994" s="128"/>
      <c r="AA994" s="128"/>
    </row>
    <row r="995">
      <c r="A995" s="128"/>
      <c r="B995" s="128"/>
      <c r="C995" s="128"/>
      <c r="D995" s="128"/>
      <c r="E995" s="128"/>
      <c r="F995" s="128"/>
      <c r="G995" s="212"/>
      <c r="H995" s="128"/>
      <c r="I995" s="128"/>
      <c r="J995" s="128"/>
      <c r="K995" s="128"/>
      <c r="L995" s="128"/>
      <c r="M995" s="128"/>
      <c r="N995" s="128"/>
      <c r="O995" s="128"/>
      <c r="P995" s="128"/>
      <c r="Q995" s="128"/>
      <c r="R995" s="128"/>
      <c r="S995" s="128"/>
      <c r="T995" s="128"/>
      <c r="U995" s="129"/>
      <c r="V995" s="128"/>
      <c r="W995" s="128"/>
      <c r="X995" s="128"/>
      <c r="Y995" s="128"/>
      <c r="Z995" s="128"/>
      <c r="AA995" s="128"/>
    </row>
    <row r="996">
      <c r="A996" s="128"/>
      <c r="B996" s="128"/>
      <c r="C996" s="128"/>
      <c r="D996" s="128"/>
      <c r="E996" s="128"/>
      <c r="F996" s="128"/>
      <c r="G996" s="212"/>
      <c r="H996" s="128"/>
      <c r="I996" s="128"/>
      <c r="J996" s="128"/>
      <c r="K996" s="128"/>
      <c r="L996" s="128"/>
      <c r="M996" s="128"/>
      <c r="N996" s="128"/>
      <c r="O996" s="128"/>
      <c r="P996" s="128"/>
      <c r="Q996" s="128"/>
      <c r="R996" s="128"/>
      <c r="S996" s="128"/>
      <c r="T996" s="128"/>
      <c r="U996" s="129"/>
      <c r="V996" s="128"/>
      <c r="W996" s="128"/>
      <c r="X996" s="128"/>
      <c r="Y996" s="128"/>
      <c r="Z996" s="128"/>
      <c r="AA996" s="128"/>
    </row>
    <row r="997">
      <c r="A997" s="128"/>
      <c r="B997" s="128"/>
      <c r="C997" s="128"/>
      <c r="D997" s="128"/>
      <c r="E997" s="128"/>
      <c r="F997" s="128"/>
      <c r="G997" s="212"/>
      <c r="H997" s="128"/>
      <c r="I997" s="128"/>
      <c r="J997" s="128"/>
      <c r="K997" s="128"/>
      <c r="L997" s="128"/>
      <c r="M997" s="128"/>
      <c r="N997" s="128"/>
      <c r="O997" s="128"/>
      <c r="P997" s="128"/>
      <c r="Q997" s="128"/>
      <c r="R997" s="128"/>
      <c r="S997" s="128"/>
      <c r="T997" s="128"/>
      <c r="U997" s="129"/>
      <c r="V997" s="128"/>
      <c r="W997" s="128"/>
      <c r="X997" s="128"/>
      <c r="Y997" s="128"/>
      <c r="Z997" s="128"/>
      <c r="AA997" s="128"/>
    </row>
    <row r="998">
      <c r="A998" s="128"/>
      <c r="B998" s="128"/>
      <c r="C998" s="128"/>
      <c r="D998" s="128"/>
      <c r="E998" s="128"/>
      <c r="F998" s="128"/>
      <c r="G998" s="212"/>
      <c r="H998" s="128"/>
      <c r="I998" s="128"/>
      <c r="J998" s="128"/>
      <c r="K998" s="128"/>
      <c r="L998" s="128"/>
      <c r="M998" s="128"/>
      <c r="N998" s="128"/>
      <c r="O998" s="128"/>
      <c r="P998" s="128"/>
      <c r="Q998" s="128"/>
      <c r="R998" s="128"/>
      <c r="S998" s="128"/>
      <c r="T998" s="128"/>
      <c r="U998" s="129"/>
      <c r="V998" s="128"/>
      <c r="W998" s="128"/>
      <c r="X998" s="128"/>
      <c r="Y998" s="128"/>
      <c r="Z998" s="128"/>
      <c r="AA998" s="128"/>
    </row>
    <row r="999">
      <c r="A999" s="128"/>
      <c r="B999" s="128"/>
      <c r="C999" s="128"/>
      <c r="D999" s="128"/>
      <c r="E999" s="128"/>
      <c r="F999" s="128"/>
      <c r="G999" s="212"/>
      <c r="H999" s="128"/>
      <c r="I999" s="128"/>
      <c r="J999" s="128"/>
      <c r="K999" s="128"/>
      <c r="L999" s="128"/>
      <c r="M999" s="128"/>
      <c r="N999" s="128"/>
      <c r="O999" s="128"/>
      <c r="P999" s="128"/>
      <c r="Q999" s="128"/>
      <c r="R999" s="128"/>
      <c r="S999" s="128"/>
      <c r="T999" s="128"/>
      <c r="U999" s="129"/>
      <c r="V999" s="128"/>
      <c r="W999" s="128"/>
      <c r="X999" s="128"/>
      <c r="Y999" s="128"/>
      <c r="Z999" s="128"/>
      <c r="AA999" s="128"/>
    </row>
    <row r="1000">
      <c r="A1000" s="128"/>
      <c r="B1000" s="128"/>
      <c r="C1000" s="128"/>
      <c r="D1000" s="128"/>
      <c r="E1000" s="128"/>
      <c r="F1000" s="128"/>
      <c r="G1000" s="212"/>
      <c r="H1000" s="128"/>
      <c r="I1000" s="128"/>
      <c r="J1000" s="128"/>
      <c r="K1000" s="128"/>
      <c r="L1000" s="128"/>
      <c r="M1000" s="128"/>
      <c r="N1000" s="128"/>
      <c r="O1000" s="128"/>
      <c r="P1000" s="128"/>
      <c r="Q1000" s="128"/>
      <c r="R1000" s="128"/>
      <c r="S1000" s="128"/>
      <c r="T1000" s="128"/>
      <c r="U1000" s="129"/>
      <c r="V1000" s="128"/>
      <c r="W1000" s="128"/>
      <c r="X1000" s="128"/>
      <c r="Y1000" s="128"/>
      <c r="Z1000" s="128"/>
      <c r="AA1000" s="128"/>
    </row>
    <row r="1001">
      <c r="A1001" s="128"/>
      <c r="B1001" s="128"/>
      <c r="C1001" s="128"/>
      <c r="D1001" s="128"/>
      <c r="E1001" s="128"/>
      <c r="F1001" s="128"/>
      <c r="G1001" s="212"/>
      <c r="H1001" s="128"/>
      <c r="I1001" s="128"/>
      <c r="J1001" s="128"/>
      <c r="K1001" s="128"/>
      <c r="L1001" s="128"/>
      <c r="M1001" s="128"/>
      <c r="N1001" s="128"/>
      <c r="O1001" s="128"/>
      <c r="P1001" s="128"/>
      <c r="Q1001" s="128"/>
      <c r="R1001" s="128"/>
      <c r="S1001" s="128"/>
      <c r="T1001" s="128"/>
      <c r="U1001" s="129"/>
      <c r="V1001" s="128"/>
      <c r="W1001" s="128"/>
      <c r="X1001" s="128"/>
      <c r="Y1001" s="128"/>
      <c r="Z1001" s="128"/>
      <c r="AA1001" s="128"/>
    </row>
    <row r="1002">
      <c r="A1002" s="128"/>
      <c r="B1002" s="128"/>
      <c r="C1002" s="128"/>
      <c r="D1002" s="128"/>
      <c r="E1002" s="128"/>
      <c r="F1002" s="128"/>
      <c r="G1002" s="212"/>
      <c r="H1002" s="128"/>
      <c r="I1002" s="128"/>
      <c r="J1002" s="128"/>
      <c r="K1002" s="128"/>
      <c r="L1002" s="128"/>
      <c r="M1002" s="128"/>
      <c r="N1002" s="128"/>
      <c r="O1002" s="128"/>
      <c r="P1002" s="128"/>
      <c r="Q1002" s="128"/>
      <c r="R1002" s="128"/>
      <c r="S1002" s="128"/>
      <c r="T1002" s="128"/>
      <c r="U1002" s="129"/>
      <c r="V1002" s="128"/>
      <c r="W1002" s="128"/>
      <c r="X1002" s="128"/>
      <c r="Y1002" s="128"/>
      <c r="Z1002" s="128"/>
      <c r="AA1002" s="128"/>
    </row>
    <row r="1003">
      <c r="A1003" s="128"/>
      <c r="B1003" s="128"/>
      <c r="C1003" s="128"/>
      <c r="D1003" s="128"/>
      <c r="E1003" s="128"/>
      <c r="F1003" s="128"/>
      <c r="G1003" s="212"/>
      <c r="H1003" s="128"/>
      <c r="I1003" s="128"/>
      <c r="J1003" s="128"/>
      <c r="K1003" s="128"/>
      <c r="L1003" s="128"/>
      <c r="M1003" s="128"/>
      <c r="N1003" s="128"/>
      <c r="O1003" s="128"/>
      <c r="P1003" s="128"/>
      <c r="Q1003" s="128"/>
      <c r="R1003" s="128"/>
      <c r="S1003" s="128"/>
      <c r="T1003" s="128"/>
      <c r="U1003" s="129"/>
      <c r="V1003" s="128"/>
      <c r="W1003" s="128"/>
      <c r="X1003" s="128"/>
      <c r="Y1003" s="128"/>
      <c r="Z1003" s="128"/>
      <c r="AA1003" s="128"/>
    </row>
    <row r="1004">
      <c r="A1004" s="128"/>
      <c r="B1004" s="128"/>
      <c r="C1004" s="128"/>
      <c r="D1004" s="128"/>
      <c r="E1004" s="128"/>
      <c r="F1004" s="128"/>
      <c r="G1004" s="212"/>
      <c r="H1004" s="128"/>
      <c r="I1004" s="128"/>
      <c r="J1004" s="128"/>
      <c r="K1004" s="128"/>
      <c r="L1004" s="128"/>
      <c r="M1004" s="128"/>
      <c r="N1004" s="128"/>
      <c r="O1004" s="128"/>
      <c r="P1004" s="128"/>
      <c r="Q1004" s="128"/>
      <c r="R1004" s="128"/>
      <c r="S1004" s="128"/>
      <c r="T1004" s="128"/>
      <c r="U1004" s="129"/>
      <c r="V1004" s="128"/>
      <c r="W1004" s="128"/>
      <c r="X1004" s="128"/>
      <c r="Y1004" s="128"/>
      <c r="Z1004" s="128"/>
      <c r="AA1004" s="128"/>
    </row>
    <row r="1005">
      <c r="A1005" s="128"/>
      <c r="B1005" s="128"/>
      <c r="C1005" s="128"/>
      <c r="D1005" s="128"/>
      <c r="E1005" s="128"/>
      <c r="F1005" s="128"/>
      <c r="G1005" s="212"/>
      <c r="H1005" s="128"/>
      <c r="I1005" s="128"/>
      <c r="J1005" s="128"/>
      <c r="K1005" s="128"/>
      <c r="L1005" s="128"/>
      <c r="M1005" s="128"/>
      <c r="N1005" s="128"/>
      <c r="O1005" s="128"/>
      <c r="P1005" s="128"/>
      <c r="Q1005" s="128"/>
      <c r="R1005" s="128"/>
      <c r="S1005" s="128"/>
      <c r="T1005" s="128"/>
      <c r="U1005" s="129"/>
      <c r="V1005" s="128"/>
      <c r="W1005" s="128"/>
      <c r="X1005" s="128"/>
      <c r="Y1005" s="128"/>
      <c r="Z1005" s="128"/>
      <c r="AA1005" s="128"/>
    </row>
    <row r="1006">
      <c r="A1006" s="128"/>
      <c r="B1006" s="128"/>
      <c r="C1006" s="128"/>
      <c r="D1006" s="128"/>
      <c r="E1006" s="128"/>
      <c r="F1006" s="128"/>
      <c r="G1006" s="212"/>
      <c r="H1006" s="128"/>
      <c r="I1006" s="128"/>
      <c r="J1006" s="128"/>
      <c r="K1006" s="128"/>
      <c r="L1006" s="128"/>
      <c r="M1006" s="128"/>
      <c r="N1006" s="128"/>
      <c r="O1006" s="128"/>
      <c r="P1006" s="128"/>
      <c r="Q1006" s="128"/>
      <c r="R1006" s="128"/>
      <c r="S1006" s="128"/>
      <c r="T1006" s="128"/>
      <c r="U1006" s="129"/>
      <c r="V1006" s="128"/>
      <c r="W1006" s="128"/>
      <c r="X1006" s="128"/>
      <c r="Y1006" s="128"/>
      <c r="Z1006" s="128"/>
      <c r="AA1006" s="128"/>
    </row>
    <row r="1007">
      <c r="A1007" s="128"/>
      <c r="B1007" s="128"/>
      <c r="C1007" s="128"/>
      <c r="D1007" s="128"/>
      <c r="E1007" s="128"/>
      <c r="F1007" s="128"/>
      <c r="G1007" s="212"/>
      <c r="H1007" s="128"/>
      <c r="I1007" s="128"/>
      <c r="J1007" s="128"/>
      <c r="K1007" s="128"/>
      <c r="L1007" s="128"/>
      <c r="M1007" s="128"/>
      <c r="N1007" s="128"/>
      <c r="O1007" s="128"/>
      <c r="P1007" s="128"/>
      <c r="Q1007" s="128"/>
      <c r="R1007" s="128"/>
      <c r="S1007" s="128"/>
      <c r="T1007" s="128"/>
      <c r="U1007" s="129"/>
      <c r="V1007" s="128"/>
      <c r="W1007" s="128"/>
      <c r="X1007" s="128"/>
      <c r="Y1007" s="128"/>
      <c r="Z1007" s="128"/>
      <c r="AA1007" s="128"/>
    </row>
    <row r="1008">
      <c r="A1008" s="128"/>
      <c r="B1008" s="128"/>
      <c r="C1008" s="128"/>
      <c r="D1008" s="128"/>
      <c r="E1008" s="128"/>
      <c r="F1008" s="128"/>
      <c r="G1008" s="212"/>
      <c r="H1008" s="128"/>
      <c r="I1008" s="128"/>
      <c r="J1008" s="128"/>
      <c r="K1008" s="128"/>
      <c r="L1008" s="128"/>
      <c r="M1008" s="128"/>
      <c r="N1008" s="128"/>
      <c r="O1008" s="128"/>
      <c r="P1008" s="128"/>
      <c r="Q1008" s="128"/>
      <c r="R1008" s="128"/>
      <c r="S1008" s="128"/>
      <c r="T1008" s="128"/>
      <c r="U1008" s="129"/>
      <c r="V1008" s="128"/>
      <c r="W1008" s="128"/>
      <c r="X1008" s="128"/>
      <c r="Y1008" s="128"/>
      <c r="Z1008" s="128"/>
      <c r="AA1008" s="128"/>
    </row>
    <row r="1009">
      <c r="A1009" s="128"/>
      <c r="B1009" s="128"/>
      <c r="C1009" s="128"/>
      <c r="D1009" s="128"/>
      <c r="E1009" s="128"/>
      <c r="F1009" s="128"/>
      <c r="G1009" s="212"/>
      <c r="H1009" s="128"/>
      <c r="I1009" s="128"/>
      <c r="J1009" s="128"/>
      <c r="K1009" s="128"/>
      <c r="L1009" s="128"/>
      <c r="M1009" s="128"/>
      <c r="N1009" s="128"/>
      <c r="O1009" s="128"/>
      <c r="P1009" s="128"/>
      <c r="Q1009" s="128"/>
      <c r="R1009" s="128"/>
      <c r="S1009" s="128"/>
      <c r="T1009" s="128"/>
      <c r="U1009" s="129"/>
      <c r="V1009" s="128"/>
      <c r="W1009" s="128"/>
      <c r="X1009" s="128"/>
      <c r="Y1009" s="128"/>
      <c r="Z1009" s="128"/>
      <c r="AA1009" s="128"/>
    </row>
    <row r="1010">
      <c r="A1010" s="128"/>
      <c r="B1010" s="128"/>
      <c r="C1010" s="128"/>
      <c r="D1010" s="128"/>
      <c r="E1010" s="128"/>
      <c r="F1010" s="128"/>
      <c r="G1010" s="212"/>
      <c r="H1010" s="128"/>
      <c r="I1010" s="128"/>
      <c r="J1010" s="128"/>
      <c r="K1010" s="128"/>
      <c r="L1010" s="128"/>
      <c r="M1010" s="128"/>
      <c r="N1010" s="128"/>
      <c r="O1010" s="128"/>
      <c r="P1010" s="128"/>
      <c r="Q1010" s="128"/>
      <c r="R1010" s="128"/>
      <c r="S1010" s="128"/>
      <c r="T1010" s="128"/>
      <c r="U1010" s="129"/>
      <c r="V1010" s="128"/>
      <c r="W1010" s="128"/>
      <c r="X1010" s="128"/>
      <c r="Y1010" s="128"/>
      <c r="Z1010" s="128"/>
      <c r="AA1010" s="128"/>
    </row>
    <row r="1011">
      <c r="A1011" s="128"/>
      <c r="B1011" s="128"/>
      <c r="C1011" s="128"/>
      <c r="D1011" s="128"/>
      <c r="E1011" s="128"/>
      <c r="F1011" s="128"/>
      <c r="G1011" s="212"/>
      <c r="H1011" s="128"/>
      <c r="I1011" s="128"/>
      <c r="J1011" s="128"/>
      <c r="K1011" s="128"/>
      <c r="L1011" s="128"/>
      <c r="M1011" s="128"/>
      <c r="N1011" s="128"/>
      <c r="O1011" s="128"/>
      <c r="P1011" s="128"/>
      <c r="Q1011" s="128"/>
      <c r="R1011" s="128"/>
      <c r="S1011" s="128"/>
      <c r="T1011" s="128"/>
      <c r="U1011" s="129"/>
      <c r="V1011" s="128"/>
      <c r="W1011" s="128"/>
      <c r="X1011" s="128"/>
      <c r="Y1011" s="128"/>
      <c r="Z1011" s="128"/>
      <c r="AA1011" s="128"/>
    </row>
    <row r="1012">
      <c r="A1012" s="128"/>
      <c r="B1012" s="128"/>
      <c r="C1012" s="128"/>
      <c r="D1012" s="128"/>
      <c r="E1012" s="128"/>
      <c r="F1012" s="128"/>
      <c r="G1012" s="212"/>
      <c r="H1012" s="128"/>
      <c r="I1012" s="128"/>
      <c r="J1012" s="128"/>
      <c r="K1012" s="128"/>
      <c r="L1012" s="128"/>
      <c r="M1012" s="128"/>
      <c r="N1012" s="128"/>
      <c r="O1012" s="128"/>
      <c r="P1012" s="128"/>
      <c r="Q1012" s="128"/>
      <c r="R1012" s="128"/>
      <c r="S1012" s="128"/>
      <c r="T1012" s="128"/>
      <c r="U1012" s="129"/>
      <c r="V1012" s="128"/>
      <c r="W1012" s="128"/>
      <c r="X1012" s="128"/>
      <c r="Y1012" s="128"/>
      <c r="Z1012" s="128"/>
      <c r="AA1012" s="128"/>
    </row>
    <row r="1013">
      <c r="A1013" s="128"/>
      <c r="B1013" s="128"/>
      <c r="C1013" s="128"/>
      <c r="D1013" s="128"/>
      <c r="E1013" s="128"/>
      <c r="F1013" s="128"/>
      <c r="G1013" s="212"/>
      <c r="H1013" s="128"/>
      <c r="I1013" s="128"/>
      <c r="J1013" s="128"/>
      <c r="K1013" s="128"/>
      <c r="L1013" s="128"/>
      <c r="M1013" s="128"/>
      <c r="N1013" s="128"/>
      <c r="O1013" s="128"/>
      <c r="P1013" s="128"/>
      <c r="Q1013" s="128"/>
      <c r="R1013" s="128"/>
      <c r="S1013" s="128"/>
      <c r="T1013" s="128"/>
      <c r="U1013" s="129"/>
      <c r="V1013" s="128"/>
      <c r="W1013" s="128"/>
      <c r="X1013" s="128"/>
      <c r="Y1013" s="128"/>
      <c r="Z1013" s="128"/>
      <c r="AA1013" s="128"/>
    </row>
    <row r="1014">
      <c r="A1014" s="128"/>
      <c r="B1014" s="128"/>
      <c r="C1014" s="128"/>
      <c r="D1014" s="128"/>
      <c r="E1014" s="128"/>
      <c r="F1014" s="128"/>
      <c r="G1014" s="212"/>
      <c r="H1014" s="128"/>
      <c r="I1014" s="128"/>
      <c r="J1014" s="128"/>
      <c r="K1014" s="128"/>
      <c r="L1014" s="128"/>
      <c r="M1014" s="128"/>
      <c r="N1014" s="128"/>
      <c r="O1014" s="128"/>
      <c r="P1014" s="128"/>
      <c r="Q1014" s="128"/>
      <c r="R1014" s="128"/>
      <c r="S1014" s="128"/>
      <c r="T1014" s="128"/>
      <c r="U1014" s="129"/>
      <c r="V1014" s="128"/>
      <c r="W1014" s="128"/>
      <c r="X1014" s="128"/>
      <c r="Y1014" s="128"/>
      <c r="Z1014" s="128"/>
      <c r="AA1014" s="128"/>
    </row>
    <row r="1015">
      <c r="A1015" s="128"/>
      <c r="B1015" s="128"/>
      <c r="C1015" s="128"/>
      <c r="D1015" s="128"/>
      <c r="E1015" s="128"/>
      <c r="F1015" s="128"/>
      <c r="G1015" s="212"/>
      <c r="H1015" s="128"/>
      <c r="I1015" s="128"/>
      <c r="J1015" s="128"/>
      <c r="K1015" s="128"/>
      <c r="L1015" s="128"/>
      <c r="M1015" s="128"/>
      <c r="N1015" s="128"/>
      <c r="O1015" s="128"/>
      <c r="P1015" s="128"/>
      <c r="Q1015" s="128"/>
      <c r="R1015" s="128"/>
      <c r="S1015" s="128"/>
      <c r="T1015" s="128"/>
      <c r="U1015" s="129"/>
      <c r="V1015" s="128"/>
      <c r="W1015" s="128"/>
      <c r="X1015" s="128"/>
      <c r="Y1015" s="128"/>
      <c r="Z1015" s="128"/>
      <c r="AA1015" s="128"/>
    </row>
    <row r="1016">
      <c r="A1016" s="128"/>
      <c r="B1016" s="128"/>
      <c r="C1016" s="128"/>
      <c r="D1016" s="128"/>
      <c r="E1016" s="128"/>
      <c r="F1016" s="128"/>
      <c r="G1016" s="212"/>
      <c r="H1016" s="128"/>
      <c r="I1016" s="128"/>
      <c r="J1016" s="128"/>
      <c r="K1016" s="128"/>
      <c r="L1016" s="128"/>
      <c r="M1016" s="128"/>
      <c r="N1016" s="128"/>
      <c r="O1016" s="128"/>
      <c r="P1016" s="128"/>
      <c r="Q1016" s="128"/>
      <c r="R1016" s="128"/>
      <c r="S1016" s="128"/>
      <c r="T1016" s="128"/>
      <c r="U1016" s="129"/>
      <c r="V1016" s="128"/>
      <c r="W1016" s="128"/>
      <c r="X1016" s="128"/>
      <c r="Y1016" s="128"/>
      <c r="Z1016" s="128"/>
      <c r="AA1016" s="128"/>
    </row>
    <row r="1017">
      <c r="A1017" s="128"/>
      <c r="B1017" s="128"/>
      <c r="C1017" s="128"/>
      <c r="D1017" s="128"/>
      <c r="E1017" s="128"/>
      <c r="F1017" s="128"/>
      <c r="G1017" s="212"/>
      <c r="H1017" s="128"/>
      <c r="I1017" s="128"/>
      <c r="J1017" s="128"/>
      <c r="K1017" s="128"/>
      <c r="L1017" s="128"/>
      <c r="M1017" s="128"/>
      <c r="N1017" s="128"/>
      <c r="O1017" s="128"/>
      <c r="P1017" s="128"/>
      <c r="Q1017" s="128"/>
      <c r="R1017" s="128"/>
      <c r="S1017" s="128"/>
      <c r="T1017" s="128"/>
      <c r="U1017" s="129"/>
      <c r="V1017" s="128"/>
      <c r="W1017" s="128"/>
      <c r="X1017" s="128"/>
      <c r="Y1017" s="128"/>
      <c r="Z1017" s="128"/>
      <c r="AA1017" s="128"/>
    </row>
    <row r="1018">
      <c r="A1018" s="128"/>
      <c r="B1018" s="128"/>
      <c r="C1018" s="128"/>
      <c r="D1018" s="128"/>
      <c r="E1018" s="128"/>
      <c r="F1018" s="128"/>
      <c r="G1018" s="212"/>
      <c r="H1018" s="128"/>
      <c r="I1018" s="128"/>
      <c r="J1018" s="128"/>
      <c r="K1018" s="128"/>
      <c r="L1018" s="128"/>
      <c r="M1018" s="128"/>
      <c r="N1018" s="128"/>
      <c r="O1018" s="128"/>
      <c r="P1018" s="128"/>
      <c r="Q1018" s="128"/>
      <c r="R1018" s="128"/>
      <c r="S1018" s="128"/>
      <c r="T1018" s="128"/>
      <c r="U1018" s="129"/>
      <c r="V1018" s="128"/>
      <c r="W1018" s="128"/>
      <c r="X1018" s="128"/>
      <c r="Y1018" s="128"/>
      <c r="Z1018" s="128"/>
      <c r="AA1018" s="128"/>
    </row>
    <row r="1019">
      <c r="H1019" s="128"/>
      <c r="I1019" s="128"/>
      <c r="J1019" s="128"/>
      <c r="K1019" s="128"/>
      <c r="L1019" s="128"/>
      <c r="M1019" s="128"/>
      <c r="N1019" s="128"/>
      <c r="O1019" s="128"/>
      <c r="P1019" s="128"/>
      <c r="Q1019" s="128"/>
      <c r="R1019" s="128"/>
      <c r="S1019" s="128"/>
      <c r="T1019" s="128"/>
      <c r="U1019" s="129"/>
      <c r="V1019" s="128"/>
      <c r="W1019" s="128"/>
      <c r="X1019" s="128"/>
      <c r="Y1019" s="128"/>
      <c r="Z1019" s="128"/>
      <c r="AA1019" s="128"/>
    </row>
    <row r="1020">
      <c r="H1020" s="128"/>
      <c r="I1020" s="128"/>
      <c r="J1020" s="128"/>
      <c r="K1020" s="128"/>
      <c r="L1020" s="128"/>
      <c r="M1020" s="128"/>
      <c r="N1020" s="128"/>
      <c r="O1020" s="128"/>
      <c r="P1020" s="128"/>
      <c r="Q1020" s="128"/>
      <c r="W1020" s="128"/>
      <c r="X1020" s="128"/>
      <c r="Y1020" s="128"/>
      <c r="Z1020" s="128"/>
      <c r="AA1020" s="128"/>
    </row>
    <row r="1021">
      <c r="H1021" s="128"/>
      <c r="I1021" s="128"/>
      <c r="J1021" s="128"/>
      <c r="K1021" s="128"/>
      <c r="L1021" s="128"/>
      <c r="M1021" s="128"/>
      <c r="N1021" s="128"/>
      <c r="O1021" s="128"/>
      <c r="P1021" s="128"/>
      <c r="Q1021" s="128"/>
      <c r="W1021" s="128"/>
      <c r="X1021" s="128"/>
      <c r="Y1021" s="128"/>
      <c r="Z1021" s="128"/>
      <c r="AA1021" s="128"/>
    </row>
    <row r="1022">
      <c r="H1022" s="128"/>
      <c r="I1022" s="128"/>
      <c r="J1022" s="128"/>
      <c r="K1022" s="128"/>
      <c r="L1022" s="128"/>
      <c r="M1022" s="128"/>
      <c r="N1022" s="128"/>
      <c r="O1022" s="128"/>
      <c r="P1022" s="128"/>
      <c r="Q1022" s="128"/>
      <c r="W1022" s="128"/>
      <c r="X1022" s="128"/>
      <c r="Y1022" s="128"/>
      <c r="Z1022" s="128"/>
      <c r="AA1022" s="128"/>
    </row>
    <row r="1023">
      <c r="J1023" s="128"/>
      <c r="L1023" s="128"/>
      <c r="M1023" s="128"/>
      <c r="N1023" s="128"/>
      <c r="O1023" s="128"/>
      <c r="P1023" s="128"/>
      <c r="Q1023" s="128"/>
      <c r="W1023" s="128"/>
      <c r="X1023" s="128"/>
      <c r="Y1023" s="128"/>
      <c r="Z1023" s="128"/>
      <c r="AA1023" s="128"/>
    </row>
  </sheetData>
  <autoFilter ref="$A$1:$I$230"/>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F52"/>
    <hyperlink r:id="rId51" ref="F53"/>
    <hyperlink r:id="rId52" ref="F54"/>
    <hyperlink r:id="rId53" ref="F55"/>
    <hyperlink r:id="rId54" ref="F56"/>
    <hyperlink r:id="rId55" ref="F59"/>
    <hyperlink r:id="rId56" ref="F60"/>
    <hyperlink r:id="rId57" ref="F61"/>
    <hyperlink r:id="rId58" ref="F62"/>
    <hyperlink r:id="rId59" ref="F63"/>
    <hyperlink r:id="rId60" ref="F64"/>
    <hyperlink r:id="rId61" ref="F65"/>
    <hyperlink r:id="rId62" ref="F66"/>
    <hyperlink r:id="rId63" ref="F67"/>
    <hyperlink r:id="rId64" ref="F68"/>
    <hyperlink r:id="rId65" ref="F69"/>
    <hyperlink r:id="rId66" ref="F70"/>
    <hyperlink r:id="rId67" ref="F71"/>
    <hyperlink r:id="rId68" ref="F72"/>
    <hyperlink r:id="rId69" ref="F73"/>
    <hyperlink r:id="rId70" ref="F74"/>
    <hyperlink r:id="rId71" ref="F75"/>
    <hyperlink r:id="rId72" ref="F76"/>
    <hyperlink r:id="rId73" ref="F77"/>
    <hyperlink r:id="rId74" ref="F78"/>
    <hyperlink r:id="rId75" ref="F79"/>
    <hyperlink r:id="rId76" ref="F80"/>
    <hyperlink r:id="rId77" ref="F82"/>
    <hyperlink r:id="rId78" ref="F83"/>
    <hyperlink r:id="rId79" ref="F84"/>
    <hyperlink r:id="rId80" ref="F85"/>
    <hyperlink r:id="rId81" ref="F88"/>
    <hyperlink r:id="rId82" ref="F89"/>
    <hyperlink r:id="rId83" ref="F90"/>
    <hyperlink r:id="rId84" ref="F91"/>
    <hyperlink r:id="rId85" ref="F92"/>
    <hyperlink r:id="rId86" ref="F93"/>
    <hyperlink r:id="rId87" ref="F94"/>
    <hyperlink r:id="rId88" ref="F95"/>
    <hyperlink r:id="rId89" ref="F96"/>
    <hyperlink r:id="rId90" ref="F97"/>
    <hyperlink r:id="rId91" ref="F98"/>
    <hyperlink r:id="rId92" ref="F100"/>
    <hyperlink r:id="rId93" ref="F101"/>
    <hyperlink r:id="rId94" ref="F103"/>
    <hyperlink r:id="rId95" ref="F104"/>
    <hyperlink r:id="rId96" ref="F106"/>
    <hyperlink r:id="rId97" ref="F107"/>
    <hyperlink r:id="rId98" ref="F108"/>
    <hyperlink r:id="rId99" ref="F109"/>
    <hyperlink r:id="rId100" ref="F110"/>
    <hyperlink r:id="rId101" ref="F111"/>
    <hyperlink r:id="rId102" ref="F114"/>
    <hyperlink r:id="rId103" ref="F115"/>
    <hyperlink r:id="rId104" ref="F116"/>
    <hyperlink r:id="rId105" ref="F117"/>
    <hyperlink r:id="rId106" ref="F118"/>
    <hyperlink r:id="rId107" ref="F120"/>
    <hyperlink r:id="rId108" ref="F121"/>
    <hyperlink r:id="rId109" ref="F122"/>
    <hyperlink r:id="rId110" ref="F123"/>
    <hyperlink r:id="rId111" ref="F125"/>
    <hyperlink r:id="rId112" ref="F126"/>
    <hyperlink r:id="rId113" ref="F127"/>
    <hyperlink r:id="rId114" ref="F129"/>
    <hyperlink r:id="rId115" ref="F130"/>
    <hyperlink r:id="rId116" ref="F132"/>
    <hyperlink r:id="rId117" ref="F133"/>
    <hyperlink r:id="rId118" ref="F134"/>
    <hyperlink r:id="rId119" ref="F135"/>
    <hyperlink r:id="rId120" ref="F136"/>
    <hyperlink r:id="rId121" ref="F140"/>
    <hyperlink r:id="rId122" ref="F141"/>
    <hyperlink r:id="rId123" ref="F142"/>
    <hyperlink r:id="rId124" ref="F143"/>
    <hyperlink r:id="rId125" ref="F144"/>
    <hyperlink r:id="rId126" ref="F145"/>
    <hyperlink r:id="rId127" ref="F146"/>
    <hyperlink r:id="rId128" ref="F147"/>
    <hyperlink r:id="rId129" ref="F148"/>
    <hyperlink r:id="rId130" ref="F149"/>
    <hyperlink r:id="rId131" ref="F150"/>
    <hyperlink r:id="rId132" ref="F151"/>
    <hyperlink r:id="rId133" ref="F152"/>
    <hyperlink r:id="rId134" ref="F154"/>
    <hyperlink r:id="rId135" ref="F155"/>
    <hyperlink r:id="rId136" ref="F156"/>
    <hyperlink r:id="rId137" ref="F157"/>
    <hyperlink r:id="rId138" ref="F158"/>
    <hyperlink r:id="rId139" ref="F159"/>
    <hyperlink r:id="rId140" ref="F161"/>
    <hyperlink r:id="rId141" ref="F163"/>
    <hyperlink r:id="rId142" ref="F164"/>
    <hyperlink r:id="rId143" ref="F165"/>
    <hyperlink r:id="rId144" ref="F166"/>
    <hyperlink r:id="rId145" ref="F167"/>
    <hyperlink r:id="rId146" ref="F168"/>
    <hyperlink r:id="rId147" ref="F169"/>
    <hyperlink r:id="rId148" ref="F170"/>
    <hyperlink r:id="rId149" ref="F171"/>
    <hyperlink r:id="rId150" ref="F172"/>
    <hyperlink r:id="rId151" ref="F173"/>
    <hyperlink r:id="rId152" ref="F175"/>
    <hyperlink r:id="rId153" ref="F176"/>
    <hyperlink r:id="rId154" ref="F177"/>
    <hyperlink r:id="rId155" ref="F178"/>
    <hyperlink r:id="rId156" ref="F179"/>
    <hyperlink r:id="rId157" ref="F180"/>
    <hyperlink r:id="rId158" ref="F181"/>
    <hyperlink r:id="rId159" ref="F182"/>
    <hyperlink r:id="rId160" ref="F183"/>
    <hyperlink r:id="rId161" ref="F184"/>
    <hyperlink r:id="rId162" ref="F185"/>
    <hyperlink r:id="rId163" ref="F186"/>
    <hyperlink r:id="rId164" ref="F188"/>
    <hyperlink r:id="rId165" ref="F189"/>
    <hyperlink r:id="rId166" ref="F190"/>
    <hyperlink r:id="rId167" ref="F191"/>
    <hyperlink r:id="rId168" ref="F192"/>
    <hyperlink r:id="rId169" ref="F193"/>
    <hyperlink r:id="rId170" ref="F194"/>
    <hyperlink r:id="rId171" ref="F196"/>
    <hyperlink r:id="rId172" ref="F197"/>
    <hyperlink r:id="rId173" ref="F198"/>
    <hyperlink r:id="rId174" ref="F199"/>
    <hyperlink r:id="rId175" ref="F202"/>
    <hyperlink r:id="rId176" ref="F203"/>
    <hyperlink r:id="rId177" ref="F204"/>
    <hyperlink r:id="rId178" ref="F205"/>
    <hyperlink r:id="rId179" ref="F206"/>
    <hyperlink r:id="rId180" ref="F207"/>
    <hyperlink r:id="rId181" ref="F208"/>
    <hyperlink r:id="rId182" ref="F209"/>
    <hyperlink r:id="rId183" ref="F210"/>
    <hyperlink r:id="rId184" ref="F211"/>
    <hyperlink r:id="rId185" ref="F212"/>
    <hyperlink r:id="rId186" ref="U212"/>
    <hyperlink r:id="rId187" ref="U213"/>
    <hyperlink r:id="rId188" ref="F214"/>
    <hyperlink r:id="rId189" ref="U214"/>
    <hyperlink r:id="rId190" ref="F215"/>
    <hyperlink r:id="rId191" ref="F216"/>
    <hyperlink r:id="rId192" ref="U216"/>
    <hyperlink r:id="rId193" ref="F217"/>
    <hyperlink r:id="rId194" ref="U217"/>
    <hyperlink r:id="rId195" ref="F218"/>
    <hyperlink r:id="rId196" ref="U218"/>
    <hyperlink r:id="rId197" ref="F219"/>
    <hyperlink r:id="rId198" ref="U219"/>
    <hyperlink r:id="rId199" ref="F220"/>
    <hyperlink r:id="rId200" ref="F221"/>
    <hyperlink r:id="rId201" ref="F222"/>
    <hyperlink r:id="rId202" ref="F223"/>
    <hyperlink r:id="rId203" ref="F224"/>
    <hyperlink r:id="rId204" ref="F225"/>
    <hyperlink r:id="rId205" ref="F226"/>
    <hyperlink r:id="rId206" ref="F227"/>
    <hyperlink r:id="rId207" ref="F228"/>
    <hyperlink r:id="rId208" ref="F230"/>
  </hyperlinks>
  <drawing r:id="rId209"/>
</worksheet>
</file>