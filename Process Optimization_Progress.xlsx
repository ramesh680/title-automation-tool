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C4D6A80B-5311-4B5E-B816-905687B8773E}" xr6:coauthVersionLast="47" xr6:coauthVersionMax="47" xr10:uidLastSave="{00000000-0000-0000-0000-000000000000}"/>
  <bookViews>
    <workbookView xWindow="-108" yWindow="-108" windowWidth="23256" windowHeight="12456" xr2:uid="{758921F2-A2F0-44BA-8769-6B4F205CCF4C}"/>
  </bookViews>
  <sheets>
    <sheet name="SUMMARY" sheetId="1" r:id="rId1"/>
    <sheet name="JUNE 1ST WEEK DATA" sheetId="2" r:id="rId2"/>
    <sheet name="JUNE LAST WEEK DATA" sheetId="3" r:id="rId3"/>
  </sheets>
  <definedNames>
    <definedName name="_xlnm._FilterDatabase" localSheetId="1" hidden="1">'JUNE 1ST WEEK DATA'!$A$1:$E$34</definedName>
    <definedName name="_xlnm._FilterDatabase" localSheetId="2" hidden="1">'JUNE LAST WEEK DATA'!$A$1:$E$35</definedName>
    <definedName name="_xlnm._FilterDatabase" localSheetId="0" hidden="1">SUMMARY!$A$2:$G$23</definedName>
  </definedNames>
  <calcPr calcId="191029"/>
  <pivotCaches>
    <pivotCache cacheId="35" r:id="rId4"/>
    <pivotCache cacheId="39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D21" i="1"/>
  <c r="B21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2" i="1"/>
  <c r="B3" i="1"/>
</calcChain>
</file>

<file path=xl/sharedStrings.xml><?xml version="1.0" encoding="utf-8"?>
<sst xmlns="http://schemas.openxmlformats.org/spreadsheetml/2006/main" count="377" uniqueCount="94">
  <si>
    <t>user-avatar-wrapper src</t>
  </si>
  <si>
    <t>user-name-wrapper</t>
  </si>
  <si>
    <t>task-name</t>
  </si>
  <si>
    <t>row</t>
  </si>
  <si>
    <t>https://d36887svjhykt4.cloudfront.net/users/1442953-169dce3985dec8.jpg</t>
  </si>
  <si>
    <t>Hannan Khokhar</t>
  </si>
  <si>
    <t>Brand Maintenance // TT Code Review</t>
  </si>
  <si>
    <t>1m</t>
  </si>
  <si>
    <t>Brand Maintenance // Wikipedia Redirect</t>
  </si>
  <si>
    <t>TV Season &amp; Episode Metadata Adding</t>
  </si>
  <si>
    <t>3m</t>
  </si>
  <si>
    <t>4m</t>
  </si>
  <si>
    <t>https://d36887svjhykt4.cloudfront.net/users/1436177-1698c30faabdf6.jpg</t>
  </si>
  <si>
    <t>Mainal Sharma</t>
  </si>
  <si>
    <t>Brand Maintenance // Review Domestic Release Schedule Changes</t>
  </si>
  <si>
    <t>6m</t>
  </si>
  <si>
    <t>https://d36887svjhykt4.cloudfront.net/users/1431951-169f3a52fde22a.jpg</t>
  </si>
  <si>
    <t>Pranjal Chopra</t>
  </si>
  <si>
    <t>Check for new Threads authorizations</t>
  </si>
  <si>
    <t>Brand Maintenance // Missing &amp; Low Wikipedia Page Views</t>
  </si>
  <si>
    <t>10m</t>
  </si>
  <si>
    <t>Brand Discovery // Metacritic Premiere Calendar Title Scrape</t>
  </si>
  <si>
    <t>Brand Maintenance // Rotten Tomatoes Review</t>
  </si>
  <si>
    <t>11m</t>
  </si>
  <si>
    <t>12m</t>
  </si>
  <si>
    <t>13m</t>
  </si>
  <si>
    <t>Brand Maintenance // [Data Feed] Film - Wide Release + Custom Requests Brand Set</t>
  </si>
  <si>
    <t>14m</t>
  </si>
  <si>
    <t>Brand Maintenance // Review Hulu Network</t>
  </si>
  <si>
    <t>15m</t>
  </si>
  <si>
    <t>https://d36887svjhykt4.cloudfront.net/users/1396594-167f762166a18a.jpg</t>
  </si>
  <si>
    <t>Parvej Khan</t>
  </si>
  <si>
    <t>TV Season &amp; Episode Metadata Weekly Review</t>
  </si>
  <si>
    <t>17m</t>
  </si>
  <si>
    <t>Billboard Top Artists Brand Discovery</t>
  </si>
  <si>
    <t>18m</t>
  </si>
  <si>
    <t>Brand Maintenance // Box Office Metadata Update</t>
  </si>
  <si>
    <t>19m</t>
  </si>
  <si>
    <t>20m</t>
  </si>
  <si>
    <t>22m</t>
  </si>
  <si>
    <t>23m</t>
  </si>
  <si>
    <t>Brand Maintenance // SONY Feed Monthly Prep</t>
  </si>
  <si>
    <t>1h 10m</t>
  </si>
  <si>
    <t>Brand Discovery // Brand Review</t>
  </si>
  <si>
    <t>1h 21m</t>
  </si>
  <si>
    <t>Brand Maintenance // Official YouTube Video Data Review</t>
  </si>
  <si>
    <t>1h 31m</t>
  </si>
  <si>
    <t>Brand Discovery // Weekly Film Title Adding</t>
  </si>
  <si>
    <t>1h 50m</t>
  </si>
  <si>
    <t>Brand Maintenance // Trailer Review</t>
  </si>
  <si>
    <t>1h 53m</t>
  </si>
  <si>
    <t>Brand Maintenance // SONY Feed Weekly Review</t>
  </si>
  <si>
    <t>2h 58m</t>
  </si>
  <si>
    <t>Brand Maintenance // Weekly Universe Review</t>
  </si>
  <si>
    <t>3h 14m</t>
  </si>
  <si>
    <t>Brand Discovery // Weekly TV Title Adding</t>
  </si>
  <si>
    <t>4h 34m</t>
  </si>
  <si>
    <t>4h 54m</t>
  </si>
  <si>
    <t>2m</t>
  </si>
  <si>
    <t>5m</t>
  </si>
  <si>
    <t>8m</t>
  </si>
  <si>
    <t>37m</t>
  </si>
  <si>
    <t>43m</t>
  </si>
  <si>
    <t>50m</t>
  </si>
  <si>
    <t>53m</t>
  </si>
  <si>
    <t>1h 16m</t>
  </si>
  <si>
    <t>1h 19m</t>
  </si>
  <si>
    <t>1h 30m</t>
  </si>
  <si>
    <t>1h 52m</t>
  </si>
  <si>
    <t>2h 34m</t>
  </si>
  <si>
    <t>2h 42m</t>
  </si>
  <si>
    <t>4h 13m</t>
  </si>
  <si>
    <t>6h 12m</t>
  </si>
  <si>
    <t>Row Labels</t>
  </si>
  <si>
    <t>Grand Total</t>
  </si>
  <si>
    <t>In Min.</t>
  </si>
  <si>
    <t>Sum of In Min.</t>
  </si>
  <si>
    <t>First Week</t>
  </si>
  <si>
    <t>Last Week</t>
  </si>
  <si>
    <t>Comments</t>
  </si>
  <si>
    <t>Due to the number of brands last week, it took a longer time.</t>
  </si>
  <si>
    <t>Only save 5min</t>
  </si>
  <si>
    <t>Save around 16min</t>
  </si>
  <si>
    <t>Save around 6min</t>
  </si>
  <si>
    <t>Save around 5min</t>
  </si>
  <si>
    <t>Save around 24min</t>
  </si>
  <si>
    <t>Saved Time</t>
  </si>
  <si>
    <t>Saved around 23min</t>
  </si>
  <si>
    <t>saved 10mnin</t>
  </si>
  <si>
    <t>No automation applicable</t>
  </si>
  <si>
    <t>-</t>
  </si>
  <si>
    <t>Comparision of counts of brands</t>
  </si>
  <si>
    <t>Efforts Analysis</t>
  </si>
  <si>
    <t>Total Time Save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</si>
</sst>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-0.249977111117893"/>
        <bgColor theme="4" tint="0.79998168889431442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</cellXfs>
  <cellStyles count="1">
    <cellStyle name="Normal" xfId="0" builtinId="0"/>
  </cellStyles>
  <dxfs count="13">
    <dxf>
      <fill>
        <patternFill patternType="solid">
          <fgColor rgb="FF70AD47"/>
          <bgColor rgb="FF000000"/>
        </patternFill>
      </fill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04.567895949076" createdVersion="8" refreshedVersion="8" minRefreshableVersion="3" recordCount="34" xr:uid="{6F1ACEBB-B59B-42B4-BB74-8F06957A1732}">
  <cacheSource type="worksheet">
    <worksheetSource ref="A1:E35" sheet="JUNE LAST WEEK DATA"/>
  </cacheSource>
  <cacheFields count="5">
    <cacheField name="user-avatar-wrapper src" numFmtId="0">
      <sharedItems/>
    </cacheField>
    <cacheField name="user-name-wrapper" numFmtId="0">
      <sharedItems/>
    </cacheField>
    <cacheField name="task-name" numFmtId="0">
      <sharedItems count="21">
        <s v="Billboard Top Artists Brand Discovery"/>
        <s v="Brand Discovery // Brand Review"/>
        <s v="Brand Discovery // Metacritic Premiere Calendar Title Scrape"/>
        <s v="Brand Discovery // Weekly Film Title Adding"/>
        <s v="Brand Discovery // Weekly TV Title Adding"/>
        <s v="Brand Maintenance // [Data Feed] Film - Wide Release + Custom Requests Brand Set"/>
        <s v="Brand Maintenance // Box Office Metadata Update"/>
        <s v="Brand Maintenance // Missing &amp; Low Wikipedia Page Views"/>
        <s v="Brand Maintenance // Official YouTube Video Data Review"/>
        <s v="Brand Maintenance // Review Domestic Release Schedule Changes"/>
        <s v="Brand Maintenance // Review Hulu Network"/>
        <s v="Brand Maintenance // Rotten Tomatoes Review"/>
        <s v="Brand Maintenance // SONY Feed Weekly Review"/>
        <s v="Brand Maintenance // Trailer Review"/>
        <s v="Brand Maintenance // TT Code Review"/>
        <s v="Brand Maintenance // Weekly Universe Review"/>
        <s v="Brand Maintenance // Wikipedia Redirect"/>
        <s v="Check for new Threads authorizations"/>
        <s v="TV Season &amp; Episode Metadata Adding"/>
        <s v="TV Season &amp; Episode Metadata Weekly Review"/>
        <s v="Racquet Sports Brand Maintenance // Brand Review" u="1"/>
      </sharedItems>
    </cacheField>
    <cacheField name="row" numFmtId="0">
      <sharedItems/>
    </cacheField>
    <cacheField name="In Min." numFmtId="2">
      <sharedItems containsSemiMixedTypes="0" containsString="0" containsNumber="1" containsInteger="1" minValue="1" maxValue="3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04.568020601851" createdVersion="8" refreshedVersion="8" minRefreshableVersion="3" recordCount="31" xr:uid="{04921551-B4BA-4199-9B08-91B8C9F2013B}">
  <cacheSource type="worksheet">
    <worksheetSource ref="A1:E32" sheet="JUNE 1ST WEEK DATA"/>
  </cacheSource>
  <cacheFields count="5">
    <cacheField name="user-avatar-wrapper src" numFmtId="0">
      <sharedItems/>
    </cacheField>
    <cacheField name="user-name-wrapper" numFmtId="0">
      <sharedItems/>
    </cacheField>
    <cacheField name="task-name" numFmtId="0">
      <sharedItems count="24">
        <s v="Billboard Top Artists Brand Discovery"/>
        <s v="Brand Discovery // Brand Review"/>
        <s v="Brand Discovery // Metacritic Premiere Calendar Title Scrape"/>
        <s v="Brand Discovery // Weekly Film Title Adding"/>
        <s v="Brand Discovery // Weekly TV Title Adding"/>
        <s v="Brand Maintenance // [Data Feed] Film - Wide Release + Custom Requests Brand Set"/>
        <s v="Brand Maintenance // Box Office Metadata Update"/>
        <s v="Brand Maintenance // Missing &amp; Low Wikipedia Page Views"/>
        <s v="Brand Maintenance // Official YouTube Video Data Review"/>
        <s v="Brand Maintenance // Review Domestic Release Schedule Changes"/>
        <s v="Brand Maintenance // Review Hulu Network"/>
        <s v="Brand Maintenance // Rotten Tomatoes Review"/>
        <s v="Brand Maintenance // SONY Feed Monthly Prep"/>
        <s v="Brand Maintenance // SONY Feed Weekly Review"/>
        <s v="Brand Maintenance // Trailer Review"/>
        <s v="Brand Maintenance // TT Code Review"/>
        <s v="Brand Maintenance // Weekly Universe Review"/>
        <s v="Brand Maintenance // Wikipedia Redirect"/>
        <s v="Check for new Threads authorizations"/>
        <s v="TV Season &amp; Episode Metadata Adding"/>
        <s v="TV Season &amp; Episode Metadata Weekly Review"/>
        <s v="Motor Sports Brand Discovery // Organic Search" u="1"/>
        <s v="Brand Discovery &amp; Maintenance // National Women's Soccer League" u="1"/>
        <s v="Brand Discovery // S&amp;P 500" u="1"/>
      </sharedItems>
    </cacheField>
    <cacheField name="row" numFmtId="0">
      <sharedItems/>
    </cacheField>
    <cacheField name="In Min." numFmtId="164">
      <sharedItems containsSemiMixedTypes="0" containsString="0" containsNumber="1" containsInteger="1" minValue="1" maxValue="2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https://d36887svjhykt4.cloudfront.net/users/1442953-169dce3985dec8.jpg"/>
    <s v="Hannan Khokhar"/>
    <x v="0"/>
    <s v="19m"/>
    <n v="19"/>
  </r>
  <r>
    <s v="https://d36887svjhykt4.cloudfront.net/users/1436177-1698c30faabdf6.jpg"/>
    <s v="Mainal Sharma"/>
    <x v="1"/>
    <s v="37m"/>
    <n v="37"/>
  </r>
  <r>
    <s v="https://d36887svjhykt4.cloudfront.net/users/1436177-1698c30faabdf6.jpg"/>
    <s v="Mainal Sharma"/>
    <x v="1"/>
    <s v="43m"/>
    <n v="43"/>
  </r>
  <r>
    <s v="https://d36887svjhykt4.cloudfront.net/users/1442953-169dce3985dec8.jpg"/>
    <s v="Hannan Khokhar"/>
    <x v="2"/>
    <s v="13m"/>
    <n v="13"/>
  </r>
  <r>
    <s v="https://d36887svjhykt4.cloudfront.net/users/1442953-169dce3985dec8.jpg"/>
    <s v="Hannan Khokhar"/>
    <x v="3"/>
    <s v="1h 52m"/>
    <n v="112"/>
  </r>
  <r>
    <s v="https://d36887svjhykt4.cloudfront.net/users/1442953-169dce3985dec8.jpg"/>
    <s v="Hannan Khokhar"/>
    <x v="4"/>
    <s v="6h 12m"/>
    <n v="372"/>
  </r>
  <r>
    <s v="https://d36887svjhykt4.cloudfront.net/users/1442953-169dce3985dec8.jpg"/>
    <s v="Hannan Khokhar"/>
    <x v="5"/>
    <s v="20m"/>
    <n v="20"/>
  </r>
  <r>
    <s v="https://d36887svjhykt4.cloudfront.net/users/1442953-169dce3985dec8.jpg"/>
    <s v="Hannan Khokhar"/>
    <x v="6"/>
    <s v="14m"/>
    <n v="14"/>
  </r>
  <r>
    <s v="https://d36887svjhykt4.cloudfront.net/users/1442953-169dce3985dec8.jpg"/>
    <s v="Hannan Khokhar"/>
    <x v="7"/>
    <s v="5m"/>
    <n v="5"/>
  </r>
  <r>
    <s v="https://d36887svjhykt4.cloudfront.net/users/1396594-167f762166a18a.jpg"/>
    <s v="Parvej Khan"/>
    <x v="8"/>
    <s v="1h 30m"/>
    <n v="90"/>
  </r>
  <r>
    <s v="https://d36887svjhykt4.cloudfront.net/users/1442953-169dce3985dec8.jpg"/>
    <s v="Hannan Khokhar"/>
    <x v="9"/>
    <s v="4m"/>
    <n v="4"/>
  </r>
  <r>
    <s v="https://d36887svjhykt4.cloudfront.net/users/1442953-169dce3985dec8.jpg"/>
    <s v="Hannan Khokhar"/>
    <x v="10"/>
    <s v="10m"/>
    <n v="10"/>
  </r>
  <r>
    <s v="https://d36887svjhykt4.cloudfront.net/users/1442953-169dce3985dec8.jpg"/>
    <s v="Hannan Khokhar"/>
    <x v="11"/>
    <s v="6m"/>
    <n v="6"/>
  </r>
  <r>
    <s v="https://d36887svjhykt4.cloudfront.net/users/1396594-167f762166a18a.jpg"/>
    <s v="Parvej Khan"/>
    <x v="12"/>
    <s v="2h 34m"/>
    <n v="154"/>
  </r>
  <r>
    <s v="https://d36887svjhykt4.cloudfront.net/users/1442953-169dce3985dec8.jpg"/>
    <s v="Hannan Khokhar"/>
    <x v="13"/>
    <s v="1h 16m"/>
    <n v="76"/>
  </r>
  <r>
    <s v="https://d36887svjhykt4.cloudfront.net/users/1396594-167f762166a18a.jpg"/>
    <s v="Parvej Khan"/>
    <x v="13"/>
    <s v="1h 19m"/>
    <n v="79"/>
  </r>
  <r>
    <s v="https://d36887svjhykt4.cloudfront.net/users/1442953-169dce3985dec8.jpg"/>
    <s v="Hannan Khokhar"/>
    <x v="14"/>
    <s v="2m"/>
    <n v="2"/>
  </r>
  <r>
    <s v="https://d36887svjhykt4.cloudfront.net/users/1396594-167f762166a18a.jpg"/>
    <s v="Parvej Khan"/>
    <x v="15"/>
    <s v="50m"/>
    <n v="50"/>
  </r>
  <r>
    <s v="https://d36887svjhykt4.cloudfront.net/users/1396594-167f762166a18a.jpg"/>
    <s v="Parvej Khan"/>
    <x v="15"/>
    <s v="2h 42m"/>
    <n v="162"/>
  </r>
  <r>
    <s v="https://d36887svjhykt4.cloudfront.net/users/1442953-169dce3985dec8.jpg"/>
    <s v="Hannan Khokhar"/>
    <x v="15"/>
    <s v="4h 13m"/>
    <n v="253"/>
  </r>
  <r>
    <s v="https://d36887svjhykt4.cloudfront.net/users/1442953-169dce3985dec8.jpg"/>
    <s v="Hannan Khokhar"/>
    <x v="16"/>
    <s v="6m"/>
    <n v="6"/>
  </r>
  <r>
    <s v="https://d36887svjhykt4.cloudfront.net/users/1442953-169dce3985dec8.jpg"/>
    <s v="Hannan Khokhar"/>
    <x v="16"/>
    <s v="13m"/>
    <n v="13"/>
  </r>
  <r>
    <s v="https://d36887svjhykt4.cloudfront.net/users/1442953-169dce3985dec8.jpg"/>
    <s v="Hannan Khokhar"/>
    <x v="16"/>
    <s v="15m"/>
    <n v="15"/>
  </r>
  <r>
    <s v="https://d36887svjhykt4.cloudfront.net/users/1442953-169dce3985dec8.jpg"/>
    <s v="Hannan Khokhar"/>
    <x v="16"/>
    <s v="17m"/>
    <n v="17"/>
  </r>
  <r>
    <s v="https://d36887svjhykt4.cloudfront.net/users/1442953-169dce3985dec8.jpg"/>
    <s v="Hannan Khokhar"/>
    <x v="16"/>
    <s v="53m"/>
    <n v="53"/>
  </r>
  <r>
    <s v="https://d36887svjhykt4.cloudfront.net/users/1431951-169f3a52fde22a.jpg"/>
    <s v="Pranjal Chopra"/>
    <x v="17"/>
    <s v="10m"/>
    <n v="10"/>
  </r>
  <r>
    <s v="https://d36887svjhykt4.cloudfront.net/users/1431951-169f3a52fde22a.jpg"/>
    <s v="Pranjal Chopra"/>
    <x v="17"/>
    <s v="15m"/>
    <n v="15"/>
  </r>
  <r>
    <s v="https://d36887svjhykt4.cloudfront.net/users/1442953-169dce3985dec8.jpg"/>
    <s v="Hannan Khokhar"/>
    <x v="18"/>
    <s v="1m"/>
    <n v="1"/>
  </r>
  <r>
    <s v="https://d36887svjhykt4.cloudfront.net/users/1442953-169dce3985dec8.jpg"/>
    <s v="Hannan Khokhar"/>
    <x v="18"/>
    <s v="8m"/>
    <n v="8"/>
  </r>
  <r>
    <s v="https://d36887svjhykt4.cloudfront.net/users/1442953-169dce3985dec8.jpg"/>
    <s v="Hannan Khokhar"/>
    <x v="18"/>
    <s v="10m"/>
    <n v="10"/>
  </r>
  <r>
    <s v="https://d36887svjhykt4.cloudfront.net/users/1442953-169dce3985dec8.jpg"/>
    <s v="Hannan Khokhar"/>
    <x v="18"/>
    <s v="11m"/>
    <n v="11"/>
  </r>
  <r>
    <s v="https://d36887svjhykt4.cloudfront.net/users/1442953-169dce3985dec8.jpg"/>
    <s v="Hannan Khokhar"/>
    <x v="18"/>
    <s v="14m"/>
    <n v="14"/>
  </r>
  <r>
    <s v="https://d36887svjhykt4.cloudfront.net/users/1396594-167f762166a18a.jpg"/>
    <s v="Parvej Khan"/>
    <x v="19"/>
    <s v="1m"/>
    <n v="1"/>
  </r>
  <r>
    <s v="https://d36887svjhykt4.cloudfront.net/users/1442953-169dce3985dec8.jpg"/>
    <s v="Hannan Khokhar"/>
    <x v="19"/>
    <s v="4m"/>
    <n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s v="https://d36887svjhykt4.cloudfront.net/users/1442953-169dce3985dec8.jpg"/>
    <s v="Hannan Khokhar"/>
    <x v="0"/>
    <s v="18m"/>
    <n v="18"/>
  </r>
  <r>
    <s v="https://d36887svjhykt4.cloudfront.net/users/1436177-1698c30faabdf6.jpg"/>
    <s v="Mainal Sharma"/>
    <x v="1"/>
    <s v="1h 21m"/>
    <n v="81"/>
  </r>
  <r>
    <s v="https://d36887svjhykt4.cloudfront.net/users/1442953-169dce3985dec8.jpg"/>
    <s v="Hannan Khokhar"/>
    <x v="2"/>
    <s v="10m"/>
    <n v="10"/>
  </r>
  <r>
    <s v="https://d36887svjhykt4.cloudfront.net/users/1442953-169dce3985dec8.jpg"/>
    <s v="Hannan Khokhar"/>
    <x v="3"/>
    <s v="1h 50m"/>
    <n v="110"/>
  </r>
  <r>
    <s v="https://d36887svjhykt4.cloudfront.net/users/1442953-169dce3985dec8.jpg"/>
    <s v="Hannan Khokhar"/>
    <x v="4"/>
    <s v="4h 34m"/>
    <n v="274"/>
  </r>
  <r>
    <s v="https://d36887svjhykt4.cloudfront.net/users/1442953-169dce3985dec8.jpg"/>
    <s v="Hannan Khokhar"/>
    <x v="5"/>
    <s v="13m"/>
    <n v="13"/>
  </r>
  <r>
    <s v="https://d36887svjhykt4.cloudfront.net/users/1442953-169dce3985dec8.jpg"/>
    <s v="Hannan Khokhar"/>
    <x v="6"/>
    <s v="19m"/>
    <n v="19"/>
  </r>
  <r>
    <s v="https://d36887svjhykt4.cloudfront.net/users/1442953-169dce3985dec8.jpg"/>
    <s v="Hannan Khokhar"/>
    <x v="7"/>
    <s v="10m"/>
    <n v="10"/>
  </r>
  <r>
    <s v="https://d36887svjhykt4.cloudfront.net/users/1396594-167f762166a18a.jpg"/>
    <s v="Parvej Khan"/>
    <x v="8"/>
    <s v="1h 31m"/>
    <n v="91"/>
  </r>
  <r>
    <s v="https://d36887svjhykt4.cloudfront.net/users/1436177-1698c30faabdf6.jpg"/>
    <s v="Mainal Sharma"/>
    <x v="9"/>
    <s v="6m"/>
    <n v="6"/>
  </r>
  <r>
    <s v="https://d36887svjhykt4.cloudfront.net/users/1442953-169dce3985dec8.jpg"/>
    <s v="Hannan Khokhar"/>
    <x v="9"/>
    <s v="14m"/>
    <n v="14"/>
  </r>
  <r>
    <s v="https://d36887svjhykt4.cloudfront.net/users/1442953-169dce3985dec8.jpg"/>
    <s v="Hannan Khokhar"/>
    <x v="10"/>
    <s v="14m"/>
    <n v="14"/>
  </r>
  <r>
    <s v="https://d36887svjhykt4.cloudfront.net/users/1442953-169dce3985dec8.jpg"/>
    <s v="Hannan Khokhar"/>
    <x v="11"/>
    <s v="11m"/>
    <n v="11"/>
  </r>
  <r>
    <s v="https://d36887svjhykt4.cloudfront.net/users/1396594-167f762166a18a.jpg"/>
    <s v="Parvej Khan"/>
    <x v="12"/>
    <s v="1h 10m"/>
    <n v="70"/>
  </r>
  <r>
    <s v="https://d36887svjhykt4.cloudfront.net/users/1396594-167f762166a18a.jpg"/>
    <s v="Parvej Khan"/>
    <x v="13"/>
    <s v="2h 58m"/>
    <n v="178"/>
  </r>
  <r>
    <s v="https://d36887svjhykt4.cloudfront.net/users/1396594-167f762166a18a.jpg"/>
    <s v="Parvej Khan"/>
    <x v="14"/>
    <s v="1h 53m"/>
    <n v="113"/>
  </r>
  <r>
    <s v="https://d36887svjhykt4.cloudfront.net/users/1442953-169dce3985dec8.jpg"/>
    <s v="Hannan Khokhar"/>
    <x v="15"/>
    <s v="1m"/>
    <n v="1"/>
  </r>
  <r>
    <s v="https://d36887svjhykt4.cloudfront.net/users/1396594-167f762166a18a.jpg"/>
    <s v="Parvej Khan"/>
    <x v="16"/>
    <s v="3h 14m"/>
    <n v="194"/>
  </r>
  <r>
    <s v="https://d36887svjhykt4.cloudfront.net/users/1396594-167f762166a18a.jpg"/>
    <s v="Parvej Khan"/>
    <x v="16"/>
    <s v="4h 54m"/>
    <n v="294"/>
  </r>
  <r>
    <s v="https://d36887svjhykt4.cloudfront.net/users/1442953-169dce3985dec8.jpg"/>
    <s v="Hannan Khokhar"/>
    <x v="17"/>
    <s v="1m"/>
    <n v="1"/>
  </r>
  <r>
    <s v="https://d36887svjhykt4.cloudfront.net/users/1442953-169dce3985dec8.jpg"/>
    <s v="Hannan Khokhar"/>
    <x v="17"/>
    <s v="12m"/>
    <n v="12"/>
  </r>
  <r>
    <s v="https://d36887svjhykt4.cloudfront.net/users/1442953-169dce3985dec8.jpg"/>
    <s v="Hannan Khokhar"/>
    <x v="17"/>
    <s v="17m"/>
    <n v="17"/>
  </r>
  <r>
    <s v="https://d36887svjhykt4.cloudfront.net/users/1442953-169dce3985dec8.jpg"/>
    <s v="Hannan Khokhar"/>
    <x v="17"/>
    <s v="22m"/>
    <n v="22"/>
  </r>
  <r>
    <s v="https://d36887svjhykt4.cloudfront.net/users/1442953-169dce3985dec8.jpg"/>
    <s v="Hannan Khokhar"/>
    <x v="17"/>
    <s v="23m"/>
    <n v="23"/>
  </r>
  <r>
    <s v="https://d36887svjhykt4.cloudfront.net/users/1431951-169f3a52fde22a.jpg"/>
    <s v="Pranjal Chopra"/>
    <x v="18"/>
    <s v="6m"/>
    <n v="6"/>
  </r>
  <r>
    <s v="https://d36887svjhykt4.cloudfront.net/users/1431951-169f3a52fde22a.jpg"/>
    <s v="Pranjal Chopra"/>
    <x v="18"/>
    <s v="10m"/>
    <n v="10"/>
  </r>
  <r>
    <s v="https://d36887svjhykt4.cloudfront.net/users/1442953-169dce3985dec8.jpg"/>
    <s v="Hannan Khokhar"/>
    <x v="19"/>
    <s v="3m"/>
    <n v="3"/>
  </r>
  <r>
    <s v="https://d36887svjhykt4.cloudfront.net/users/1442953-169dce3985dec8.jpg"/>
    <s v="Hannan Khokhar"/>
    <x v="19"/>
    <s v="4m"/>
    <n v="4"/>
  </r>
  <r>
    <s v="https://d36887svjhykt4.cloudfront.net/users/1442953-169dce3985dec8.jpg"/>
    <s v="Hannan Khokhar"/>
    <x v="19"/>
    <s v="12m"/>
    <n v="12"/>
  </r>
  <r>
    <s v="https://d36887svjhykt4.cloudfront.net/users/1442953-169dce3985dec8.jpg"/>
    <s v="Hannan Khokhar"/>
    <x v="19"/>
    <s v="13m"/>
    <n v="13"/>
  </r>
  <r>
    <s v="https://d36887svjhykt4.cloudfront.net/users/1396594-167f762166a18a.jpg"/>
    <s v="Parvej Khan"/>
    <x v="20"/>
    <s v="15m"/>
    <n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9208A2-035F-4E0A-8E20-D6E4B278B94E}" name="PivotTable1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:I23" firstHeaderRow="1" firstDataRow="1" firstDataCol="1"/>
  <pivotFields count="5">
    <pivotField showAll="0"/>
    <pivotField showAll="0"/>
    <pivotField axis="axisRow" showAll="0" sortType="ascending">
      <items count="25">
        <item x="0"/>
        <item m="1" x="22"/>
        <item x="1"/>
        <item x="2"/>
        <item m="1" x="23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m="1" x="21"/>
        <item x="19"/>
        <item x="20"/>
        <item t="default"/>
      </items>
    </pivotField>
    <pivotField showAll="0"/>
    <pivotField dataField="1" numFmtId="164" showAll="0"/>
  </pivotFields>
  <rowFields count="1">
    <field x="2"/>
  </rowFields>
  <rowItems count="22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2"/>
    </i>
    <i>
      <x v="23"/>
    </i>
    <i t="grand">
      <x/>
    </i>
  </rowItems>
  <colItems count="1">
    <i/>
  </colItems>
  <dataFields count="1">
    <dataField name="Sum of In Min." fld="4" baseField="0" baseItem="0" numFmtId="164"/>
  </dataFields>
  <formats count="4">
    <format dxfId="12">
      <pivotArea outline="0" collapsedLevelsAreSubtotals="1" fieldPosition="0"/>
    </format>
    <format dxfId="11">
      <pivotArea dataOnly="0" labelOnly="1" outline="0" axis="axisValues" fieldPosition="0"/>
    </format>
    <format dxfId="10">
      <pivotArea outline="0" collapsedLevelsAreSubtotals="1" fieldPosition="0"/>
    </format>
    <format dxfId="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0888EB-E8B5-43DC-BD87-77338785B023}" name="PivotTable2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:I22" firstHeaderRow="1" firstDataRow="1" firstDataCol="1"/>
  <pivotFields count="5">
    <pivotField showAll="0"/>
    <pivotField showAll="0"/>
    <pivotField axis="axisRow" showAll="0" sortType="ascending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m="1" x="20"/>
        <item x="18"/>
        <item x="19"/>
        <item t="default"/>
      </items>
    </pivotField>
    <pivotField showAll="0"/>
    <pivotField dataField="1" numFmtId="2" showAll="0"/>
  </pivotFields>
  <rowFields count="1"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9"/>
    </i>
    <i>
      <x v="20"/>
    </i>
    <i t="grand">
      <x/>
    </i>
  </rowItems>
  <colItems count="1">
    <i/>
  </colItems>
  <dataFields count="1">
    <dataField name="Sum of In Min." fld="4" baseField="0" baseItem="0" numFmtId="2"/>
  </dataFields>
  <formats count="2">
    <format dxfId="8">
      <pivotArea outline="0" collapsedLevelsAreSubtotals="1" fieldPosition="0"/>
    </format>
    <format dxfId="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FE976-AD4C-444A-801F-80B9982909E6}">
  <sheetPr filterMode="1"/>
  <dimension ref="A1:G23"/>
  <sheetViews>
    <sheetView tabSelected="1" workbookViewId="0">
      <selection activeCell="E27" sqref="E27"/>
    </sheetView>
  </sheetViews>
  <sheetFormatPr defaultRowHeight="14.4" x14ac:dyDescent="0.3"/>
  <cols>
    <col min="1" max="1" width="71" bestFit="1" customWidth="1"/>
    <col min="2" max="2" width="14.109375" style="7" bestFit="1" customWidth="1"/>
    <col min="3" max="3" width="14" style="7" bestFit="1" customWidth="1"/>
    <col min="4" max="4" width="15.109375" style="7" bestFit="1" customWidth="1"/>
    <col min="5" max="5" width="51.44140625" bestFit="1" customWidth="1"/>
    <col min="6" max="6" width="14.77734375" customWidth="1"/>
    <col min="7" max="7" width="23" customWidth="1"/>
  </cols>
  <sheetData>
    <row r="1" spans="1:7" x14ac:dyDescent="0.3">
      <c r="A1" s="18" t="s">
        <v>92</v>
      </c>
      <c r="B1" s="18"/>
      <c r="C1" s="18"/>
      <c r="D1" s="18"/>
      <c r="E1" s="18"/>
      <c r="F1" s="17" t="s">
        <v>91</v>
      </c>
      <c r="G1" s="17"/>
    </row>
    <row r="2" spans="1:7" x14ac:dyDescent="0.3">
      <c r="A2" s="14" t="s">
        <v>73</v>
      </c>
      <c r="B2" s="14" t="s">
        <v>77</v>
      </c>
      <c r="C2" s="14" t="s">
        <v>78</v>
      </c>
      <c r="D2" s="14" t="s">
        <v>86</v>
      </c>
      <c r="E2" s="14" t="s">
        <v>79</v>
      </c>
      <c r="F2" s="14" t="s">
        <v>77</v>
      </c>
      <c r="G2" s="14" t="s">
        <v>78</v>
      </c>
    </row>
    <row r="3" spans="1:7" hidden="1" x14ac:dyDescent="0.3">
      <c r="A3" s="8" t="s">
        <v>34</v>
      </c>
      <c r="B3" s="9">
        <f>VLOOKUP(A3,'JUNE 1ST WEEK DATA'!H:I,2,0)</f>
        <v>18</v>
      </c>
      <c r="C3" s="9">
        <f>VLOOKUP(A3,'JUNE LAST WEEK DATA'!H:I,2,0)</f>
        <v>19</v>
      </c>
      <c r="D3" s="9" t="s">
        <v>90</v>
      </c>
      <c r="E3" s="10" t="s">
        <v>80</v>
      </c>
      <c r="F3" s="9">
        <v>16</v>
      </c>
      <c r="G3" s="9">
        <v>14</v>
      </c>
    </row>
    <row r="4" spans="1:7" hidden="1" x14ac:dyDescent="0.3">
      <c r="A4" s="8" t="s">
        <v>43</v>
      </c>
      <c r="B4" s="9">
        <f>VLOOKUP(A4,'JUNE 1ST WEEK DATA'!H:I,2,0)</f>
        <v>81</v>
      </c>
      <c r="C4" s="9">
        <f>VLOOKUP(A4,'JUNE LAST WEEK DATA'!H:I,2,0)</f>
        <v>80</v>
      </c>
      <c r="D4" s="19" t="s">
        <v>90</v>
      </c>
      <c r="E4" s="10" t="s">
        <v>89</v>
      </c>
      <c r="F4" s="19">
        <v>8</v>
      </c>
      <c r="G4" s="19">
        <v>6</v>
      </c>
    </row>
    <row r="5" spans="1:7" x14ac:dyDescent="0.3">
      <c r="A5" s="8" t="s">
        <v>21</v>
      </c>
      <c r="B5" s="9">
        <f>VLOOKUP(A5,'JUNE 1ST WEEK DATA'!H:I,2,0)</f>
        <v>10</v>
      </c>
      <c r="C5" s="9">
        <f>VLOOKUP(A5,'JUNE LAST WEEK DATA'!H:I,2,0)</f>
        <v>13</v>
      </c>
      <c r="D5" s="16">
        <f>84*0.0065</f>
        <v>0.54599999999999993</v>
      </c>
      <c r="E5" s="10" t="s">
        <v>80</v>
      </c>
      <c r="F5" s="9">
        <v>62</v>
      </c>
      <c r="G5" s="9">
        <v>84</v>
      </c>
    </row>
    <row r="6" spans="1:7" hidden="1" x14ac:dyDescent="0.3">
      <c r="A6" s="8" t="s">
        <v>47</v>
      </c>
      <c r="B6" s="9">
        <f>VLOOKUP(A6,'JUNE 1ST WEEK DATA'!H:I,2,0)</f>
        <v>110</v>
      </c>
      <c r="C6" s="9">
        <f>VLOOKUP(A6,'JUNE LAST WEEK DATA'!H:I,2,0)</f>
        <v>112</v>
      </c>
      <c r="D6" s="19" t="s">
        <v>90</v>
      </c>
      <c r="E6" s="10" t="s">
        <v>89</v>
      </c>
      <c r="F6" s="19"/>
      <c r="G6" s="19"/>
    </row>
    <row r="7" spans="1:7" hidden="1" x14ac:dyDescent="0.3">
      <c r="A7" s="8" t="s">
        <v>55</v>
      </c>
      <c r="B7" s="9">
        <f>VLOOKUP(A7,'JUNE 1ST WEEK DATA'!H:I,2,0)</f>
        <v>274</v>
      </c>
      <c r="C7" s="9">
        <f>VLOOKUP(A7,'JUNE LAST WEEK DATA'!H:I,2,0)</f>
        <v>372</v>
      </c>
      <c r="D7" s="19" t="s">
        <v>90</v>
      </c>
      <c r="E7" s="10" t="s">
        <v>89</v>
      </c>
      <c r="F7" s="19"/>
      <c r="G7" s="19"/>
    </row>
    <row r="8" spans="1:7" hidden="1" x14ac:dyDescent="0.3">
      <c r="A8" s="8" t="s">
        <v>26</v>
      </c>
      <c r="B8" s="9">
        <f>VLOOKUP(A8,'JUNE 1ST WEEK DATA'!H:I,2,0)</f>
        <v>13</v>
      </c>
      <c r="C8" s="9">
        <f>VLOOKUP(A8,'JUNE LAST WEEK DATA'!H:I,2,0)</f>
        <v>20</v>
      </c>
      <c r="D8" s="19" t="s">
        <v>90</v>
      </c>
      <c r="E8" s="10" t="s">
        <v>89</v>
      </c>
      <c r="F8" s="19"/>
      <c r="G8" s="19"/>
    </row>
    <row r="9" spans="1:7" s="6" customFormat="1" x14ac:dyDescent="0.3">
      <c r="A9" s="11" t="s">
        <v>36</v>
      </c>
      <c r="B9" s="12">
        <f>VLOOKUP(A9,'JUNE 1ST WEEK DATA'!H:I,2,0)</f>
        <v>19</v>
      </c>
      <c r="C9" s="12">
        <f>VLOOKUP(A9,'JUNE LAST WEEK DATA'!H:I,2,0)</f>
        <v>14</v>
      </c>
      <c r="D9" s="15">
        <v>5</v>
      </c>
      <c r="E9" s="13" t="s">
        <v>81</v>
      </c>
      <c r="F9" s="13"/>
      <c r="G9" s="13"/>
    </row>
    <row r="10" spans="1:7" x14ac:dyDescent="0.3">
      <c r="A10" s="8" t="s">
        <v>19</v>
      </c>
      <c r="B10" s="9">
        <f>VLOOKUP(A10,'JUNE 1ST WEEK DATA'!H:I,2,0)</f>
        <v>10</v>
      </c>
      <c r="C10" s="9">
        <f>VLOOKUP(A10,'JUNE LAST WEEK DATA'!H:I,2,0)</f>
        <v>5</v>
      </c>
      <c r="D10" s="16">
        <v>5</v>
      </c>
      <c r="E10" s="13" t="s">
        <v>81</v>
      </c>
      <c r="F10" s="10"/>
      <c r="G10" s="10"/>
    </row>
    <row r="11" spans="1:7" hidden="1" x14ac:dyDescent="0.3">
      <c r="A11" s="8" t="s">
        <v>45</v>
      </c>
      <c r="B11" s="9">
        <f>VLOOKUP(A11,'JUNE 1ST WEEK DATA'!H:I,2,0)</f>
        <v>91</v>
      </c>
      <c r="C11" s="9">
        <f>VLOOKUP(A11,'JUNE LAST WEEK DATA'!H:I,2,0)</f>
        <v>90</v>
      </c>
      <c r="D11" s="19" t="s">
        <v>90</v>
      </c>
      <c r="E11" s="10" t="s">
        <v>89</v>
      </c>
      <c r="F11" s="19"/>
      <c r="G11" s="19"/>
    </row>
    <row r="12" spans="1:7" x14ac:dyDescent="0.3">
      <c r="A12" s="8" t="s">
        <v>14</v>
      </c>
      <c r="B12" s="9">
        <f>VLOOKUP(A12,'JUNE 1ST WEEK DATA'!H:I,2,0)</f>
        <v>20</v>
      </c>
      <c r="C12" s="9">
        <f>VLOOKUP(A12,'JUNE LAST WEEK DATA'!H:I,2,0)</f>
        <v>4</v>
      </c>
      <c r="D12" s="16">
        <v>16</v>
      </c>
      <c r="E12" s="10" t="s">
        <v>82</v>
      </c>
      <c r="F12" s="10"/>
      <c r="G12" s="10"/>
    </row>
    <row r="13" spans="1:7" x14ac:dyDescent="0.3">
      <c r="A13" s="8" t="s">
        <v>28</v>
      </c>
      <c r="B13" s="9">
        <f>VLOOKUP(A13,'JUNE 1ST WEEK DATA'!H:I,2,0)</f>
        <v>14</v>
      </c>
      <c r="C13" s="9">
        <f>VLOOKUP(A13,'JUNE LAST WEEK DATA'!H:I,2,0)</f>
        <v>10</v>
      </c>
      <c r="D13" s="16">
        <v>6</v>
      </c>
      <c r="E13" s="10" t="s">
        <v>83</v>
      </c>
      <c r="F13" s="10"/>
      <c r="G13" s="10"/>
    </row>
    <row r="14" spans="1:7" x14ac:dyDescent="0.3">
      <c r="A14" s="8" t="s">
        <v>22</v>
      </c>
      <c r="B14" s="9">
        <f>VLOOKUP(A14,'JUNE 1ST WEEK DATA'!H:I,2,0)</f>
        <v>11</v>
      </c>
      <c r="C14" s="9">
        <f>VLOOKUP(A14,'JUNE LAST WEEK DATA'!H:I,2,0)</f>
        <v>6</v>
      </c>
      <c r="D14" s="16">
        <v>5</v>
      </c>
      <c r="E14" s="10" t="s">
        <v>84</v>
      </c>
      <c r="F14" s="10"/>
      <c r="G14" s="10"/>
    </row>
    <row r="15" spans="1:7" s="6" customFormat="1" x14ac:dyDescent="0.3">
      <c r="A15" s="11" t="s">
        <v>51</v>
      </c>
      <c r="B15" s="9">
        <f>VLOOKUP(A15,'JUNE 1ST WEEK DATA'!H:I,2,0)</f>
        <v>178</v>
      </c>
      <c r="C15" s="9">
        <f>VLOOKUP(A15,'JUNE LAST WEEK DATA'!H:I,2,0)</f>
        <v>154</v>
      </c>
      <c r="D15" s="16">
        <v>24</v>
      </c>
      <c r="E15" s="13" t="s">
        <v>85</v>
      </c>
      <c r="F15" s="13"/>
      <c r="G15" s="13"/>
    </row>
    <row r="16" spans="1:7" s="6" customFormat="1" hidden="1" x14ac:dyDescent="0.3">
      <c r="A16" s="11" t="s">
        <v>49</v>
      </c>
      <c r="B16" s="9">
        <f>VLOOKUP(A16,'JUNE 1ST WEEK DATA'!H:I,2,0)</f>
        <v>113</v>
      </c>
      <c r="C16" s="9">
        <f>VLOOKUP(A16,'JUNE LAST WEEK DATA'!H:I,2,0)</f>
        <v>155</v>
      </c>
      <c r="D16" s="19" t="s">
        <v>90</v>
      </c>
      <c r="E16" s="13" t="s">
        <v>89</v>
      </c>
      <c r="F16" s="20"/>
      <c r="G16" s="20"/>
    </row>
    <row r="17" spans="1:7" s="6" customFormat="1" hidden="1" x14ac:dyDescent="0.3">
      <c r="A17" s="11" t="s">
        <v>6</v>
      </c>
      <c r="B17" s="9">
        <f>VLOOKUP(A17,'JUNE 1ST WEEK DATA'!H:I,2,0)</f>
        <v>1</v>
      </c>
      <c r="C17" s="9">
        <f>VLOOKUP(A17,'JUNE LAST WEEK DATA'!H:I,2,0)</f>
        <v>2</v>
      </c>
      <c r="D17" s="19" t="s">
        <v>90</v>
      </c>
      <c r="E17" s="13" t="s">
        <v>89</v>
      </c>
      <c r="F17" s="20"/>
      <c r="G17" s="20"/>
    </row>
    <row r="18" spans="1:7" s="6" customFormat="1" x14ac:dyDescent="0.3">
      <c r="A18" s="11" t="s">
        <v>53</v>
      </c>
      <c r="B18" s="9">
        <f>VLOOKUP(A18,'JUNE 1ST WEEK DATA'!H:I,2,0)</f>
        <v>488</v>
      </c>
      <c r="C18" s="9">
        <f>VLOOKUP(A18,'JUNE LAST WEEK DATA'!H:I,2,0)</f>
        <v>465</v>
      </c>
      <c r="D18" s="16">
        <v>23</v>
      </c>
      <c r="E18" s="13" t="s">
        <v>87</v>
      </c>
      <c r="F18" s="13"/>
      <c r="G18" s="13"/>
    </row>
    <row r="19" spans="1:7" s="6" customFormat="1" hidden="1" x14ac:dyDescent="0.3">
      <c r="A19" s="11" t="s">
        <v>8</v>
      </c>
      <c r="B19" s="9">
        <f>VLOOKUP(A19,'JUNE 1ST WEEK DATA'!H:I,2,0)</f>
        <v>75</v>
      </c>
      <c r="C19" s="9">
        <f>VLOOKUP(A19,'JUNE LAST WEEK DATA'!H:I,2,0)</f>
        <v>104</v>
      </c>
      <c r="D19" s="19" t="s">
        <v>90</v>
      </c>
      <c r="E19" s="13" t="s">
        <v>89</v>
      </c>
      <c r="F19" s="20"/>
      <c r="G19" s="20"/>
    </row>
    <row r="20" spans="1:7" s="6" customFormat="1" hidden="1" x14ac:dyDescent="0.3">
      <c r="A20" s="11" t="s">
        <v>18</v>
      </c>
      <c r="B20" s="9">
        <f>VLOOKUP(A20,'JUNE 1ST WEEK DATA'!H:I,2,0)</f>
        <v>16</v>
      </c>
      <c r="C20" s="9">
        <f>VLOOKUP(A20,'JUNE LAST WEEK DATA'!H:I,2,0)</f>
        <v>25</v>
      </c>
      <c r="D20" s="19" t="s">
        <v>90</v>
      </c>
      <c r="E20" s="13" t="s">
        <v>89</v>
      </c>
      <c r="F20" s="20"/>
      <c r="G20" s="20"/>
    </row>
    <row r="21" spans="1:7" x14ac:dyDescent="0.3">
      <c r="A21" s="8" t="s">
        <v>9</v>
      </c>
      <c r="B21" s="9">
        <f>VLOOKUP(A21,'JUNE 1ST WEEK DATA'!H:I,2,0)</f>
        <v>32</v>
      </c>
      <c r="C21" s="9">
        <f>VLOOKUP(A21,'JUNE LAST WEEK DATA'!H:I,2,0)</f>
        <v>44</v>
      </c>
      <c r="D21" s="16">
        <f>24*0.08</f>
        <v>1.92</v>
      </c>
      <c r="E21" s="13" t="s">
        <v>80</v>
      </c>
      <c r="F21" s="9">
        <v>17</v>
      </c>
      <c r="G21" s="9">
        <v>41</v>
      </c>
    </row>
    <row r="22" spans="1:7" x14ac:dyDescent="0.3">
      <c r="A22" s="8" t="s">
        <v>32</v>
      </c>
      <c r="B22" s="9">
        <f>VLOOKUP(A22,'JUNE 1ST WEEK DATA'!H:I,2,0)</f>
        <v>15</v>
      </c>
      <c r="C22" s="9">
        <f>VLOOKUP(A22,'JUNE LAST WEEK DATA'!H:I,2,0)</f>
        <v>5</v>
      </c>
      <c r="D22" s="16">
        <v>10</v>
      </c>
      <c r="E22" s="10" t="s">
        <v>88</v>
      </c>
      <c r="F22" s="10"/>
      <c r="G22" s="10"/>
    </row>
    <row r="23" spans="1:7" x14ac:dyDescent="0.3">
      <c r="C23" s="21" t="s">
        <v>93</v>
      </c>
      <c r="D23" s="21">
        <v>96.46</v>
      </c>
    </row>
  </sheetData>
  <autoFilter ref="A2:G23" xr:uid="{22AFE976-AD4C-444A-801F-80B9982909E6}">
    <filterColumn colId="3">
      <filters>
        <filter val="0.546"/>
        <filter val="1.92"/>
        <filter val="10"/>
        <filter val="16"/>
        <filter val="23"/>
        <filter val="24"/>
        <filter val="5"/>
        <filter val="6"/>
        <filter val="96.46"/>
      </filters>
    </filterColumn>
  </autoFilter>
  <mergeCells count="2">
    <mergeCell ref="F1:G1"/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6FE28-DA78-418B-BF1B-3625C61779E4}">
  <sheetPr filterMode="1"/>
  <dimension ref="A1:I34"/>
  <sheetViews>
    <sheetView topLeftCell="B1" workbookViewId="0">
      <selection activeCell="D3" sqref="D3"/>
    </sheetView>
  </sheetViews>
  <sheetFormatPr defaultRowHeight="14.4" x14ac:dyDescent="0.3"/>
  <cols>
    <col min="1" max="1" width="63.88671875" bestFit="1" customWidth="1"/>
    <col min="2" max="2" width="17.33203125" bestFit="1" customWidth="1"/>
    <col min="3" max="3" width="71" bestFit="1" customWidth="1"/>
    <col min="4" max="5" width="8" bestFit="1" customWidth="1"/>
    <col min="8" max="8" width="71" bestFit="1" customWidth="1"/>
    <col min="9" max="9" width="13.5546875" style="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75</v>
      </c>
      <c r="H1" s="1" t="s">
        <v>73</v>
      </c>
      <c r="I1" s="5" t="s">
        <v>76</v>
      </c>
    </row>
    <row r="2" spans="1:9" hidden="1" x14ac:dyDescent="0.3">
      <c r="A2" t="s">
        <v>4</v>
      </c>
      <c r="B2" t="s">
        <v>5</v>
      </c>
      <c r="C2" t="s">
        <v>34</v>
      </c>
      <c r="D2" t="s">
        <v>35</v>
      </c>
      <c r="E2" s="4">
        <v>18</v>
      </c>
      <c r="H2" s="2" t="s">
        <v>34</v>
      </c>
      <c r="I2" s="5">
        <v>18</v>
      </c>
    </row>
    <row r="3" spans="1:9" x14ac:dyDescent="0.3">
      <c r="A3" t="s">
        <v>12</v>
      </c>
      <c r="B3" t="s">
        <v>13</v>
      </c>
      <c r="C3" t="s">
        <v>43</v>
      </c>
      <c r="D3" t="s">
        <v>44</v>
      </c>
      <c r="E3" s="4">
        <v>81</v>
      </c>
      <c r="H3" s="2" t="s">
        <v>43</v>
      </c>
      <c r="I3" s="5">
        <v>81</v>
      </c>
    </row>
    <row r="4" spans="1:9" hidden="1" x14ac:dyDescent="0.3">
      <c r="A4" t="s">
        <v>4</v>
      </c>
      <c r="B4" t="s">
        <v>5</v>
      </c>
      <c r="C4" t="s">
        <v>21</v>
      </c>
      <c r="D4" t="s">
        <v>20</v>
      </c>
      <c r="E4" s="4">
        <v>10</v>
      </c>
      <c r="H4" s="2" t="s">
        <v>21</v>
      </c>
      <c r="I4" s="5">
        <v>10</v>
      </c>
    </row>
    <row r="5" spans="1:9" hidden="1" x14ac:dyDescent="0.3">
      <c r="A5" t="s">
        <v>4</v>
      </c>
      <c r="B5" t="s">
        <v>5</v>
      </c>
      <c r="C5" t="s">
        <v>47</v>
      </c>
      <c r="D5" t="s">
        <v>48</v>
      </c>
      <c r="E5" s="4">
        <v>110</v>
      </c>
      <c r="H5" s="2" t="s">
        <v>47</v>
      </c>
      <c r="I5" s="5">
        <v>110</v>
      </c>
    </row>
    <row r="6" spans="1:9" hidden="1" x14ac:dyDescent="0.3">
      <c r="A6" t="s">
        <v>4</v>
      </c>
      <c r="B6" t="s">
        <v>5</v>
      </c>
      <c r="C6" t="s">
        <v>55</v>
      </c>
      <c r="D6" t="s">
        <v>56</v>
      </c>
      <c r="E6" s="4">
        <v>274</v>
      </c>
      <c r="H6" s="2" t="s">
        <v>55</v>
      </c>
      <c r="I6" s="5">
        <v>274</v>
      </c>
    </row>
    <row r="7" spans="1:9" hidden="1" x14ac:dyDescent="0.3">
      <c r="A7" t="s">
        <v>4</v>
      </c>
      <c r="B7" t="s">
        <v>5</v>
      </c>
      <c r="C7" t="s">
        <v>26</v>
      </c>
      <c r="D7" t="s">
        <v>25</v>
      </c>
      <c r="E7" s="4">
        <v>13</v>
      </c>
      <c r="H7" s="2" t="s">
        <v>26</v>
      </c>
      <c r="I7" s="5">
        <v>13</v>
      </c>
    </row>
    <row r="8" spans="1:9" hidden="1" x14ac:dyDescent="0.3">
      <c r="A8" t="s">
        <v>4</v>
      </c>
      <c r="B8" t="s">
        <v>5</v>
      </c>
      <c r="C8" t="s">
        <v>36</v>
      </c>
      <c r="D8" t="s">
        <v>37</v>
      </c>
      <c r="E8" s="4">
        <v>19</v>
      </c>
      <c r="H8" s="2" t="s">
        <v>36</v>
      </c>
      <c r="I8" s="5">
        <v>19</v>
      </c>
    </row>
    <row r="9" spans="1:9" hidden="1" x14ac:dyDescent="0.3">
      <c r="A9" t="s">
        <v>4</v>
      </c>
      <c r="B9" t="s">
        <v>5</v>
      </c>
      <c r="C9" t="s">
        <v>19</v>
      </c>
      <c r="D9" t="s">
        <v>20</v>
      </c>
      <c r="E9" s="4">
        <v>10</v>
      </c>
      <c r="H9" s="2" t="s">
        <v>19</v>
      </c>
      <c r="I9" s="5">
        <v>10</v>
      </c>
    </row>
    <row r="10" spans="1:9" hidden="1" x14ac:dyDescent="0.3">
      <c r="A10" t="s">
        <v>30</v>
      </c>
      <c r="B10" t="s">
        <v>31</v>
      </c>
      <c r="C10" t="s">
        <v>45</v>
      </c>
      <c r="D10" t="s">
        <v>46</v>
      </c>
      <c r="E10" s="4">
        <v>91</v>
      </c>
      <c r="H10" s="2" t="s">
        <v>45</v>
      </c>
      <c r="I10" s="5">
        <v>91</v>
      </c>
    </row>
    <row r="11" spans="1:9" hidden="1" x14ac:dyDescent="0.3">
      <c r="A11" t="s">
        <v>12</v>
      </c>
      <c r="B11" t="s">
        <v>13</v>
      </c>
      <c r="C11" t="s">
        <v>14</v>
      </c>
      <c r="D11" t="s">
        <v>15</v>
      </c>
      <c r="E11" s="4">
        <v>6</v>
      </c>
      <c r="H11" s="2" t="s">
        <v>14</v>
      </c>
      <c r="I11" s="5">
        <v>20</v>
      </c>
    </row>
    <row r="12" spans="1:9" hidden="1" x14ac:dyDescent="0.3">
      <c r="A12" t="s">
        <v>4</v>
      </c>
      <c r="B12" t="s">
        <v>5</v>
      </c>
      <c r="C12" t="s">
        <v>14</v>
      </c>
      <c r="D12" t="s">
        <v>27</v>
      </c>
      <c r="E12" s="4">
        <v>14</v>
      </c>
      <c r="H12" s="2" t="s">
        <v>28</v>
      </c>
      <c r="I12" s="5">
        <v>14</v>
      </c>
    </row>
    <row r="13" spans="1:9" hidden="1" x14ac:dyDescent="0.3">
      <c r="A13" t="s">
        <v>4</v>
      </c>
      <c r="B13" t="s">
        <v>5</v>
      </c>
      <c r="C13" t="s">
        <v>28</v>
      </c>
      <c r="D13" t="s">
        <v>27</v>
      </c>
      <c r="E13" s="4">
        <v>14</v>
      </c>
      <c r="H13" s="2" t="s">
        <v>22</v>
      </c>
      <c r="I13" s="5">
        <v>11</v>
      </c>
    </row>
    <row r="14" spans="1:9" hidden="1" x14ac:dyDescent="0.3">
      <c r="A14" t="s">
        <v>4</v>
      </c>
      <c r="B14" t="s">
        <v>5</v>
      </c>
      <c r="C14" t="s">
        <v>22</v>
      </c>
      <c r="D14" t="s">
        <v>23</v>
      </c>
      <c r="E14" s="4">
        <v>11</v>
      </c>
      <c r="H14" s="2" t="s">
        <v>41</v>
      </c>
      <c r="I14" s="5">
        <v>70</v>
      </c>
    </row>
    <row r="15" spans="1:9" hidden="1" x14ac:dyDescent="0.3">
      <c r="A15" t="s">
        <v>30</v>
      </c>
      <c r="B15" t="s">
        <v>31</v>
      </c>
      <c r="C15" t="s">
        <v>41</v>
      </c>
      <c r="D15" t="s">
        <v>42</v>
      </c>
      <c r="E15" s="4">
        <v>70</v>
      </c>
      <c r="H15" s="2" t="s">
        <v>51</v>
      </c>
      <c r="I15" s="5">
        <v>178</v>
      </c>
    </row>
    <row r="16" spans="1:9" hidden="1" x14ac:dyDescent="0.3">
      <c r="A16" t="s">
        <v>30</v>
      </c>
      <c r="B16" t="s">
        <v>31</v>
      </c>
      <c r="C16" t="s">
        <v>51</v>
      </c>
      <c r="D16" t="s">
        <v>52</v>
      </c>
      <c r="E16" s="4">
        <v>178</v>
      </c>
      <c r="H16" s="2" t="s">
        <v>49</v>
      </c>
      <c r="I16" s="5">
        <v>113</v>
      </c>
    </row>
    <row r="17" spans="1:9" hidden="1" x14ac:dyDescent="0.3">
      <c r="A17" t="s">
        <v>30</v>
      </c>
      <c r="B17" t="s">
        <v>31</v>
      </c>
      <c r="C17" t="s">
        <v>49</v>
      </c>
      <c r="D17" t="s">
        <v>50</v>
      </c>
      <c r="E17" s="4">
        <v>113</v>
      </c>
      <c r="H17" s="2" t="s">
        <v>6</v>
      </c>
      <c r="I17" s="5">
        <v>1</v>
      </c>
    </row>
    <row r="18" spans="1:9" hidden="1" x14ac:dyDescent="0.3">
      <c r="A18" t="s">
        <v>4</v>
      </c>
      <c r="B18" t="s">
        <v>5</v>
      </c>
      <c r="C18" t="s">
        <v>6</v>
      </c>
      <c r="D18" t="s">
        <v>7</v>
      </c>
      <c r="E18" s="4">
        <v>1</v>
      </c>
      <c r="H18" s="2" t="s">
        <v>53</v>
      </c>
      <c r="I18" s="5">
        <v>488</v>
      </c>
    </row>
    <row r="19" spans="1:9" hidden="1" x14ac:dyDescent="0.3">
      <c r="A19" t="s">
        <v>30</v>
      </c>
      <c r="B19" t="s">
        <v>31</v>
      </c>
      <c r="C19" t="s">
        <v>53</v>
      </c>
      <c r="D19" t="s">
        <v>54</v>
      </c>
      <c r="E19" s="4">
        <v>194</v>
      </c>
      <c r="H19" s="2" t="s">
        <v>8</v>
      </c>
      <c r="I19" s="5">
        <v>75</v>
      </c>
    </row>
    <row r="20" spans="1:9" hidden="1" x14ac:dyDescent="0.3">
      <c r="A20" t="s">
        <v>30</v>
      </c>
      <c r="B20" t="s">
        <v>31</v>
      </c>
      <c r="C20" t="s">
        <v>53</v>
      </c>
      <c r="D20" t="s">
        <v>57</v>
      </c>
      <c r="E20" s="4">
        <v>294</v>
      </c>
      <c r="H20" s="2" t="s">
        <v>18</v>
      </c>
      <c r="I20" s="5">
        <v>16</v>
      </c>
    </row>
    <row r="21" spans="1:9" hidden="1" x14ac:dyDescent="0.3">
      <c r="A21" t="s">
        <v>4</v>
      </c>
      <c r="B21" t="s">
        <v>5</v>
      </c>
      <c r="C21" t="s">
        <v>8</v>
      </c>
      <c r="D21" t="s">
        <v>7</v>
      </c>
      <c r="E21" s="4">
        <v>1</v>
      </c>
      <c r="H21" s="2" t="s">
        <v>9</v>
      </c>
      <c r="I21" s="5">
        <v>32</v>
      </c>
    </row>
    <row r="22" spans="1:9" hidden="1" x14ac:dyDescent="0.3">
      <c r="A22" t="s">
        <v>4</v>
      </c>
      <c r="B22" t="s">
        <v>5</v>
      </c>
      <c r="C22" t="s">
        <v>8</v>
      </c>
      <c r="D22" t="s">
        <v>24</v>
      </c>
      <c r="E22" s="4">
        <v>12</v>
      </c>
      <c r="H22" s="2" t="s">
        <v>32</v>
      </c>
      <c r="I22" s="5">
        <v>15</v>
      </c>
    </row>
    <row r="23" spans="1:9" hidden="1" x14ac:dyDescent="0.3">
      <c r="A23" t="s">
        <v>4</v>
      </c>
      <c r="B23" t="s">
        <v>5</v>
      </c>
      <c r="C23" t="s">
        <v>8</v>
      </c>
      <c r="D23" t="s">
        <v>33</v>
      </c>
      <c r="E23" s="4">
        <v>17</v>
      </c>
      <c r="H23" s="2" t="s">
        <v>74</v>
      </c>
      <c r="I23" s="5">
        <v>1659</v>
      </c>
    </row>
    <row r="24" spans="1:9" hidden="1" x14ac:dyDescent="0.3">
      <c r="A24" t="s">
        <v>4</v>
      </c>
      <c r="B24" t="s">
        <v>5</v>
      </c>
      <c r="C24" t="s">
        <v>8</v>
      </c>
      <c r="D24" t="s">
        <v>39</v>
      </c>
      <c r="E24" s="4">
        <v>22</v>
      </c>
      <c r="I24"/>
    </row>
    <row r="25" spans="1:9" hidden="1" x14ac:dyDescent="0.3">
      <c r="A25" t="s">
        <v>4</v>
      </c>
      <c r="B25" t="s">
        <v>5</v>
      </c>
      <c r="C25" t="s">
        <v>8</v>
      </c>
      <c r="D25" t="s">
        <v>40</v>
      </c>
      <c r="E25" s="4">
        <v>23</v>
      </c>
      <c r="I25"/>
    </row>
    <row r="26" spans="1:9" hidden="1" x14ac:dyDescent="0.3">
      <c r="A26" t="s">
        <v>16</v>
      </c>
      <c r="B26" t="s">
        <v>17</v>
      </c>
      <c r="C26" t="s">
        <v>18</v>
      </c>
      <c r="D26" t="s">
        <v>15</v>
      </c>
      <c r="E26" s="4">
        <v>6</v>
      </c>
      <c r="I26"/>
    </row>
    <row r="27" spans="1:9" hidden="1" x14ac:dyDescent="0.3">
      <c r="A27" t="s">
        <v>16</v>
      </c>
      <c r="B27" t="s">
        <v>17</v>
      </c>
      <c r="C27" t="s">
        <v>18</v>
      </c>
      <c r="D27" t="s">
        <v>20</v>
      </c>
      <c r="E27" s="4">
        <v>10</v>
      </c>
    </row>
    <row r="28" spans="1:9" hidden="1" x14ac:dyDescent="0.3">
      <c r="A28" t="s">
        <v>4</v>
      </c>
      <c r="B28" t="s">
        <v>5</v>
      </c>
      <c r="C28" t="s">
        <v>9</v>
      </c>
      <c r="D28" t="s">
        <v>10</v>
      </c>
      <c r="E28" s="4">
        <v>3</v>
      </c>
    </row>
    <row r="29" spans="1:9" hidden="1" x14ac:dyDescent="0.3">
      <c r="A29" t="s">
        <v>4</v>
      </c>
      <c r="B29" t="s">
        <v>5</v>
      </c>
      <c r="C29" t="s">
        <v>9</v>
      </c>
      <c r="D29" t="s">
        <v>11</v>
      </c>
      <c r="E29" s="4">
        <v>4</v>
      </c>
    </row>
    <row r="30" spans="1:9" hidden="1" x14ac:dyDescent="0.3">
      <c r="A30" t="s">
        <v>4</v>
      </c>
      <c r="B30" t="s">
        <v>5</v>
      </c>
      <c r="C30" t="s">
        <v>9</v>
      </c>
      <c r="D30" t="s">
        <v>24</v>
      </c>
      <c r="E30" s="4">
        <v>12</v>
      </c>
    </row>
    <row r="31" spans="1:9" hidden="1" x14ac:dyDescent="0.3">
      <c r="A31" t="s">
        <v>4</v>
      </c>
      <c r="B31" t="s">
        <v>5</v>
      </c>
      <c r="C31" t="s">
        <v>9</v>
      </c>
      <c r="D31" t="s">
        <v>25</v>
      </c>
      <c r="E31" s="4">
        <v>13</v>
      </c>
    </row>
    <row r="32" spans="1:9" hidden="1" x14ac:dyDescent="0.3">
      <c r="A32" t="s">
        <v>30</v>
      </c>
      <c r="B32" t="s">
        <v>31</v>
      </c>
      <c r="C32" t="s">
        <v>32</v>
      </c>
      <c r="D32" t="s">
        <v>29</v>
      </c>
      <c r="E32" s="4">
        <v>15</v>
      </c>
    </row>
    <row r="33" hidden="1" x14ac:dyDescent="0.3"/>
    <row r="34" hidden="1" x14ac:dyDescent="0.3"/>
  </sheetData>
  <autoFilter ref="A1:E34" xr:uid="{1956FE28-DA78-418B-BF1B-3625C61779E4}">
    <filterColumn colId="2">
      <filters>
        <filter val="Brand Discovery // Brand Review"/>
      </filters>
    </filterColumn>
    <sortState xmlns:xlrd2="http://schemas.microsoft.com/office/spreadsheetml/2017/richdata2" ref="A2:E34">
      <sortCondition ref="C1:C3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87965-5FF1-4190-A24B-2FFA83DA6F89}">
  <sheetPr filterMode="1"/>
  <dimension ref="A1:I35"/>
  <sheetViews>
    <sheetView workbookViewId="0">
      <selection activeCell="D3" sqref="D3"/>
    </sheetView>
  </sheetViews>
  <sheetFormatPr defaultRowHeight="14.4" x14ac:dyDescent="0.3"/>
  <cols>
    <col min="1" max="1" width="63.88671875" bestFit="1" customWidth="1"/>
    <col min="2" max="2" width="17.33203125" bestFit="1" customWidth="1"/>
    <col min="3" max="3" width="71" bestFit="1" customWidth="1"/>
    <col min="4" max="4" width="8" bestFit="1" customWidth="1"/>
    <col min="5" max="5" width="8" style="5" bestFit="1" customWidth="1"/>
    <col min="8" max="8" width="71" bestFit="1" customWidth="1"/>
    <col min="9" max="9" width="13.5546875" style="3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s="5" t="s">
        <v>75</v>
      </c>
      <c r="H1" s="1" t="s">
        <v>73</v>
      </c>
      <c r="I1" s="3" t="s">
        <v>76</v>
      </c>
    </row>
    <row r="2" spans="1:9" hidden="1" x14ac:dyDescent="0.3">
      <c r="A2" t="s">
        <v>4</v>
      </c>
      <c r="B2" t="s">
        <v>5</v>
      </c>
      <c r="C2" t="s">
        <v>34</v>
      </c>
      <c r="D2" t="s">
        <v>37</v>
      </c>
      <c r="E2" s="5">
        <v>19</v>
      </c>
      <c r="H2" s="2" t="s">
        <v>34</v>
      </c>
      <c r="I2" s="5">
        <v>19</v>
      </c>
    </row>
    <row r="3" spans="1:9" x14ac:dyDescent="0.3">
      <c r="A3" t="s">
        <v>12</v>
      </c>
      <c r="B3" t="s">
        <v>13</v>
      </c>
      <c r="C3" t="s">
        <v>43</v>
      </c>
      <c r="D3" t="s">
        <v>61</v>
      </c>
      <c r="E3" s="5">
        <v>37</v>
      </c>
      <c r="H3" s="2" t="s">
        <v>43</v>
      </c>
      <c r="I3" s="5">
        <v>80</v>
      </c>
    </row>
    <row r="4" spans="1:9" x14ac:dyDescent="0.3">
      <c r="A4" t="s">
        <v>12</v>
      </c>
      <c r="B4" t="s">
        <v>13</v>
      </c>
      <c r="C4" t="s">
        <v>43</v>
      </c>
      <c r="D4" t="s">
        <v>62</v>
      </c>
      <c r="E4" s="5">
        <v>43</v>
      </c>
      <c r="H4" s="2" t="s">
        <v>21</v>
      </c>
      <c r="I4" s="5">
        <v>13</v>
      </c>
    </row>
    <row r="5" spans="1:9" hidden="1" x14ac:dyDescent="0.3">
      <c r="A5" t="s">
        <v>4</v>
      </c>
      <c r="B5" t="s">
        <v>5</v>
      </c>
      <c r="C5" t="s">
        <v>21</v>
      </c>
      <c r="D5" t="s">
        <v>25</v>
      </c>
      <c r="E5" s="5">
        <v>13</v>
      </c>
      <c r="H5" s="2" t="s">
        <v>47</v>
      </c>
      <c r="I5" s="5">
        <v>112</v>
      </c>
    </row>
    <row r="6" spans="1:9" hidden="1" x14ac:dyDescent="0.3">
      <c r="A6" t="s">
        <v>4</v>
      </c>
      <c r="B6" t="s">
        <v>5</v>
      </c>
      <c r="C6" t="s">
        <v>47</v>
      </c>
      <c r="D6" t="s">
        <v>68</v>
      </c>
      <c r="E6" s="5">
        <v>112</v>
      </c>
      <c r="H6" s="2" t="s">
        <v>55</v>
      </c>
      <c r="I6" s="5">
        <v>372</v>
      </c>
    </row>
    <row r="7" spans="1:9" hidden="1" x14ac:dyDescent="0.3">
      <c r="A7" t="s">
        <v>4</v>
      </c>
      <c r="B7" t="s">
        <v>5</v>
      </c>
      <c r="C7" t="s">
        <v>55</v>
      </c>
      <c r="D7" t="s">
        <v>72</v>
      </c>
      <c r="E7" s="5">
        <v>372</v>
      </c>
      <c r="H7" s="2" t="s">
        <v>26</v>
      </c>
      <c r="I7" s="5">
        <v>20</v>
      </c>
    </row>
    <row r="8" spans="1:9" hidden="1" x14ac:dyDescent="0.3">
      <c r="A8" t="s">
        <v>4</v>
      </c>
      <c r="B8" t="s">
        <v>5</v>
      </c>
      <c r="C8" t="s">
        <v>26</v>
      </c>
      <c r="D8" t="s">
        <v>38</v>
      </c>
      <c r="E8" s="5">
        <v>20</v>
      </c>
      <c r="H8" s="2" t="s">
        <v>36</v>
      </c>
      <c r="I8" s="5">
        <v>14</v>
      </c>
    </row>
    <row r="9" spans="1:9" hidden="1" x14ac:dyDescent="0.3">
      <c r="A9" t="s">
        <v>4</v>
      </c>
      <c r="B9" t="s">
        <v>5</v>
      </c>
      <c r="C9" t="s">
        <v>36</v>
      </c>
      <c r="D9" t="s">
        <v>27</v>
      </c>
      <c r="E9" s="5">
        <v>14</v>
      </c>
      <c r="H9" s="2" t="s">
        <v>19</v>
      </c>
      <c r="I9" s="5">
        <v>5</v>
      </c>
    </row>
    <row r="10" spans="1:9" hidden="1" x14ac:dyDescent="0.3">
      <c r="A10" t="s">
        <v>4</v>
      </c>
      <c r="B10" t="s">
        <v>5</v>
      </c>
      <c r="C10" t="s">
        <v>19</v>
      </c>
      <c r="D10" t="s">
        <v>59</v>
      </c>
      <c r="E10" s="5">
        <v>5</v>
      </c>
      <c r="H10" s="2" t="s">
        <v>45</v>
      </c>
      <c r="I10" s="5">
        <v>90</v>
      </c>
    </row>
    <row r="11" spans="1:9" hidden="1" x14ac:dyDescent="0.3">
      <c r="A11" t="s">
        <v>30</v>
      </c>
      <c r="B11" t="s">
        <v>31</v>
      </c>
      <c r="C11" t="s">
        <v>45</v>
      </c>
      <c r="D11" t="s">
        <v>67</v>
      </c>
      <c r="E11" s="5">
        <v>90</v>
      </c>
      <c r="H11" s="2" t="s">
        <v>14</v>
      </c>
      <c r="I11" s="5">
        <v>4</v>
      </c>
    </row>
    <row r="12" spans="1:9" hidden="1" x14ac:dyDescent="0.3">
      <c r="A12" t="s">
        <v>4</v>
      </c>
      <c r="B12" t="s">
        <v>5</v>
      </c>
      <c r="C12" t="s">
        <v>14</v>
      </c>
      <c r="D12" t="s">
        <v>11</v>
      </c>
      <c r="E12" s="5">
        <v>4</v>
      </c>
      <c r="H12" s="2" t="s">
        <v>28</v>
      </c>
      <c r="I12" s="5">
        <v>10</v>
      </c>
    </row>
    <row r="13" spans="1:9" hidden="1" x14ac:dyDescent="0.3">
      <c r="A13" t="s">
        <v>4</v>
      </c>
      <c r="B13" t="s">
        <v>5</v>
      </c>
      <c r="C13" t="s">
        <v>28</v>
      </c>
      <c r="D13" t="s">
        <v>20</v>
      </c>
      <c r="E13" s="5">
        <v>10</v>
      </c>
      <c r="H13" s="2" t="s">
        <v>22</v>
      </c>
      <c r="I13" s="5">
        <v>6</v>
      </c>
    </row>
    <row r="14" spans="1:9" hidden="1" x14ac:dyDescent="0.3">
      <c r="A14" t="s">
        <v>4</v>
      </c>
      <c r="B14" t="s">
        <v>5</v>
      </c>
      <c r="C14" t="s">
        <v>22</v>
      </c>
      <c r="D14" t="s">
        <v>15</v>
      </c>
      <c r="E14" s="5">
        <v>6</v>
      </c>
      <c r="H14" s="2" t="s">
        <v>51</v>
      </c>
      <c r="I14" s="5">
        <v>154</v>
      </c>
    </row>
    <row r="15" spans="1:9" hidden="1" x14ac:dyDescent="0.3">
      <c r="A15" t="s">
        <v>30</v>
      </c>
      <c r="B15" t="s">
        <v>31</v>
      </c>
      <c r="C15" t="s">
        <v>51</v>
      </c>
      <c r="D15" t="s">
        <v>69</v>
      </c>
      <c r="E15" s="5">
        <v>154</v>
      </c>
      <c r="H15" s="2" t="s">
        <v>49</v>
      </c>
      <c r="I15" s="5">
        <v>155</v>
      </c>
    </row>
    <row r="16" spans="1:9" hidden="1" x14ac:dyDescent="0.3">
      <c r="A16" t="s">
        <v>4</v>
      </c>
      <c r="B16" t="s">
        <v>5</v>
      </c>
      <c r="C16" t="s">
        <v>49</v>
      </c>
      <c r="D16" t="s">
        <v>65</v>
      </c>
      <c r="E16" s="5">
        <v>76</v>
      </c>
      <c r="H16" s="2" t="s">
        <v>6</v>
      </c>
      <c r="I16" s="5">
        <v>2</v>
      </c>
    </row>
    <row r="17" spans="1:9" hidden="1" x14ac:dyDescent="0.3">
      <c r="A17" t="s">
        <v>30</v>
      </c>
      <c r="B17" t="s">
        <v>31</v>
      </c>
      <c r="C17" t="s">
        <v>49</v>
      </c>
      <c r="D17" t="s">
        <v>66</v>
      </c>
      <c r="E17" s="5">
        <v>79</v>
      </c>
      <c r="H17" s="2" t="s">
        <v>53</v>
      </c>
      <c r="I17" s="5">
        <v>465</v>
      </c>
    </row>
    <row r="18" spans="1:9" hidden="1" x14ac:dyDescent="0.3">
      <c r="A18" t="s">
        <v>4</v>
      </c>
      <c r="B18" t="s">
        <v>5</v>
      </c>
      <c r="C18" t="s">
        <v>6</v>
      </c>
      <c r="D18" t="s">
        <v>58</v>
      </c>
      <c r="E18" s="5">
        <v>2</v>
      </c>
      <c r="H18" s="2" t="s">
        <v>8</v>
      </c>
      <c r="I18" s="5">
        <v>104</v>
      </c>
    </row>
    <row r="19" spans="1:9" hidden="1" x14ac:dyDescent="0.3">
      <c r="A19" t="s">
        <v>30</v>
      </c>
      <c r="B19" t="s">
        <v>31</v>
      </c>
      <c r="C19" t="s">
        <v>53</v>
      </c>
      <c r="D19" t="s">
        <v>63</v>
      </c>
      <c r="E19" s="5">
        <v>50</v>
      </c>
      <c r="H19" s="2" t="s">
        <v>18</v>
      </c>
      <c r="I19" s="5">
        <v>25</v>
      </c>
    </row>
    <row r="20" spans="1:9" hidden="1" x14ac:dyDescent="0.3">
      <c r="A20" t="s">
        <v>30</v>
      </c>
      <c r="B20" t="s">
        <v>31</v>
      </c>
      <c r="C20" t="s">
        <v>53</v>
      </c>
      <c r="D20" t="s">
        <v>70</v>
      </c>
      <c r="E20" s="5">
        <v>162</v>
      </c>
      <c r="H20" s="2" t="s">
        <v>9</v>
      </c>
      <c r="I20" s="5">
        <v>44</v>
      </c>
    </row>
    <row r="21" spans="1:9" hidden="1" x14ac:dyDescent="0.3">
      <c r="A21" t="s">
        <v>4</v>
      </c>
      <c r="B21" t="s">
        <v>5</v>
      </c>
      <c r="C21" t="s">
        <v>53</v>
      </c>
      <c r="D21" t="s">
        <v>71</v>
      </c>
      <c r="E21" s="5">
        <v>253</v>
      </c>
      <c r="H21" s="2" t="s">
        <v>32</v>
      </c>
      <c r="I21" s="5">
        <v>5</v>
      </c>
    </row>
    <row r="22" spans="1:9" hidden="1" x14ac:dyDescent="0.3">
      <c r="A22" t="s">
        <v>4</v>
      </c>
      <c r="B22" t="s">
        <v>5</v>
      </c>
      <c r="C22" t="s">
        <v>8</v>
      </c>
      <c r="D22" t="s">
        <v>15</v>
      </c>
      <c r="E22" s="5">
        <v>6</v>
      </c>
      <c r="H22" s="2" t="s">
        <v>74</v>
      </c>
      <c r="I22" s="5">
        <v>1699</v>
      </c>
    </row>
    <row r="23" spans="1:9" hidden="1" x14ac:dyDescent="0.3">
      <c r="A23" t="s">
        <v>4</v>
      </c>
      <c r="B23" t="s">
        <v>5</v>
      </c>
      <c r="C23" t="s">
        <v>8</v>
      </c>
      <c r="D23" t="s">
        <v>25</v>
      </c>
      <c r="E23" s="5">
        <v>13</v>
      </c>
      <c r="I23"/>
    </row>
    <row r="24" spans="1:9" hidden="1" x14ac:dyDescent="0.3">
      <c r="A24" t="s">
        <v>4</v>
      </c>
      <c r="B24" t="s">
        <v>5</v>
      </c>
      <c r="C24" t="s">
        <v>8</v>
      </c>
      <c r="D24" t="s">
        <v>29</v>
      </c>
      <c r="E24" s="5">
        <v>15</v>
      </c>
    </row>
    <row r="25" spans="1:9" hidden="1" x14ac:dyDescent="0.3">
      <c r="A25" t="s">
        <v>4</v>
      </c>
      <c r="B25" t="s">
        <v>5</v>
      </c>
      <c r="C25" t="s">
        <v>8</v>
      </c>
      <c r="D25" t="s">
        <v>33</v>
      </c>
      <c r="E25" s="5">
        <v>17</v>
      </c>
    </row>
    <row r="26" spans="1:9" hidden="1" x14ac:dyDescent="0.3">
      <c r="A26" t="s">
        <v>4</v>
      </c>
      <c r="B26" t="s">
        <v>5</v>
      </c>
      <c r="C26" t="s">
        <v>8</v>
      </c>
      <c r="D26" t="s">
        <v>64</v>
      </c>
      <c r="E26" s="5">
        <v>53</v>
      </c>
    </row>
    <row r="27" spans="1:9" hidden="1" x14ac:dyDescent="0.3">
      <c r="A27" t="s">
        <v>16</v>
      </c>
      <c r="B27" t="s">
        <v>17</v>
      </c>
      <c r="C27" t="s">
        <v>18</v>
      </c>
      <c r="D27" t="s">
        <v>20</v>
      </c>
      <c r="E27" s="5">
        <v>10</v>
      </c>
    </row>
    <row r="28" spans="1:9" hidden="1" x14ac:dyDescent="0.3">
      <c r="A28" t="s">
        <v>16</v>
      </c>
      <c r="B28" t="s">
        <v>17</v>
      </c>
      <c r="C28" t="s">
        <v>18</v>
      </c>
      <c r="D28" t="s">
        <v>29</v>
      </c>
      <c r="E28" s="5">
        <v>15</v>
      </c>
    </row>
    <row r="29" spans="1:9" hidden="1" x14ac:dyDescent="0.3">
      <c r="A29" t="s">
        <v>4</v>
      </c>
      <c r="B29" t="s">
        <v>5</v>
      </c>
      <c r="C29" t="s">
        <v>9</v>
      </c>
      <c r="D29" t="s">
        <v>7</v>
      </c>
      <c r="E29" s="5">
        <v>1</v>
      </c>
    </row>
    <row r="30" spans="1:9" hidden="1" x14ac:dyDescent="0.3">
      <c r="A30" t="s">
        <v>4</v>
      </c>
      <c r="B30" t="s">
        <v>5</v>
      </c>
      <c r="C30" t="s">
        <v>9</v>
      </c>
      <c r="D30" t="s">
        <v>60</v>
      </c>
      <c r="E30" s="5">
        <v>8</v>
      </c>
    </row>
    <row r="31" spans="1:9" hidden="1" x14ac:dyDescent="0.3">
      <c r="A31" t="s">
        <v>4</v>
      </c>
      <c r="B31" t="s">
        <v>5</v>
      </c>
      <c r="C31" t="s">
        <v>9</v>
      </c>
      <c r="D31" t="s">
        <v>20</v>
      </c>
      <c r="E31" s="5">
        <v>10</v>
      </c>
    </row>
    <row r="32" spans="1:9" hidden="1" x14ac:dyDescent="0.3">
      <c r="A32" t="s">
        <v>4</v>
      </c>
      <c r="B32" t="s">
        <v>5</v>
      </c>
      <c r="C32" t="s">
        <v>9</v>
      </c>
      <c r="D32" t="s">
        <v>23</v>
      </c>
      <c r="E32" s="5">
        <v>11</v>
      </c>
    </row>
    <row r="33" spans="1:5" hidden="1" x14ac:dyDescent="0.3">
      <c r="A33" t="s">
        <v>4</v>
      </c>
      <c r="B33" t="s">
        <v>5</v>
      </c>
      <c r="C33" t="s">
        <v>9</v>
      </c>
      <c r="D33" t="s">
        <v>27</v>
      </c>
      <c r="E33" s="5">
        <v>14</v>
      </c>
    </row>
    <row r="34" spans="1:5" hidden="1" x14ac:dyDescent="0.3">
      <c r="A34" t="s">
        <v>30</v>
      </c>
      <c r="B34" t="s">
        <v>31</v>
      </c>
      <c r="C34" t="s">
        <v>32</v>
      </c>
      <c r="D34" t="s">
        <v>7</v>
      </c>
      <c r="E34" s="5">
        <v>1</v>
      </c>
    </row>
    <row r="35" spans="1:5" hidden="1" x14ac:dyDescent="0.3">
      <c r="A35" t="s">
        <v>4</v>
      </c>
      <c r="B35" t="s">
        <v>5</v>
      </c>
      <c r="C35" t="s">
        <v>32</v>
      </c>
      <c r="D35" t="s">
        <v>11</v>
      </c>
      <c r="E35" s="5">
        <v>4</v>
      </c>
    </row>
  </sheetData>
  <autoFilter ref="A1:E35" xr:uid="{02D87965-5FF1-4190-A24B-2FFA83DA6F89}">
    <filterColumn colId="2">
      <filters>
        <filter val="Brand Discovery // Brand Review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JUNE 1ST WEEK DATA</vt:lpstr>
      <vt:lpstr>JUNE LAST WEEK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Goswami</dc:creator>
  <cp:lastModifiedBy>Ramesh Goswami</cp:lastModifiedBy>
  <dcterms:created xsi:type="dcterms:W3CDTF">2026-07-01T07:10:35Z</dcterms:created>
  <dcterms:modified xsi:type="dcterms:W3CDTF">2026-07-01T08:52:54Z</dcterms:modified>
</cp:coreProperties>
</file>